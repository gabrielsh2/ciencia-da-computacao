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5\"/>
    </mc:Choice>
  </mc:AlternateContent>
  <xr:revisionPtr revIDLastSave="0" documentId="13_ncr:1_{2912611E-6536-4616-83AB-FBFEB336BF61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ContinuousTimeStatsByRep!$A$1:$L$251</definedName>
    <definedName name="ExternalData_1" localSheetId="4" hidden="1">CounterStatsByRep!$A$1:$G$2</definedName>
    <definedName name="ExternalData_1" localSheetId="2" hidden="1">DiscreteTimeStatsByRep!$A$1:$K$351</definedName>
    <definedName name="ExternalData_1" localSheetId="6" hidden="1">FrequencyStatsByRep!$A$1:$K$2</definedName>
    <definedName name="ExternalData_1" localSheetId="5" hidden="1">OutputStatsByRep!$A$1:$H$251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/>
  <c r="K128" i="20" a="1"/>
  <c r="K128" i="20" s="1"/>
  <c r="K129" i="20" a="1"/>
  <c r="K129" i="20" s="1"/>
  <c r="K130" i="20" a="1"/>
  <c r="K130" i="20" s="1"/>
  <c r="K131" i="20" a="1"/>
  <c r="K131" i="20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/>
  <c r="K208" i="20" a="1"/>
  <c r="K208" i="20" s="1"/>
  <c r="K209" i="20" a="1"/>
  <c r="K209" i="20" s="1"/>
  <c r="K210" i="20" a="1"/>
  <c r="K210" i="20" s="1"/>
  <c r="K211" i="20" a="1"/>
  <c r="K211" i="20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/>
  <c r="K224" i="20" a="1"/>
  <c r="K224" i="20" s="1"/>
  <c r="K225" i="20" a="1"/>
  <c r="K225" i="20" s="1"/>
  <c r="K226" i="20" a="1"/>
  <c r="K226" i="20" s="1"/>
  <c r="K227" i="20" a="1"/>
  <c r="K227" i="20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/>
  <c r="K240" i="20" a="1"/>
  <c r="K240" i="20" s="1"/>
  <c r="K241" i="20" a="1"/>
  <c r="K241" i="20" s="1"/>
  <c r="K242" i="20" a="1"/>
  <c r="K242" i="20" s="1"/>
  <c r="K243" i="20" a="1"/>
  <c r="K243" i="20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/>
  <c r="L24" i="20" a="1"/>
  <c r="L24" i="20" s="1"/>
  <c r="L25" i="20" a="1"/>
  <c r="L25" i="20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/>
  <c r="L70" i="20" a="1"/>
  <c r="L70" i="20" s="1"/>
  <c r="L71" i="20" a="1"/>
  <c r="L71" i="20" s="1"/>
  <c r="L72" i="20" a="1"/>
  <c r="L72" i="20" s="1"/>
  <c r="L73" i="20" a="1"/>
  <c r="L73" i="20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/>
  <c r="L98" i="20" a="1"/>
  <c r="L98" i="20" s="1"/>
  <c r="L99" i="20" a="1"/>
  <c r="L99" i="20" s="1"/>
  <c r="L100" i="20" a="1"/>
  <c r="L100" i="20" s="1"/>
  <c r="L101" i="20" a="1"/>
  <c r="L101" i="20"/>
  <c r="L102" i="20" a="1"/>
  <c r="L102" i="20" s="1"/>
  <c r="L103" i="20" a="1"/>
  <c r="L103" i="20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/>
  <c r="L110" i="20" a="1"/>
  <c r="L110" i="20" s="1"/>
  <c r="L111" i="20" a="1"/>
  <c r="L111" i="20" s="1"/>
  <c r="L112" i="20" a="1"/>
  <c r="L112" i="20" s="1"/>
  <c r="L113" i="20" a="1"/>
  <c r="L113" i="20"/>
  <c r="L114" i="20" a="1"/>
  <c r="L114" i="20" s="1"/>
  <c r="L115" i="20" a="1"/>
  <c r="L115" i="20" s="1"/>
  <c r="L116" i="20" a="1"/>
  <c r="L116" i="20" s="1"/>
  <c r="L117" i="20" a="1"/>
  <c r="L117" i="20"/>
  <c r="L118" i="20" a="1"/>
  <c r="L118" i="20" s="1"/>
  <c r="L119" i="20" a="1"/>
  <c r="L119" i="20" s="1"/>
  <c r="L120" i="20" a="1"/>
  <c r="L120" i="20" s="1"/>
  <c r="L121" i="20" a="1"/>
  <c r="L121" i="20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/>
  <c r="L222" i="20" a="1"/>
  <c r="L222" i="20" s="1"/>
  <c r="N222" i="20" s="1"/>
  <c r="L223" i="20" a="1"/>
  <c r="L223" i="20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/>
  <c r="L238" i="20" a="1"/>
  <c r="L238" i="20" s="1"/>
  <c r="N238" i="20" s="1"/>
  <c r="L239" i="20" a="1"/>
  <c r="L239" i="20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N245" i="20" s="1"/>
  <c r="L246" i="20" a="1"/>
  <c r="L246" i="20" s="1"/>
  <c r="N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M2" i="20" a="1"/>
  <c r="M2" i="20" s="1"/>
  <c r="M3" i="20" a="1"/>
  <c r="M3" i="20" s="1"/>
  <c r="N3" i="20" s="1"/>
  <c r="M4" i="20" a="1"/>
  <c r="M4" i="20" s="1"/>
  <c r="N4" i="20" s="1"/>
  <c r="M5" i="20" a="1"/>
  <c r="M5" i="20"/>
  <c r="N5" i="20" s="1"/>
  <c r="M6" i="20" a="1"/>
  <c r="M6" i="20" s="1"/>
  <c r="M7" i="20" a="1"/>
  <c r="M7" i="20" s="1"/>
  <c r="N7" i="20" s="1"/>
  <c r="M8" i="20" a="1"/>
  <c r="M8" i="20" s="1"/>
  <c r="N8" i="20" s="1"/>
  <c r="M9" i="20" a="1"/>
  <c r="M9" i="20" s="1"/>
  <c r="M10" i="20" a="1"/>
  <c r="M10" i="20" s="1"/>
  <c r="M11" i="20" a="1"/>
  <c r="M11" i="20" s="1"/>
  <c r="N11" i="20" s="1"/>
  <c r="M12" i="20" a="1"/>
  <c r="M12" i="20"/>
  <c r="M13" i="20" a="1"/>
  <c r="M13" i="20" s="1"/>
  <c r="N13" i="20" s="1"/>
  <c r="M14" i="20" a="1"/>
  <c r="M14" i="20" s="1"/>
  <c r="M15" i="20" a="1"/>
  <c r="M15" i="20" s="1"/>
  <c r="N15" i="20" s="1"/>
  <c r="M16" i="20" a="1"/>
  <c r="M16" i="20" s="1"/>
  <c r="N16" i="20" s="1"/>
  <c r="M17" i="20" a="1"/>
  <c r="M17" i="20" s="1"/>
  <c r="M18" i="20" a="1"/>
  <c r="M18" i="20" s="1"/>
  <c r="N18" i="20" s="1"/>
  <c r="M19" i="20" a="1"/>
  <c r="M19" i="20" s="1"/>
  <c r="N19" i="20" s="1"/>
  <c r="M20" i="20" a="1"/>
  <c r="M20" i="20" s="1"/>
  <c r="N20" i="20" s="1"/>
  <c r="M21" i="20" a="1"/>
  <c r="M21" i="20" s="1"/>
  <c r="N21" i="20" s="1"/>
  <c r="M22" i="20" a="1"/>
  <c r="M22" i="20" s="1"/>
  <c r="M23" i="20" a="1"/>
  <c r="M23" i="20" s="1"/>
  <c r="N23" i="20" s="1"/>
  <c r="M24" i="20" a="1"/>
  <c r="M24" i="20" s="1"/>
  <c r="N24" i="20" s="1"/>
  <c r="M25" i="20" a="1"/>
  <c r="M25" i="20" s="1"/>
  <c r="N25" i="20" s="1"/>
  <c r="M26" i="20" a="1"/>
  <c r="M26" i="20" s="1"/>
  <c r="M27" i="20" a="1"/>
  <c r="M27" i="20"/>
  <c r="N27" i="20" s="1"/>
  <c r="M28" i="20" a="1"/>
  <c r="M28" i="20" s="1"/>
  <c r="N28" i="20" s="1"/>
  <c r="M29" i="20" a="1"/>
  <c r="M29" i="20" s="1"/>
  <c r="N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M34" i="20" a="1"/>
  <c r="M34" i="20" s="1"/>
  <c r="M35" i="20" a="1"/>
  <c r="M35" i="20" s="1"/>
  <c r="M36" i="20" a="1"/>
  <c r="M36" i="20"/>
  <c r="N36" i="20" s="1"/>
  <c r="M37" i="20" a="1"/>
  <c r="M37" i="20" s="1"/>
  <c r="N37" i="20" s="1"/>
  <c r="M38" i="20" a="1"/>
  <c r="M38" i="20" s="1"/>
  <c r="M39" i="20" a="1"/>
  <c r="M39" i="20" s="1"/>
  <c r="M40" i="20" a="1"/>
  <c r="M40" i="20" s="1"/>
  <c r="N40" i="20" s="1"/>
  <c r="M41" i="20" a="1"/>
  <c r="M41" i="20" s="1"/>
  <c r="M42" i="20" a="1"/>
  <c r="M42" i="20" s="1"/>
  <c r="N42" i="20" s="1"/>
  <c r="M43" i="20" a="1"/>
  <c r="M43" i="20" s="1"/>
  <c r="N43" i="20" s="1"/>
  <c r="M44" i="20" a="1"/>
  <c r="M44" i="20" s="1"/>
  <c r="N44" i="20" s="1"/>
  <c r="M45" i="20" a="1"/>
  <c r="M45" i="20"/>
  <c r="M46" i="20" a="1"/>
  <c r="M46" i="20" s="1"/>
  <c r="M47" i="20" a="1"/>
  <c r="M47" i="20" s="1"/>
  <c r="N47" i="20" s="1"/>
  <c r="M48" i="20" a="1"/>
  <c r="M48" i="20" s="1"/>
  <c r="N48" i="20" s="1"/>
  <c r="M49" i="20" a="1"/>
  <c r="M49" i="20" s="1"/>
  <c r="M50" i="20" a="1"/>
  <c r="M50" i="20" s="1"/>
  <c r="N50" i="20" s="1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 s="1"/>
  <c r="M55" i="20" a="1"/>
  <c r="M55" i="20" s="1"/>
  <c r="M56" i="20" a="1"/>
  <c r="M56" i="20" s="1"/>
  <c r="N56" i="20" s="1"/>
  <c r="M57" i="20" a="1"/>
  <c r="M57" i="20" s="1"/>
  <c r="M58" i="20" a="1"/>
  <c r="M58" i="20" s="1"/>
  <c r="M59" i="20" a="1"/>
  <c r="M59" i="20" s="1"/>
  <c r="N59" i="20" s="1"/>
  <c r="M60" i="20" a="1"/>
  <c r="M60" i="20" s="1"/>
  <c r="N60" i="20" s="1"/>
  <c r="M61" i="20" a="1"/>
  <c r="M61" i="20" s="1"/>
  <c r="N61" i="20" s="1"/>
  <c r="M62" i="20" a="1"/>
  <c r="M62" i="20" s="1"/>
  <c r="M63" i="20" a="1"/>
  <c r="M63" i="20" s="1"/>
  <c r="N63" i="20" s="1"/>
  <c r="M64" i="20" a="1"/>
  <c r="M64" i="20" s="1"/>
  <c r="N64" i="20" s="1"/>
  <c r="M65" i="20" a="1"/>
  <c r="M65" i="20" s="1"/>
  <c r="M66" i="20" a="1"/>
  <c r="M66" i="20" s="1"/>
  <c r="M67" i="20" a="1"/>
  <c r="M67" i="20" s="1"/>
  <c r="N67" i="20" s="1"/>
  <c r="M68" i="20" a="1"/>
  <c r="M68" i="20"/>
  <c r="N68" i="20" s="1"/>
  <c r="M69" i="20" a="1"/>
  <c r="M69" i="20" s="1"/>
  <c r="N69" i="20" s="1"/>
  <c r="M70" i="20" a="1"/>
  <c r="M70" i="20" s="1"/>
  <c r="N70" i="20" s="1"/>
  <c r="M71" i="20" a="1"/>
  <c r="M71" i="20" s="1"/>
  <c r="M72" i="20" a="1"/>
  <c r="M72" i="20" s="1"/>
  <c r="N72" i="20" s="1"/>
  <c r="M73" i="20" a="1"/>
  <c r="M73" i="20" s="1"/>
  <c r="N73" i="20" s="1"/>
  <c r="M74" i="20" a="1"/>
  <c r="M74" i="20" s="1"/>
  <c r="M75" i="20" a="1"/>
  <c r="M75" i="20" s="1"/>
  <c r="N75" i="20" s="1"/>
  <c r="M76" i="20" a="1"/>
  <c r="M76" i="20" s="1"/>
  <c r="N76" i="20" s="1"/>
  <c r="M77" i="20" a="1"/>
  <c r="M77" i="20" s="1"/>
  <c r="N77" i="20" s="1"/>
  <c r="M78" i="20" a="1"/>
  <c r="M78" i="20" s="1"/>
  <c r="M79" i="20" a="1"/>
  <c r="M79" i="20" s="1"/>
  <c r="N79" i="20" s="1"/>
  <c r="M80" i="20" a="1"/>
  <c r="M80" i="20" s="1"/>
  <c r="N80" i="20" s="1"/>
  <c r="M81" i="20" a="1"/>
  <c r="M81" i="20" s="1"/>
  <c r="N81" i="20" s="1"/>
  <c r="M82" i="20" a="1"/>
  <c r="M82" i="20" s="1"/>
  <c r="N82" i="20" s="1"/>
  <c r="M83" i="20" a="1"/>
  <c r="M83" i="20"/>
  <c r="N83" i="20" s="1"/>
  <c r="M84" i="20" a="1"/>
  <c r="M84" i="20" s="1"/>
  <c r="N84" i="20" s="1"/>
  <c r="M85" i="20" a="1"/>
  <c r="M85" i="20" s="1"/>
  <c r="N85" i="20" s="1"/>
  <c r="M86" i="20" a="1"/>
  <c r="M86" i="20" s="1"/>
  <c r="M87" i="20" a="1"/>
  <c r="M87" i="20" s="1"/>
  <c r="M88" i="20" a="1"/>
  <c r="M88" i="20" s="1"/>
  <c r="N88" i="20" s="1"/>
  <c r="M89" i="20" a="1"/>
  <c r="M89" i="20" s="1"/>
  <c r="M90" i="20" a="1"/>
  <c r="M90" i="20" s="1"/>
  <c r="M91" i="20" a="1"/>
  <c r="M91" i="20" s="1"/>
  <c r="N91" i="20" s="1"/>
  <c r="M92" i="20" a="1"/>
  <c r="M92" i="20"/>
  <c r="N92" i="20" s="1"/>
  <c r="M93" i="20" a="1"/>
  <c r="M93" i="20" s="1"/>
  <c r="M94" i="20" a="1"/>
  <c r="M94" i="20" s="1"/>
  <c r="M95" i="20" a="1"/>
  <c r="M95" i="20" s="1"/>
  <c r="N95" i="20" s="1"/>
  <c r="M96" i="20" a="1"/>
  <c r="M96" i="20" s="1"/>
  <c r="N96" i="20" s="1"/>
  <c r="M97" i="20" a="1"/>
  <c r="M97" i="20" s="1"/>
  <c r="N97" i="20" s="1"/>
  <c r="M98" i="20" a="1"/>
  <c r="M98" i="20" s="1"/>
  <c r="M99" i="20" a="1"/>
  <c r="M99" i="20"/>
  <c r="M100" i="20" a="1"/>
  <c r="M100" i="20" s="1"/>
  <c r="N100" i="20" s="1"/>
  <c r="M101" i="20" a="1"/>
  <c r="M101" i="20"/>
  <c r="N101" i="20" s="1"/>
  <c r="M102" i="20" a="1"/>
  <c r="M102" i="20" s="1"/>
  <c r="M103" i="20" a="1"/>
  <c r="M103" i="20" s="1"/>
  <c r="N103" i="20" s="1"/>
  <c r="M104" i="20" a="1"/>
  <c r="M104" i="20" s="1"/>
  <c r="N104" i="20" s="1"/>
  <c r="M105" i="20" a="1"/>
  <c r="M105" i="20" s="1"/>
  <c r="M106" i="20" a="1"/>
  <c r="M106" i="20" s="1"/>
  <c r="N106" i="20" s="1"/>
  <c r="M107" i="20" a="1"/>
  <c r="M107" i="20" s="1"/>
  <c r="N107" i="20" s="1"/>
  <c r="M108" i="20" a="1"/>
  <c r="M108" i="20"/>
  <c r="M109" i="20" a="1"/>
  <c r="M109" i="20" s="1"/>
  <c r="N109" i="20" s="1"/>
  <c r="M110" i="20" a="1"/>
  <c r="M110" i="20" s="1"/>
  <c r="M111" i="20" a="1"/>
  <c r="M111" i="20" s="1"/>
  <c r="N111" i="20" s="1"/>
  <c r="M112" i="20" a="1"/>
  <c r="M112" i="20" s="1"/>
  <c r="N112" i="20" s="1"/>
  <c r="M113" i="20" a="1"/>
  <c r="M113" i="20" s="1"/>
  <c r="N113" i="20" s="1"/>
  <c r="M114" i="20" a="1"/>
  <c r="M114" i="20" s="1"/>
  <c r="N114" i="20" s="1"/>
  <c r="M115" i="20" a="1"/>
  <c r="M115" i="20" s="1"/>
  <c r="N115" i="20" s="1"/>
  <c r="M116" i="20" a="1"/>
  <c r="M116" i="20" s="1"/>
  <c r="N116" i="20" s="1"/>
  <c r="M117" i="20" a="1"/>
  <c r="M117" i="20"/>
  <c r="N117" i="20" s="1"/>
  <c r="M118" i="20" a="1"/>
  <c r="M118" i="20" s="1"/>
  <c r="M119" i="20" a="1"/>
  <c r="M119" i="20" s="1"/>
  <c r="M120" i="20" a="1"/>
  <c r="M120" i="20" s="1"/>
  <c r="N120" i="20" s="1"/>
  <c r="M121" i="20" a="1"/>
  <c r="M121" i="20" s="1"/>
  <c r="N121" i="20" s="1"/>
  <c r="M122" i="20" a="1"/>
  <c r="M122" i="20" s="1"/>
  <c r="M123" i="20" a="1"/>
  <c r="M123" i="20" s="1"/>
  <c r="N123" i="20" s="1"/>
  <c r="M124" i="20" a="1"/>
  <c r="M124" i="20"/>
  <c r="N124" i="20" s="1"/>
  <c r="M125" i="20" a="1"/>
  <c r="M125" i="20" s="1"/>
  <c r="M126" i="20" a="1"/>
  <c r="M126" i="20" s="1"/>
  <c r="M127" i="20" a="1"/>
  <c r="M127" i="20" s="1"/>
  <c r="N127" i="20" s="1"/>
  <c r="M128" i="20" a="1"/>
  <c r="M128" i="20" s="1"/>
  <c r="N128" i="20" s="1"/>
  <c r="M129" i="20" a="1"/>
  <c r="M129" i="20" s="1"/>
  <c r="N129" i="20" s="1"/>
  <c r="M130" i="20" a="1"/>
  <c r="M130" i="20" s="1"/>
  <c r="M131" i="20" a="1"/>
  <c r="M131" i="20"/>
  <c r="M132" i="20" a="1"/>
  <c r="M132" i="20" s="1"/>
  <c r="N132" i="20" s="1"/>
  <c r="M133" i="20" a="1"/>
  <c r="M133" i="20" s="1"/>
  <c r="N133" i="20" s="1"/>
  <c r="M134" i="20" a="1"/>
  <c r="M134" i="20" s="1"/>
  <c r="M135" i="20" a="1"/>
  <c r="M135" i="20" s="1"/>
  <c r="M136" i="20" a="1"/>
  <c r="M136" i="20" s="1"/>
  <c r="N136" i="20" s="1"/>
  <c r="M137" i="20" a="1"/>
  <c r="M137" i="20" s="1"/>
  <c r="M138" i="20" a="1"/>
  <c r="M138" i="20" s="1"/>
  <c r="M139" i="20" a="1"/>
  <c r="M139" i="20" s="1"/>
  <c r="N139" i="20" s="1"/>
  <c r="M140" i="20" a="1"/>
  <c r="M140" i="20" s="1"/>
  <c r="N140" i="20" s="1"/>
  <c r="M141" i="20" a="1"/>
  <c r="M141" i="20" s="1"/>
  <c r="N141" i="20" s="1"/>
  <c r="M142" i="20" a="1"/>
  <c r="M142" i="20" s="1"/>
  <c r="M143" i="20" a="1"/>
  <c r="M143" i="20" s="1"/>
  <c r="N143" i="20" s="1"/>
  <c r="M144" i="20" a="1"/>
  <c r="M144" i="20" s="1"/>
  <c r="N144" i="20" s="1"/>
  <c r="M145" i="20" a="1"/>
  <c r="M145" i="20" s="1"/>
  <c r="N145" i="20" s="1"/>
  <c r="M146" i="20" a="1"/>
  <c r="M146" i="20" s="1"/>
  <c r="N146" i="20" s="1"/>
  <c r="M147" i="20" a="1"/>
  <c r="M147" i="20" s="1"/>
  <c r="N147" i="20" s="1"/>
  <c r="M148" i="20" a="1"/>
  <c r="M148" i="20" s="1"/>
  <c r="N148" i="20" s="1"/>
  <c r="M149" i="20" a="1"/>
  <c r="M149" i="20"/>
  <c r="N149" i="20" s="1"/>
  <c r="M150" i="20" a="1"/>
  <c r="M150" i="20" s="1"/>
  <c r="N150" i="20" s="1"/>
  <c r="M151" i="20" a="1"/>
  <c r="M151" i="20" s="1"/>
  <c r="M152" i="20" a="1"/>
  <c r="M152" i="20" s="1"/>
  <c r="N152" i="20" s="1"/>
  <c r="M153" i="20" a="1"/>
  <c r="M153" i="20" s="1"/>
  <c r="M154" i="20" a="1"/>
  <c r="M154" i="20" s="1"/>
  <c r="M155" i="20" a="1"/>
  <c r="M155" i="20"/>
  <c r="N155" i="20" s="1"/>
  <c r="M156" i="20" a="1"/>
  <c r="M156" i="20" s="1"/>
  <c r="N156" i="20" s="1"/>
  <c r="M157" i="20" a="1"/>
  <c r="M157" i="20" s="1"/>
  <c r="M158" i="20" a="1"/>
  <c r="M158" i="20" s="1"/>
  <c r="M159" i="20" a="1"/>
  <c r="M159" i="20" s="1"/>
  <c r="N159" i="20" s="1"/>
  <c r="M160" i="20" a="1"/>
  <c r="M160" i="20" s="1"/>
  <c r="N160" i="20" s="1"/>
  <c r="M161" i="20" a="1"/>
  <c r="M161" i="20" s="1"/>
  <c r="M162" i="20" a="1"/>
  <c r="M162" i="20" s="1"/>
  <c r="N162" i="20" s="1"/>
  <c r="M163" i="20" a="1"/>
  <c r="M163" i="20" s="1"/>
  <c r="N163" i="20" s="1"/>
  <c r="M164" i="20" a="1"/>
  <c r="M164" i="20"/>
  <c r="N164" i="20" s="1"/>
  <c r="M165" i="20" a="1"/>
  <c r="M165" i="20" s="1"/>
  <c r="N165" i="20" s="1"/>
  <c r="M166" i="20" a="1"/>
  <c r="M166" i="20" s="1"/>
  <c r="M167" i="20" a="1"/>
  <c r="M167" i="20" s="1"/>
  <c r="M168" i="20" a="1"/>
  <c r="M168" i="20" s="1"/>
  <c r="N168" i="20" s="1"/>
  <c r="M169" i="20" a="1"/>
  <c r="M169" i="20" s="1"/>
  <c r="M170" i="20" a="1"/>
  <c r="M170" i="20" s="1"/>
  <c r="N170" i="20" s="1"/>
  <c r="M171" i="20" a="1"/>
  <c r="M171" i="20" s="1"/>
  <c r="N171" i="20" s="1"/>
  <c r="M172" i="20" a="1"/>
  <c r="M172" i="20" s="1"/>
  <c r="N172" i="20" s="1"/>
  <c r="M173" i="20" a="1"/>
  <c r="M173" i="20"/>
  <c r="N173" i="20" s="1"/>
  <c r="M174" i="20" a="1"/>
  <c r="M174" i="20" s="1"/>
  <c r="N174" i="20" s="1"/>
  <c r="M175" i="20" a="1"/>
  <c r="M175" i="20" s="1"/>
  <c r="N175" i="20" s="1"/>
  <c r="M176" i="20" a="1"/>
  <c r="M176" i="20" s="1"/>
  <c r="N176" i="20" s="1"/>
  <c r="M177" i="20" a="1"/>
  <c r="M177" i="20" s="1"/>
  <c r="M178" i="20" a="1"/>
  <c r="M178" i="20" s="1"/>
  <c r="N178" i="20" s="1"/>
  <c r="M179" i="20" a="1"/>
  <c r="M179" i="20" s="1"/>
  <c r="N179" i="20" s="1"/>
  <c r="M180" i="20" a="1"/>
  <c r="M180" i="20" s="1"/>
  <c r="N180" i="20" s="1"/>
  <c r="M181" i="20" a="1"/>
  <c r="M181" i="20" s="1"/>
  <c r="N181" i="20" s="1"/>
  <c r="M182" i="20" a="1"/>
  <c r="M182" i="20" s="1"/>
  <c r="M183" i="20" a="1"/>
  <c r="M183" i="20" s="1"/>
  <c r="M184" i="20" a="1"/>
  <c r="M184" i="20" s="1"/>
  <c r="N184" i="20" s="1"/>
  <c r="M185" i="20" a="1"/>
  <c r="M185" i="20" s="1"/>
  <c r="M186" i="20" a="1"/>
  <c r="M186" i="20" s="1"/>
  <c r="N186" i="20" s="1"/>
  <c r="M187" i="20" a="1"/>
  <c r="M187" i="20"/>
  <c r="N187" i="20" s="1"/>
  <c r="M188" i="20" a="1"/>
  <c r="M188" i="20" s="1"/>
  <c r="N188" i="20" s="1"/>
  <c r="M189" i="20" a="1"/>
  <c r="M189" i="20" s="1"/>
  <c r="N189" i="20" s="1"/>
  <c r="M190" i="20" a="1"/>
  <c r="M190" i="20" s="1"/>
  <c r="M191" i="20" a="1"/>
  <c r="M191" i="20" s="1"/>
  <c r="N191" i="20" s="1"/>
  <c r="M192" i="20" a="1"/>
  <c r="M192" i="20" s="1"/>
  <c r="N192" i="20" s="1"/>
  <c r="M193" i="20" a="1"/>
  <c r="M193" i="20" s="1"/>
  <c r="N193" i="20" s="1"/>
  <c r="M194" i="20" a="1"/>
  <c r="M194" i="20" s="1"/>
  <c r="M195" i="20" a="1"/>
  <c r="M195" i="20" s="1"/>
  <c r="M196" i="20" a="1"/>
  <c r="M196" i="20" s="1"/>
  <c r="N196" i="20" s="1"/>
  <c r="M197" i="20" a="1"/>
  <c r="M197" i="20" s="1"/>
  <c r="N197" i="20" s="1"/>
  <c r="M198" i="20" a="1"/>
  <c r="M198" i="20" s="1"/>
  <c r="N198" i="20" s="1"/>
  <c r="M199" i="20" a="1"/>
  <c r="M199" i="20" s="1"/>
  <c r="M200" i="20" a="1"/>
  <c r="M200" i="20" s="1"/>
  <c r="N200" i="20" s="1"/>
  <c r="M201" i="20" a="1"/>
  <c r="M201" i="20" s="1"/>
  <c r="M202" i="20" a="1"/>
  <c r="M202" i="20" s="1"/>
  <c r="M203" i="20" a="1"/>
  <c r="M203" i="20" s="1"/>
  <c r="N203" i="20" s="1"/>
  <c r="M204" i="20" a="1"/>
  <c r="M204" i="20" s="1"/>
  <c r="N204" i="20" s="1"/>
  <c r="M205" i="20" a="1"/>
  <c r="M205" i="20"/>
  <c r="N205" i="20" s="1"/>
  <c r="M206" i="20" a="1"/>
  <c r="M206" i="20" s="1"/>
  <c r="M207" i="20" a="1"/>
  <c r="M207" i="20" s="1"/>
  <c r="N207" i="20" s="1"/>
  <c r="M208" i="20" a="1"/>
  <c r="M208" i="20" s="1"/>
  <c r="N208" i="20" s="1"/>
  <c r="M209" i="20" a="1"/>
  <c r="M209" i="20" s="1"/>
  <c r="N209" i="20" s="1"/>
  <c r="M210" i="20" a="1"/>
  <c r="M210" i="20" s="1"/>
  <c r="N210" i="20" s="1"/>
  <c r="M211" i="20" a="1"/>
  <c r="M211" i="20"/>
  <c r="M212" i="20" a="1"/>
  <c r="M212" i="20" s="1"/>
  <c r="N212" i="20" s="1"/>
  <c r="M213" i="20" a="1"/>
  <c r="M213" i="20" s="1"/>
  <c r="N213" i="20" s="1"/>
  <c r="M214" i="20" a="1"/>
  <c r="M214" i="20" s="1"/>
  <c r="M215" i="20" a="1"/>
  <c r="M215" i="20" s="1"/>
  <c r="N215" i="20" s="1"/>
  <c r="M216" i="20" a="1"/>
  <c r="M216" i="20" s="1"/>
  <c r="N216" i="20" s="1"/>
  <c r="M217" i="20" a="1"/>
  <c r="M217" i="20" s="1"/>
  <c r="N217" i="20" s="1"/>
  <c r="M218" i="20" a="1"/>
  <c r="M218" i="20" s="1"/>
  <c r="M219" i="20" a="1"/>
  <c r="M219" i="20" s="1"/>
  <c r="N219" i="20" s="1"/>
  <c r="M220" i="20" a="1"/>
  <c r="M220" i="20"/>
  <c r="M221" i="20" a="1"/>
  <c r="M221" i="20" s="1"/>
  <c r="N221" i="20" s="1"/>
  <c r="M222" i="20" a="1"/>
  <c r="M222" i="20" s="1"/>
  <c r="M223" i="20" a="1"/>
  <c r="M223" i="20" s="1"/>
  <c r="N223" i="20" s="1"/>
  <c r="M224" i="20" a="1"/>
  <c r="M224" i="20" s="1"/>
  <c r="N224" i="20" s="1"/>
  <c r="M225" i="20" a="1"/>
  <c r="M225" i="20" s="1"/>
  <c r="N225" i="20" s="1"/>
  <c r="M226" i="20" a="1"/>
  <c r="M226" i="20" s="1"/>
  <c r="M227" i="20" a="1"/>
  <c r="M227" i="20"/>
  <c r="M228" i="20" a="1"/>
  <c r="M228" i="20" s="1"/>
  <c r="N228" i="20" s="1"/>
  <c r="M229" i="20" a="1"/>
  <c r="M229" i="20"/>
  <c r="M230" i="20" a="1"/>
  <c r="M230" i="20" s="1"/>
  <c r="N230" i="20" s="1"/>
  <c r="M231" i="20" a="1"/>
  <c r="M231" i="20" s="1"/>
  <c r="M232" i="20" a="1"/>
  <c r="M232" i="20" s="1"/>
  <c r="N232" i="20" s="1"/>
  <c r="M233" i="20" a="1"/>
  <c r="M233" i="20" s="1"/>
  <c r="N233" i="20" s="1"/>
  <c r="M234" i="20" a="1"/>
  <c r="M234" i="20" s="1"/>
  <c r="N234" i="20" s="1"/>
  <c r="M235" i="20" a="1"/>
  <c r="M235" i="20" s="1"/>
  <c r="N235" i="20" s="1"/>
  <c r="M236" i="20" a="1"/>
  <c r="M236" i="20"/>
  <c r="M237" i="20" a="1"/>
  <c r="M237" i="20" s="1"/>
  <c r="N237" i="20" s="1"/>
  <c r="M238" i="20" a="1"/>
  <c r="M238" i="20" s="1"/>
  <c r="M239" i="20" a="1"/>
  <c r="M239" i="20" s="1"/>
  <c r="N239" i="20" s="1"/>
  <c r="M240" i="20" a="1"/>
  <c r="M240" i="20" s="1"/>
  <c r="N240" i="20" s="1"/>
  <c r="M241" i="20" a="1"/>
  <c r="M241" i="20" s="1"/>
  <c r="N241" i="20" s="1"/>
  <c r="M242" i="20" a="1"/>
  <c r="M242" i="20" s="1"/>
  <c r="N242" i="20" s="1"/>
  <c r="M243" i="20" a="1"/>
  <c r="M243" i="20"/>
  <c r="N243" i="20" s="1"/>
  <c r="M244" i="20" a="1"/>
  <c r="M244" i="20" s="1"/>
  <c r="N244" i="20" s="1"/>
  <c r="M245" i="20" a="1"/>
  <c r="M245" i="20"/>
  <c r="M246" i="20" a="1"/>
  <c r="M246" i="20" s="1"/>
  <c r="M247" i="20" a="1"/>
  <c r="M247" i="20" s="1"/>
  <c r="N247" i="20" s="1"/>
  <c r="M248" i="20" a="1"/>
  <c r="M248" i="20" s="1"/>
  <c r="N248" i="20" s="1"/>
  <c r="M249" i="20" a="1"/>
  <c r="M249" i="20" s="1"/>
  <c r="N249" i="20" s="1"/>
  <c r="M250" i="20" a="1"/>
  <c r="M250" i="20" s="1"/>
  <c r="M251" i="20" a="1"/>
  <c r="M251" i="20" s="1"/>
  <c r="N251" i="20" s="1"/>
  <c r="N2" i="20"/>
  <c r="N6" i="20"/>
  <c r="N10" i="20"/>
  <c r="N12" i="20"/>
  <c r="N14" i="20"/>
  <c r="N22" i="20"/>
  <c r="N26" i="20"/>
  <c r="N30" i="20"/>
  <c r="N34" i="20"/>
  <c r="N38" i="20"/>
  <c r="N46" i="20"/>
  <c r="N54" i="20"/>
  <c r="N58" i="20"/>
  <c r="N62" i="20"/>
  <c r="N66" i="20"/>
  <c r="N74" i="20"/>
  <c r="N78" i="20"/>
  <c r="N86" i="20"/>
  <c r="N90" i="20"/>
  <c r="N94" i="20"/>
  <c r="N98" i="20"/>
  <c r="N99" i="20"/>
  <c r="N102" i="20"/>
  <c r="N108" i="20"/>
  <c r="N110" i="20"/>
  <c r="N118" i="20"/>
  <c r="N122" i="20"/>
  <c r="N126" i="20"/>
  <c r="N130" i="20"/>
  <c r="N131" i="20"/>
  <c r="N134" i="20"/>
  <c r="N138" i="20"/>
  <c r="N142" i="20"/>
  <c r="N154" i="20"/>
  <c r="N158" i="20"/>
  <c r="N166" i="20"/>
  <c r="N182" i="20"/>
  <c r="N190" i="20"/>
  <c r="N220" i="20"/>
  <c r="N229" i="20"/>
  <c r="O2" i="20" a="1"/>
  <c r="O2" i="20" s="1"/>
  <c r="O3" i="20" a="1"/>
  <c r="O3" i="20" s="1"/>
  <c r="O4" i="20" a="1"/>
  <c r="O4" i="20" s="1"/>
  <c r="O5" i="20" a="1"/>
  <c r="O5" i="20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/>
  <c r="O109" i="20" a="1"/>
  <c r="O109" i="20" s="1"/>
  <c r="O110" i="20" a="1"/>
  <c r="O110" i="20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/>
  <c r="O125" i="20" a="1"/>
  <c r="O125" i="20" s="1"/>
  <c r="O126" i="20" a="1"/>
  <c r="O126" i="20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/>
  <c r="O150" i="20" a="1"/>
  <c r="O150" i="20" s="1"/>
  <c r="O151" i="20" a="1"/>
  <c r="O151" i="20" s="1"/>
  <c r="O152" i="20" a="1"/>
  <c r="O152" i="20" s="1"/>
  <c r="O153" i="20" a="1"/>
  <c r="O153" i="20"/>
  <c r="O154" i="20" a="1"/>
  <c r="O154" i="20" s="1"/>
  <c r="O155" i="20" a="1"/>
  <c r="O155" i="20" s="1"/>
  <c r="O156" i="20" a="1"/>
  <c r="O156" i="20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/>
  <c r="O197" i="20" a="1"/>
  <c r="O197" i="20"/>
  <c r="O198" i="20" a="1"/>
  <c r="O198" i="20" s="1"/>
  <c r="O199" i="20" a="1"/>
  <c r="O199" i="20" s="1"/>
  <c r="O200" i="20" a="1"/>
  <c r="O200" i="20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/>
  <c r="O207" i="20" a="1"/>
  <c r="O207" i="20" s="1"/>
  <c r="O208" i="20" a="1"/>
  <c r="O208" i="20" s="1"/>
  <c r="O209" i="20" a="1"/>
  <c r="O209" i="20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/>
  <c r="P98" i="18" a="1"/>
  <c r="P98" i="18" s="1"/>
  <c r="P99" i="18" a="1"/>
  <c r="P99" i="18" s="1"/>
  <c r="P100" i="18" a="1"/>
  <c r="P100" i="18" s="1"/>
  <c r="P101" i="18" a="1"/>
  <c r="P101" i="18" s="1"/>
  <c r="R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R116" i="18" s="1"/>
  <c r="U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R124" i="18" s="1"/>
  <c r="U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R146" i="18" s="1"/>
  <c r="U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R192" i="18" s="1"/>
  <c r="U192" i="18" s="1"/>
  <c r="P193" i="18" a="1"/>
  <c r="P193" i="18" s="1"/>
  <c r="R193" i="18" s="1"/>
  <c r="U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R206" i="18" s="1"/>
  <c r="U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/>
  <c r="P226" i="18" a="1"/>
  <c r="P226" i="18" s="1"/>
  <c r="P227" i="18" a="1"/>
  <c r="P227" i="18" s="1"/>
  <c r="P228" i="18" a="1"/>
  <c r="P228" i="18" s="1"/>
  <c r="P229" i="18" a="1"/>
  <c r="P229" i="18" s="1"/>
  <c r="R229" i="18" s="1"/>
  <c r="U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R244" i="18" s="1"/>
  <c r="U244" i="18" s="1"/>
  <c r="P245" i="18" a="1"/>
  <c r="P245" i="18" s="1"/>
  <c r="P246" i="18" a="1"/>
  <c r="P246" i="18" s="1"/>
  <c r="P247" i="18" a="1"/>
  <c r="P247" i="18" s="1"/>
  <c r="P248" i="18" a="1"/>
  <c r="P248" i="18" s="1"/>
  <c r="R248" i="18" s="1"/>
  <c r="U248" i="18" s="1"/>
  <c r="P249" i="18" a="1"/>
  <c r="P249" i="18" s="1"/>
  <c r="P250" i="18" a="1"/>
  <c r="P250" i="18" s="1"/>
  <c r="P251" i="18" a="1"/>
  <c r="P251" i="18" s="1"/>
  <c r="Q2" i="18" a="1"/>
  <c r="Q2" i="18" s="1"/>
  <c r="R2" i="18" s="1"/>
  <c r="U2" i="18" s="1"/>
  <c r="Q3" i="18" a="1"/>
  <c r="Q3" i="18" s="1"/>
  <c r="R3" i="18" s="1"/>
  <c r="Q4" i="18" a="1"/>
  <c r="Q4" i="18" s="1"/>
  <c r="Q5" i="18" a="1"/>
  <c r="Q5" i="18" s="1"/>
  <c r="Q6" i="18" a="1"/>
  <c r="Q6" i="18" s="1"/>
  <c r="Q7" i="18" a="1"/>
  <c r="Q7" i="18"/>
  <c r="R7" i="18" s="1"/>
  <c r="Q8" i="18" a="1"/>
  <c r="Q8" i="18" s="1"/>
  <c r="Q9" i="18" a="1"/>
  <c r="Q9" i="18" s="1"/>
  <c r="Q10" i="18" a="1"/>
  <c r="Q10" i="18" s="1"/>
  <c r="R10" i="18" s="1"/>
  <c r="U10" i="18" s="1"/>
  <c r="Q11" i="18" a="1"/>
  <c r="Q11" i="18"/>
  <c r="R11" i="18" s="1"/>
  <c r="Q12" i="18" a="1"/>
  <c r="Q12" i="18" s="1"/>
  <c r="R12" i="18" s="1"/>
  <c r="U12" i="18" s="1"/>
  <c r="Q13" i="18" a="1"/>
  <c r="Q13" i="18" s="1"/>
  <c r="Q14" i="18" a="1"/>
  <c r="Q14" i="18" s="1"/>
  <c r="R14" i="18" s="1"/>
  <c r="Q15" i="18" a="1"/>
  <c r="Q15" i="18"/>
  <c r="R15" i="18" s="1"/>
  <c r="Q16" i="18" a="1"/>
  <c r="Q16" i="18" s="1"/>
  <c r="Q17" i="18" a="1"/>
  <c r="Q17" i="18" s="1"/>
  <c r="Q18" i="18" a="1"/>
  <c r="Q18" i="18" s="1"/>
  <c r="Q19" i="18" a="1"/>
  <c r="Q19" i="18" s="1"/>
  <c r="R19" i="18" s="1"/>
  <c r="U19" i="18" s="1"/>
  <c r="Q20" i="18" a="1"/>
  <c r="Q20" i="18" s="1"/>
  <c r="R20" i="18" s="1"/>
  <c r="Q21" i="18" a="1"/>
  <c r="Q21" i="18" s="1"/>
  <c r="Q22" i="18" a="1"/>
  <c r="Q22" i="18" s="1"/>
  <c r="R22" i="18" s="1"/>
  <c r="Q23" i="18" a="1"/>
  <c r="Q23" i="18" s="1"/>
  <c r="R23" i="18" s="1"/>
  <c r="Q24" i="18" a="1"/>
  <c r="Q24" i="18" s="1"/>
  <c r="Q25" i="18" a="1"/>
  <c r="Q25" i="18" s="1"/>
  <c r="Q26" i="18" a="1"/>
  <c r="Q26" i="18" s="1"/>
  <c r="Q27" i="18" a="1"/>
  <c r="Q27" i="18" s="1"/>
  <c r="R27" i="18" s="1"/>
  <c r="Q28" i="18" a="1"/>
  <c r="Q28" i="18" s="1"/>
  <c r="R28" i="18" s="1"/>
  <c r="Q29" i="18" a="1"/>
  <c r="Q29" i="18" s="1"/>
  <c r="Q30" i="18" a="1"/>
  <c r="Q30" i="18" s="1"/>
  <c r="R30" i="18" s="1"/>
  <c r="U30" i="18" s="1"/>
  <c r="Q31" i="18" a="1"/>
  <c r="Q31" i="18" s="1"/>
  <c r="R31" i="18" s="1"/>
  <c r="Q32" i="18" a="1"/>
  <c r="Q32" i="18" s="1"/>
  <c r="Q33" i="18" a="1"/>
  <c r="Q33" i="18" s="1"/>
  <c r="R33" i="18" s="1"/>
  <c r="Q34" i="18" a="1"/>
  <c r="Q34" i="18" s="1"/>
  <c r="R34" i="18" s="1"/>
  <c r="U34" i="18" s="1"/>
  <c r="Q35" i="18" a="1"/>
  <c r="Q35" i="18" s="1"/>
  <c r="R35" i="18" s="1"/>
  <c r="Q36" i="18" a="1"/>
  <c r="Q36" i="18" s="1"/>
  <c r="Q37" i="18" a="1"/>
  <c r="Q37" i="18" s="1"/>
  <c r="Q38" i="18" a="1"/>
  <c r="Q38" i="18" s="1"/>
  <c r="R38" i="18" s="1"/>
  <c r="U38" i="18" s="1"/>
  <c r="Q39" i="18" a="1"/>
  <c r="Q39" i="18" s="1"/>
  <c r="R39" i="18" s="1"/>
  <c r="U39" i="18" s="1"/>
  <c r="Q40" i="18" a="1"/>
  <c r="Q40" i="18" s="1"/>
  <c r="R40" i="18" s="1"/>
  <c r="U40" i="18" s="1"/>
  <c r="Q41" i="18" a="1"/>
  <c r="Q41" i="18" s="1"/>
  <c r="R41" i="18" s="1"/>
  <c r="U41" i="18" s="1"/>
  <c r="Q42" i="18" a="1"/>
  <c r="Q42" i="18" s="1"/>
  <c r="R42" i="18" s="1"/>
  <c r="Q43" i="18" a="1"/>
  <c r="Q43" i="18" s="1"/>
  <c r="R43" i="18" s="1"/>
  <c r="U43" i="18" s="1"/>
  <c r="Q44" i="18" a="1"/>
  <c r="Q44" i="18" s="1"/>
  <c r="R44" i="18" s="1"/>
  <c r="U44" i="18" s="1"/>
  <c r="Q45" i="18" a="1"/>
  <c r="Q45" i="18" s="1"/>
  <c r="Q46" i="18" a="1"/>
  <c r="Q46" i="18" s="1"/>
  <c r="Q47" i="18" a="1"/>
  <c r="Q47" i="18"/>
  <c r="R47" i="18" s="1"/>
  <c r="U47" i="18" s="1"/>
  <c r="Q48" i="18" a="1"/>
  <c r="Q48" i="18" s="1"/>
  <c r="Q49" i="18" a="1"/>
  <c r="Q49" i="18" s="1"/>
  <c r="Q50" i="18" a="1"/>
  <c r="Q50" i="18" s="1"/>
  <c r="R50" i="18" s="1"/>
  <c r="Q51" i="18" a="1"/>
  <c r="Q51" i="18" s="1"/>
  <c r="R51" i="18" s="1"/>
  <c r="U51" i="18" s="1"/>
  <c r="Q52" i="18" a="1"/>
  <c r="Q52" i="18" s="1"/>
  <c r="Q53" i="18" a="1"/>
  <c r="Q53" i="18" s="1"/>
  <c r="Q54" i="18" a="1"/>
  <c r="Q54" i="18" s="1"/>
  <c r="R54" i="18" s="1"/>
  <c r="U54" i="18" s="1"/>
  <c r="Q55" i="18" a="1"/>
  <c r="Q55" i="18" s="1"/>
  <c r="R55" i="18" s="1"/>
  <c r="Q56" i="18" a="1"/>
  <c r="Q56" i="18" s="1"/>
  <c r="Q57" i="18" a="1"/>
  <c r="Q57" i="18" s="1"/>
  <c r="Q58" i="18" a="1"/>
  <c r="Q58" i="18" s="1"/>
  <c r="R58" i="18" s="1"/>
  <c r="U58" i="18" s="1"/>
  <c r="Q59" i="18" a="1"/>
  <c r="Q59" i="18" s="1"/>
  <c r="R59" i="18" s="1"/>
  <c r="Q60" i="18" a="1"/>
  <c r="Q60" i="18" s="1"/>
  <c r="Q61" i="18" a="1"/>
  <c r="Q61" i="18" s="1"/>
  <c r="Q62" i="18" a="1"/>
  <c r="Q62" i="18" s="1"/>
  <c r="R62" i="18" s="1"/>
  <c r="U62" i="18" s="1"/>
  <c r="Q63" i="18" a="1"/>
  <c r="Q63" i="18" s="1"/>
  <c r="R63" i="18" s="1"/>
  <c r="Q64" i="18" a="1"/>
  <c r="Q64" i="18" s="1"/>
  <c r="Q65" i="18" a="1"/>
  <c r="Q65" i="18" s="1"/>
  <c r="Q66" i="18" a="1"/>
  <c r="Q66" i="18" s="1"/>
  <c r="R66" i="18" s="1"/>
  <c r="U66" i="18" s="1"/>
  <c r="Q67" i="18" a="1"/>
  <c r="Q67" i="18" s="1"/>
  <c r="R67" i="18" s="1"/>
  <c r="Q68" i="18" a="1"/>
  <c r="Q68" i="18" s="1"/>
  <c r="Q69" i="18" a="1"/>
  <c r="Q69" i="18" s="1"/>
  <c r="Q70" i="18" a="1"/>
  <c r="Q70" i="18" s="1"/>
  <c r="R70" i="18" s="1"/>
  <c r="U70" i="18" s="1"/>
  <c r="Q71" i="18" a="1"/>
  <c r="Q71" i="18" s="1"/>
  <c r="R71" i="18" s="1"/>
  <c r="U71" i="18" s="1"/>
  <c r="Q72" i="18" a="1"/>
  <c r="Q72" i="18" s="1"/>
  <c r="Q73" i="18" a="1"/>
  <c r="Q73" i="18" s="1"/>
  <c r="R73" i="18" s="1"/>
  <c r="U73" i="18" s="1"/>
  <c r="Q74" i="18" a="1"/>
  <c r="Q74" i="18" s="1"/>
  <c r="R74" i="18" s="1"/>
  <c r="U74" i="18" s="1"/>
  <c r="Q75" i="18" a="1"/>
  <c r="Q75" i="18"/>
  <c r="Q76" i="18" a="1"/>
  <c r="Q76" i="18" s="1"/>
  <c r="Q77" i="18" a="1"/>
  <c r="Q77" i="18" s="1"/>
  <c r="Q78" i="18" a="1"/>
  <c r="Q78" i="18" s="1"/>
  <c r="Q79" i="18" a="1"/>
  <c r="Q79" i="18"/>
  <c r="R79" i="18" s="1"/>
  <c r="U79" i="18" s="1"/>
  <c r="Q80" i="18" a="1"/>
  <c r="Q80" i="18" s="1"/>
  <c r="R80" i="18" s="1"/>
  <c r="U80" i="18" s="1"/>
  <c r="Q81" i="18" a="1"/>
  <c r="Q81" i="18" s="1"/>
  <c r="Q82" i="18" a="1"/>
  <c r="Q82" i="18" s="1"/>
  <c r="Q83" i="18" a="1"/>
  <c r="Q83" i="18" s="1"/>
  <c r="R83" i="18" s="1"/>
  <c r="U83" i="18" s="1"/>
  <c r="Q84" i="18" a="1"/>
  <c r="Q84" i="18" s="1"/>
  <c r="Q85" i="18" a="1"/>
  <c r="Q85" i="18" s="1"/>
  <c r="Q86" i="18" a="1"/>
  <c r="Q86" i="18" s="1"/>
  <c r="R86" i="18" s="1"/>
  <c r="U86" i="18" s="1"/>
  <c r="Q87" i="18" a="1"/>
  <c r="Q87" i="18" s="1"/>
  <c r="R87" i="18" s="1"/>
  <c r="Q88" i="18" a="1"/>
  <c r="Q88" i="18" s="1"/>
  <c r="Q89" i="18" a="1"/>
  <c r="Q89" i="18" s="1"/>
  <c r="Q90" i="18" a="1"/>
  <c r="Q90" i="18" s="1"/>
  <c r="R90" i="18" s="1"/>
  <c r="U90" i="18" s="1"/>
  <c r="Q91" i="18" a="1"/>
  <c r="Q91" i="18" s="1"/>
  <c r="R91" i="18" s="1"/>
  <c r="Q92" i="18" a="1"/>
  <c r="Q92" i="18" s="1"/>
  <c r="R92" i="18" s="1"/>
  <c r="U92" i="18" s="1"/>
  <c r="Q93" i="18" a="1"/>
  <c r="Q93" i="18" s="1"/>
  <c r="Q94" i="18" a="1"/>
  <c r="Q94" i="18" s="1"/>
  <c r="R94" i="18" s="1"/>
  <c r="U94" i="18" s="1"/>
  <c r="Q95" i="18" a="1"/>
  <c r="Q95" i="18" s="1"/>
  <c r="R95" i="18" s="1"/>
  <c r="Q96" i="18" a="1"/>
  <c r="Q96" i="18" s="1"/>
  <c r="Q97" i="18" a="1"/>
  <c r="Q97" i="18" s="1"/>
  <c r="Q98" i="18" a="1"/>
  <c r="Q98" i="18" s="1"/>
  <c r="R98" i="18" s="1"/>
  <c r="U98" i="18" s="1"/>
  <c r="Q99" i="18" a="1"/>
  <c r="Q99" i="18" s="1"/>
  <c r="R99" i="18" s="1"/>
  <c r="Q100" i="18" a="1"/>
  <c r="Q100" i="18" s="1"/>
  <c r="Q101" i="18" a="1"/>
  <c r="Q101" i="18" s="1"/>
  <c r="Q102" i="18" a="1"/>
  <c r="Q102" i="18" s="1"/>
  <c r="Q103" i="18" a="1"/>
  <c r="Q103" i="18" s="1"/>
  <c r="R103" i="18" s="1"/>
  <c r="U103" i="18" s="1"/>
  <c r="Q104" i="18" a="1"/>
  <c r="Q104" i="18" s="1"/>
  <c r="Q105" i="18" a="1"/>
  <c r="Q105" i="18" s="1"/>
  <c r="R105" i="18" s="1"/>
  <c r="U105" i="18" s="1"/>
  <c r="Q106" i="18" a="1"/>
  <c r="Q106" i="18" s="1"/>
  <c r="Q107" i="18" a="1"/>
  <c r="Q107" i="18" s="1"/>
  <c r="R107" i="18" s="1"/>
  <c r="U107" i="18" s="1"/>
  <c r="Q108" i="18" a="1"/>
  <c r="Q108" i="18" s="1"/>
  <c r="R108" i="18" s="1"/>
  <c r="U108" i="18" s="1"/>
  <c r="Q109" i="18" a="1"/>
  <c r="Q109" i="18" s="1"/>
  <c r="Q110" i="18" a="1"/>
  <c r="Q110" i="18" s="1"/>
  <c r="Q111" i="18" a="1"/>
  <c r="Q111" i="18"/>
  <c r="R111" i="18" s="1"/>
  <c r="U111" i="18" s="1"/>
  <c r="Q112" i="18" a="1"/>
  <c r="Q112" i="18" s="1"/>
  <c r="Q113" i="18" a="1"/>
  <c r="Q113" i="18" s="1"/>
  <c r="Q114" i="18" a="1"/>
  <c r="Q114" i="18" s="1"/>
  <c r="Q115" i="18" a="1"/>
  <c r="Q115" i="18" s="1"/>
  <c r="R115" i="18" s="1"/>
  <c r="U115" i="18" s="1"/>
  <c r="Q116" i="18" a="1"/>
  <c r="Q116" i="18" s="1"/>
  <c r="Q117" i="18" a="1"/>
  <c r="Q117" i="18" s="1"/>
  <c r="Q118" i="18" a="1"/>
  <c r="Q118" i="18" s="1"/>
  <c r="Q119" i="18" a="1"/>
  <c r="Q119" i="18" s="1"/>
  <c r="R119" i="18" s="1"/>
  <c r="Q120" i="18" a="1"/>
  <c r="Q120" i="18" s="1"/>
  <c r="Q121" i="18" a="1"/>
  <c r="Q121" i="18" s="1"/>
  <c r="Q122" i="18" a="1"/>
  <c r="Q122" i="18" s="1"/>
  <c r="R122" i="18" s="1"/>
  <c r="U122" i="18" s="1"/>
  <c r="Q123" i="18" a="1"/>
  <c r="Q123" i="18" s="1"/>
  <c r="R123" i="18" s="1"/>
  <c r="Q124" i="18" a="1"/>
  <c r="Q124" i="18" s="1"/>
  <c r="Q125" i="18" a="1"/>
  <c r="Q125" i="18" s="1"/>
  <c r="Q126" i="18" a="1"/>
  <c r="Q126" i="18" s="1"/>
  <c r="Q127" i="18" a="1"/>
  <c r="Q127" i="18" s="1"/>
  <c r="R127" i="18" s="1"/>
  <c r="Q128" i="18" a="1"/>
  <c r="Q128" i="18" s="1"/>
  <c r="Q129" i="18" a="1"/>
  <c r="Q129" i="18" s="1"/>
  <c r="R129" i="18" s="1"/>
  <c r="U129" i="18" s="1"/>
  <c r="Q130" i="18" a="1"/>
  <c r="Q130" i="18" s="1"/>
  <c r="R130" i="18" s="1"/>
  <c r="U130" i="18" s="1"/>
  <c r="Q131" i="18" a="1"/>
  <c r="Q131" i="18" s="1"/>
  <c r="Q132" i="18" a="1"/>
  <c r="Q132" i="18" s="1"/>
  <c r="Q133" i="18" a="1"/>
  <c r="Q133" i="18" s="1"/>
  <c r="Q134" i="18" a="1"/>
  <c r="Q134" i="18" s="1"/>
  <c r="R134" i="18" s="1"/>
  <c r="U134" i="18" s="1"/>
  <c r="Q135" i="18" a="1"/>
  <c r="Q135" i="18" s="1"/>
  <c r="R135" i="18" s="1"/>
  <c r="U135" i="18" s="1"/>
  <c r="Q136" i="18" a="1"/>
  <c r="Q136" i="18" s="1"/>
  <c r="Q137" i="18" a="1"/>
  <c r="Q137" i="18" s="1"/>
  <c r="R137" i="18" s="1"/>
  <c r="U137" i="18" s="1"/>
  <c r="Q138" i="18" a="1"/>
  <c r="Q138" i="18" s="1"/>
  <c r="Q139" i="18" a="1"/>
  <c r="Q139" i="18"/>
  <c r="Q140" i="18" a="1"/>
  <c r="Q140" i="18" s="1"/>
  <c r="R140" i="18" s="1"/>
  <c r="U140" i="18" s="1"/>
  <c r="Q141" i="18" a="1"/>
  <c r="Q141" i="18" s="1"/>
  <c r="Q142" i="18" a="1"/>
  <c r="Q142" i="18" s="1"/>
  <c r="Q143" i="18" a="1"/>
  <c r="Q143" i="18"/>
  <c r="R143" i="18" s="1"/>
  <c r="U143" i="18" s="1"/>
  <c r="Q144" i="18" a="1"/>
  <c r="Q144" i="18" s="1"/>
  <c r="R144" i="18" s="1"/>
  <c r="U144" i="18" s="1"/>
  <c r="Q145" i="18" a="1"/>
  <c r="Q145" i="18" s="1"/>
  <c r="Q146" i="18" a="1"/>
  <c r="Q146" i="18" s="1"/>
  <c r="Q147" i="18" a="1"/>
  <c r="Q147" i="18" s="1"/>
  <c r="R147" i="18" s="1"/>
  <c r="U147" i="18" s="1"/>
  <c r="Q148" i="18" a="1"/>
  <c r="Q148" i="18" s="1"/>
  <c r="Q149" i="18" a="1"/>
  <c r="Q149" i="18" s="1"/>
  <c r="Q150" i="18" a="1"/>
  <c r="Q150" i="18" s="1"/>
  <c r="R150" i="18" s="1"/>
  <c r="U150" i="18" s="1"/>
  <c r="Q151" i="18" a="1"/>
  <c r="Q151" i="18" s="1"/>
  <c r="R151" i="18" s="1"/>
  <c r="Q152" i="18" a="1"/>
  <c r="Q152" i="18" s="1"/>
  <c r="Q153" i="18" a="1"/>
  <c r="Q153" i="18" s="1"/>
  <c r="Q154" i="18" a="1"/>
  <c r="Q154" i="18" s="1"/>
  <c r="Q155" i="18" a="1"/>
  <c r="Q155" i="18" s="1"/>
  <c r="R155" i="18" s="1"/>
  <c r="Q156" i="18" a="1"/>
  <c r="Q156" i="18" s="1"/>
  <c r="Q157" i="18" a="1"/>
  <c r="Q157" i="18" s="1"/>
  <c r="Q158" i="18" a="1"/>
  <c r="Q158" i="18" s="1"/>
  <c r="R158" i="18" s="1"/>
  <c r="U158" i="18" s="1"/>
  <c r="Q159" i="18" a="1"/>
  <c r="Q159" i="18" s="1"/>
  <c r="R159" i="18" s="1"/>
  <c r="Q160" i="18" a="1"/>
  <c r="Q160" i="18" s="1"/>
  <c r="Q161" i="18" a="1"/>
  <c r="Q161" i="18" s="1"/>
  <c r="Q162" i="18" a="1"/>
  <c r="Q162" i="18" s="1"/>
  <c r="R162" i="18" s="1"/>
  <c r="U162" i="18" s="1"/>
  <c r="Q163" i="18" a="1"/>
  <c r="Q163" i="18" s="1"/>
  <c r="R163" i="18" s="1"/>
  <c r="Q164" i="18" a="1"/>
  <c r="Q164" i="18" s="1"/>
  <c r="R164" i="18" s="1"/>
  <c r="U164" i="18" s="1"/>
  <c r="Q165" i="18" a="1"/>
  <c r="Q165" i="18" s="1"/>
  <c r="Q166" i="18" a="1"/>
  <c r="Q166" i="18" s="1"/>
  <c r="R166" i="18" s="1"/>
  <c r="U166" i="18" s="1"/>
  <c r="Q167" i="18" a="1"/>
  <c r="Q167" i="18" s="1"/>
  <c r="R167" i="18" s="1"/>
  <c r="U167" i="18" s="1"/>
  <c r="Q168" i="18" a="1"/>
  <c r="Q168" i="18" s="1"/>
  <c r="Q169" i="18" a="1"/>
  <c r="Q169" i="18" s="1"/>
  <c r="R169" i="18" s="1"/>
  <c r="U169" i="18" s="1"/>
  <c r="Q170" i="18" a="1"/>
  <c r="Q170" i="18" s="1"/>
  <c r="Q171" i="18" a="1"/>
  <c r="Q171" i="18" s="1"/>
  <c r="R171" i="18" s="1"/>
  <c r="U171" i="18" s="1"/>
  <c r="Q172" i="18" a="1"/>
  <c r="Q172" i="18" s="1"/>
  <c r="Q173" i="18" a="1"/>
  <c r="Q173" i="18" s="1"/>
  <c r="Q174" i="18" a="1"/>
  <c r="Q174" i="18" s="1"/>
  <c r="Q175" i="18" a="1"/>
  <c r="Q175" i="18"/>
  <c r="R175" i="18" s="1"/>
  <c r="U175" i="18" s="1"/>
  <c r="Q176" i="18" a="1"/>
  <c r="Q176" i="18" s="1"/>
  <c r="R176" i="18" s="1"/>
  <c r="U176" i="18" s="1"/>
  <c r="Q177" i="18" a="1"/>
  <c r="Q177" i="18" s="1"/>
  <c r="Q178" i="18" a="1"/>
  <c r="Q178" i="18" s="1"/>
  <c r="Q179" i="18" a="1"/>
  <c r="Q179" i="18" s="1"/>
  <c r="R179" i="18" s="1"/>
  <c r="U179" i="18" s="1"/>
  <c r="Q180" i="18" a="1"/>
  <c r="Q180" i="18" s="1"/>
  <c r="Q181" i="18" a="1"/>
  <c r="Q181" i="18" s="1"/>
  <c r="Q182" i="18" a="1"/>
  <c r="Q182" i="18" s="1"/>
  <c r="R182" i="18" s="1"/>
  <c r="U182" i="18" s="1"/>
  <c r="Q183" i="18" a="1"/>
  <c r="Q183" i="18" s="1"/>
  <c r="R183" i="18" s="1"/>
  <c r="Q184" i="18" a="1"/>
  <c r="Q184" i="18" s="1"/>
  <c r="R184" i="18" s="1"/>
  <c r="U184" i="18" s="1"/>
  <c r="Q185" i="18" a="1"/>
  <c r="Q185" i="18" s="1"/>
  <c r="Q186" i="18" a="1"/>
  <c r="Q186" i="18" s="1"/>
  <c r="R186" i="18" s="1"/>
  <c r="U186" i="18" s="1"/>
  <c r="Q187" i="18" a="1"/>
  <c r="Q187" i="18" s="1"/>
  <c r="R187" i="18" s="1"/>
  <c r="Q188" i="18" a="1"/>
  <c r="Q188" i="18" s="1"/>
  <c r="Q189" i="18" a="1"/>
  <c r="Q189" i="18" s="1"/>
  <c r="Q190" i="18" a="1"/>
  <c r="Q190" i="18" s="1"/>
  <c r="R190" i="18" s="1"/>
  <c r="U190" i="18" s="1"/>
  <c r="Q191" i="18" a="1"/>
  <c r="Q191" i="18" s="1"/>
  <c r="R191" i="18" s="1"/>
  <c r="Q192" i="18" a="1"/>
  <c r="Q192" i="18" s="1"/>
  <c r="Q193" i="18" a="1"/>
  <c r="Q193" i="18" s="1"/>
  <c r="Q194" i="18" a="1"/>
  <c r="Q194" i="18" s="1"/>
  <c r="R194" i="18" s="1"/>
  <c r="U194" i="18" s="1"/>
  <c r="Q195" i="18" a="1"/>
  <c r="Q195" i="18" s="1"/>
  <c r="R195" i="18" s="1"/>
  <c r="Q196" i="18" a="1"/>
  <c r="Q196" i="18" s="1"/>
  <c r="Q197" i="18" a="1"/>
  <c r="Q197" i="18" s="1"/>
  <c r="Q198" i="18" a="1"/>
  <c r="Q198" i="18" s="1"/>
  <c r="Q199" i="18" a="1"/>
  <c r="Q199" i="18" s="1"/>
  <c r="R199" i="18" s="1"/>
  <c r="U199" i="18" s="1"/>
  <c r="Q200" i="18" a="1"/>
  <c r="Q200" i="18" s="1"/>
  <c r="Q201" i="18" a="1"/>
  <c r="Q201" i="18" s="1"/>
  <c r="R201" i="18" s="1"/>
  <c r="U201" i="18" s="1"/>
  <c r="Q202" i="18" a="1"/>
  <c r="Q202" i="18" s="1"/>
  <c r="Q203" i="18" a="1"/>
  <c r="Q203" i="18"/>
  <c r="Q204" i="18" a="1"/>
  <c r="Q204" i="18" s="1"/>
  <c r="R204" i="18" s="1"/>
  <c r="U204" i="18" s="1"/>
  <c r="Q205" i="18" a="1"/>
  <c r="Q205" i="18" s="1"/>
  <c r="R205" i="18" s="1"/>
  <c r="U205" i="18" s="1"/>
  <c r="Q206" i="18" a="1"/>
  <c r="Q206" i="18" s="1"/>
  <c r="Q207" i="18" a="1"/>
  <c r="Q207" i="18"/>
  <c r="R207" i="18" s="1"/>
  <c r="U207" i="18" s="1"/>
  <c r="Q208" i="18" a="1"/>
  <c r="Q208" i="18" s="1"/>
  <c r="R208" i="18" s="1"/>
  <c r="U208" i="18" s="1"/>
  <c r="Q209" i="18" a="1"/>
  <c r="Q209" i="18" s="1"/>
  <c r="Q210" i="18" a="1"/>
  <c r="Q210" i="18" s="1"/>
  <c r="Q211" i="18" a="1"/>
  <c r="Q211" i="18" s="1"/>
  <c r="R211" i="18" s="1"/>
  <c r="U211" i="18" s="1"/>
  <c r="Q212" i="18" a="1"/>
  <c r="Q212" i="18" s="1"/>
  <c r="R212" i="18" s="1"/>
  <c r="U212" i="18" s="1"/>
  <c r="Q213" i="18" a="1"/>
  <c r="Q213" i="18" s="1"/>
  <c r="Q214" i="18" a="1"/>
  <c r="Q214" i="18" s="1"/>
  <c r="R214" i="18" s="1"/>
  <c r="U214" i="18" s="1"/>
  <c r="Q215" i="18" a="1"/>
  <c r="Q215" i="18" s="1"/>
  <c r="R215" i="18" s="1"/>
  <c r="Q216" i="18" a="1"/>
  <c r="Q216" i="18" s="1"/>
  <c r="Q217" i="18" a="1"/>
  <c r="Q217" i="18" s="1"/>
  <c r="Q218" i="18" a="1"/>
  <c r="Q218" i="18" s="1"/>
  <c r="R218" i="18" s="1"/>
  <c r="U218" i="18" s="1"/>
  <c r="Q219" i="18" a="1"/>
  <c r="Q219" i="18" s="1"/>
  <c r="R219" i="18" s="1"/>
  <c r="Q220" i="18" a="1"/>
  <c r="Q220" i="18" s="1"/>
  <c r="Q221" i="18" a="1"/>
  <c r="Q221" i="18" s="1"/>
  <c r="Q222" i="18" a="1"/>
  <c r="Q222" i="18" s="1"/>
  <c r="R222" i="18" s="1"/>
  <c r="U222" i="18" s="1"/>
  <c r="Q223" i="18" a="1"/>
  <c r="Q223" i="18" s="1"/>
  <c r="R223" i="18" s="1"/>
  <c r="Q224" i="18" a="1"/>
  <c r="Q224" i="18" s="1"/>
  <c r="Q225" i="18" a="1"/>
  <c r="Q225" i="18" s="1"/>
  <c r="Q226" i="18" a="1"/>
  <c r="Q226" i="18" s="1"/>
  <c r="R226" i="18" s="1"/>
  <c r="U226" i="18" s="1"/>
  <c r="Q227" i="18" a="1"/>
  <c r="Q227" i="18" s="1"/>
  <c r="R227" i="18" s="1"/>
  <c r="Q228" i="18" a="1"/>
  <c r="Q228" i="18" s="1"/>
  <c r="Q229" i="18" a="1"/>
  <c r="Q229" i="18" s="1"/>
  <c r="Q230" i="18" a="1"/>
  <c r="Q230" i="18" s="1"/>
  <c r="Q231" i="18" a="1"/>
  <c r="Q231" i="18" s="1"/>
  <c r="R231" i="18" s="1"/>
  <c r="U231" i="18" s="1"/>
  <c r="Q232" i="18" a="1"/>
  <c r="Q232" i="18" s="1"/>
  <c r="R232" i="18" s="1"/>
  <c r="U232" i="18" s="1"/>
  <c r="Q233" i="18" a="1"/>
  <c r="Q233" i="18" s="1"/>
  <c r="R233" i="18" s="1"/>
  <c r="U233" i="18" s="1"/>
  <c r="Q234" i="18" a="1"/>
  <c r="Q234" i="18" s="1"/>
  <c r="Q235" i="18" a="1"/>
  <c r="Q235" i="18" s="1"/>
  <c r="R235" i="18" s="1"/>
  <c r="U235" i="18" s="1"/>
  <c r="Q236" i="18" a="1"/>
  <c r="Q236" i="18" s="1"/>
  <c r="R236" i="18" s="1"/>
  <c r="U236" i="18" s="1"/>
  <c r="Q237" i="18" a="1"/>
  <c r="Q237" i="18" s="1"/>
  <c r="R237" i="18" s="1"/>
  <c r="U237" i="18" s="1"/>
  <c r="Q238" i="18" a="1"/>
  <c r="Q238" i="18" s="1"/>
  <c r="Q239" i="18" a="1"/>
  <c r="Q239" i="18"/>
  <c r="R239" i="18" s="1"/>
  <c r="U239" i="18" s="1"/>
  <c r="Q240" i="18" a="1"/>
  <c r="Q240" i="18" s="1"/>
  <c r="R240" i="18" s="1"/>
  <c r="U240" i="18" s="1"/>
  <c r="Q241" i="18" a="1"/>
  <c r="Q241" i="18" s="1"/>
  <c r="Q242" i="18" a="1"/>
  <c r="Q242" i="18" s="1"/>
  <c r="Q243" i="18" a="1"/>
  <c r="Q243" i="18" s="1"/>
  <c r="R243" i="18" s="1"/>
  <c r="U243" i="18" s="1"/>
  <c r="Q244" i="18" a="1"/>
  <c r="Q244" i="18" s="1"/>
  <c r="Q245" i="18" a="1"/>
  <c r="Q245" i="18" s="1"/>
  <c r="Q246" i="18" a="1"/>
  <c r="Q246" i="18" s="1"/>
  <c r="Q247" i="18" a="1"/>
  <c r="Q247" i="18" s="1"/>
  <c r="R247" i="18" s="1"/>
  <c r="Q248" i="18" a="1"/>
  <c r="Q248" i="18" s="1"/>
  <c r="Q249" i="18" a="1"/>
  <c r="Q249" i="18" s="1"/>
  <c r="R249" i="18" s="1"/>
  <c r="U249" i="18" s="1"/>
  <c r="Q250" i="18" a="1"/>
  <c r="Q250" i="18" s="1"/>
  <c r="R250" i="18" s="1"/>
  <c r="U250" i="18" s="1"/>
  <c r="Q251" i="18" a="1"/>
  <c r="Q251" i="18" s="1"/>
  <c r="R251" i="18" s="1"/>
  <c r="R4" i="18"/>
  <c r="R6" i="18"/>
  <c r="R8" i="18"/>
  <c r="R16" i="18"/>
  <c r="R18" i="18"/>
  <c r="R24" i="18"/>
  <c r="R26" i="18"/>
  <c r="R32" i="18"/>
  <c r="R36" i="18"/>
  <c r="R46" i="18"/>
  <c r="R48" i="18"/>
  <c r="R52" i="18"/>
  <c r="R56" i="18"/>
  <c r="R60" i="18"/>
  <c r="R64" i="18"/>
  <c r="R68" i="18"/>
  <c r="R72" i="18"/>
  <c r="R75" i="18"/>
  <c r="R76" i="18"/>
  <c r="R78" i="18"/>
  <c r="R82" i="18"/>
  <c r="R84" i="18"/>
  <c r="R88" i="18"/>
  <c r="R96" i="18"/>
  <c r="R97" i="18"/>
  <c r="R100" i="18"/>
  <c r="R102" i="18"/>
  <c r="R104" i="18"/>
  <c r="R106" i="18"/>
  <c r="R110" i="18"/>
  <c r="R112" i="18"/>
  <c r="R114" i="18"/>
  <c r="R118" i="18"/>
  <c r="R120" i="18"/>
  <c r="R126" i="18"/>
  <c r="R128" i="18"/>
  <c r="R132" i="18"/>
  <c r="R136" i="18"/>
  <c r="R138" i="18"/>
  <c r="R139" i="18"/>
  <c r="R142" i="18"/>
  <c r="R145" i="18"/>
  <c r="R148" i="18"/>
  <c r="R152" i="18"/>
  <c r="R154" i="18"/>
  <c r="R156" i="18"/>
  <c r="R160" i="18"/>
  <c r="R161" i="18"/>
  <c r="R168" i="18"/>
  <c r="R170" i="18"/>
  <c r="R172" i="18"/>
  <c r="R174" i="18"/>
  <c r="R177" i="18"/>
  <c r="R178" i="18"/>
  <c r="R180" i="18"/>
  <c r="R181" i="18"/>
  <c r="R185" i="18"/>
  <c r="R188" i="18"/>
  <c r="R196" i="18"/>
  <c r="R197" i="18"/>
  <c r="R198" i="18"/>
  <c r="R200" i="18"/>
  <c r="R202" i="18"/>
  <c r="R203" i="18"/>
  <c r="R209" i="18"/>
  <c r="R210" i="18"/>
  <c r="R213" i="18"/>
  <c r="R216" i="18"/>
  <c r="R217" i="18"/>
  <c r="R220" i="18"/>
  <c r="R221" i="18"/>
  <c r="R224" i="18"/>
  <c r="R225" i="18"/>
  <c r="R228" i="18"/>
  <c r="R230" i="18"/>
  <c r="R234" i="18"/>
  <c r="R238" i="18"/>
  <c r="R241" i="18"/>
  <c r="R242" i="18"/>
  <c r="R245" i="18"/>
  <c r="R246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/>
  <c r="S29" i="18" a="1"/>
  <c r="S29" i="18" s="1"/>
  <c r="S30" i="18" a="1"/>
  <c r="S30" i="18" s="1"/>
  <c r="S31" i="18" a="1"/>
  <c r="S31" i="18" s="1"/>
  <c r="S32" i="18" a="1"/>
  <c r="S32" i="18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/>
  <c r="S73" i="18" a="1"/>
  <c r="S73" i="18" s="1"/>
  <c r="S74" i="18" a="1"/>
  <c r="S74" i="18" s="1"/>
  <c r="S75" i="18" a="1"/>
  <c r="S75" i="18" s="1"/>
  <c r="S76" i="18" a="1"/>
  <c r="S76" i="18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/>
  <c r="S153" i="18" a="1"/>
  <c r="S153" i="18" s="1"/>
  <c r="S154" i="18" a="1"/>
  <c r="S154" i="18" s="1"/>
  <c r="S155" i="18" a="1"/>
  <c r="S155" i="18" s="1"/>
  <c r="S156" i="18" a="1"/>
  <c r="S156" i="18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/>
  <c r="S212" i="18" a="1"/>
  <c r="S212" i="18" s="1"/>
  <c r="S213" i="18" a="1"/>
  <c r="S213" i="18"/>
  <c r="S214" i="18" a="1"/>
  <c r="S214" i="18" s="1"/>
  <c r="S215" i="18" a="1"/>
  <c r="S215" i="18" s="1"/>
  <c r="S216" i="18" a="1"/>
  <c r="S216" i="18" s="1"/>
  <c r="S217" i="18" a="1"/>
  <c r="S217" i="18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/>
  <c r="T20" i="18" a="1"/>
  <c r="T20" i="18" s="1"/>
  <c r="T21" i="18" a="1"/>
  <c r="T21" i="18" s="1"/>
  <c r="T22" i="18" a="1"/>
  <c r="T22" i="18" s="1"/>
  <c r="T23" i="18" a="1"/>
  <c r="T23" i="18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/>
  <c r="T42" i="18" a="1"/>
  <c r="T42" i="18" s="1"/>
  <c r="T43" i="18" a="1"/>
  <c r="T43" i="18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/>
  <c r="T60" i="18" a="1"/>
  <c r="T60" i="18" s="1"/>
  <c r="T61" i="18" a="1"/>
  <c r="T61" i="18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/>
  <c r="T78" i="18" a="1"/>
  <c r="T78" i="18" s="1"/>
  <c r="T79" i="18" a="1"/>
  <c r="T79" i="18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/>
  <c r="T152" i="18" a="1"/>
  <c r="T152" i="18" s="1"/>
  <c r="T153" i="18" a="1"/>
  <c r="T153" i="18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/>
  <c r="T170" i="18" a="1"/>
  <c r="T170" i="18" s="1"/>
  <c r="T171" i="18" a="1"/>
  <c r="T171" i="18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/>
  <c r="T188" i="18" a="1"/>
  <c r="T188" i="18" s="1"/>
  <c r="T189" i="18" a="1"/>
  <c r="T189" i="18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/>
  <c r="T206" i="18" a="1"/>
  <c r="T206" i="18" s="1"/>
  <c r="T207" i="18" a="1"/>
  <c r="T207" i="18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U3" i="18"/>
  <c r="U4" i="18"/>
  <c r="U6" i="18"/>
  <c r="U7" i="18"/>
  <c r="U8" i="18"/>
  <c r="U11" i="18"/>
  <c r="U14" i="18"/>
  <c r="U15" i="18"/>
  <c r="U16" i="18"/>
  <c r="U18" i="18"/>
  <c r="U20" i="18"/>
  <c r="U22" i="18"/>
  <c r="U23" i="18"/>
  <c r="U24" i="18"/>
  <c r="U26" i="18"/>
  <c r="U27" i="18"/>
  <c r="U28" i="18"/>
  <c r="U31" i="18"/>
  <c r="U32" i="18"/>
  <c r="U33" i="18"/>
  <c r="U35" i="18"/>
  <c r="U36" i="18"/>
  <c r="U42" i="18"/>
  <c r="U46" i="18"/>
  <c r="U48" i="18"/>
  <c r="U50" i="18"/>
  <c r="U52" i="18"/>
  <c r="U55" i="18"/>
  <c r="U56" i="18"/>
  <c r="U59" i="18"/>
  <c r="U60" i="18"/>
  <c r="U63" i="18"/>
  <c r="U64" i="18"/>
  <c r="U67" i="18"/>
  <c r="U68" i="18"/>
  <c r="U72" i="18"/>
  <c r="U75" i="18"/>
  <c r="U76" i="18"/>
  <c r="U78" i="18"/>
  <c r="U82" i="18"/>
  <c r="U84" i="18"/>
  <c r="U87" i="18"/>
  <c r="U88" i="18"/>
  <c r="U91" i="18"/>
  <c r="U95" i="18"/>
  <c r="U96" i="18"/>
  <c r="U97" i="18"/>
  <c r="U99" i="18"/>
  <c r="U100" i="18"/>
  <c r="U101" i="18"/>
  <c r="U102" i="18"/>
  <c r="U104" i="18"/>
  <c r="U106" i="18"/>
  <c r="U110" i="18"/>
  <c r="U112" i="18"/>
  <c r="U114" i="18"/>
  <c r="U118" i="18"/>
  <c r="U119" i="18"/>
  <c r="U120" i="18"/>
  <c r="U123" i="18"/>
  <c r="U126" i="18"/>
  <c r="U127" i="18"/>
  <c r="U128" i="18"/>
  <c r="U132" i="18"/>
  <c r="U136" i="18"/>
  <c r="U138" i="18"/>
  <c r="U139" i="18"/>
  <c r="U142" i="18"/>
  <c r="U145" i="18"/>
  <c r="U148" i="18"/>
  <c r="U151" i="18"/>
  <c r="U152" i="18"/>
  <c r="U154" i="18"/>
  <c r="U155" i="18"/>
  <c r="U156" i="18"/>
  <c r="U159" i="18"/>
  <c r="U160" i="18"/>
  <c r="U161" i="18"/>
  <c r="U163" i="18"/>
  <c r="U168" i="18"/>
  <c r="U170" i="18"/>
  <c r="U172" i="18"/>
  <c r="U174" i="18"/>
  <c r="U177" i="18"/>
  <c r="U178" i="18"/>
  <c r="U180" i="18"/>
  <c r="U181" i="18"/>
  <c r="U183" i="18"/>
  <c r="U185" i="18"/>
  <c r="U187" i="18"/>
  <c r="U188" i="18"/>
  <c r="U191" i="18"/>
  <c r="U195" i="18"/>
  <c r="U196" i="18"/>
  <c r="U197" i="18"/>
  <c r="U198" i="18"/>
  <c r="U200" i="18"/>
  <c r="U202" i="18"/>
  <c r="U203" i="18"/>
  <c r="U209" i="18"/>
  <c r="U210" i="18"/>
  <c r="U213" i="18"/>
  <c r="U215" i="18"/>
  <c r="U216" i="18"/>
  <c r="U217" i="18"/>
  <c r="U219" i="18"/>
  <c r="U220" i="18"/>
  <c r="U221" i="18"/>
  <c r="U223" i="18"/>
  <c r="U224" i="18"/>
  <c r="U225" i="18"/>
  <c r="U227" i="18"/>
  <c r="U228" i="18"/>
  <c r="U230" i="18"/>
  <c r="U234" i="18"/>
  <c r="U238" i="18"/>
  <c r="U241" i="18"/>
  <c r="U242" i="18"/>
  <c r="U245" i="18"/>
  <c r="U246" i="18"/>
  <c r="U247" i="18"/>
  <c r="U251" i="18"/>
  <c r="L2" i="17"/>
  <c r="L3" i="17"/>
  <c r="L4" i="17"/>
  <c r="L5" i="17"/>
  <c r="L6" i="17"/>
  <c r="L7" i="17"/>
  <c r="L302" i="17"/>
  <c r="L8" i="17"/>
  <c r="L9" i="17"/>
  <c r="L10" i="17"/>
  <c r="L11" i="17"/>
  <c r="L12" i="17"/>
  <c r="L13" i="17"/>
  <c r="L303" i="17"/>
  <c r="L14" i="17"/>
  <c r="L15" i="17"/>
  <c r="L16" i="17"/>
  <c r="L17" i="17"/>
  <c r="L18" i="17"/>
  <c r="L19" i="17"/>
  <c r="L304" i="17"/>
  <c r="L20" i="17"/>
  <c r="L21" i="17"/>
  <c r="L22" i="17"/>
  <c r="L23" i="17"/>
  <c r="L24" i="17"/>
  <c r="L25" i="17"/>
  <c r="L305" i="17"/>
  <c r="L26" i="17"/>
  <c r="L27" i="17"/>
  <c r="L28" i="17"/>
  <c r="L29" i="17"/>
  <c r="L30" i="17"/>
  <c r="L31" i="17"/>
  <c r="L306" i="17"/>
  <c r="L32" i="17"/>
  <c r="L33" i="17"/>
  <c r="L34" i="17"/>
  <c r="L35" i="17"/>
  <c r="L36" i="17"/>
  <c r="L37" i="17"/>
  <c r="L307" i="17"/>
  <c r="L38" i="17"/>
  <c r="L39" i="17"/>
  <c r="L40" i="17"/>
  <c r="L41" i="17"/>
  <c r="L42" i="17"/>
  <c r="L43" i="17"/>
  <c r="L308" i="17"/>
  <c r="L44" i="17"/>
  <c r="L45" i="17"/>
  <c r="L46" i="17"/>
  <c r="L47" i="17"/>
  <c r="L48" i="17"/>
  <c r="L49" i="17"/>
  <c r="L309" i="17"/>
  <c r="L50" i="17"/>
  <c r="L51" i="17"/>
  <c r="L52" i="17"/>
  <c r="L53" i="17"/>
  <c r="L54" i="17"/>
  <c r="L55" i="17"/>
  <c r="L310" i="17"/>
  <c r="L56" i="17"/>
  <c r="L57" i="17"/>
  <c r="L58" i="17"/>
  <c r="L59" i="17"/>
  <c r="L60" i="17"/>
  <c r="L61" i="17"/>
  <c r="L311" i="17"/>
  <c r="L62" i="17"/>
  <c r="L63" i="17"/>
  <c r="L64" i="17"/>
  <c r="L65" i="17"/>
  <c r="L66" i="17"/>
  <c r="L67" i="17"/>
  <c r="L312" i="17"/>
  <c r="L68" i="17"/>
  <c r="L69" i="17"/>
  <c r="L70" i="17"/>
  <c r="L71" i="17"/>
  <c r="L72" i="17"/>
  <c r="L73" i="17"/>
  <c r="L313" i="17"/>
  <c r="L74" i="17"/>
  <c r="L75" i="17"/>
  <c r="L76" i="17"/>
  <c r="L77" i="17"/>
  <c r="L78" i="17"/>
  <c r="L79" i="17"/>
  <c r="L314" i="17"/>
  <c r="L80" i="17"/>
  <c r="L81" i="17"/>
  <c r="L82" i="17"/>
  <c r="L83" i="17"/>
  <c r="L84" i="17"/>
  <c r="L85" i="17"/>
  <c r="L315" i="17"/>
  <c r="L86" i="17"/>
  <c r="L87" i="17"/>
  <c r="L88" i="17"/>
  <c r="L89" i="17"/>
  <c r="L90" i="17"/>
  <c r="L91" i="17"/>
  <c r="L316" i="17"/>
  <c r="L92" i="17"/>
  <c r="L93" i="17"/>
  <c r="L94" i="17"/>
  <c r="L95" i="17"/>
  <c r="L96" i="17"/>
  <c r="L97" i="17"/>
  <c r="L317" i="17"/>
  <c r="L98" i="17"/>
  <c r="L99" i="17"/>
  <c r="L100" i="17"/>
  <c r="L101" i="17"/>
  <c r="L102" i="17"/>
  <c r="L103" i="17"/>
  <c r="L318" i="17"/>
  <c r="L104" i="17"/>
  <c r="L105" i="17"/>
  <c r="L106" i="17"/>
  <c r="L107" i="17"/>
  <c r="L108" i="17"/>
  <c r="L109" i="17"/>
  <c r="L319" i="17"/>
  <c r="L110" i="17"/>
  <c r="L111" i="17"/>
  <c r="L112" i="17"/>
  <c r="L113" i="17"/>
  <c r="L114" i="17"/>
  <c r="L115" i="17"/>
  <c r="L320" i="17"/>
  <c r="L116" i="17"/>
  <c r="L117" i="17"/>
  <c r="L118" i="17"/>
  <c r="L119" i="17"/>
  <c r="L120" i="17"/>
  <c r="L121" i="17"/>
  <c r="L321" i="17"/>
  <c r="L122" i="17"/>
  <c r="L123" i="17"/>
  <c r="L124" i="17"/>
  <c r="L125" i="17"/>
  <c r="L126" i="17"/>
  <c r="L127" i="17"/>
  <c r="L322" i="17"/>
  <c r="L128" i="17"/>
  <c r="L129" i="17"/>
  <c r="L130" i="17"/>
  <c r="L131" i="17"/>
  <c r="L132" i="17"/>
  <c r="L133" i="17"/>
  <c r="L323" i="17"/>
  <c r="L134" i="17"/>
  <c r="L135" i="17"/>
  <c r="L136" i="17"/>
  <c r="L137" i="17"/>
  <c r="L138" i="17"/>
  <c r="L139" i="17"/>
  <c r="L324" i="17"/>
  <c r="L140" i="17"/>
  <c r="L141" i="17"/>
  <c r="L142" i="17"/>
  <c r="L143" i="17"/>
  <c r="L144" i="17"/>
  <c r="L145" i="17"/>
  <c r="L325" i="17"/>
  <c r="L146" i="17"/>
  <c r="L147" i="17"/>
  <c r="L148" i="17"/>
  <c r="L149" i="17"/>
  <c r="L150" i="17"/>
  <c r="L151" i="17"/>
  <c r="L326" i="17"/>
  <c r="L152" i="17"/>
  <c r="L153" i="17"/>
  <c r="L154" i="17"/>
  <c r="L155" i="17"/>
  <c r="L156" i="17"/>
  <c r="L157" i="17"/>
  <c r="L327" i="17"/>
  <c r="L158" i="17"/>
  <c r="L159" i="17"/>
  <c r="L160" i="17"/>
  <c r="L161" i="17"/>
  <c r="L162" i="17"/>
  <c r="L163" i="17"/>
  <c r="L328" i="17"/>
  <c r="L164" i="17"/>
  <c r="L165" i="17"/>
  <c r="L166" i="17"/>
  <c r="L167" i="17"/>
  <c r="L168" i="17"/>
  <c r="L169" i="17"/>
  <c r="L329" i="17"/>
  <c r="L170" i="17"/>
  <c r="L171" i="17"/>
  <c r="L172" i="17"/>
  <c r="L173" i="17"/>
  <c r="L174" i="17"/>
  <c r="L175" i="17"/>
  <c r="L330" i="17"/>
  <c r="L176" i="17"/>
  <c r="L177" i="17"/>
  <c r="L178" i="17"/>
  <c r="L179" i="17"/>
  <c r="L180" i="17"/>
  <c r="L181" i="17"/>
  <c r="L331" i="17"/>
  <c r="L182" i="17"/>
  <c r="L183" i="17"/>
  <c r="L184" i="17"/>
  <c r="L185" i="17"/>
  <c r="L186" i="17"/>
  <c r="L187" i="17"/>
  <c r="L332" i="17"/>
  <c r="L188" i="17"/>
  <c r="L189" i="17"/>
  <c r="L190" i="17"/>
  <c r="L191" i="17"/>
  <c r="L192" i="17"/>
  <c r="L193" i="17"/>
  <c r="L333" i="17"/>
  <c r="L194" i="17"/>
  <c r="L195" i="17"/>
  <c r="L196" i="17"/>
  <c r="L197" i="17"/>
  <c r="L198" i="17"/>
  <c r="L199" i="17"/>
  <c r="L334" i="17"/>
  <c r="L200" i="17"/>
  <c r="L201" i="17"/>
  <c r="L202" i="17"/>
  <c r="L203" i="17"/>
  <c r="L204" i="17"/>
  <c r="L205" i="17"/>
  <c r="L335" i="17"/>
  <c r="L206" i="17"/>
  <c r="L207" i="17"/>
  <c r="N13" i="17" s="1" a="1"/>
  <c r="N13" i="17" s="1"/>
  <c r="L208" i="17"/>
  <c r="L209" i="17"/>
  <c r="L210" i="17"/>
  <c r="L211" i="17"/>
  <c r="L336" i="17"/>
  <c r="L212" i="17"/>
  <c r="L213" i="17"/>
  <c r="L214" i="17"/>
  <c r="L215" i="17"/>
  <c r="L216" i="17"/>
  <c r="L217" i="17"/>
  <c r="L337" i="17"/>
  <c r="L218" i="17"/>
  <c r="L219" i="17"/>
  <c r="L220" i="17"/>
  <c r="L221" i="17"/>
  <c r="L222" i="17"/>
  <c r="L223" i="17"/>
  <c r="L338" i="17"/>
  <c r="L224" i="17"/>
  <c r="L225" i="17"/>
  <c r="L226" i="17"/>
  <c r="L227" i="17"/>
  <c r="L228" i="17"/>
  <c r="L229" i="17"/>
  <c r="L339" i="17"/>
  <c r="L230" i="17"/>
  <c r="L231" i="17"/>
  <c r="L232" i="17"/>
  <c r="L233" i="17"/>
  <c r="L234" i="17"/>
  <c r="L235" i="17"/>
  <c r="L340" i="17"/>
  <c r="L236" i="17"/>
  <c r="L237" i="17"/>
  <c r="L238" i="17"/>
  <c r="L239" i="17"/>
  <c r="L240" i="17"/>
  <c r="L241" i="17"/>
  <c r="L341" i="17"/>
  <c r="L242" i="17"/>
  <c r="L243" i="17"/>
  <c r="L244" i="17"/>
  <c r="L245" i="17"/>
  <c r="L246" i="17"/>
  <c r="L247" i="17"/>
  <c r="L342" i="17"/>
  <c r="L248" i="17"/>
  <c r="N12" i="17" s="1" a="1"/>
  <c r="N12" i="17" s="1"/>
  <c r="L249" i="17"/>
  <c r="L250" i="17"/>
  <c r="L251" i="17"/>
  <c r="L252" i="17"/>
  <c r="L253" i="17"/>
  <c r="L343" i="17"/>
  <c r="L254" i="17"/>
  <c r="L255" i="17"/>
  <c r="L256" i="17"/>
  <c r="L257" i="17"/>
  <c r="L258" i="17"/>
  <c r="L259" i="17"/>
  <c r="L344" i="17"/>
  <c r="L260" i="17"/>
  <c r="L261" i="17"/>
  <c r="L262" i="17"/>
  <c r="L263" i="17"/>
  <c r="L264" i="17"/>
  <c r="L265" i="17"/>
  <c r="L345" i="17"/>
  <c r="L266" i="17"/>
  <c r="L267" i="17"/>
  <c r="L268" i="17"/>
  <c r="L269" i="17"/>
  <c r="L270" i="17"/>
  <c r="L271" i="17"/>
  <c r="L346" i="17"/>
  <c r="L272" i="17"/>
  <c r="L273" i="17"/>
  <c r="L274" i="17"/>
  <c r="L275" i="17"/>
  <c r="L276" i="17"/>
  <c r="L277" i="17"/>
  <c r="L347" i="17"/>
  <c r="L278" i="17"/>
  <c r="L279" i="17"/>
  <c r="L280" i="17"/>
  <c r="L281" i="17"/>
  <c r="L282" i="17"/>
  <c r="L283" i="17"/>
  <c r="L348" i="17"/>
  <c r="L284" i="17"/>
  <c r="L285" i="17"/>
  <c r="L286" i="17"/>
  <c r="L287" i="17"/>
  <c r="L288" i="17"/>
  <c r="L289" i="17"/>
  <c r="L349" i="17"/>
  <c r="L290" i="17"/>
  <c r="L291" i="17"/>
  <c r="L292" i="17"/>
  <c r="L293" i="17"/>
  <c r="L294" i="17"/>
  <c r="L295" i="17"/>
  <c r="L350" i="17"/>
  <c r="L296" i="17"/>
  <c r="L297" i="17"/>
  <c r="L298" i="17"/>
  <c r="L299" i="17"/>
  <c r="L300" i="17"/>
  <c r="L301" i="17"/>
  <c r="L35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03" i="17" a="1"/>
  <c r="M30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04" i="17" a="1"/>
  <c r="M304" i="17" s="1"/>
  <c r="M20" i="17" a="1"/>
  <c r="M20" i="17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5" i="17" a="1"/>
  <c r="M30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06" i="17" a="1"/>
  <c r="M30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07" i="17" a="1"/>
  <c r="M30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08" i="17" a="1"/>
  <c r="M308" i="17" s="1"/>
  <c r="M44" i="17" a="1"/>
  <c r="M44" i="17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09" i="17" a="1"/>
  <c r="M30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0" i="17" a="1"/>
  <c r="M31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11" i="17" a="1"/>
  <c r="M31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312" i="17" a="1"/>
  <c r="M31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13" i="17" a="1"/>
  <c r="M313" i="17" s="1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 s="1"/>
  <c r="M314" i="17" a="1"/>
  <c r="M31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315" i="17" a="1"/>
  <c r="M31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316" i="17" a="1"/>
  <c r="M31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317" i="17" a="1"/>
  <c r="M317" i="17" s="1"/>
  <c r="M98" i="17" a="1"/>
  <c r="M98" i="17" s="1"/>
  <c r="M99" i="17" a="1"/>
  <c r="M99" i="17"/>
  <c r="M100" i="17" a="1"/>
  <c r="M100" i="17" s="1"/>
  <c r="M101" i="17" a="1"/>
  <c r="M101" i="17" s="1"/>
  <c r="M102" i="17" a="1"/>
  <c r="M102" i="17" s="1"/>
  <c r="M103" i="17" a="1"/>
  <c r="M103" i="17" s="1"/>
  <c r="M318" i="17" a="1"/>
  <c r="M31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19" i="17" a="1"/>
  <c r="M31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20" i="17" a="1"/>
  <c r="M32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321" i="17" a="1"/>
  <c r="M32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322" i="17" a="1"/>
  <c r="M32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23" i="17" a="1"/>
  <c r="M32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24" i="17" a="1"/>
  <c r="M32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325" i="17" a="1"/>
  <c r="M32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26" i="17" a="1"/>
  <c r="M32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27" i="17" a="1"/>
  <c r="M32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28" i="17" a="1"/>
  <c r="M32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29" i="17" a="1"/>
  <c r="M32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330" i="17" a="1"/>
  <c r="M33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331" i="17" a="1"/>
  <c r="M331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 s="1"/>
  <c r="M332" i="17" a="1"/>
  <c r="M332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33" i="17" a="1"/>
  <c r="M333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/>
  <c r="M334" i="17" a="1"/>
  <c r="M334" i="17" s="1"/>
  <c r="M200" i="17" a="1"/>
  <c r="M200" i="17" s="1"/>
  <c r="M201" i="17" a="1"/>
  <c r="M201" i="17" s="1"/>
  <c r="M202" i="17" a="1"/>
  <c r="M202" i="17" s="1"/>
  <c r="Y202" i="17" s="1"/>
  <c r="Q202" i="17" s="1"/>
  <c r="W202" i="17" s="1"/>
  <c r="M203" i="17" a="1"/>
  <c r="M203" i="17" s="1"/>
  <c r="M204" i="17" a="1"/>
  <c r="M204" i="17" s="1"/>
  <c r="M205" i="17" a="1"/>
  <c r="M205" i="17" s="1"/>
  <c r="M335" i="17" a="1"/>
  <c r="M335" i="17" s="1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36" i="17" a="1"/>
  <c r="M336" i="17" s="1"/>
  <c r="M212" i="17" a="1"/>
  <c r="M212" i="17" s="1"/>
  <c r="Y212" i="17" s="1"/>
  <c r="Q212" i="17" s="1"/>
  <c r="W212" i="17" s="1"/>
  <c r="M213" i="17" a="1"/>
  <c r="M213" i="17" s="1"/>
  <c r="Y213" i="17" s="1"/>
  <c r="Q213" i="17" s="1"/>
  <c r="W213" i="17" s="1"/>
  <c r="M214" i="17" a="1"/>
  <c r="M214" i="17" s="1"/>
  <c r="M215" i="17" a="1"/>
  <c r="M215" i="17" s="1"/>
  <c r="M216" i="17" a="1"/>
  <c r="M216" i="17" s="1"/>
  <c r="M217" i="17" a="1"/>
  <c r="M217" i="17" s="1"/>
  <c r="M337" i="17" a="1"/>
  <c r="M337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38" i="17" a="1"/>
  <c r="M338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39" i="17" a="1"/>
  <c r="M339" i="17" s="1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40" i="17" a="1"/>
  <c r="M340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Y240" i="17" s="1"/>
  <c r="Q240" i="17" s="1"/>
  <c r="W240" i="17" s="1"/>
  <c r="M241" i="17" a="1"/>
  <c r="M241" i="17" s="1"/>
  <c r="M341" i="17" a="1"/>
  <c r="M34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42" i="17" a="1"/>
  <c r="M342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43" i="17" a="1"/>
  <c r="M343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44" i="17" a="1"/>
  <c r="M344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45" i="17" a="1"/>
  <c r="M345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46" i="17" a="1"/>
  <c r="M346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47" i="17" a="1"/>
  <c r="M347" i="17" s="1"/>
  <c r="M278" i="17" a="1"/>
  <c r="M278" i="17" s="1"/>
  <c r="M279" i="17" a="1"/>
  <c r="M279" i="17" s="1"/>
  <c r="M280" i="17" a="1"/>
  <c r="M280" i="17" s="1"/>
  <c r="M281" i="17" a="1"/>
  <c r="M281" i="17" s="1"/>
  <c r="M282" i="17" a="1"/>
  <c r="M282" i="17" s="1"/>
  <c r="M283" i="17" a="1"/>
  <c r="M283" i="17" s="1"/>
  <c r="M348" i="17" a="1"/>
  <c r="M348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349" i="17" a="1"/>
  <c r="M349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 s="1"/>
  <c r="Y294" i="17" s="1"/>
  <c r="Q294" i="17" s="1"/>
  <c r="W294" i="17" s="1"/>
  <c r="M295" i="17" a="1"/>
  <c r="M295" i="17" s="1"/>
  <c r="M350" i="17" a="1"/>
  <c r="M350" i="17" s="1"/>
  <c r="M296" i="17" a="1"/>
  <c r="M296" i="17" s="1"/>
  <c r="M297" i="17" a="1"/>
  <c r="M297" i="17"/>
  <c r="M298" i="17" a="1"/>
  <c r="M298" i="17" s="1"/>
  <c r="M299" i="17" a="1"/>
  <c r="M299" i="17" s="1"/>
  <c r="M300" i="17" a="1"/>
  <c r="M300" i="17" s="1"/>
  <c r="M301" i="17" a="1"/>
  <c r="M301" i="17"/>
  <c r="M351" i="17" a="1"/>
  <c r="M351" i="17" s="1"/>
  <c r="N8" i="17" a="1"/>
  <c r="N8" i="17" s="1"/>
  <c r="N11" i="17" a="1"/>
  <c r="N11" i="17" s="1"/>
  <c r="N303" i="17" a="1"/>
  <c r="N303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304" i="17" a="1"/>
  <c r="N304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305" i="17" a="1"/>
  <c r="N305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06" i="17" a="1"/>
  <c r="N306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307" i="17" a="1"/>
  <c r="N307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308" i="17" a="1"/>
  <c r="N308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309" i="17" a="1"/>
  <c r="N30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310" i="17" a="1"/>
  <c r="N310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311" i="17" a="1"/>
  <c r="N31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312" i="17" a="1"/>
  <c r="N312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313" i="17" a="1"/>
  <c r="N313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314" i="17" a="1"/>
  <c r="N314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315" i="17" a="1"/>
  <c r="N315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316" i="17" a="1"/>
  <c r="N316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317" i="17" a="1"/>
  <c r="N317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318" i="17" a="1"/>
  <c r="N318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319" i="17" a="1"/>
  <c r="N319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320" i="17" a="1"/>
  <c r="N320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1" i="17" a="1"/>
  <c r="N121" i="17" s="1"/>
  <c r="N321" i="17" a="1"/>
  <c r="N32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322" i="17" a="1"/>
  <c r="N322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323" i="17" a="1"/>
  <c r="N323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324" i="17" a="1"/>
  <c r="N324" i="17" s="1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325" i="17" a="1"/>
  <c r="N325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26" i="17" a="1"/>
  <c r="N326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27" i="17" a="1"/>
  <c r="N327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28" i="17" a="1"/>
  <c r="N328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329" i="17" a="1"/>
  <c r="N329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330" i="17" a="1"/>
  <c r="N330" i="17" s="1"/>
  <c r="N176" i="17" a="1"/>
  <c r="N176" i="17" s="1"/>
  <c r="N177" i="17" a="1"/>
  <c r="N177" i="17" s="1"/>
  <c r="N178" i="17" a="1"/>
  <c r="N178" i="17" s="1"/>
  <c r="N179" i="17" a="1"/>
  <c r="N179" i="17"/>
  <c r="N180" i="17" a="1"/>
  <c r="N180" i="17" s="1"/>
  <c r="N181" i="17" a="1"/>
  <c r="N181" i="17" s="1"/>
  <c r="N331" i="17" a="1"/>
  <c r="N33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332" i="17" a="1"/>
  <c r="N332" i="17" s="1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33" i="17" a="1"/>
  <c r="N333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34" i="17" a="1"/>
  <c r="N334" i="17" s="1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35" i="17" a="1"/>
  <c r="N335" i="17" s="1"/>
  <c r="N206" i="17" a="1"/>
  <c r="N206" i="17" s="1"/>
  <c r="N207" i="17" a="1"/>
  <c r="N207" i="17" s="1"/>
  <c r="N208" i="17" a="1"/>
  <c r="N208" i="17"/>
  <c r="N209" i="17" a="1"/>
  <c r="N209" i="17" s="1"/>
  <c r="N210" i="17" a="1"/>
  <c r="N210" i="17" s="1"/>
  <c r="N211" i="17" a="1"/>
  <c r="N211" i="17" s="1"/>
  <c r="N336" i="17" a="1"/>
  <c r="N336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37" i="17" a="1"/>
  <c r="N337" i="17" s="1"/>
  <c r="N218" i="17" a="1"/>
  <c r="N218" i="17" s="1"/>
  <c r="N219" i="17" a="1"/>
  <c r="N219" i="17"/>
  <c r="N220" i="17" a="1"/>
  <c r="N220" i="17" s="1"/>
  <c r="N221" i="17" a="1"/>
  <c r="N221" i="17" s="1"/>
  <c r="N222" i="17" a="1"/>
  <c r="N222" i="17" s="1"/>
  <c r="N223" i="17" a="1"/>
  <c r="N223" i="17" s="1"/>
  <c r="N338" i="17" a="1"/>
  <c r="N338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39" i="17" a="1"/>
  <c r="N339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 s="1"/>
  <c r="N235" i="17" a="1"/>
  <c r="N235" i="17" s="1"/>
  <c r="N340" i="17" a="1"/>
  <c r="N340" i="17" s="1"/>
  <c r="N236" i="17" a="1"/>
  <c r="N236" i="17" s="1"/>
  <c r="N237" i="17" a="1"/>
  <c r="N237" i="17"/>
  <c r="N238" i="17" a="1"/>
  <c r="N238" i="17" s="1"/>
  <c r="N239" i="17" a="1"/>
  <c r="N239" i="17" s="1"/>
  <c r="N240" i="17" a="1"/>
  <c r="N240" i="17" s="1"/>
  <c r="N241" i="17" a="1"/>
  <c r="N241" i="17" s="1"/>
  <c r="N341" i="17" a="1"/>
  <c r="N34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42" i="17" a="1"/>
  <c r="N342" i="17" s="1"/>
  <c r="N248" i="17" a="1"/>
  <c r="N248" i="17" s="1"/>
  <c r="N249" i="17" a="1"/>
  <c r="N249" i="17" s="1"/>
  <c r="N250" i="17" a="1"/>
  <c r="N250" i="17" s="1"/>
  <c r="N251" i="17" a="1"/>
  <c r="N251" i="17"/>
  <c r="N252" i="17" a="1"/>
  <c r="N252" i="17" s="1"/>
  <c r="N253" i="17" a="1"/>
  <c r="N253" i="17" s="1"/>
  <c r="N343" i="17" a="1"/>
  <c r="N343" i="17" s="1"/>
  <c r="N254" i="17" a="1"/>
  <c r="N254" i="17" s="1"/>
  <c r="N255" i="17" a="1"/>
  <c r="N255" i="17" s="1"/>
  <c r="N256" i="17" a="1"/>
  <c r="N256" i="17" s="1"/>
  <c r="N257" i="17" a="1"/>
  <c r="N257" i="17"/>
  <c r="N258" i="17" a="1"/>
  <c r="N258" i="17" s="1"/>
  <c r="N259" i="17" a="1"/>
  <c r="N259" i="17" s="1"/>
  <c r="N344" i="17" a="1"/>
  <c r="N344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 s="1"/>
  <c r="N265" i="17" a="1"/>
  <c r="N265" i="17" s="1"/>
  <c r="N345" i="17" a="1"/>
  <c r="N345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46" i="17" a="1"/>
  <c r="N346" i="17" s="1"/>
  <c r="N272" i="17" a="1"/>
  <c r="N272" i="17" s="1"/>
  <c r="N273" i="17" a="1"/>
  <c r="N273" i="17" s="1"/>
  <c r="N274" i="17" a="1"/>
  <c r="N274" i="17" s="1"/>
  <c r="N275" i="17" a="1"/>
  <c r="N275" i="17"/>
  <c r="N276" i="17" a="1"/>
  <c r="N276" i="17" s="1"/>
  <c r="N277" i="17" a="1"/>
  <c r="N277" i="17"/>
  <c r="N347" i="17" a="1"/>
  <c r="N347" i="17" s="1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 s="1"/>
  <c r="N348" i="17" a="1"/>
  <c r="N348" i="17" s="1"/>
  <c r="N284" i="17" a="1"/>
  <c r="N284" i="17" s="1"/>
  <c r="N285" i="17" a="1"/>
  <c r="N285" i="17"/>
  <c r="N286" i="17" a="1"/>
  <c r="N286" i="17" s="1"/>
  <c r="N287" i="17" a="1"/>
  <c r="N287" i="17" s="1"/>
  <c r="N288" i="17" a="1"/>
  <c r="N288" i="17" s="1"/>
  <c r="N289" i="17" a="1"/>
  <c r="N289" i="17"/>
  <c r="N349" i="17" a="1"/>
  <c r="N349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50" i="17" a="1"/>
  <c r="N350" i="17" s="1"/>
  <c r="N296" i="17" a="1"/>
  <c r="N296" i="17" s="1"/>
  <c r="N297" i="17" a="1"/>
  <c r="N297" i="17" s="1"/>
  <c r="N298" i="17" a="1"/>
  <c r="N298" i="17" s="1"/>
  <c r="N299" i="17" a="1"/>
  <c r="N299" i="17"/>
  <c r="N300" i="17" a="1"/>
  <c r="N300" i="17" s="1"/>
  <c r="N301" i="17" a="1"/>
  <c r="N301" i="17"/>
  <c r="N351" i="17" a="1"/>
  <c r="N351" i="17" s="1"/>
  <c r="O2" i="17" a="1"/>
  <c r="O2" i="17" s="1"/>
  <c r="O3" i="17" a="1"/>
  <c r="O3" i="17" s="1"/>
  <c r="O4" i="17" a="1"/>
  <c r="O4" i="17"/>
  <c r="O5" i="17" a="1"/>
  <c r="O5" i="17" s="1"/>
  <c r="O6" i="17" a="1"/>
  <c r="O6" i="17" s="1"/>
  <c r="O7" i="17" a="1"/>
  <c r="O7" i="17" s="1"/>
  <c r="O302" i="17" a="1"/>
  <c r="O30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3" i="17" a="1"/>
  <c r="O30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4" i="17" a="1"/>
  <c r="O30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5" i="17" a="1"/>
  <c r="O30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06" i="17" a="1"/>
  <c r="O30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07" i="17" a="1"/>
  <c r="O307" i="17" s="1"/>
  <c r="O38" i="17" a="1"/>
  <c r="O38" i="17" s="1"/>
  <c r="O39" i="17" a="1"/>
  <c r="O39" i="17" s="1"/>
  <c r="O40" i="17" a="1"/>
  <c r="O40" i="17"/>
  <c r="O41" i="17" a="1"/>
  <c r="O41" i="17" s="1"/>
  <c r="O42" i="17" a="1"/>
  <c r="O42" i="17" s="1"/>
  <c r="O43" i="17" a="1"/>
  <c r="O43" i="17" s="1"/>
  <c r="O308" i="17" a="1"/>
  <c r="O30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09" i="17" a="1"/>
  <c r="O30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/>
  <c r="O55" i="17" a="1"/>
  <c r="O55" i="17" s="1"/>
  <c r="O310" i="17" a="1"/>
  <c r="O31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11" i="17" a="1"/>
  <c r="O31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12" i="17" a="1"/>
  <c r="O312" i="17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313" i="17" a="1"/>
  <c r="O31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14" i="17" a="1"/>
  <c r="O314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15" i="17" a="1"/>
  <c r="O31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16" i="17" a="1"/>
  <c r="O316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317" i="17" a="1"/>
  <c r="O317" i="17" s="1"/>
  <c r="O98" i="17" a="1"/>
  <c r="O98" i="17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18" i="17" a="1"/>
  <c r="O31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19" i="17" a="1"/>
  <c r="O31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20" i="17" a="1"/>
  <c r="O32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21" i="17" a="1"/>
  <c r="O32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322" i="17" a="1"/>
  <c r="O322" i="17" s="1"/>
  <c r="O128" i="17" a="1"/>
  <c r="O128" i="17" s="1"/>
  <c r="O129" i="17" a="1"/>
  <c r="O129" i="17"/>
  <c r="O130" i="17" a="1"/>
  <c r="O130" i="17" s="1"/>
  <c r="O131" i="17" a="1"/>
  <c r="O131" i="17" s="1"/>
  <c r="O132" i="17" a="1"/>
  <c r="O132" i="17" s="1"/>
  <c r="O133" i="17" a="1"/>
  <c r="O133" i="17" s="1"/>
  <c r="O323" i="17" a="1"/>
  <c r="O32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24" i="17" a="1"/>
  <c r="O32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325" i="17" a="1"/>
  <c r="O32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26" i="17" a="1"/>
  <c r="O326" i="17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27" i="17" a="1"/>
  <c r="O32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328" i="17" a="1"/>
  <c r="O32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29" i="17" a="1"/>
  <c r="O32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330" i="17" a="1"/>
  <c r="O33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331" i="17" a="1"/>
  <c r="O33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32" i="17" a="1"/>
  <c r="O332" i="17" s="1"/>
  <c r="O188" i="17" a="1"/>
  <c r="O188" i="17" s="1"/>
  <c r="O189" i="17" a="1"/>
  <c r="O189" i="17" s="1"/>
  <c r="O190" i="17" a="1"/>
  <c r="O190" i="17" s="1"/>
  <c r="O191" i="17" a="1"/>
  <c r="O191" i="17" s="1"/>
  <c r="O192" i="17" a="1"/>
  <c r="O192" i="17" s="1"/>
  <c r="O193" i="17" a="1"/>
  <c r="O193" i="17" s="1"/>
  <c r="O333" i="17" a="1"/>
  <c r="O333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 s="1"/>
  <c r="O334" i="17" a="1"/>
  <c r="O334" i="17" s="1"/>
  <c r="O200" i="17" a="1"/>
  <c r="O200" i="17" s="1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 s="1"/>
  <c r="O335" i="17" a="1"/>
  <c r="O335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36" i="17" a="1"/>
  <c r="O336" i="17" s="1"/>
  <c r="O212" i="17" a="1"/>
  <c r="O212" i="17" s="1"/>
  <c r="O213" i="17" a="1"/>
  <c r="O213" i="17" s="1"/>
  <c r="O214" i="17" a="1"/>
  <c r="O214" i="17" s="1"/>
  <c r="O215" i="17" a="1"/>
  <c r="O215" i="17" s="1"/>
  <c r="O216" i="17" a="1"/>
  <c r="O216" i="17" s="1"/>
  <c r="O217" i="17" a="1"/>
  <c r="O217" i="17" s="1"/>
  <c r="O337" i="17" a="1"/>
  <c r="O337" i="17" s="1"/>
  <c r="O218" i="17" a="1"/>
  <c r="O218" i="17" s="1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 s="1"/>
  <c r="O338" i="17" a="1"/>
  <c r="O338" i="17" s="1"/>
  <c r="O224" i="17" a="1"/>
  <c r="O224" i="17" s="1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39" i="17" a="1"/>
  <c r="O339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 s="1"/>
  <c r="O340" i="17" a="1"/>
  <c r="O340" i="17" s="1"/>
  <c r="O236" i="17" a="1"/>
  <c r="O236" i="17" s="1"/>
  <c r="O237" i="17" a="1"/>
  <c r="O237" i="17" s="1"/>
  <c r="O238" i="17" a="1"/>
  <c r="O238" i="17" s="1"/>
  <c r="O239" i="17" a="1"/>
  <c r="O239" i="17"/>
  <c r="O240" i="17" a="1"/>
  <c r="O240" i="17" s="1"/>
  <c r="O241" i="17" a="1"/>
  <c r="O241" i="17" s="1"/>
  <c r="O341" i="17" a="1"/>
  <c r="O341" i="17" s="1"/>
  <c r="O242" i="17" a="1"/>
  <c r="O242" i="17"/>
  <c r="O243" i="17" a="1"/>
  <c r="O243" i="17" s="1"/>
  <c r="O244" i="17" a="1"/>
  <c r="O244" i="17" s="1"/>
  <c r="O245" i="17" a="1"/>
  <c r="O245" i="17" s="1"/>
  <c r="O246" i="17" a="1"/>
  <c r="O246" i="17" s="1"/>
  <c r="O247" i="17" a="1"/>
  <c r="O247" i="17"/>
  <c r="O342" i="17" a="1"/>
  <c r="O342" i="17" s="1"/>
  <c r="O248" i="17" a="1"/>
  <c r="O248" i="17" s="1"/>
  <c r="O249" i="17" a="1"/>
  <c r="O249" i="17" s="1"/>
  <c r="O250" i="17" a="1"/>
  <c r="O250" i="17"/>
  <c r="O251" i="17" a="1"/>
  <c r="O251" i="17" s="1"/>
  <c r="O252" i="17" a="1"/>
  <c r="O252" i="17" s="1"/>
  <c r="O253" i="17" a="1"/>
  <c r="O253" i="17" s="1"/>
  <c r="O343" i="17" a="1"/>
  <c r="O343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/>
  <c r="O344" i="17" a="1"/>
  <c r="O344" i="17" s="1"/>
  <c r="O260" i="17" a="1"/>
  <c r="O260" i="17" s="1"/>
  <c r="O261" i="17" a="1"/>
  <c r="O261" i="17" s="1"/>
  <c r="O262" i="17" a="1"/>
  <c r="O262" i="17" s="1"/>
  <c r="O263" i="17" a="1"/>
  <c r="O263" i="17" s="1"/>
  <c r="O264" i="17" a="1"/>
  <c r="O264" i="17" s="1"/>
  <c r="O265" i="17" a="1"/>
  <c r="O265" i="17" s="1"/>
  <c r="O345" i="17" a="1"/>
  <c r="O345" i="17" s="1"/>
  <c r="O266" i="17" a="1"/>
  <c r="O266" i="17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46" i="17" a="1"/>
  <c r="O346" i="17" s="1"/>
  <c r="O272" i="17" a="1"/>
  <c r="O272" i="17" s="1"/>
  <c r="O273" i="17" a="1"/>
  <c r="O273" i="17" s="1"/>
  <c r="O274" i="17" a="1"/>
  <c r="O274" i="17"/>
  <c r="O275" i="17" a="1"/>
  <c r="O275" i="17" s="1"/>
  <c r="O276" i="17" a="1"/>
  <c r="O276" i="17" s="1"/>
  <c r="O277" i="17" a="1"/>
  <c r="O277" i="17" s="1"/>
  <c r="O347" i="17" a="1"/>
  <c r="O347" i="17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48" i="17" a="1"/>
  <c r="O348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49" i="17" a="1"/>
  <c r="O349" i="17" s="1"/>
  <c r="O290" i="17" a="1"/>
  <c r="O290" i="17" s="1"/>
  <c r="O291" i="17" a="1"/>
  <c r="O291" i="17" s="1"/>
  <c r="O292" i="17" a="1"/>
  <c r="O292" i="17" s="1"/>
  <c r="O293" i="17" a="1"/>
  <c r="O293" i="17" s="1"/>
  <c r="O294" i="17" a="1"/>
  <c r="O294" i="17" s="1"/>
  <c r="O295" i="17" a="1"/>
  <c r="O295" i="17" s="1"/>
  <c r="O350" i="17" a="1"/>
  <c r="O350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 s="1"/>
  <c r="O351" i="17" a="1"/>
  <c r="O35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3" i="17" a="1"/>
  <c r="P303" i="17" s="1"/>
  <c r="P14" i="17" a="1"/>
  <c r="P14" i="17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304" i="17" a="1"/>
  <c r="P30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05" i="17" a="1"/>
  <c r="P30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06" i="17" a="1"/>
  <c r="P306" i="17" s="1"/>
  <c r="P32" i="17" a="1"/>
  <c r="P32" i="17" s="1"/>
  <c r="P33" i="17" a="1"/>
  <c r="P33" i="17" s="1"/>
  <c r="P34" i="17" a="1"/>
  <c r="P34" i="17"/>
  <c r="P35" i="17" a="1"/>
  <c r="P35" i="17" s="1"/>
  <c r="P36" i="17" a="1"/>
  <c r="P36" i="17" s="1"/>
  <c r="P37" i="17" a="1"/>
  <c r="P37" i="17" s="1"/>
  <c r="P307" i="17" a="1"/>
  <c r="P30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08" i="17" a="1"/>
  <c r="P308" i="17" s="1"/>
  <c r="P44" i="17" a="1"/>
  <c r="P44" i="17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09" i="17" a="1"/>
  <c r="P30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0" i="17" a="1"/>
  <c r="P310" i="17" s="1"/>
  <c r="P56" i="17" a="1"/>
  <c r="P56" i="17" s="1"/>
  <c r="P57" i="17" a="1"/>
  <c r="P57" i="17" s="1"/>
  <c r="P58" i="17" a="1"/>
  <c r="P58" i="17" s="1"/>
  <c r="P59" i="17" a="1"/>
  <c r="P59" i="17"/>
  <c r="P60" i="17" a="1"/>
  <c r="P60" i="17" s="1"/>
  <c r="P61" i="17" a="1"/>
  <c r="P61" i="17" s="1"/>
  <c r="P311" i="17" a="1"/>
  <c r="P31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312" i="17" a="1"/>
  <c r="P312" i="17" s="1"/>
  <c r="P68" i="17" a="1"/>
  <c r="P68" i="17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313" i="17" a="1"/>
  <c r="P31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/>
  <c r="P314" i="17" a="1"/>
  <c r="P314" i="17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315" i="17" a="1"/>
  <c r="P315" i="17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16" i="17" a="1"/>
  <c r="P31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/>
  <c r="P97" i="17" a="1"/>
  <c r="P97" i="17" s="1"/>
  <c r="P317" i="17" a="1"/>
  <c r="P31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318" i="17" a="1"/>
  <c r="P31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19" i="17" a="1"/>
  <c r="P31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20" i="17" a="1"/>
  <c r="P32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21" i="17" a="1"/>
  <c r="P321" i="17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322" i="17" a="1"/>
  <c r="P322" i="17" s="1"/>
  <c r="P128" i="17" a="1"/>
  <c r="P128" i="17" s="1"/>
  <c r="P129" i="17" a="1"/>
  <c r="P129" i="17" s="1"/>
  <c r="P130" i="17" a="1"/>
  <c r="P130" i="17" s="1"/>
  <c r="P131" i="17" a="1"/>
  <c r="P131" i="17"/>
  <c r="P132" i="17" a="1"/>
  <c r="P132" i="17" s="1"/>
  <c r="P133" i="17" a="1"/>
  <c r="P133" i="17" s="1"/>
  <c r="P323" i="17" a="1"/>
  <c r="P32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324" i="17" a="1"/>
  <c r="P324" i="17" s="1"/>
  <c r="P140" i="17" a="1"/>
  <c r="P140" i="17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25" i="17" a="1"/>
  <c r="P32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26" i="17" a="1"/>
  <c r="P32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27" i="17" a="1"/>
  <c r="P32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328" i="17" a="1"/>
  <c r="P32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29" i="17" a="1"/>
  <c r="P32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30" i="17" a="1"/>
  <c r="P33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31" i="17" a="1"/>
  <c r="P331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332" i="17" a="1"/>
  <c r="P332" i="17" s="1"/>
  <c r="P188" i="17" a="1"/>
  <c r="P188" i="17"/>
  <c r="P189" i="17" a="1"/>
  <c r="P189" i="17" s="1"/>
  <c r="P190" i="17" a="1"/>
  <c r="P190" i="17" s="1"/>
  <c r="P191" i="17" a="1"/>
  <c r="P191" i="17" s="1"/>
  <c r="P192" i="17" a="1"/>
  <c r="P192" i="17" s="1"/>
  <c r="P193" i="17" a="1"/>
  <c r="P193" i="17" s="1"/>
  <c r="P333" i="17" a="1"/>
  <c r="P333" i="17" s="1"/>
  <c r="P194" i="17" a="1"/>
  <c r="P194" i="17" s="1"/>
  <c r="P195" i="17" a="1"/>
  <c r="P195" i="17" s="1"/>
  <c r="P196" i="17" a="1"/>
  <c r="P196" i="17"/>
  <c r="P197" i="17" a="1"/>
  <c r="P197" i="17" s="1"/>
  <c r="P198" i="17" a="1"/>
  <c r="P198" i="17" s="1"/>
  <c r="P199" i="17" a="1"/>
  <c r="P199" i="17" s="1"/>
  <c r="P334" i="17" a="1"/>
  <c r="P334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 s="1"/>
  <c r="P205" i="17" a="1"/>
  <c r="P205" i="17" s="1"/>
  <c r="P335" i="17" a="1"/>
  <c r="P335" i="17"/>
  <c r="P206" i="17" a="1"/>
  <c r="P206" i="17" s="1"/>
  <c r="P207" i="17" a="1"/>
  <c r="P207" i="17" s="1"/>
  <c r="P208" i="17" a="1"/>
  <c r="P208" i="17" s="1"/>
  <c r="P209" i="17" a="1"/>
  <c r="P209" i="17"/>
  <c r="P210" i="17" a="1"/>
  <c r="P210" i="17" s="1"/>
  <c r="P211" i="17" a="1"/>
  <c r="P211" i="17" s="1"/>
  <c r="P336" i="17" a="1"/>
  <c r="P336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37" i="17" a="1"/>
  <c r="P337" i="17" s="1"/>
  <c r="P218" i="17" a="1"/>
  <c r="P218" i="17" s="1"/>
  <c r="P219" i="17" a="1"/>
  <c r="P219" i="17" s="1"/>
  <c r="P220" i="17" a="1"/>
  <c r="P220" i="17" s="1"/>
  <c r="P221" i="17" a="1"/>
  <c r="P221" i="17" s="1"/>
  <c r="P222" i="17" a="1"/>
  <c r="P222" i="17" s="1"/>
  <c r="P223" i="17" a="1"/>
  <c r="P223" i="17" s="1"/>
  <c r="P338" i="17" a="1"/>
  <c r="P338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39" i="17" a="1"/>
  <c r="P339" i="17" s="1"/>
  <c r="P230" i="17" a="1"/>
  <c r="P230" i="17" s="1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340" i="17" a="1"/>
  <c r="P340" i="17" s="1"/>
  <c r="P236" i="17" a="1"/>
  <c r="P236" i="17" s="1"/>
  <c r="P237" i="17" a="1"/>
  <c r="P237" i="17" s="1"/>
  <c r="P238" i="17" a="1"/>
  <c r="P238" i="17" s="1"/>
  <c r="P239" i="17" a="1"/>
  <c r="P239" i="17" s="1"/>
  <c r="P240" i="17" a="1"/>
  <c r="P240" i="17" s="1"/>
  <c r="P241" i="17" a="1"/>
  <c r="P241" i="17" s="1"/>
  <c r="P341" i="17" a="1"/>
  <c r="P341" i="17" s="1"/>
  <c r="P242" i="17" a="1"/>
  <c r="P242" i="17" s="1"/>
  <c r="P243" i="17" a="1"/>
  <c r="P243" i="17" s="1"/>
  <c r="P244" i="17" a="1"/>
  <c r="P244" i="17" s="1"/>
  <c r="P245" i="17" a="1"/>
  <c r="P245" i="17" s="1"/>
  <c r="P246" i="17" a="1"/>
  <c r="P246" i="17" s="1"/>
  <c r="P247" i="17" a="1"/>
  <c r="P247" i="17" s="1"/>
  <c r="P342" i="17" a="1"/>
  <c r="P342" i="17" s="1"/>
  <c r="P248" i="17" a="1"/>
  <c r="P248" i="17" s="1"/>
  <c r="P249" i="17" a="1"/>
  <c r="P249" i="17"/>
  <c r="P250" i="17" a="1"/>
  <c r="P250" i="17" s="1"/>
  <c r="P251" i="17" a="1"/>
  <c r="P251" i="17" s="1"/>
  <c r="P252" i="17" a="1"/>
  <c r="P252" i="17" s="1"/>
  <c r="P253" i="17" a="1"/>
  <c r="P253" i="17" s="1"/>
  <c r="P343" i="17" a="1"/>
  <c r="P343" i="17" s="1"/>
  <c r="P254" i="17" a="1"/>
  <c r="P254" i="17" s="1"/>
  <c r="P255" i="17" a="1"/>
  <c r="P255" i="17" s="1"/>
  <c r="P256" i="17" a="1"/>
  <c r="P256" i="17" s="1"/>
  <c r="P257" i="17" a="1"/>
  <c r="P257" i="17" s="1"/>
  <c r="P258" i="17" a="1"/>
  <c r="P258" i="17" s="1"/>
  <c r="P259" i="17" a="1"/>
  <c r="P259" i="17" s="1"/>
  <c r="P344" i="17" a="1"/>
  <c r="P344" i="17" s="1"/>
  <c r="P260" i="17" a="1"/>
  <c r="P260" i="17" s="1"/>
  <c r="P261" i="17" a="1"/>
  <c r="P261" i="17" s="1"/>
  <c r="P262" i="17" a="1"/>
  <c r="P262" i="17" s="1"/>
  <c r="P263" i="17" a="1"/>
  <c r="P263" i="17" s="1"/>
  <c r="P264" i="17" a="1"/>
  <c r="P264" i="17" s="1"/>
  <c r="P265" i="17" a="1"/>
  <c r="P265" i="17" s="1"/>
  <c r="P345" i="17" a="1"/>
  <c r="P345" i="17" s="1"/>
  <c r="P266" i="17" a="1"/>
  <c r="P266" i="17" s="1"/>
  <c r="P267" i="17" a="1"/>
  <c r="P267" i="17" s="1"/>
  <c r="P268" i="17" a="1"/>
  <c r="P268" i="17" s="1"/>
  <c r="P269" i="17" a="1"/>
  <c r="P269" i="17" s="1"/>
  <c r="P270" i="17" a="1"/>
  <c r="P270" i="17" s="1"/>
  <c r="P271" i="17" a="1"/>
  <c r="P271" i="17" s="1"/>
  <c r="P346" i="17" a="1"/>
  <c r="P346" i="17" s="1"/>
  <c r="P272" i="17" a="1"/>
  <c r="P272" i="17" s="1"/>
  <c r="P273" i="17" a="1"/>
  <c r="P273" i="17" s="1"/>
  <c r="P274" i="17" a="1"/>
  <c r="P274" i="17" s="1"/>
  <c r="P275" i="17" a="1"/>
  <c r="P275" i="17" s="1"/>
  <c r="P276" i="17" a="1"/>
  <c r="P276" i="17" s="1"/>
  <c r="P277" i="17" a="1"/>
  <c r="P277" i="17" s="1"/>
  <c r="P347" i="17" a="1"/>
  <c r="P347" i="17" s="1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348" i="17" a="1"/>
  <c r="P348" i="17"/>
  <c r="P284" i="17" a="1"/>
  <c r="P284" i="17" s="1"/>
  <c r="P285" i="17" a="1"/>
  <c r="P285" i="17" s="1"/>
  <c r="P286" i="17" a="1"/>
  <c r="P286" i="17" s="1"/>
  <c r="P287" i="17" a="1"/>
  <c r="P287" i="17" s="1"/>
  <c r="P288" i="17" a="1"/>
  <c r="P288" i="17" s="1"/>
  <c r="P289" i="17" a="1"/>
  <c r="P289" i="17" s="1"/>
  <c r="P349" i="17" a="1"/>
  <c r="P349" i="17" s="1"/>
  <c r="P290" i="17" a="1"/>
  <c r="P290" i="17" s="1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/>
  <c r="P350" i="17" a="1"/>
  <c r="P350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351" i="17" a="1"/>
  <c r="P35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303" i="17" a="1"/>
  <c r="R30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4" i="17" a="1"/>
  <c r="R30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5" i="17" a="1"/>
  <c r="R30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06" i="17" a="1"/>
  <c r="R30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07" i="17" a="1"/>
  <c r="R30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08" i="17" a="1"/>
  <c r="R308" i="17" s="1"/>
  <c r="R44" i="17" a="1"/>
  <c r="R44" i="17" s="1"/>
  <c r="R45" i="17" a="1"/>
  <c r="R45" i="17" s="1"/>
  <c r="R46" i="17" a="1"/>
  <c r="R46" i="17" s="1"/>
  <c r="R47" i="17" a="1"/>
  <c r="R47" i="17"/>
  <c r="R48" i="17" a="1"/>
  <c r="R48" i="17" s="1"/>
  <c r="R49" i="17" a="1"/>
  <c r="R49" i="17" s="1"/>
  <c r="R309" i="17" a="1"/>
  <c r="R30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0" i="17" a="1"/>
  <c r="R31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311" i="17" a="1"/>
  <c r="R31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12" i="17" a="1"/>
  <c r="R31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13" i="17" a="1"/>
  <c r="R31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14" i="17" a="1"/>
  <c r="R31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/>
  <c r="R85" i="17" a="1"/>
  <c r="R85" i="17" s="1"/>
  <c r="R315" i="17" a="1"/>
  <c r="R31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16" i="17" a="1"/>
  <c r="R31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317" i="17" a="1"/>
  <c r="R31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18" i="17" a="1"/>
  <c r="R31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319" i="17" a="1"/>
  <c r="R31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20" i="17" a="1"/>
  <c r="R32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321" i="17" a="1"/>
  <c r="R32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22" i="17" a="1"/>
  <c r="R32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323" i="17" a="1"/>
  <c r="R32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24" i="17" a="1"/>
  <c r="R324" i="17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25" i="17" a="1"/>
  <c r="R325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326" i="17" a="1"/>
  <c r="R32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327" i="17" a="1"/>
  <c r="R32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28" i="17" a="1"/>
  <c r="R328" i="17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329" i="17" a="1"/>
  <c r="R32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/>
  <c r="R175" i="17" a="1"/>
  <c r="R175" i="17" s="1"/>
  <c r="R330" i="17" a="1"/>
  <c r="R33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331" i="17" a="1"/>
  <c r="R331" i="17" s="1"/>
  <c r="R182" i="17" a="1"/>
  <c r="R182" i="17" s="1"/>
  <c r="R183" i="17" a="1"/>
  <c r="R183" i="17"/>
  <c r="R184" i="17" a="1"/>
  <c r="R184" i="17" s="1"/>
  <c r="R185" i="17" a="1"/>
  <c r="R185" i="17" s="1"/>
  <c r="R186" i="17" a="1"/>
  <c r="R186" i="17"/>
  <c r="R187" i="17" a="1"/>
  <c r="R187" i="17" s="1"/>
  <c r="R332" i="17" a="1"/>
  <c r="R332" i="17" s="1"/>
  <c r="R188" i="17" a="1"/>
  <c r="R188" i="17" s="1"/>
  <c r="R189" i="17" a="1"/>
  <c r="R189" i="17" s="1"/>
  <c r="R190" i="17" a="1"/>
  <c r="R190" i="17" s="1"/>
  <c r="R191" i="17" a="1"/>
  <c r="R191" i="17"/>
  <c r="R192" i="17" a="1"/>
  <c r="R192" i="17" s="1"/>
  <c r="R193" i="17" a="1"/>
  <c r="R193" i="17" s="1"/>
  <c r="R333" i="17" a="1"/>
  <c r="R333" i="17" s="1"/>
  <c r="R194" i="17" a="1"/>
  <c r="R194" i="17" s="1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334" i="17" a="1"/>
  <c r="R334" i="17" s="1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 s="1"/>
  <c r="R205" i="17" a="1"/>
  <c r="R205" i="17" s="1"/>
  <c r="R335" i="17" a="1"/>
  <c r="R335" i="17" s="1"/>
  <c r="R206" i="17" a="1"/>
  <c r="R206" i="17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36" i="17" a="1"/>
  <c r="R336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37" i="17" a="1"/>
  <c r="R337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38" i="17" a="1"/>
  <c r="R338" i="17" s="1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39" i="17" a="1"/>
  <c r="R339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40" i="17" a="1"/>
  <c r="R340" i="17" s="1"/>
  <c r="R236" i="17" a="1"/>
  <c r="R236" i="17" s="1"/>
  <c r="R237" i="17" a="1"/>
  <c r="R237" i="17" s="1"/>
  <c r="R238" i="17" a="1"/>
  <c r="R238" i="17" s="1"/>
  <c r="R239" i="17" a="1"/>
  <c r="R239" i="17" s="1"/>
  <c r="R240" i="17" a="1"/>
  <c r="R240" i="17" s="1"/>
  <c r="R241" i="17" a="1"/>
  <c r="R241" i="17" s="1"/>
  <c r="R341" i="17" a="1"/>
  <c r="R34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42" i="17" a="1"/>
  <c r="R342" i="17" s="1"/>
  <c r="R248" i="17" a="1"/>
  <c r="R248" i="17" s="1"/>
  <c r="R249" i="17" a="1"/>
  <c r="R249" i="17" s="1"/>
  <c r="R250" i="17" a="1"/>
  <c r="R250" i="17" s="1"/>
  <c r="R251" i="17" a="1"/>
  <c r="R251" i="17" s="1"/>
  <c r="R252" i="17" a="1"/>
  <c r="R252" i="17" s="1"/>
  <c r="R253" i="17" a="1"/>
  <c r="R253" i="17" s="1"/>
  <c r="R343" i="17" a="1"/>
  <c r="R343" i="17" s="1"/>
  <c r="R254" i="17" a="1"/>
  <c r="R254" i="17" s="1"/>
  <c r="R255" i="17" a="1"/>
  <c r="R255" i="17" s="1"/>
  <c r="R256" i="17" a="1"/>
  <c r="R256" i="17" s="1"/>
  <c r="R257" i="17" a="1"/>
  <c r="R257" i="17" s="1"/>
  <c r="R258" i="17" a="1"/>
  <c r="R258" i="17" s="1"/>
  <c r="R259" i="17" a="1"/>
  <c r="R259" i="17" s="1"/>
  <c r="R344" i="17" a="1"/>
  <c r="R344" i="17" s="1"/>
  <c r="R260" i="17" a="1"/>
  <c r="R260" i="17" s="1"/>
  <c r="R261" i="17" a="1"/>
  <c r="R261" i="17"/>
  <c r="R262" i="17" a="1"/>
  <c r="R262" i="17" s="1"/>
  <c r="R263" i="17" a="1"/>
  <c r="R263" i="17" s="1"/>
  <c r="R264" i="17" a="1"/>
  <c r="R264" i="17" s="1"/>
  <c r="R265" i="17" a="1"/>
  <c r="R265" i="17" s="1"/>
  <c r="R345" i="17" a="1"/>
  <c r="R345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46" i="17" a="1"/>
  <c r="R346" i="17" s="1"/>
  <c r="R272" i="17" a="1"/>
  <c r="R272" i="17" s="1"/>
  <c r="R273" i="17" a="1"/>
  <c r="R273" i="17"/>
  <c r="R274" i="17" a="1"/>
  <c r="R274" i="17" s="1"/>
  <c r="R275" i="17" a="1"/>
  <c r="R275" i="17" s="1"/>
  <c r="R276" i="17" a="1"/>
  <c r="R276" i="17" s="1"/>
  <c r="R277" i="17" a="1"/>
  <c r="R277" i="17" s="1"/>
  <c r="R347" i="17" a="1"/>
  <c r="R347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48" i="17" a="1"/>
  <c r="R348" i="17" s="1"/>
  <c r="R284" i="17" a="1"/>
  <c r="R284" i="17" s="1"/>
  <c r="R285" i="17" a="1"/>
  <c r="R285" i="17" s="1"/>
  <c r="R286" i="17" a="1"/>
  <c r="R286" i="17" s="1"/>
  <c r="R287" i="17" a="1"/>
  <c r="R287" i="17" s="1"/>
  <c r="R288" i="17" a="1"/>
  <c r="R288" i="17" s="1"/>
  <c r="R289" i="17" a="1"/>
  <c r="R289" i="17"/>
  <c r="R349" i="17" a="1"/>
  <c r="R349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50" i="17" a="1"/>
  <c r="R350" i="17" s="1"/>
  <c r="R296" i="17" a="1"/>
  <c r="R296" i="17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/>
  <c r="R351" i="17" a="1"/>
  <c r="R351" i="17" s="1"/>
  <c r="S2" i="17" a="1"/>
  <c r="S2" i="17" s="1"/>
  <c r="S3" i="17" a="1"/>
  <c r="S3" i="17" s="1"/>
  <c r="S4" i="17" a="1"/>
  <c r="S4" i="17"/>
  <c r="S5" i="17" a="1"/>
  <c r="S5" i="17" s="1"/>
  <c r="S6" i="17" a="1"/>
  <c r="S6" i="17" s="1"/>
  <c r="S7" i="17" a="1"/>
  <c r="S7" i="17" s="1"/>
  <c r="S302" i="17" a="1"/>
  <c r="S30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/>
  <c r="S303" i="17" a="1"/>
  <c r="S303" i="17" s="1"/>
  <c r="S14" i="17" a="1"/>
  <c r="S14" i="17" s="1"/>
  <c r="S15" i="17" a="1"/>
  <c r="S15" i="17" s="1"/>
  <c r="S16" i="17" a="1"/>
  <c r="S16" i="17"/>
  <c r="S17" i="17" a="1"/>
  <c r="S17" i="17" s="1"/>
  <c r="S18" i="17" a="1"/>
  <c r="S18" i="17" s="1"/>
  <c r="S19" i="17" a="1"/>
  <c r="S19" i="17" s="1"/>
  <c r="S304" i="17" a="1"/>
  <c r="S30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/>
  <c r="S25" i="17" a="1"/>
  <c r="S25" i="17" s="1"/>
  <c r="S305" i="17" a="1"/>
  <c r="S30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06" i="17" a="1"/>
  <c r="S306" i="17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07" i="17" a="1"/>
  <c r="S30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08" i="17" a="1"/>
  <c r="S30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09" i="17" a="1"/>
  <c r="S309" i="17" s="1"/>
  <c r="S50" i="17" a="1"/>
  <c r="S50" i="17" s="1"/>
  <c r="S51" i="17" a="1"/>
  <c r="S51" i="17"/>
  <c r="S52" i="17" a="1"/>
  <c r="S52" i="17" s="1"/>
  <c r="S53" i="17" a="1"/>
  <c r="S53" i="17" s="1"/>
  <c r="S54" i="17" a="1"/>
  <c r="S54" i="17" s="1"/>
  <c r="S55" i="17" a="1"/>
  <c r="S55" i="17" s="1"/>
  <c r="S310" i="17" a="1"/>
  <c r="S31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11" i="17" a="1"/>
  <c r="S31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312" i="17" a="1"/>
  <c r="S31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313" i="17" a="1"/>
  <c r="S31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14" i="17" a="1"/>
  <c r="S314" i="17" s="1"/>
  <c r="S80" i="17" a="1"/>
  <c r="S80" i="17" s="1"/>
  <c r="S81" i="17" a="1"/>
  <c r="S81" i="17" s="1"/>
  <c r="S82" i="17" a="1"/>
  <c r="S82" i="17" s="1"/>
  <c r="S83" i="17" a="1"/>
  <c r="S83" i="17"/>
  <c r="S84" i="17" a="1"/>
  <c r="S84" i="17" s="1"/>
  <c r="S85" i="17" a="1"/>
  <c r="S85" i="17" s="1"/>
  <c r="S315" i="17" a="1"/>
  <c r="S31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16" i="17" a="1"/>
  <c r="S31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17" i="17" a="1"/>
  <c r="S31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18" i="17" a="1"/>
  <c r="S31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19" i="17" a="1"/>
  <c r="S31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/>
  <c r="S115" i="17" a="1"/>
  <c r="S115" i="17" s="1"/>
  <c r="S320" i="17" a="1"/>
  <c r="S32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321" i="17" a="1"/>
  <c r="S32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22" i="17" a="1"/>
  <c r="S32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323" i="17" a="1"/>
  <c r="S323" i="17" s="1"/>
  <c r="S134" i="17" a="1"/>
  <c r="S134" i="17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24" i="17" a="1"/>
  <c r="S32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25" i="17" a="1"/>
  <c r="S325" i="17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26" i="17" a="1"/>
  <c r="S32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327" i="17" a="1"/>
  <c r="S32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28" i="17" a="1"/>
  <c r="S32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29" i="17" a="1"/>
  <c r="S329" i="17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30" i="17" a="1"/>
  <c r="S33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31" i="17" a="1"/>
  <c r="S331" i="17" s="1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32" i="17" a="1"/>
  <c r="S332" i="17" s="1"/>
  <c r="S188" i="17" a="1"/>
  <c r="S188" i="17" s="1"/>
  <c r="S189" i="17" a="1"/>
  <c r="S189" i="17"/>
  <c r="S190" i="17" a="1"/>
  <c r="S190" i="17" s="1"/>
  <c r="S191" i="17" a="1"/>
  <c r="S191" i="17" s="1"/>
  <c r="S192" i="17" a="1"/>
  <c r="S192" i="17" s="1"/>
  <c r="S193" i="17" a="1"/>
  <c r="S193" i="17" s="1"/>
  <c r="S333" i="17" a="1"/>
  <c r="S333" i="17" s="1"/>
  <c r="S194" i="17" a="1"/>
  <c r="S194" i="17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334" i="17" a="1"/>
  <c r="S334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335" i="17" a="1"/>
  <c r="S335" i="17" s="1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336" i="17" a="1"/>
  <c r="S336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37" i="17" a="1"/>
  <c r="S337" i="17" s="1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38" i="17" a="1"/>
  <c r="S338" i="17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339" i="17" a="1"/>
  <c r="S339" i="17" s="1"/>
  <c r="S230" i="17" a="1"/>
  <c r="S230" i="17" s="1"/>
  <c r="S231" i="17" a="1"/>
  <c r="S231" i="17" s="1"/>
  <c r="S232" i="17" a="1"/>
  <c r="S232" i="17"/>
  <c r="S233" i="17" a="1"/>
  <c r="S233" i="17" s="1"/>
  <c r="S234" i="17" a="1"/>
  <c r="S234" i="17" s="1"/>
  <c r="S235" i="17" a="1"/>
  <c r="S235" i="17" s="1"/>
  <c r="S340" i="17" a="1"/>
  <c r="S340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 s="1"/>
  <c r="S341" i="17" a="1"/>
  <c r="S34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342" i="17" a="1"/>
  <c r="S342" i="17" s="1"/>
  <c r="S248" i="17" a="1"/>
  <c r="S248" i="17" s="1"/>
  <c r="S249" i="17" a="1"/>
  <c r="S249" i="17" s="1"/>
  <c r="S250" i="17" a="1"/>
  <c r="S250" i="17" s="1"/>
  <c r="S251" i="17" a="1"/>
  <c r="S251" i="17" s="1"/>
  <c r="S252" i="17" a="1"/>
  <c r="S252" i="17" s="1"/>
  <c r="S253" i="17" a="1"/>
  <c r="S253" i="17" s="1"/>
  <c r="S343" i="17" a="1"/>
  <c r="S343" i="17" s="1"/>
  <c r="S254" i="17" a="1"/>
  <c r="S254" i="17" s="1"/>
  <c r="S255" i="17" a="1"/>
  <c r="S255" i="17" s="1"/>
  <c r="S256" i="17" a="1"/>
  <c r="S256" i="17" s="1"/>
  <c r="S257" i="17" a="1"/>
  <c r="S257" i="17" s="1"/>
  <c r="S258" i="17" a="1"/>
  <c r="S258" i="17" s="1"/>
  <c r="S259" i="17" a="1"/>
  <c r="S259" i="17" s="1"/>
  <c r="S344" i="17" a="1"/>
  <c r="S344" i="17" s="1"/>
  <c r="S260" i="17" a="1"/>
  <c r="S260" i="17" s="1"/>
  <c r="S261" i="17" a="1"/>
  <c r="S261" i="17" s="1"/>
  <c r="S262" i="17" a="1"/>
  <c r="S262" i="17" s="1"/>
  <c r="S263" i="17" a="1"/>
  <c r="S263" i="17" s="1"/>
  <c r="S264" i="17" a="1"/>
  <c r="S264" i="17" s="1"/>
  <c r="S265" i="17" a="1"/>
  <c r="S265" i="17" s="1"/>
  <c r="S345" i="17" a="1"/>
  <c r="S345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46" i="17" a="1"/>
  <c r="S346" i="17" s="1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47" i="17" a="1"/>
  <c r="S347" i="17" s="1"/>
  <c r="S278" i="17" a="1"/>
  <c r="S278" i="17" s="1"/>
  <c r="S279" i="17" a="1"/>
  <c r="S279" i="17" s="1"/>
  <c r="S280" i="17" a="1"/>
  <c r="S280" i="17" s="1"/>
  <c r="S281" i="17" a="1"/>
  <c r="S281" i="17" s="1"/>
  <c r="S282" i="17" a="1"/>
  <c r="S282" i="17" s="1"/>
  <c r="S283" i="17" a="1"/>
  <c r="S283" i="17" s="1"/>
  <c r="S348" i="17" a="1"/>
  <c r="S348" i="17" s="1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49" i="17" a="1"/>
  <c r="S349" i="17" s="1"/>
  <c r="S290" i="17" a="1"/>
  <c r="S290" i="17" s="1"/>
  <c r="S291" i="17" a="1"/>
  <c r="S291" i="17" s="1"/>
  <c r="S292" i="17" a="1"/>
  <c r="S292" i="17" s="1"/>
  <c r="S293" i="17" a="1"/>
  <c r="S293" i="17" s="1"/>
  <c r="S294" i="17" a="1"/>
  <c r="S294" i="17" s="1"/>
  <c r="S295" i="17" a="1"/>
  <c r="S295" i="17" s="1"/>
  <c r="S350" i="17" a="1"/>
  <c r="S350" i="17" s="1"/>
  <c r="S296" i="17" a="1"/>
  <c r="S296" i="17" s="1"/>
  <c r="S297" i="17" a="1"/>
  <c r="S297" i="17" s="1"/>
  <c r="S298" i="17" a="1"/>
  <c r="S298" i="17" s="1"/>
  <c r="S299" i="17" a="1"/>
  <c r="S299" i="17" s="1"/>
  <c r="S300" i="17" a="1"/>
  <c r="S300" i="17" s="1"/>
  <c r="S301" i="17" a="1"/>
  <c r="S301" i="17" s="1"/>
  <c r="S351" i="17" a="1"/>
  <c r="S35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/>
  <c r="T302" i="17" a="1"/>
  <c r="T30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303" i="17" a="1"/>
  <c r="T30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304" i="17" a="1"/>
  <c r="T30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05" i="17" a="1"/>
  <c r="T30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06" i="17" a="1"/>
  <c r="T30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07" i="17" a="1"/>
  <c r="T30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308" i="17" a="1"/>
  <c r="T30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/>
  <c r="T309" i="17" a="1"/>
  <c r="T30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0" i="17" a="1"/>
  <c r="T31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/>
  <c r="T311" i="17" a="1"/>
  <c r="T31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312" i="17" a="1"/>
  <c r="T31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313" i="17" a="1"/>
  <c r="T31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314" i="17" a="1"/>
  <c r="T31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315" i="17" a="1"/>
  <c r="T315" i="17" s="1"/>
  <c r="T86" i="17" a="1"/>
  <c r="T86" i="17" s="1"/>
  <c r="T87" i="17" a="1"/>
  <c r="T87" i="17" s="1"/>
  <c r="T88" i="17" a="1"/>
  <c r="T88" i="17" s="1"/>
  <c r="T89" i="17" a="1"/>
  <c r="T89" i="17"/>
  <c r="T90" i="17" a="1"/>
  <c r="T90" i="17" s="1"/>
  <c r="T91" i="17" a="1"/>
  <c r="T91" i="17" s="1"/>
  <c r="T316" i="17" a="1"/>
  <c r="T31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317" i="17" a="1"/>
  <c r="T317" i="17" s="1"/>
  <c r="T98" i="17" a="1"/>
  <c r="T98" i="17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318" i="17" a="1"/>
  <c r="T31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19" i="17" a="1"/>
  <c r="T31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20" i="17" a="1"/>
  <c r="T32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321" i="17" a="1"/>
  <c r="T321" i="17" s="1"/>
  <c r="T122" i="17" a="1"/>
  <c r="T122" i="17" s="1"/>
  <c r="T123" i="17" a="1"/>
  <c r="T123" i="17" s="1"/>
  <c r="T124" i="17" a="1"/>
  <c r="T124" i="17"/>
  <c r="T125" i="17" a="1"/>
  <c r="T125" i="17" s="1"/>
  <c r="T126" i="17" a="1"/>
  <c r="T126" i="17" s="1"/>
  <c r="T127" i="17" a="1"/>
  <c r="T127" i="17" s="1"/>
  <c r="T322" i="17" a="1"/>
  <c r="T32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323" i="17" a="1"/>
  <c r="T32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24" i="17" a="1"/>
  <c r="T32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25" i="17" a="1"/>
  <c r="T32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26" i="17" a="1"/>
  <c r="T32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27" i="17" a="1"/>
  <c r="T327" i="17" s="1"/>
  <c r="T158" i="17" a="1"/>
  <c r="T158" i="17" s="1"/>
  <c r="T159" i="17" a="1"/>
  <c r="T159" i="17" s="1"/>
  <c r="T160" i="17" a="1"/>
  <c r="T160" i="17" s="1"/>
  <c r="T161" i="17" a="1"/>
  <c r="T161" i="17"/>
  <c r="T162" i="17" a="1"/>
  <c r="T162" i="17" s="1"/>
  <c r="T163" i="17" a="1"/>
  <c r="T163" i="17" s="1"/>
  <c r="T328" i="17" a="1"/>
  <c r="T32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329" i="17" a="1"/>
  <c r="T32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30" i="17" a="1"/>
  <c r="T33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31" i="17" a="1"/>
  <c r="T33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32" i="17" a="1"/>
  <c r="T332" i="17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333" i="17" a="1"/>
  <c r="T333" i="17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34" i="17" a="1"/>
  <c r="T334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335" i="17" a="1"/>
  <c r="T335" i="17" s="1"/>
  <c r="T206" i="17" a="1"/>
  <c r="T206" i="17" s="1"/>
  <c r="T207" i="17" a="1"/>
  <c r="T207" i="17" s="1"/>
  <c r="T208" i="17" a="1"/>
  <c r="T208" i="17" s="1"/>
  <c r="T209" i="17" a="1"/>
  <c r="T209" i="17" s="1"/>
  <c r="T210" i="17" a="1"/>
  <c r="T210" i="17" s="1"/>
  <c r="T211" i="17" a="1"/>
  <c r="T211" i="17" s="1"/>
  <c r="T336" i="17" a="1"/>
  <c r="T336" i="17" s="1"/>
  <c r="T212" i="17" a="1"/>
  <c r="T212" i="17" s="1"/>
  <c r="T213" i="17" a="1"/>
  <c r="T213" i="17" s="1"/>
  <c r="T214" i="17" a="1"/>
  <c r="T214" i="17" s="1"/>
  <c r="T215" i="17" a="1"/>
  <c r="T215" i="17"/>
  <c r="T216" i="17" a="1"/>
  <c r="T216" i="17" s="1"/>
  <c r="T217" i="17" a="1"/>
  <c r="T217" i="17" s="1"/>
  <c r="T337" i="17" a="1"/>
  <c r="T337" i="17" s="1"/>
  <c r="T218" i="17" a="1"/>
  <c r="T218" i="17" s="1"/>
  <c r="T219" i="17" a="1"/>
  <c r="T219" i="17" s="1"/>
  <c r="T220" i="17" a="1"/>
  <c r="T220" i="17" s="1"/>
  <c r="T221" i="17" a="1"/>
  <c r="T221" i="17"/>
  <c r="T222" i="17" a="1"/>
  <c r="T222" i="17" s="1"/>
  <c r="T223" i="17" a="1"/>
  <c r="T223" i="17" s="1"/>
  <c r="T338" i="17" a="1"/>
  <c r="T338" i="17" s="1"/>
  <c r="T224" i="17" a="1"/>
  <c r="T224" i="17" s="1"/>
  <c r="T225" i="17" a="1"/>
  <c r="T225" i="17" s="1"/>
  <c r="T226" i="17" a="1"/>
  <c r="T226" i="17" s="1"/>
  <c r="T227" i="17" a="1"/>
  <c r="T227" i="17"/>
  <c r="T228" i="17" a="1"/>
  <c r="T228" i="17" s="1"/>
  <c r="T229" i="17" a="1"/>
  <c r="T229" i="17" s="1"/>
  <c r="T339" i="17" a="1"/>
  <c r="T339" i="17" s="1"/>
  <c r="T230" i="17" a="1"/>
  <c r="T230" i="17" s="1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40" i="17" a="1"/>
  <c r="T340" i="17" s="1"/>
  <c r="T236" i="17" a="1"/>
  <c r="T236" i="17" s="1"/>
  <c r="T237" i="17" a="1"/>
  <c r="T237" i="17" s="1"/>
  <c r="T238" i="17" a="1"/>
  <c r="T238" i="17" s="1"/>
  <c r="T239" i="17" a="1"/>
  <c r="T239" i="17" s="1"/>
  <c r="T240" i="17" a="1"/>
  <c r="T240" i="17" s="1"/>
  <c r="T241" i="17" a="1"/>
  <c r="T241" i="17" s="1"/>
  <c r="T341" i="17" a="1"/>
  <c r="T341" i="17" s="1"/>
  <c r="T242" i="17" a="1"/>
  <c r="T242" i="17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42" i="17" a="1"/>
  <c r="T342" i="17" s="1"/>
  <c r="T248" i="17" a="1"/>
  <c r="T248" i="17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43" i="17" a="1"/>
  <c r="T343" i="17" s="1"/>
  <c r="T254" i="17" a="1"/>
  <c r="T254" i="17" s="1"/>
  <c r="T255" i="17" a="1"/>
  <c r="T255" i="17" s="1"/>
  <c r="T256" i="17" a="1"/>
  <c r="T256" i="17" s="1"/>
  <c r="T257" i="17" a="1"/>
  <c r="T257" i="17" s="1"/>
  <c r="T258" i="17" a="1"/>
  <c r="T258" i="17" s="1"/>
  <c r="T259" i="17" a="1"/>
  <c r="T259" i="17" s="1"/>
  <c r="T344" i="17" a="1"/>
  <c r="T344" i="17" s="1"/>
  <c r="T260" i="17" a="1"/>
  <c r="T260" i="17" s="1"/>
  <c r="T261" i="17" a="1"/>
  <c r="T261" i="17" s="1"/>
  <c r="T262" i="17" a="1"/>
  <c r="T262" i="17" s="1"/>
  <c r="T263" i="17" a="1"/>
  <c r="T263" i="17" s="1"/>
  <c r="T264" i="17" a="1"/>
  <c r="T264" i="17" s="1"/>
  <c r="T265" i="17" a="1"/>
  <c r="T265" i="17" s="1"/>
  <c r="T345" i="17" a="1"/>
  <c r="T345" i="17" s="1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46" i="17" a="1"/>
  <c r="T346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 s="1"/>
  <c r="T347" i="17" a="1"/>
  <c r="T347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 s="1"/>
  <c r="T348" i="17" a="1"/>
  <c r="T348" i="17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 s="1"/>
  <c r="T289" i="17" a="1"/>
  <c r="T289" i="17" s="1"/>
  <c r="T349" i="17" a="1"/>
  <c r="T349" i="17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50" i="17" a="1"/>
  <c r="T350" i="17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 s="1"/>
  <c r="T301" i="17" a="1"/>
  <c r="T301" i="17" s="1"/>
  <c r="T351" i="17" a="1"/>
  <c r="T35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8" i="17" a="1"/>
  <c r="U8" i="17" s="1"/>
  <c r="U9" i="17" a="1"/>
  <c r="U9" i="17" s="1"/>
  <c r="U10" i="17" a="1"/>
  <c r="U10" i="17" s="1"/>
  <c r="U11" i="17" a="1"/>
  <c r="U11" i="17"/>
  <c r="U12" i="17" a="1"/>
  <c r="U12" i="17" s="1"/>
  <c r="U13" i="17" a="1"/>
  <c r="U13" i="17" s="1"/>
  <c r="U303" i="17" a="1"/>
  <c r="U30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304" i="17" a="1"/>
  <c r="U30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5" i="17" a="1"/>
  <c r="U30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06" i="17" a="1"/>
  <c r="U30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07" i="17" a="1"/>
  <c r="U30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08" i="17" a="1"/>
  <c r="U30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309" i="17" a="1"/>
  <c r="U30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310" i="17" a="1"/>
  <c r="U310" i="17" s="1"/>
  <c r="U56" i="17" a="1"/>
  <c r="U56" i="17" s="1"/>
  <c r="U57" i="17" a="1"/>
  <c r="U57" i="17" s="1"/>
  <c r="U58" i="17" a="1"/>
  <c r="U58" i="17"/>
  <c r="U59" i="17" a="1"/>
  <c r="U59" i="17" s="1"/>
  <c r="U60" i="17" a="1"/>
  <c r="U60" i="17" s="1"/>
  <c r="U61" i="17" a="1"/>
  <c r="U61" i="17" s="1"/>
  <c r="U311" i="17" a="1"/>
  <c r="U311" i="17" s="1"/>
  <c r="U62" i="17" a="1"/>
  <c r="U62" i="17" s="1"/>
  <c r="U63" i="17" a="1"/>
  <c r="U63" i="17" s="1"/>
  <c r="U64" i="17" a="1"/>
  <c r="U64" i="17"/>
  <c r="U65" i="17" a="1"/>
  <c r="U65" i="17" s="1"/>
  <c r="U66" i="17" a="1"/>
  <c r="U66" i="17" s="1"/>
  <c r="U67" i="17" a="1"/>
  <c r="U67" i="17" s="1"/>
  <c r="U312" i="17" a="1"/>
  <c r="U312" i="17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313" i="17" a="1"/>
  <c r="U31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14" i="17" a="1"/>
  <c r="U31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315" i="17" a="1"/>
  <c r="U31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16" i="17" a="1"/>
  <c r="U31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17" i="17" a="1"/>
  <c r="U31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318" i="17" a="1"/>
  <c r="U31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19" i="17" a="1"/>
  <c r="U31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20" i="17" a="1"/>
  <c r="U32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/>
  <c r="U321" i="17" a="1"/>
  <c r="U32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/>
  <c r="U322" i="17" a="1"/>
  <c r="U32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/>
  <c r="U323" i="17" a="1"/>
  <c r="U32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324" i="17" a="1"/>
  <c r="U32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325" i="17" a="1"/>
  <c r="U325" i="17" s="1"/>
  <c r="U146" i="17" a="1"/>
  <c r="U146" i="17" s="1"/>
  <c r="U147" i="17" a="1"/>
  <c r="U147" i="17" s="1"/>
  <c r="U148" i="17" a="1"/>
  <c r="U148" i="17"/>
  <c r="U149" i="17" a="1"/>
  <c r="U149" i="17" s="1"/>
  <c r="U150" i="17" a="1"/>
  <c r="U150" i="17" s="1"/>
  <c r="U151" i="17" a="1"/>
  <c r="U151" i="17" s="1"/>
  <c r="U326" i="17" a="1"/>
  <c r="U326" i="17" s="1"/>
  <c r="U152" i="17" a="1"/>
  <c r="U152" i="17" s="1"/>
  <c r="U153" i="17" a="1"/>
  <c r="U153" i="17" s="1"/>
  <c r="U154" i="17" a="1"/>
  <c r="U154" i="17"/>
  <c r="U155" i="17" a="1"/>
  <c r="U155" i="17" s="1"/>
  <c r="U156" i="17" a="1"/>
  <c r="U156" i="17" s="1"/>
  <c r="U157" i="17" a="1"/>
  <c r="U157" i="17" s="1"/>
  <c r="U327" i="17" a="1"/>
  <c r="U327" i="17" s="1"/>
  <c r="U158" i="17" a="1"/>
  <c r="U158" i="17" s="1"/>
  <c r="U159" i="17" a="1"/>
  <c r="U159" i="17" s="1"/>
  <c r="U160" i="17" a="1"/>
  <c r="U160" i="17"/>
  <c r="U161" i="17" a="1"/>
  <c r="U161" i="17" s="1"/>
  <c r="U162" i="17" a="1"/>
  <c r="U162" i="17" s="1"/>
  <c r="U163" i="17" a="1"/>
  <c r="U163" i="17" s="1"/>
  <c r="U328" i="17" a="1"/>
  <c r="U32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329" i="17" a="1"/>
  <c r="U32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330" i="17" a="1"/>
  <c r="U330" i="17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331" i="17" a="1"/>
  <c r="U331" i="17"/>
  <c r="U182" i="17" a="1"/>
  <c r="U182" i="17" s="1"/>
  <c r="U183" i="17" a="1"/>
  <c r="U183" i="17" s="1"/>
  <c r="U184" i="17" a="1"/>
  <c r="U184" i="17" s="1"/>
  <c r="U185" i="17" a="1"/>
  <c r="U185" i="17" s="1"/>
  <c r="U186" i="17" a="1"/>
  <c r="U186" i="17" s="1"/>
  <c r="U187" i="17" a="1"/>
  <c r="U187" i="17" s="1"/>
  <c r="U332" i="17" a="1"/>
  <c r="U332" i="17"/>
  <c r="U188" i="17" a="1"/>
  <c r="U188" i="17" s="1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33" i="17" a="1"/>
  <c r="U333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34" i="17" a="1"/>
  <c r="U334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335" i="17" a="1"/>
  <c r="U335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 s="1"/>
  <c r="U211" i="17" a="1"/>
  <c r="U211" i="17" s="1"/>
  <c r="U336" i="17" a="1"/>
  <c r="U336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37" i="17" a="1"/>
  <c r="U337" i="17" s="1"/>
  <c r="U218" i="17" a="1"/>
  <c r="U218" i="17" s="1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38" i="17" a="1"/>
  <c r="U338" i="17" s="1"/>
  <c r="U224" i="17" a="1"/>
  <c r="U224" i="17" s="1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 s="1"/>
  <c r="U339" i="17" a="1"/>
  <c r="U339" i="17" s="1"/>
  <c r="U230" i="17" a="1"/>
  <c r="U230" i="17"/>
  <c r="U231" i="17" a="1"/>
  <c r="U231" i="17" s="1"/>
  <c r="U232" i="17" a="1"/>
  <c r="U232" i="17" s="1"/>
  <c r="U233" i="17" a="1"/>
  <c r="U233" i="17" s="1"/>
  <c r="U234" i="17" a="1"/>
  <c r="U234" i="17" s="1"/>
  <c r="U235" i="17" a="1"/>
  <c r="U235" i="17" s="1"/>
  <c r="U340" i="17" a="1"/>
  <c r="U340" i="17" s="1"/>
  <c r="U236" i="17" a="1"/>
  <c r="U236" i="17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41" i="17" a="1"/>
  <c r="U341" i="17" s="1"/>
  <c r="U242" i="17" a="1"/>
  <c r="U242" i="17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42" i="17" a="1"/>
  <c r="U342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343" i="17" a="1"/>
  <c r="U343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/>
  <c r="U259" i="17" a="1"/>
  <c r="U259" i="17" s="1"/>
  <c r="U344" i="17" a="1"/>
  <c r="U344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 s="1"/>
  <c r="U265" i="17" a="1"/>
  <c r="U265" i="17" s="1"/>
  <c r="U345" i="17" a="1"/>
  <c r="U345" i="17" s="1"/>
  <c r="U266" i="17" a="1"/>
  <c r="U266" i="17" s="1"/>
  <c r="U267" i="17" a="1"/>
  <c r="U267" i="17"/>
  <c r="U268" i="17" a="1"/>
  <c r="U268" i="17" s="1"/>
  <c r="U269" i="17" a="1"/>
  <c r="U269" i="17" s="1"/>
  <c r="U270" i="17" a="1"/>
  <c r="U270" i="17"/>
  <c r="U271" i="17" a="1"/>
  <c r="U271" i="17" s="1"/>
  <c r="U346" i="17" a="1"/>
  <c r="U346" i="17" s="1"/>
  <c r="U272" i="17" a="1"/>
  <c r="U272" i="17" s="1"/>
  <c r="U273" i="17" a="1"/>
  <c r="U273" i="17" s="1"/>
  <c r="U274" i="17" a="1"/>
  <c r="U274" i="17" s="1"/>
  <c r="U275" i="17" a="1"/>
  <c r="U275" i="17"/>
  <c r="U276" i="17" a="1"/>
  <c r="U276" i="17" s="1"/>
  <c r="U277" i="17" a="1"/>
  <c r="U277" i="17" s="1"/>
  <c r="U347" i="17" a="1"/>
  <c r="U347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 s="1"/>
  <c r="U283" i="17" a="1"/>
  <c r="U283" i="17" s="1"/>
  <c r="U348" i="17" a="1"/>
  <c r="U348" i="17" s="1"/>
  <c r="U284" i="17" a="1"/>
  <c r="U284" i="17" s="1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49" i="17" a="1"/>
  <c r="U349" i="17" s="1"/>
  <c r="U290" i="17" a="1"/>
  <c r="U290" i="17" s="1"/>
  <c r="U291" i="17" a="1"/>
  <c r="U291" i="17" s="1"/>
  <c r="U292" i="17" a="1"/>
  <c r="U292" i="17" s="1"/>
  <c r="U293" i="17" a="1"/>
  <c r="U293" i="17" s="1"/>
  <c r="U294" i="17" a="1"/>
  <c r="U294" i="17" s="1"/>
  <c r="U295" i="17" a="1"/>
  <c r="U295" i="17" s="1"/>
  <c r="U350" i="17" a="1"/>
  <c r="U350" i="17" s="1"/>
  <c r="U296" i="17" a="1"/>
  <c r="U296" i="17" s="1"/>
  <c r="U297" i="17" a="1"/>
  <c r="U297" i="17" s="1"/>
  <c r="U298" i="17" a="1"/>
  <c r="U298" i="17" s="1"/>
  <c r="U299" i="17" a="1"/>
  <c r="U299" i="17"/>
  <c r="U300" i="17" a="1"/>
  <c r="U300" i="17" s="1"/>
  <c r="U301" i="17" a="1"/>
  <c r="U301" i="17" s="1"/>
  <c r="U351" i="17" a="1"/>
  <c r="U35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302" i="17" a="1"/>
  <c r="V30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/>
  <c r="V303" i="17" a="1"/>
  <c r="V30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/>
  <c r="V304" i="17" a="1"/>
  <c r="V30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/>
  <c r="V305" i="17" a="1"/>
  <c r="V30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06" i="17" a="1"/>
  <c r="V30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07" i="17" a="1"/>
  <c r="V30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308" i="17" a="1"/>
  <c r="V30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09" i="17" a="1"/>
  <c r="V309" i="17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0" i="17" a="1"/>
  <c r="V310" i="17" s="1"/>
  <c r="V56" i="17" a="1"/>
  <c r="V56" i="17" s="1"/>
  <c r="V57" i="17" a="1"/>
  <c r="V57" i="17"/>
  <c r="V58" i="17" a="1"/>
  <c r="V58" i="17" s="1"/>
  <c r="V59" i="17" a="1"/>
  <c r="V59" i="17" s="1"/>
  <c r="V60" i="17" a="1"/>
  <c r="V60" i="17" s="1"/>
  <c r="V61" i="17" a="1"/>
  <c r="V61" i="17" s="1"/>
  <c r="V311" i="17" a="1"/>
  <c r="V31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312" i="17" a="1"/>
  <c r="V31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13" i="17" a="1"/>
  <c r="V313" i="17" s="1"/>
  <c r="V74" i="17" a="1"/>
  <c r="V74" i="17" s="1"/>
  <c r="V75" i="17" a="1"/>
  <c r="V75" i="17" s="1"/>
  <c r="V76" i="17" a="1"/>
  <c r="V76" i="17" s="1"/>
  <c r="V77" i="17" a="1"/>
  <c r="V77" i="17"/>
  <c r="V78" i="17" a="1"/>
  <c r="V78" i="17" s="1"/>
  <c r="V79" i="17" a="1"/>
  <c r="V79" i="17" s="1"/>
  <c r="V314" i="17" a="1"/>
  <c r="V314" i="17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315" i="17" a="1"/>
  <c r="V31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316" i="17" a="1"/>
  <c r="V31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317" i="17" a="1"/>
  <c r="V31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318" i="17" a="1"/>
  <c r="V318" i="17" s="1"/>
  <c r="V104" i="17" a="1"/>
  <c r="V104" i="17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19" i="17" a="1"/>
  <c r="V31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320" i="17" a="1"/>
  <c r="V32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21" i="17" a="1"/>
  <c r="V321" i="17" s="1"/>
  <c r="V122" i="17" a="1"/>
  <c r="V122" i="17" s="1"/>
  <c r="V123" i="17" a="1"/>
  <c r="V123" i="17" s="1"/>
  <c r="V124" i="17" a="1"/>
  <c r="V124" i="17"/>
  <c r="V125" i="17" a="1"/>
  <c r="V125" i="17" s="1"/>
  <c r="V126" i="17" a="1"/>
  <c r="V126" i="17" s="1"/>
  <c r="V127" i="17" a="1"/>
  <c r="V127" i="17" s="1"/>
  <c r="V322" i="17" a="1"/>
  <c r="V32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/>
  <c r="V133" i="17" a="1"/>
  <c r="V133" i="17" s="1"/>
  <c r="V323" i="17" a="1"/>
  <c r="V32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24" i="17" a="1"/>
  <c r="V32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325" i="17" a="1"/>
  <c r="V32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26" i="17" a="1"/>
  <c r="V32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27" i="17" a="1"/>
  <c r="V32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/>
  <c r="V163" i="17" a="1"/>
  <c r="V163" i="17" s="1"/>
  <c r="V328" i="17" a="1"/>
  <c r="V328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329" i="17" a="1"/>
  <c r="V32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330" i="17" a="1"/>
  <c r="V330" i="17" s="1"/>
  <c r="V176" i="17" a="1"/>
  <c r="V176" i="17" s="1"/>
  <c r="V177" i="17" a="1"/>
  <c r="V177" i="17" s="1"/>
  <c r="V178" i="17" a="1"/>
  <c r="V178" i="17" s="1"/>
  <c r="V179" i="17" a="1"/>
  <c r="V179" i="17"/>
  <c r="V180" i="17" a="1"/>
  <c r="V180" i="17" s="1"/>
  <c r="V181" i="17" a="1"/>
  <c r="V181" i="17" s="1"/>
  <c r="V331" i="17" a="1"/>
  <c r="V33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332" i="17" a="1"/>
  <c r="V332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33" i="17" a="1"/>
  <c r="V333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 s="1"/>
  <c r="V199" i="17" a="1"/>
  <c r="V199" i="17" s="1"/>
  <c r="V334" i="17" a="1"/>
  <c r="V334" i="17" s="1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335" i="17" a="1"/>
  <c r="V335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36" i="17" a="1"/>
  <c r="V336" i="17" s="1"/>
  <c r="V212" i="17" a="1"/>
  <c r="V212" i="17" s="1"/>
  <c r="V213" i="17" a="1"/>
  <c r="V213" i="17" s="1"/>
  <c r="V214" i="17" a="1"/>
  <c r="V214" i="17"/>
  <c r="V215" i="17" a="1"/>
  <c r="V215" i="17" s="1"/>
  <c r="V216" i="17" a="1"/>
  <c r="V216" i="17" s="1"/>
  <c r="V217" i="17" a="1"/>
  <c r="V217" i="17"/>
  <c r="V337" i="17" a="1"/>
  <c r="V337" i="17" s="1"/>
  <c r="V218" i="17" a="1"/>
  <c r="V218" i="17" s="1"/>
  <c r="V219" i="17" a="1"/>
  <c r="V219" i="17" s="1"/>
  <c r="V220" i="17" a="1"/>
  <c r="V220" i="17" s="1"/>
  <c r="V221" i="17" a="1"/>
  <c r="V221" i="17" s="1"/>
  <c r="V222" i="17" a="1"/>
  <c r="V222" i="17" s="1"/>
  <c r="V223" i="17" a="1"/>
  <c r="V223" i="17" s="1"/>
  <c r="V338" i="17" a="1"/>
  <c r="V338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39" i="17" a="1"/>
  <c r="V339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40" i="17" a="1"/>
  <c r="V340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 s="1"/>
  <c r="V341" i="17" a="1"/>
  <c r="V341" i="17" s="1"/>
  <c r="V242" i="17" a="1"/>
  <c r="V242" i="17" s="1"/>
  <c r="V243" i="17" a="1"/>
  <c r="V243" i="17" s="1"/>
  <c r="V244" i="17" a="1"/>
  <c r="V244" i="17"/>
  <c r="V245" i="17" a="1"/>
  <c r="V245" i="17" s="1"/>
  <c r="V246" i="17" a="1"/>
  <c r="V246" i="17" s="1"/>
  <c r="V247" i="17" a="1"/>
  <c r="V247" i="17" s="1"/>
  <c r="V342" i="17" a="1"/>
  <c r="V342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43" i="17" a="1"/>
  <c r="V343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44" i="17" a="1"/>
  <c r="V344" i="17" s="1"/>
  <c r="V260" i="17" a="1"/>
  <c r="V260" i="17" s="1"/>
  <c r="V261" i="17" a="1"/>
  <c r="V261" i="17"/>
  <c r="V262" i="17" a="1"/>
  <c r="V262" i="17" s="1"/>
  <c r="V263" i="17" a="1"/>
  <c r="V263" i="17" s="1"/>
  <c r="V264" i="17" a="1"/>
  <c r="V264" i="17" s="1"/>
  <c r="V265" i="17" a="1"/>
  <c r="V265" i="17" s="1"/>
  <c r="V345" i="17" a="1"/>
  <c r="V345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46" i="17" a="1"/>
  <c r="V346" i="17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347" i="17" a="1"/>
  <c r="V347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48" i="17" a="1"/>
  <c r="V348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/>
  <c r="V349" i="17" a="1"/>
  <c r="V349" i="17" s="1"/>
  <c r="V290" i="17" a="1"/>
  <c r="V290" i="17" s="1"/>
  <c r="V291" i="17" a="1"/>
  <c r="V291" i="17" s="1"/>
  <c r="V292" i="17" a="1"/>
  <c r="V292" i="17" s="1"/>
  <c r="V293" i="17" a="1"/>
  <c r="V293" i="17"/>
  <c r="V294" i="17" a="1"/>
  <c r="V294" i="17" s="1"/>
  <c r="V295" i="17" a="1"/>
  <c r="V295" i="17" s="1"/>
  <c r="V350" i="17" a="1"/>
  <c r="V350" i="17" s="1"/>
  <c r="V296" i="17" a="1"/>
  <c r="V296" i="17" s="1"/>
  <c r="V297" i="17" a="1"/>
  <c r="V297" i="17" s="1"/>
  <c r="V298" i="17" a="1"/>
  <c r="V298" i="17" s="1"/>
  <c r="V299" i="17" a="1"/>
  <c r="V299" i="17" s="1"/>
  <c r="V300" i="17" a="1"/>
  <c r="V300" i="17" s="1"/>
  <c r="V301" i="17" a="1"/>
  <c r="V301" i="17" s="1"/>
  <c r="V351" i="17" a="1"/>
  <c r="V351" i="17" s="1"/>
  <c r="X2" i="17" a="1"/>
  <c r="X2" i="17" s="1"/>
  <c r="X3" i="17" a="1"/>
  <c r="X3" i="17" s="1"/>
  <c r="Y3" i="17" s="1"/>
  <c r="Q3" i="17" s="1"/>
  <c r="W3" i="17" s="1"/>
  <c r="X4" i="17" a="1"/>
  <c r="X4" i="17" s="1"/>
  <c r="Y4" i="17" s="1"/>
  <c r="Q4" i="17" s="1"/>
  <c r="W4" i="17" s="1"/>
  <c r="X5" i="17" a="1"/>
  <c r="X5" i="17" s="1"/>
  <c r="X6" i="17" a="1"/>
  <c r="X6" i="17" s="1"/>
  <c r="X7" i="17" a="1"/>
  <c r="X7" i="17"/>
  <c r="X302" i="17" a="1"/>
  <c r="X302" i="17" s="1"/>
  <c r="X8" i="17" a="1"/>
  <c r="X8" i="17" s="1"/>
  <c r="Y8" i="17" s="1"/>
  <c r="Q8" i="17" s="1"/>
  <c r="W8" i="17" s="1"/>
  <c r="X9" i="17" a="1"/>
  <c r="X9" i="17" s="1"/>
  <c r="X10" i="17" a="1"/>
  <c r="X10" i="17" s="1"/>
  <c r="Y10" i="17" s="1"/>
  <c r="Q10" i="17" s="1"/>
  <c r="W10" i="17" s="1"/>
  <c r="X11" i="17" a="1"/>
  <c r="X11" i="17" s="1"/>
  <c r="X12" i="17" a="1"/>
  <c r="X12" i="17" s="1"/>
  <c r="Y12" i="17" s="1"/>
  <c r="Q12" i="17" s="1"/>
  <c r="W12" i="17" s="1"/>
  <c r="X13" i="17" a="1"/>
  <c r="X13" i="17" s="1"/>
  <c r="X303" i="17" a="1"/>
  <c r="X303" i="17"/>
  <c r="Y303" i="17" s="1"/>
  <c r="Q303" i="17" s="1"/>
  <c r="W303" i="17" s="1"/>
  <c r="X14" i="17" a="1"/>
  <c r="X14" i="17"/>
  <c r="X15" i="17" a="1"/>
  <c r="X15" i="17" s="1"/>
  <c r="Y15" i="17" s="1"/>
  <c r="Q15" i="17" s="1"/>
  <c r="W15" i="17" s="1"/>
  <c r="X16" i="17" a="1"/>
  <c r="X16" i="17" s="1"/>
  <c r="X17" i="17" a="1"/>
  <c r="X17" i="17" s="1"/>
  <c r="Y17" i="17" s="1"/>
  <c r="Q17" i="17" s="1"/>
  <c r="W17" i="17" s="1"/>
  <c r="X18" i="17" a="1"/>
  <c r="X18" i="17" s="1"/>
  <c r="X19" i="17" a="1"/>
  <c r="X19" i="17" s="1"/>
  <c r="Y19" i="17" s="1"/>
  <c r="Q19" i="17" s="1"/>
  <c r="W19" i="17" s="1"/>
  <c r="X304" i="17" a="1"/>
  <c r="X304" i="17" s="1"/>
  <c r="X20" i="17" a="1"/>
  <c r="X20" i="17" s="1"/>
  <c r="Y20" i="17" s="1"/>
  <c r="Q20" i="17" s="1"/>
  <c r="W20" i="17" s="1"/>
  <c r="X21" i="17" a="1"/>
  <c r="X21" i="17" s="1"/>
  <c r="Y21" i="17" s="1"/>
  <c r="Q21" i="17" s="1"/>
  <c r="W21" i="17" s="1"/>
  <c r="X22" i="17" a="1"/>
  <c r="X22" i="17" s="1"/>
  <c r="Y22" i="17" s="1"/>
  <c r="Q22" i="17" s="1"/>
  <c r="W22" i="17" s="1"/>
  <c r="X23" i="17" a="1"/>
  <c r="X23" i="17" s="1"/>
  <c r="X24" i="17" a="1"/>
  <c r="X24" i="17" s="1"/>
  <c r="Y24" i="17" s="1"/>
  <c r="X25" i="17" a="1"/>
  <c r="X25" i="17" s="1"/>
  <c r="X305" i="17" a="1"/>
  <c r="X305" i="17" s="1"/>
  <c r="Y305" i="17" s="1"/>
  <c r="Q305" i="17" s="1"/>
  <c r="W305" i="17" s="1"/>
  <c r="X26" i="17" a="1"/>
  <c r="X26" i="17" s="1"/>
  <c r="X27" i="17" a="1"/>
  <c r="X27" i="17" s="1"/>
  <c r="Y27" i="17" s="1"/>
  <c r="Q27" i="17" s="1"/>
  <c r="W27" i="17" s="1"/>
  <c r="X28" i="17" a="1"/>
  <c r="X28" i="17" s="1"/>
  <c r="X29" i="17" a="1"/>
  <c r="X29" i="17" s="1"/>
  <c r="Y29" i="17" s="1"/>
  <c r="Q29" i="17" s="1"/>
  <c r="W29" i="17" s="1"/>
  <c r="X30" i="17" a="1"/>
  <c r="X30" i="17" s="1"/>
  <c r="X31" i="17" a="1"/>
  <c r="X31" i="17" s="1"/>
  <c r="Y31" i="17" s="1"/>
  <c r="Q31" i="17" s="1"/>
  <c r="W31" i="17" s="1"/>
  <c r="X306" i="17" a="1"/>
  <c r="X306" i="17" s="1"/>
  <c r="Y306" i="17" s="1"/>
  <c r="Q306" i="17" s="1"/>
  <c r="W306" i="17" s="1"/>
  <c r="X32" i="17" a="1"/>
  <c r="X32" i="17" s="1"/>
  <c r="Y32" i="17" s="1"/>
  <c r="X33" i="17" a="1"/>
  <c r="X33" i="17" s="1"/>
  <c r="X34" i="17" a="1"/>
  <c r="X34" i="17" s="1"/>
  <c r="Y34" i="17" s="1"/>
  <c r="Q34" i="17" s="1"/>
  <c r="W34" i="17" s="1"/>
  <c r="X35" i="17" a="1"/>
  <c r="X35" i="17" s="1"/>
  <c r="X36" i="17" a="1"/>
  <c r="X36" i="17" s="1"/>
  <c r="Y36" i="17" s="1"/>
  <c r="Q36" i="17" s="1"/>
  <c r="W36" i="17" s="1"/>
  <c r="X37" i="17" a="1"/>
  <c r="X37" i="17" s="1"/>
  <c r="X307" i="17" a="1"/>
  <c r="X307" i="17" s="1"/>
  <c r="X38" i="17" a="1"/>
  <c r="X38" i="17" s="1"/>
  <c r="X39" i="17" a="1"/>
  <c r="X39" i="17" s="1"/>
  <c r="Y39" i="17" s="1"/>
  <c r="Q39" i="17" s="1"/>
  <c r="W39" i="17" s="1"/>
  <c r="X40" i="17" a="1"/>
  <c r="X40" i="17" s="1"/>
  <c r="X41" i="17" a="1"/>
  <c r="X41" i="17" s="1"/>
  <c r="Y41" i="17" s="1"/>
  <c r="Q41" i="17" s="1"/>
  <c r="W41" i="17" s="1"/>
  <c r="X42" i="17" a="1"/>
  <c r="X42" i="17" s="1"/>
  <c r="Y42" i="17" s="1"/>
  <c r="Q42" i="17" s="1"/>
  <c r="W42" i="17" s="1"/>
  <c r="X43" i="17" a="1"/>
  <c r="X43" i="17" s="1"/>
  <c r="Y43" i="17" s="1"/>
  <c r="Q43" i="17" s="1"/>
  <c r="W43" i="17" s="1"/>
  <c r="X308" i="17" a="1"/>
  <c r="X308" i="17" s="1"/>
  <c r="X44" i="17" a="1"/>
  <c r="X44" i="17" s="1"/>
  <c r="Y44" i="17" s="1"/>
  <c r="Q44" i="17" s="1"/>
  <c r="W44" i="17" s="1"/>
  <c r="X45" i="17" a="1"/>
  <c r="X45" i="17" s="1"/>
  <c r="X46" i="17" a="1"/>
  <c r="X46" i="17" s="1"/>
  <c r="Y46" i="17" s="1"/>
  <c r="Q46" i="17" s="1"/>
  <c r="W46" i="17" s="1"/>
  <c r="X47" i="17" a="1"/>
  <c r="X47" i="17" s="1"/>
  <c r="X48" i="17" a="1"/>
  <c r="X48" i="17" s="1"/>
  <c r="Y48" i="17" s="1"/>
  <c r="Q48" i="17" s="1"/>
  <c r="W48" i="17" s="1"/>
  <c r="X49" i="17" a="1"/>
  <c r="X49" i="17" s="1"/>
  <c r="Y49" i="17" s="1"/>
  <c r="Q49" i="17" s="1"/>
  <c r="W49" i="17" s="1"/>
  <c r="X309" i="17" a="1"/>
  <c r="X309" i="17" s="1"/>
  <c r="Y309" i="17" s="1"/>
  <c r="Q309" i="17" s="1"/>
  <c r="W309" i="17" s="1"/>
  <c r="X50" i="17" a="1"/>
  <c r="X50" i="17" s="1"/>
  <c r="X51" i="17" a="1"/>
  <c r="X51" i="17" s="1"/>
  <c r="Y51" i="17" s="1"/>
  <c r="Q51" i="17" s="1"/>
  <c r="W51" i="17" s="1"/>
  <c r="X52" i="17" a="1"/>
  <c r="X52" i="17" s="1"/>
  <c r="X53" i="17" a="1"/>
  <c r="X53" i="17" s="1"/>
  <c r="Y53" i="17" s="1"/>
  <c r="Q53" i="17" s="1"/>
  <c r="W53" i="17" s="1"/>
  <c r="X54" i="17" a="1"/>
  <c r="X54" i="17" s="1"/>
  <c r="X55" i="17" a="1"/>
  <c r="X55" i="17" s="1"/>
  <c r="Y55" i="17" s="1"/>
  <c r="Q55" i="17" s="1"/>
  <c r="W55" i="17" s="1"/>
  <c r="X310" i="17" a="1"/>
  <c r="X310" i="17"/>
  <c r="X56" i="17" a="1"/>
  <c r="X56" i="17" s="1"/>
  <c r="Y56" i="17" s="1"/>
  <c r="Q56" i="17" s="1"/>
  <c r="W56" i="17" s="1"/>
  <c r="X57" i="17" a="1"/>
  <c r="X57" i="17" s="1"/>
  <c r="X58" i="17" a="1"/>
  <c r="X58" i="17" s="1"/>
  <c r="Y58" i="17" s="1"/>
  <c r="Q58" i="17" s="1"/>
  <c r="W58" i="17" s="1"/>
  <c r="X59" i="17" a="1"/>
  <c r="X59" i="17"/>
  <c r="X60" i="17" a="1"/>
  <c r="X60" i="17" s="1"/>
  <c r="Y60" i="17" s="1"/>
  <c r="X61" i="17" a="1"/>
  <c r="X61" i="17" s="1"/>
  <c r="X311" i="17" a="1"/>
  <c r="X311" i="17" s="1"/>
  <c r="Y311" i="17" s="1"/>
  <c r="Q311" i="17" s="1"/>
  <c r="W311" i="17" s="1"/>
  <c r="X62" i="17" a="1"/>
  <c r="X62" i="17" s="1"/>
  <c r="X63" i="17" a="1"/>
  <c r="X63" i="17" s="1"/>
  <c r="Y63" i="17" s="1"/>
  <c r="Q63" i="17" s="1"/>
  <c r="W63" i="17" s="1"/>
  <c r="X64" i="17" a="1"/>
  <c r="X64" i="17" s="1"/>
  <c r="X65" i="17" a="1"/>
  <c r="X65" i="17" s="1"/>
  <c r="Y65" i="17" s="1"/>
  <c r="Q65" i="17" s="1"/>
  <c r="W65" i="17" s="1"/>
  <c r="X66" i="17" a="1"/>
  <c r="X66" i="17" s="1"/>
  <c r="X67" i="17" a="1"/>
  <c r="X67" i="17" s="1"/>
  <c r="Y67" i="17" s="1"/>
  <c r="Q67" i="17" s="1"/>
  <c r="W67" i="17" s="1"/>
  <c r="X312" i="17" a="1"/>
  <c r="X312" i="17" s="1"/>
  <c r="X68" i="17" a="1"/>
  <c r="X68" i="17" s="1"/>
  <c r="Y68" i="17" s="1"/>
  <c r="Q68" i="17" s="1"/>
  <c r="W68" i="17" s="1"/>
  <c r="X69" i="17" a="1"/>
  <c r="X69" i="17" s="1"/>
  <c r="Y69" i="17" s="1"/>
  <c r="X70" i="17" a="1"/>
  <c r="X70" i="17" s="1"/>
  <c r="Y70" i="17" s="1"/>
  <c r="Q70" i="17" s="1"/>
  <c r="W70" i="17" s="1"/>
  <c r="X71" i="17" a="1"/>
  <c r="X71" i="17" s="1"/>
  <c r="X72" i="17" a="1"/>
  <c r="X72" i="17" s="1"/>
  <c r="Y72" i="17" s="1"/>
  <c r="Q72" i="17" s="1"/>
  <c r="W72" i="17" s="1"/>
  <c r="X73" i="17" a="1"/>
  <c r="X73" i="17" s="1"/>
  <c r="X313" i="17" a="1"/>
  <c r="X313" i="17" s="1"/>
  <c r="Y313" i="17" s="1"/>
  <c r="Q313" i="17" s="1"/>
  <c r="W313" i="17" s="1"/>
  <c r="X74" i="17" a="1"/>
  <c r="X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Y77" i="17" s="1"/>
  <c r="Q77" i="17" s="1"/>
  <c r="W77" i="17" s="1"/>
  <c r="X78" i="17" a="1"/>
  <c r="X78" i="17" s="1"/>
  <c r="X79" i="17" a="1"/>
  <c r="X79" i="17"/>
  <c r="X314" i="17" a="1"/>
  <c r="X314" i="17" s="1"/>
  <c r="X80" i="17" a="1"/>
  <c r="X80" i="17" s="1"/>
  <c r="Y80" i="17" s="1"/>
  <c r="Q80" i="17" s="1"/>
  <c r="W80" i="17" s="1"/>
  <c r="X81" i="17" a="1"/>
  <c r="X81" i="17" s="1"/>
  <c r="X82" i="17" a="1"/>
  <c r="X82" i="17" s="1"/>
  <c r="Y82" i="17" s="1"/>
  <c r="Q82" i="17" s="1"/>
  <c r="W82" i="17" s="1"/>
  <c r="X83" i="17" a="1"/>
  <c r="X83" i="17" s="1"/>
  <c r="X84" i="17" a="1"/>
  <c r="X84" i="17" s="1"/>
  <c r="Y84" i="17" s="1"/>
  <c r="Q84" i="17" s="1"/>
  <c r="W84" i="17" s="1"/>
  <c r="X85" i="17" a="1"/>
  <c r="X85" i="17" s="1"/>
  <c r="X315" i="17" a="1"/>
  <c r="X315" i="17" s="1"/>
  <c r="Y315" i="17" s="1"/>
  <c r="Q315" i="17" s="1"/>
  <c r="W315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X89" i="17" a="1"/>
  <c r="X89" i="17" s="1"/>
  <c r="Y89" i="17" s="1"/>
  <c r="Q89" i="17" s="1"/>
  <c r="W89" i="17" s="1"/>
  <c r="X90" i="17" a="1"/>
  <c r="X90" i="17" s="1"/>
  <c r="X91" i="17" a="1"/>
  <c r="X91" i="17" s="1"/>
  <c r="Y91" i="17" s="1"/>
  <c r="Q91" i="17" s="1"/>
  <c r="W91" i="17" s="1"/>
  <c r="X316" i="17" a="1"/>
  <c r="X316" i="17" s="1"/>
  <c r="X92" i="17" a="1"/>
  <c r="X92" i="17" s="1"/>
  <c r="Y92" i="17" s="1"/>
  <c r="Q92" i="17" s="1"/>
  <c r="W92" i="17" s="1"/>
  <c r="X93" i="17" a="1"/>
  <c r="X93" i="17" s="1"/>
  <c r="X94" i="17" a="1"/>
  <c r="X94" i="17"/>
  <c r="X95" i="17" a="1"/>
  <c r="X95" i="17" s="1"/>
  <c r="X96" i="17" a="1"/>
  <c r="X96" i="17" s="1"/>
  <c r="Y96" i="17" s="1"/>
  <c r="Q96" i="17" s="1"/>
  <c r="W96" i="17" s="1"/>
  <c r="X97" i="17" a="1"/>
  <c r="X97" i="17" s="1"/>
  <c r="Y97" i="17" s="1"/>
  <c r="Q97" i="17" s="1"/>
  <c r="W97" i="17" s="1"/>
  <c r="X317" i="17" a="1"/>
  <c r="X317" i="17" s="1"/>
  <c r="X98" i="17" a="1"/>
  <c r="X98" i="17" s="1"/>
  <c r="X99" i="17" a="1"/>
  <c r="X99" i="17" s="1"/>
  <c r="Y99" i="17" s="1"/>
  <c r="Q99" i="17" s="1"/>
  <c r="W99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Y103" i="17" s="1"/>
  <c r="Q103" i="17" s="1"/>
  <c r="W103" i="17" s="1"/>
  <c r="X318" i="17" a="1"/>
  <c r="X318" i="17" s="1"/>
  <c r="Y318" i="17" s="1"/>
  <c r="Q318" i="17" s="1"/>
  <c r="W318" i="17" s="1"/>
  <c r="X104" i="17" a="1"/>
  <c r="X104" i="17"/>
  <c r="X105" i="17" a="1"/>
  <c r="X105" i="17" s="1"/>
  <c r="X106" i="17" a="1"/>
  <c r="X106" i="17" s="1"/>
  <c r="Y106" i="17" s="1"/>
  <c r="Q106" i="17" s="1"/>
  <c r="W106" i="17" s="1"/>
  <c r="X107" i="17" a="1"/>
  <c r="X107" i="17" s="1"/>
  <c r="X108" i="17" a="1"/>
  <c r="X108" i="17" s="1"/>
  <c r="Y108" i="17" s="1"/>
  <c r="Q108" i="17" s="1"/>
  <c r="W108" i="17" s="1"/>
  <c r="X109" i="17" a="1"/>
  <c r="X109" i="17" s="1"/>
  <c r="X319" i="17" a="1"/>
  <c r="X319" i="17" s="1"/>
  <c r="Y319" i="17" s="1"/>
  <c r="Q319" i="17" s="1"/>
  <c r="W319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X113" i="17" a="1"/>
  <c r="X113" i="17" s="1"/>
  <c r="Y113" i="17" s="1"/>
  <c r="Q113" i="17" s="1"/>
  <c r="W113" i="17" s="1"/>
  <c r="X114" i="17" a="1"/>
  <c r="X114" i="17" s="1"/>
  <c r="Y114" i="17" s="1"/>
  <c r="X115" i="17" a="1"/>
  <c r="X115" i="17" s="1"/>
  <c r="Y115" i="17" s="1"/>
  <c r="Q115" i="17" s="1"/>
  <c r="W115" i="17" s="1"/>
  <c r="X320" i="17" a="1"/>
  <c r="X320" i="17" s="1"/>
  <c r="Y320" i="17" s="1"/>
  <c r="Q320" i="17" s="1"/>
  <c r="W320" i="17" s="1"/>
  <c r="X116" i="17" a="1"/>
  <c r="X116" i="17"/>
  <c r="X117" i="17" a="1"/>
  <c r="X117" i="17" s="1"/>
  <c r="X118" i="17" a="1"/>
  <c r="X118" i="17" s="1"/>
  <c r="X119" i="17" a="1"/>
  <c r="X119" i="17" s="1"/>
  <c r="X120" i="17" a="1"/>
  <c r="X120" i="17" s="1"/>
  <c r="Y120" i="17" s="1"/>
  <c r="Q120" i="17" s="1"/>
  <c r="W120" i="17" s="1"/>
  <c r="X121" i="17" a="1"/>
  <c r="X121" i="17" s="1"/>
  <c r="X321" i="17" a="1"/>
  <c r="X321" i="17" s="1"/>
  <c r="Y321" i="17" s="1"/>
  <c r="Q321" i="17" s="1"/>
  <c r="W321" i="17" s="1"/>
  <c r="X122" i="17" a="1"/>
  <c r="X122" i="17" s="1"/>
  <c r="X123" i="17" a="1"/>
  <c r="X123" i="17" s="1"/>
  <c r="Y123" i="17" s="1"/>
  <c r="Q123" i="17" s="1"/>
  <c r="W123" i="17" s="1"/>
  <c r="X124" i="17" a="1"/>
  <c r="X124" i="17" s="1"/>
  <c r="Y124" i="17" s="1"/>
  <c r="Q124" i="17" s="1"/>
  <c r="W124" i="17" s="1"/>
  <c r="X125" i="17" a="1"/>
  <c r="X125" i="17" s="1"/>
  <c r="X126" i="17" a="1"/>
  <c r="X126" i="17" s="1"/>
  <c r="X127" i="17" a="1"/>
  <c r="X127" i="17" s="1"/>
  <c r="Y127" i="17" s="1"/>
  <c r="X322" i="17" a="1"/>
  <c r="X322" i="17" s="1"/>
  <c r="Y322" i="17" s="1"/>
  <c r="Q322" i="17" s="1"/>
  <c r="W322" i="17" s="1"/>
  <c r="X128" i="17" a="1"/>
  <c r="X128" i="17" s="1"/>
  <c r="Y128" i="17" s="1"/>
  <c r="Q128" i="17" s="1"/>
  <c r="W128" i="17" s="1"/>
  <c r="X129" i="17" a="1"/>
  <c r="X129" i="17" s="1"/>
  <c r="X130" i="17" a="1"/>
  <c r="X130" i="17" s="1"/>
  <c r="Y130" i="17" s="1"/>
  <c r="Q130" i="17" s="1"/>
  <c r="W130" i="17" s="1"/>
  <c r="X131" i="17" a="1"/>
  <c r="X131" i="17"/>
  <c r="X132" i="17" a="1"/>
  <c r="X132" i="17" s="1"/>
  <c r="Y132" i="17" s="1"/>
  <c r="Q132" i="17" s="1"/>
  <c r="W132" i="17" s="1"/>
  <c r="X133" i="17" a="1"/>
  <c r="X133" i="17" s="1"/>
  <c r="X323" i="17" a="1"/>
  <c r="X323" i="17" s="1"/>
  <c r="Y323" i="17" s="1"/>
  <c r="Q323" i="17" s="1"/>
  <c r="W323" i="17" s="1"/>
  <c r="X134" i="17" a="1"/>
  <c r="X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324" i="17" a="1"/>
  <c r="X324" i="17" s="1"/>
  <c r="Y324" i="17" s="1"/>
  <c r="Q324" i="17" s="1"/>
  <c r="W324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42" i="17" a="1"/>
  <c r="X142" i="17" s="1"/>
  <c r="Y142" i="17" s="1"/>
  <c r="Q142" i="17" s="1"/>
  <c r="W142" i="17" s="1"/>
  <c r="X143" i="17" a="1"/>
  <c r="X143" i="17" s="1"/>
  <c r="X144" i="17" a="1"/>
  <c r="X144" i="17" s="1"/>
  <c r="X145" i="17" a="1"/>
  <c r="X145" i="17" s="1"/>
  <c r="X325" i="17" a="1"/>
  <c r="X325" i="17" s="1"/>
  <c r="Y325" i="17" s="1"/>
  <c r="Q325" i="17" s="1"/>
  <c r="W325" i="17" s="1"/>
  <c r="X146" i="17" a="1"/>
  <c r="X146" i="17" s="1"/>
  <c r="X147" i="17" a="1"/>
  <c r="X147" i="17" s="1"/>
  <c r="X148" i="17" a="1"/>
  <c r="X148" i="17" s="1"/>
  <c r="X149" i="17" a="1"/>
  <c r="X149" i="17"/>
  <c r="X150" i="17" a="1"/>
  <c r="X150" i="17" s="1"/>
  <c r="X151" i="17" a="1"/>
  <c r="X151" i="17" s="1"/>
  <c r="Y151" i="17" s="1"/>
  <c r="Q151" i="17" s="1"/>
  <c r="W151" i="17" s="1"/>
  <c r="X326" i="17" a="1"/>
  <c r="X326" i="17" s="1"/>
  <c r="Y326" i="17" s="1"/>
  <c r="Q326" i="17" s="1"/>
  <c r="W326" i="17" s="1"/>
  <c r="X152" i="17" a="1"/>
  <c r="X152" i="17" s="1"/>
  <c r="X153" i="17" a="1"/>
  <c r="X153" i="17" s="1"/>
  <c r="X154" i="17" a="1"/>
  <c r="X154" i="17" s="1"/>
  <c r="Y154" i="17" s="1"/>
  <c r="X155" i="17" a="1"/>
  <c r="X155" i="17" s="1"/>
  <c r="X156" i="17" a="1"/>
  <c r="X156" i="17" s="1"/>
  <c r="Y156" i="17" s="1"/>
  <c r="Q156" i="17" s="1"/>
  <c r="W156" i="17" s="1"/>
  <c r="X157" i="17" a="1"/>
  <c r="X157" i="17" s="1"/>
  <c r="X327" i="17" a="1"/>
  <c r="X327" i="17" s="1"/>
  <c r="X158" i="17" a="1"/>
  <c r="X158" i="17" s="1"/>
  <c r="Y158" i="17" s="1"/>
  <c r="Q158" i="17" s="1"/>
  <c r="W158" i="17" s="1"/>
  <c r="X159" i="17" a="1"/>
  <c r="X159" i="17" s="1"/>
  <c r="Y159" i="17" s="1"/>
  <c r="Q159" i="17" s="1"/>
  <c r="W159" i="17" s="1"/>
  <c r="X160" i="17" a="1"/>
  <c r="X160" i="17" s="1"/>
  <c r="X161" i="17" a="1"/>
  <c r="X161" i="17" s="1"/>
  <c r="Y161" i="17" s="1"/>
  <c r="Q161" i="17" s="1"/>
  <c r="W161" i="17" s="1"/>
  <c r="X162" i="17" a="1"/>
  <c r="X162" i="17" s="1"/>
  <c r="X163" i="17" a="1"/>
  <c r="X163" i="17" s="1"/>
  <c r="Y163" i="17" s="1"/>
  <c r="Q163" i="17" s="1"/>
  <c r="W163" i="17" s="1"/>
  <c r="X328" i="17" a="1"/>
  <c r="X328" i="17" s="1"/>
  <c r="X164" i="17" a="1"/>
  <c r="X164" i="17" s="1"/>
  <c r="X165" i="17" a="1"/>
  <c r="X165" i="17" s="1"/>
  <c r="Y165" i="17" s="1"/>
  <c r="Q165" i="17" s="1"/>
  <c r="W165" i="17" s="1"/>
  <c r="X166" i="17" a="1"/>
  <c r="X166" i="17" s="1"/>
  <c r="Y166" i="17" s="1"/>
  <c r="Q166" i="17" s="1"/>
  <c r="W166" i="17" s="1"/>
  <c r="X167" i="17" a="1"/>
  <c r="X167" i="17" s="1"/>
  <c r="X168" i="17" a="1"/>
  <c r="X168" i="17" s="1"/>
  <c r="Y168" i="17" s="1"/>
  <c r="Q168" i="17" s="1"/>
  <c r="W168" i="17" s="1"/>
  <c r="X169" i="17" a="1"/>
  <c r="X169" i="17" s="1"/>
  <c r="Y169" i="17" s="1"/>
  <c r="Q169" i="17" s="1"/>
  <c r="W169" i="17" s="1"/>
  <c r="X329" i="17" a="1"/>
  <c r="X329" i="17" s="1"/>
  <c r="Y329" i="17" s="1"/>
  <c r="X170" i="17" a="1"/>
  <c r="X170" i="17" s="1"/>
  <c r="Y170" i="17" s="1"/>
  <c r="Q170" i="17" s="1"/>
  <c r="W170" i="17" s="1"/>
  <c r="X171" i="17" a="1"/>
  <c r="X171" i="17" s="1"/>
  <c r="X172" i="17" a="1"/>
  <c r="X172" i="17" s="1"/>
  <c r="Y172" i="17" s="1"/>
  <c r="Q172" i="17" s="1"/>
  <c r="W172" i="17" s="1"/>
  <c r="X173" i="17" a="1"/>
  <c r="X173" i="17" s="1"/>
  <c r="X174" i="17" a="1"/>
  <c r="X174" i="17" s="1"/>
  <c r="X175" i="17" a="1"/>
  <c r="X175" i="17" s="1"/>
  <c r="Y175" i="17" s="1"/>
  <c r="Q175" i="17" s="1"/>
  <c r="W175" i="17" s="1"/>
  <c r="X330" i="17" a="1"/>
  <c r="X330" i="17" s="1"/>
  <c r="X176" i="17" a="1"/>
  <c r="X176" i="17" s="1"/>
  <c r="Y176" i="17" s="1"/>
  <c r="Q176" i="17" s="1"/>
  <c r="W176" i="17" s="1"/>
  <c r="X177" i="17" a="1"/>
  <c r="X177" i="17" s="1"/>
  <c r="X178" i="17" a="1"/>
  <c r="X178" i="17" s="1"/>
  <c r="X179" i="17" a="1"/>
  <c r="X179" i="17" s="1"/>
  <c r="X180" i="17" a="1"/>
  <c r="X180" i="17" s="1"/>
  <c r="X181" i="17" a="1"/>
  <c r="X181" i="17" s="1"/>
  <c r="X331" i="17" a="1"/>
  <c r="X331" i="17" s="1"/>
  <c r="X182" i="17" a="1"/>
  <c r="X182" i="17" s="1"/>
  <c r="X183" i="17" a="1"/>
  <c r="X183" i="17" s="1"/>
  <c r="Y183" i="17" s="1"/>
  <c r="Q183" i="17" s="1"/>
  <c r="W183" i="17" s="1"/>
  <c r="X184" i="17" a="1"/>
  <c r="X184" i="17" s="1"/>
  <c r="Y184" i="17" s="1"/>
  <c r="Q184" i="17" s="1"/>
  <c r="W184" i="17" s="1"/>
  <c r="X185" i="17" a="1"/>
  <c r="X185" i="17" s="1"/>
  <c r="X186" i="17" a="1"/>
  <c r="X186" i="17" s="1"/>
  <c r="X187" i="17" a="1"/>
  <c r="X187" i="17" s="1"/>
  <c r="X332" i="17" a="1"/>
  <c r="X332" i="17" s="1"/>
  <c r="X188" i="17" a="1"/>
  <c r="X188" i="17" s="1"/>
  <c r="X189" i="17" a="1"/>
  <c r="X189" i="17" s="1"/>
  <c r="X190" i="17" a="1"/>
  <c r="X190" i="17" s="1"/>
  <c r="Y190" i="17" s="1"/>
  <c r="Q190" i="17" s="1"/>
  <c r="W190" i="17" s="1"/>
  <c r="X191" i="17" a="1"/>
  <c r="X191" i="17" s="1"/>
  <c r="Y191" i="17" s="1"/>
  <c r="Q191" i="17" s="1"/>
  <c r="W191" i="17" s="1"/>
  <c r="X192" i="17" a="1"/>
  <c r="X192" i="17" s="1"/>
  <c r="X193" i="17" a="1"/>
  <c r="X193" i="17" s="1"/>
  <c r="X333" i="17" a="1"/>
  <c r="X333" i="17" s="1"/>
  <c r="X194" i="17" a="1"/>
  <c r="X194" i="17" s="1"/>
  <c r="X195" i="17" a="1"/>
  <c r="X195" i="17" s="1"/>
  <c r="X196" i="17" a="1"/>
  <c r="X196" i="17" s="1"/>
  <c r="X197" i="17" a="1"/>
  <c r="X197" i="17" s="1"/>
  <c r="Y197" i="17" s="1"/>
  <c r="Q197" i="17" s="1"/>
  <c r="W197" i="17" s="1"/>
  <c r="X198" i="17" a="1"/>
  <c r="X198" i="17" s="1"/>
  <c r="Y198" i="17" s="1"/>
  <c r="Q198" i="17" s="1"/>
  <c r="W198" i="17" s="1"/>
  <c r="X199" i="17" a="1"/>
  <c r="X199" i="17" s="1"/>
  <c r="X334" i="17" a="1"/>
  <c r="X334" i="17" s="1"/>
  <c r="X200" i="17" a="1"/>
  <c r="X200" i="17" s="1"/>
  <c r="X201" i="17" a="1"/>
  <c r="X201" i="17" s="1"/>
  <c r="X202" i="17" a="1"/>
  <c r="X202" i="17" s="1"/>
  <c r="X203" i="17" a="1"/>
  <c r="X203" i="17" s="1"/>
  <c r="X204" i="17" a="1"/>
  <c r="X204" i="17" s="1"/>
  <c r="Y204" i="17" s="1"/>
  <c r="X205" i="17" a="1"/>
  <c r="X205" i="17" s="1"/>
  <c r="Y205" i="17" s="1"/>
  <c r="Q205" i="17" s="1"/>
  <c r="W205" i="17" s="1"/>
  <c r="X335" i="17" a="1"/>
  <c r="X335" i="17" s="1"/>
  <c r="X206" i="17" a="1"/>
  <c r="X206" i="17" s="1"/>
  <c r="X207" i="17" a="1"/>
  <c r="X207" i="17" s="1"/>
  <c r="X208" i="17" a="1"/>
  <c r="X208" i="17" s="1"/>
  <c r="X209" i="17" a="1"/>
  <c r="X209" i="17" s="1"/>
  <c r="X210" i="17" a="1"/>
  <c r="X210" i="17" s="1"/>
  <c r="X211" i="17" a="1"/>
  <c r="X211" i="17" s="1"/>
  <c r="Y211" i="17" s="1"/>
  <c r="Q211" i="17" s="1"/>
  <c r="W211" i="17" s="1"/>
  <c r="X336" i="17" a="1"/>
  <c r="X336" i="17" s="1"/>
  <c r="Y336" i="17" s="1"/>
  <c r="Q336" i="17" s="1"/>
  <c r="W336" i="17" s="1"/>
  <c r="X212" i="17" a="1"/>
  <c r="X212" i="17" s="1"/>
  <c r="X213" i="17" a="1"/>
  <c r="X213" i="17" s="1"/>
  <c r="X214" i="17" a="1"/>
  <c r="X214" i="17" s="1"/>
  <c r="X215" i="17" a="1"/>
  <c r="X215" i="17" s="1"/>
  <c r="X216" i="17" a="1"/>
  <c r="X216" i="17" s="1"/>
  <c r="X217" i="17" a="1"/>
  <c r="X217" i="17" s="1"/>
  <c r="X337" i="17" a="1"/>
  <c r="X337" i="17" s="1"/>
  <c r="Y337" i="17" s="1"/>
  <c r="Q337" i="17" s="1"/>
  <c r="W337" i="17" s="1"/>
  <c r="X218" i="17" a="1"/>
  <c r="X218" i="17" s="1"/>
  <c r="Y218" i="17" s="1"/>
  <c r="Q218" i="17" s="1"/>
  <c r="W218" i="17" s="1"/>
  <c r="X219" i="17" a="1"/>
  <c r="X219" i="17" s="1"/>
  <c r="X220" i="17" a="1"/>
  <c r="X220" i="17" s="1"/>
  <c r="X221" i="17" a="1"/>
  <c r="X221" i="17" s="1"/>
  <c r="X222" i="17" a="1"/>
  <c r="X222" i="17" s="1"/>
  <c r="X223" i="17" a="1"/>
  <c r="X223" i="17" s="1"/>
  <c r="X338" i="17" a="1"/>
  <c r="X338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 s="1"/>
  <c r="X227" i="17" a="1"/>
  <c r="X227" i="17" s="1"/>
  <c r="X228" i="17" a="1"/>
  <c r="X228" i="17" s="1"/>
  <c r="X229" i="17" a="1"/>
  <c r="X229" i="17" s="1"/>
  <c r="X339" i="17" a="1"/>
  <c r="X339" i="17" s="1"/>
  <c r="X230" i="17" a="1"/>
  <c r="X230" i="17" s="1"/>
  <c r="X231" i="17" a="1"/>
  <c r="X231" i="17" s="1"/>
  <c r="Y231" i="17" s="1"/>
  <c r="X232" i="17" a="1"/>
  <c r="X232" i="17" s="1"/>
  <c r="X233" i="17" a="1"/>
  <c r="X233" i="17" s="1"/>
  <c r="X234" i="17" a="1"/>
  <c r="X234" i="17" s="1"/>
  <c r="X235" i="17" a="1"/>
  <c r="X235" i="17" s="1"/>
  <c r="X340" i="17" a="1"/>
  <c r="X340" i="17" s="1"/>
  <c r="X236" i="17" a="1"/>
  <c r="X236" i="17" s="1"/>
  <c r="X237" i="17" a="1"/>
  <c r="X237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X241" i="17" a="1"/>
  <c r="X241" i="17" s="1"/>
  <c r="X341" i="17" a="1"/>
  <c r="X341" i="17" s="1"/>
  <c r="X242" i="17" a="1"/>
  <c r="X242" i="17" s="1"/>
  <c r="Y242" i="17" s="1"/>
  <c r="X243" i="17" a="1"/>
  <c r="X243" i="17" s="1"/>
  <c r="X244" i="17" a="1"/>
  <c r="X244" i="17" s="1"/>
  <c r="X245" i="17" a="1"/>
  <c r="X245" i="17" s="1"/>
  <c r="Y245" i="17" s="1"/>
  <c r="Q245" i="17" s="1"/>
  <c r="W245" i="17" s="1"/>
  <c r="X246" i="17" a="1"/>
  <c r="X246" i="17" s="1"/>
  <c r="Y246" i="17" s="1"/>
  <c r="Q246" i="17" s="1"/>
  <c r="W246" i="17" s="1"/>
  <c r="X247" i="17" a="1"/>
  <c r="X247" i="17" s="1"/>
  <c r="X342" i="17" a="1"/>
  <c r="X342" i="17" s="1"/>
  <c r="X248" i="17" a="1"/>
  <c r="X248" i="17" s="1"/>
  <c r="X249" i="17" a="1"/>
  <c r="X249" i="17" s="1"/>
  <c r="X250" i="17" a="1"/>
  <c r="X250" i="17" s="1"/>
  <c r="Y250" i="17" s="1"/>
  <c r="Q250" i="17" s="1"/>
  <c r="W250" i="17" s="1"/>
  <c r="X251" i="17" a="1"/>
  <c r="X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343" i="17" a="1"/>
  <c r="X343" i="17" s="1"/>
  <c r="X254" i="17" a="1"/>
  <c r="X254" i="17" s="1"/>
  <c r="X255" i="17" a="1"/>
  <c r="X255" i="17" s="1"/>
  <c r="X256" i="17" a="1"/>
  <c r="X256" i="17" s="1"/>
  <c r="X257" i="17" a="1"/>
  <c r="X257" i="17" s="1"/>
  <c r="X258" i="17" a="1"/>
  <c r="X258" i="17" s="1"/>
  <c r="X259" i="17" a="1"/>
  <c r="X259" i="17" s="1"/>
  <c r="Y259" i="17" s="1"/>
  <c r="Q259" i="17" s="1"/>
  <c r="W259" i="17" s="1"/>
  <c r="X344" i="17" a="1"/>
  <c r="X344" i="17" s="1"/>
  <c r="Y344" i="17" s="1"/>
  <c r="Q344" i="17" s="1"/>
  <c r="W344" i="17" s="1"/>
  <c r="X260" i="17" a="1"/>
  <c r="X260" i="17" s="1"/>
  <c r="X261" i="17" a="1"/>
  <c r="X261" i="17" s="1"/>
  <c r="X262" i="17" a="1"/>
  <c r="X262" i="17" s="1"/>
  <c r="X263" i="17" a="1"/>
  <c r="X263" i="17" s="1"/>
  <c r="X264" i="17" a="1"/>
  <c r="X264" i="17" s="1"/>
  <c r="X265" i="17" a="1"/>
  <c r="X265" i="17" s="1"/>
  <c r="X345" i="17" a="1"/>
  <c r="X345" i="17" s="1"/>
  <c r="Y345" i="17" s="1"/>
  <c r="Q345" i="17" s="1"/>
  <c r="W345" i="17" s="1"/>
  <c r="X266" i="17" a="1"/>
  <c r="X266" i="17" s="1"/>
  <c r="Y266" i="17" s="1"/>
  <c r="Q266" i="17" s="1"/>
  <c r="W266" i="17" s="1"/>
  <c r="X267" i="17" a="1"/>
  <c r="X267" i="17" s="1"/>
  <c r="X268" i="17" a="1"/>
  <c r="X268" i="17" s="1"/>
  <c r="X269" i="17" a="1"/>
  <c r="X269" i="17" s="1"/>
  <c r="X270" i="17" a="1"/>
  <c r="X270" i="17" s="1"/>
  <c r="X271" i="17" a="1"/>
  <c r="X271" i="17" s="1"/>
  <c r="X346" i="17" a="1"/>
  <c r="X346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 s="1"/>
  <c r="Y274" i="17" s="1"/>
  <c r="Q274" i="17" s="1"/>
  <c r="W274" i="17" s="1"/>
  <c r="X275" i="17" a="1"/>
  <c r="X275" i="17" s="1"/>
  <c r="X276" i="17" a="1"/>
  <c r="X276" i="17" s="1"/>
  <c r="X277" i="17" a="1"/>
  <c r="X277" i="17" s="1"/>
  <c r="X347" i="17" a="1"/>
  <c r="X347" i="17" s="1"/>
  <c r="X278" i="17" a="1"/>
  <c r="X278" i="17" s="1"/>
  <c r="X279" i="17" a="1"/>
  <c r="X279" i="17" s="1"/>
  <c r="Y279" i="17" s="1"/>
  <c r="Q279" i="17" s="1"/>
  <c r="W279" i="17" s="1"/>
  <c r="X280" i="17" a="1"/>
  <c r="X280" i="17" s="1"/>
  <c r="Y280" i="17" s="1"/>
  <c r="Q280" i="17" s="1"/>
  <c r="W280" i="17" s="1"/>
  <c r="X281" i="17" a="1"/>
  <c r="X281" i="17" s="1"/>
  <c r="X282" i="17" a="1"/>
  <c r="X282" i="17" s="1"/>
  <c r="Y282" i="17" s="1"/>
  <c r="Q282" i="17" s="1"/>
  <c r="W282" i="17" s="1"/>
  <c r="X283" i="17" a="1"/>
  <c r="X283" i="17" s="1"/>
  <c r="X348" i="17" a="1"/>
  <c r="X348" i="17" s="1"/>
  <c r="X284" i="17" a="1"/>
  <c r="X284" i="17" s="1"/>
  <c r="Y284" i="17" s="1"/>
  <c r="Q284" i="17" s="1"/>
  <c r="W284" i="17" s="1"/>
  <c r="X285" i="17" a="1"/>
  <c r="X285" i="17" s="1"/>
  <c r="X286" i="17" a="1"/>
  <c r="X286" i="17" s="1"/>
  <c r="Y286" i="17" s="1"/>
  <c r="Q286" i="17" s="1"/>
  <c r="W286" i="17" s="1"/>
  <c r="X287" i="17" a="1"/>
  <c r="X287" i="17" s="1"/>
  <c r="X288" i="17" a="1"/>
  <c r="X288" i="17" s="1"/>
  <c r="X289" i="17" a="1"/>
  <c r="X289" i="17" s="1"/>
  <c r="X349" i="17" a="1"/>
  <c r="X349" i="17" s="1"/>
  <c r="X290" i="17" a="1"/>
  <c r="X290" i="17" s="1"/>
  <c r="X291" i="17" a="1"/>
  <c r="X291" i="17" s="1"/>
  <c r="X292" i="17" a="1"/>
  <c r="X292" i="17" s="1"/>
  <c r="X293" i="17" a="1"/>
  <c r="X293" i="17" s="1"/>
  <c r="Y293" i="17" s="1"/>
  <c r="Q293" i="17" s="1"/>
  <c r="W293" i="17" s="1"/>
  <c r="X294" i="17" a="1"/>
  <c r="X294" i="17" s="1"/>
  <c r="X295" i="17" a="1"/>
  <c r="X295" i="17" s="1"/>
  <c r="X350" i="17" a="1"/>
  <c r="X350" i="17" s="1"/>
  <c r="X296" i="17" a="1"/>
  <c r="X296" i="17" s="1"/>
  <c r="Y296" i="17" s="1"/>
  <c r="Q296" i="17" s="1"/>
  <c r="W296" i="17" s="1"/>
  <c r="X297" i="17" a="1"/>
  <c r="X297" i="17" s="1"/>
  <c r="X298" i="17" a="1"/>
  <c r="X298" i="17" s="1"/>
  <c r="Y298" i="17" s="1"/>
  <c r="Q298" i="17" s="1"/>
  <c r="W298" i="17" s="1"/>
  <c r="X299" i="17" a="1"/>
  <c r="X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351" i="17" a="1"/>
  <c r="X351" i="17" s="1"/>
  <c r="Y2" i="17"/>
  <c r="Y5" i="17"/>
  <c r="Y6" i="17"/>
  <c r="Q6" i="17" s="1"/>
  <c r="W6" i="17" s="1"/>
  <c r="Y7" i="17"/>
  <c r="Q7" i="17" s="1"/>
  <c r="W7" i="17" s="1"/>
  <c r="Y302" i="17"/>
  <c r="Q302" i="17" s="1"/>
  <c r="W302" i="17" s="1"/>
  <c r="Y9" i="17"/>
  <c r="Q9" i="17" s="1"/>
  <c r="W9" i="17" s="1"/>
  <c r="Y11" i="17"/>
  <c r="Q11" i="17" s="1"/>
  <c r="W11" i="17" s="1"/>
  <c r="Y13" i="17"/>
  <c r="Y14" i="17"/>
  <c r="Y16" i="17"/>
  <c r="Q16" i="17" s="1"/>
  <c r="W16" i="17" s="1"/>
  <c r="Y18" i="17"/>
  <c r="Q18" i="17" s="1"/>
  <c r="W18" i="17" s="1"/>
  <c r="Y304" i="17"/>
  <c r="Y23" i="17"/>
  <c r="Q23" i="17" s="1"/>
  <c r="W23" i="17" s="1"/>
  <c r="Y25" i="17"/>
  <c r="Q25" i="17" s="1"/>
  <c r="W25" i="17" s="1"/>
  <c r="Y26" i="17"/>
  <c r="Y28" i="17"/>
  <c r="Q28" i="17" s="1"/>
  <c r="W28" i="17" s="1"/>
  <c r="Y30" i="17"/>
  <c r="Q30" i="17" s="1"/>
  <c r="W30" i="17" s="1"/>
  <c r="Y33" i="17"/>
  <c r="Q33" i="17" s="1"/>
  <c r="W33" i="17" s="1"/>
  <c r="Y35" i="17"/>
  <c r="Q35" i="17" s="1"/>
  <c r="W35" i="17" s="1"/>
  <c r="Y37" i="17"/>
  <c r="Q37" i="17" s="1"/>
  <c r="W37" i="17" s="1"/>
  <c r="Y38" i="17"/>
  <c r="Q38" i="17" s="1"/>
  <c r="W38" i="17" s="1"/>
  <c r="Y40" i="17"/>
  <c r="Q40" i="17" s="1"/>
  <c r="W40" i="17" s="1"/>
  <c r="Y308" i="17"/>
  <c r="Q308" i="17" s="1"/>
  <c r="W308" i="17" s="1"/>
  <c r="Y45" i="17"/>
  <c r="Q45" i="17" s="1"/>
  <c r="W45" i="17" s="1"/>
  <c r="Y47" i="17"/>
  <c r="Q47" i="17" s="1"/>
  <c r="W47" i="17" s="1"/>
  <c r="Y50" i="17"/>
  <c r="Q50" i="17" s="1"/>
  <c r="W50" i="17" s="1"/>
  <c r="Y52" i="17"/>
  <c r="Q52" i="17" s="1"/>
  <c r="W52" i="17" s="1"/>
  <c r="Y54" i="17"/>
  <c r="Q54" i="17" s="1"/>
  <c r="W54" i="17" s="1"/>
  <c r="Y310" i="17"/>
  <c r="Y57" i="17"/>
  <c r="Q57" i="17" s="1"/>
  <c r="W57" i="17" s="1"/>
  <c r="Y59" i="17"/>
  <c r="Q59" i="17" s="1"/>
  <c r="W59" i="17" s="1"/>
  <c r="Y61" i="17"/>
  <c r="Q61" i="17" s="1"/>
  <c r="W61" i="17" s="1"/>
  <c r="Y62" i="17"/>
  <c r="Q62" i="17" s="1"/>
  <c r="W62" i="17" s="1"/>
  <c r="Y64" i="17"/>
  <c r="Q64" i="17" s="1"/>
  <c r="W64" i="17" s="1"/>
  <c r="Y66" i="17"/>
  <c r="Y312" i="17"/>
  <c r="Q312" i="17" s="1"/>
  <c r="W312" i="17" s="1"/>
  <c r="Y71" i="17"/>
  <c r="Q71" i="17" s="1"/>
  <c r="W71" i="17" s="1"/>
  <c r="Y73" i="17"/>
  <c r="Q73" i="17" s="1"/>
  <c r="W73" i="17" s="1"/>
  <c r="Y74" i="17"/>
  <c r="Q74" i="17" s="1"/>
  <c r="W74" i="17" s="1"/>
  <c r="Y78" i="17"/>
  <c r="Q78" i="17" s="1"/>
  <c r="W78" i="17" s="1"/>
  <c r="Y79" i="17"/>
  <c r="Q79" i="17" s="1"/>
  <c r="W79" i="17" s="1"/>
  <c r="Y314" i="17"/>
  <c r="Q314" i="17" s="1"/>
  <c r="W314" i="17" s="1"/>
  <c r="Y81" i="17"/>
  <c r="Q81" i="17" s="1"/>
  <c r="W81" i="17" s="1"/>
  <c r="Y83" i="17"/>
  <c r="Y85" i="17"/>
  <c r="Y88" i="17"/>
  <c r="Q88" i="17" s="1"/>
  <c r="W88" i="17" s="1"/>
  <c r="Y90" i="17"/>
  <c r="Q90" i="17" s="1"/>
  <c r="W90" i="17" s="1"/>
  <c r="Y316" i="17"/>
  <c r="Q316" i="17" s="1"/>
  <c r="W316" i="17" s="1"/>
  <c r="Y93" i="17"/>
  <c r="Q93" i="17" s="1"/>
  <c r="W93" i="17" s="1"/>
  <c r="Y94" i="17"/>
  <c r="Y95" i="17"/>
  <c r="Q95" i="17" s="1"/>
  <c r="W95" i="17" s="1"/>
  <c r="Y317" i="17"/>
  <c r="Q317" i="17" s="1"/>
  <c r="W317" i="17" s="1"/>
  <c r="Y98" i="17"/>
  <c r="Q98" i="17" s="1"/>
  <c r="W98" i="17" s="1"/>
  <c r="Y100" i="17"/>
  <c r="Y102" i="17"/>
  <c r="Q102" i="17" s="1"/>
  <c r="W102" i="17" s="1"/>
  <c r="Y104" i="17"/>
  <c r="Q104" i="17" s="1"/>
  <c r="W104" i="17" s="1"/>
  <c r="Y105" i="17"/>
  <c r="Q105" i="17" s="1"/>
  <c r="W105" i="17" s="1"/>
  <c r="Y107" i="17"/>
  <c r="Q107" i="17" s="1"/>
  <c r="W107" i="17" s="1"/>
  <c r="Y109" i="17"/>
  <c r="Q109" i="17" s="1"/>
  <c r="W109" i="17" s="1"/>
  <c r="Y110" i="17"/>
  <c r="Q110" i="17" s="1"/>
  <c r="W110" i="17" s="1"/>
  <c r="Y112" i="17"/>
  <c r="Q112" i="17" s="1"/>
  <c r="W112" i="17" s="1"/>
  <c r="Y116" i="17"/>
  <c r="Q116" i="17" s="1"/>
  <c r="W116" i="17" s="1"/>
  <c r="Y117" i="17"/>
  <c r="Q117" i="17" s="1"/>
  <c r="W117" i="17" s="1"/>
  <c r="Y118" i="17"/>
  <c r="Q118" i="17" s="1"/>
  <c r="W118" i="17" s="1"/>
  <c r="Y119" i="17"/>
  <c r="Q119" i="17" s="1"/>
  <c r="W119" i="17" s="1"/>
  <c r="Y121" i="17"/>
  <c r="Q121" i="17" s="1"/>
  <c r="W121" i="17" s="1"/>
  <c r="Y122" i="17"/>
  <c r="Y125" i="17"/>
  <c r="Q125" i="17" s="1"/>
  <c r="W125" i="17" s="1"/>
  <c r="Y126" i="17"/>
  <c r="Q126" i="17" s="1"/>
  <c r="W126" i="17" s="1"/>
  <c r="Y129" i="17"/>
  <c r="Q129" i="17" s="1"/>
  <c r="W129" i="17" s="1"/>
  <c r="Y131" i="17"/>
  <c r="Q131" i="17" s="1"/>
  <c r="W131" i="17" s="1"/>
  <c r="Y133" i="17"/>
  <c r="Q133" i="17" s="1"/>
  <c r="W133" i="17" s="1"/>
  <c r="Y134" i="17"/>
  <c r="Q134" i="17" s="1"/>
  <c r="W134" i="17" s="1"/>
  <c r="Y136" i="17"/>
  <c r="Y138" i="17"/>
  <c r="Y143" i="17"/>
  <c r="Q143" i="17" s="1"/>
  <c r="W143" i="17" s="1"/>
  <c r="Y145" i="17"/>
  <c r="Q145" i="17" s="1"/>
  <c r="W145" i="17" s="1"/>
  <c r="Y146" i="17"/>
  <c r="Q146" i="17" s="1"/>
  <c r="W146" i="17" s="1"/>
  <c r="Y148" i="17"/>
  <c r="Q148" i="17" s="1"/>
  <c r="W148" i="17" s="1"/>
  <c r="Y149" i="17"/>
  <c r="Q149" i="17" s="1"/>
  <c r="W149" i="17" s="1"/>
  <c r="Y150" i="17"/>
  <c r="Y152" i="17"/>
  <c r="Q152" i="17" s="1"/>
  <c r="W152" i="17" s="1"/>
  <c r="Y153" i="17"/>
  <c r="Q153" i="17" s="1"/>
  <c r="W153" i="17" s="1"/>
  <c r="Y155" i="17"/>
  <c r="Q155" i="17" s="1"/>
  <c r="W155" i="17" s="1"/>
  <c r="Y157" i="17"/>
  <c r="Q157" i="17" s="1"/>
  <c r="W157" i="17" s="1"/>
  <c r="Y160" i="17"/>
  <c r="Q160" i="17" s="1"/>
  <c r="W160" i="17" s="1"/>
  <c r="Y162" i="17"/>
  <c r="Q162" i="17" s="1"/>
  <c r="W162" i="17" s="1"/>
  <c r="Y328" i="17"/>
  <c r="Q328" i="17" s="1"/>
  <c r="W328" i="17" s="1"/>
  <c r="Y164" i="17"/>
  <c r="Q164" i="17" s="1"/>
  <c r="W164" i="17" s="1"/>
  <c r="Y167" i="17"/>
  <c r="Y171" i="17"/>
  <c r="Q171" i="17" s="1"/>
  <c r="W171" i="17" s="1"/>
  <c r="Y173" i="17"/>
  <c r="Q173" i="17" s="1"/>
  <c r="W173" i="17" s="1"/>
  <c r="Y174" i="17"/>
  <c r="Q174" i="17" s="1"/>
  <c r="W174" i="17" s="1"/>
  <c r="Y330" i="17"/>
  <c r="Y177" i="17"/>
  <c r="Q177" i="17" s="1"/>
  <c r="W177" i="17" s="1"/>
  <c r="Y178" i="17"/>
  <c r="Y179" i="17"/>
  <c r="Y180" i="17"/>
  <c r="Q180" i="17" s="1"/>
  <c r="W180" i="17" s="1"/>
  <c r="Y181" i="17"/>
  <c r="Q181" i="17" s="1"/>
  <c r="W181" i="17" s="1"/>
  <c r="Y331" i="17"/>
  <c r="Q331" i="17" s="1"/>
  <c r="W331" i="17" s="1"/>
  <c r="Y182" i="17"/>
  <c r="Y185" i="17"/>
  <c r="Q185" i="17" s="1"/>
  <c r="W185" i="17" s="1"/>
  <c r="Y186" i="17"/>
  <c r="Q186" i="17" s="1"/>
  <c r="W186" i="17" s="1"/>
  <c r="Y187" i="17"/>
  <c r="Q187" i="17" s="1"/>
  <c r="W187" i="17" s="1"/>
  <c r="Y332" i="17"/>
  <c r="Q332" i="17" s="1"/>
  <c r="W332" i="17" s="1"/>
  <c r="Y188" i="17"/>
  <c r="Q188" i="17" s="1"/>
  <c r="W188" i="17" s="1"/>
  <c r="Y189" i="17"/>
  <c r="Y192" i="17"/>
  <c r="Q192" i="17" s="1"/>
  <c r="W192" i="17" s="1"/>
  <c r="Y193" i="17"/>
  <c r="Q193" i="17" s="1"/>
  <c r="W193" i="17" s="1"/>
  <c r="Y333" i="17"/>
  <c r="Q333" i="17" s="1"/>
  <c r="W333" i="17" s="1"/>
  <c r="Y194" i="17"/>
  <c r="Q194" i="17" s="1"/>
  <c r="W194" i="17" s="1"/>
  <c r="Y195" i="17"/>
  <c r="Q195" i="17" s="1"/>
  <c r="W195" i="17" s="1"/>
  <c r="Y196" i="17"/>
  <c r="Q196" i="17" s="1"/>
  <c r="W196" i="17" s="1"/>
  <c r="Y199" i="17"/>
  <c r="Y334" i="17"/>
  <c r="Q334" i="17" s="1"/>
  <c r="W334" i="17" s="1"/>
  <c r="Y200" i="17"/>
  <c r="Q200" i="17" s="1"/>
  <c r="W200" i="17" s="1"/>
  <c r="Y201" i="17"/>
  <c r="Q201" i="17" s="1"/>
  <c r="W201" i="17" s="1"/>
  <c r="Y203" i="17"/>
  <c r="Q203" i="17" s="1"/>
  <c r="W203" i="17" s="1"/>
  <c r="Y335" i="17"/>
  <c r="Q335" i="17" s="1"/>
  <c r="W335" i="17" s="1"/>
  <c r="Y206" i="17"/>
  <c r="Q206" i="17" s="1"/>
  <c r="W206" i="17" s="1"/>
  <c r="Y207" i="17"/>
  <c r="Q207" i="17" s="1"/>
  <c r="W207" i="17" s="1"/>
  <c r="Y208" i="17"/>
  <c r="Q208" i="17" s="1"/>
  <c r="W208" i="17" s="1"/>
  <c r="Y209" i="17"/>
  <c r="Q209" i="17" s="1"/>
  <c r="W209" i="17" s="1"/>
  <c r="Y210" i="17"/>
  <c r="Q210" i="17" s="1"/>
  <c r="W210" i="17" s="1"/>
  <c r="Y214" i="17"/>
  <c r="Q214" i="17" s="1"/>
  <c r="W214" i="17" s="1"/>
  <c r="Y215" i="17"/>
  <c r="Q215" i="17" s="1"/>
  <c r="W215" i="17" s="1"/>
  <c r="Y216" i="17"/>
  <c r="Y217" i="17"/>
  <c r="Q217" i="17" s="1"/>
  <c r="W217" i="17" s="1"/>
  <c r="Y219" i="17"/>
  <c r="Y220" i="17"/>
  <c r="Q220" i="17" s="1"/>
  <c r="W220" i="17" s="1"/>
  <c r="Y221" i="17"/>
  <c r="Q221" i="17" s="1"/>
  <c r="W221" i="17" s="1"/>
  <c r="Y222" i="17"/>
  <c r="Y223" i="17"/>
  <c r="Q223" i="17" s="1"/>
  <c r="W223" i="17" s="1"/>
  <c r="Y338" i="17"/>
  <c r="Q338" i="17" s="1"/>
  <c r="W338" i="17" s="1"/>
  <c r="Y226" i="17"/>
  <c r="Q226" i="17" s="1"/>
  <c r="W226" i="17" s="1"/>
  <c r="Y227" i="17"/>
  <c r="Q227" i="17" s="1"/>
  <c r="W227" i="17" s="1"/>
  <c r="Y228" i="17"/>
  <c r="Q228" i="17" s="1"/>
  <c r="W228" i="17" s="1"/>
  <c r="Y229" i="17"/>
  <c r="Q229" i="17" s="1"/>
  <c r="W229" i="17" s="1"/>
  <c r="Y339" i="17"/>
  <c r="Q339" i="17" s="1"/>
  <c r="W339" i="17" s="1"/>
  <c r="Y230" i="17"/>
  <c r="Q230" i="17" s="1"/>
  <c r="W230" i="17" s="1"/>
  <c r="Y232" i="17"/>
  <c r="Q232" i="17" s="1"/>
  <c r="W232" i="17" s="1"/>
  <c r="Y233" i="17"/>
  <c r="Q233" i="17" s="1"/>
  <c r="W233" i="17" s="1"/>
  <c r="Y234" i="17"/>
  <c r="Q234" i="17" s="1"/>
  <c r="W234" i="17" s="1"/>
  <c r="Y235" i="17"/>
  <c r="Q235" i="17" s="1"/>
  <c r="W235" i="17" s="1"/>
  <c r="Y340" i="17"/>
  <c r="Q340" i="17" s="1"/>
  <c r="W340" i="17" s="1"/>
  <c r="Y236" i="17"/>
  <c r="Q236" i="17" s="1"/>
  <c r="W236" i="17" s="1"/>
  <c r="Y237" i="17"/>
  <c r="Q237" i="17" s="1"/>
  <c r="W237" i="17" s="1"/>
  <c r="Y241" i="17"/>
  <c r="Q241" i="17" s="1"/>
  <c r="W241" i="17" s="1"/>
  <c r="Y341" i="17"/>
  <c r="Q341" i="17" s="1"/>
  <c r="W341" i="17" s="1"/>
  <c r="Y243" i="17"/>
  <c r="Q243" i="17" s="1"/>
  <c r="W243" i="17" s="1"/>
  <c r="Y244" i="17"/>
  <c r="Q244" i="17" s="1"/>
  <c r="W244" i="17" s="1"/>
  <c r="Y247" i="17"/>
  <c r="Q247" i="17" s="1"/>
  <c r="W247" i="17" s="1"/>
  <c r="Y342" i="17"/>
  <c r="Q342" i="17" s="1"/>
  <c r="W342" i="17" s="1"/>
  <c r="Y248" i="17"/>
  <c r="Q248" i="17" s="1"/>
  <c r="W248" i="17" s="1"/>
  <c r="Y249" i="17"/>
  <c r="Q249" i="17" s="1"/>
  <c r="W249" i="17" s="1"/>
  <c r="Y251" i="17"/>
  <c r="Q251" i="17" s="1"/>
  <c r="W251" i="17" s="1"/>
  <c r="Y343" i="17"/>
  <c r="Y254" i="17"/>
  <c r="Q254" i="17" s="1"/>
  <c r="W254" i="17" s="1"/>
  <c r="Y255" i="17"/>
  <c r="Q255" i="17" s="1"/>
  <c r="W255" i="17" s="1"/>
  <c r="Y256" i="17"/>
  <c r="Q256" i="17" s="1"/>
  <c r="W256" i="17" s="1"/>
  <c r="Y257" i="17"/>
  <c r="Q257" i="17" s="1"/>
  <c r="W257" i="17" s="1"/>
  <c r="Y258" i="17"/>
  <c r="Q258" i="17" s="1"/>
  <c r="W258" i="17" s="1"/>
  <c r="Y260" i="17"/>
  <c r="Q260" i="17" s="1"/>
  <c r="W260" i="17" s="1"/>
  <c r="Y261" i="17"/>
  <c r="Q261" i="17" s="1"/>
  <c r="W261" i="17" s="1"/>
  <c r="Y262" i="17"/>
  <c r="Q262" i="17" s="1"/>
  <c r="W262" i="17" s="1"/>
  <c r="Y263" i="17"/>
  <c r="Q263" i="17" s="1"/>
  <c r="W263" i="17" s="1"/>
  <c r="Y264" i="17"/>
  <c r="Q264" i="17" s="1"/>
  <c r="W264" i="17" s="1"/>
  <c r="Y265" i="17"/>
  <c r="Q265" i="17" s="1"/>
  <c r="W265" i="17" s="1"/>
  <c r="Y267" i="17"/>
  <c r="Y268" i="17"/>
  <c r="Q268" i="17" s="1"/>
  <c r="W268" i="17" s="1"/>
  <c r="Y269" i="17"/>
  <c r="Q269" i="17" s="1"/>
  <c r="W269" i="17" s="1"/>
  <c r="Y270" i="17"/>
  <c r="Y271" i="17"/>
  <c r="Q271" i="17" s="1"/>
  <c r="W271" i="17" s="1"/>
  <c r="Y346" i="17"/>
  <c r="Q346" i="17" s="1"/>
  <c r="W346" i="17" s="1"/>
  <c r="Y275" i="17"/>
  <c r="Q275" i="17" s="1"/>
  <c r="W275" i="17" s="1"/>
  <c r="Y276" i="17"/>
  <c r="Q276" i="17" s="1"/>
  <c r="W276" i="17" s="1"/>
  <c r="Y277" i="17"/>
  <c r="Q277" i="17" s="1"/>
  <c r="W277" i="17" s="1"/>
  <c r="Y347" i="17"/>
  <c r="Q347" i="17" s="1"/>
  <c r="W347" i="17" s="1"/>
  <c r="Y278" i="17"/>
  <c r="Q278" i="17" s="1"/>
  <c r="W278" i="17" s="1"/>
  <c r="Y281" i="17"/>
  <c r="Q281" i="17" s="1"/>
  <c r="W281" i="17" s="1"/>
  <c r="Y283" i="17"/>
  <c r="Q283" i="17" s="1"/>
  <c r="W283" i="17" s="1"/>
  <c r="Y348" i="17"/>
  <c r="Q348" i="17" s="1"/>
  <c r="W348" i="17" s="1"/>
  <c r="Y285" i="17"/>
  <c r="Q285" i="17" s="1"/>
  <c r="W285" i="17" s="1"/>
  <c r="Y287" i="17"/>
  <c r="Q287" i="17" s="1"/>
  <c r="W287" i="17" s="1"/>
  <c r="Y288" i="17"/>
  <c r="Q288" i="17" s="1"/>
  <c r="W288" i="17" s="1"/>
  <c r="Y289" i="17"/>
  <c r="Q289" i="17" s="1"/>
  <c r="W289" i="17" s="1"/>
  <c r="Y349" i="17"/>
  <c r="Y290" i="17"/>
  <c r="Q290" i="17" s="1"/>
  <c r="W290" i="17" s="1"/>
  <c r="Y291" i="17"/>
  <c r="Q291" i="17" s="1"/>
  <c r="W291" i="17" s="1"/>
  <c r="Y292" i="17"/>
  <c r="Q292" i="17" s="1"/>
  <c r="W292" i="17" s="1"/>
  <c r="Y295" i="17"/>
  <c r="Q295" i="17" s="1"/>
  <c r="W295" i="17" s="1"/>
  <c r="Y350" i="17"/>
  <c r="Q350" i="17" s="1"/>
  <c r="W350" i="17" s="1"/>
  <c r="Y297" i="17"/>
  <c r="Q297" i="17" s="1"/>
  <c r="W297" i="17" s="1"/>
  <c r="Y299" i="17"/>
  <c r="Q299" i="17" s="1"/>
  <c r="W299" i="17" s="1"/>
  <c r="Y351" i="17"/>
  <c r="Q351" i="17" s="1"/>
  <c r="W351" i="17" s="1"/>
  <c r="G2" i="16"/>
  <c r="N199" i="20" l="1"/>
  <c r="N137" i="20"/>
  <c r="N93" i="20"/>
  <c r="N87" i="20"/>
  <c r="N250" i="20"/>
  <c r="N167" i="20"/>
  <c r="N105" i="20"/>
  <c r="N55" i="20"/>
  <c r="N49" i="20"/>
  <c r="N218" i="20"/>
  <c r="N211" i="20"/>
  <c r="N35" i="20"/>
  <c r="N161" i="20"/>
  <c r="N135" i="20"/>
  <c r="N17" i="20"/>
  <c r="N236" i="20"/>
  <c r="N185" i="20"/>
  <c r="N41" i="20"/>
  <c r="N202" i="20"/>
  <c r="N153" i="20"/>
  <c r="N71" i="20"/>
  <c r="N9" i="20"/>
  <c r="N183" i="20"/>
  <c r="N177" i="20"/>
  <c r="N65" i="20"/>
  <c r="N45" i="20"/>
  <c r="N39" i="20"/>
  <c r="N227" i="20"/>
  <c r="N214" i="20"/>
  <c r="N195" i="20"/>
  <c r="N201" i="20"/>
  <c r="N157" i="20"/>
  <c r="N151" i="20"/>
  <c r="N89" i="20"/>
  <c r="N33" i="20"/>
  <c r="N226" i="20"/>
  <c r="N194" i="20"/>
  <c r="N231" i="20"/>
  <c r="N169" i="20"/>
  <c r="N125" i="20"/>
  <c r="N119" i="20"/>
  <c r="N57" i="20"/>
  <c r="N206" i="20"/>
  <c r="R69" i="18"/>
  <c r="U69" i="18" s="1"/>
  <c r="R189" i="18"/>
  <c r="U189" i="18" s="1"/>
  <c r="R173" i="18"/>
  <c r="U173" i="18" s="1"/>
  <c r="R121" i="18"/>
  <c r="U121" i="18" s="1"/>
  <c r="R113" i="18"/>
  <c r="U113" i="18" s="1"/>
  <c r="R61" i="18"/>
  <c r="U61" i="18" s="1"/>
  <c r="R53" i="18"/>
  <c r="U53" i="18" s="1"/>
  <c r="R45" i="18"/>
  <c r="U45" i="18" s="1"/>
  <c r="R165" i="18"/>
  <c r="U165" i="18" s="1"/>
  <c r="R157" i="18"/>
  <c r="U157" i="18" s="1"/>
  <c r="R149" i="18"/>
  <c r="U149" i="18" s="1"/>
  <c r="R141" i="18"/>
  <c r="U141" i="18" s="1"/>
  <c r="R89" i="18"/>
  <c r="U89" i="18" s="1"/>
  <c r="R81" i="18"/>
  <c r="U81" i="18" s="1"/>
  <c r="R133" i="18"/>
  <c r="U133" i="18" s="1"/>
  <c r="R131" i="18"/>
  <c r="U131" i="18" s="1"/>
  <c r="R125" i="18"/>
  <c r="U125" i="18" s="1"/>
  <c r="R117" i="18"/>
  <c r="U117" i="18" s="1"/>
  <c r="R109" i="18"/>
  <c r="U109" i="18" s="1"/>
  <c r="R57" i="18"/>
  <c r="U57" i="18" s="1"/>
  <c r="R49" i="18"/>
  <c r="U49" i="18" s="1"/>
  <c r="R9" i="18"/>
  <c r="U9" i="18" s="1"/>
  <c r="R65" i="18"/>
  <c r="U65" i="18" s="1"/>
  <c r="R153" i="18"/>
  <c r="U153" i="18" s="1"/>
  <c r="R93" i="18"/>
  <c r="U93" i="18" s="1"/>
  <c r="R85" i="18"/>
  <c r="U85" i="18" s="1"/>
  <c r="R77" i="18"/>
  <c r="U77" i="18" s="1"/>
  <c r="R25" i="18"/>
  <c r="U25" i="18" s="1"/>
  <c r="R17" i="18"/>
  <c r="U17" i="18" s="1"/>
  <c r="R21" i="18"/>
  <c r="U21" i="18" s="1"/>
  <c r="R13" i="18"/>
  <c r="U13" i="18" s="1"/>
  <c r="R37" i="18"/>
  <c r="U37" i="18" s="1"/>
  <c r="R5" i="18"/>
  <c r="U5" i="18" s="1"/>
  <c r="R29" i="18"/>
  <c r="U29" i="18" s="1"/>
  <c r="Q24" i="17"/>
  <c r="W24" i="17" s="1"/>
  <c r="Q242" i="17"/>
  <c r="W242" i="17" s="1"/>
  <c r="Q179" i="17"/>
  <c r="W179" i="17" s="1"/>
  <c r="Q85" i="17"/>
  <c r="W85" i="17" s="1"/>
  <c r="Q310" i="17"/>
  <c r="W310" i="17" s="1"/>
  <c r="Q13" i="17"/>
  <c r="W13" i="17" s="1"/>
  <c r="Q2" i="17"/>
  <c r="W2" i="17" s="1"/>
  <c r="Y147" i="17"/>
  <c r="Q147" i="17" s="1"/>
  <c r="W147" i="17" s="1"/>
  <c r="N4" i="17" a="1"/>
  <c r="N4" i="17" s="1"/>
  <c r="Q178" i="17"/>
  <c r="W178" i="17" s="1"/>
  <c r="Q167" i="17"/>
  <c r="W167" i="17" s="1"/>
  <c r="Q83" i="17"/>
  <c r="W83" i="17" s="1"/>
  <c r="N10" i="17" a="1"/>
  <c r="N10" i="17" s="1"/>
  <c r="Q216" i="17"/>
  <c r="W216" i="17" s="1"/>
  <c r="Q66" i="17"/>
  <c r="W66" i="17" s="1"/>
  <c r="Q32" i="17"/>
  <c r="W32" i="17" s="1"/>
  <c r="Q330" i="17"/>
  <c r="W330" i="17" s="1"/>
  <c r="Q304" i="17"/>
  <c r="W304" i="17" s="1"/>
  <c r="Q231" i="17"/>
  <c r="W231" i="17" s="1"/>
  <c r="Q204" i="17"/>
  <c r="W204" i="17" s="1"/>
  <c r="Q329" i="17"/>
  <c r="W329" i="17" s="1"/>
  <c r="Y327" i="17"/>
  <c r="Q327" i="17" s="1"/>
  <c r="W327" i="17" s="1"/>
  <c r="Q127" i="17"/>
  <c r="W127" i="17" s="1"/>
  <c r="N3" i="17" a="1"/>
  <c r="N3" i="17" s="1"/>
  <c r="Q150" i="17"/>
  <c r="W150" i="17" s="1"/>
  <c r="Q343" i="17"/>
  <c r="W343" i="17" s="1"/>
  <c r="Q222" i="17"/>
  <c r="W222" i="17" s="1"/>
  <c r="Q199" i="17"/>
  <c r="W199" i="17" s="1"/>
  <c r="Q182" i="17"/>
  <c r="W182" i="17" s="1"/>
  <c r="Q138" i="17"/>
  <c r="W138" i="17" s="1"/>
  <c r="Y144" i="17"/>
  <c r="Q144" i="17" s="1"/>
  <c r="W144" i="17" s="1"/>
  <c r="Q114" i="17"/>
  <c r="W114" i="17" s="1"/>
  <c r="Q69" i="17"/>
  <c r="W69" i="17" s="1"/>
  <c r="Y307" i="17"/>
  <c r="Q307" i="17" s="1"/>
  <c r="W307" i="17" s="1"/>
  <c r="N14" i="17" a="1"/>
  <c r="N14" i="17" s="1"/>
  <c r="Q189" i="17"/>
  <c r="W189" i="17" s="1"/>
  <c r="Q94" i="17"/>
  <c r="W94" i="17" s="1"/>
  <c r="Q136" i="17"/>
  <c r="W136" i="17" s="1"/>
  <c r="Q100" i="17"/>
  <c r="W100" i="17" s="1"/>
  <c r="Q14" i="17"/>
  <c r="W14" i="17" s="1"/>
  <c r="Q5" i="17"/>
  <c r="W5" i="17" s="1"/>
  <c r="Q270" i="17"/>
  <c r="W270" i="17" s="1"/>
  <c r="Q267" i="17"/>
  <c r="W267" i="17" s="1"/>
  <c r="Q349" i="17"/>
  <c r="W349" i="17" s="1"/>
  <c r="Q219" i="17"/>
  <c r="W219" i="17" s="1"/>
  <c r="Q122" i="17"/>
  <c r="W122" i="17" s="1"/>
  <c r="Q26" i="17"/>
  <c r="W26" i="17" s="1"/>
  <c r="Q154" i="17"/>
  <c r="W154" i="17" s="1"/>
  <c r="Q60" i="17"/>
  <c r="W60" i="17" s="1"/>
  <c r="N9" i="17" a="1"/>
  <c r="N9" i="17" s="1"/>
  <c r="N2" i="17" a="1"/>
  <c r="N2" i="17" s="1"/>
  <c r="N302" i="17" a="1"/>
  <c r="N302" i="17" s="1"/>
  <c r="N7" i="17" a="1"/>
  <c r="N7" i="17" s="1"/>
  <c r="N6" i="17" a="1"/>
  <c r="N6" i="17" s="1"/>
  <c r="N5" i="17" a="1"/>
  <c r="N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<sst xmlns="http://schemas.openxmlformats.org/spreadsheetml/2006/main" count="4462" uniqueCount="99">
  <si>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</si>
  <si>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</si>
  <si>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</si>
  <si>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</si>
  <si>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</si>
  <si>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</si>
  <si>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</si>
  <si>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</si>
  <si>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</si>
  <si>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</si>
  <si>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</si>
  <si>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</si>
  <si>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</si>
  <si>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</si>
  <si>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</si>
  <si>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</si>
  <si>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</si>
  <si>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</si>
  <si>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</si>
  <si>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</si>
  <si>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</si>
  <si>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</si>
  <si>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</si>
  <si>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</si>
  <si>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</si>
  <si>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</si>
  <si>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</si>
  <si>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</si>
  <si>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</si>
  <si>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</si>
  <si>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</si>
  <si>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</si>
  <si>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</si>
  <si>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</si>
  <si>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</si>
  <si>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</si>
  <si>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</si>
  <si>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</si>
  <si>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</si>
  <si>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</si>
  <si>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</si>
  <si>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</si>
  <si>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</si>
  <si>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</si>
  <si>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</si>
  <si>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</si>
  <si>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</si>
  <si>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</si>
  <si>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</si>
  <si>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</si>
  <si>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</si>
  <si>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</si>
  <si>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</si>
  <si>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</si>
  <si>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</si>
  <si>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</si>
  <si>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</si>
  <si>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</si>
  <si>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</si>
  <si>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</si>
  <si>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</si>
  <si>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</si>
  <si>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</si>
  <si>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</si>
  <si>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</si>
  <si>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</si>
  <si>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</si>
  <si>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</si>
  <si>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Sistemas\M5\podcast.p</t>
  </si>
  <si>
    <t>Arquivos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</si>
  <si>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</si>
  <si>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</si>
  <si>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</si>
  <si>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</si>
  <si>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</si>
  <si>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</si>
  <si>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</si>
  <si>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Edicao.Queue</t>
  </si>
  <si>
    <t>Waiting Time</t>
  </si>
  <si>
    <t>Queue</t>
  </si>
  <si>
    <t>WIP</t>
  </si>
  <si>
    <t>Number Waiting</t>
  </si>
  <si>
    <t>Operador</t>
  </si>
  <si>
    <t>Instantaneous Utilization</t>
  </si>
  <si>
    <t>Resource</t>
  </si>
  <si>
    <t>Number Busy</t>
  </si>
  <si>
    <t>Number Scheduled</t>
  </si>
  <si>
    <t>Arquivos.NumberIn</t>
  </si>
  <si>
    <t>Number In</t>
  </si>
  <si>
    <t>Arquivos.NumberOut</t>
  </si>
  <si>
    <t>Number Out</t>
  </si>
  <si>
    <t>Operador.NumberSeized</t>
  </si>
  <si>
    <t>Total Number Seized</t>
  </si>
  <si>
    <t>Operador.ScheduledUtilization</t>
  </si>
  <si>
    <t>Scheduled Utilization</t>
  </si>
  <si>
    <t>System.NumberOut</t>
  </si>
  <si>
    <t>System</t>
  </si>
  <si>
    <t>(vazio)</t>
  </si>
  <si>
    <t>2023-12-02 21:40:23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</si>
</sst>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90432395833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904324074072" createdVersion="7" refreshedVersion="8" minRefreshableVersion="3" recordCount="2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7">
        <s v="Arquivos"/>
        <s v="Edicao.Queue"/>
        <s v="Operado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3.1068745343639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minValue="0" maxValue="7"/>
    </cacheField>
    <cacheField name="LastRecordedValue" numFmtId="0">
      <sharedItems containsSemiMixedTypes="0" containsString="0" containsNumber="1" minValue="0" maxValue="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.20950744970441737" maxValue="2"/>
    </cacheField>
    <cacheField name="StDevOfAverage" numFmtId="0">
      <sharedItems containsSemiMixedTypes="0" containsString="0" containsNumber="1" minValue="0" maxValue="0.5695170643236450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6185495883193918"/>
    </cacheField>
    <cacheField name="MinimumAverage" numFmtId="0">
      <sharedItems containsSemiMixedTypes="0" containsString="0" containsNumber="1" minValue="0" maxValue="2"/>
    </cacheField>
    <cacheField name="MaximumAverage" numFmtId="0">
      <sharedItems containsSemiMixedTypes="0" containsString="0" containsNumber="1" minValue="0.98721163888391195" maxValue="3.1068745343639899"/>
    </cacheField>
    <cacheField name="SummaryHalfWidth" numFmtId="0">
      <sharedItems containsSemiMixedTypes="0" containsString="0" containsNumber="1" minValue="0" maxValue="0.16185495883193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90432418981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904324305557" createdVersion="7" refreshedVersion="8" minRefreshableVersion="3" recordCount="35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1">
        <s v="Arquivos"/>
        <s v="Edica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4.45239938754891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3.5826666085025498"/>
    </cacheField>
    <cacheField name="Maximum" numFmtId="0">
      <sharedItems containsSemiMixedTypes="0" containsString="0" containsNumber="1" minValue="0" maxValue="5.4268973031599996"/>
    </cacheField>
    <cacheField name="NumberObservations" numFmtId="0">
      <sharedItems containsSemiMixedTypes="0" containsString="0" containsNumber="1" containsInteger="1" minValue="2" maxValue="9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2.5147749738664498"/>
    </cacheField>
    <cacheField name="StDevOfAverage" numFmtId="0">
      <sharedItems containsSemiMixedTypes="0" containsString="0" containsNumber="1" minValue="0" maxValue="0.5411636146261502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5379699758545484"/>
    </cacheField>
    <cacheField name="MinimumAverage" numFmtId="0">
      <sharedItems containsSemiMixedTypes="0" containsString="0" containsNumber="1" minValue="0" maxValue="1.3997857000332199"/>
    </cacheField>
    <cacheField name="MaximumAverage" numFmtId="0">
      <sharedItems containsSemiMixedTypes="0" containsString="0" containsNumber="1" minValue="0" maxValue="4.4523993875489198"/>
    </cacheField>
    <cacheField name="OverallMinimum" numFmtId="0">
      <sharedItems containsSemiMixedTypes="0" containsString="0" containsNumber="1" minValue="0" maxValue="0.58847912081681497"/>
    </cacheField>
    <cacheField name="OverallMaximum" numFmtId="0">
      <sharedItems containsSemiMixedTypes="0" containsString="0" containsNumber="1" minValue="0" maxValue="5.4268973031599996"/>
    </cacheField>
    <cacheField name="AverageNumberObservations" numFmtId="0">
      <sharedItems containsSemiMixedTypes="0" containsString="0" containsNumber="1" minValue="4.8600000000000003" maxValue="6.14"/>
    </cacheField>
    <cacheField name="SummaryHalfWidth" numFmtId="0">
      <sharedItems containsSemiMixedTypes="0" containsString="0" containsNumber="1" minValue="0" maxValue="0.15379699758545484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904324421295" createdVersion="7" refreshedVersion="8" minRefreshableVersion="3" recordCount="2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83">
        <s v="Arquivos.NumberIn"/>
        <s v="Arquivos.NumberOut"/>
        <s v="Operador.NumberSeized"/>
        <s v="Operado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0856555337021802" maxValue="1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.63912553924181559" maxValue="6.32"/>
    </cacheField>
    <cacheField name="StandardDeviation" numFmtId="0">
      <sharedItems containsSemiMixedTypes="0" containsString="0" containsNumber="1" minValue="0.16841036655083153" maxValue="1.67136752025253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7861696606629554E-2" maxValue="0.47499739363346566"/>
    </cacheField>
    <cacheField name="Minimum" numFmtId="0">
      <sharedItems containsSemiMixedTypes="0" containsString="0" containsNumber="1" minValue="0.30856555337021802" maxValue="3"/>
    </cacheField>
    <cacheField name="Maximum" numFmtId="0">
      <sharedItems containsSemiMixedTypes="0" containsString="0" containsNumber="1" minValue="0.98721163888391195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s v="2023-12-02 21:40:23"/>
    <n v="1"/>
    <x v="0"/>
    <x v="0"/>
    <x v="0"/>
    <n v="0.91239525550601497"/>
    <n v="2E+20"/>
    <n v="0"/>
    <n v="3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"/>
    <x v="1"/>
    <x v="1"/>
    <x v="1"/>
    <n v="8.4217411583121599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"/>
    <x v="2"/>
    <x v="2"/>
    <x v="2"/>
    <n v="0.41408892196144698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"/>
    <x v="2"/>
    <x v="3"/>
    <x v="2"/>
    <n v="0.82817784392289295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"/>
    <x v="0"/>
    <x v="0"/>
    <x v="0"/>
    <n v="2.1174266091527798"/>
    <n v="2E+20"/>
    <n v="0"/>
    <n v="4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"/>
    <x v="1"/>
    <x v="1"/>
    <x v="1"/>
    <n v="0.49265614890242798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"/>
    <x v="2"/>
    <x v="2"/>
    <x v="2"/>
    <n v="0.81238523012517605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"/>
    <x v="2"/>
    <x v="3"/>
    <x v="2"/>
    <n v="1.624770460250350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"/>
    <x v="0"/>
    <x v="0"/>
    <x v="0"/>
    <n v="1.3797987174989199"/>
    <n v="2E+20"/>
    <n v="0"/>
    <n v="2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"/>
    <x v="2"/>
    <x v="2"/>
    <x v="2"/>
    <n v="0.68989935874945996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"/>
    <x v="2"/>
    <x v="3"/>
    <x v="2"/>
    <n v="1.3797987174989199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"/>
    <x v="0"/>
    <x v="0"/>
    <x v="0"/>
    <n v="1.48946544846559"/>
    <n v="2E+20"/>
    <n v="0"/>
    <n v="4"/>
    <n v="3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"/>
    <x v="1"/>
    <x v="1"/>
    <x v="1"/>
    <n v="0.235337685310958"/>
    <n v="2E+20"/>
    <n v="0"/>
    <n v="2"/>
    <n v="1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"/>
    <x v="2"/>
    <x v="2"/>
    <x v="2"/>
    <n v="0.62706388157731396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"/>
    <x v="2"/>
    <x v="3"/>
    <x v="2"/>
    <n v="1.2541277631546299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5"/>
    <x v="0"/>
    <x v="0"/>
    <x v="0"/>
    <n v="1.5401493720394801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5"/>
    <x v="1"/>
    <x v="1"/>
    <x v="1"/>
    <n v="0.123204504297366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5"/>
    <x v="2"/>
    <x v="2"/>
    <x v="2"/>
    <n v="0.70847243387105696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5"/>
    <x v="2"/>
    <x v="3"/>
    <x v="2"/>
    <n v="1.4169448677421099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5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6"/>
    <x v="0"/>
    <x v="0"/>
    <x v="0"/>
    <n v="2.07104756827703"/>
    <n v="2E+20"/>
    <n v="0"/>
    <n v="4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6"/>
    <x v="1"/>
    <x v="1"/>
    <x v="1"/>
    <n v="0.262178562928087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6"/>
    <x v="2"/>
    <x v="2"/>
    <x v="2"/>
    <n v="0.90443450267447301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6"/>
    <x v="2"/>
    <x v="3"/>
    <x v="2"/>
    <n v="1.80886900534895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6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7"/>
    <x v="0"/>
    <x v="0"/>
    <x v="0"/>
    <n v="1.26477116698575"/>
    <n v="2E+20"/>
    <n v="0"/>
    <n v="2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7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7"/>
    <x v="2"/>
    <x v="2"/>
    <x v="2"/>
    <n v="0.63238558349287399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7"/>
    <x v="2"/>
    <x v="3"/>
    <x v="2"/>
    <n v="1.26477116698575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7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8"/>
    <x v="0"/>
    <x v="0"/>
    <x v="0"/>
    <n v="1.47225533359885"/>
    <n v="2E+20"/>
    <n v="0"/>
    <n v="3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8"/>
    <x v="1"/>
    <x v="1"/>
    <x v="1"/>
    <n v="0.10335437861043401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8"/>
    <x v="2"/>
    <x v="2"/>
    <x v="2"/>
    <n v="0.68445047749420795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8"/>
    <x v="2"/>
    <x v="3"/>
    <x v="2"/>
    <n v="1.3689009549884199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8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9"/>
    <x v="0"/>
    <x v="0"/>
    <x v="0"/>
    <n v="1.4855512588522799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9"/>
    <x v="1"/>
    <x v="1"/>
    <x v="1"/>
    <n v="0.13426977998873599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9"/>
    <x v="2"/>
    <x v="2"/>
    <x v="2"/>
    <n v="0.67564073943177405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9"/>
    <x v="2"/>
    <x v="3"/>
    <x v="2"/>
    <n v="1.351281478863550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9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0"/>
    <x v="0"/>
    <x v="0"/>
    <x v="0"/>
    <n v="1.4756199795002001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0"/>
    <x v="1"/>
    <x v="1"/>
    <x v="1"/>
    <n v="4.6949028350521997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0"/>
    <x v="2"/>
    <x v="2"/>
    <x v="2"/>
    <n v="0.71433547557483901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0"/>
    <x v="2"/>
    <x v="3"/>
    <x v="2"/>
    <n v="1.42867095114968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0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1"/>
    <x v="0"/>
    <x v="0"/>
    <x v="0"/>
    <n v="1.02935567307583"/>
    <n v="2E+20"/>
    <n v="0"/>
    <n v="2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1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1"/>
    <x v="2"/>
    <x v="2"/>
    <x v="2"/>
    <n v="0.51467783653791599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1"/>
    <x v="2"/>
    <x v="3"/>
    <x v="2"/>
    <n v="1.02935567307583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1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2"/>
    <x v="0"/>
    <x v="0"/>
    <x v="0"/>
    <n v="0.85178400111310604"/>
    <n v="2E+20"/>
    <n v="0"/>
    <n v="2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2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2"/>
    <x v="2"/>
    <x v="2"/>
    <x v="2"/>
    <n v="0.42589200055655302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2"/>
    <x v="2"/>
    <x v="3"/>
    <x v="2"/>
    <n v="0.85178400111310604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2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3"/>
    <x v="0"/>
    <x v="0"/>
    <x v="0"/>
    <n v="1.22552115506203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3"/>
    <x v="1"/>
    <x v="1"/>
    <x v="1"/>
    <n v="0.112576475232934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3"/>
    <x v="2"/>
    <x v="2"/>
    <x v="2"/>
    <n v="0.55647233991455003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3"/>
    <x v="2"/>
    <x v="3"/>
    <x v="2"/>
    <n v="1.112944679829100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3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4"/>
    <x v="0"/>
    <x v="0"/>
    <x v="0"/>
    <n v="1.77373308677976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4"/>
    <x v="1"/>
    <x v="1"/>
    <x v="1"/>
    <n v="0.16110977020786299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4"/>
    <x v="2"/>
    <x v="2"/>
    <x v="2"/>
    <n v="0.80631165828594598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4"/>
    <x v="2"/>
    <x v="3"/>
    <x v="2"/>
    <n v="1.61262331657189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4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5"/>
    <x v="0"/>
    <x v="0"/>
    <x v="0"/>
    <n v="1.0302175915477201"/>
    <n v="2E+20"/>
    <n v="0"/>
    <n v="2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5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5"/>
    <x v="2"/>
    <x v="2"/>
    <x v="2"/>
    <n v="0.51510879577386004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5"/>
    <x v="2"/>
    <x v="3"/>
    <x v="2"/>
    <n v="1.030217591547720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5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6"/>
    <x v="0"/>
    <x v="0"/>
    <x v="0"/>
    <n v="2.8940320724670499"/>
    <n v="2E+20"/>
    <n v="0"/>
    <n v="4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6"/>
    <x v="1"/>
    <x v="1"/>
    <x v="1"/>
    <n v="0.91960879469922296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6"/>
    <x v="2"/>
    <x v="2"/>
    <x v="2"/>
    <n v="0.98721163888391195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6"/>
    <x v="2"/>
    <x v="3"/>
    <x v="2"/>
    <n v="1.9744232777678199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6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7"/>
    <x v="0"/>
    <x v="0"/>
    <x v="0"/>
    <n v="0.74819210112866896"/>
    <n v="2E+20"/>
    <n v="0"/>
    <n v="1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7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7"/>
    <x v="2"/>
    <x v="2"/>
    <x v="2"/>
    <n v="0.37409605056433498"/>
    <n v="2E+20"/>
    <n v="0"/>
    <n v="0.5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7"/>
    <x v="2"/>
    <x v="3"/>
    <x v="2"/>
    <n v="0.74819210112866896"/>
    <n v="2E+20"/>
    <n v="0"/>
    <n v="1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7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8"/>
    <x v="0"/>
    <x v="0"/>
    <x v="0"/>
    <n v="1.1327626160473501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8"/>
    <x v="1"/>
    <x v="1"/>
    <x v="1"/>
    <n v="5.6203457363074201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8"/>
    <x v="2"/>
    <x v="2"/>
    <x v="2"/>
    <n v="0.53827957934213799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8"/>
    <x v="2"/>
    <x v="3"/>
    <x v="2"/>
    <n v="1.07655915868428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8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19"/>
    <x v="0"/>
    <x v="0"/>
    <x v="0"/>
    <n v="1.21565569423402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19"/>
    <x v="1"/>
    <x v="1"/>
    <x v="1"/>
    <n v="1.6258797933937499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19"/>
    <x v="2"/>
    <x v="2"/>
    <x v="2"/>
    <n v="0.59969844815004303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19"/>
    <x v="2"/>
    <x v="3"/>
    <x v="2"/>
    <n v="1.199396896300090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19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0"/>
    <x v="0"/>
    <x v="0"/>
    <x v="0"/>
    <n v="2.78430437695057"/>
    <n v="2E+20"/>
    <n v="0"/>
    <n v="6"/>
    <n v="6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0"/>
    <x v="1"/>
    <x v="1"/>
    <x v="1"/>
    <n v="0.97641258534046105"/>
    <n v="2E+20"/>
    <n v="0"/>
    <n v="4"/>
    <n v="4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0"/>
    <x v="2"/>
    <x v="2"/>
    <x v="2"/>
    <n v="0.90394589580505302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0"/>
    <x v="2"/>
    <x v="3"/>
    <x v="2"/>
    <n v="1.8078917916101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0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1"/>
    <x v="0"/>
    <x v="0"/>
    <x v="0"/>
    <n v="1.8654670771991899"/>
    <n v="2E+20"/>
    <n v="0"/>
    <n v="4"/>
    <n v="3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1"/>
    <x v="1"/>
    <x v="1"/>
    <x v="1"/>
    <n v="0.53111384417938901"/>
    <n v="2E+20"/>
    <n v="0"/>
    <n v="2"/>
    <n v="1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1"/>
    <x v="2"/>
    <x v="2"/>
    <x v="2"/>
    <n v="0.66717661650990201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1"/>
    <x v="2"/>
    <x v="3"/>
    <x v="2"/>
    <n v="1.3343532330198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1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2"/>
    <x v="0"/>
    <x v="0"/>
    <x v="0"/>
    <n v="1.23026541476707"/>
    <n v="2E+20"/>
    <n v="0"/>
    <n v="2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2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2"/>
    <x v="2"/>
    <x v="2"/>
    <x v="2"/>
    <n v="0.61513270738353398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2"/>
    <x v="2"/>
    <x v="3"/>
    <x v="2"/>
    <n v="1.23026541476707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2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3"/>
    <x v="0"/>
    <x v="0"/>
    <x v="0"/>
    <n v="1.7481232289022099"/>
    <n v="2E+20"/>
    <n v="0"/>
    <n v="3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3"/>
    <x v="1"/>
    <x v="1"/>
    <x v="1"/>
    <n v="0.175789967511503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3"/>
    <x v="2"/>
    <x v="2"/>
    <x v="2"/>
    <n v="0.78616663069535198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3"/>
    <x v="2"/>
    <x v="3"/>
    <x v="2"/>
    <n v="1.5723332613907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3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4"/>
    <x v="0"/>
    <x v="0"/>
    <x v="0"/>
    <n v="1.33525744261539"/>
    <n v="2E+20"/>
    <n v="0"/>
    <n v="2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4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4"/>
    <x v="2"/>
    <x v="2"/>
    <x v="2"/>
    <n v="0.66762872130769402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4"/>
    <x v="2"/>
    <x v="3"/>
    <x v="2"/>
    <n v="1.33525744261539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4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5"/>
    <x v="0"/>
    <x v="0"/>
    <x v="0"/>
    <n v="1.83590933276838"/>
    <n v="2E+20"/>
    <n v="0"/>
    <n v="4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5"/>
    <x v="1"/>
    <x v="1"/>
    <x v="1"/>
    <n v="0.218323572330724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5"/>
    <x v="2"/>
    <x v="2"/>
    <x v="2"/>
    <n v="0.80879288021883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5"/>
    <x v="2"/>
    <x v="3"/>
    <x v="2"/>
    <n v="1.61758576043766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5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6"/>
    <x v="0"/>
    <x v="0"/>
    <x v="0"/>
    <n v="2.2816010967595899"/>
    <n v="2E+20"/>
    <n v="0"/>
    <n v="5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6"/>
    <x v="1"/>
    <x v="1"/>
    <x v="1"/>
    <n v="0.80318267609915295"/>
    <n v="2E+20"/>
    <n v="0"/>
    <n v="3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6"/>
    <x v="2"/>
    <x v="2"/>
    <x v="2"/>
    <n v="0.73920921033022002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6"/>
    <x v="2"/>
    <x v="3"/>
    <x v="2"/>
    <n v="1.47841842066044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6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7"/>
    <x v="0"/>
    <x v="0"/>
    <x v="0"/>
    <n v="1.88021298855868"/>
    <n v="2E+20"/>
    <n v="0"/>
    <n v="4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7"/>
    <x v="1"/>
    <x v="1"/>
    <x v="1"/>
    <n v="0.32349731917049401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7"/>
    <x v="2"/>
    <x v="2"/>
    <x v="2"/>
    <n v="0.77835783469409203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7"/>
    <x v="2"/>
    <x v="3"/>
    <x v="2"/>
    <n v="1.5567156693881801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7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8"/>
    <x v="0"/>
    <x v="0"/>
    <x v="0"/>
    <n v="1.8686356818982699"/>
    <n v="2E+20"/>
    <n v="0"/>
    <n v="4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8"/>
    <x v="1"/>
    <x v="1"/>
    <x v="1"/>
    <n v="0.31452877391252998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8"/>
    <x v="2"/>
    <x v="2"/>
    <x v="2"/>
    <n v="0.77705345399287196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8"/>
    <x v="2"/>
    <x v="3"/>
    <x v="2"/>
    <n v="1.5541069079857399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8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29"/>
    <x v="0"/>
    <x v="0"/>
    <x v="0"/>
    <n v="0.852318140235097"/>
    <n v="2E+20"/>
    <n v="0"/>
    <n v="3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29"/>
    <x v="1"/>
    <x v="1"/>
    <x v="1"/>
    <n v="4.9494161508901097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29"/>
    <x v="2"/>
    <x v="2"/>
    <x v="2"/>
    <n v="0.40141198936309802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29"/>
    <x v="2"/>
    <x v="3"/>
    <x v="2"/>
    <n v="0.80282397872619604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29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0"/>
    <x v="0"/>
    <x v="0"/>
    <x v="0"/>
    <n v="1.2892533636207"/>
    <n v="2E+20"/>
    <n v="0"/>
    <n v="3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0"/>
    <x v="1"/>
    <x v="1"/>
    <x v="1"/>
    <n v="0.17427006699400599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0"/>
    <x v="2"/>
    <x v="2"/>
    <x v="2"/>
    <n v="0.55749164831334497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0"/>
    <x v="2"/>
    <x v="3"/>
    <x v="2"/>
    <n v="1.1149832966266899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0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1"/>
    <x v="0"/>
    <x v="0"/>
    <x v="0"/>
    <n v="1.0127254153043601"/>
    <n v="2E+20"/>
    <n v="0"/>
    <n v="2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1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1"/>
    <x v="2"/>
    <x v="2"/>
    <x v="2"/>
    <n v="0.50636270765218105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1"/>
    <x v="2"/>
    <x v="3"/>
    <x v="2"/>
    <n v="1.0127254153043601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1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2"/>
    <x v="0"/>
    <x v="0"/>
    <x v="0"/>
    <n v="0.68065253864465902"/>
    <n v="2E+20"/>
    <n v="0"/>
    <n v="3"/>
    <n v="3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2"/>
    <x v="1"/>
    <x v="1"/>
    <x v="1"/>
    <n v="2.6320033455184001E-2"/>
    <n v="2E+20"/>
    <n v="0"/>
    <n v="1"/>
    <n v="1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2"/>
    <x v="2"/>
    <x v="2"/>
    <x v="2"/>
    <n v="0.32716625259473803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2"/>
    <x v="2"/>
    <x v="3"/>
    <x v="2"/>
    <n v="0.65433250518947506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2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3"/>
    <x v="0"/>
    <x v="0"/>
    <x v="0"/>
    <n v="3.1068745343639899"/>
    <n v="2E+20"/>
    <n v="0"/>
    <n v="7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3"/>
    <x v="1"/>
    <x v="1"/>
    <x v="1"/>
    <n v="1.3948152888114"/>
    <n v="2E+20"/>
    <n v="0"/>
    <n v="5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3"/>
    <x v="2"/>
    <x v="2"/>
    <x v="2"/>
    <n v="0.85602962277629602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3"/>
    <x v="2"/>
    <x v="3"/>
    <x v="2"/>
    <n v="1.71205924555259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3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4"/>
    <x v="0"/>
    <x v="0"/>
    <x v="0"/>
    <n v="1.7580030869465999"/>
    <n v="2E+20"/>
    <n v="0"/>
    <n v="3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4"/>
    <x v="1"/>
    <x v="1"/>
    <x v="1"/>
    <n v="0.175784713394217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4"/>
    <x v="2"/>
    <x v="2"/>
    <x v="2"/>
    <n v="0.79110918677619002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4"/>
    <x v="2"/>
    <x v="3"/>
    <x v="2"/>
    <n v="1.58221837355238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4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5"/>
    <x v="0"/>
    <x v="0"/>
    <x v="0"/>
    <n v="2.0364700972732099"/>
    <n v="2E+20"/>
    <n v="0"/>
    <n v="4"/>
    <n v="3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5"/>
    <x v="1"/>
    <x v="1"/>
    <x v="1"/>
    <n v="0.36137341190787697"/>
    <n v="2E+20"/>
    <n v="0"/>
    <n v="2"/>
    <n v="1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5"/>
    <x v="2"/>
    <x v="2"/>
    <x v="2"/>
    <n v="0.83754834268266598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5"/>
    <x v="2"/>
    <x v="3"/>
    <x v="2"/>
    <n v="1.67509668536533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5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6"/>
    <x v="0"/>
    <x v="0"/>
    <x v="0"/>
    <n v="1.8475146167038801"/>
    <n v="2E+20"/>
    <n v="0"/>
    <n v="4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6"/>
    <x v="1"/>
    <x v="1"/>
    <x v="1"/>
    <n v="0.30780191042598098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6"/>
    <x v="2"/>
    <x v="2"/>
    <x v="2"/>
    <n v="0.76985635313895096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6"/>
    <x v="2"/>
    <x v="3"/>
    <x v="2"/>
    <n v="1.5397127062778999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6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7"/>
    <x v="0"/>
    <x v="0"/>
    <x v="0"/>
    <n v="1.17826565950706"/>
    <n v="2E+20"/>
    <n v="0"/>
    <n v="3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7"/>
    <x v="1"/>
    <x v="1"/>
    <x v="1"/>
    <n v="0.237803815790498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7"/>
    <x v="2"/>
    <x v="2"/>
    <x v="2"/>
    <n v="0.47023092185828202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7"/>
    <x v="2"/>
    <x v="3"/>
    <x v="2"/>
    <n v="0.94046184371656405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7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8"/>
    <x v="0"/>
    <x v="0"/>
    <x v="0"/>
    <n v="1.84605357849369"/>
    <n v="2E+20"/>
    <n v="0"/>
    <n v="4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8"/>
    <x v="1"/>
    <x v="1"/>
    <x v="1"/>
    <n v="0.235874687469905"/>
    <n v="2E+20"/>
    <n v="0"/>
    <n v="2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8"/>
    <x v="2"/>
    <x v="2"/>
    <x v="2"/>
    <n v="0.80508944551189299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8"/>
    <x v="2"/>
    <x v="3"/>
    <x v="2"/>
    <n v="1.61017889102379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8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39"/>
    <x v="0"/>
    <x v="0"/>
    <x v="0"/>
    <n v="1.3801013749226101"/>
    <n v="2E+20"/>
    <n v="0"/>
    <n v="3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39"/>
    <x v="1"/>
    <x v="1"/>
    <x v="1"/>
    <n v="0.16381360105895401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39"/>
    <x v="2"/>
    <x v="2"/>
    <x v="2"/>
    <n v="0.60814388693182797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39"/>
    <x v="2"/>
    <x v="3"/>
    <x v="2"/>
    <n v="1.2162877738636599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39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0"/>
    <x v="0"/>
    <x v="0"/>
    <x v="0"/>
    <n v="1.14196312151156"/>
    <n v="2E+20"/>
    <n v="0"/>
    <n v="3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0"/>
    <x v="1"/>
    <x v="1"/>
    <x v="1"/>
    <n v="6.0192299462180902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0"/>
    <x v="2"/>
    <x v="2"/>
    <x v="2"/>
    <n v="0.54088541102469201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0"/>
    <x v="2"/>
    <x v="3"/>
    <x v="2"/>
    <n v="1.08177082204938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0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1"/>
    <x v="0"/>
    <x v="0"/>
    <x v="0"/>
    <n v="1.03516645546797"/>
    <n v="2E+20"/>
    <n v="0"/>
    <n v="2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1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1"/>
    <x v="2"/>
    <x v="2"/>
    <x v="2"/>
    <n v="0.51758322773398502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1"/>
    <x v="2"/>
    <x v="3"/>
    <x v="2"/>
    <n v="1.03516645546797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1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2"/>
    <x v="0"/>
    <x v="0"/>
    <x v="0"/>
    <n v="0.98007275439872199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2"/>
    <x v="1"/>
    <x v="1"/>
    <x v="1"/>
    <n v="5.4189132456175003E-3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2"/>
    <x v="2"/>
    <x v="2"/>
    <x v="2"/>
    <n v="0.48732692057655203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2"/>
    <x v="2"/>
    <x v="3"/>
    <x v="2"/>
    <n v="0.97465384115310405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2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3"/>
    <x v="0"/>
    <x v="0"/>
    <x v="0"/>
    <n v="2.3915474196206099"/>
    <n v="2E+20"/>
    <n v="0"/>
    <n v="5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3"/>
    <x v="1"/>
    <x v="1"/>
    <x v="1"/>
    <n v="0.64861849345336897"/>
    <n v="2E+20"/>
    <n v="0"/>
    <n v="3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3"/>
    <x v="2"/>
    <x v="2"/>
    <x v="2"/>
    <n v="0.87146446308362102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3"/>
    <x v="2"/>
    <x v="3"/>
    <x v="2"/>
    <n v="1.74292892616724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3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4"/>
    <x v="0"/>
    <x v="0"/>
    <x v="0"/>
    <n v="1.3851661265308"/>
    <n v="2E+20"/>
    <n v="0"/>
    <n v="3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4"/>
    <x v="1"/>
    <x v="1"/>
    <x v="1"/>
    <n v="0.16850881559210101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4"/>
    <x v="2"/>
    <x v="2"/>
    <x v="2"/>
    <n v="0.608328655469348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4"/>
    <x v="2"/>
    <x v="3"/>
    <x v="2"/>
    <n v="1.2166573109387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4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5"/>
    <x v="0"/>
    <x v="0"/>
    <x v="0"/>
    <n v="0.61713110674043503"/>
    <n v="2E+20"/>
    <n v="0"/>
    <n v="2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5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5"/>
    <x v="2"/>
    <x v="2"/>
    <x v="2"/>
    <n v="0.30856555337021802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5"/>
    <x v="2"/>
    <x v="3"/>
    <x v="2"/>
    <n v="0.61713110674043503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5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6"/>
    <x v="0"/>
    <x v="0"/>
    <x v="0"/>
    <n v="0.86594898689328803"/>
    <n v="2E+20"/>
    <n v="0"/>
    <n v="3"/>
    <n v="3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6"/>
    <x v="1"/>
    <x v="1"/>
    <x v="1"/>
    <n v="9.4605557781592603E-2"/>
    <n v="2E+20"/>
    <n v="0"/>
    <n v="1"/>
    <n v="1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6"/>
    <x v="2"/>
    <x v="2"/>
    <x v="2"/>
    <n v="0.38567171455584798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6"/>
    <x v="2"/>
    <x v="3"/>
    <x v="2"/>
    <n v="0.77134342911169496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6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7"/>
    <x v="0"/>
    <x v="0"/>
    <x v="0"/>
    <n v="1.9173740930765"/>
    <n v="2E+20"/>
    <n v="0"/>
    <n v="3"/>
    <n v="2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7"/>
    <x v="1"/>
    <x v="1"/>
    <x v="1"/>
    <n v="0.20710722423602501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7"/>
    <x v="2"/>
    <x v="2"/>
    <x v="2"/>
    <n v="0.85513343442023504"/>
    <n v="2E+20"/>
    <n v="0"/>
    <n v="1"/>
    <n v="1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7"/>
    <x v="2"/>
    <x v="3"/>
    <x v="2"/>
    <n v="1.7102668688404701"/>
    <n v="2E+20"/>
    <n v="0"/>
    <n v="2"/>
    <n v="2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7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8"/>
    <x v="0"/>
    <x v="0"/>
    <x v="0"/>
    <n v="0.95692574998743796"/>
    <n v="2E+20"/>
    <n v="0"/>
    <n v="3"/>
    <n v="0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8"/>
    <x v="1"/>
    <x v="1"/>
    <x v="1"/>
    <n v="9.3535942869009696E-4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8"/>
    <x v="2"/>
    <x v="2"/>
    <x v="2"/>
    <n v="0.47799519527937401"/>
    <n v="2E+20"/>
    <n v="0"/>
    <n v="1"/>
    <n v="0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8"/>
    <x v="2"/>
    <x v="3"/>
    <x v="2"/>
    <n v="0.95599039055874802"/>
    <n v="2E+20"/>
    <n v="0"/>
    <n v="2"/>
    <n v="0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8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49"/>
    <x v="0"/>
    <x v="0"/>
    <x v="0"/>
    <n v="1.1250067960999"/>
    <n v="2E+20"/>
    <n v="0"/>
    <n v="3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49"/>
    <x v="1"/>
    <x v="1"/>
    <x v="1"/>
    <n v="7.1860597251429098E-2"/>
    <n v="2E+20"/>
    <n v="0"/>
    <n v="1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49"/>
    <x v="2"/>
    <x v="2"/>
    <x v="2"/>
    <n v="0.52657309942423702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49"/>
    <x v="2"/>
    <x v="3"/>
    <x v="2"/>
    <n v="1.05314619884847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49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  <r>
    <x v="0"/>
    <s v="2023-12-02 21:40:23"/>
    <n v="50"/>
    <x v="0"/>
    <x v="0"/>
    <x v="0"/>
    <n v="1.0438800513075599"/>
    <n v="2E+20"/>
    <n v="0"/>
    <n v="2"/>
    <n v="1"/>
    <n v="0"/>
    <s v="Unnamed ProjectArquivosWIPEntity"/>
    <n v="50"/>
    <n v="1.4877585281880483"/>
    <n v="0.56951706432364502"/>
    <n v="0.95"/>
    <n v="0.16185495883193918"/>
    <n v="0.61713110674043503"/>
    <n v="3.1068745343639899"/>
    <n v="0.16185495883193918"/>
  </r>
  <r>
    <x v="0"/>
    <s v="2023-12-02 21:40:23"/>
    <n v="50"/>
    <x v="1"/>
    <x v="1"/>
    <x v="1"/>
    <n v="0"/>
    <n v="2E+20"/>
    <n v="0"/>
    <n v="0"/>
    <n v="0"/>
    <n v="0"/>
    <s v="Unnamed ProjectEdicao.QueueNumber WaitingQueue"/>
    <n v="50"/>
    <n v="0.20950744970441737"/>
    <n v="0.29136675156652908"/>
    <n v="0.95"/>
    <n v="8.2805514591213075E-2"/>
    <n v="0"/>
    <n v="1.3948152888114"/>
    <n v="8.2805514591213075E-2"/>
  </r>
  <r>
    <x v="0"/>
    <s v="2023-12-02 21:40:23"/>
    <n v="50"/>
    <x v="2"/>
    <x v="2"/>
    <x v="2"/>
    <n v="0.52194002565377995"/>
    <n v="2E+20"/>
    <n v="0"/>
    <n v="1"/>
    <n v="0.5"/>
    <n v="0"/>
    <s v="Unnamed ProjectOperadorInstantaneous UtilizationResource"/>
    <n v="50"/>
    <n v="0.63912553924181559"/>
    <n v="0.16841036655083153"/>
    <n v="0.95"/>
    <n v="4.7861696606629554E-2"/>
    <n v="0.30856555337021802"/>
    <n v="0.98721163888391195"/>
    <n v="4.7861696606629554E-2"/>
  </r>
  <r>
    <x v="0"/>
    <s v="2023-12-02 21:40:23"/>
    <n v="50"/>
    <x v="2"/>
    <x v="3"/>
    <x v="2"/>
    <n v="1.0438800513075599"/>
    <n v="2E+20"/>
    <n v="0"/>
    <n v="2"/>
    <n v="1"/>
    <n v="0"/>
    <s v="Unnamed ProjectOperadorNumber BusyResource"/>
    <n v="50"/>
    <n v="1.2782510784836314"/>
    <n v="0.33682073310166005"/>
    <n v="0.95"/>
    <n v="9.5723393213258262E-2"/>
    <n v="0.61713110674043503"/>
    <n v="1.9744232777678199"/>
    <n v="9.5723393213258262E-2"/>
  </r>
  <r>
    <x v="0"/>
    <s v="2023-12-02 21:40:23"/>
    <n v="50"/>
    <x v="2"/>
    <x v="4"/>
    <x v="2"/>
    <n v="2"/>
    <n v="2E+20"/>
    <n v="2"/>
    <n v="2"/>
    <n v="2"/>
    <n v="0"/>
    <s v="Unnamed ProjectOperador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">
  <r>
    <x v="0"/>
    <s v="2023-12-02 21:40:23"/>
    <n v="1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"/>
    <x v="0"/>
    <x v="2"/>
    <x v="0"/>
    <n v="2.27019065089197"/>
    <n v="2E+20"/>
    <n v="0.96251682333622102"/>
    <n v="3.5872101956385598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"/>
    <x v="0"/>
    <x v="4"/>
    <x v="0"/>
    <n v="2.0596471219341699"/>
    <n v="2E+20"/>
    <n v="0.96251682333622102"/>
    <n v="2.7450360798073499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"/>
    <x v="0"/>
    <x v="5"/>
    <x v="0"/>
    <n v="0.21054352895780401"/>
    <n v="2E+20"/>
    <n v="0"/>
    <n v="0.84217411583121504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"/>
    <x v="0"/>
    <x v="2"/>
    <x v="0"/>
    <n v="4.4523993875489198"/>
    <n v="2E+20"/>
    <n v="3.5826666085025498"/>
    <n v="5.4268973031599996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"/>
    <x v="0"/>
    <x v="4"/>
    <x v="0"/>
    <n v="3.2207590152928498"/>
    <n v="2E+20"/>
    <n v="2.57167009238414"/>
    <n v="3.9758496485599402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"/>
    <x v="0"/>
    <x v="5"/>
    <x v="0"/>
    <n v="1.23164037225607"/>
    <n v="2E+20"/>
    <n v="0"/>
    <n v="2.6740475914352202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"/>
    <x v="0"/>
    <x v="2"/>
    <x v="0"/>
    <n v="2.2078169486031398"/>
    <n v="2E+20"/>
    <n v="0.98492986563744001"/>
    <n v="3.9064862118694799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"/>
    <x v="0"/>
    <x v="4"/>
    <x v="0"/>
    <n v="2.2078169486031398"/>
    <n v="2E+20"/>
    <n v="0.98492986563744001"/>
    <n v="3.9064862118694799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"/>
    <x v="0"/>
    <x v="5"/>
    <x v="0"/>
    <n v="0"/>
    <n v="2E+20"/>
    <n v="0"/>
    <n v="0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"/>
    <x v="0"/>
    <x v="2"/>
    <x v="0"/>
    <n v="2.6370102139135398"/>
    <n v="2E+20"/>
    <n v="1.5399292767573001"/>
    <n v="4.8260534923328997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"/>
    <x v="0"/>
    <x v="4"/>
    <x v="0"/>
    <n v="2.6370102139135398"/>
    <n v="2E+20"/>
    <n v="1.5399292767573001"/>
    <n v="4.8260534923328997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5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5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5"/>
    <x v="0"/>
    <x v="2"/>
    <x v="0"/>
    <n v="2.73194240487005"/>
    <n v="2E+20"/>
    <n v="1.5084763546300299"/>
    <n v="4.2088448519734198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5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5"/>
    <x v="0"/>
    <x v="4"/>
    <x v="0"/>
    <n v="2.5600480584790999"/>
    <n v="2E+20"/>
    <n v="1.5084763546300299"/>
    <n v="3.6972043382109301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5"/>
    <x v="0"/>
    <x v="5"/>
    <x v="0"/>
    <n v="0.17189434639095499"/>
    <n v="2E+20"/>
    <n v="0"/>
    <n v="0.859471731954774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6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6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6"/>
    <x v="0"/>
    <x v="2"/>
    <x v="0"/>
    <n v="3.1541421958572902"/>
    <n v="2E+20"/>
    <n v="2.6685919255001598"/>
    <n v="3.9024042009508801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6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6"/>
    <x v="0"/>
    <x v="4"/>
    <x v="0"/>
    <n v="2.9422408977593499"/>
    <n v="2E+20"/>
    <n v="1.60908543501042"/>
    <n v="3.9024042009508801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6"/>
    <x v="0"/>
    <x v="5"/>
    <x v="0"/>
    <n v="0.211901298097948"/>
    <n v="2E+20"/>
    <n v="0"/>
    <n v="1.05950649048974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7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7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7"/>
    <x v="0"/>
    <x v="2"/>
    <x v="0"/>
    <n v="2.9117332051349498"/>
    <n v="2E+20"/>
    <n v="0.95308754696301601"/>
    <n v="4.3337110903769602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7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7"/>
    <x v="0"/>
    <x v="4"/>
    <x v="0"/>
    <n v="2.9117332051349498"/>
    <n v="2E+20"/>
    <n v="0.95308754696301601"/>
    <n v="4.3337110903769602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7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8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8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8"/>
    <x v="0"/>
    <x v="2"/>
    <x v="0"/>
    <n v="2.9445106671976999"/>
    <n v="2E+20"/>
    <n v="1.16640805612146"/>
    <n v="4.47397405256444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8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8"/>
    <x v="0"/>
    <x v="4"/>
    <x v="0"/>
    <n v="2.73780190997683"/>
    <n v="2E+20"/>
    <n v="1.16640805612146"/>
    <n v="3.5506315482030599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8"/>
    <x v="0"/>
    <x v="5"/>
    <x v="0"/>
    <n v="0.20670875722086801"/>
    <n v="2E+20"/>
    <n v="0"/>
    <n v="0.92334250436138399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9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9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9"/>
    <x v="0"/>
    <x v="2"/>
    <x v="0"/>
    <n v="2.2151114659909998"/>
    <n v="2E+20"/>
    <n v="0.58847912081681497"/>
    <n v="3.2771097770767099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9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9"/>
    <x v="0"/>
    <x v="4"/>
    <x v="0"/>
    <n v="2.2151114659909998"/>
    <n v="2E+20"/>
    <n v="0.58847912081681497"/>
    <n v="3.2771097770767099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9"/>
    <x v="0"/>
    <x v="5"/>
    <x v="0"/>
    <n v="0"/>
    <n v="2E+20"/>
    <n v="0"/>
    <n v="0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0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0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0"/>
    <x v="0"/>
    <x v="2"/>
    <x v="0"/>
    <n v="2.5578232086306598"/>
    <n v="2E+20"/>
    <n v="1.39230796682725"/>
    <n v="4.0127843440344098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0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0"/>
    <x v="0"/>
    <x v="4"/>
    <x v="0"/>
    <n v="2.5578232086306598"/>
    <n v="2E+20"/>
    <n v="1.39230796682725"/>
    <n v="4.0127843440344098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0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1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1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1"/>
    <x v="0"/>
    <x v="2"/>
    <x v="0"/>
    <n v="2.02002729368375"/>
    <n v="2E+20"/>
    <n v="1.2319650874589301"/>
    <n v="3.0418841672280301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1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1"/>
    <x v="0"/>
    <x v="4"/>
    <x v="0"/>
    <n v="2.02002729368375"/>
    <n v="2E+20"/>
    <n v="1.2319650874589301"/>
    <n v="3.0418841672280301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1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2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2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2"/>
    <x v="0"/>
    <x v="2"/>
    <x v="0"/>
    <n v="2.0528675434905699"/>
    <n v="2E+20"/>
    <n v="1.05822611676391"/>
    <n v="3.3753807251930601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2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2"/>
    <x v="0"/>
    <x v="4"/>
    <x v="0"/>
    <n v="2.0528675434905699"/>
    <n v="2E+20"/>
    <n v="1.05822611676391"/>
    <n v="3.3753807251930601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2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3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3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3"/>
    <x v="0"/>
    <x v="2"/>
    <x v="0"/>
    <n v="2.3946702960231399"/>
    <n v="2E+20"/>
    <n v="1.0879920588566501"/>
    <n v="3.2599478426760902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3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3"/>
    <x v="0"/>
    <x v="4"/>
    <x v="0"/>
    <n v="2.1132291079407999"/>
    <n v="2E+20"/>
    <n v="0.78454679503477398"/>
    <n v="3.2599478426760902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3"/>
    <x v="0"/>
    <x v="5"/>
    <x v="0"/>
    <n v="0.28144118808233498"/>
    <n v="2E+20"/>
    <n v="0"/>
    <n v="0.82231948850745995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4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4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4"/>
    <x v="0"/>
    <x v="2"/>
    <x v="0"/>
    <n v="2.62482723617144"/>
    <n v="2E+20"/>
    <n v="1.9768374473661601"/>
    <n v="3.3905838712949099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4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4"/>
    <x v="0"/>
    <x v="4"/>
    <x v="0"/>
    <n v="2.3563109524916701"/>
    <n v="2E+20"/>
    <n v="1.5642481095862399"/>
    <n v="3.1092710971137101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4"/>
    <x v="0"/>
    <x v="5"/>
    <x v="0"/>
    <n v="0.26851628367977098"/>
    <n v="2E+20"/>
    <n v="0"/>
    <n v="1.0262639046947299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5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5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5"/>
    <x v="0"/>
    <x v="2"/>
    <x v="0"/>
    <n v="2.0880419269707202"/>
    <n v="2E+20"/>
    <n v="1.25978648852258"/>
    <n v="2.9183976514745602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5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5"/>
    <x v="0"/>
    <x v="4"/>
    <x v="0"/>
    <n v="2.0880419269707202"/>
    <n v="2E+20"/>
    <n v="1.25978648852258"/>
    <n v="2.9183976514745602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5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6"/>
    <x v="0"/>
    <x v="0"/>
    <x v="0"/>
    <n v="0"/>
    <n v="2E+20"/>
    <n v="0"/>
    <n v="0"/>
    <n v="7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6"/>
    <x v="0"/>
    <x v="1"/>
    <x v="0"/>
    <n v="0"/>
    <n v="2E+20"/>
    <n v="0"/>
    <n v="0"/>
    <n v="7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6"/>
    <x v="0"/>
    <x v="2"/>
    <x v="0"/>
    <n v="3.4619749592699001"/>
    <n v="2E+20"/>
    <n v="1.9994705694094399"/>
    <n v="4.6188836004053799"/>
    <n v="7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6"/>
    <x v="0"/>
    <x v="3"/>
    <x v="0"/>
    <n v="0"/>
    <n v="2E+20"/>
    <n v="0"/>
    <n v="0"/>
    <n v="7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6"/>
    <x v="0"/>
    <x v="4"/>
    <x v="0"/>
    <n v="2.54797797675187"/>
    <n v="2E+20"/>
    <n v="1.3405555681610599"/>
    <n v="4.3279719754363102"/>
    <n v="7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6"/>
    <x v="0"/>
    <x v="5"/>
    <x v="0"/>
    <n v="0.91399698251803196"/>
    <n v="2E+20"/>
    <n v="0"/>
    <n v="1.8827329163944999"/>
    <n v="7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7"/>
    <x v="0"/>
    <x v="0"/>
    <x v="0"/>
    <n v="0"/>
    <n v="2E+20"/>
    <n v="0"/>
    <n v="0"/>
    <n v="2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7"/>
    <x v="0"/>
    <x v="1"/>
    <x v="0"/>
    <n v="0"/>
    <n v="2E+20"/>
    <n v="0"/>
    <n v="0"/>
    <n v="2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7"/>
    <x v="0"/>
    <x v="2"/>
    <x v="0"/>
    <n v="2.2133840130397902"/>
    <n v="2E+20"/>
    <n v="2.1523569066582402"/>
    <n v="2.2744111194213499"/>
    <n v="2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7"/>
    <x v="0"/>
    <x v="3"/>
    <x v="0"/>
    <n v="0"/>
    <n v="2E+20"/>
    <n v="0"/>
    <n v="0"/>
    <n v="2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7"/>
    <x v="0"/>
    <x v="4"/>
    <x v="0"/>
    <n v="2.2133840130397902"/>
    <n v="2E+20"/>
    <n v="2.1523569066582402"/>
    <n v="2.2744111194213499"/>
    <n v="2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7"/>
    <x v="0"/>
    <x v="5"/>
    <x v="0"/>
    <n v="0"/>
    <n v="2E+20"/>
    <n v="0"/>
    <n v="0"/>
    <n v="2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8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8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8"/>
    <x v="0"/>
    <x v="2"/>
    <x v="0"/>
    <n v="1.3997857000332199"/>
    <n v="2E+20"/>
    <n v="0.950892178910972"/>
    <n v="2.4463955493923999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8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8"/>
    <x v="0"/>
    <x v="4"/>
    <x v="0"/>
    <n v="1.3997857000332199"/>
    <n v="2E+20"/>
    <n v="0.950892178910972"/>
    <n v="2.4463955493923999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8"/>
    <x v="0"/>
    <x v="5"/>
    <x v="0"/>
    <n v="0"/>
    <n v="2E+20"/>
    <n v="0"/>
    <n v="0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9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9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9"/>
    <x v="0"/>
    <x v="2"/>
    <x v="0"/>
    <n v="2.3473898774850599"/>
    <n v="2E+20"/>
    <n v="1.60629296857945"/>
    <n v="3.51604515948994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19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19"/>
    <x v="0"/>
    <x v="4"/>
    <x v="0"/>
    <n v="2.3148722816171898"/>
    <n v="2E+20"/>
    <n v="1.60629296857945"/>
    <n v="3.51604515948994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19"/>
    <x v="0"/>
    <x v="5"/>
    <x v="0"/>
    <n v="3.25175958678749E-2"/>
    <n v="2E+20"/>
    <n v="0"/>
    <n v="0.16258797933937499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0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0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0"/>
    <x v="0"/>
    <x v="2"/>
    <x v="0"/>
    <n v="2.8133751043111199"/>
    <n v="2E+20"/>
    <n v="1.3459009293818001"/>
    <n v="4.0417259174093703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0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0"/>
    <x v="0"/>
    <x v="4"/>
    <x v="0"/>
    <n v="2.4927675783474799"/>
    <n v="2E+20"/>
    <n v="1.3459009293818001"/>
    <n v="3.2841569029627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0"/>
    <x v="0"/>
    <x v="5"/>
    <x v="0"/>
    <n v="0.32060752596363801"/>
    <n v="2E+20"/>
    <n v="0"/>
    <n v="1.3351953302581001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1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1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1"/>
    <x v="0"/>
    <x v="2"/>
    <x v="0"/>
    <n v="2.74521159755004"/>
    <n v="2E+20"/>
    <n v="2.2770033215837699"/>
    <n v="3.3438725651846202"/>
    <n v="3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1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1"/>
    <x v="0"/>
    <x v="4"/>
    <x v="0"/>
    <n v="2.74521159755004"/>
    <n v="2E+20"/>
    <n v="2.2770033215837699"/>
    <n v="3.3438725651846202"/>
    <n v="3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1"/>
    <x v="0"/>
    <x v="5"/>
    <x v="0"/>
    <n v="0"/>
    <n v="2E+20"/>
    <n v="0"/>
    <n v="0"/>
    <n v="3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2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2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2"/>
    <x v="0"/>
    <x v="2"/>
    <x v="0"/>
    <n v="2.2673870402116898"/>
    <n v="2E+20"/>
    <n v="2.0923926184296602"/>
    <n v="2.4133503410527202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2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2"/>
    <x v="0"/>
    <x v="4"/>
    <x v="0"/>
    <n v="2.2673870402116898"/>
    <n v="2E+20"/>
    <n v="2.0923926184296602"/>
    <n v="2.4133503410527202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2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3"/>
    <x v="0"/>
    <x v="0"/>
    <x v="0"/>
    <n v="0"/>
    <n v="2E+20"/>
    <n v="0"/>
    <n v="0"/>
    <n v="7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3"/>
    <x v="0"/>
    <x v="1"/>
    <x v="0"/>
    <n v="0"/>
    <n v="2E+20"/>
    <n v="0"/>
    <n v="0"/>
    <n v="7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3"/>
    <x v="0"/>
    <x v="2"/>
    <x v="0"/>
    <n v="2.4973188984317298"/>
    <n v="2E+20"/>
    <n v="1.32458369287574"/>
    <n v="3.83849665430877"/>
    <n v="7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3"/>
    <x v="0"/>
    <x v="3"/>
    <x v="0"/>
    <n v="0"/>
    <n v="2E+20"/>
    <n v="0"/>
    <n v="0"/>
    <n v="7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3"/>
    <x v="0"/>
    <x v="4"/>
    <x v="0"/>
    <n v="2.2461903734152902"/>
    <n v="2E+20"/>
    <n v="1.2097317231271301"/>
    <n v="3.5966850900993599"/>
    <n v="7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3"/>
    <x v="0"/>
    <x v="5"/>
    <x v="0"/>
    <n v="0.25112852501643301"/>
    <n v="2E+20"/>
    <n v="0"/>
    <n v="1.3483268693249999"/>
    <n v="7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4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4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4"/>
    <x v="0"/>
    <x v="2"/>
    <x v="0"/>
    <n v="2.6705148852307801"/>
    <n v="2E+20"/>
    <n v="1.0644481621822199"/>
    <n v="4.5066503736035104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4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4"/>
    <x v="0"/>
    <x v="4"/>
    <x v="0"/>
    <n v="2.6705148852307801"/>
    <n v="2E+20"/>
    <n v="1.0644481621822199"/>
    <n v="4.5066503736035104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4"/>
    <x v="0"/>
    <x v="5"/>
    <x v="0"/>
    <n v="0"/>
    <n v="2E+20"/>
    <n v="0"/>
    <n v="0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5"/>
    <x v="0"/>
    <x v="0"/>
    <x v="0"/>
    <n v="0"/>
    <n v="2E+20"/>
    <n v="0"/>
    <n v="0"/>
    <n v="8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5"/>
    <x v="0"/>
    <x v="1"/>
    <x v="0"/>
    <n v="0"/>
    <n v="2E+20"/>
    <n v="0"/>
    <n v="0"/>
    <n v="8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5"/>
    <x v="0"/>
    <x v="2"/>
    <x v="0"/>
    <n v="2.2948866659604801"/>
    <n v="2E+20"/>
    <n v="1.2590490802665599"/>
    <n v="3.2055672610892101"/>
    <n v="8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5"/>
    <x v="0"/>
    <x v="3"/>
    <x v="0"/>
    <n v="0"/>
    <n v="2E+20"/>
    <n v="0"/>
    <n v="0"/>
    <n v="8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5"/>
    <x v="0"/>
    <x v="4"/>
    <x v="0"/>
    <n v="2.02198220054707"/>
    <n v="2E+20"/>
    <n v="1.10408928119121"/>
    <n v="2.8906951968681698"/>
    <n v="8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5"/>
    <x v="0"/>
    <x v="5"/>
    <x v="0"/>
    <n v="0.27290446541340402"/>
    <n v="2E+20"/>
    <n v="0"/>
    <n v="1.0691374405527501"/>
    <n v="8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6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6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6"/>
    <x v="0"/>
    <x v="2"/>
    <x v="0"/>
    <n v="3.3204783392613799"/>
    <n v="2E+20"/>
    <n v="1.70979317710763"/>
    <n v="4.16203266244879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6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6"/>
    <x v="0"/>
    <x v="4"/>
    <x v="0"/>
    <n v="2.3737487818211802"/>
    <n v="2E+20"/>
    <n v="1.00541605871374"/>
    <n v="3.8730021705266302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6"/>
    <x v="0"/>
    <x v="5"/>
    <x v="0"/>
    <n v="0.94672955744019804"/>
    <n v="2E+20"/>
    <n v="0"/>
    <n v="2.36057596288647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7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7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7"/>
    <x v="0"/>
    <x v="2"/>
    <x v="0"/>
    <n v="2.85715654829063"/>
    <n v="2E+20"/>
    <n v="1.6256656904296301"/>
    <n v="4.8563426048269296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7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7"/>
    <x v="0"/>
    <x v="4"/>
    <x v="0"/>
    <n v="2.3179943496731501"/>
    <n v="2E+20"/>
    <n v="1.6256656904296301"/>
    <n v="3.47211379010729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7"/>
    <x v="0"/>
    <x v="5"/>
    <x v="0"/>
    <n v="0.53916219861748904"/>
    <n v="2E+20"/>
    <n v="0"/>
    <n v="1.38422881471963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8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8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8"/>
    <x v="0"/>
    <x v="2"/>
    <x v="0"/>
    <n v="2.8348585791140501"/>
    <n v="2E+20"/>
    <n v="2.2081403895100999"/>
    <n v="4.6355336158454303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8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8"/>
    <x v="0"/>
    <x v="4"/>
    <x v="0"/>
    <n v="2.51678833113677"/>
    <n v="2E+20"/>
    <n v="2.2081403895100999"/>
    <n v="3.0451823759590502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8"/>
    <x v="0"/>
    <x v="5"/>
    <x v="0"/>
    <n v="0.31807024797727501"/>
    <n v="2E+20"/>
    <n v="0"/>
    <n v="1.5903512398863699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29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9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9"/>
    <x v="0"/>
    <x v="2"/>
    <x v="0"/>
    <n v="2.8410604674503199"/>
    <n v="2E+20"/>
    <n v="1.83053057598705"/>
    <n v="3.9202223506745102"/>
    <n v="3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29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29"/>
    <x v="0"/>
    <x v="4"/>
    <x v="0"/>
    <n v="2.6760799290873201"/>
    <n v="2E+20"/>
    <n v="1.83053057598705"/>
    <n v="3.4252807355854999"/>
    <n v="3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29"/>
    <x v="0"/>
    <x v="5"/>
    <x v="0"/>
    <n v="0.164980538363004"/>
    <n v="2E+20"/>
    <n v="0"/>
    <n v="0.49494161508901102"/>
    <n v="3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0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0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0"/>
    <x v="0"/>
    <x v="2"/>
    <x v="0"/>
    <n v="1.7295730873777799"/>
    <n v="2E+20"/>
    <n v="0.74895921082646899"/>
    <n v="2.9947241378232401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0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0"/>
    <x v="0"/>
    <x v="4"/>
    <x v="0"/>
    <n v="1.6271381076576701"/>
    <n v="2E+20"/>
    <n v="0.74895921082646899"/>
    <n v="2.4025248599808999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0"/>
    <x v="0"/>
    <x v="5"/>
    <x v="0"/>
    <n v="0.102434979720109"/>
    <n v="2E+20"/>
    <n v="0"/>
    <n v="0.61460987832065295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1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1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1"/>
    <x v="0"/>
    <x v="2"/>
    <x v="0"/>
    <n v="2.2797397703573199"/>
    <n v="2E+20"/>
    <n v="1.76199226298527"/>
    <n v="3.3017142554324499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1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1"/>
    <x v="0"/>
    <x v="4"/>
    <x v="0"/>
    <n v="2.2797397703573199"/>
    <n v="2E+20"/>
    <n v="1.76199226298527"/>
    <n v="3.3017142554324499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1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2"/>
    <x v="0"/>
    <x v="0"/>
    <x v="0"/>
    <n v="0"/>
    <n v="2E+20"/>
    <n v="0"/>
    <n v="0"/>
    <n v="2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2"/>
    <x v="0"/>
    <x v="1"/>
    <x v="0"/>
    <n v="0"/>
    <n v="2E+20"/>
    <n v="0"/>
    <n v="0"/>
    <n v="2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2"/>
    <x v="0"/>
    <x v="2"/>
    <x v="0"/>
    <n v="2.6088884466715201"/>
    <n v="2E+20"/>
    <n v="1.46872073909846"/>
    <n v="3.7490561542445802"/>
    <n v="2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2"/>
    <x v="0"/>
    <x v="3"/>
    <x v="0"/>
    <n v="0"/>
    <n v="2E+20"/>
    <n v="0"/>
    <n v="0"/>
    <n v="2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2"/>
    <x v="0"/>
    <x v="4"/>
    <x v="0"/>
    <n v="2.6088884466715201"/>
    <n v="2E+20"/>
    <n v="1.46872073909846"/>
    <n v="3.7490561542445802"/>
    <n v="2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2"/>
    <x v="0"/>
    <x v="5"/>
    <x v="0"/>
    <n v="0"/>
    <n v="2E+20"/>
    <n v="0"/>
    <n v="0"/>
    <n v="2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3"/>
    <x v="0"/>
    <x v="0"/>
    <x v="0"/>
    <n v="0"/>
    <n v="2E+20"/>
    <n v="0"/>
    <n v="0"/>
    <n v="6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3"/>
    <x v="0"/>
    <x v="1"/>
    <x v="0"/>
    <n v="0"/>
    <n v="2E+20"/>
    <n v="0"/>
    <n v="0"/>
    <n v="6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3"/>
    <x v="0"/>
    <x v="2"/>
    <x v="0"/>
    <n v="3.6342826575773501"/>
    <n v="2E+20"/>
    <n v="2.1707644238489201"/>
    <n v="4.7542523778099302"/>
    <n v="6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3"/>
    <x v="0"/>
    <x v="3"/>
    <x v="0"/>
    <n v="0"/>
    <n v="2E+20"/>
    <n v="0"/>
    <n v="0"/>
    <n v="6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3"/>
    <x v="0"/>
    <x v="4"/>
    <x v="0"/>
    <n v="2.0280788080752399"/>
    <n v="2E+20"/>
    <n v="0.879353669164471"/>
    <n v="2.4222460183305299"/>
    <n v="6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3"/>
    <x v="0"/>
    <x v="5"/>
    <x v="0"/>
    <n v="1.60620384950211"/>
    <n v="2E+20"/>
    <n v="0"/>
    <n v="3.4950047602739902"/>
    <n v="6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4"/>
    <x v="0"/>
    <x v="0"/>
    <x v="0"/>
    <n v="0"/>
    <n v="2E+20"/>
    <n v="0"/>
    <n v="0"/>
    <n v="7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4"/>
    <x v="0"/>
    <x v="1"/>
    <x v="0"/>
    <n v="0"/>
    <n v="2E+20"/>
    <n v="0"/>
    <n v="0"/>
    <n v="7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4"/>
    <x v="0"/>
    <x v="2"/>
    <x v="0"/>
    <n v="2.28903571207004"/>
    <n v="2E+20"/>
    <n v="1.0020187737398301"/>
    <n v="3.1944896738421802"/>
    <n v="7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4"/>
    <x v="0"/>
    <x v="3"/>
    <x v="0"/>
    <n v="0"/>
    <n v="2E+20"/>
    <n v="0"/>
    <n v="0"/>
    <n v="7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4"/>
    <x v="0"/>
    <x v="4"/>
    <x v="0"/>
    <n v="2.0379146929354501"/>
    <n v="2E+20"/>
    <n v="1.0020187737398301"/>
    <n v="2.98470746023767"/>
    <n v="7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4"/>
    <x v="0"/>
    <x v="5"/>
    <x v="0"/>
    <n v="0.251121019134596"/>
    <n v="2E+20"/>
    <n v="0"/>
    <n v="0.99648497632056998"/>
    <n v="7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5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5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5"/>
    <x v="0"/>
    <x v="2"/>
    <x v="0"/>
    <n v="2.6389675889291402"/>
    <n v="2E+20"/>
    <n v="1.74833717830621"/>
    <n v="3.8652626344169998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5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5"/>
    <x v="0"/>
    <x v="4"/>
    <x v="0"/>
    <n v="2.4478000704443099"/>
    <n v="2E+20"/>
    <n v="1.74833717830621"/>
    <n v="3.5573791902171901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5"/>
    <x v="0"/>
    <x v="5"/>
    <x v="0"/>
    <n v="0.19116751848483099"/>
    <n v="2E+20"/>
    <n v="0"/>
    <n v="0.64795414822434705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6"/>
    <x v="0"/>
    <x v="0"/>
    <x v="0"/>
    <n v="0"/>
    <n v="2E+20"/>
    <n v="0"/>
    <n v="0"/>
    <n v="8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6"/>
    <x v="0"/>
    <x v="1"/>
    <x v="0"/>
    <n v="0"/>
    <n v="2E+20"/>
    <n v="0"/>
    <n v="0"/>
    <n v="8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6"/>
    <x v="0"/>
    <x v="2"/>
    <x v="0"/>
    <n v="2.3093932708798501"/>
    <n v="2E+20"/>
    <n v="0.84136683400969403"/>
    <n v="4.5858861141057297"/>
    <n v="8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6"/>
    <x v="0"/>
    <x v="3"/>
    <x v="0"/>
    <n v="0"/>
    <n v="2E+20"/>
    <n v="0"/>
    <n v="0"/>
    <n v="8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6"/>
    <x v="0"/>
    <x v="4"/>
    <x v="0"/>
    <n v="1.92464088284738"/>
    <n v="2E+20"/>
    <n v="0.84136683400969403"/>
    <n v="3.9042234883295999"/>
    <n v="8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6"/>
    <x v="0"/>
    <x v="5"/>
    <x v="0"/>
    <n v="0.38475238803247602"/>
    <n v="2E+20"/>
    <n v="0"/>
    <n v="1.2152661772906199"/>
    <n v="8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7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7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7"/>
    <x v="0"/>
    <x v="2"/>
    <x v="0"/>
    <n v="2.8000784845097302"/>
    <n v="2E+20"/>
    <n v="1.5310000150343099"/>
    <n v="3.6197040984947102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7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7"/>
    <x v="0"/>
    <x v="4"/>
    <x v="0"/>
    <n v="2.2055689450334799"/>
    <n v="2E+20"/>
    <n v="1.2416659405897399"/>
    <n v="3.43117003388637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7"/>
    <x v="0"/>
    <x v="5"/>
    <x v="0"/>
    <n v="0.59450953947624396"/>
    <n v="2E+20"/>
    <n v="0"/>
    <n v="2.3780381579049799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8"/>
    <x v="0"/>
    <x v="0"/>
    <x v="0"/>
    <n v="0"/>
    <n v="2E+20"/>
    <n v="0"/>
    <n v="0"/>
    <n v="8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8"/>
    <x v="0"/>
    <x v="1"/>
    <x v="0"/>
    <n v="0"/>
    <n v="2E+20"/>
    <n v="0"/>
    <n v="0"/>
    <n v="8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8"/>
    <x v="0"/>
    <x v="2"/>
    <x v="0"/>
    <n v="2.14940737785445"/>
    <n v="2E+20"/>
    <n v="1.13112481173602"/>
    <n v="3.3118347792871599"/>
    <n v="8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8"/>
    <x v="0"/>
    <x v="3"/>
    <x v="0"/>
    <n v="0"/>
    <n v="2E+20"/>
    <n v="0"/>
    <n v="0"/>
    <n v="8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8"/>
    <x v="0"/>
    <x v="4"/>
    <x v="0"/>
    <n v="1.98186676566773"/>
    <n v="2E+20"/>
    <n v="0.98061605698421195"/>
    <n v="3.3118347792871599"/>
    <n v="8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8"/>
    <x v="0"/>
    <x v="5"/>
    <x v="0"/>
    <n v="0.16754061218672001"/>
    <n v="2E+20"/>
    <n v="0"/>
    <n v="0.82040756892578404"/>
    <n v="8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39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9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9"/>
    <x v="0"/>
    <x v="2"/>
    <x v="0"/>
    <n v="2.9670027923704398"/>
    <n v="2E+20"/>
    <n v="1.6344799843381499"/>
    <n v="3.8701171272579802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39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39"/>
    <x v="0"/>
    <x v="4"/>
    <x v="0"/>
    <n v="2.5574687897230599"/>
    <n v="2E+20"/>
    <n v="1.6344799843381499"/>
    <n v="3.2813417218293401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39"/>
    <x v="0"/>
    <x v="5"/>
    <x v="0"/>
    <n v="0.40953400264738499"/>
    <n v="2E+20"/>
    <n v="0"/>
    <n v="1.6381360105895399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0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0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0"/>
    <x v="0"/>
    <x v="2"/>
    <x v="0"/>
    <n v="2.2839262430231302"/>
    <n v="2E+20"/>
    <n v="1.32755481980079"/>
    <n v="3.4623929670082298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0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0"/>
    <x v="0"/>
    <x v="4"/>
    <x v="0"/>
    <n v="2.1635416440987698"/>
    <n v="2E+20"/>
    <n v="1.32755481980079"/>
    <n v="2.8604699723864302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0"/>
    <x v="0"/>
    <x v="5"/>
    <x v="0"/>
    <n v="0.120384598924362"/>
    <n v="2E+20"/>
    <n v="0"/>
    <n v="0.60192299462180898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1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1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1"/>
    <x v="0"/>
    <x v="2"/>
    <x v="0"/>
    <n v="2.49158910315274"/>
    <n v="2E+20"/>
    <n v="2.0257470763165601"/>
    <n v="2.83365711216917"/>
    <n v="3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1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1"/>
    <x v="0"/>
    <x v="4"/>
    <x v="0"/>
    <n v="2.49158910315274"/>
    <n v="2E+20"/>
    <n v="2.0257470763165601"/>
    <n v="2.83365711216917"/>
    <n v="3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1"/>
    <x v="0"/>
    <x v="5"/>
    <x v="0"/>
    <n v="0"/>
    <n v="2E+20"/>
    <n v="0"/>
    <n v="0"/>
    <n v="3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2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2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2"/>
    <x v="0"/>
    <x v="2"/>
    <x v="0"/>
    <n v="1.73817320511454"/>
    <n v="2E+20"/>
    <n v="0.86430983194710498"/>
    <n v="3.33448155628653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2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2"/>
    <x v="0"/>
    <x v="4"/>
    <x v="0"/>
    <n v="1.73817320511454"/>
    <n v="2E+20"/>
    <n v="0.86430983194710498"/>
    <n v="3.33448155628653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2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3"/>
    <x v="0"/>
    <x v="0"/>
    <x v="0"/>
    <n v="0"/>
    <n v="2E+20"/>
    <n v="0"/>
    <n v="0"/>
    <n v="7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3"/>
    <x v="0"/>
    <x v="1"/>
    <x v="0"/>
    <n v="0"/>
    <n v="2E+20"/>
    <n v="0"/>
    <n v="0"/>
    <n v="7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3"/>
    <x v="0"/>
    <x v="2"/>
    <x v="0"/>
    <n v="2.5603744166109998"/>
    <n v="2E+20"/>
    <n v="1.1337602343243101"/>
    <n v="3.4063739465256502"/>
    <n v="7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3"/>
    <x v="0"/>
    <x v="3"/>
    <x v="0"/>
    <n v="0"/>
    <n v="2E+20"/>
    <n v="0"/>
    <n v="0"/>
    <n v="7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3"/>
    <x v="0"/>
    <x v="4"/>
    <x v="0"/>
    <n v="2.06631741703622"/>
    <n v="2E+20"/>
    <n v="1.0455380283657301"/>
    <n v="3.4063739465256502"/>
    <n v="7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3"/>
    <x v="0"/>
    <x v="5"/>
    <x v="0"/>
    <n v="0.494056999574783"/>
    <n v="2E+20"/>
    <n v="0"/>
    <n v="1.4814966793220801"/>
    <n v="7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4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4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4"/>
    <x v="0"/>
    <x v="2"/>
    <x v="0"/>
    <n v="2.7703322530615901"/>
    <n v="2E+20"/>
    <n v="1.8076192171657599"/>
    <n v="3.6731480023890999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4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4"/>
    <x v="0"/>
    <x v="4"/>
    <x v="0"/>
    <n v="2.4333146218773898"/>
    <n v="2E+20"/>
    <n v="1.8076192171657599"/>
    <n v="3.2626245985551998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4"/>
    <x v="0"/>
    <x v="5"/>
    <x v="0"/>
    <n v="0.33701763118420203"/>
    <n v="2E+20"/>
    <n v="0"/>
    <n v="1.68508815592101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5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5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5"/>
    <x v="0"/>
    <x v="2"/>
    <x v="0"/>
    <n v="1.5428277668510899"/>
    <n v="2E+20"/>
    <n v="0.89436702455918604"/>
    <n v="2.0903181671053401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5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5"/>
    <x v="0"/>
    <x v="4"/>
    <x v="0"/>
    <n v="1.5428277668510899"/>
    <n v="2E+20"/>
    <n v="0.89436702455918604"/>
    <n v="2.0903181671053401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5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6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6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6"/>
    <x v="0"/>
    <x v="2"/>
    <x v="0"/>
    <n v="1.67433538646764"/>
    <n v="2E+20"/>
    <n v="1.2333715273297601"/>
    <n v="2.4275446439922299"/>
    <n v="3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6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6"/>
    <x v="0"/>
    <x v="4"/>
    <x v="0"/>
    <n v="1.67433538646764"/>
    <n v="2E+20"/>
    <n v="1.2333715273297601"/>
    <n v="2.4275446439922299"/>
    <n v="3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6"/>
    <x v="0"/>
    <x v="5"/>
    <x v="0"/>
    <n v="0"/>
    <n v="2E+20"/>
    <n v="0"/>
    <n v="0"/>
    <n v="3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7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7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7"/>
    <x v="0"/>
    <x v="2"/>
    <x v="0"/>
    <n v="2.85888982080139"/>
    <n v="2E+20"/>
    <n v="2.4744900238269598"/>
    <n v="3.1819540334251601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7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7"/>
    <x v="0"/>
    <x v="4"/>
    <x v="0"/>
    <n v="2.7783499059774801"/>
    <n v="2E+20"/>
    <n v="2.4744900238269598"/>
    <n v="3.1819540334251601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7"/>
    <x v="0"/>
    <x v="5"/>
    <x v="0"/>
    <n v="8.0539914823905295E-2"/>
    <n v="2E+20"/>
    <n v="0"/>
    <n v="0.402699574119526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8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8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8"/>
    <x v="0"/>
    <x v="2"/>
    <x v="0"/>
    <n v="2.3923143749685898"/>
    <n v="2E+20"/>
    <n v="1.4195642576251599"/>
    <n v="4.1391784437654504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8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8"/>
    <x v="0"/>
    <x v="4"/>
    <x v="0"/>
    <n v="2.3899759763968702"/>
    <n v="2E+20"/>
    <n v="1.4195642576251599"/>
    <n v="4.1391784437654504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8"/>
    <x v="0"/>
    <x v="5"/>
    <x v="0"/>
    <n v="2.3383985717252398E-3"/>
    <n v="2E+20"/>
    <n v="0"/>
    <n v="9.3535942869009698E-3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49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9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9"/>
    <x v="0"/>
    <x v="2"/>
    <x v="0"/>
    <n v="2.23276743114512"/>
    <n v="2E+20"/>
    <n v="1.3691809575613401"/>
    <n v="2.79005538093576"/>
    <n v="4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49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49"/>
    <x v="0"/>
    <x v="4"/>
    <x v="0"/>
    <n v="2.23276743114512"/>
    <n v="2E+20"/>
    <n v="1.3691809575613401"/>
    <n v="2.79005538093576"/>
    <n v="4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49"/>
    <x v="0"/>
    <x v="5"/>
    <x v="0"/>
    <n v="0"/>
    <n v="2E+20"/>
    <n v="0"/>
    <n v="0"/>
    <n v="4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50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50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50"/>
    <x v="0"/>
    <x v="2"/>
    <x v="0"/>
    <n v="1.95895218290902"/>
    <n v="2E+20"/>
    <n v="1.14079040349723"/>
    <n v="3.1367728241656598"/>
    <n v="5"/>
    <s v="Unnamed ProjectArquivosTotal TimeEntity"/>
    <n v="50"/>
    <n v="2.5147749738664498"/>
    <n v="0.54116361462615026"/>
    <n v="0.95"/>
    <n v="0.15379699758545484"/>
    <n v="1.3997857000332199"/>
    <n v="4.4523993875489198"/>
    <n v="0.58847912081681497"/>
    <n v="5.4268973031599996"/>
    <n v="4.8600000000000003"/>
    <n v="0.15379699758545484"/>
    <n v="50"/>
    <n v="1"/>
  </r>
  <r>
    <x v="0"/>
    <s v="2023-12-02 21:40:23"/>
    <n v="50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4.8600000000000003"/>
    <n v="0"/>
    <n v="50"/>
    <n v="1"/>
  </r>
  <r>
    <x v="0"/>
    <s v="2023-12-02 21:40:23"/>
    <n v="50"/>
    <x v="0"/>
    <x v="4"/>
    <x v="0"/>
    <n v="1.95895218290902"/>
    <n v="2E+20"/>
    <n v="1.14079040349723"/>
    <n v="3.1367728241656598"/>
    <n v="5"/>
    <s v="Unnamed ProjectArquivosVA TimeEntity"/>
    <n v="50"/>
    <n v="2.2930880765839192"/>
    <n v="0.36953594412782692"/>
    <n v="0.95"/>
    <n v="0.1050209533137741"/>
    <n v="1.3997857000332199"/>
    <n v="3.2207590152928498"/>
    <n v="0.58847912081681497"/>
    <n v="4.8260534923328997"/>
    <n v="4.8600000000000003"/>
    <n v="0.1050209533137741"/>
    <n v="50"/>
    <n v="1"/>
  </r>
  <r>
    <x v="0"/>
    <s v="2023-12-02 21:40:23"/>
    <n v="50"/>
    <x v="0"/>
    <x v="5"/>
    <x v="0"/>
    <n v="0"/>
    <n v="2E+20"/>
    <n v="0"/>
    <n v="0"/>
    <n v="5"/>
    <s v="Unnamed ProjectArquivosWait TimeEntity"/>
    <n v="50"/>
    <n v="0.22168689728253091"/>
    <n v="0.33595956821170309"/>
    <n v="0.95"/>
    <n v="9.547865285946916E-2"/>
    <n v="0"/>
    <n v="1.60620384950211"/>
    <n v="0"/>
    <n v="3.4950047602739902"/>
    <n v="4.8600000000000003"/>
    <n v="9.547865285946916E-2"/>
    <n v="50"/>
    <n v="1"/>
  </r>
  <r>
    <x v="0"/>
    <s v="2023-12-02 21:40:23"/>
    <n v="1"/>
    <x v="1"/>
    <x v="6"/>
    <x v="1"/>
    <n v="0.168434823166243"/>
    <n v="2E+20"/>
    <n v="0"/>
    <n v="0.84217411583121504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"/>
    <x v="1"/>
    <x v="6"/>
    <x v="1"/>
    <n v="0.82109358150404599"/>
    <n v="2E+20"/>
    <n v="0"/>
    <n v="2.6740475914352202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"/>
    <x v="1"/>
    <x v="6"/>
    <x v="1"/>
    <n v="0"/>
    <n v="2E+20"/>
    <n v="0"/>
    <n v="0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"/>
    <x v="1"/>
    <x v="6"/>
    <x v="1"/>
    <n v="0.24965349886480101"/>
    <n v="2E+20"/>
    <n v="0"/>
    <n v="1.4979209931888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5"/>
    <x v="1"/>
    <x v="6"/>
    <x v="1"/>
    <n v="0.17600643471052299"/>
    <n v="2E+20"/>
    <n v="0"/>
    <n v="0.859471731954774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6"/>
    <x v="1"/>
    <x v="6"/>
    <x v="1"/>
    <n v="0.37454080418298202"/>
    <n v="2E+20"/>
    <n v="0"/>
    <n v="1.05950649048974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7"/>
    <x v="1"/>
    <x v="6"/>
    <x v="1"/>
    <n v="0"/>
    <n v="2E+20"/>
    <n v="0"/>
    <n v="0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8"/>
    <x v="1"/>
    <x v="6"/>
    <x v="1"/>
    <n v="0.20670875722086801"/>
    <n v="2E+20"/>
    <n v="0"/>
    <n v="0.92334250436138399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9"/>
    <x v="1"/>
    <x v="6"/>
    <x v="1"/>
    <n v="0.191813971412479"/>
    <n v="2E+20"/>
    <n v="0"/>
    <n v="1.3426977998873599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0"/>
    <x v="1"/>
    <x v="6"/>
    <x v="1"/>
    <n v="7.8248380584203303E-2"/>
    <n v="2E+20"/>
    <n v="0"/>
    <n v="0.46949028350521999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1"/>
    <x v="1"/>
    <x v="6"/>
    <x v="1"/>
    <n v="0"/>
    <n v="2E+20"/>
    <n v="0"/>
    <n v="0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2"/>
    <x v="1"/>
    <x v="6"/>
    <x v="1"/>
    <n v="0"/>
    <n v="2E+20"/>
    <n v="0"/>
    <n v="0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3"/>
    <x v="1"/>
    <x v="6"/>
    <x v="1"/>
    <n v="0.18762745872155701"/>
    <n v="2E+20"/>
    <n v="0"/>
    <n v="0.82231948850745995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4"/>
    <x v="1"/>
    <x v="6"/>
    <x v="1"/>
    <n v="0.20138721275982899"/>
    <n v="2E+20"/>
    <n v="0"/>
    <n v="1.0262639046947299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5"/>
    <x v="1"/>
    <x v="6"/>
    <x v="1"/>
    <n v="0"/>
    <n v="2E+20"/>
    <n v="0"/>
    <n v="0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6"/>
    <x v="1"/>
    <x v="6"/>
    <x v="1"/>
    <n v="1.0217875496658"/>
    <n v="2E+20"/>
    <n v="0"/>
    <n v="1.8827329163944999"/>
    <n v="9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7"/>
    <x v="1"/>
    <x v="6"/>
    <x v="1"/>
    <n v="0"/>
    <n v="2E+20"/>
    <n v="0"/>
    <n v="0"/>
    <n v="3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8"/>
    <x v="1"/>
    <x v="6"/>
    <x v="1"/>
    <n v="8.0290653375820198E-2"/>
    <n v="2E+20"/>
    <n v="0"/>
    <n v="0.56203457363074205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19"/>
    <x v="1"/>
    <x v="6"/>
    <x v="1"/>
    <n v="2.32268541913393E-2"/>
    <n v="2E+20"/>
    <n v="0"/>
    <n v="0.16258797933937499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0"/>
    <x v="1"/>
    <x v="6"/>
    <x v="1"/>
    <n v="0.70040036812835804"/>
    <n v="2E+20"/>
    <n v="0"/>
    <n v="2.08788070943501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1"/>
    <x v="1"/>
    <x v="6"/>
    <x v="1"/>
    <n v="0.41451468927455298"/>
    <n v="2E+20"/>
    <n v="0"/>
    <n v="2.0396915792169201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2"/>
    <x v="1"/>
    <x v="6"/>
    <x v="1"/>
    <n v="0"/>
    <n v="2E+20"/>
    <n v="0"/>
    <n v="0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3"/>
    <x v="1"/>
    <x v="6"/>
    <x v="1"/>
    <n v="0.25112852501643301"/>
    <n v="2E+20"/>
    <n v="0"/>
    <n v="1.3483268693249999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4"/>
    <x v="1"/>
    <x v="6"/>
    <x v="1"/>
    <n v="0"/>
    <n v="2E+20"/>
    <n v="0"/>
    <n v="0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5"/>
    <x v="1"/>
    <x v="6"/>
    <x v="1"/>
    <n v="0.27290446541340402"/>
    <n v="2E+20"/>
    <n v="0"/>
    <n v="1.0691374405527501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6"/>
    <x v="1"/>
    <x v="6"/>
    <x v="1"/>
    <n v="1.0039783451239399"/>
    <n v="2E+20"/>
    <n v="0"/>
    <n v="2.36057596288647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7"/>
    <x v="1"/>
    <x v="6"/>
    <x v="1"/>
    <n v="0.46213902738641899"/>
    <n v="2E+20"/>
    <n v="0"/>
    <n v="1.38422881471963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8"/>
    <x v="1"/>
    <x v="6"/>
    <x v="1"/>
    <n v="0.52421462318754997"/>
    <n v="2E+20"/>
    <n v="0"/>
    <n v="1.5903512398863699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29"/>
    <x v="1"/>
    <x v="6"/>
    <x v="1"/>
    <n v="0.164980538363004"/>
    <n v="2E+20"/>
    <n v="0"/>
    <n v="0.49494161508901102"/>
    <n v="3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0"/>
    <x v="1"/>
    <x v="6"/>
    <x v="1"/>
    <n v="0.248957238562866"/>
    <n v="2E+20"/>
    <n v="0"/>
    <n v="1.1280907916194101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1"/>
    <x v="1"/>
    <x v="6"/>
    <x v="1"/>
    <n v="0"/>
    <n v="2E+20"/>
    <n v="0"/>
    <n v="0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2"/>
    <x v="1"/>
    <x v="6"/>
    <x v="1"/>
    <n v="0"/>
    <n v="2E+20"/>
    <n v="0"/>
    <n v="0"/>
    <n v="4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3"/>
    <x v="1"/>
    <x v="6"/>
    <x v="1"/>
    <n v="1.7435191110142401"/>
    <n v="2E+20"/>
    <n v="0"/>
    <n v="4.3109297911012803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4"/>
    <x v="1"/>
    <x v="6"/>
    <x v="1"/>
    <n v="0.219730891742771"/>
    <n v="2E+20"/>
    <n v="0"/>
    <n v="0.99648497632056998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5"/>
    <x v="1"/>
    <x v="6"/>
    <x v="1"/>
    <n v="0.17991798390528399"/>
    <n v="2E+20"/>
    <n v="0"/>
    <n v="0.64795414822434705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6"/>
    <x v="1"/>
    <x v="6"/>
    <x v="1"/>
    <n v="0.38475238803247602"/>
    <n v="2E+20"/>
    <n v="0"/>
    <n v="1.2152661772906199"/>
    <n v="8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7"/>
    <x v="1"/>
    <x v="6"/>
    <x v="1"/>
    <n v="0.47560763158099501"/>
    <n v="2E+20"/>
    <n v="0"/>
    <n v="2.3780381579049799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8"/>
    <x v="1"/>
    <x v="6"/>
    <x v="1"/>
    <n v="0.262082986077672"/>
    <n v="2E+20"/>
    <n v="0"/>
    <n v="1.01842197720529"/>
    <n v="9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39"/>
    <x v="1"/>
    <x v="6"/>
    <x v="1"/>
    <n v="0.32762720211790802"/>
    <n v="2E+20"/>
    <n v="0"/>
    <n v="1.6381360105895399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0"/>
    <x v="1"/>
    <x v="6"/>
    <x v="1"/>
    <n v="0.120384598924362"/>
    <n v="2E+20"/>
    <n v="0"/>
    <n v="0.60192299462180898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1"/>
    <x v="1"/>
    <x v="6"/>
    <x v="1"/>
    <n v="0"/>
    <n v="2E+20"/>
    <n v="0"/>
    <n v="0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2"/>
    <x v="1"/>
    <x v="6"/>
    <x v="1"/>
    <n v="9.0315220760291606E-3"/>
    <n v="2E+20"/>
    <n v="0"/>
    <n v="5.4189132456175002E-2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3"/>
    <x v="1"/>
    <x v="6"/>
    <x v="1"/>
    <n v="0.72068721494818799"/>
    <n v="2E+20"/>
    <n v="0"/>
    <n v="1.9948712708956999"/>
    <n v="9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4"/>
    <x v="1"/>
    <x v="6"/>
    <x v="1"/>
    <n v="0.33701763118420203"/>
    <n v="2E+20"/>
    <n v="0"/>
    <n v="1.68508815592101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5"/>
    <x v="1"/>
    <x v="6"/>
    <x v="1"/>
    <n v="0"/>
    <n v="2E+20"/>
    <n v="0"/>
    <n v="0"/>
    <n v="4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6"/>
    <x v="1"/>
    <x v="6"/>
    <x v="1"/>
    <n v="0.152822914854437"/>
    <n v="2E+20"/>
    <n v="0"/>
    <n v="0.76411457427218599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7"/>
    <x v="1"/>
    <x v="6"/>
    <x v="1"/>
    <n v="0.295867463194321"/>
    <n v="2E+20"/>
    <n v="0"/>
    <n v="1.6683726682407201"/>
    <n v="7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8"/>
    <x v="1"/>
    <x v="6"/>
    <x v="1"/>
    <n v="2.3383985717252398E-3"/>
    <n v="2E+20"/>
    <n v="0"/>
    <n v="9.3535942869009698E-3"/>
    <n v="4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49"/>
    <x v="1"/>
    <x v="6"/>
    <x v="1"/>
    <n v="0.143721194502858"/>
    <n v="2E+20"/>
    <n v="0"/>
    <n v="0.71860597251429104"/>
    <n v="5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  <r>
    <x v="0"/>
    <s v="2023-12-02 21:40:23"/>
    <n v="50"/>
    <x v="1"/>
    <x v="6"/>
    <x v="1"/>
    <n v="0"/>
    <n v="2E+20"/>
    <n v="0"/>
    <n v="0"/>
    <n v="6"/>
    <s v="Unnamed ProjectEdicao.QueueWaiting TimeQueue"/>
    <n v="50"/>
    <n v="0.26398293867088973"/>
    <n v="0.33501707121372942"/>
    <n v="0.95"/>
    <n v="9.521079817633088E-2"/>
    <n v="0"/>
    <n v="1.7435191110142401"/>
    <n v="0"/>
    <n v="4.3109297911012803"/>
    <n v="6.14"/>
    <n v="9.521079817633088E-2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s v="2023-12-02 21:40:23"/>
    <n v="1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"/>
    <x v="3"/>
    <x v="3"/>
    <x v="1"/>
    <n v="0.414088921961446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"/>
    <x v="3"/>
    <x v="3"/>
    <x v="1"/>
    <n v="0.81238523012517605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"/>
    <x v="3"/>
    <x v="3"/>
    <x v="1"/>
    <n v="0.68989935874945996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"/>
    <x v="3"/>
    <x v="3"/>
    <x v="1"/>
    <n v="0.62706388157731396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5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5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5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5"/>
    <x v="3"/>
    <x v="3"/>
    <x v="1"/>
    <n v="0.70847243387105696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5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6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6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6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6"/>
    <x v="3"/>
    <x v="3"/>
    <x v="1"/>
    <n v="0.90443450267447301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6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7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7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7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7"/>
    <x v="3"/>
    <x v="3"/>
    <x v="1"/>
    <n v="0.63238558349287399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7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8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8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8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8"/>
    <x v="3"/>
    <x v="3"/>
    <x v="1"/>
    <n v="0.68445047749420795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8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9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9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9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9"/>
    <x v="3"/>
    <x v="3"/>
    <x v="1"/>
    <n v="0.67564073943177405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9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0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0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0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0"/>
    <x v="3"/>
    <x v="3"/>
    <x v="1"/>
    <n v="0.71433547557483901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0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1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1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1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1"/>
    <x v="3"/>
    <x v="3"/>
    <x v="1"/>
    <n v="0.51467783653791599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1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2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2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2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2"/>
    <x v="3"/>
    <x v="3"/>
    <x v="1"/>
    <n v="0.425892000556553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2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3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3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3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3"/>
    <x v="3"/>
    <x v="3"/>
    <x v="1"/>
    <n v="0.55647233991455003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3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4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4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4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4"/>
    <x v="3"/>
    <x v="3"/>
    <x v="1"/>
    <n v="0.806311658285945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4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5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5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5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5"/>
    <x v="3"/>
    <x v="3"/>
    <x v="1"/>
    <n v="0.51510879577386004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5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6"/>
    <x v="0"/>
    <x v="0"/>
    <x v="0"/>
    <n v="9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6"/>
    <x v="1"/>
    <x v="1"/>
    <x v="0"/>
    <n v="7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6"/>
    <x v="2"/>
    <x v="2"/>
    <x v="1"/>
    <n v="9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6"/>
    <x v="3"/>
    <x v="3"/>
    <x v="1"/>
    <n v="0.98721163888391195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6"/>
    <x v="4"/>
    <x v="1"/>
    <x v="2"/>
    <n v="7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7"/>
    <x v="0"/>
    <x v="0"/>
    <x v="0"/>
    <n v="3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7"/>
    <x v="1"/>
    <x v="1"/>
    <x v="0"/>
    <n v="2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7"/>
    <x v="2"/>
    <x v="2"/>
    <x v="1"/>
    <n v="3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7"/>
    <x v="3"/>
    <x v="3"/>
    <x v="1"/>
    <n v="0.374096050564334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7"/>
    <x v="4"/>
    <x v="1"/>
    <x v="2"/>
    <n v="2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8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8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8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8"/>
    <x v="3"/>
    <x v="3"/>
    <x v="1"/>
    <n v="0.53827957934213799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8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19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19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19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19"/>
    <x v="3"/>
    <x v="3"/>
    <x v="1"/>
    <n v="0.59969844815004303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19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0"/>
    <x v="0"/>
    <x v="0"/>
    <x v="0"/>
    <n v="12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0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0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0"/>
    <x v="3"/>
    <x v="3"/>
    <x v="1"/>
    <n v="0.903945895805053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0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1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1"/>
    <x v="1"/>
    <x v="1"/>
    <x v="0"/>
    <n v="3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1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1"/>
    <x v="3"/>
    <x v="3"/>
    <x v="1"/>
    <n v="0.66717661650990201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1"/>
    <x v="4"/>
    <x v="1"/>
    <x v="2"/>
    <n v="3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2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2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2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2"/>
    <x v="3"/>
    <x v="3"/>
    <x v="1"/>
    <n v="0.615132707383533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2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3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3"/>
    <x v="1"/>
    <x v="1"/>
    <x v="0"/>
    <n v="7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3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3"/>
    <x v="3"/>
    <x v="3"/>
    <x v="1"/>
    <n v="0.786166630695351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3"/>
    <x v="4"/>
    <x v="1"/>
    <x v="2"/>
    <n v="7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4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4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4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4"/>
    <x v="3"/>
    <x v="3"/>
    <x v="1"/>
    <n v="0.667628721307694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4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5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5"/>
    <x v="1"/>
    <x v="1"/>
    <x v="0"/>
    <n v="8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5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5"/>
    <x v="3"/>
    <x v="3"/>
    <x v="1"/>
    <n v="0.80879288021883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5"/>
    <x v="4"/>
    <x v="1"/>
    <x v="2"/>
    <n v="8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6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6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6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6"/>
    <x v="3"/>
    <x v="3"/>
    <x v="1"/>
    <n v="0.739209210330220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6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7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7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7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7"/>
    <x v="3"/>
    <x v="3"/>
    <x v="1"/>
    <n v="0.77835783469409203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7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8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8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8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8"/>
    <x v="3"/>
    <x v="3"/>
    <x v="1"/>
    <n v="0.77705345399287196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8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29"/>
    <x v="0"/>
    <x v="0"/>
    <x v="0"/>
    <n v="3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29"/>
    <x v="1"/>
    <x v="1"/>
    <x v="0"/>
    <n v="3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29"/>
    <x v="2"/>
    <x v="2"/>
    <x v="1"/>
    <n v="3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29"/>
    <x v="3"/>
    <x v="3"/>
    <x v="1"/>
    <n v="0.401411989363098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29"/>
    <x v="4"/>
    <x v="1"/>
    <x v="2"/>
    <n v="3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0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0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0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0"/>
    <x v="3"/>
    <x v="3"/>
    <x v="1"/>
    <n v="0.55749164831334497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0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1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1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1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1"/>
    <x v="3"/>
    <x v="3"/>
    <x v="1"/>
    <n v="0.50636270765218105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1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2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2"/>
    <x v="1"/>
    <x v="1"/>
    <x v="0"/>
    <n v="2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2"/>
    <x v="2"/>
    <x v="2"/>
    <x v="1"/>
    <n v="4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2"/>
    <x v="3"/>
    <x v="3"/>
    <x v="1"/>
    <n v="0.32716625259473803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2"/>
    <x v="4"/>
    <x v="1"/>
    <x v="2"/>
    <n v="2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3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3"/>
    <x v="1"/>
    <x v="1"/>
    <x v="0"/>
    <n v="6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3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3"/>
    <x v="3"/>
    <x v="3"/>
    <x v="1"/>
    <n v="0.856029622776296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3"/>
    <x v="4"/>
    <x v="1"/>
    <x v="2"/>
    <n v="6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4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4"/>
    <x v="1"/>
    <x v="1"/>
    <x v="0"/>
    <n v="7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4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4"/>
    <x v="3"/>
    <x v="3"/>
    <x v="1"/>
    <n v="0.791109186776190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4"/>
    <x v="4"/>
    <x v="1"/>
    <x v="2"/>
    <n v="7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5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5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5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5"/>
    <x v="3"/>
    <x v="3"/>
    <x v="1"/>
    <n v="0.837548342682665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5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6"/>
    <x v="0"/>
    <x v="0"/>
    <x v="0"/>
    <n v="8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6"/>
    <x v="1"/>
    <x v="1"/>
    <x v="0"/>
    <n v="8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6"/>
    <x v="2"/>
    <x v="2"/>
    <x v="1"/>
    <n v="8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6"/>
    <x v="3"/>
    <x v="3"/>
    <x v="1"/>
    <n v="0.76985635313895096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6"/>
    <x v="4"/>
    <x v="1"/>
    <x v="2"/>
    <n v="8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7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7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7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7"/>
    <x v="3"/>
    <x v="3"/>
    <x v="1"/>
    <n v="0.470230921858282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7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8"/>
    <x v="0"/>
    <x v="0"/>
    <x v="0"/>
    <n v="9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8"/>
    <x v="1"/>
    <x v="1"/>
    <x v="0"/>
    <n v="8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8"/>
    <x v="2"/>
    <x v="2"/>
    <x v="1"/>
    <n v="9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8"/>
    <x v="3"/>
    <x v="3"/>
    <x v="1"/>
    <n v="0.80508944551189299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8"/>
    <x v="4"/>
    <x v="1"/>
    <x v="2"/>
    <n v="8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39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39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39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39"/>
    <x v="3"/>
    <x v="3"/>
    <x v="1"/>
    <n v="0.60814388693182797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39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0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0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0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0"/>
    <x v="3"/>
    <x v="3"/>
    <x v="1"/>
    <n v="0.54088541102469201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0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1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1"/>
    <x v="1"/>
    <x v="1"/>
    <x v="0"/>
    <n v="3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1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1"/>
    <x v="3"/>
    <x v="3"/>
    <x v="1"/>
    <n v="0.517583227733985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1"/>
    <x v="4"/>
    <x v="1"/>
    <x v="2"/>
    <n v="3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2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2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2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2"/>
    <x v="3"/>
    <x v="3"/>
    <x v="1"/>
    <n v="0.48732692057655203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2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3"/>
    <x v="0"/>
    <x v="0"/>
    <x v="0"/>
    <n v="9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3"/>
    <x v="1"/>
    <x v="1"/>
    <x v="0"/>
    <n v="7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3"/>
    <x v="2"/>
    <x v="2"/>
    <x v="1"/>
    <n v="9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3"/>
    <x v="3"/>
    <x v="3"/>
    <x v="1"/>
    <n v="0.871464463083621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3"/>
    <x v="4"/>
    <x v="1"/>
    <x v="2"/>
    <n v="7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4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4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4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4"/>
    <x v="3"/>
    <x v="3"/>
    <x v="1"/>
    <n v="0.60832865546934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4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5"/>
    <x v="0"/>
    <x v="0"/>
    <x v="0"/>
    <n v="4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5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5"/>
    <x v="2"/>
    <x v="2"/>
    <x v="1"/>
    <n v="4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5"/>
    <x v="3"/>
    <x v="3"/>
    <x v="1"/>
    <n v="0.308565553370218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5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6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6"/>
    <x v="1"/>
    <x v="1"/>
    <x v="0"/>
    <n v="3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6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6"/>
    <x v="3"/>
    <x v="3"/>
    <x v="1"/>
    <n v="0.38567171455584798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6"/>
    <x v="4"/>
    <x v="1"/>
    <x v="2"/>
    <n v="3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7"/>
    <x v="0"/>
    <x v="0"/>
    <x v="0"/>
    <n v="7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7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7"/>
    <x v="2"/>
    <x v="2"/>
    <x v="1"/>
    <n v="7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7"/>
    <x v="3"/>
    <x v="3"/>
    <x v="1"/>
    <n v="0.85513343442023504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7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8"/>
    <x v="0"/>
    <x v="0"/>
    <x v="0"/>
    <n v="4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8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8"/>
    <x v="2"/>
    <x v="2"/>
    <x v="1"/>
    <n v="4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8"/>
    <x v="3"/>
    <x v="3"/>
    <x v="1"/>
    <n v="0.47799519527937401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8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49"/>
    <x v="0"/>
    <x v="0"/>
    <x v="0"/>
    <n v="5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49"/>
    <x v="1"/>
    <x v="1"/>
    <x v="0"/>
    <n v="4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49"/>
    <x v="2"/>
    <x v="2"/>
    <x v="1"/>
    <n v="5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49"/>
    <x v="3"/>
    <x v="3"/>
    <x v="1"/>
    <n v="0.52657309942423702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49"/>
    <x v="4"/>
    <x v="1"/>
    <x v="2"/>
    <n v="4"/>
    <n v="0"/>
    <s v="Unnamed ProjectSystem.NumberOutNumber OutSystem"/>
    <n v="50"/>
    <n v="4.8600000000000003"/>
    <n v="1.4287142785721427"/>
    <n v="0.95"/>
    <n v="0.40603610537205309"/>
    <n v="2"/>
    <n v="8"/>
  </r>
  <r>
    <x v="0"/>
    <s v="2023-12-02 21:40:23"/>
    <n v="50"/>
    <x v="0"/>
    <x v="0"/>
    <x v="0"/>
    <n v="6"/>
    <n v="0"/>
    <s v="Unnamed ProjectArquivos.NumberInNumber InEntity"/>
    <n v="50"/>
    <n v="6.32"/>
    <n v="1.671367520252534"/>
    <n v="0.95"/>
    <n v="0.47499739363346566"/>
    <n v="3"/>
    <n v="12"/>
  </r>
  <r>
    <x v="0"/>
    <s v="2023-12-02 21:40:23"/>
    <n v="50"/>
    <x v="1"/>
    <x v="1"/>
    <x v="0"/>
    <n v="5"/>
    <n v="0"/>
    <s v="Unnamed ProjectArquivos.NumberOutNumber OutEntity"/>
    <n v="50"/>
    <n v="4.8600000000000003"/>
    <n v="1.4287142785721427"/>
    <n v="0.95"/>
    <n v="0.40603610537205309"/>
    <n v="2"/>
    <n v="8"/>
  </r>
  <r>
    <x v="0"/>
    <s v="2023-12-02 21:40:23"/>
    <n v="50"/>
    <x v="2"/>
    <x v="2"/>
    <x v="1"/>
    <n v="6"/>
    <n v="0"/>
    <s v="Unnamed ProjectOperador.NumberSeizedTotal Number SeizedResource"/>
    <n v="50"/>
    <n v="6.14"/>
    <n v="1.4984345572793558"/>
    <n v="0.95"/>
    <n v="0.42585038934492891"/>
    <n v="3"/>
    <n v="9"/>
  </r>
  <r>
    <x v="0"/>
    <s v="2023-12-02 21:40:23"/>
    <n v="50"/>
    <x v="3"/>
    <x v="3"/>
    <x v="1"/>
    <n v="0.52194002565377995"/>
    <n v="0"/>
    <s v="Unnamed ProjectOperador.ScheduledUtilizationScheduled UtilizationResource"/>
    <n v="50"/>
    <n v="0.63912553924181559"/>
    <n v="0.16841036655083153"/>
    <n v="0.95"/>
    <n v="4.7861696606629554E-2"/>
    <n v="0.30856555337021802"/>
    <n v="0.98721163888391195"/>
  </r>
  <r>
    <x v="0"/>
    <s v="2023-12-02 21:40:23"/>
    <n v="50"/>
    <x v="4"/>
    <x v="1"/>
    <x v="2"/>
    <n v="5"/>
    <n v="0"/>
    <s v="Unnamed ProjectSystem.NumberOutNumber OutSystem"/>
    <n v="50"/>
    <n v="4.8600000000000003"/>
    <n v="1.4287142785721427"/>
    <n v="0.95"/>
    <n v="0.40603610537205309"/>
    <n v="2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 v="3"/>
      <x v="1"/>
    </i>
    <i r="1">
      <x v="12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51" tableType="queryTable" totalsRowShown="0">
  <autoFilter ref="A1:Y351" xr:uid="{C3D003CA-1AFF-426C-A03D-D3AF5760DF1A}"/>
  <sortState xmlns:xlrd2="http://schemas.microsoft.com/office/spreadsheetml/2017/richdata2" ref="A2:Y351">
    <sortCondition ref="D1:D35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51" tableType="queryTable" totalsRowShown="0">
  <autoFilter ref="A1:U2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51" tableType="queryTable" totalsRowShown="0">
  <autoFilter ref="A1:P2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98</v>
      </c>
      <c r="D2">
        <v>3</v>
      </c>
      <c r="E2">
        <v>50</v>
      </c>
      <c r="F2">
        <v>10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4.8600000000000003</v>
      </c>
      <c r="O3" t="s">
        <v>66</v>
      </c>
      <c r="P3" t="s">
        <v>69</v>
      </c>
      <c r="Q3" t="s">
        <v>80</v>
      </c>
      <c r="R3" t="s">
        <v>71</v>
      </c>
      <c r="S3" s="5">
        <v>1.4877585281880483</v>
      </c>
      <c r="T3" s="5">
        <v>0.16185495883193918</v>
      </c>
      <c r="U3" s="5">
        <v>0.56951706432364502</v>
      </c>
      <c r="V3" s="5">
        <v>0.61713110674043503</v>
      </c>
      <c r="W3" s="5">
        <v>3.1068745343639899</v>
      </c>
      <c r="X3" s="5">
        <v>0</v>
      </c>
      <c r="Y3" s="5">
        <v>7</v>
      </c>
      <c r="AA3" t="s">
        <v>97</v>
      </c>
      <c r="AB3" t="s">
        <v>97</v>
      </c>
      <c r="AC3" t="s">
        <v>97</v>
      </c>
      <c r="AD3" t="s">
        <v>97</v>
      </c>
      <c r="AE3" s="5"/>
      <c r="AF3" s="5"/>
      <c r="AG3" s="5"/>
      <c r="AH3" s="5"/>
      <c r="AI3" s="5"/>
      <c r="AK3" t="s">
        <v>66</v>
      </c>
      <c r="AL3" t="s">
        <v>95</v>
      </c>
      <c r="AM3" t="s">
        <v>90</v>
      </c>
      <c r="AN3" t="s">
        <v>96</v>
      </c>
      <c r="AO3" s="5">
        <v>4.8600000000000003</v>
      </c>
      <c r="AP3" s="5">
        <v>0.40603610537205309</v>
      </c>
      <c r="AQ3" s="5">
        <v>1.4287142785721427</v>
      </c>
      <c r="AR3" s="5">
        <v>2</v>
      </c>
      <c r="AS3" s="5">
        <v>8</v>
      </c>
      <c r="AU3" t="s">
        <v>97</v>
      </c>
      <c r="AV3" t="s">
        <v>97</v>
      </c>
      <c r="AW3" t="s">
        <v>97</v>
      </c>
      <c r="AX3" t="s">
        <v>97</v>
      </c>
      <c r="AY3" s="4"/>
      <c r="AZ3" s="4"/>
    </row>
    <row r="4" spans="1:52" x14ac:dyDescent="0.35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4.8600000000000003</v>
      </c>
      <c r="P4" t="s">
        <v>77</v>
      </c>
      <c r="Q4" t="s">
        <v>81</v>
      </c>
      <c r="R4" t="s">
        <v>79</v>
      </c>
      <c r="S4" s="5">
        <v>0.20950744970441737</v>
      </c>
      <c r="T4" s="5">
        <v>8.2805514591213075E-2</v>
      </c>
      <c r="U4" s="5">
        <v>0.29136675156652908</v>
      </c>
      <c r="V4" s="5">
        <v>0</v>
      </c>
      <c r="W4" s="5">
        <v>1.3948152888114</v>
      </c>
      <c r="X4" s="5">
        <v>0</v>
      </c>
      <c r="Y4" s="5">
        <v>5</v>
      </c>
      <c r="AL4" t="s">
        <v>87</v>
      </c>
      <c r="AM4" t="s">
        <v>88</v>
      </c>
      <c r="AN4" t="s">
        <v>71</v>
      </c>
      <c r="AO4" s="5">
        <v>6.32</v>
      </c>
      <c r="AP4" s="5">
        <v>0.47499739363346566</v>
      </c>
      <c r="AQ4" s="5">
        <v>1.671367520252534</v>
      </c>
      <c r="AR4" s="5">
        <v>3</v>
      </c>
      <c r="AS4" s="5">
        <v>12</v>
      </c>
    </row>
    <row r="5" spans="1:52" x14ac:dyDescent="0.35">
      <c r="C5" t="s">
        <v>73</v>
      </c>
      <c r="D5" t="s">
        <v>71</v>
      </c>
      <c r="E5" s="5">
        <v>2.5147749738664498</v>
      </c>
      <c r="F5" s="5">
        <v>1</v>
      </c>
      <c r="G5" s="5">
        <v>0.15379699758545484</v>
      </c>
      <c r="H5" s="5">
        <v>0.54116361462615026</v>
      </c>
      <c r="I5" s="5">
        <v>1.3997857000332199</v>
      </c>
      <c r="J5" s="5">
        <v>4.4523993875489198</v>
      </c>
      <c r="K5" s="5">
        <v>0.58847912081681497</v>
      </c>
      <c r="L5" s="5">
        <v>5.4268973031599996</v>
      </c>
      <c r="M5" s="5">
        <v>4.8600000000000003</v>
      </c>
      <c r="P5" t="s">
        <v>82</v>
      </c>
      <c r="Q5" t="s">
        <v>83</v>
      </c>
      <c r="R5" t="s">
        <v>84</v>
      </c>
      <c r="S5" s="5">
        <v>0.63912553924181559</v>
      </c>
      <c r="T5" s="5">
        <v>4.7861696606629554E-2</v>
      </c>
      <c r="U5" s="5">
        <v>0.16841036655083153</v>
      </c>
      <c r="V5" s="5">
        <v>0.30856555337021802</v>
      </c>
      <c r="W5" s="5">
        <v>0.98721163888391195</v>
      </c>
      <c r="X5" s="5">
        <v>0</v>
      </c>
      <c r="Y5" s="5">
        <v>1</v>
      </c>
      <c r="AL5" t="s">
        <v>89</v>
      </c>
      <c r="AM5" t="s">
        <v>90</v>
      </c>
      <c r="AN5" t="s">
        <v>71</v>
      </c>
      <c r="AO5" s="5">
        <v>4.8600000000000003</v>
      </c>
      <c r="AP5" s="5">
        <v>0.40603610537205309</v>
      </c>
      <c r="AQ5" s="5">
        <v>1.4287142785721427</v>
      </c>
      <c r="AR5" s="5">
        <v>2</v>
      </c>
      <c r="AS5" s="5">
        <v>8</v>
      </c>
    </row>
    <row r="6" spans="1:52" x14ac:dyDescent="0.35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4.8600000000000003</v>
      </c>
      <c r="Q6" t="s">
        <v>85</v>
      </c>
      <c r="R6" t="s">
        <v>84</v>
      </c>
      <c r="S6" s="5">
        <v>1.2782510784836314</v>
      </c>
      <c r="T6" s="5">
        <v>9.5723393213258262E-2</v>
      </c>
      <c r="U6" s="5">
        <v>0.33682073310166005</v>
      </c>
      <c r="V6" s="5">
        <v>0.61713110674043503</v>
      </c>
      <c r="W6" s="5">
        <v>1.9744232777678199</v>
      </c>
      <c r="X6" s="5">
        <v>0</v>
      </c>
      <c r="Y6" s="5">
        <v>2</v>
      </c>
      <c r="AL6" t="s">
        <v>91</v>
      </c>
      <c r="AM6" t="s">
        <v>92</v>
      </c>
      <c r="AN6" t="s">
        <v>84</v>
      </c>
      <c r="AO6" s="5">
        <v>6.14</v>
      </c>
      <c r="AP6" s="5">
        <v>0.42585038934492891</v>
      </c>
      <c r="AQ6" s="5">
        <v>1.4984345572793558</v>
      </c>
      <c r="AR6" s="5">
        <v>3</v>
      </c>
      <c r="AS6" s="5">
        <v>9</v>
      </c>
    </row>
    <row r="7" spans="1:52" x14ac:dyDescent="0.35">
      <c r="C7" t="s">
        <v>75</v>
      </c>
      <c r="D7" t="s">
        <v>71</v>
      </c>
      <c r="E7" s="5">
        <v>2.2930880765839192</v>
      </c>
      <c r="F7" s="5">
        <v>1</v>
      </c>
      <c r="G7" s="5">
        <v>0.1050209533137741</v>
      </c>
      <c r="H7" s="5">
        <v>0.36953594412782692</v>
      </c>
      <c r="I7" s="5">
        <v>1.3997857000332199</v>
      </c>
      <c r="J7" s="5">
        <v>3.2207590152928498</v>
      </c>
      <c r="K7" s="5">
        <v>0.58847912081681497</v>
      </c>
      <c r="L7" s="5">
        <v>4.8260534923328997</v>
      </c>
      <c r="M7" s="5">
        <v>4.8600000000000003</v>
      </c>
      <c r="Q7" t="s">
        <v>86</v>
      </c>
      <c r="R7" t="s">
        <v>84</v>
      </c>
      <c r="S7" s="5">
        <v>2</v>
      </c>
      <c r="T7" s="5">
        <v>0</v>
      </c>
      <c r="U7" s="5">
        <v>0</v>
      </c>
      <c r="V7" s="5">
        <v>2</v>
      </c>
      <c r="W7" s="5">
        <v>2</v>
      </c>
      <c r="X7" s="5">
        <v>2</v>
      </c>
      <c r="Y7" s="5">
        <v>2</v>
      </c>
      <c r="AL7" t="s">
        <v>93</v>
      </c>
      <c r="AM7" t="s">
        <v>94</v>
      </c>
      <c r="AN7" t="s">
        <v>84</v>
      </c>
      <c r="AO7" s="5">
        <v>0.63912553924181559</v>
      </c>
      <c r="AP7" s="5">
        <v>4.7861696606629554E-2</v>
      </c>
      <c r="AQ7" s="5">
        <v>0.16841036655083153</v>
      </c>
      <c r="AR7" s="5">
        <v>0.30856555337021802</v>
      </c>
      <c r="AS7" s="5">
        <v>0.98721163888391195</v>
      </c>
    </row>
    <row r="8" spans="1:52" x14ac:dyDescent="0.35">
      <c r="C8" t="s">
        <v>76</v>
      </c>
      <c r="D8" t="s">
        <v>71</v>
      </c>
      <c r="E8" s="5">
        <v>0.22168689728253091</v>
      </c>
      <c r="F8" s="5">
        <v>1</v>
      </c>
      <c r="G8" s="5">
        <v>9.547865285946916E-2</v>
      </c>
      <c r="H8" s="5">
        <v>0.33595956821170309</v>
      </c>
      <c r="I8" s="5">
        <v>0</v>
      </c>
      <c r="J8" s="5">
        <v>1.60620384950211</v>
      </c>
      <c r="K8" s="5">
        <v>0</v>
      </c>
      <c r="L8" s="5">
        <v>3.4950047602739902</v>
      </c>
      <c r="M8" s="5">
        <v>4.8600000000000003</v>
      </c>
    </row>
    <row r="9" spans="1:52" x14ac:dyDescent="0.35">
      <c r="B9" t="s">
        <v>77</v>
      </c>
      <c r="C9" t="s">
        <v>78</v>
      </c>
      <c r="D9" t="s">
        <v>79</v>
      </c>
      <c r="E9" s="5">
        <v>0.26398293867088973</v>
      </c>
      <c r="F9" s="5">
        <v>1</v>
      </c>
      <c r="G9" s="5">
        <v>9.521079817633088E-2</v>
      </c>
      <c r="H9" s="5">
        <v>0.33501707121372942</v>
      </c>
      <c r="I9" s="5">
        <v>0</v>
      </c>
      <c r="J9" s="5">
        <v>1.7435191110142401</v>
      </c>
      <c r="K9" s="5">
        <v>0</v>
      </c>
      <c r="L9" s="5">
        <v>4.3109297911012803</v>
      </c>
      <c r="M9" s="5">
        <v>6.14</v>
      </c>
    </row>
  </sheetData>
  <dataConsolidate/>
  <conditionalFormatting pivot="1" sqref="G3:G9">
    <cfRule type="expression" dxfId="63" priority="14">
      <formula>G3=200000000000000000000</formula>
    </cfRule>
  </conditionalFormatting>
  <conditionalFormatting pivot="1" sqref="T3:T7">
    <cfRule type="expression" dxfId="62" priority="13">
      <formula>T3=200000000000000000000</formula>
    </cfRule>
  </conditionalFormatting>
  <conditionalFormatting pivot="1" sqref="T3:T7">
    <cfRule type="expression" dxfId="61" priority="12">
      <formula>T3=300000000000000000000</formula>
    </cfRule>
  </conditionalFormatting>
  <conditionalFormatting pivot="1" sqref="G3:G9">
    <cfRule type="expression" dxfId="60" priority="11">
      <formula>G3=300000000000000000000</formula>
    </cfRule>
  </conditionalFormatting>
  <conditionalFormatting pivot="1" sqref="F3:F9">
    <cfRule type="expression" dxfId="59" priority="10">
      <formula>F3=0</formula>
    </cfRule>
  </conditionalFormatting>
  <conditionalFormatting pivot="1" sqref="F3:F9">
    <cfRule type="expression" dxfId="58" priority="9">
      <formula>F3=1</formula>
    </cfRule>
  </conditionalFormatting>
  <conditionalFormatting pivot="1" sqref="T3:T7">
    <cfRule type="expression" dxfId="57" priority="8">
      <formula>T3=400000000000000000000</formula>
    </cfRule>
  </conditionalFormatting>
  <conditionalFormatting pivot="1" sqref="AP3:AP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9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5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3.90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98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</v>
      </c>
      <c r="L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98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</v>
      </c>
      <c r="L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98</v>
      </c>
      <c r="C4">
        <v>1</v>
      </c>
      <c r="D4" t="s">
        <v>69</v>
      </c>
      <c r="E4" t="s">
        <v>73</v>
      </c>
      <c r="F4" t="s">
        <v>71</v>
      </c>
      <c r="G4">
        <v>2.27019065089197</v>
      </c>
      <c r="H4">
        <v>2E+20</v>
      </c>
      <c r="I4">
        <v>0.96251682333622102</v>
      </c>
      <c r="J4">
        <v>3.5872101956385598</v>
      </c>
      <c r="K4">
        <v>4</v>
      </c>
      <c r="L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2.5147749738664498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1.3997857000332199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4.4523993875489198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0.58847912081681497</v>
      </c>
      <c r="U4" cm="1">
        <f t="array" ref="U4">MAX(IF((DiscreteStatsTable[GroupByKey]=DiscreteStatsTable[[#This Row],[GroupByKey]]),(DiscreteStatsTable[GroupByKey]=DiscreteStatsTable[[#This Row],[GroupByKey]])*DiscreteStatsTable[Maximum]))</f>
        <v>5.4268973031599996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">
        <f>IF((DiscreteStatsTable[[#This Row],[RepsRequested]]&gt;1),DiscreteStatsTable[[#This Row],[HalfWidth]],DiscreteStatsTable[[#This Row],[BatchMeansHalfWidth]])</f>
        <v>0.15379699758545484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98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</v>
      </c>
      <c r="L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98</v>
      </c>
      <c r="C6">
        <v>1</v>
      </c>
      <c r="D6" t="s">
        <v>69</v>
      </c>
      <c r="E6" t="s">
        <v>75</v>
      </c>
      <c r="F6" t="s">
        <v>71</v>
      </c>
      <c r="G6">
        <v>2.0596471219341699</v>
      </c>
      <c r="H6">
        <v>2E+20</v>
      </c>
      <c r="I6">
        <v>0.96251682333622102</v>
      </c>
      <c r="J6">
        <v>2.7450360798073499</v>
      </c>
      <c r="K6">
        <v>4</v>
      </c>
      <c r="L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2.2930880765839192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1.3997857000332199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3.2207590152928498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0.58847912081681497</v>
      </c>
      <c r="U6" cm="1">
        <f t="array" ref="U6">MAX(IF((DiscreteStatsTable[GroupByKey]=DiscreteStatsTable[[#This Row],[GroupByKey]]),(DiscreteStatsTable[GroupByKey]=DiscreteStatsTable[[#This Row],[GroupByKey]])*DiscreteStatsTable[Maximum]))</f>
        <v>4.8260534923328997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">
        <f>IF((DiscreteStatsTable[[#This Row],[RepsRequested]]&gt;1),DiscreteStatsTable[[#This Row],[HalfWidth]],DiscreteStatsTable[[#This Row],[BatchMeansHalfWidth]])</f>
        <v>0.1050209533137741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98</v>
      </c>
      <c r="C7">
        <v>1</v>
      </c>
      <c r="D7" t="s">
        <v>69</v>
      </c>
      <c r="E7" t="s">
        <v>76</v>
      </c>
      <c r="F7" t="s">
        <v>71</v>
      </c>
      <c r="G7">
        <v>0.21054352895780401</v>
      </c>
      <c r="H7">
        <v>2E+20</v>
      </c>
      <c r="I7">
        <v>0</v>
      </c>
      <c r="J7">
        <v>0.84217411583121504</v>
      </c>
      <c r="K7">
        <v>4</v>
      </c>
      <c r="L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0.22168689728253091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1.60620384950211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3.4950047602739902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">
        <f>IF((DiscreteStatsTable[[#This Row],[RepsRequested]]&gt;1),DiscreteStatsTable[[#This Row],[HalfWidth]],DiscreteStatsTable[[#This Row],[BatchMeansHalfWidth]])</f>
        <v>9.547865285946916E-2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98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4</v>
      </c>
      <c r="L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98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4</v>
      </c>
      <c r="L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98</v>
      </c>
      <c r="C10">
        <v>2</v>
      </c>
      <c r="D10" t="s">
        <v>69</v>
      </c>
      <c r="E10" t="s">
        <v>73</v>
      </c>
      <c r="F10" t="s">
        <v>71</v>
      </c>
      <c r="G10">
        <v>4.4523993875489198</v>
      </c>
      <c r="H10">
        <v>2E+20</v>
      </c>
      <c r="I10">
        <v>3.5826666085025498</v>
      </c>
      <c r="J10">
        <v>5.4268973031599996</v>
      </c>
      <c r="K10">
        <v>4</v>
      </c>
      <c r="L1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2.5147749738664498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1.3997857000332199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4.4523993875489198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0.58847912081681497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5.4268973031599996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">
        <f>IF((DiscreteStatsTable[[#This Row],[RepsRequested]]&gt;1),DiscreteStatsTable[[#This Row],[HalfWidth]],DiscreteStatsTable[[#This Row],[BatchMeansHalfWidth]])</f>
        <v>0.15379699758545484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98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4</v>
      </c>
      <c r="L1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98</v>
      </c>
      <c r="C12">
        <v>2</v>
      </c>
      <c r="D12" t="s">
        <v>69</v>
      </c>
      <c r="E12" t="s">
        <v>75</v>
      </c>
      <c r="F12" t="s">
        <v>71</v>
      </c>
      <c r="G12">
        <v>3.2207590152928498</v>
      </c>
      <c r="H12">
        <v>2E+20</v>
      </c>
      <c r="I12">
        <v>2.57167009238414</v>
      </c>
      <c r="J12">
        <v>3.9758496485599402</v>
      </c>
      <c r="K12">
        <v>4</v>
      </c>
      <c r="L1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2.2930880765839192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1.3997857000332199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3.2207590152928498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0.58847912081681497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4.8260534923328997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">
        <f>IF((DiscreteStatsTable[[#This Row],[RepsRequested]]&gt;1),DiscreteStatsTable[[#This Row],[HalfWidth]],DiscreteStatsTable[[#This Row],[BatchMeansHalfWidth]])</f>
        <v>0.1050209533137741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98</v>
      </c>
      <c r="C13">
        <v>2</v>
      </c>
      <c r="D13" t="s">
        <v>69</v>
      </c>
      <c r="E13" t="s">
        <v>76</v>
      </c>
      <c r="F13" t="s">
        <v>71</v>
      </c>
      <c r="G13">
        <v>1.23164037225607</v>
      </c>
      <c r="H13">
        <v>2E+20</v>
      </c>
      <c r="I13">
        <v>0</v>
      </c>
      <c r="J13">
        <v>2.6740475914352202</v>
      </c>
      <c r="K13">
        <v>4</v>
      </c>
      <c r="L1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0.22168689728253091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1.60620384950211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3.4950047602739902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">
        <f>IF((DiscreteStatsTable[[#This Row],[RepsRequested]]&gt;1),DiscreteStatsTable[[#This Row],[HalfWidth]],DiscreteStatsTable[[#This Row],[BatchMeansHalfWidth]])</f>
        <v>9.547865285946916E-2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98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6</v>
      </c>
      <c r="L1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98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6</v>
      </c>
      <c r="L1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98</v>
      </c>
      <c r="C16">
        <v>3</v>
      </c>
      <c r="D16" t="s">
        <v>69</v>
      </c>
      <c r="E16" t="s">
        <v>73</v>
      </c>
      <c r="F16" t="s">
        <v>71</v>
      </c>
      <c r="G16">
        <v>2.2078169486031398</v>
      </c>
      <c r="H16">
        <v>2E+20</v>
      </c>
      <c r="I16">
        <v>0.98492986563744001</v>
      </c>
      <c r="J16">
        <v>3.9064862118694799</v>
      </c>
      <c r="K16">
        <v>6</v>
      </c>
      <c r="L1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2.5147749738664498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1.3997857000332199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4.4523993875489198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0.58847912081681497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5.4268973031599996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">
        <f>IF((DiscreteStatsTable[[#This Row],[RepsRequested]]&gt;1),DiscreteStatsTable[[#This Row],[HalfWidth]],DiscreteStatsTable[[#This Row],[BatchMeansHalfWidth]])</f>
        <v>0.15379699758545484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98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6</v>
      </c>
      <c r="L1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98</v>
      </c>
      <c r="C18">
        <v>3</v>
      </c>
      <c r="D18" t="s">
        <v>69</v>
      </c>
      <c r="E18" t="s">
        <v>75</v>
      </c>
      <c r="F18" t="s">
        <v>71</v>
      </c>
      <c r="G18">
        <v>2.2078169486031398</v>
      </c>
      <c r="H18">
        <v>2E+20</v>
      </c>
      <c r="I18">
        <v>0.98492986563744001</v>
      </c>
      <c r="J18">
        <v>3.9064862118694799</v>
      </c>
      <c r="K18">
        <v>6</v>
      </c>
      <c r="L1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2.2930880765839192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1.3997857000332199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3.2207590152928498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0.58847912081681497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4.8260534923328997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">
        <f>IF((DiscreteStatsTable[[#This Row],[RepsRequested]]&gt;1),DiscreteStatsTable[[#This Row],[HalfWidth]],DiscreteStatsTable[[#This Row],[BatchMeansHalfWidth]])</f>
        <v>0.1050209533137741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98</v>
      </c>
      <c r="C19">
        <v>3</v>
      </c>
      <c r="D19" t="s">
        <v>69</v>
      </c>
      <c r="E19" t="s">
        <v>76</v>
      </c>
      <c r="F19" t="s">
        <v>71</v>
      </c>
      <c r="G19">
        <v>0</v>
      </c>
      <c r="H19">
        <v>2E+20</v>
      </c>
      <c r="I19">
        <v>0</v>
      </c>
      <c r="J19">
        <v>0</v>
      </c>
      <c r="K19">
        <v>6</v>
      </c>
      <c r="L1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0.22168689728253091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1.60620384950211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3.4950047602739902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">
        <f>IF((DiscreteStatsTable[[#This Row],[RepsRequested]]&gt;1),DiscreteStatsTable[[#This Row],[HalfWidth]],DiscreteStatsTable[[#This Row],[BatchMeansHalfWidth]])</f>
        <v>9.547865285946916E-2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98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4</v>
      </c>
      <c r="L2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98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4</v>
      </c>
      <c r="L2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98</v>
      </c>
      <c r="C22">
        <v>4</v>
      </c>
      <c r="D22" t="s">
        <v>69</v>
      </c>
      <c r="E22" t="s">
        <v>73</v>
      </c>
      <c r="F22" t="s">
        <v>71</v>
      </c>
      <c r="G22">
        <v>2.6370102139135398</v>
      </c>
      <c r="H22">
        <v>2E+20</v>
      </c>
      <c r="I22">
        <v>1.5399292767573001</v>
      </c>
      <c r="J22">
        <v>4.8260534923328997</v>
      </c>
      <c r="K22">
        <v>4</v>
      </c>
      <c r="L2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2.5147749738664498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1.3997857000332199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4.4523993875489198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0.58847912081681497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5.4268973031599996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">
        <f>IF((DiscreteStatsTable[[#This Row],[RepsRequested]]&gt;1),DiscreteStatsTable[[#This Row],[HalfWidth]],DiscreteStatsTable[[#This Row],[BatchMeansHalfWidth]])</f>
        <v>0.15379699758545484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98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4</v>
      </c>
      <c r="L2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98</v>
      </c>
      <c r="C24">
        <v>4</v>
      </c>
      <c r="D24" t="s">
        <v>69</v>
      </c>
      <c r="E24" t="s">
        <v>75</v>
      </c>
      <c r="F24" t="s">
        <v>71</v>
      </c>
      <c r="G24">
        <v>2.6370102139135398</v>
      </c>
      <c r="H24">
        <v>2E+20</v>
      </c>
      <c r="I24">
        <v>1.5399292767573001</v>
      </c>
      <c r="J24">
        <v>4.8260534923328997</v>
      </c>
      <c r="K24">
        <v>4</v>
      </c>
      <c r="L2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2.2930880765839192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1.3997857000332199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3.2207590152928498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0.58847912081681497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4.8260534923328997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">
        <f>IF((DiscreteStatsTable[[#This Row],[RepsRequested]]&gt;1),DiscreteStatsTable[[#This Row],[HalfWidth]],DiscreteStatsTable[[#This Row],[BatchMeansHalfWidth]])</f>
        <v>0.1050209533137741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98</v>
      </c>
      <c r="C25">
        <v>4</v>
      </c>
      <c r="D25" t="s">
        <v>69</v>
      </c>
      <c r="E25" t="s">
        <v>76</v>
      </c>
      <c r="F25" t="s">
        <v>71</v>
      </c>
      <c r="G25">
        <v>0</v>
      </c>
      <c r="H25">
        <v>2E+20</v>
      </c>
      <c r="I25">
        <v>0</v>
      </c>
      <c r="J25">
        <v>0</v>
      </c>
      <c r="K25">
        <v>4</v>
      </c>
      <c r="L2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0.22168689728253091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1.60620384950211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3.4950047602739902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">
        <f>IF((DiscreteStatsTable[[#This Row],[RepsRequested]]&gt;1),DiscreteStatsTable[[#This Row],[HalfWidth]],DiscreteStatsTable[[#This Row],[BatchMeansHalfWidth]])</f>
        <v>9.547865285946916E-2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98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5</v>
      </c>
      <c r="L2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98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5</v>
      </c>
      <c r="L2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98</v>
      </c>
      <c r="C28">
        <v>5</v>
      </c>
      <c r="D28" t="s">
        <v>69</v>
      </c>
      <c r="E28" t="s">
        <v>73</v>
      </c>
      <c r="F28" t="s">
        <v>71</v>
      </c>
      <c r="G28">
        <v>2.73194240487005</v>
      </c>
      <c r="H28">
        <v>2E+20</v>
      </c>
      <c r="I28">
        <v>1.5084763546300299</v>
      </c>
      <c r="J28">
        <v>4.2088448519734198</v>
      </c>
      <c r="K28">
        <v>5</v>
      </c>
      <c r="L2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2.5147749738664498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1.3997857000332199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4.4523993875489198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0.58847912081681497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5.4268973031599996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">
        <f>IF((DiscreteStatsTable[[#This Row],[RepsRequested]]&gt;1),DiscreteStatsTable[[#This Row],[HalfWidth]],DiscreteStatsTable[[#This Row],[BatchMeansHalfWidth]])</f>
        <v>0.15379699758545484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98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5</v>
      </c>
      <c r="L2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98</v>
      </c>
      <c r="C30">
        <v>5</v>
      </c>
      <c r="D30" t="s">
        <v>69</v>
      </c>
      <c r="E30" t="s">
        <v>75</v>
      </c>
      <c r="F30" t="s">
        <v>71</v>
      </c>
      <c r="G30">
        <v>2.5600480584790999</v>
      </c>
      <c r="H30">
        <v>2E+20</v>
      </c>
      <c r="I30">
        <v>1.5084763546300299</v>
      </c>
      <c r="J30">
        <v>3.6972043382109301</v>
      </c>
      <c r="K30">
        <v>5</v>
      </c>
      <c r="L3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2.2930880765839192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1.3997857000332199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3.2207590152928498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0.58847912081681497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4.8260534923328997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0">
        <f>IF((DiscreteStatsTable[[#This Row],[RepsRequested]]&gt;1),DiscreteStatsTable[[#This Row],[HalfWidth]],DiscreteStatsTable[[#This Row],[BatchMeansHalfWidth]])</f>
        <v>0.1050209533137741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98</v>
      </c>
      <c r="C31">
        <v>5</v>
      </c>
      <c r="D31" t="s">
        <v>69</v>
      </c>
      <c r="E31" t="s">
        <v>76</v>
      </c>
      <c r="F31" t="s">
        <v>71</v>
      </c>
      <c r="G31">
        <v>0.17189434639095499</v>
      </c>
      <c r="H31">
        <v>2E+20</v>
      </c>
      <c r="I31">
        <v>0</v>
      </c>
      <c r="J31">
        <v>0.859471731954774</v>
      </c>
      <c r="K31">
        <v>5</v>
      </c>
      <c r="L3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0.22168689728253091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1.60620384950211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3.4950047602739902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1">
        <f>IF((DiscreteStatsTable[[#This Row],[RepsRequested]]&gt;1),DiscreteStatsTable[[#This Row],[HalfWidth]],DiscreteStatsTable[[#This Row],[BatchMeansHalfWidth]])</f>
        <v>9.547865285946916E-2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98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5</v>
      </c>
      <c r="L3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98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5</v>
      </c>
      <c r="L3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98</v>
      </c>
      <c r="C34">
        <v>6</v>
      </c>
      <c r="D34" t="s">
        <v>69</v>
      </c>
      <c r="E34" t="s">
        <v>73</v>
      </c>
      <c r="F34" t="s">
        <v>71</v>
      </c>
      <c r="G34">
        <v>3.1541421958572902</v>
      </c>
      <c r="H34">
        <v>2E+20</v>
      </c>
      <c r="I34">
        <v>2.6685919255001598</v>
      </c>
      <c r="J34">
        <v>3.9024042009508801</v>
      </c>
      <c r="K34">
        <v>5</v>
      </c>
      <c r="L3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2.5147749738664498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1.3997857000332199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4.4523993875489198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0.58847912081681497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5.4268973031599996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4">
        <f>IF((DiscreteStatsTable[[#This Row],[RepsRequested]]&gt;1),DiscreteStatsTable[[#This Row],[HalfWidth]],DiscreteStatsTable[[#This Row],[BatchMeansHalfWidth]])</f>
        <v>0.15379699758545484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98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5</v>
      </c>
      <c r="L3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98</v>
      </c>
      <c r="C36">
        <v>6</v>
      </c>
      <c r="D36" t="s">
        <v>69</v>
      </c>
      <c r="E36" t="s">
        <v>75</v>
      </c>
      <c r="F36" t="s">
        <v>71</v>
      </c>
      <c r="G36">
        <v>2.9422408977593499</v>
      </c>
      <c r="H36">
        <v>2E+20</v>
      </c>
      <c r="I36">
        <v>1.60908543501042</v>
      </c>
      <c r="J36">
        <v>3.9024042009508801</v>
      </c>
      <c r="K36">
        <v>5</v>
      </c>
      <c r="L3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2.2930880765839192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1.3997857000332199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3.2207590152928498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0.58847912081681497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4.8260534923328997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6">
        <f>IF((DiscreteStatsTable[[#This Row],[RepsRequested]]&gt;1),DiscreteStatsTable[[#This Row],[HalfWidth]],DiscreteStatsTable[[#This Row],[BatchMeansHalfWidth]])</f>
        <v>0.1050209533137741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98</v>
      </c>
      <c r="C37">
        <v>6</v>
      </c>
      <c r="D37" t="s">
        <v>69</v>
      </c>
      <c r="E37" t="s">
        <v>76</v>
      </c>
      <c r="F37" t="s">
        <v>71</v>
      </c>
      <c r="G37">
        <v>0.211901298097948</v>
      </c>
      <c r="H37">
        <v>2E+20</v>
      </c>
      <c r="I37">
        <v>0</v>
      </c>
      <c r="J37">
        <v>1.05950649048974</v>
      </c>
      <c r="K37">
        <v>5</v>
      </c>
      <c r="L3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0.22168689728253091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1.60620384950211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3.4950047602739902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7">
        <f>IF((DiscreteStatsTable[[#This Row],[RepsRequested]]&gt;1),DiscreteStatsTable[[#This Row],[HalfWidth]],DiscreteStatsTable[[#This Row],[BatchMeansHalfWidth]])</f>
        <v>9.547865285946916E-2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98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4</v>
      </c>
      <c r="L3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98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4</v>
      </c>
      <c r="L3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98</v>
      </c>
      <c r="C40">
        <v>7</v>
      </c>
      <c r="D40" t="s">
        <v>69</v>
      </c>
      <c r="E40" t="s">
        <v>73</v>
      </c>
      <c r="F40" t="s">
        <v>71</v>
      </c>
      <c r="G40">
        <v>2.9117332051349498</v>
      </c>
      <c r="H40">
        <v>2E+20</v>
      </c>
      <c r="I40">
        <v>0.95308754696301601</v>
      </c>
      <c r="J40">
        <v>4.3337110903769602</v>
      </c>
      <c r="K40">
        <v>4</v>
      </c>
      <c r="L4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2.5147749738664498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1.3997857000332199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4.4523993875489198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0.58847912081681497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5.4268973031599996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0">
        <f>IF((DiscreteStatsTable[[#This Row],[RepsRequested]]&gt;1),DiscreteStatsTable[[#This Row],[HalfWidth]],DiscreteStatsTable[[#This Row],[BatchMeansHalfWidth]])</f>
        <v>0.15379699758545484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98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4</v>
      </c>
      <c r="L4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98</v>
      </c>
      <c r="C42">
        <v>7</v>
      </c>
      <c r="D42" t="s">
        <v>69</v>
      </c>
      <c r="E42" t="s">
        <v>75</v>
      </c>
      <c r="F42" t="s">
        <v>71</v>
      </c>
      <c r="G42">
        <v>2.9117332051349498</v>
      </c>
      <c r="H42">
        <v>2E+20</v>
      </c>
      <c r="I42">
        <v>0.95308754696301601</v>
      </c>
      <c r="J42">
        <v>4.3337110903769602</v>
      </c>
      <c r="K42">
        <v>4</v>
      </c>
      <c r="L4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2.2930880765839192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1.3997857000332199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3.2207590152928498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0.58847912081681497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4.8260534923328997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2">
        <f>IF((DiscreteStatsTable[[#This Row],[RepsRequested]]&gt;1),DiscreteStatsTable[[#This Row],[HalfWidth]],DiscreteStatsTable[[#This Row],[BatchMeansHalfWidth]])</f>
        <v>0.1050209533137741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98</v>
      </c>
      <c r="C43">
        <v>7</v>
      </c>
      <c r="D43" t="s">
        <v>69</v>
      </c>
      <c r="E43" t="s">
        <v>76</v>
      </c>
      <c r="F43" t="s">
        <v>71</v>
      </c>
      <c r="G43">
        <v>0</v>
      </c>
      <c r="H43">
        <v>2E+20</v>
      </c>
      <c r="I43">
        <v>0</v>
      </c>
      <c r="J43">
        <v>0</v>
      </c>
      <c r="K43">
        <v>4</v>
      </c>
      <c r="L4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0.22168689728253091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1.60620384950211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3.4950047602739902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3">
        <f>IF((DiscreteStatsTable[[#This Row],[RepsRequested]]&gt;1),DiscreteStatsTable[[#This Row],[HalfWidth]],DiscreteStatsTable[[#This Row],[BatchMeansHalfWidth]])</f>
        <v>9.547865285946916E-2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98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5</v>
      </c>
      <c r="L4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98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5</v>
      </c>
      <c r="L4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98</v>
      </c>
      <c r="C46">
        <v>8</v>
      </c>
      <c r="D46" t="s">
        <v>69</v>
      </c>
      <c r="E46" t="s">
        <v>73</v>
      </c>
      <c r="F46" t="s">
        <v>71</v>
      </c>
      <c r="G46">
        <v>2.9445106671976999</v>
      </c>
      <c r="H46">
        <v>2E+20</v>
      </c>
      <c r="I46">
        <v>1.16640805612146</v>
      </c>
      <c r="J46">
        <v>4.47397405256444</v>
      </c>
      <c r="K46">
        <v>5</v>
      </c>
      <c r="L4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2.5147749738664498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1.3997857000332199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4.4523993875489198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0.58847912081681497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5.4268973031599996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6">
        <f>IF((DiscreteStatsTable[[#This Row],[RepsRequested]]&gt;1),DiscreteStatsTable[[#This Row],[HalfWidth]],DiscreteStatsTable[[#This Row],[BatchMeansHalfWidth]])</f>
        <v>0.15379699758545484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98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5</v>
      </c>
      <c r="L4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98</v>
      </c>
      <c r="C48">
        <v>8</v>
      </c>
      <c r="D48" t="s">
        <v>69</v>
      </c>
      <c r="E48" t="s">
        <v>75</v>
      </c>
      <c r="F48" t="s">
        <v>71</v>
      </c>
      <c r="G48">
        <v>2.73780190997683</v>
      </c>
      <c r="H48">
        <v>2E+20</v>
      </c>
      <c r="I48">
        <v>1.16640805612146</v>
      </c>
      <c r="J48">
        <v>3.5506315482030599</v>
      </c>
      <c r="K48">
        <v>5</v>
      </c>
      <c r="L4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2.2930880765839192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1.3997857000332199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3.2207590152928498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0.58847912081681497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4.8260534923328997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8">
        <f>IF((DiscreteStatsTable[[#This Row],[RepsRequested]]&gt;1),DiscreteStatsTable[[#This Row],[HalfWidth]],DiscreteStatsTable[[#This Row],[BatchMeansHalfWidth]])</f>
        <v>0.1050209533137741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98</v>
      </c>
      <c r="C49">
        <v>8</v>
      </c>
      <c r="D49" t="s">
        <v>69</v>
      </c>
      <c r="E49" t="s">
        <v>76</v>
      </c>
      <c r="F49" t="s">
        <v>71</v>
      </c>
      <c r="G49">
        <v>0.20670875722086801</v>
      </c>
      <c r="H49">
        <v>2E+20</v>
      </c>
      <c r="I49">
        <v>0</v>
      </c>
      <c r="J49">
        <v>0.92334250436138399</v>
      </c>
      <c r="K49">
        <v>5</v>
      </c>
      <c r="L4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0.22168689728253091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1.60620384950211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3.4950047602739902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49">
        <f>IF((DiscreteStatsTable[[#This Row],[RepsRequested]]&gt;1),DiscreteStatsTable[[#This Row],[HalfWidth]],DiscreteStatsTable[[#This Row],[BatchMeansHalfWidth]])</f>
        <v>9.547865285946916E-2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98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5</v>
      </c>
      <c r="L5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98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5</v>
      </c>
      <c r="L5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98</v>
      </c>
      <c r="C52">
        <v>9</v>
      </c>
      <c r="D52" t="s">
        <v>69</v>
      </c>
      <c r="E52" t="s">
        <v>73</v>
      </c>
      <c r="F52" t="s">
        <v>71</v>
      </c>
      <c r="G52">
        <v>2.2151114659909998</v>
      </c>
      <c r="H52">
        <v>2E+20</v>
      </c>
      <c r="I52">
        <v>0.58847912081681497</v>
      </c>
      <c r="J52">
        <v>3.2771097770767099</v>
      </c>
      <c r="K52">
        <v>5</v>
      </c>
      <c r="L5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2.5147749738664498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1.3997857000332199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4.4523993875489198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0.58847912081681497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5.4268973031599996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2">
        <f>IF((DiscreteStatsTable[[#This Row],[RepsRequested]]&gt;1),DiscreteStatsTable[[#This Row],[HalfWidth]],DiscreteStatsTable[[#This Row],[BatchMeansHalfWidth]])</f>
        <v>0.15379699758545484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98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5</v>
      </c>
      <c r="L5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98</v>
      </c>
      <c r="C54">
        <v>9</v>
      </c>
      <c r="D54" t="s">
        <v>69</v>
      </c>
      <c r="E54" t="s">
        <v>75</v>
      </c>
      <c r="F54" t="s">
        <v>71</v>
      </c>
      <c r="G54">
        <v>2.2151114659909998</v>
      </c>
      <c r="H54">
        <v>2E+20</v>
      </c>
      <c r="I54">
        <v>0.58847912081681497</v>
      </c>
      <c r="J54">
        <v>3.2771097770767099</v>
      </c>
      <c r="K54">
        <v>5</v>
      </c>
      <c r="L5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2.2930880765839192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1.3997857000332199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3.2207590152928498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0.58847912081681497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4.8260534923328997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4">
        <f>IF((DiscreteStatsTable[[#This Row],[RepsRequested]]&gt;1),DiscreteStatsTable[[#This Row],[HalfWidth]],DiscreteStatsTable[[#This Row],[BatchMeansHalfWidth]])</f>
        <v>0.1050209533137741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98</v>
      </c>
      <c r="C55">
        <v>9</v>
      </c>
      <c r="D55" t="s">
        <v>69</v>
      </c>
      <c r="E55" t="s">
        <v>76</v>
      </c>
      <c r="F55" t="s">
        <v>71</v>
      </c>
      <c r="G55">
        <v>0</v>
      </c>
      <c r="H55">
        <v>2E+20</v>
      </c>
      <c r="I55">
        <v>0</v>
      </c>
      <c r="J55">
        <v>0</v>
      </c>
      <c r="K55">
        <v>5</v>
      </c>
      <c r="L5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0.22168689728253091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1.60620384950211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3.4950047602739902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5">
        <f>IF((DiscreteStatsTable[[#This Row],[RepsRequested]]&gt;1),DiscreteStatsTable[[#This Row],[HalfWidth]],DiscreteStatsTable[[#This Row],[BatchMeansHalfWidth]])</f>
        <v>9.547865285946916E-2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98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4</v>
      </c>
      <c r="L5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98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4</v>
      </c>
      <c r="L5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98</v>
      </c>
      <c r="C58">
        <v>10</v>
      </c>
      <c r="D58" t="s">
        <v>69</v>
      </c>
      <c r="E58" t="s">
        <v>73</v>
      </c>
      <c r="F58" t="s">
        <v>71</v>
      </c>
      <c r="G58">
        <v>2.5578232086306598</v>
      </c>
      <c r="H58">
        <v>2E+20</v>
      </c>
      <c r="I58">
        <v>1.39230796682725</v>
      </c>
      <c r="J58">
        <v>4.0127843440344098</v>
      </c>
      <c r="K58">
        <v>4</v>
      </c>
      <c r="L5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2.5147749738664498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1.3997857000332199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4.4523993875489198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0.58847912081681497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5.4268973031599996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8">
        <f>IF((DiscreteStatsTable[[#This Row],[RepsRequested]]&gt;1),DiscreteStatsTable[[#This Row],[HalfWidth]],DiscreteStatsTable[[#This Row],[BatchMeansHalfWidth]])</f>
        <v>0.15379699758545484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98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4</v>
      </c>
      <c r="L5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98</v>
      </c>
      <c r="C60">
        <v>10</v>
      </c>
      <c r="D60" t="s">
        <v>69</v>
      </c>
      <c r="E60" t="s">
        <v>75</v>
      </c>
      <c r="F60" t="s">
        <v>71</v>
      </c>
      <c r="G60">
        <v>2.5578232086306598</v>
      </c>
      <c r="H60">
        <v>2E+20</v>
      </c>
      <c r="I60">
        <v>1.39230796682725</v>
      </c>
      <c r="J60">
        <v>4.0127843440344098</v>
      </c>
      <c r="K60">
        <v>4</v>
      </c>
      <c r="L6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2.2930880765839192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1.3997857000332199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3.2207590152928498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0.58847912081681497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4.8260534923328997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0">
        <f>IF((DiscreteStatsTable[[#This Row],[RepsRequested]]&gt;1),DiscreteStatsTable[[#This Row],[HalfWidth]],DiscreteStatsTable[[#This Row],[BatchMeansHalfWidth]])</f>
        <v>0.1050209533137741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98</v>
      </c>
      <c r="C61">
        <v>10</v>
      </c>
      <c r="D61" t="s">
        <v>69</v>
      </c>
      <c r="E61" t="s">
        <v>76</v>
      </c>
      <c r="F61" t="s">
        <v>71</v>
      </c>
      <c r="G61">
        <v>0</v>
      </c>
      <c r="H61">
        <v>2E+20</v>
      </c>
      <c r="I61">
        <v>0</v>
      </c>
      <c r="J61">
        <v>0</v>
      </c>
      <c r="K61">
        <v>4</v>
      </c>
      <c r="L6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0.22168689728253091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1.60620384950211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3.4950047602739902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1">
        <f>IF((DiscreteStatsTable[[#This Row],[RepsRequested]]&gt;1),DiscreteStatsTable[[#This Row],[HalfWidth]],DiscreteStatsTable[[#This Row],[BatchMeansHalfWidth]])</f>
        <v>9.547865285946916E-2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98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4</v>
      </c>
      <c r="L6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98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4</v>
      </c>
      <c r="L6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98</v>
      </c>
      <c r="C64">
        <v>11</v>
      </c>
      <c r="D64" t="s">
        <v>69</v>
      </c>
      <c r="E64" t="s">
        <v>73</v>
      </c>
      <c r="F64" t="s">
        <v>71</v>
      </c>
      <c r="G64">
        <v>2.02002729368375</v>
      </c>
      <c r="H64">
        <v>2E+20</v>
      </c>
      <c r="I64">
        <v>1.2319650874589301</v>
      </c>
      <c r="J64">
        <v>3.0418841672280301</v>
      </c>
      <c r="K64">
        <v>4</v>
      </c>
      <c r="L6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2.5147749738664498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1.3997857000332199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4.4523993875489198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0.58847912081681497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5.4268973031599996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4">
        <f>IF((DiscreteStatsTable[[#This Row],[RepsRequested]]&gt;1),DiscreteStatsTable[[#This Row],[HalfWidth]],DiscreteStatsTable[[#This Row],[BatchMeansHalfWidth]])</f>
        <v>0.15379699758545484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98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4</v>
      </c>
      <c r="L6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98</v>
      </c>
      <c r="C66">
        <v>11</v>
      </c>
      <c r="D66" t="s">
        <v>69</v>
      </c>
      <c r="E66" t="s">
        <v>75</v>
      </c>
      <c r="F66" t="s">
        <v>71</v>
      </c>
      <c r="G66">
        <v>2.02002729368375</v>
      </c>
      <c r="H66">
        <v>2E+20</v>
      </c>
      <c r="I66">
        <v>1.2319650874589301</v>
      </c>
      <c r="J66">
        <v>3.0418841672280301</v>
      </c>
      <c r="K66">
        <v>4</v>
      </c>
      <c r="L6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2.2930880765839192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1.3997857000332199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3.2207590152928498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0.58847912081681497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4.8260534923328997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6">
        <f>IF((DiscreteStatsTable[[#This Row],[RepsRequested]]&gt;1),DiscreteStatsTable[[#This Row],[HalfWidth]],DiscreteStatsTable[[#This Row],[BatchMeansHalfWidth]])</f>
        <v>0.1050209533137741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98</v>
      </c>
      <c r="C67">
        <v>11</v>
      </c>
      <c r="D67" t="s">
        <v>69</v>
      </c>
      <c r="E67" t="s">
        <v>76</v>
      </c>
      <c r="F67" t="s">
        <v>71</v>
      </c>
      <c r="G67">
        <v>0</v>
      </c>
      <c r="H67">
        <v>2E+20</v>
      </c>
      <c r="I67">
        <v>0</v>
      </c>
      <c r="J67">
        <v>0</v>
      </c>
      <c r="K67">
        <v>4</v>
      </c>
      <c r="L6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0.22168689728253091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1.60620384950211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3.4950047602739902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7">
        <f>IF((DiscreteStatsTable[[#This Row],[RepsRequested]]&gt;1),DiscreteStatsTable[[#This Row],[HalfWidth]],DiscreteStatsTable[[#This Row],[BatchMeansHalfWidth]])</f>
        <v>9.547865285946916E-2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98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4</v>
      </c>
      <c r="L6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98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4</v>
      </c>
      <c r="L6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98</v>
      </c>
      <c r="C70">
        <v>12</v>
      </c>
      <c r="D70" t="s">
        <v>69</v>
      </c>
      <c r="E70" t="s">
        <v>73</v>
      </c>
      <c r="F70" t="s">
        <v>71</v>
      </c>
      <c r="G70">
        <v>2.0528675434905699</v>
      </c>
      <c r="H70">
        <v>2E+20</v>
      </c>
      <c r="I70">
        <v>1.05822611676391</v>
      </c>
      <c r="J70">
        <v>3.3753807251930601</v>
      </c>
      <c r="K70">
        <v>4</v>
      </c>
      <c r="L7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2.5147749738664498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1.3997857000332199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4.4523993875489198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0.58847912081681497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5.4268973031599996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0">
        <f>IF((DiscreteStatsTable[[#This Row],[RepsRequested]]&gt;1),DiscreteStatsTable[[#This Row],[HalfWidth]],DiscreteStatsTable[[#This Row],[BatchMeansHalfWidth]])</f>
        <v>0.15379699758545484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98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4</v>
      </c>
      <c r="L7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98</v>
      </c>
      <c r="C72">
        <v>12</v>
      </c>
      <c r="D72" t="s">
        <v>69</v>
      </c>
      <c r="E72" t="s">
        <v>75</v>
      </c>
      <c r="F72" t="s">
        <v>71</v>
      </c>
      <c r="G72">
        <v>2.0528675434905699</v>
      </c>
      <c r="H72">
        <v>2E+20</v>
      </c>
      <c r="I72">
        <v>1.05822611676391</v>
      </c>
      <c r="J72">
        <v>3.3753807251930601</v>
      </c>
      <c r="K72">
        <v>4</v>
      </c>
      <c r="L7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2.2930880765839192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1.3997857000332199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3.2207590152928498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0.58847912081681497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4.8260534923328997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2">
        <f>IF((DiscreteStatsTable[[#This Row],[RepsRequested]]&gt;1),DiscreteStatsTable[[#This Row],[HalfWidth]],DiscreteStatsTable[[#This Row],[BatchMeansHalfWidth]])</f>
        <v>0.1050209533137741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98</v>
      </c>
      <c r="C73">
        <v>12</v>
      </c>
      <c r="D73" t="s">
        <v>69</v>
      </c>
      <c r="E73" t="s">
        <v>76</v>
      </c>
      <c r="F73" t="s">
        <v>71</v>
      </c>
      <c r="G73">
        <v>0</v>
      </c>
      <c r="H73">
        <v>2E+20</v>
      </c>
      <c r="I73">
        <v>0</v>
      </c>
      <c r="J73">
        <v>0</v>
      </c>
      <c r="K73">
        <v>4</v>
      </c>
      <c r="L7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0.22168689728253091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1.60620384950211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3.4950047602739902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3">
        <f>IF((DiscreteStatsTable[[#This Row],[RepsRequested]]&gt;1),DiscreteStatsTable[[#This Row],[HalfWidth]],DiscreteStatsTable[[#This Row],[BatchMeansHalfWidth]])</f>
        <v>9.547865285946916E-2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98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4</v>
      </c>
      <c r="L7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98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4</v>
      </c>
      <c r="L7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98</v>
      </c>
      <c r="C76">
        <v>13</v>
      </c>
      <c r="D76" t="s">
        <v>69</v>
      </c>
      <c r="E76" t="s">
        <v>73</v>
      </c>
      <c r="F76" t="s">
        <v>71</v>
      </c>
      <c r="G76">
        <v>2.3946702960231399</v>
      </c>
      <c r="H76">
        <v>2E+20</v>
      </c>
      <c r="I76">
        <v>1.0879920588566501</v>
      </c>
      <c r="J76">
        <v>3.2599478426760902</v>
      </c>
      <c r="K76">
        <v>4</v>
      </c>
      <c r="L7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2.5147749738664498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1.3997857000332199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4.4523993875489198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0.58847912081681497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5.4268973031599996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6">
        <f>IF((DiscreteStatsTable[[#This Row],[RepsRequested]]&gt;1),DiscreteStatsTable[[#This Row],[HalfWidth]],DiscreteStatsTable[[#This Row],[BatchMeansHalfWidth]])</f>
        <v>0.15379699758545484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98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4</v>
      </c>
      <c r="L7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98</v>
      </c>
      <c r="C78">
        <v>13</v>
      </c>
      <c r="D78" t="s">
        <v>69</v>
      </c>
      <c r="E78" t="s">
        <v>75</v>
      </c>
      <c r="F78" t="s">
        <v>71</v>
      </c>
      <c r="G78">
        <v>2.1132291079407999</v>
      </c>
      <c r="H78">
        <v>2E+20</v>
      </c>
      <c r="I78">
        <v>0.78454679503477398</v>
      </c>
      <c r="J78">
        <v>3.2599478426760902</v>
      </c>
      <c r="K78">
        <v>4</v>
      </c>
      <c r="L7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2.2930880765839192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1.3997857000332199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3.2207590152928498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0.58847912081681497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4.8260534923328997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8">
        <f>IF((DiscreteStatsTable[[#This Row],[RepsRequested]]&gt;1),DiscreteStatsTable[[#This Row],[HalfWidth]],DiscreteStatsTable[[#This Row],[BatchMeansHalfWidth]])</f>
        <v>0.1050209533137741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98</v>
      </c>
      <c r="C79">
        <v>13</v>
      </c>
      <c r="D79" t="s">
        <v>69</v>
      </c>
      <c r="E79" t="s">
        <v>76</v>
      </c>
      <c r="F79" t="s">
        <v>71</v>
      </c>
      <c r="G79">
        <v>0.28144118808233498</v>
      </c>
      <c r="H79">
        <v>2E+20</v>
      </c>
      <c r="I79">
        <v>0</v>
      </c>
      <c r="J79">
        <v>0.82231948850745995</v>
      </c>
      <c r="K79">
        <v>4</v>
      </c>
      <c r="L7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0.22168689728253091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1.60620384950211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3.4950047602739902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79">
        <f>IF((DiscreteStatsTable[[#This Row],[RepsRequested]]&gt;1),DiscreteStatsTable[[#This Row],[HalfWidth]],DiscreteStatsTable[[#This Row],[BatchMeansHalfWidth]])</f>
        <v>9.547865285946916E-2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98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6</v>
      </c>
      <c r="L8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98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6</v>
      </c>
      <c r="L8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98</v>
      </c>
      <c r="C82">
        <v>14</v>
      </c>
      <c r="D82" t="s">
        <v>69</v>
      </c>
      <c r="E82" t="s">
        <v>73</v>
      </c>
      <c r="F82" t="s">
        <v>71</v>
      </c>
      <c r="G82">
        <v>2.62482723617144</v>
      </c>
      <c r="H82">
        <v>2E+20</v>
      </c>
      <c r="I82">
        <v>1.9768374473661601</v>
      </c>
      <c r="J82">
        <v>3.3905838712949099</v>
      </c>
      <c r="K82">
        <v>6</v>
      </c>
      <c r="L8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2.5147749738664498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1.3997857000332199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4.4523993875489198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0.58847912081681497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5.4268973031599996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2">
        <f>IF((DiscreteStatsTable[[#This Row],[RepsRequested]]&gt;1),DiscreteStatsTable[[#This Row],[HalfWidth]],DiscreteStatsTable[[#This Row],[BatchMeansHalfWidth]])</f>
        <v>0.15379699758545484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98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6</v>
      </c>
      <c r="L8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98</v>
      </c>
      <c r="C84">
        <v>14</v>
      </c>
      <c r="D84" t="s">
        <v>69</v>
      </c>
      <c r="E84" t="s">
        <v>75</v>
      </c>
      <c r="F84" t="s">
        <v>71</v>
      </c>
      <c r="G84">
        <v>2.3563109524916701</v>
      </c>
      <c r="H84">
        <v>2E+20</v>
      </c>
      <c r="I84">
        <v>1.5642481095862399</v>
      </c>
      <c r="J84">
        <v>3.1092710971137101</v>
      </c>
      <c r="K84">
        <v>6</v>
      </c>
      <c r="L8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2.2930880765839192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1.3997857000332199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3.2207590152928498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0.58847912081681497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4.8260534923328997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4">
        <f>IF((DiscreteStatsTable[[#This Row],[RepsRequested]]&gt;1),DiscreteStatsTable[[#This Row],[HalfWidth]],DiscreteStatsTable[[#This Row],[BatchMeansHalfWidth]])</f>
        <v>0.1050209533137741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98</v>
      </c>
      <c r="C85">
        <v>14</v>
      </c>
      <c r="D85" t="s">
        <v>69</v>
      </c>
      <c r="E85" t="s">
        <v>76</v>
      </c>
      <c r="F85" t="s">
        <v>71</v>
      </c>
      <c r="G85">
        <v>0.26851628367977098</v>
      </c>
      <c r="H85">
        <v>2E+20</v>
      </c>
      <c r="I85">
        <v>0</v>
      </c>
      <c r="J85">
        <v>1.0262639046947299</v>
      </c>
      <c r="K85">
        <v>6</v>
      </c>
      <c r="L8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0.22168689728253091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1.60620384950211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3.4950047602739902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5">
        <f>IF((DiscreteStatsTable[[#This Row],[RepsRequested]]&gt;1),DiscreteStatsTable[[#This Row],[HalfWidth]],DiscreteStatsTable[[#This Row],[BatchMeansHalfWidth]])</f>
        <v>9.547865285946916E-2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98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4</v>
      </c>
      <c r="L8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98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4</v>
      </c>
      <c r="L8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98</v>
      </c>
      <c r="C88">
        <v>15</v>
      </c>
      <c r="D88" t="s">
        <v>69</v>
      </c>
      <c r="E88" t="s">
        <v>73</v>
      </c>
      <c r="F88" t="s">
        <v>71</v>
      </c>
      <c r="G88">
        <v>2.0880419269707202</v>
      </c>
      <c r="H88">
        <v>2E+20</v>
      </c>
      <c r="I88">
        <v>1.25978648852258</v>
      </c>
      <c r="J88">
        <v>2.9183976514745602</v>
      </c>
      <c r="K88">
        <v>4</v>
      </c>
      <c r="L8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2.5147749738664498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1.3997857000332199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4.4523993875489198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0.58847912081681497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5.4268973031599996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8">
        <f>IF((DiscreteStatsTable[[#This Row],[RepsRequested]]&gt;1),DiscreteStatsTable[[#This Row],[HalfWidth]],DiscreteStatsTable[[#This Row],[BatchMeansHalfWidth]])</f>
        <v>0.15379699758545484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98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4</v>
      </c>
      <c r="L8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98</v>
      </c>
      <c r="C90">
        <v>15</v>
      </c>
      <c r="D90" t="s">
        <v>69</v>
      </c>
      <c r="E90" t="s">
        <v>75</v>
      </c>
      <c r="F90" t="s">
        <v>71</v>
      </c>
      <c r="G90">
        <v>2.0880419269707202</v>
      </c>
      <c r="H90">
        <v>2E+20</v>
      </c>
      <c r="I90">
        <v>1.25978648852258</v>
      </c>
      <c r="J90">
        <v>2.9183976514745602</v>
      </c>
      <c r="K90">
        <v>4</v>
      </c>
      <c r="L9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2.2930880765839192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1.3997857000332199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3.2207590152928498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0.58847912081681497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4.8260534923328997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0">
        <f>IF((DiscreteStatsTable[[#This Row],[RepsRequested]]&gt;1),DiscreteStatsTable[[#This Row],[HalfWidth]],DiscreteStatsTable[[#This Row],[BatchMeansHalfWidth]])</f>
        <v>0.1050209533137741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98</v>
      </c>
      <c r="C91">
        <v>15</v>
      </c>
      <c r="D91" t="s">
        <v>69</v>
      </c>
      <c r="E91" t="s">
        <v>76</v>
      </c>
      <c r="F91" t="s">
        <v>71</v>
      </c>
      <c r="G91">
        <v>0</v>
      </c>
      <c r="H91">
        <v>2E+20</v>
      </c>
      <c r="I91">
        <v>0</v>
      </c>
      <c r="J91">
        <v>0</v>
      </c>
      <c r="K91">
        <v>4</v>
      </c>
      <c r="L9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0.22168689728253091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1.60620384950211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3.4950047602739902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1">
        <f>IF((DiscreteStatsTable[[#This Row],[RepsRequested]]&gt;1),DiscreteStatsTable[[#This Row],[HalfWidth]],DiscreteStatsTable[[#This Row],[BatchMeansHalfWidth]])</f>
        <v>9.547865285946916E-2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98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7</v>
      </c>
      <c r="L9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98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7</v>
      </c>
      <c r="L9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98</v>
      </c>
      <c r="C94">
        <v>16</v>
      </c>
      <c r="D94" t="s">
        <v>69</v>
      </c>
      <c r="E94" t="s">
        <v>73</v>
      </c>
      <c r="F94" t="s">
        <v>71</v>
      </c>
      <c r="G94">
        <v>3.4619749592699001</v>
      </c>
      <c r="H94">
        <v>2E+20</v>
      </c>
      <c r="I94">
        <v>1.9994705694094399</v>
      </c>
      <c r="J94">
        <v>4.6188836004053799</v>
      </c>
      <c r="K94">
        <v>7</v>
      </c>
      <c r="L9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2.5147749738664498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1.3997857000332199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4.4523993875489198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0.58847912081681497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5.4268973031599996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4">
        <f>IF((DiscreteStatsTable[[#This Row],[RepsRequested]]&gt;1),DiscreteStatsTable[[#This Row],[HalfWidth]],DiscreteStatsTable[[#This Row],[BatchMeansHalfWidth]])</f>
        <v>0.15379699758545484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98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7</v>
      </c>
      <c r="L9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98</v>
      </c>
      <c r="C96">
        <v>16</v>
      </c>
      <c r="D96" t="s">
        <v>69</v>
      </c>
      <c r="E96" t="s">
        <v>75</v>
      </c>
      <c r="F96" t="s">
        <v>71</v>
      </c>
      <c r="G96">
        <v>2.54797797675187</v>
      </c>
      <c r="H96">
        <v>2E+20</v>
      </c>
      <c r="I96">
        <v>1.3405555681610599</v>
      </c>
      <c r="J96">
        <v>4.3279719754363102</v>
      </c>
      <c r="K96">
        <v>7</v>
      </c>
      <c r="L9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2.2930880765839192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1.3997857000332199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3.2207590152928498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0.58847912081681497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4.8260534923328997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6">
        <f>IF((DiscreteStatsTable[[#This Row],[RepsRequested]]&gt;1),DiscreteStatsTable[[#This Row],[HalfWidth]],DiscreteStatsTable[[#This Row],[BatchMeansHalfWidth]])</f>
        <v>0.1050209533137741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98</v>
      </c>
      <c r="C97">
        <v>16</v>
      </c>
      <c r="D97" t="s">
        <v>69</v>
      </c>
      <c r="E97" t="s">
        <v>76</v>
      </c>
      <c r="F97" t="s">
        <v>71</v>
      </c>
      <c r="G97">
        <v>0.91399698251803196</v>
      </c>
      <c r="H97">
        <v>2E+20</v>
      </c>
      <c r="I97">
        <v>0</v>
      </c>
      <c r="J97">
        <v>1.8827329163944999</v>
      </c>
      <c r="K97">
        <v>7</v>
      </c>
      <c r="L9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0.22168689728253091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1.60620384950211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3.4950047602739902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7">
        <f>IF((DiscreteStatsTable[[#This Row],[RepsRequested]]&gt;1),DiscreteStatsTable[[#This Row],[HalfWidth]],DiscreteStatsTable[[#This Row],[BatchMeansHalfWidth]])</f>
        <v>9.547865285946916E-2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98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2</v>
      </c>
      <c r="L9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98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2</v>
      </c>
      <c r="L9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98</v>
      </c>
      <c r="C100">
        <v>17</v>
      </c>
      <c r="D100" t="s">
        <v>69</v>
      </c>
      <c r="E100" t="s">
        <v>73</v>
      </c>
      <c r="F100" t="s">
        <v>71</v>
      </c>
      <c r="G100">
        <v>2.2133840130397902</v>
      </c>
      <c r="H100">
        <v>2E+20</v>
      </c>
      <c r="I100">
        <v>2.1523569066582402</v>
      </c>
      <c r="J100">
        <v>2.2744111194213499</v>
      </c>
      <c r="K100">
        <v>2</v>
      </c>
      <c r="L10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2.5147749738664498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1.3997857000332199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4.4523993875489198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0.58847912081681497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5.4268973031599996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0">
        <f>IF((DiscreteStatsTable[[#This Row],[RepsRequested]]&gt;1),DiscreteStatsTable[[#This Row],[HalfWidth]],DiscreteStatsTable[[#This Row],[BatchMeansHalfWidth]])</f>
        <v>0.15379699758545484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98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2</v>
      </c>
      <c r="L10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98</v>
      </c>
      <c r="C102">
        <v>17</v>
      </c>
      <c r="D102" t="s">
        <v>69</v>
      </c>
      <c r="E102" t="s">
        <v>75</v>
      </c>
      <c r="F102" t="s">
        <v>71</v>
      </c>
      <c r="G102">
        <v>2.2133840130397902</v>
      </c>
      <c r="H102">
        <v>2E+20</v>
      </c>
      <c r="I102">
        <v>2.1523569066582402</v>
      </c>
      <c r="J102">
        <v>2.2744111194213499</v>
      </c>
      <c r="K102">
        <v>2</v>
      </c>
      <c r="L10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2.2930880765839192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1.3997857000332199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3.2207590152928498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0.58847912081681497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4.8260534923328997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2">
        <f>IF((DiscreteStatsTable[[#This Row],[RepsRequested]]&gt;1),DiscreteStatsTable[[#This Row],[HalfWidth]],DiscreteStatsTable[[#This Row],[BatchMeansHalfWidth]])</f>
        <v>0.1050209533137741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98</v>
      </c>
      <c r="C103">
        <v>17</v>
      </c>
      <c r="D103" t="s">
        <v>69</v>
      </c>
      <c r="E103" t="s">
        <v>76</v>
      </c>
      <c r="F103" t="s">
        <v>71</v>
      </c>
      <c r="G103">
        <v>0</v>
      </c>
      <c r="H103">
        <v>2E+20</v>
      </c>
      <c r="I103">
        <v>0</v>
      </c>
      <c r="J103">
        <v>0</v>
      </c>
      <c r="K103">
        <v>2</v>
      </c>
      <c r="L10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0.22168689728253091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1.60620384950211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3.4950047602739902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3">
        <f>IF((DiscreteStatsTable[[#This Row],[RepsRequested]]&gt;1),DiscreteStatsTable[[#This Row],[HalfWidth]],DiscreteStatsTable[[#This Row],[BatchMeansHalfWidth]])</f>
        <v>9.547865285946916E-2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98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5</v>
      </c>
      <c r="L10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98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5</v>
      </c>
      <c r="L10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98</v>
      </c>
      <c r="C106">
        <v>18</v>
      </c>
      <c r="D106" t="s">
        <v>69</v>
      </c>
      <c r="E106" t="s">
        <v>73</v>
      </c>
      <c r="F106" t="s">
        <v>71</v>
      </c>
      <c r="G106">
        <v>1.3997857000332199</v>
      </c>
      <c r="H106">
        <v>2E+20</v>
      </c>
      <c r="I106">
        <v>0.950892178910972</v>
      </c>
      <c r="J106">
        <v>2.4463955493923999</v>
      </c>
      <c r="K106">
        <v>5</v>
      </c>
      <c r="L10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2.5147749738664498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1.3997857000332199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4.4523993875489198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0.58847912081681497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5.4268973031599996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6">
        <f>IF((DiscreteStatsTable[[#This Row],[RepsRequested]]&gt;1),DiscreteStatsTable[[#This Row],[HalfWidth]],DiscreteStatsTable[[#This Row],[BatchMeansHalfWidth]])</f>
        <v>0.15379699758545484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98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5</v>
      </c>
      <c r="L10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98</v>
      </c>
      <c r="C108">
        <v>18</v>
      </c>
      <c r="D108" t="s">
        <v>69</v>
      </c>
      <c r="E108" t="s">
        <v>75</v>
      </c>
      <c r="F108" t="s">
        <v>71</v>
      </c>
      <c r="G108">
        <v>1.3997857000332199</v>
      </c>
      <c r="H108">
        <v>2E+20</v>
      </c>
      <c r="I108">
        <v>0.950892178910972</v>
      </c>
      <c r="J108">
        <v>2.4463955493923999</v>
      </c>
      <c r="K108">
        <v>5</v>
      </c>
      <c r="L10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2.2930880765839192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1.3997857000332199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3.2207590152928498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0.58847912081681497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4.8260534923328997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8">
        <f>IF((DiscreteStatsTable[[#This Row],[RepsRequested]]&gt;1),DiscreteStatsTable[[#This Row],[HalfWidth]],DiscreteStatsTable[[#This Row],[BatchMeansHalfWidth]])</f>
        <v>0.1050209533137741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98</v>
      </c>
      <c r="C109">
        <v>18</v>
      </c>
      <c r="D109" t="s">
        <v>69</v>
      </c>
      <c r="E109" t="s">
        <v>76</v>
      </c>
      <c r="F109" t="s">
        <v>71</v>
      </c>
      <c r="G109">
        <v>0</v>
      </c>
      <c r="H109">
        <v>2E+20</v>
      </c>
      <c r="I109">
        <v>0</v>
      </c>
      <c r="J109">
        <v>0</v>
      </c>
      <c r="K109">
        <v>5</v>
      </c>
      <c r="L10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0.22168689728253091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1.60620384950211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3.4950047602739902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09">
        <f>IF((DiscreteStatsTable[[#This Row],[RepsRequested]]&gt;1),DiscreteStatsTable[[#This Row],[HalfWidth]],DiscreteStatsTable[[#This Row],[BatchMeansHalfWidth]])</f>
        <v>9.547865285946916E-2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98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5</v>
      </c>
      <c r="L11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98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5</v>
      </c>
      <c r="L11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98</v>
      </c>
      <c r="C112">
        <v>19</v>
      </c>
      <c r="D112" t="s">
        <v>69</v>
      </c>
      <c r="E112" t="s">
        <v>73</v>
      </c>
      <c r="F112" t="s">
        <v>71</v>
      </c>
      <c r="G112">
        <v>2.3473898774850599</v>
      </c>
      <c r="H112">
        <v>2E+20</v>
      </c>
      <c r="I112">
        <v>1.60629296857945</v>
      </c>
      <c r="J112">
        <v>3.51604515948994</v>
      </c>
      <c r="K112">
        <v>5</v>
      </c>
      <c r="L11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2.5147749738664498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1.3997857000332199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4.4523993875489198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0.58847912081681497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5.4268973031599996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2">
        <f>IF((DiscreteStatsTable[[#This Row],[RepsRequested]]&gt;1),DiscreteStatsTable[[#This Row],[HalfWidth]],DiscreteStatsTable[[#This Row],[BatchMeansHalfWidth]])</f>
        <v>0.15379699758545484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98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5</v>
      </c>
      <c r="L11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98</v>
      </c>
      <c r="C114">
        <v>19</v>
      </c>
      <c r="D114" t="s">
        <v>69</v>
      </c>
      <c r="E114" t="s">
        <v>75</v>
      </c>
      <c r="F114" t="s">
        <v>71</v>
      </c>
      <c r="G114">
        <v>2.3148722816171898</v>
      </c>
      <c r="H114">
        <v>2E+20</v>
      </c>
      <c r="I114">
        <v>1.60629296857945</v>
      </c>
      <c r="J114">
        <v>3.51604515948994</v>
      </c>
      <c r="K114">
        <v>5</v>
      </c>
      <c r="L11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2.2930880765839192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1.3997857000332199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3.2207590152928498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0.58847912081681497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4.8260534923328997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4">
        <f>IF((DiscreteStatsTable[[#This Row],[RepsRequested]]&gt;1),DiscreteStatsTable[[#This Row],[HalfWidth]],DiscreteStatsTable[[#This Row],[BatchMeansHalfWidth]])</f>
        <v>0.1050209533137741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98</v>
      </c>
      <c r="C115">
        <v>19</v>
      </c>
      <c r="D115" t="s">
        <v>69</v>
      </c>
      <c r="E115" t="s">
        <v>76</v>
      </c>
      <c r="F115" t="s">
        <v>71</v>
      </c>
      <c r="G115">
        <v>3.25175958678749E-2</v>
      </c>
      <c r="H115">
        <v>2E+20</v>
      </c>
      <c r="I115">
        <v>0</v>
      </c>
      <c r="J115">
        <v>0.16258797933937499</v>
      </c>
      <c r="K115">
        <v>5</v>
      </c>
      <c r="L11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0.22168689728253091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1.60620384950211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3.4950047602739902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5">
        <f>IF((DiscreteStatsTable[[#This Row],[RepsRequested]]&gt;1),DiscreteStatsTable[[#This Row],[HalfWidth]],DiscreteStatsTable[[#This Row],[BatchMeansHalfWidth]])</f>
        <v>9.547865285946916E-2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98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6</v>
      </c>
      <c r="L11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98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6</v>
      </c>
      <c r="L11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98</v>
      </c>
      <c r="C118">
        <v>20</v>
      </c>
      <c r="D118" t="s">
        <v>69</v>
      </c>
      <c r="E118" t="s">
        <v>73</v>
      </c>
      <c r="F118" t="s">
        <v>71</v>
      </c>
      <c r="G118">
        <v>2.8133751043111199</v>
      </c>
      <c r="H118">
        <v>2E+20</v>
      </c>
      <c r="I118">
        <v>1.3459009293818001</v>
      </c>
      <c r="J118">
        <v>4.0417259174093703</v>
      </c>
      <c r="K118">
        <v>6</v>
      </c>
      <c r="L11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2.5147749738664498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1.3997857000332199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4.4523993875489198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0.58847912081681497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5.4268973031599996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8">
        <f>IF((DiscreteStatsTable[[#This Row],[RepsRequested]]&gt;1),DiscreteStatsTable[[#This Row],[HalfWidth]],DiscreteStatsTable[[#This Row],[BatchMeansHalfWidth]])</f>
        <v>0.15379699758545484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98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6</v>
      </c>
      <c r="L11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98</v>
      </c>
      <c r="C120">
        <v>20</v>
      </c>
      <c r="D120" t="s">
        <v>69</v>
      </c>
      <c r="E120" t="s">
        <v>75</v>
      </c>
      <c r="F120" t="s">
        <v>71</v>
      </c>
      <c r="G120">
        <v>2.4927675783474799</v>
      </c>
      <c r="H120">
        <v>2E+20</v>
      </c>
      <c r="I120">
        <v>1.3459009293818001</v>
      </c>
      <c r="J120">
        <v>3.2841569029627</v>
      </c>
      <c r="K120">
        <v>6</v>
      </c>
      <c r="L12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2.2930880765839192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1.3997857000332199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3.2207590152928498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0.58847912081681497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4.8260534923328997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0">
        <f>IF((DiscreteStatsTable[[#This Row],[RepsRequested]]&gt;1),DiscreteStatsTable[[#This Row],[HalfWidth]],DiscreteStatsTable[[#This Row],[BatchMeansHalfWidth]])</f>
        <v>0.1050209533137741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98</v>
      </c>
      <c r="C121">
        <v>20</v>
      </c>
      <c r="D121" t="s">
        <v>69</v>
      </c>
      <c r="E121" t="s">
        <v>76</v>
      </c>
      <c r="F121" t="s">
        <v>71</v>
      </c>
      <c r="G121">
        <v>0.32060752596363801</v>
      </c>
      <c r="H121">
        <v>2E+20</v>
      </c>
      <c r="I121">
        <v>0</v>
      </c>
      <c r="J121">
        <v>1.3351953302581001</v>
      </c>
      <c r="K121">
        <v>6</v>
      </c>
      <c r="L12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0.22168689728253091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1.60620384950211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3.4950047602739902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1">
        <f>IF((DiscreteStatsTable[[#This Row],[RepsRequested]]&gt;1),DiscreteStatsTable[[#This Row],[HalfWidth]],DiscreteStatsTable[[#This Row],[BatchMeansHalfWidth]])</f>
        <v>9.547865285946916E-2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98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3</v>
      </c>
      <c r="L12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2">
        <f>IF((DiscreteStatsTable[[#This Row],[RepsRequested]]&gt;1),DiscreteStatsTable[[#This Row],[HalfWidth]],DiscreteStatsTable[[#This Row],[BatchMeansHalfWidth]])</f>
        <v>0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98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3</v>
      </c>
      <c r="L12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3">
        <f>IF((DiscreteStatsTable[[#This Row],[RepsRequested]]&gt;1),DiscreteStatsTable[[#This Row],[HalfWidth]],DiscreteStatsTable[[#This Row],[BatchMeansHalfWidth]])</f>
        <v>0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98</v>
      </c>
      <c r="C124">
        <v>21</v>
      </c>
      <c r="D124" t="s">
        <v>69</v>
      </c>
      <c r="E124" t="s">
        <v>73</v>
      </c>
      <c r="F124" t="s">
        <v>71</v>
      </c>
      <c r="G124">
        <v>2.74521159755004</v>
      </c>
      <c r="H124">
        <v>2E+20</v>
      </c>
      <c r="I124">
        <v>2.2770033215837699</v>
      </c>
      <c r="J124">
        <v>3.3438725651846202</v>
      </c>
      <c r="K124">
        <v>3</v>
      </c>
      <c r="L12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2.5147749738664498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1.3997857000332199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4.4523993875489198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0.58847912081681497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5.4268973031599996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4">
        <f>IF((DiscreteStatsTable[[#This Row],[RepsRequested]]&gt;1),DiscreteStatsTable[[#This Row],[HalfWidth]],DiscreteStatsTable[[#This Row],[BatchMeansHalfWidth]])</f>
        <v>0.15379699758545484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98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3</v>
      </c>
      <c r="L12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5">
        <f>IF((DiscreteStatsTable[[#This Row],[RepsRequested]]&gt;1),DiscreteStatsTable[[#This Row],[HalfWidth]],DiscreteStatsTable[[#This Row],[BatchMeansHalfWidth]])</f>
        <v>0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98</v>
      </c>
      <c r="C126">
        <v>21</v>
      </c>
      <c r="D126" t="s">
        <v>69</v>
      </c>
      <c r="E126" t="s">
        <v>75</v>
      </c>
      <c r="F126" t="s">
        <v>71</v>
      </c>
      <c r="G126">
        <v>2.74521159755004</v>
      </c>
      <c r="H126">
        <v>2E+20</v>
      </c>
      <c r="I126">
        <v>2.2770033215837699</v>
      </c>
      <c r="J126">
        <v>3.3438725651846202</v>
      </c>
      <c r="K126">
        <v>3</v>
      </c>
      <c r="L12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2.2930880765839192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1.3997857000332199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3.2207590152928498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0.58847912081681497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4.8260534923328997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6">
        <f>IF((DiscreteStatsTable[[#This Row],[RepsRequested]]&gt;1),DiscreteStatsTable[[#This Row],[HalfWidth]],DiscreteStatsTable[[#This Row],[BatchMeansHalfWidth]])</f>
        <v>0.1050209533137741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98</v>
      </c>
      <c r="C127">
        <v>21</v>
      </c>
      <c r="D127" t="s">
        <v>69</v>
      </c>
      <c r="E127" t="s">
        <v>76</v>
      </c>
      <c r="F127" t="s">
        <v>71</v>
      </c>
      <c r="G127">
        <v>0</v>
      </c>
      <c r="H127">
        <v>2E+20</v>
      </c>
      <c r="I127">
        <v>0</v>
      </c>
      <c r="J127">
        <v>0</v>
      </c>
      <c r="K127">
        <v>3</v>
      </c>
      <c r="L12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0.22168689728253091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1.60620384950211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3.4950047602739902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7">
        <f>IF((DiscreteStatsTable[[#This Row],[RepsRequested]]&gt;1),DiscreteStatsTable[[#This Row],[HalfWidth]],DiscreteStatsTable[[#This Row],[BatchMeansHalfWidth]])</f>
        <v>9.547865285946916E-2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98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4</v>
      </c>
      <c r="L12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8">
        <f>IF((DiscreteStatsTable[[#This Row],[RepsRequested]]&gt;1),DiscreteStatsTable[[#This Row],[HalfWidth]],DiscreteStatsTable[[#This Row],[BatchMeansHalfWidth]])</f>
        <v>0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98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4</v>
      </c>
      <c r="L12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29">
        <f>IF((DiscreteStatsTable[[#This Row],[RepsRequested]]&gt;1),DiscreteStatsTable[[#This Row],[HalfWidth]],DiscreteStatsTable[[#This Row],[BatchMeansHalfWidth]])</f>
        <v>0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98</v>
      </c>
      <c r="C130">
        <v>22</v>
      </c>
      <c r="D130" t="s">
        <v>69</v>
      </c>
      <c r="E130" t="s">
        <v>73</v>
      </c>
      <c r="F130" t="s">
        <v>71</v>
      </c>
      <c r="G130">
        <v>2.2673870402116898</v>
      </c>
      <c r="H130">
        <v>2E+20</v>
      </c>
      <c r="I130">
        <v>2.0923926184296602</v>
      </c>
      <c r="J130">
        <v>2.4133503410527202</v>
      </c>
      <c r="K130">
        <v>4</v>
      </c>
      <c r="L13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2.5147749738664498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1.3997857000332199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4.4523993875489198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0.58847912081681497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5.4268973031599996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0">
        <f>IF((DiscreteStatsTable[[#This Row],[RepsRequested]]&gt;1),DiscreteStatsTable[[#This Row],[HalfWidth]],DiscreteStatsTable[[#This Row],[BatchMeansHalfWidth]])</f>
        <v>0.15379699758545484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98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4</v>
      </c>
      <c r="L13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1">
        <f>IF((DiscreteStatsTable[[#This Row],[RepsRequested]]&gt;1),DiscreteStatsTable[[#This Row],[HalfWidth]],DiscreteStatsTable[[#This Row],[BatchMeansHalfWidth]])</f>
        <v>0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98</v>
      </c>
      <c r="C132">
        <v>22</v>
      </c>
      <c r="D132" t="s">
        <v>69</v>
      </c>
      <c r="E132" t="s">
        <v>75</v>
      </c>
      <c r="F132" t="s">
        <v>71</v>
      </c>
      <c r="G132">
        <v>2.2673870402116898</v>
      </c>
      <c r="H132">
        <v>2E+20</v>
      </c>
      <c r="I132">
        <v>2.0923926184296602</v>
      </c>
      <c r="J132">
        <v>2.4133503410527202</v>
      </c>
      <c r="K132">
        <v>4</v>
      </c>
      <c r="L13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2.2930880765839192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1.3997857000332199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3.2207590152928498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0.58847912081681497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4.8260534923328997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2">
        <f>IF((DiscreteStatsTable[[#This Row],[RepsRequested]]&gt;1),DiscreteStatsTable[[#This Row],[HalfWidth]],DiscreteStatsTable[[#This Row],[BatchMeansHalfWidth]])</f>
        <v>0.1050209533137741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98</v>
      </c>
      <c r="C133">
        <v>22</v>
      </c>
      <c r="D133" t="s">
        <v>69</v>
      </c>
      <c r="E133" t="s">
        <v>76</v>
      </c>
      <c r="F133" t="s">
        <v>71</v>
      </c>
      <c r="G133">
        <v>0</v>
      </c>
      <c r="H133">
        <v>2E+20</v>
      </c>
      <c r="I133">
        <v>0</v>
      </c>
      <c r="J133">
        <v>0</v>
      </c>
      <c r="K133">
        <v>4</v>
      </c>
      <c r="L13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0.22168689728253091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1.60620384950211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3.4950047602739902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3">
        <f>IF((DiscreteStatsTable[[#This Row],[RepsRequested]]&gt;1),DiscreteStatsTable[[#This Row],[HalfWidth]],DiscreteStatsTable[[#This Row],[BatchMeansHalfWidth]])</f>
        <v>9.547865285946916E-2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98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7</v>
      </c>
      <c r="L13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4">
        <f>IF((DiscreteStatsTable[[#This Row],[RepsRequested]]&gt;1),DiscreteStatsTable[[#This Row],[HalfWidth]],DiscreteStatsTable[[#This Row],[BatchMeansHalfWidth]])</f>
        <v>0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98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7</v>
      </c>
      <c r="L13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5">
        <f>IF((DiscreteStatsTable[[#This Row],[RepsRequested]]&gt;1),DiscreteStatsTable[[#This Row],[HalfWidth]],DiscreteStatsTable[[#This Row],[BatchMeansHalfWidth]])</f>
        <v>0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98</v>
      </c>
      <c r="C136">
        <v>23</v>
      </c>
      <c r="D136" t="s">
        <v>69</v>
      </c>
      <c r="E136" t="s">
        <v>73</v>
      </c>
      <c r="F136" t="s">
        <v>71</v>
      </c>
      <c r="G136">
        <v>2.4973188984317298</v>
      </c>
      <c r="H136">
        <v>2E+20</v>
      </c>
      <c r="I136">
        <v>1.32458369287574</v>
      </c>
      <c r="J136">
        <v>3.83849665430877</v>
      </c>
      <c r="K136">
        <v>7</v>
      </c>
      <c r="L13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2.5147749738664498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1.3997857000332199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4.4523993875489198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0.58847912081681497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5.4268973031599996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6">
        <f>IF((DiscreteStatsTable[[#This Row],[RepsRequested]]&gt;1),DiscreteStatsTable[[#This Row],[HalfWidth]],DiscreteStatsTable[[#This Row],[BatchMeansHalfWidth]])</f>
        <v>0.15379699758545484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98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7</v>
      </c>
      <c r="L13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7">
        <f>IF((DiscreteStatsTable[[#This Row],[RepsRequested]]&gt;1),DiscreteStatsTable[[#This Row],[HalfWidth]],DiscreteStatsTable[[#This Row],[BatchMeansHalfWidth]])</f>
        <v>0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98</v>
      </c>
      <c r="C138">
        <v>23</v>
      </c>
      <c r="D138" t="s">
        <v>69</v>
      </c>
      <c r="E138" t="s">
        <v>75</v>
      </c>
      <c r="F138" t="s">
        <v>71</v>
      </c>
      <c r="G138">
        <v>2.2461903734152902</v>
      </c>
      <c r="H138">
        <v>2E+20</v>
      </c>
      <c r="I138">
        <v>1.2097317231271301</v>
      </c>
      <c r="J138">
        <v>3.5966850900993599</v>
      </c>
      <c r="K138">
        <v>7</v>
      </c>
      <c r="L13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2.2930880765839192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1.3997857000332199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3.2207590152928498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0.58847912081681497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4.8260534923328997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8">
        <f>IF((DiscreteStatsTable[[#This Row],[RepsRequested]]&gt;1),DiscreteStatsTable[[#This Row],[HalfWidth]],DiscreteStatsTable[[#This Row],[BatchMeansHalfWidth]])</f>
        <v>0.1050209533137741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98</v>
      </c>
      <c r="C139">
        <v>23</v>
      </c>
      <c r="D139" t="s">
        <v>69</v>
      </c>
      <c r="E139" t="s">
        <v>76</v>
      </c>
      <c r="F139" t="s">
        <v>71</v>
      </c>
      <c r="G139">
        <v>0.25112852501643301</v>
      </c>
      <c r="H139">
        <v>2E+20</v>
      </c>
      <c r="I139">
        <v>0</v>
      </c>
      <c r="J139">
        <v>1.3483268693249999</v>
      </c>
      <c r="K139">
        <v>7</v>
      </c>
      <c r="L13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0.22168689728253091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1.60620384950211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3.4950047602739902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39">
        <f>IF((DiscreteStatsTable[[#This Row],[RepsRequested]]&gt;1),DiscreteStatsTable[[#This Row],[HalfWidth]],DiscreteStatsTable[[#This Row],[BatchMeansHalfWidth]])</f>
        <v>9.547865285946916E-2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98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5</v>
      </c>
      <c r="L14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0">
        <f>IF((DiscreteStatsTable[[#This Row],[RepsRequested]]&gt;1),DiscreteStatsTable[[#This Row],[HalfWidth]],DiscreteStatsTable[[#This Row],[BatchMeansHalfWidth]])</f>
        <v>0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98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5</v>
      </c>
      <c r="L14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1">
        <f>IF((DiscreteStatsTable[[#This Row],[RepsRequested]]&gt;1),DiscreteStatsTable[[#This Row],[HalfWidth]],DiscreteStatsTable[[#This Row],[BatchMeansHalfWidth]])</f>
        <v>0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98</v>
      </c>
      <c r="C142">
        <v>24</v>
      </c>
      <c r="D142" t="s">
        <v>69</v>
      </c>
      <c r="E142" t="s">
        <v>73</v>
      </c>
      <c r="F142" t="s">
        <v>71</v>
      </c>
      <c r="G142">
        <v>2.6705148852307801</v>
      </c>
      <c r="H142">
        <v>2E+20</v>
      </c>
      <c r="I142">
        <v>1.0644481621822199</v>
      </c>
      <c r="J142">
        <v>4.5066503736035104</v>
      </c>
      <c r="K142">
        <v>5</v>
      </c>
      <c r="L14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2.5147749738664498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1.3997857000332199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4.4523993875489198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0.58847912081681497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5.4268973031599996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2">
        <f>IF((DiscreteStatsTable[[#This Row],[RepsRequested]]&gt;1),DiscreteStatsTable[[#This Row],[HalfWidth]],DiscreteStatsTable[[#This Row],[BatchMeansHalfWidth]])</f>
        <v>0.15379699758545484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98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5</v>
      </c>
      <c r="L14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3">
        <f>IF((DiscreteStatsTable[[#This Row],[RepsRequested]]&gt;1),DiscreteStatsTable[[#This Row],[HalfWidth]],DiscreteStatsTable[[#This Row],[BatchMeansHalfWidth]])</f>
        <v>0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98</v>
      </c>
      <c r="C144">
        <v>24</v>
      </c>
      <c r="D144" t="s">
        <v>69</v>
      </c>
      <c r="E144" t="s">
        <v>75</v>
      </c>
      <c r="F144" t="s">
        <v>71</v>
      </c>
      <c r="G144">
        <v>2.6705148852307801</v>
      </c>
      <c r="H144">
        <v>2E+20</v>
      </c>
      <c r="I144">
        <v>1.0644481621822199</v>
      </c>
      <c r="J144">
        <v>4.5066503736035104</v>
      </c>
      <c r="K144">
        <v>5</v>
      </c>
      <c r="L14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2.2930880765839192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1.3997857000332199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3.2207590152928498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0.58847912081681497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4.8260534923328997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4">
        <f>IF((DiscreteStatsTable[[#This Row],[RepsRequested]]&gt;1),DiscreteStatsTable[[#This Row],[HalfWidth]],DiscreteStatsTable[[#This Row],[BatchMeansHalfWidth]])</f>
        <v>0.1050209533137741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98</v>
      </c>
      <c r="C145">
        <v>24</v>
      </c>
      <c r="D145" t="s">
        <v>69</v>
      </c>
      <c r="E145" t="s">
        <v>76</v>
      </c>
      <c r="F145" t="s">
        <v>71</v>
      </c>
      <c r="G145">
        <v>0</v>
      </c>
      <c r="H145">
        <v>2E+20</v>
      </c>
      <c r="I145">
        <v>0</v>
      </c>
      <c r="J145">
        <v>0</v>
      </c>
      <c r="K145">
        <v>5</v>
      </c>
      <c r="L14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0.22168689728253091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1.60620384950211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3.4950047602739902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5">
        <f>IF((DiscreteStatsTable[[#This Row],[RepsRequested]]&gt;1),DiscreteStatsTable[[#This Row],[HalfWidth]],DiscreteStatsTable[[#This Row],[BatchMeansHalfWidth]])</f>
        <v>9.547865285946916E-2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98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</v>
      </c>
      <c r="L14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6">
        <f>IF((DiscreteStatsTable[[#This Row],[RepsRequested]]&gt;1),DiscreteStatsTable[[#This Row],[HalfWidth]],DiscreteStatsTable[[#This Row],[BatchMeansHalfWidth]])</f>
        <v>0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98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</v>
      </c>
      <c r="L14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7">
        <f>IF((DiscreteStatsTable[[#This Row],[RepsRequested]]&gt;1),DiscreteStatsTable[[#This Row],[HalfWidth]],DiscreteStatsTable[[#This Row],[BatchMeansHalfWidth]])</f>
        <v>0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98</v>
      </c>
      <c r="C148">
        <v>25</v>
      </c>
      <c r="D148" t="s">
        <v>69</v>
      </c>
      <c r="E148" t="s">
        <v>73</v>
      </c>
      <c r="F148" t="s">
        <v>71</v>
      </c>
      <c r="G148">
        <v>2.2948866659604801</v>
      </c>
      <c r="H148">
        <v>2E+20</v>
      </c>
      <c r="I148">
        <v>1.2590490802665599</v>
      </c>
      <c r="J148">
        <v>3.2055672610892101</v>
      </c>
      <c r="K148">
        <v>8</v>
      </c>
      <c r="L14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2.5147749738664498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1.3997857000332199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4.4523993875489198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0.58847912081681497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5.4268973031599996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8">
        <f>IF((DiscreteStatsTable[[#This Row],[RepsRequested]]&gt;1),DiscreteStatsTable[[#This Row],[HalfWidth]],DiscreteStatsTable[[#This Row],[BatchMeansHalfWidth]])</f>
        <v>0.15379699758545484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98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</v>
      </c>
      <c r="L14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49">
        <f>IF((DiscreteStatsTable[[#This Row],[RepsRequested]]&gt;1),DiscreteStatsTable[[#This Row],[HalfWidth]],DiscreteStatsTable[[#This Row],[BatchMeansHalfWidth]])</f>
        <v>0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98</v>
      </c>
      <c r="C150">
        <v>25</v>
      </c>
      <c r="D150" t="s">
        <v>69</v>
      </c>
      <c r="E150" t="s">
        <v>75</v>
      </c>
      <c r="F150" t="s">
        <v>71</v>
      </c>
      <c r="G150">
        <v>2.02198220054707</v>
      </c>
      <c r="H150">
        <v>2E+20</v>
      </c>
      <c r="I150">
        <v>1.10408928119121</v>
      </c>
      <c r="J150">
        <v>2.8906951968681698</v>
      </c>
      <c r="K150">
        <v>8</v>
      </c>
      <c r="L15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2.2930880765839192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1.3997857000332199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3.2207590152928498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0.58847912081681497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4.8260534923328997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0">
        <f>IF((DiscreteStatsTable[[#This Row],[RepsRequested]]&gt;1),DiscreteStatsTable[[#This Row],[HalfWidth]],DiscreteStatsTable[[#This Row],[BatchMeansHalfWidth]])</f>
        <v>0.1050209533137741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98</v>
      </c>
      <c r="C151">
        <v>25</v>
      </c>
      <c r="D151" t="s">
        <v>69</v>
      </c>
      <c r="E151" t="s">
        <v>76</v>
      </c>
      <c r="F151" t="s">
        <v>71</v>
      </c>
      <c r="G151">
        <v>0.27290446541340402</v>
      </c>
      <c r="H151">
        <v>2E+20</v>
      </c>
      <c r="I151">
        <v>0</v>
      </c>
      <c r="J151">
        <v>1.0691374405527501</v>
      </c>
      <c r="K151">
        <v>8</v>
      </c>
      <c r="L15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0.22168689728253091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1.60620384950211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3.4950047602739902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1">
        <f>IF((DiscreteStatsTable[[#This Row],[RepsRequested]]&gt;1),DiscreteStatsTable[[#This Row],[HalfWidth]],DiscreteStatsTable[[#This Row],[BatchMeansHalfWidth]])</f>
        <v>9.547865285946916E-2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98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6</v>
      </c>
      <c r="L15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2">
        <f>IF((DiscreteStatsTable[[#This Row],[RepsRequested]]&gt;1),DiscreteStatsTable[[#This Row],[HalfWidth]],DiscreteStatsTable[[#This Row],[BatchMeansHalfWidth]])</f>
        <v>0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98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6</v>
      </c>
      <c r="L15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3">
        <f>IF((DiscreteStatsTable[[#This Row],[RepsRequested]]&gt;1),DiscreteStatsTable[[#This Row],[HalfWidth]],DiscreteStatsTable[[#This Row],[BatchMeansHalfWidth]])</f>
        <v>0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98</v>
      </c>
      <c r="C154">
        <v>26</v>
      </c>
      <c r="D154" t="s">
        <v>69</v>
      </c>
      <c r="E154" t="s">
        <v>73</v>
      </c>
      <c r="F154" t="s">
        <v>71</v>
      </c>
      <c r="G154">
        <v>3.3204783392613799</v>
      </c>
      <c r="H154">
        <v>2E+20</v>
      </c>
      <c r="I154">
        <v>1.70979317710763</v>
      </c>
      <c r="J154">
        <v>4.16203266244879</v>
      </c>
      <c r="K154">
        <v>6</v>
      </c>
      <c r="L15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2.5147749738664498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1.3997857000332199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4.4523993875489198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0.58847912081681497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5.4268973031599996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4">
        <f>IF((DiscreteStatsTable[[#This Row],[RepsRequested]]&gt;1),DiscreteStatsTable[[#This Row],[HalfWidth]],DiscreteStatsTable[[#This Row],[BatchMeansHalfWidth]])</f>
        <v>0.15379699758545484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98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6</v>
      </c>
      <c r="L15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5">
        <f>IF((DiscreteStatsTable[[#This Row],[RepsRequested]]&gt;1),DiscreteStatsTable[[#This Row],[HalfWidth]],DiscreteStatsTable[[#This Row],[BatchMeansHalfWidth]])</f>
        <v>0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98</v>
      </c>
      <c r="C156">
        <v>26</v>
      </c>
      <c r="D156" t="s">
        <v>69</v>
      </c>
      <c r="E156" t="s">
        <v>75</v>
      </c>
      <c r="F156" t="s">
        <v>71</v>
      </c>
      <c r="G156">
        <v>2.3737487818211802</v>
      </c>
      <c r="H156">
        <v>2E+20</v>
      </c>
      <c r="I156">
        <v>1.00541605871374</v>
      </c>
      <c r="J156">
        <v>3.8730021705266302</v>
      </c>
      <c r="K156">
        <v>6</v>
      </c>
      <c r="L15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2.2930880765839192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1.3997857000332199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3.2207590152928498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0.58847912081681497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4.8260534923328997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6">
        <f>IF((DiscreteStatsTable[[#This Row],[RepsRequested]]&gt;1),DiscreteStatsTable[[#This Row],[HalfWidth]],DiscreteStatsTable[[#This Row],[BatchMeansHalfWidth]])</f>
        <v>0.1050209533137741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98</v>
      </c>
      <c r="C157">
        <v>26</v>
      </c>
      <c r="D157" t="s">
        <v>69</v>
      </c>
      <c r="E157" t="s">
        <v>76</v>
      </c>
      <c r="F157" t="s">
        <v>71</v>
      </c>
      <c r="G157">
        <v>0.94672955744019804</v>
      </c>
      <c r="H157">
        <v>2E+20</v>
      </c>
      <c r="I157">
        <v>0</v>
      </c>
      <c r="J157">
        <v>2.36057596288647</v>
      </c>
      <c r="K157">
        <v>6</v>
      </c>
      <c r="L15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0.22168689728253091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1.60620384950211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3.4950047602739902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7">
        <f>IF((DiscreteStatsTable[[#This Row],[RepsRequested]]&gt;1),DiscreteStatsTable[[#This Row],[HalfWidth]],DiscreteStatsTable[[#This Row],[BatchMeansHalfWidth]])</f>
        <v>9.547865285946916E-2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98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6</v>
      </c>
      <c r="L15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8">
        <f>IF((DiscreteStatsTable[[#This Row],[RepsRequested]]&gt;1),DiscreteStatsTable[[#This Row],[HalfWidth]],DiscreteStatsTable[[#This Row],[BatchMeansHalfWidth]])</f>
        <v>0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98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6</v>
      </c>
      <c r="L15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59">
        <f>IF((DiscreteStatsTable[[#This Row],[RepsRequested]]&gt;1),DiscreteStatsTable[[#This Row],[HalfWidth]],DiscreteStatsTable[[#This Row],[BatchMeansHalfWidth]])</f>
        <v>0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98</v>
      </c>
      <c r="C160">
        <v>27</v>
      </c>
      <c r="D160" t="s">
        <v>69</v>
      </c>
      <c r="E160" t="s">
        <v>73</v>
      </c>
      <c r="F160" t="s">
        <v>71</v>
      </c>
      <c r="G160">
        <v>2.85715654829063</v>
      </c>
      <c r="H160">
        <v>2E+20</v>
      </c>
      <c r="I160">
        <v>1.6256656904296301</v>
      </c>
      <c r="J160">
        <v>4.8563426048269296</v>
      </c>
      <c r="K160">
        <v>6</v>
      </c>
      <c r="L16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2.5147749738664498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1.3997857000332199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4.4523993875489198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0.58847912081681497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5.4268973031599996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0">
        <f>IF((DiscreteStatsTable[[#This Row],[RepsRequested]]&gt;1),DiscreteStatsTable[[#This Row],[HalfWidth]],DiscreteStatsTable[[#This Row],[BatchMeansHalfWidth]])</f>
        <v>0.15379699758545484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98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6</v>
      </c>
      <c r="L16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1">
        <f>IF((DiscreteStatsTable[[#This Row],[RepsRequested]]&gt;1),DiscreteStatsTable[[#This Row],[HalfWidth]],DiscreteStatsTable[[#This Row],[BatchMeansHalfWidth]])</f>
        <v>0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98</v>
      </c>
      <c r="C162">
        <v>27</v>
      </c>
      <c r="D162" t="s">
        <v>69</v>
      </c>
      <c r="E162" t="s">
        <v>75</v>
      </c>
      <c r="F162" t="s">
        <v>71</v>
      </c>
      <c r="G162">
        <v>2.3179943496731501</v>
      </c>
      <c r="H162">
        <v>2E+20</v>
      </c>
      <c r="I162">
        <v>1.6256656904296301</v>
      </c>
      <c r="J162">
        <v>3.47211379010729</v>
      </c>
      <c r="K162">
        <v>6</v>
      </c>
      <c r="L16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2.2930880765839192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1.3997857000332199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3.2207590152928498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0.58847912081681497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4.8260534923328997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2">
        <f>IF((DiscreteStatsTable[[#This Row],[RepsRequested]]&gt;1),DiscreteStatsTable[[#This Row],[HalfWidth]],DiscreteStatsTable[[#This Row],[BatchMeansHalfWidth]])</f>
        <v>0.1050209533137741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98</v>
      </c>
      <c r="C163">
        <v>27</v>
      </c>
      <c r="D163" t="s">
        <v>69</v>
      </c>
      <c r="E163" t="s">
        <v>76</v>
      </c>
      <c r="F163" t="s">
        <v>71</v>
      </c>
      <c r="G163">
        <v>0.53916219861748904</v>
      </c>
      <c r="H163">
        <v>2E+20</v>
      </c>
      <c r="I163">
        <v>0</v>
      </c>
      <c r="J163">
        <v>1.38422881471963</v>
      </c>
      <c r="K163">
        <v>6</v>
      </c>
      <c r="L16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0.22168689728253091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1.60620384950211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3.4950047602739902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3">
        <f>IF((DiscreteStatsTable[[#This Row],[RepsRequested]]&gt;1),DiscreteStatsTable[[#This Row],[HalfWidth]],DiscreteStatsTable[[#This Row],[BatchMeansHalfWidth]])</f>
        <v>9.547865285946916E-2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98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5</v>
      </c>
      <c r="L16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4">
        <f>IF((DiscreteStatsTable[[#This Row],[RepsRequested]]&gt;1),DiscreteStatsTable[[#This Row],[HalfWidth]],DiscreteStatsTable[[#This Row],[BatchMeansHalfWidth]])</f>
        <v>0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98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5</v>
      </c>
      <c r="L16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5">
        <f>IF((DiscreteStatsTable[[#This Row],[RepsRequested]]&gt;1),DiscreteStatsTable[[#This Row],[HalfWidth]],DiscreteStatsTable[[#This Row],[BatchMeansHalfWidth]])</f>
        <v>0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98</v>
      </c>
      <c r="C166">
        <v>28</v>
      </c>
      <c r="D166" t="s">
        <v>69</v>
      </c>
      <c r="E166" t="s">
        <v>73</v>
      </c>
      <c r="F166" t="s">
        <v>71</v>
      </c>
      <c r="G166">
        <v>2.8348585791140501</v>
      </c>
      <c r="H166">
        <v>2E+20</v>
      </c>
      <c r="I166">
        <v>2.2081403895100999</v>
      </c>
      <c r="J166">
        <v>4.6355336158454303</v>
      </c>
      <c r="K166">
        <v>5</v>
      </c>
      <c r="L16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2.5147749738664498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1.3997857000332199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4.4523993875489198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0.58847912081681497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5.4268973031599996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6">
        <f>IF((DiscreteStatsTable[[#This Row],[RepsRequested]]&gt;1),DiscreteStatsTable[[#This Row],[HalfWidth]],DiscreteStatsTable[[#This Row],[BatchMeansHalfWidth]])</f>
        <v>0.15379699758545484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98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5</v>
      </c>
      <c r="L16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7">
        <f>IF((DiscreteStatsTable[[#This Row],[RepsRequested]]&gt;1),DiscreteStatsTable[[#This Row],[HalfWidth]],DiscreteStatsTable[[#This Row],[BatchMeansHalfWidth]])</f>
        <v>0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98</v>
      </c>
      <c r="C168">
        <v>28</v>
      </c>
      <c r="D168" t="s">
        <v>69</v>
      </c>
      <c r="E168" t="s">
        <v>75</v>
      </c>
      <c r="F168" t="s">
        <v>71</v>
      </c>
      <c r="G168">
        <v>2.51678833113677</v>
      </c>
      <c r="H168">
        <v>2E+20</v>
      </c>
      <c r="I168">
        <v>2.2081403895100999</v>
      </c>
      <c r="J168">
        <v>3.0451823759590502</v>
      </c>
      <c r="K168">
        <v>5</v>
      </c>
      <c r="L16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2.2930880765839192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1.3997857000332199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3.2207590152928498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0.58847912081681497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4.8260534923328997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8">
        <f>IF((DiscreteStatsTable[[#This Row],[RepsRequested]]&gt;1),DiscreteStatsTable[[#This Row],[HalfWidth]],DiscreteStatsTable[[#This Row],[BatchMeansHalfWidth]])</f>
        <v>0.1050209533137741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98</v>
      </c>
      <c r="C169">
        <v>28</v>
      </c>
      <c r="D169" t="s">
        <v>69</v>
      </c>
      <c r="E169" t="s">
        <v>76</v>
      </c>
      <c r="F169" t="s">
        <v>71</v>
      </c>
      <c r="G169">
        <v>0.31807024797727501</v>
      </c>
      <c r="H169">
        <v>2E+20</v>
      </c>
      <c r="I169">
        <v>0</v>
      </c>
      <c r="J169">
        <v>1.5903512398863699</v>
      </c>
      <c r="K169">
        <v>5</v>
      </c>
      <c r="L16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0.22168689728253091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1.60620384950211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3.4950047602739902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69">
        <f>IF((DiscreteStatsTable[[#This Row],[RepsRequested]]&gt;1),DiscreteStatsTable[[#This Row],[HalfWidth]],DiscreteStatsTable[[#This Row],[BatchMeansHalfWidth]])</f>
        <v>9.547865285946916E-2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98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3</v>
      </c>
      <c r="L17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0">
        <f>IF((DiscreteStatsTable[[#This Row],[RepsRequested]]&gt;1),DiscreteStatsTable[[#This Row],[HalfWidth]],DiscreteStatsTable[[#This Row],[BatchMeansHalfWidth]])</f>
        <v>0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98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3</v>
      </c>
      <c r="L17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1">
        <f>IF((DiscreteStatsTable[[#This Row],[RepsRequested]]&gt;1),DiscreteStatsTable[[#This Row],[HalfWidth]],DiscreteStatsTable[[#This Row],[BatchMeansHalfWidth]])</f>
        <v>0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98</v>
      </c>
      <c r="C172">
        <v>29</v>
      </c>
      <c r="D172" t="s">
        <v>69</v>
      </c>
      <c r="E172" t="s">
        <v>73</v>
      </c>
      <c r="F172" t="s">
        <v>71</v>
      </c>
      <c r="G172">
        <v>2.8410604674503199</v>
      </c>
      <c r="H172">
        <v>2E+20</v>
      </c>
      <c r="I172">
        <v>1.83053057598705</v>
      </c>
      <c r="J172">
        <v>3.9202223506745102</v>
      </c>
      <c r="K172">
        <v>3</v>
      </c>
      <c r="L17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2.5147749738664498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1.3997857000332199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4.4523993875489198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0.58847912081681497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5.4268973031599996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2">
        <f>IF((DiscreteStatsTable[[#This Row],[RepsRequested]]&gt;1),DiscreteStatsTable[[#This Row],[HalfWidth]],DiscreteStatsTable[[#This Row],[BatchMeansHalfWidth]])</f>
        <v>0.15379699758545484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98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3</v>
      </c>
      <c r="L17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3">
        <f>IF((DiscreteStatsTable[[#This Row],[RepsRequested]]&gt;1),DiscreteStatsTable[[#This Row],[HalfWidth]],DiscreteStatsTable[[#This Row],[BatchMeansHalfWidth]])</f>
        <v>0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98</v>
      </c>
      <c r="C174">
        <v>29</v>
      </c>
      <c r="D174" t="s">
        <v>69</v>
      </c>
      <c r="E174" t="s">
        <v>75</v>
      </c>
      <c r="F174" t="s">
        <v>71</v>
      </c>
      <c r="G174">
        <v>2.6760799290873201</v>
      </c>
      <c r="H174">
        <v>2E+20</v>
      </c>
      <c r="I174">
        <v>1.83053057598705</v>
      </c>
      <c r="J174">
        <v>3.4252807355854999</v>
      </c>
      <c r="K174">
        <v>3</v>
      </c>
      <c r="L17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2.2930880765839192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1.3997857000332199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3.2207590152928498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0.58847912081681497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4.8260534923328997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4">
        <f>IF((DiscreteStatsTable[[#This Row],[RepsRequested]]&gt;1),DiscreteStatsTable[[#This Row],[HalfWidth]],DiscreteStatsTable[[#This Row],[BatchMeansHalfWidth]])</f>
        <v>0.1050209533137741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98</v>
      </c>
      <c r="C175">
        <v>29</v>
      </c>
      <c r="D175" t="s">
        <v>69</v>
      </c>
      <c r="E175" t="s">
        <v>76</v>
      </c>
      <c r="F175" t="s">
        <v>71</v>
      </c>
      <c r="G175">
        <v>0.164980538363004</v>
      </c>
      <c r="H175">
        <v>2E+20</v>
      </c>
      <c r="I175">
        <v>0</v>
      </c>
      <c r="J175">
        <v>0.49494161508901102</v>
      </c>
      <c r="K175">
        <v>3</v>
      </c>
      <c r="L17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0.22168689728253091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1.60620384950211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3.4950047602739902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5">
        <f>IF((DiscreteStatsTable[[#This Row],[RepsRequested]]&gt;1),DiscreteStatsTable[[#This Row],[HalfWidth]],DiscreteStatsTable[[#This Row],[BatchMeansHalfWidth]])</f>
        <v>9.547865285946916E-2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98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6</v>
      </c>
      <c r="L17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6">
        <f>IF((DiscreteStatsTable[[#This Row],[RepsRequested]]&gt;1),DiscreteStatsTable[[#This Row],[HalfWidth]],DiscreteStatsTable[[#This Row],[BatchMeansHalfWidth]])</f>
        <v>0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98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6</v>
      </c>
      <c r="L17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7">
        <f>IF((DiscreteStatsTable[[#This Row],[RepsRequested]]&gt;1),DiscreteStatsTable[[#This Row],[HalfWidth]],DiscreteStatsTable[[#This Row],[BatchMeansHalfWidth]])</f>
        <v>0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98</v>
      </c>
      <c r="C178">
        <v>30</v>
      </c>
      <c r="D178" t="s">
        <v>69</v>
      </c>
      <c r="E178" t="s">
        <v>73</v>
      </c>
      <c r="F178" t="s">
        <v>71</v>
      </c>
      <c r="G178">
        <v>1.7295730873777799</v>
      </c>
      <c r="H178">
        <v>2E+20</v>
      </c>
      <c r="I178">
        <v>0.74895921082646899</v>
      </c>
      <c r="J178">
        <v>2.9947241378232401</v>
      </c>
      <c r="K178">
        <v>6</v>
      </c>
      <c r="L17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2.5147749738664498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1.3997857000332199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4.4523993875489198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0.58847912081681497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5.4268973031599996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8">
        <f>IF((DiscreteStatsTable[[#This Row],[RepsRequested]]&gt;1),DiscreteStatsTable[[#This Row],[HalfWidth]],DiscreteStatsTable[[#This Row],[BatchMeansHalfWidth]])</f>
        <v>0.15379699758545484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98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6</v>
      </c>
      <c r="L17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79">
        <f>IF((DiscreteStatsTable[[#This Row],[RepsRequested]]&gt;1),DiscreteStatsTable[[#This Row],[HalfWidth]],DiscreteStatsTable[[#This Row],[BatchMeansHalfWidth]])</f>
        <v>0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98</v>
      </c>
      <c r="C180">
        <v>30</v>
      </c>
      <c r="D180" t="s">
        <v>69</v>
      </c>
      <c r="E180" t="s">
        <v>75</v>
      </c>
      <c r="F180" t="s">
        <v>71</v>
      </c>
      <c r="G180">
        <v>1.6271381076576701</v>
      </c>
      <c r="H180">
        <v>2E+20</v>
      </c>
      <c r="I180">
        <v>0.74895921082646899</v>
      </c>
      <c r="J180">
        <v>2.4025248599808999</v>
      </c>
      <c r="K180">
        <v>6</v>
      </c>
      <c r="L18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2.2930880765839192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1.3997857000332199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3.2207590152928498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0.58847912081681497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4.8260534923328997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0">
        <f>IF((DiscreteStatsTable[[#This Row],[RepsRequested]]&gt;1),DiscreteStatsTable[[#This Row],[HalfWidth]],DiscreteStatsTable[[#This Row],[BatchMeansHalfWidth]])</f>
        <v>0.1050209533137741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98</v>
      </c>
      <c r="C181">
        <v>30</v>
      </c>
      <c r="D181" t="s">
        <v>69</v>
      </c>
      <c r="E181" t="s">
        <v>76</v>
      </c>
      <c r="F181" t="s">
        <v>71</v>
      </c>
      <c r="G181">
        <v>0.102434979720109</v>
      </c>
      <c r="H181">
        <v>2E+20</v>
      </c>
      <c r="I181">
        <v>0</v>
      </c>
      <c r="J181">
        <v>0.61460987832065295</v>
      </c>
      <c r="K181">
        <v>6</v>
      </c>
      <c r="L18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0.22168689728253091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1.60620384950211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3.4950047602739902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1">
        <f>IF((DiscreteStatsTable[[#This Row],[RepsRequested]]&gt;1),DiscreteStatsTable[[#This Row],[HalfWidth]],DiscreteStatsTable[[#This Row],[BatchMeansHalfWidth]])</f>
        <v>9.547865285946916E-2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98</v>
      </c>
      <c r="C182">
        <v>31</v>
      </c>
      <c r="D182" t="s">
        <v>69</v>
      </c>
      <c r="E182" t="s">
        <v>70</v>
      </c>
      <c r="F182" t="s">
        <v>71</v>
      </c>
      <c r="G182">
        <v>0</v>
      </c>
      <c r="H182">
        <v>2E+20</v>
      </c>
      <c r="I182">
        <v>0</v>
      </c>
      <c r="J182">
        <v>0</v>
      </c>
      <c r="K182">
        <v>4</v>
      </c>
      <c r="L18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2">
        <f>IF((DiscreteStatsTable[[#This Row],[RepsRequested]]&gt;1),DiscreteStatsTable[[#This Row],[HalfWidth]],DiscreteStatsTable[[#This Row],[BatchMeansHalfWidth]])</f>
        <v>0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98</v>
      </c>
      <c r="C183">
        <v>31</v>
      </c>
      <c r="D183" t="s">
        <v>69</v>
      </c>
      <c r="E183" t="s">
        <v>72</v>
      </c>
      <c r="F183" t="s">
        <v>71</v>
      </c>
      <c r="G183">
        <v>0</v>
      </c>
      <c r="H183">
        <v>2E+20</v>
      </c>
      <c r="I183">
        <v>0</v>
      </c>
      <c r="J183">
        <v>0</v>
      </c>
      <c r="K183">
        <v>4</v>
      </c>
      <c r="L18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3">
        <f>IF((DiscreteStatsTable[[#This Row],[RepsRequested]]&gt;1),DiscreteStatsTable[[#This Row],[HalfWidth]],DiscreteStatsTable[[#This Row],[BatchMeansHalfWidth]])</f>
        <v>0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98</v>
      </c>
      <c r="C184">
        <v>31</v>
      </c>
      <c r="D184" t="s">
        <v>69</v>
      </c>
      <c r="E184" t="s">
        <v>73</v>
      </c>
      <c r="F184" t="s">
        <v>71</v>
      </c>
      <c r="G184">
        <v>2.2797397703573199</v>
      </c>
      <c r="H184">
        <v>2E+20</v>
      </c>
      <c r="I184">
        <v>1.76199226298527</v>
      </c>
      <c r="J184">
        <v>3.3017142554324499</v>
      </c>
      <c r="K184">
        <v>4</v>
      </c>
      <c r="L18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2.5147749738664498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1.3997857000332199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4.4523993875489198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0.58847912081681497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5.4268973031599996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4">
        <f>IF((DiscreteStatsTable[[#This Row],[RepsRequested]]&gt;1),DiscreteStatsTable[[#This Row],[HalfWidth]],DiscreteStatsTable[[#This Row],[BatchMeansHalfWidth]])</f>
        <v>0.15379699758545484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98</v>
      </c>
      <c r="C185">
        <v>31</v>
      </c>
      <c r="D185" t="s">
        <v>69</v>
      </c>
      <c r="E185" t="s">
        <v>74</v>
      </c>
      <c r="F185" t="s">
        <v>71</v>
      </c>
      <c r="G185">
        <v>0</v>
      </c>
      <c r="H185">
        <v>2E+20</v>
      </c>
      <c r="I185">
        <v>0</v>
      </c>
      <c r="J185">
        <v>0</v>
      </c>
      <c r="K185">
        <v>4</v>
      </c>
      <c r="L18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5">
        <f>IF((DiscreteStatsTable[[#This Row],[RepsRequested]]&gt;1),DiscreteStatsTable[[#This Row],[HalfWidth]],DiscreteStatsTable[[#This Row],[BatchMeansHalfWidth]])</f>
        <v>0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98</v>
      </c>
      <c r="C186">
        <v>31</v>
      </c>
      <c r="D186" t="s">
        <v>69</v>
      </c>
      <c r="E186" t="s">
        <v>75</v>
      </c>
      <c r="F186" t="s">
        <v>71</v>
      </c>
      <c r="G186">
        <v>2.2797397703573199</v>
      </c>
      <c r="H186">
        <v>2E+20</v>
      </c>
      <c r="I186">
        <v>1.76199226298527</v>
      </c>
      <c r="J186">
        <v>3.3017142554324499</v>
      </c>
      <c r="K186">
        <v>4</v>
      </c>
      <c r="L18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2.2930880765839192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1.3997857000332199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3.2207590152928498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0.58847912081681497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4.8260534923328997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6">
        <f>IF((DiscreteStatsTable[[#This Row],[RepsRequested]]&gt;1),DiscreteStatsTable[[#This Row],[HalfWidth]],DiscreteStatsTable[[#This Row],[BatchMeansHalfWidth]])</f>
        <v>0.1050209533137741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98</v>
      </c>
      <c r="C187">
        <v>31</v>
      </c>
      <c r="D187" t="s">
        <v>69</v>
      </c>
      <c r="E187" t="s">
        <v>76</v>
      </c>
      <c r="F187" t="s">
        <v>71</v>
      </c>
      <c r="G187">
        <v>0</v>
      </c>
      <c r="H187">
        <v>2E+20</v>
      </c>
      <c r="I187">
        <v>0</v>
      </c>
      <c r="J187">
        <v>0</v>
      </c>
      <c r="K187">
        <v>4</v>
      </c>
      <c r="L18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0.22168689728253091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1.60620384950211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3.4950047602739902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7">
        <f>IF((DiscreteStatsTable[[#This Row],[RepsRequested]]&gt;1),DiscreteStatsTable[[#This Row],[HalfWidth]],DiscreteStatsTable[[#This Row],[BatchMeansHalfWidth]])</f>
        <v>9.547865285946916E-2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98</v>
      </c>
      <c r="C188">
        <v>32</v>
      </c>
      <c r="D188" t="s">
        <v>69</v>
      </c>
      <c r="E188" t="s">
        <v>70</v>
      </c>
      <c r="F188" t="s">
        <v>71</v>
      </c>
      <c r="G188">
        <v>0</v>
      </c>
      <c r="H188">
        <v>2E+20</v>
      </c>
      <c r="I188">
        <v>0</v>
      </c>
      <c r="J188">
        <v>0</v>
      </c>
      <c r="K188">
        <v>2</v>
      </c>
      <c r="L18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8">
        <f>IF((DiscreteStatsTable[[#This Row],[RepsRequested]]&gt;1),DiscreteStatsTable[[#This Row],[HalfWidth]],DiscreteStatsTable[[#This Row],[BatchMeansHalfWidth]])</f>
        <v>0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98</v>
      </c>
      <c r="C189">
        <v>32</v>
      </c>
      <c r="D189" t="s">
        <v>69</v>
      </c>
      <c r="E189" t="s">
        <v>72</v>
      </c>
      <c r="F189" t="s">
        <v>71</v>
      </c>
      <c r="G189">
        <v>0</v>
      </c>
      <c r="H189">
        <v>2E+20</v>
      </c>
      <c r="I189">
        <v>0</v>
      </c>
      <c r="J189">
        <v>0</v>
      </c>
      <c r="K189">
        <v>2</v>
      </c>
      <c r="L18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89">
        <f>IF((DiscreteStatsTable[[#This Row],[RepsRequested]]&gt;1),DiscreteStatsTable[[#This Row],[HalfWidth]],DiscreteStatsTable[[#This Row],[BatchMeansHalfWidth]])</f>
        <v>0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98</v>
      </c>
      <c r="C190">
        <v>32</v>
      </c>
      <c r="D190" t="s">
        <v>69</v>
      </c>
      <c r="E190" t="s">
        <v>73</v>
      </c>
      <c r="F190" t="s">
        <v>71</v>
      </c>
      <c r="G190">
        <v>2.6088884466715201</v>
      </c>
      <c r="H190">
        <v>2E+20</v>
      </c>
      <c r="I190">
        <v>1.46872073909846</v>
      </c>
      <c r="J190">
        <v>3.7490561542445802</v>
      </c>
      <c r="K190">
        <v>2</v>
      </c>
      <c r="L19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2.5147749738664498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1.3997857000332199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4.4523993875489198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0.58847912081681497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5.4268973031599996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0">
        <f>IF((DiscreteStatsTable[[#This Row],[RepsRequested]]&gt;1),DiscreteStatsTable[[#This Row],[HalfWidth]],DiscreteStatsTable[[#This Row],[BatchMeansHalfWidth]])</f>
        <v>0.15379699758545484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98</v>
      </c>
      <c r="C191">
        <v>32</v>
      </c>
      <c r="D191" t="s">
        <v>69</v>
      </c>
      <c r="E191" t="s">
        <v>74</v>
      </c>
      <c r="F191" t="s">
        <v>71</v>
      </c>
      <c r="G191">
        <v>0</v>
      </c>
      <c r="H191">
        <v>2E+20</v>
      </c>
      <c r="I191">
        <v>0</v>
      </c>
      <c r="J191">
        <v>0</v>
      </c>
      <c r="K191">
        <v>2</v>
      </c>
      <c r="L19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1">
        <f>IF((DiscreteStatsTable[[#This Row],[RepsRequested]]&gt;1),DiscreteStatsTable[[#This Row],[HalfWidth]],DiscreteStatsTable[[#This Row],[BatchMeansHalfWidth]])</f>
        <v>0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98</v>
      </c>
      <c r="C192">
        <v>32</v>
      </c>
      <c r="D192" t="s">
        <v>69</v>
      </c>
      <c r="E192" t="s">
        <v>75</v>
      </c>
      <c r="F192" t="s">
        <v>71</v>
      </c>
      <c r="G192">
        <v>2.6088884466715201</v>
      </c>
      <c r="H192">
        <v>2E+20</v>
      </c>
      <c r="I192">
        <v>1.46872073909846</v>
      </c>
      <c r="J192">
        <v>3.7490561542445802</v>
      </c>
      <c r="K192">
        <v>2</v>
      </c>
      <c r="L19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2.2930880765839192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1.3997857000332199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3.2207590152928498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0.58847912081681497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4.8260534923328997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2">
        <f>IF((DiscreteStatsTable[[#This Row],[RepsRequested]]&gt;1),DiscreteStatsTable[[#This Row],[HalfWidth]],DiscreteStatsTable[[#This Row],[BatchMeansHalfWidth]])</f>
        <v>0.1050209533137741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98</v>
      </c>
      <c r="C193">
        <v>32</v>
      </c>
      <c r="D193" t="s">
        <v>69</v>
      </c>
      <c r="E193" t="s">
        <v>76</v>
      </c>
      <c r="F193" t="s">
        <v>71</v>
      </c>
      <c r="G193">
        <v>0</v>
      </c>
      <c r="H193">
        <v>2E+20</v>
      </c>
      <c r="I193">
        <v>0</v>
      </c>
      <c r="J193">
        <v>0</v>
      </c>
      <c r="K193">
        <v>2</v>
      </c>
      <c r="L19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0.22168689728253091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1.60620384950211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3.4950047602739902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3">
        <f>IF((DiscreteStatsTable[[#This Row],[RepsRequested]]&gt;1),DiscreteStatsTable[[#This Row],[HalfWidth]],DiscreteStatsTable[[#This Row],[BatchMeansHalfWidth]])</f>
        <v>9.547865285946916E-2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98</v>
      </c>
      <c r="C194">
        <v>33</v>
      </c>
      <c r="D194" t="s">
        <v>69</v>
      </c>
      <c r="E194" t="s">
        <v>70</v>
      </c>
      <c r="F194" t="s">
        <v>71</v>
      </c>
      <c r="G194">
        <v>0</v>
      </c>
      <c r="H194">
        <v>2E+20</v>
      </c>
      <c r="I194">
        <v>0</v>
      </c>
      <c r="J194">
        <v>0</v>
      </c>
      <c r="K194">
        <v>6</v>
      </c>
      <c r="L19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4">
        <f>IF((DiscreteStatsTable[[#This Row],[RepsRequested]]&gt;1),DiscreteStatsTable[[#This Row],[HalfWidth]],DiscreteStatsTable[[#This Row],[BatchMeansHalfWidth]])</f>
        <v>0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98</v>
      </c>
      <c r="C195">
        <v>33</v>
      </c>
      <c r="D195" t="s">
        <v>69</v>
      </c>
      <c r="E195" t="s">
        <v>72</v>
      </c>
      <c r="F195" t="s">
        <v>71</v>
      </c>
      <c r="G195">
        <v>0</v>
      </c>
      <c r="H195">
        <v>2E+20</v>
      </c>
      <c r="I195">
        <v>0</v>
      </c>
      <c r="J195">
        <v>0</v>
      </c>
      <c r="K195">
        <v>6</v>
      </c>
      <c r="L19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5">
        <f>IF((DiscreteStatsTable[[#This Row],[RepsRequested]]&gt;1),DiscreteStatsTable[[#This Row],[HalfWidth]],DiscreteStatsTable[[#This Row],[BatchMeansHalfWidth]])</f>
        <v>0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98</v>
      </c>
      <c r="C196">
        <v>33</v>
      </c>
      <c r="D196" t="s">
        <v>69</v>
      </c>
      <c r="E196" t="s">
        <v>73</v>
      </c>
      <c r="F196" t="s">
        <v>71</v>
      </c>
      <c r="G196">
        <v>3.6342826575773501</v>
      </c>
      <c r="H196">
        <v>2E+20</v>
      </c>
      <c r="I196">
        <v>2.1707644238489201</v>
      </c>
      <c r="J196">
        <v>4.7542523778099302</v>
      </c>
      <c r="K196">
        <v>6</v>
      </c>
      <c r="L19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2.5147749738664498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1.3997857000332199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4.4523993875489198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0.58847912081681497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5.4268973031599996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6">
        <f>IF((DiscreteStatsTable[[#This Row],[RepsRequested]]&gt;1),DiscreteStatsTable[[#This Row],[HalfWidth]],DiscreteStatsTable[[#This Row],[BatchMeansHalfWidth]])</f>
        <v>0.15379699758545484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98</v>
      </c>
      <c r="C197">
        <v>33</v>
      </c>
      <c r="D197" t="s">
        <v>69</v>
      </c>
      <c r="E197" t="s">
        <v>74</v>
      </c>
      <c r="F197" t="s">
        <v>71</v>
      </c>
      <c r="G197">
        <v>0</v>
      </c>
      <c r="H197">
        <v>2E+20</v>
      </c>
      <c r="I197">
        <v>0</v>
      </c>
      <c r="J197">
        <v>0</v>
      </c>
      <c r="K197">
        <v>6</v>
      </c>
      <c r="L19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7">
        <f>IF((DiscreteStatsTable[[#This Row],[RepsRequested]]&gt;1),DiscreteStatsTable[[#This Row],[HalfWidth]],DiscreteStatsTable[[#This Row],[BatchMeansHalfWidth]])</f>
        <v>0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98</v>
      </c>
      <c r="C198">
        <v>33</v>
      </c>
      <c r="D198" t="s">
        <v>69</v>
      </c>
      <c r="E198" t="s">
        <v>75</v>
      </c>
      <c r="F198" t="s">
        <v>71</v>
      </c>
      <c r="G198">
        <v>2.0280788080752399</v>
      </c>
      <c r="H198">
        <v>2E+20</v>
      </c>
      <c r="I198">
        <v>0.879353669164471</v>
      </c>
      <c r="J198">
        <v>2.4222460183305299</v>
      </c>
      <c r="K198">
        <v>6</v>
      </c>
      <c r="L19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2.2930880765839192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1.3997857000332199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3.2207590152928498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0.58847912081681497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4.8260534923328997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8">
        <f>IF((DiscreteStatsTable[[#This Row],[RepsRequested]]&gt;1),DiscreteStatsTable[[#This Row],[HalfWidth]],DiscreteStatsTable[[#This Row],[BatchMeansHalfWidth]])</f>
        <v>0.1050209533137741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98</v>
      </c>
      <c r="C199">
        <v>33</v>
      </c>
      <c r="D199" t="s">
        <v>69</v>
      </c>
      <c r="E199" t="s">
        <v>76</v>
      </c>
      <c r="F199" t="s">
        <v>71</v>
      </c>
      <c r="G199">
        <v>1.60620384950211</v>
      </c>
      <c r="H199">
        <v>2E+20</v>
      </c>
      <c r="I199">
        <v>0</v>
      </c>
      <c r="J199">
        <v>3.4950047602739902</v>
      </c>
      <c r="K199">
        <v>6</v>
      </c>
      <c r="L19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0.22168689728253091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1.60620384950211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3.4950047602739902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199">
        <f>IF((DiscreteStatsTable[[#This Row],[RepsRequested]]&gt;1),DiscreteStatsTable[[#This Row],[HalfWidth]],DiscreteStatsTable[[#This Row],[BatchMeansHalfWidth]])</f>
        <v>9.547865285946916E-2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98</v>
      </c>
      <c r="C200">
        <v>34</v>
      </c>
      <c r="D200" t="s">
        <v>69</v>
      </c>
      <c r="E200" t="s">
        <v>70</v>
      </c>
      <c r="F200" t="s">
        <v>71</v>
      </c>
      <c r="G200">
        <v>0</v>
      </c>
      <c r="H200">
        <v>2E+20</v>
      </c>
      <c r="I200">
        <v>0</v>
      </c>
      <c r="J200">
        <v>0</v>
      </c>
      <c r="K200">
        <v>7</v>
      </c>
      <c r="L20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0">
        <f>IF((DiscreteStatsTable[[#This Row],[RepsRequested]]&gt;1),DiscreteStatsTable[[#This Row],[HalfWidth]],DiscreteStatsTable[[#This Row],[BatchMeansHalfWidth]])</f>
        <v>0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98</v>
      </c>
      <c r="C201">
        <v>34</v>
      </c>
      <c r="D201" t="s">
        <v>69</v>
      </c>
      <c r="E201" t="s">
        <v>72</v>
      </c>
      <c r="F201" t="s">
        <v>71</v>
      </c>
      <c r="G201">
        <v>0</v>
      </c>
      <c r="H201">
        <v>2E+20</v>
      </c>
      <c r="I201">
        <v>0</v>
      </c>
      <c r="J201">
        <v>0</v>
      </c>
      <c r="K201">
        <v>7</v>
      </c>
      <c r="L20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1">
        <f>IF((DiscreteStatsTable[[#This Row],[RepsRequested]]&gt;1),DiscreteStatsTable[[#This Row],[HalfWidth]],DiscreteStatsTable[[#This Row],[BatchMeansHalfWidth]])</f>
        <v>0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98</v>
      </c>
      <c r="C202">
        <v>34</v>
      </c>
      <c r="D202" t="s">
        <v>69</v>
      </c>
      <c r="E202" t="s">
        <v>73</v>
      </c>
      <c r="F202" t="s">
        <v>71</v>
      </c>
      <c r="G202">
        <v>2.28903571207004</v>
      </c>
      <c r="H202">
        <v>2E+20</v>
      </c>
      <c r="I202">
        <v>1.0020187737398301</v>
      </c>
      <c r="J202">
        <v>3.1944896738421802</v>
      </c>
      <c r="K202">
        <v>7</v>
      </c>
      <c r="L20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2.5147749738664498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1.3997857000332199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4.4523993875489198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0.58847912081681497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5.4268973031599996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2">
        <f>IF((DiscreteStatsTable[[#This Row],[RepsRequested]]&gt;1),DiscreteStatsTable[[#This Row],[HalfWidth]],DiscreteStatsTable[[#This Row],[BatchMeansHalfWidth]])</f>
        <v>0.15379699758545484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98</v>
      </c>
      <c r="C203">
        <v>34</v>
      </c>
      <c r="D203" t="s">
        <v>69</v>
      </c>
      <c r="E203" t="s">
        <v>74</v>
      </c>
      <c r="F203" t="s">
        <v>71</v>
      </c>
      <c r="G203">
        <v>0</v>
      </c>
      <c r="H203">
        <v>2E+20</v>
      </c>
      <c r="I203">
        <v>0</v>
      </c>
      <c r="J203">
        <v>0</v>
      </c>
      <c r="K203">
        <v>7</v>
      </c>
      <c r="L20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3">
        <f>IF((DiscreteStatsTable[[#This Row],[RepsRequested]]&gt;1),DiscreteStatsTable[[#This Row],[HalfWidth]],DiscreteStatsTable[[#This Row],[BatchMeansHalfWidth]])</f>
        <v>0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98</v>
      </c>
      <c r="C204">
        <v>34</v>
      </c>
      <c r="D204" t="s">
        <v>69</v>
      </c>
      <c r="E204" t="s">
        <v>75</v>
      </c>
      <c r="F204" t="s">
        <v>71</v>
      </c>
      <c r="G204">
        <v>2.0379146929354501</v>
      </c>
      <c r="H204">
        <v>2E+20</v>
      </c>
      <c r="I204">
        <v>1.0020187737398301</v>
      </c>
      <c r="J204">
        <v>2.98470746023767</v>
      </c>
      <c r="K204">
        <v>7</v>
      </c>
      <c r="L20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2.2930880765839192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1.3997857000332199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3.2207590152928498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0.58847912081681497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4.8260534923328997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4">
        <f>IF((DiscreteStatsTable[[#This Row],[RepsRequested]]&gt;1),DiscreteStatsTable[[#This Row],[HalfWidth]],DiscreteStatsTable[[#This Row],[BatchMeansHalfWidth]])</f>
        <v>0.1050209533137741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98</v>
      </c>
      <c r="C205">
        <v>34</v>
      </c>
      <c r="D205" t="s">
        <v>69</v>
      </c>
      <c r="E205" t="s">
        <v>76</v>
      </c>
      <c r="F205" t="s">
        <v>71</v>
      </c>
      <c r="G205">
        <v>0.251121019134596</v>
      </c>
      <c r="H205">
        <v>2E+20</v>
      </c>
      <c r="I205">
        <v>0</v>
      </c>
      <c r="J205">
        <v>0.99648497632056998</v>
      </c>
      <c r="K205">
        <v>7</v>
      </c>
      <c r="L20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0.22168689728253091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1.60620384950211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3.4950047602739902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5">
        <f>IF((DiscreteStatsTable[[#This Row],[RepsRequested]]&gt;1),DiscreteStatsTable[[#This Row],[HalfWidth]],DiscreteStatsTable[[#This Row],[BatchMeansHalfWidth]])</f>
        <v>9.547865285946916E-2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98</v>
      </c>
      <c r="C206">
        <v>35</v>
      </c>
      <c r="D206" t="s">
        <v>69</v>
      </c>
      <c r="E206" t="s">
        <v>70</v>
      </c>
      <c r="F206" t="s">
        <v>71</v>
      </c>
      <c r="G206">
        <v>0</v>
      </c>
      <c r="H206">
        <v>2E+20</v>
      </c>
      <c r="I206">
        <v>0</v>
      </c>
      <c r="J206">
        <v>0</v>
      </c>
      <c r="K206">
        <v>5</v>
      </c>
      <c r="L20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6">
        <f>IF((DiscreteStatsTable[[#This Row],[RepsRequested]]&gt;1),DiscreteStatsTable[[#This Row],[HalfWidth]],DiscreteStatsTable[[#This Row],[BatchMeansHalfWidth]])</f>
        <v>0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98</v>
      </c>
      <c r="C207">
        <v>35</v>
      </c>
      <c r="D207" t="s">
        <v>69</v>
      </c>
      <c r="E207" t="s">
        <v>72</v>
      </c>
      <c r="F207" t="s">
        <v>71</v>
      </c>
      <c r="G207">
        <v>0</v>
      </c>
      <c r="H207">
        <v>2E+20</v>
      </c>
      <c r="I207">
        <v>0</v>
      </c>
      <c r="J207">
        <v>0</v>
      </c>
      <c r="K207">
        <v>5</v>
      </c>
      <c r="L20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7">
        <f>IF((DiscreteStatsTable[[#This Row],[RepsRequested]]&gt;1),DiscreteStatsTable[[#This Row],[HalfWidth]],DiscreteStatsTable[[#This Row],[BatchMeansHalfWidth]])</f>
        <v>0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98</v>
      </c>
      <c r="C208">
        <v>35</v>
      </c>
      <c r="D208" t="s">
        <v>69</v>
      </c>
      <c r="E208" t="s">
        <v>73</v>
      </c>
      <c r="F208" t="s">
        <v>71</v>
      </c>
      <c r="G208">
        <v>2.6389675889291402</v>
      </c>
      <c r="H208">
        <v>2E+20</v>
      </c>
      <c r="I208">
        <v>1.74833717830621</v>
      </c>
      <c r="J208">
        <v>3.8652626344169998</v>
      </c>
      <c r="K208">
        <v>5</v>
      </c>
      <c r="L20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2.5147749738664498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1.3997857000332199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4.4523993875489198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0.58847912081681497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5.4268973031599996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8">
        <f>IF((DiscreteStatsTable[[#This Row],[RepsRequested]]&gt;1),DiscreteStatsTable[[#This Row],[HalfWidth]],DiscreteStatsTable[[#This Row],[BatchMeansHalfWidth]])</f>
        <v>0.15379699758545484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98</v>
      </c>
      <c r="C209">
        <v>35</v>
      </c>
      <c r="D209" t="s">
        <v>69</v>
      </c>
      <c r="E209" t="s">
        <v>74</v>
      </c>
      <c r="F209" t="s">
        <v>71</v>
      </c>
      <c r="G209">
        <v>0</v>
      </c>
      <c r="H209">
        <v>2E+20</v>
      </c>
      <c r="I209">
        <v>0</v>
      </c>
      <c r="J209">
        <v>0</v>
      </c>
      <c r="K209">
        <v>5</v>
      </c>
      <c r="L20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09">
        <f>IF((DiscreteStatsTable[[#This Row],[RepsRequested]]&gt;1),DiscreteStatsTable[[#This Row],[HalfWidth]],DiscreteStatsTable[[#This Row],[BatchMeansHalfWidth]])</f>
        <v>0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98</v>
      </c>
      <c r="C210">
        <v>35</v>
      </c>
      <c r="D210" t="s">
        <v>69</v>
      </c>
      <c r="E210" t="s">
        <v>75</v>
      </c>
      <c r="F210" t="s">
        <v>71</v>
      </c>
      <c r="G210">
        <v>2.4478000704443099</v>
      </c>
      <c r="H210">
        <v>2E+20</v>
      </c>
      <c r="I210">
        <v>1.74833717830621</v>
      </c>
      <c r="J210">
        <v>3.5573791902171901</v>
      </c>
      <c r="K210">
        <v>5</v>
      </c>
      <c r="L21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2.2930880765839192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1.3997857000332199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3.2207590152928498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0.58847912081681497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4.8260534923328997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0">
        <f>IF((DiscreteStatsTable[[#This Row],[RepsRequested]]&gt;1),DiscreteStatsTable[[#This Row],[HalfWidth]],DiscreteStatsTable[[#This Row],[BatchMeansHalfWidth]])</f>
        <v>0.1050209533137741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98</v>
      </c>
      <c r="C211">
        <v>35</v>
      </c>
      <c r="D211" t="s">
        <v>69</v>
      </c>
      <c r="E211" t="s">
        <v>76</v>
      </c>
      <c r="F211" t="s">
        <v>71</v>
      </c>
      <c r="G211">
        <v>0.19116751848483099</v>
      </c>
      <c r="H211">
        <v>2E+20</v>
      </c>
      <c r="I211">
        <v>0</v>
      </c>
      <c r="J211">
        <v>0.64795414822434705</v>
      </c>
      <c r="K211">
        <v>5</v>
      </c>
      <c r="L21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0.22168689728253091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1.60620384950211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3.4950047602739902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1">
        <f>IF((DiscreteStatsTable[[#This Row],[RepsRequested]]&gt;1),DiscreteStatsTable[[#This Row],[HalfWidth]],DiscreteStatsTable[[#This Row],[BatchMeansHalfWidth]])</f>
        <v>9.547865285946916E-2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98</v>
      </c>
      <c r="C212">
        <v>36</v>
      </c>
      <c r="D212" t="s">
        <v>69</v>
      </c>
      <c r="E212" t="s">
        <v>70</v>
      </c>
      <c r="F212" t="s">
        <v>71</v>
      </c>
      <c r="G212">
        <v>0</v>
      </c>
      <c r="H212">
        <v>2E+20</v>
      </c>
      <c r="I212">
        <v>0</v>
      </c>
      <c r="J212">
        <v>0</v>
      </c>
      <c r="K212">
        <v>8</v>
      </c>
      <c r="L21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0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0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0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0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2">
        <f>IF((DiscreteStatsTable[[#This Row],[RepsRequested]]&gt;1),DiscreteStatsTable[[#This Row],[HalfWidth]],DiscreteStatsTable[[#This Row],[BatchMeansHalfWidth]])</f>
        <v>0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98</v>
      </c>
      <c r="C213">
        <v>36</v>
      </c>
      <c r="D213" t="s">
        <v>69</v>
      </c>
      <c r="E213" t="s">
        <v>72</v>
      </c>
      <c r="F213" t="s">
        <v>71</v>
      </c>
      <c r="G213">
        <v>0</v>
      </c>
      <c r="H213">
        <v>2E+20</v>
      </c>
      <c r="I213">
        <v>0</v>
      </c>
      <c r="J213">
        <v>0</v>
      </c>
      <c r="K213">
        <v>8</v>
      </c>
      <c r="L21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3">
        <f>IF((DiscreteStatsTable[[#This Row],[RepsRequested]]&gt;1),DiscreteStatsTable[[#This Row],[HalfWidth]],DiscreteStatsTable[[#This Row],[BatchMeansHalfWidth]])</f>
        <v>0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98</v>
      </c>
      <c r="C214">
        <v>36</v>
      </c>
      <c r="D214" t="s">
        <v>69</v>
      </c>
      <c r="E214" t="s">
        <v>73</v>
      </c>
      <c r="F214" t="s">
        <v>71</v>
      </c>
      <c r="G214">
        <v>2.3093932708798501</v>
      </c>
      <c r="H214">
        <v>2E+20</v>
      </c>
      <c r="I214">
        <v>0.84136683400969403</v>
      </c>
      <c r="J214">
        <v>4.5858861141057297</v>
      </c>
      <c r="K214">
        <v>8</v>
      </c>
      <c r="L21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2.5147749738664498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1.3997857000332199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4.4523993875489198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0.58847912081681497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5.4268973031599996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4">
        <f>IF((DiscreteStatsTable[[#This Row],[RepsRequested]]&gt;1),DiscreteStatsTable[[#This Row],[HalfWidth]],DiscreteStatsTable[[#This Row],[BatchMeansHalfWidth]])</f>
        <v>0.15379699758545484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98</v>
      </c>
      <c r="C215">
        <v>36</v>
      </c>
      <c r="D215" t="s">
        <v>69</v>
      </c>
      <c r="E215" t="s">
        <v>74</v>
      </c>
      <c r="F215" t="s">
        <v>71</v>
      </c>
      <c r="G215">
        <v>0</v>
      </c>
      <c r="H215">
        <v>2E+20</v>
      </c>
      <c r="I215">
        <v>0</v>
      </c>
      <c r="J215">
        <v>0</v>
      </c>
      <c r="K215">
        <v>8</v>
      </c>
      <c r="L21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5">
        <f>IF((DiscreteStatsTable[[#This Row],[RepsRequested]]&gt;1),DiscreteStatsTable[[#This Row],[HalfWidth]],DiscreteStatsTable[[#This Row],[BatchMeansHalfWidth]])</f>
        <v>0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98</v>
      </c>
      <c r="C216">
        <v>36</v>
      </c>
      <c r="D216" t="s">
        <v>69</v>
      </c>
      <c r="E216" t="s">
        <v>75</v>
      </c>
      <c r="F216" t="s">
        <v>71</v>
      </c>
      <c r="G216">
        <v>1.92464088284738</v>
      </c>
      <c r="H216">
        <v>2E+20</v>
      </c>
      <c r="I216">
        <v>0.84136683400969403</v>
      </c>
      <c r="J216">
        <v>3.9042234883295999</v>
      </c>
      <c r="K216">
        <v>8</v>
      </c>
      <c r="L21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2.2930880765839192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1.3997857000332199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3.2207590152928498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0.58847912081681497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4.8260534923328997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6">
        <f>IF((DiscreteStatsTable[[#This Row],[RepsRequested]]&gt;1),DiscreteStatsTable[[#This Row],[HalfWidth]],DiscreteStatsTable[[#This Row],[BatchMeansHalfWidth]])</f>
        <v>0.1050209533137741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98</v>
      </c>
      <c r="C217">
        <v>36</v>
      </c>
      <c r="D217" t="s">
        <v>69</v>
      </c>
      <c r="E217" t="s">
        <v>76</v>
      </c>
      <c r="F217" t="s">
        <v>71</v>
      </c>
      <c r="G217">
        <v>0.38475238803247602</v>
      </c>
      <c r="H217">
        <v>2E+20</v>
      </c>
      <c r="I217">
        <v>0</v>
      </c>
      <c r="J217">
        <v>1.2152661772906199</v>
      </c>
      <c r="K217">
        <v>8</v>
      </c>
      <c r="L21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0.22168689728253091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1.60620384950211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3.4950047602739902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7">
        <f>IF((DiscreteStatsTable[[#This Row],[RepsRequested]]&gt;1),DiscreteStatsTable[[#This Row],[HalfWidth]],DiscreteStatsTable[[#This Row],[BatchMeansHalfWidth]])</f>
        <v>9.547865285946916E-2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98</v>
      </c>
      <c r="C218">
        <v>37</v>
      </c>
      <c r="D218" t="s">
        <v>69</v>
      </c>
      <c r="E218" t="s">
        <v>70</v>
      </c>
      <c r="F218" t="s">
        <v>71</v>
      </c>
      <c r="G218">
        <v>0</v>
      </c>
      <c r="H218">
        <v>2E+20</v>
      </c>
      <c r="I218">
        <v>0</v>
      </c>
      <c r="J218">
        <v>0</v>
      </c>
      <c r="K218">
        <v>4</v>
      </c>
      <c r="L21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0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0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0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0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8">
        <f>IF((DiscreteStatsTable[[#This Row],[RepsRequested]]&gt;1),DiscreteStatsTable[[#This Row],[HalfWidth]],DiscreteStatsTable[[#This Row],[BatchMeansHalfWidth]])</f>
        <v>0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98</v>
      </c>
      <c r="C219">
        <v>37</v>
      </c>
      <c r="D219" t="s">
        <v>69</v>
      </c>
      <c r="E219" t="s">
        <v>72</v>
      </c>
      <c r="F219" t="s">
        <v>71</v>
      </c>
      <c r="G219">
        <v>0</v>
      </c>
      <c r="H219">
        <v>2E+20</v>
      </c>
      <c r="I219">
        <v>0</v>
      </c>
      <c r="J219">
        <v>0</v>
      </c>
      <c r="K219">
        <v>4</v>
      </c>
      <c r="L21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19">
        <f>IF((DiscreteStatsTable[[#This Row],[RepsRequested]]&gt;1),DiscreteStatsTable[[#This Row],[HalfWidth]],DiscreteStatsTable[[#This Row],[BatchMeansHalfWidth]])</f>
        <v>0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98</v>
      </c>
      <c r="C220">
        <v>37</v>
      </c>
      <c r="D220" t="s">
        <v>69</v>
      </c>
      <c r="E220" t="s">
        <v>73</v>
      </c>
      <c r="F220" t="s">
        <v>71</v>
      </c>
      <c r="G220">
        <v>2.8000784845097302</v>
      </c>
      <c r="H220">
        <v>2E+20</v>
      </c>
      <c r="I220">
        <v>1.5310000150343099</v>
      </c>
      <c r="J220">
        <v>3.6197040984947102</v>
      </c>
      <c r="K220">
        <v>4</v>
      </c>
      <c r="L22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2.5147749738664498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1.3997857000332199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4.4523993875489198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0.58847912081681497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5.4268973031599996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0">
        <f>IF((DiscreteStatsTable[[#This Row],[RepsRequested]]&gt;1),DiscreteStatsTable[[#This Row],[HalfWidth]],DiscreteStatsTable[[#This Row],[BatchMeansHalfWidth]])</f>
        <v>0.15379699758545484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98</v>
      </c>
      <c r="C221">
        <v>37</v>
      </c>
      <c r="D221" t="s">
        <v>69</v>
      </c>
      <c r="E221" t="s">
        <v>74</v>
      </c>
      <c r="F221" t="s">
        <v>71</v>
      </c>
      <c r="G221">
        <v>0</v>
      </c>
      <c r="H221">
        <v>2E+20</v>
      </c>
      <c r="I221">
        <v>0</v>
      </c>
      <c r="J221">
        <v>0</v>
      </c>
      <c r="K221">
        <v>4</v>
      </c>
      <c r="L22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1">
        <f>IF((DiscreteStatsTable[[#This Row],[RepsRequested]]&gt;1),DiscreteStatsTable[[#This Row],[HalfWidth]],DiscreteStatsTable[[#This Row],[BatchMeansHalfWidth]])</f>
        <v>0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98</v>
      </c>
      <c r="C222">
        <v>37</v>
      </c>
      <c r="D222" t="s">
        <v>69</v>
      </c>
      <c r="E222" t="s">
        <v>75</v>
      </c>
      <c r="F222" t="s">
        <v>71</v>
      </c>
      <c r="G222">
        <v>2.2055689450334799</v>
      </c>
      <c r="H222">
        <v>2E+20</v>
      </c>
      <c r="I222">
        <v>1.2416659405897399</v>
      </c>
      <c r="J222">
        <v>3.43117003388637</v>
      </c>
      <c r="K222">
        <v>4</v>
      </c>
      <c r="L22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2.2930880765839192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1.3997857000332199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3.2207590152928498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0.58847912081681497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4.8260534923328997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2">
        <f>IF((DiscreteStatsTable[[#This Row],[RepsRequested]]&gt;1),DiscreteStatsTable[[#This Row],[HalfWidth]],DiscreteStatsTable[[#This Row],[BatchMeansHalfWidth]])</f>
        <v>0.1050209533137741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98</v>
      </c>
      <c r="C223">
        <v>37</v>
      </c>
      <c r="D223" t="s">
        <v>69</v>
      </c>
      <c r="E223" t="s">
        <v>76</v>
      </c>
      <c r="F223" t="s">
        <v>71</v>
      </c>
      <c r="G223">
        <v>0.59450953947624396</v>
      </c>
      <c r="H223">
        <v>2E+20</v>
      </c>
      <c r="I223">
        <v>0</v>
      </c>
      <c r="J223">
        <v>2.3780381579049799</v>
      </c>
      <c r="K223">
        <v>4</v>
      </c>
      <c r="L22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0.22168689728253091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1.60620384950211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3.4950047602739902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3">
        <f>IF((DiscreteStatsTable[[#This Row],[RepsRequested]]&gt;1),DiscreteStatsTable[[#This Row],[HalfWidth]],DiscreteStatsTable[[#This Row],[BatchMeansHalfWidth]])</f>
        <v>9.547865285946916E-2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98</v>
      </c>
      <c r="C224">
        <v>38</v>
      </c>
      <c r="D224" t="s">
        <v>69</v>
      </c>
      <c r="E224" t="s">
        <v>70</v>
      </c>
      <c r="F224" t="s">
        <v>71</v>
      </c>
      <c r="G224">
        <v>0</v>
      </c>
      <c r="H224">
        <v>2E+20</v>
      </c>
      <c r="I224">
        <v>0</v>
      </c>
      <c r="J224">
        <v>0</v>
      </c>
      <c r="K224">
        <v>8</v>
      </c>
      <c r="L22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4">
        <f>IF((DiscreteStatsTable[[#This Row],[RepsRequested]]&gt;1),DiscreteStatsTable[[#This Row],[HalfWidth]],DiscreteStatsTable[[#This Row],[BatchMeansHalfWidth]])</f>
        <v>0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98</v>
      </c>
      <c r="C225">
        <v>38</v>
      </c>
      <c r="D225" t="s">
        <v>69</v>
      </c>
      <c r="E225" t="s">
        <v>72</v>
      </c>
      <c r="F225" t="s">
        <v>71</v>
      </c>
      <c r="G225">
        <v>0</v>
      </c>
      <c r="H225">
        <v>2E+20</v>
      </c>
      <c r="I225">
        <v>0</v>
      </c>
      <c r="J225">
        <v>0</v>
      </c>
      <c r="K225">
        <v>8</v>
      </c>
      <c r="L22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5">
        <f>IF((DiscreteStatsTable[[#This Row],[RepsRequested]]&gt;1),DiscreteStatsTable[[#This Row],[HalfWidth]],DiscreteStatsTable[[#This Row],[BatchMeansHalfWidth]])</f>
        <v>0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98</v>
      </c>
      <c r="C226">
        <v>38</v>
      </c>
      <c r="D226" t="s">
        <v>69</v>
      </c>
      <c r="E226" t="s">
        <v>73</v>
      </c>
      <c r="F226" t="s">
        <v>71</v>
      </c>
      <c r="G226">
        <v>2.14940737785445</v>
      </c>
      <c r="H226">
        <v>2E+20</v>
      </c>
      <c r="I226">
        <v>1.13112481173602</v>
      </c>
      <c r="J226">
        <v>3.3118347792871599</v>
      </c>
      <c r="K226">
        <v>8</v>
      </c>
      <c r="L22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2.5147749738664498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1.3997857000332199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4.4523993875489198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0.58847912081681497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5.4268973031599996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6">
        <f>IF((DiscreteStatsTable[[#This Row],[RepsRequested]]&gt;1),DiscreteStatsTable[[#This Row],[HalfWidth]],DiscreteStatsTable[[#This Row],[BatchMeansHalfWidth]])</f>
        <v>0.15379699758545484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98</v>
      </c>
      <c r="C227">
        <v>38</v>
      </c>
      <c r="D227" t="s">
        <v>69</v>
      </c>
      <c r="E227" t="s">
        <v>74</v>
      </c>
      <c r="F227" t="s">
        <v>71</v>
      </c>
      <c r="G227">
        <v>0</v>
      </c>
      <c r="H227">
        <v>2E+20</v>
      </c>
      <c r="I227">
        <v>0</v>
      </c>
      <c r="J227">
        <v>0</v>
      </c>
      <c r="K227">
        <v>8</v>
      </c>
      <c r="L22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7">
        <f>IF((DiscreteStatsTable[[#This Row],[RepsRequested]]&gt;1),DiscreteStatsTable[[#This Row],[HalfWidth]],DiscreteStatsTable[[#This Row],[BatchMeansHalfWidth]])</f>
        <v>0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98</v>
      </c>
      <c r="C228">
        <v>38</v>
      </c>
      <c r="D228" t="s">
        <v>69</v>
      </c>
      <c r="E228" t="s">
        <v>75</v>
      </c>
      <c r="F228" t="s">
        <v>71</v>
      </c>
      <c r="G228">
        <v>1.98186676566773</v>
      </c>
      <c r="H228">
        <v>2E+20</v>
      </c>
      <c r="I228">
        <v>0.98061605698421195</v>
      </c>
      <c r="J228">
        <v>3.3118347792871599</v>
      </c>
      <c r="K228">
        <v>8</v>
      </c>
      <c r="L22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2.2930880765839192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1.3997857000332199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3.2207590152928498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0.58847912081681497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4.8260534923328997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8">
        <f>IF((DiscreteStatsTable[[#This Row],[RepsRequested]]&gt;1),DiscreteStatsTable[[#This Row],[HalfWidth]],DiscreteStatsTable[[#This Row],[BatchMeansHalfWidth]])</f>
        <v>0.1050209533137741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98</v>
      </c>
      <c r="C229">
        <v>38</v>
      </c>
      <c r="D229" t="s">
        <v>69</v>
      </c>
      <c r="E229" t="s">
        <v>76</v>
      </c>
      <c r="F229" t="s">
        <v>71</v>
      </c>
      <c r="G229">
        <v>0.16754061218672001</v>
      </c>
      <c r="H229">
        <v>2E+20</v>
      </c>
      <c r="I229">
        <v>0</v>
      </c>
      <c r="J229">
        <v>0.82040756892578404</v>
      </c>
      <c r="K229">
        <v>8</v>
      </c>
      <c r="L22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0.22168689728253091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1.60620384950211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3.4950047602739902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29">
        <f>IF((DiscreteStatsTable[[#This Row],[RepsRequested]]&gt;1),DiscreteStatsTable[[#This Row],[HalfWidth]],DiscreteStatsTable[[#This Row],[BatchMeansHalfWidth]])</f>
        <v>9.547865285946916E-2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98</v>
      </c>
      <c r="C230">
        <v>39</v>
      </c>
      <c r="D230" t="s">
        <v>69</v>
      </c>
      <c r="E230" t="s">
        <v>70</v>
      </c>
      <c r="F230" t="s">
        <v>71</v>
      </c>
      <c r="G230">
        <v>0</v>
      </c>
      <c r="H230">
        <v>2E+20</v>
      </c>
      <c r="I230">
        <v>0</v>
      </c>
      <c r="J230">
        <v>0</v>
      </c>
      <c r="K230">
        <v>4</v>
      </c>
      <c r="L23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0">
        <f>IF((DiscreteStatsTable[[#This Row],[RepsRequested]]&gt;1),DiscreteStatsTable[[#This Row],[HalfWidth]],DiscreteStatsTable[[#This Row],[BatchMeansHalfWidth]])</f>
        <v>0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98</v>
      </c>
      <c r="C231">
        <v>39</v>
      </c>
      <c r="D231" t="s">
        <v>69</v>
      </c>
      <c r="E231" t="s">
        <v>72</v>
      </c>
      <c r="F231" t="s">
        <v>71</v>
      </c>
      <c r="G231">
        <v>0</v>
      </c>
      <c r="H231">
        <v>2E+20</v>
      </c>
      <c r="I231">
        <v>0</v>
      </c>
      <c r="J231">
        <v>0</v>
      </c>
      <c r="K231">
        <v>4</v>
      </c>
      <c r="L23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1">
        <f>IF((DiscreteStatsTable[[#This Row],[RepsRequested]]&gt;1),DiscreteStatsTable[[#This Row],[HalfWidth]],DiscreteStatsTable[[#This Row],[BatchMeansHalfWidth]])</f>
        <v>0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98</v>
      </c>
      <c r="C232">
        <v>39</v>
      </c>
      <c r="D232" t="s">
        <v>69</v>
      </c>
      <c r="E232" t="s">
        <v>73</v>
      </c>
      <c r="F232" t="s">
        <v>71</v>
      </c>
      <c r="G232">
        <v>2.9670027923704398</v>
      </c>
      <c r="H232">
        <v>2E+20</v>
      </c>
      <c r="I232">
        <v>1.6344799843381499</v>
      </c>
      <c r="J232">
        <v>3.8701171272579802</v>
      </c>
      <c r="K232">
        <v>4</v>
      </c>
      <c r="L23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2.5147749738664498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1.3997857000332199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4.4523993875489198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0.58847912081681497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5.4268973031599996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2">
        <f>IF((DiscreteStatsTable[[#This Row],[RepsRequested]]&gt;1),DiscreteStatsTable[[#This Row],[HalfWidth]],DiscreteStatsTable[[#This Row],[BatchMeansHalfWidth]])</f>
        <v>0.15379699758545484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98</v>
      </c>
      <c r="C233">
        <v>39</v>
      </c>
      <c r="D233" t="s">
        <v>69</v>
      </c>
      <c r="E233" t="s">
        <v>74</v>
      </c>
      <c r="F233" t="s">
        <v>71</v>
      </c>
      <c r="G233">
        <v>0</v>
      </c>
      <c r="H233">
        <v>2E+20</v>
      </c>
      <c r="I233">
        <v>0</v>
      </c>
      <c r="J233">
        <v>0</v>
      </c>
      <c r="K233">
        <v>4</v>
      </c>
      <c r="L23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3">
        <f>IF((DiscreteStatsTable[[#This Row],[RepsRequested]]&gt;1),DiscreteStatsTable[[#This Row],[HalfWidth]],DiscreteStatsTable[[#This Row],[BatchMeansHalfWidth]])</f>
        <v>0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98</v>
      </c>
      <c r="C234">
        <v>39</v>
      </c>
      <c r="D234" t="s">
        <v>69</v>
      </c>
      <c r="E234" t="s">
        <v>75</v>
      </c>
      <c r="F234" t="s">
        <v>71</v>
      </c>
      <c r="G234">
        <v>2.5574687897230599</v>
      </c>
      <c r="H234">
        <v>2E+20</v>
      </c>
      <c r="I234">
        <v>1.6344799843381499</v>
      </c>
      <c r="J234">
        <v>3.2813417218293401</v>
      </c>
      <c r="K234">
        <v>4</v>
      </c>
      <c r="L23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2.2930880765839192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1.3997857000332199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3.2207590152928498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0.58847912081681497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4.8260534923328997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4">
        <f>IF((DiscreteStatsTable[[#This Row],[RepsRequested]]&gt;1),DiscreteStatsTable[[#This Row],[HalfWidth]],DiscreteStatsTable[[#This Row],[BatchMeansHalfWidth]])</f>
        <v>0.1050209533137741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98</v>
      </c>
      <c r="C235">
        <v>39</v>
      </c>
      <c r="D235" t="s">
        <v>69</v>
      </c>
      <c r="E235" t="s">
        <v>76</v>
      </c>
      <c r="F235" t="s">
        <v>71</v>
      </c>
      <c r="G235">
        <v>0.40953400264738499</v>
      </c>
      <c r="H235">
        <v>2E+20</v>
      </c>
      <c r="I235">
        <v>0</v>
      </c>
      <c r="J235">
        <v>1.6381360105895399</v>
      </c>
      <c r="K235">
        <v>4</v>
      </c>
      <c r="L23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0.22168689728253091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1.60620384950211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3.4950047602739902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5">
        <f>IF((DiscreteStatsTable[[#This Row],[RepsRequested]]&gt;1),DiscreteStatsTable[[#This Row],[HalfWidth]],DiscreteStatsTable[[#This Row],[BatchMeansHalfWidth]])</f>
        <v>9.547865285946916E-2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98</v>
      </c>
      <c r="C236">
        <v>40</v>
      </c>
      <c r="D236" t="s">
        <v>69</v>
      </c>
      <c r="E236" t="s">
        <v>70</v>
      </c>
      <c r="F236" t="s">
        <v>71</v>
      </c>
      <c r="G236">
        <v>0</v>
      </c>
      <c r="H236">
        <v>2E+20</v>
      </c>
      <c r="I236">
        <v>0</v>
      </c>
      <c r="J236">
        <v>0</v>
      </c>
      <c r="K236">
        <v>5</v>
      </c>
      <c r="L23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6">
        <f>IF((DiscreteStatsTable[[#This Row],[RepsRequested]]&gt;1),DiscreteStatsTable[[#This Row],[HalfWidth]],DiscreteStatsTable[[#This Row],[BatchMeansHalfWidth]])</f>
        <v>0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98</v>
      </c>
      <c r="C237">
        <v>40</v>
      </c>
      <c r="D237" t="s">
        <v>69</v>
      </c>
      <c r="E237" t="s">
        <v>72</v>
      </c>
      <c r="F237" t="s">
        <v>71</v>
      </c>
      <c r="G237">
        <v>0</v>
      </c>
      <c r="H237">
        <v>2E+20</v>
      </c>
      <c r="I237">
        <v>0</v>
      </c>
      <c r="J237">
        <v>0</v>
      </c>
      <c r="K237">
        <v>5</v>
      </c>
      <c r="L23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7">
        <f>IF((DiscreteStatsTable[[#This Row],[RepsRequested]]&gt;1),DiscreteStatsTable[[#This Row],[HalfWidth]],DiscreteStatsTable[[#This Row],[BatchMeansHalfWidth]])</f>
        <v>0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98</v>
      </c>
      <c r="C238">
        <v>40</v>
      </c>
      <c r="D238" t="s">
        <v>69</v>
      </c>
      <c r="E238" t="s">
        <v>73</v>
      </c>
      <c r="F238" t="s">
        <v>71</v>
      </c>
      <c r="G238">
        <v>2.2839262430231302</v>
      </c>
      <c r="H238">
        <v>2E+20</v>
      </c>
      <c r="I238">
        <v>1.32755481980079</v>
      </c>
      <c r="J238">
        <v>3.4623929670082298</v>
      </c>
      <c r="K238">
        <v>5</v>
      </c>
      <c r="L23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2.5147749738664498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1.3997857000332199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4.4523993875489198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0.58847912081681497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5.4268973031599996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8">
        <f>IF((DiscreteStatsTable[[#This Row],[RepsRequested]]&gt;1),DiscreteStatsTable[[#This Row],[HalfWidth]],DiscreteStatsTable[[#This Row],[BatchMeansHalfWidth]])</f>
        <v>0.15379699758545484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98</v>
      </c>
      <c r="C239">
        <v>40</v>
      </c>
      <c r="D239" t="s">
        <v>69</v>
      </c>
      <c r="E239" t="s">
        <v>74</v>
      </c>
      <c r="F239" t="s">
        <v>71</v>
      </c>
      <c r="G239">
        <v>0</v>
      </c>
      <c r="H239">
        <v>2E+20</v>
      </c>
      <c r="I239">
        <v>0</v>
      </c>
      <c r="J239">
        <v>0</v>
      </c>
      <c r="K239">
        <v>5</v>
      </c>
      <c r="L23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39">
        <f>IF((DiscreteStatsTable[[#This Row],[RepsRequested]]&gt;1),DiscreteStatsTable[[#This Row],[HalfWidth]],DiscreteStatsTable[[#This Row],[BatchMeansHalfWidth]])</f>
        <v>0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98</v>
      </c>
      <c r="C240">
        <v>40</v>
      </c>
      <c r="D240" t="s">
        <v>69</v>
      </c>
      <c r="E240" t="s">
        <v>75</v>
      </c>
      <c r="F240" t="s">
        <v>71</v>
      </c>
      <c r="G240">
        <v>2.1635416440987698</v>
      </c>
      <c r="H240">
        <v>2E+20</v>
      </c>
      <c r="I240">
        <v>1.32755481980079</v>
      </c>
      <c r="J240">
        <v>2.8604699723864302</v>
      </c>
      <c r="K240">
        <v>5</v>
      </c>
      <c r="L24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2.2930880765839192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1.3997857000332199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3.2207590152928498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0.58847912081681497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4.8260534923328997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0">
        <f>IF((DiscreteStatsTable[[#This Row],[RepsRequested]]&gt;1),DiscreteStatsTable[[#This Row],[HalfWidth]],DiscreteStatsTable[[#This Row],[BatchMeansHalfWidth]])</f>
        <v>0.1050209533137741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98</v>
      </c>
      <c r="C241">
        <v>40</v>
      </c>
      <c r="D241" t="s">
        <v>69</v>
      </c>
      <c r="E241" t="s">
        <v>76</v>
      </c>
      <c r="F241" t="s">
        <v>71</v>
      </c>
      <c r="G241">
        <v>0.120384598924362</v>
      </c>
      <c r="H241">
        <v>2E+20</v>
      </c>
      <c r="I241">
        <v>0</v>
      </c>
      <c r="J241">
        <v>0.60192299462180898</v>
      </c>
      <c r="K241">
        <v>5</v>
      </c>
      <c r="L24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0.22168689728253091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1.60620384950211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3.4950047602739902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1">
        <f>IF((DiscreteStatsTable[[#This Row],[RepsRequested]]&gt;1),DiscreteStatsTable[[#This Row],[HalfWidth]],DiscreteStatsTable[[#This Row],[BatchMeansHalfWidth]])</f>
        <v>9.547865285946916E-2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98</v>
      </c>
      <c r="C242">
        <v>41</v>
      </c>
      <c r="D242" t="s">
        <v>69</v>
      </c>
      <c r="E242" t="s">
        <v>70</v>
      </c>
      <c r="F242" t="s">
        <v>71</v>
      </c>
      <c r="G242">
        <v>0</v>
      </c>
      <c r="H242">
        <v>2E+20</v>
      </c>
      <c r="I242">
        <v>0</v>
      </c>
      <c r="J242">
        <v>0</v>
      </c>
      <c r="K242">
        <v>3</v>
      </c>
      <c r="L24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0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0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0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0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2">
        <f>IF((DiscreteStatsTable[[#This Row],[RepsRequested]]&gt;1),DiscreteStatsTable[[#This Row],[HalfWidth]],DiscreteStatsTable[[#This Row],[BatchMeansHalfWidth]])</f>
        <v>0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98</v>
      </c>
      <c r="C243">
        <v>41</v>
      </c>
      <c r="D243" t="s">
        <v>69</v>
      </c>
      <c r="E243" t="s">
        <v>72</v>
      </c>
      <c r="F243" t="s">
        <v>71</v>
      </c>
      <c r="G243">
        <v>0</v>
      </c>
      <c r="H243">
        <v>2E+20</v>
      </c>
      <c r="I243">
        <v>0</v>
      </c>
      <c r="J243">
        <v>0</v>
      </c>
      <c r="K243">
        <v>3</v>
      </c>
      <c r="L24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3">
        <f>IF((DiscreteStatsTable[[#This Row],[RepsRequested]]&gt;1),DiscreteStatsTable[[#This Row],[HalfWidth]],DiscreteStatsTable[[#This Row],[BatchMeansHalfWidth]])</f>
        <v>0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98</v>
      </c>
      <c r="C244">
        <v>41</v>
      </c>
      <c r="D244" t="s">
        <v>69</v>
      </c>
      <c r="E244" t="s">
        <v>73</v>
      </c>
      <c r="F244" t="s">
        <v>71</v>
      </c>
      <c r="G244">
        <v>2.49158910315274</v>
      </c>
      <c r="H244">
        <v>2E+20</v>
      </c>
      <c r="I244">
        <v>2.0257470763165601</v>
      </c>
      <c r="J244">
        <v>2.83365711216917</v>
      </c>
      <c r="K244">
        <v>3</v>
      </c>
      <c r="L24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2.5147749738664498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1.3997857000332199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4.4523993875489198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0.58847912081681497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5.4268973031599996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4">
        <f>IF((DiscreteStatsTable[[#This Row],[RepsRequested]]&gt;1),DiscreteStatsTable[[#This Row],[HalfWidth]],DiscreteStatsTable[[#This Row],[BatchMeansHalfWidth]])</f>
        <v>0.15379699758545484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98</v>
      </c>
      <c r="C245">
        <v>41</v>
      </c>
      <c r="D245" t="s">
        <v>69</v>
      </c>
      <c r="E245" t="s">
        <v>74</v>
      </c>
      <c r="F245" t="s">
        <v>71</v>
      </c>
      <c r="G245">
        <v>0</v>
      </c>
      <c r="H245">
        <v>2E+20</v>
      </c>
      <c r="I245">
        <v>0</v>
      </c>
      <c r="J245">
        <v>0</v>
      </c>
      <c r="K245">
        <v>3</v>
      </c>
      <c r="L24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5">
        <f>IF((DiscreteStatsTable[[#This Row],[RepsRequested]]&gt;1),DiscreteStatsTable[[#This Row],[HalfWidth]],DiscreteStatsTable[[#This Row],[BatchMeansHalfWidth]])</f>
        <v>0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98</v>
      </c>
      <c r="C246">
        <v>41</v>
      </c>
      <c r="D246" t="s">
        <v>69</v>
      </c>
      <c r="E246" t="s">
        <v>75</v>
      </c>
      <c r="F246" t="s">
        <v>71</v>
      </c>
      <c r="G246">
        <v>2.49158910315274</v>
      </c>
      <c r="H246">
        <v>2E+20</v>
      </c>
      <c r="I246">
        <v>2.0257470763165601</v>
      </c>
      <c r="J246">
        <v>2.83365711216917</v>
      </c>
      <c r="K246">
        <v>3</v>
      </c>
      <c r="L24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2.2930880765839192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1.3997857000332199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3.2207590152928498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0.58847912081681497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4.8260534923328997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6">
        <f>IF((DiscreteStatsTable[[#This Row],[RepsRequested]]&gt;1),DiscreteStatsTable[[#This Row],[HalfWidth]],DiscreteStatsTable[[#This Row],[BatchMeansHalfWidth]])</f>
        <v>0.1050209533137741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98</v>
      </c>
      <c r="C247">
        <v>41</v>
      </c>
      <c r="D247" t="s">
        <v>69</v>
      </c>
      <c r="E247" t="s">
        <v>76</v>
      </c>
      <c r="F247" t="s">
        <v>71</v>
      </c>
      <c r="G247">
        <v>0</v>
      </c>
      <c r="H247">
        <v>2E+20</v>
      </c>
      <c r="I247">
        <v>0</v>
      </c>
      <c r="J247">
        <v>0</v>
      </c>
      <c r="K247">
        <v>3</v>
      </c>
      <c r="L24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0.22168689728253091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1.60620384950211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3.4950047602739902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7">
        <f>IF((DiscreteStatsTable[[#This Row],[RepsRequested]]&gt;1),DiscreteStatsTable[[#This Row],[HalfWidth]],DiscreteStatsTable[[#This Row],[BatchMeansHalfWidth]])</f>
        <v>9.547865285946916E-2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98</v>
      </c>
      <c r="C248">
        <v>42</v>
      </c>
      <c r="D248" t="s">
        <v>69</v>
      </c>
      <c r="E248" t="s">
        <v>70</v>
      </c>
      <c r="F248" t="s">
        <v>71</v>
      </c>
      <c r="G248">
        <v>0</v>
      </c>
      <c r="H248">
        <v>2E+20</v>
      </c>
      <c r="I248">
        <v>0</v>
      </c>
      <c r="J248">
        <v>0</v>
      </c>
      <c r="K248">
        <v>4</v>
      </c>
      <c r="L24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0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0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0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0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8">
        <f>IF((DiscreteStatsTable[[#This Row],[RepsRequested]]&gt;1),DiscreteStatsTable[[#This Row],[HalfWidth]],DiscreteStatsTable[[#This Row],[BatchMeansHalfWidth]])</f>
        <v>0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98</v>
      </c>
      <c r="C249">
        <v>42</v>
      </c>
      <c r="D249" t="s">
        <v>69</v>
      </c>
      <c r="E249" t="s">
        <v>72</v>
      </c>
      <c r="F249" t="s">
        <v>71</v>
      </c>
      <c r="G249">
        <v>0</v>
      </c>
      <c r="H249">
        <v>2E+20</v>
      </c>
      <c r="I249">
        <v>0</v>
      </c>
      <c r="J249">
        <v>0</v>
      </c>
      <c r="K249">
        <v>4</v>
      </c>
      <c r="L24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49">
        <f>IF((DiscreteStatsTable[[#This Row],[RepsRequested]]&gt;1),DiscreteStatsTable[[#This Row],[HalfWidth]],DiscreteStatsTable[[#This Row],[BatchMeansHalfWidth]])</f>
        <v>0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98</v>
      </c>
      <c r="C250">
        <v>42</v>
      </c>
      <c r="D250" t="s">
        <v>69</v>
      </c>
      <c r="E250" t="s">
        <v>73</v>
      </c>
      <c r="F250" t="s">
        <v>71</v>
      </c>
      <c r="G250">
        <v>1.73817320511454</v>
      </c>
      <c r="H250">
        <v>2E+20</v>
      </c>
      <c r="I250">
        <v>0.86430983194710498</v>
      </c>
      <c r="J250">
        <v>3.33448155628653</v>
      </c>
      <c r="K250">
        <v>4</v>
      </c>
      <c r="L25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2.5147749738664498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1.3997857000332199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4.4523993875489198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0.58847912081681497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5.4268973031599996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0">
        <f>IF((DiscreteStatsTable[[#This Row],[RepsRequested]]&gt;1),DiscreteStatsTable[[#This Row],[HalfWidth]],DiscreteStatsTable[[#This Row],[BatchMeansHalfWidth]])</f>
        <v>0.15379699758545484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98</v>
      </c>
      <c r="C251">
        <v>42</v>
      </c>
      <c r="D251" t="s">
        <v>69</v>
      </c>
      <c r="E251" t="s">
        <v>74</v>
      </c>
      <c r="F251" t="s">
        <v>71</v>
      </c>
      <c r="G251">
        <v>0</v>
      </c>
      <c r="H251">
        <v>2E+20</v>
      </c>
      <c r="I251">
        <v>0</v>
      </c>
      <c r="J251">
        <v>0</v>
      </c>
      <c r="K251">
        <v>4</v>
      </c>
      <c r="L25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1">
        <f>IF((DiscreteStatsTable[[#This Row],[RepsRequested]]&gt;1),DiscreteStatsTable[[#This Row],[HalfWidth]],DiscreteStatsTable[[#This Row],[BatchMeansHalfWidth]])</f>
        <v>0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98</v>
      </c>
      <c r="C252">
        <v>42</v>
      </c>
      <c r="D252" t="s">
        <v>69</v>
      </c>
      <c r="E252" t="s">
        <v>75</v>
      </c>
      <c r="F252" t="s">
        <v>71</v>
      </c>
      <c r="G252">
        <v>1.73817320511454</v>
      </c>
      <c r="H252">
        <v>2E+20</v>
      </c>
      <c r="I252">
        <v>0.86430983194710498</v>
      </c>
      <c r="J252">
        <v>3.33448155628653</v>
      </c>
      <c r="K252">
        <v>4</v>
      </c>
      <c r="L25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2.2930880765839192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1.3997857000332199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3.2207590152928498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0.58847912081681497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4.8260534923328997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2">
        <f>IF((DiscreteStatsTable[[#This Row],[RepsRequested]]&gt;1),DiscreteStatsTable[[#This Row],[HalfWidth]],DiscreteStatsTable[[#This Row],[BatchMeansHalfWidth]])</f>
        <v>0.1050209533137741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98</v>
      </c>
      <c r="C253">
        <v>42</v>
      </c>
      <c r="D253" t="s">
        <v>69</v>
      </c>
      <c r="E253" t="s">
        <v>76</v>
      </c>
      <c r="F253" t="s">
        <v>71</v>
      </c>
      <c r="G253">
        <v>0</v>
      </c>
      <c r="H253">
        <v>2E+20</v>
      </c>
      <c r="I253">
        <v>0</v>
      </c>
      <c r="J253">
        <v>0</v>
      </c>
      <c r="K253">
        <v>4</v>
      </c>
      <c r="L25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0.22168689728253091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1.60620384950211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3.4950047602739902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3">
        <f>IF((DiscreteStatsTable[[#This Row],[RepsRequested]]&gt;1),DiscreteStatsTable[[#This Row],[HalfWidth]],DiscreteStatsTable[[#This Row],[BatchMeansHalfWidth]])</f>
        <v>9.547865285946916E-2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98</v>
      </c>
      <c r="C254">
        <v>43</v>
      </c>
      <c r="D254" t="s">
        <v>69</v>
      </c>
      <c r="E254" t="s">
        <v>70</v>
      </c>
      <c r="F254" t="s">
        <v>71</v>
      </c>
      <c r="G254">
        <v>0</v>
      </c>
      <c r="H254">
        <v>2E+20</v>
      </c>
      <c r="I254">
        <v>0</v>
      </c>
      <c r="J254">
        <v>0</v>
      </c>
      <c r="K254">
        <v>7</v>
      </c>
      <c r="L25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0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0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0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0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4">
        <f>IF((DiscreteStatsTable[[#This Row],[RepsRequested]]&gt;1),DiscreteStatsTable[[#This Row],[HalfWidth]],DiscreteStatsTable[[#This Row],[BatchMeansHalfWidth]])</f>
        <v>0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98</v>
      </c>
      <c r="C255">
        <v>43</v>
      </c>
      <c r="D255" t="s">
        <v>69</v>
      </c>
      <c r="E255" t="s">
        <v>72</v>
      </c>
      <c r="F255" t="s">
        <v>71</v>
      </c>
      <c r="G255">
        <v>0</v>
      </c>
      <c r="H255">
        <v>2E+20</v>
      </c>
      <c r="I255">
        <v>0</v>
      </c>
      <c r="J255">
        <v>0</v>
      </c>
      <c r="K255">
        <v>7</v>
      </c>
      <c r="L25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5">
        <f>IF((DiscreteStatsTable[[#This Row],[RepsRequested]]&gt;1),DiscreteStatsTable[[#This Row],[HalfWidth]],DiscreteStatsTable[[#This Row],[BatchMeansHalfWidth]])</f>
        <v>0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98</v>
      </c>
      <c r="C256">
        <v>43</v>
      </c>
      <c r="D256" t="s">
        <v>69</v>
      </c>
      <c r="E256" t="s">
        <v>73</v>
      </c>
      <c r="F256" t="s">
        <v>71</v>
      </c>
      <c r="G256">
        <v>2.5603744166109998</v>
      </c>
      <c r="H256">
        <v>2E+20</v>
      </c>
      <c r="I256">
        <v>1.1337602343243101</v>
      </c>
      <c r="J256">
        <v>3.4063739465256502</v>
      </c>
      <c r="K256">
        <v>7</v>
      </c>
      <c r="L25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2.5147749738664498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1.3997857000332199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4.4523993875489198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0.58847912081681497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5.4268973031599996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6">
        <f>IF((DiscreteStatsTable[[#This Row],[RepsRequested]]&gt;1),DiscreteStatsTable[[#This Row],[HalfWidth]],DiscreteStatsTable[[#This Row],[BatchMeansHalfWidth]])</f>
        <v>0.15379699758545484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98</v>
      </c>
      <c r="C257">
        <v>43</v>
      </c>
      <c r="D257" t="s">
        <v>69</v>
      </c>
      <c r="E257" t="s">
        <v>74</v>
      </c>
      <c r="F257" t="s">
        <v>71</v>
      </c>
      <c r="G257">
        <v>0</v>
      </c>
      <c r="H257">
        <v>2E+20</v>
      </c>
      <c r="I257">
        <v>0</v>
      </c>
      <c r="J257">
        <v>0</v>
      </c>
      <c r="K257">
        <v>7</v>
      </c>
      <c r="L25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7">
        <f>IF((DiscreteStatsTable[[#This Row],[RepsRequested]]&gt;1),DiscreteStatsTable[[#This Row],[HalfWidth]],DiscreteStatsTable[[#This Row],[BatchMeansHalfWidth]])</f>
        <v>0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98</v>
      </c>
      <c r="C258">
        <v>43</v>
      </c>
      <c r="D258" t="s">
        <v>69</v>
      </c>
      <c r="E258" t="s">
        <v>75</v>
      </c>
      <c r="F258" t="s">
        <v>71</v>
      </c>
      <c r="G258">
        <v>2.06631741703622</v>
      </c>
      <c r="H258">
        <v>2E+20</v>
      </c>
      <c r="I258">
        <v>1.0455380283657301</v>
      </c>
      <c r="J258">
        <v>3.4063739465256502</v>
      </c>
      <c r="K258">
        <v>7</v>
      </c>
      <c r="L25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2.2930880765839192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1.3997857000332199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3.2207590152928498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0.58847912081681497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4.8260534923328997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8">
        <f>IF((DiscreteStatsTable[[#This Row],[RepsRequested]]&gt;1),DiscreteStatsTable[[#This Row],[HalfWidth]],DiscreteStatsTable[[#This Row],[BatchMeansHalfWidth]])</f>
        <v>0.1050209533137741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98</v>
      </c>
      <c r="C259">
        <v>43</v>
      </c>
      <c r="D259" t="s">
        <v>69</v>
      </c>
      <c r="E259" t="s">
        <v>76</v>
      </c>
      <c r="F259" t="s">
        <v>71</v>
      </c>
      <c r="G259">
        <v>0.494056999574783</v>
      </c>
      <c r="H259">
        <v>2E+20</v>
      </c>
      <c r="I259">
        <v>0</v>
      </c>
      <c r="J259">
        <v>1.4814966793220801</v>
      </c>
      <c r="K259">
        <v>7</v>
      </c>
      <c r="L25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0.22168689728253091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1.60620384950211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3.4950047602739902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59">
        <f>IF((DiscreteStatsTable[[#This Row],[RepsRequested]]&gt;1),DiscreteStatsTable[[#This Row],[HalfWidth]],DiscreteStatsTable[[#This Row],[BatchMeansHalfWidth]])</f>
        <v>9.547865285946916E-2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98</v>
      </c>
      <c r="C260">
        <v>44</v>
      </c>
      <c r="D260" t="s">
        <v>69</v>
      </c>
      <c r="E260" t="s">
        <v>70</v>
      </c>
      <c r="F260" t="s">
        <v>71</v>
      </c>
      <c r="G260">
        <v>0</v>
      </c>
      <c r="H260">
        <v>2E+20</v>
      </c>
      <c r="I260">
        <v>0</v>
      </c>
      <c r="J260">
        <v>0</v>
      </c>
      <c r="K260">
        <v>5</v>
      </c>
      <c r="L26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0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0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0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0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0">
        <f>IF((DiscreteStatsTable[[#This Row],[RepsRequested]]&gt;1),DiscreteStatsTable[[#This Row],[HalfWidth]],DiscreteStatsTable[[#This Row],[BatchMeansHalfWidth]])</f>
        <v>0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98</v>
      </c>
      <c r="C261">
        <v>44</v>
      </c>
      <c r="D261" t="s">
        <v>69</v>
      </c>
      <c r="E261" t="s">
        <v>72</v>
      </c>
      <c r="F261" t="s">
        <v>71</v>
      </c>
      <c r="G261">
        <v>0</v>
      </c>
      <c r="H261">
        <v>2E+20</v>
      </c>
      <c r="I261">
        <v>0</v>
      </c>
      <c r="J261">
        <v>0</v>
      </c>
      <c r="K261">
        <v>5</v>
      </c>
      <c r="L26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1">
        <f>IF((DiscreteStatsTable[[#This Row],[RepsRequested]]&gt;1),DiscreteStatsTable[[#This Row],[HalfWidth]],DiscreteStatsTable[[#This Row],[BatchMeansHalfWidth]])</f>
        <v>0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98</v>
      </c>
      <c r="C262">
        <v>44</v>
      </c>
      <c r="D262" t="s">
        <v>69</v>
      </c>
      <c r="E262" t="s">
        <v>73</v>
      </c>
      <c r="F262" t="s">
        <v>71</v>
      </c>
      <c r="G262">
        <v>2.7703322530615901</v>
      </c>
      <c r="H262">
        <v>2E+20</v>
      </c>
      <c r="I262">
        <v>1.8076192171657599</v>
      </c>
      <c r="J262">
        <v>3.6731480023890999</v>
      </c>
      <c r="K262">
        <v>5</v>
      </c>
      <c r="L26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2.5147749738664498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1.3997857000332199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4.4523993875489198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0.58847912081681497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5.4268973031599996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2">
        <f>IF((DiscreteStatsTable[[#This Row],[RepsRequested]]&gt;1),DiscreteStatsTable[[#This Row],[HalfWidth]],DiscreteStatsTable[[#This Row],[BatchMeansHalfWidth]])</f>
        <v>0.15379699758545484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98</v>
      </c>
      <c r="C263">
        <v>44</v>
      </c>
      <c r="D263" t="s">
        <v>69</v>
      </c>
      <c r="E263" t="s">
        <v>74</v>
      </c>
      <c r="F263" t="s">
        <v>71</v>
      </c>
      <c r="G263">
        <v>0</v>
      </c>
      <c r="H263">
        <v>2E+20</v>
      </c>
      <c r="I263">
        <v>0</v>
      </c>
      <c r="J263">
        <v>0</v>
      </c>
      <c r="K263">
        <v>5</v>
      </c>
      <c r="L26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3">
        <f>IF((DiscreteStatsTable[[#This Row],[RepsRequested]]&gt;1),DiscreteStatsTable[[#This Row],[HalfWidth]],DiscreteStatsTable[[#This Row],[BatchMeansHalfWidth]])</f>
        <v>0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98</v>
      </c>
      <c r="C264">
        <v>44</v>
      </c>
      <c r="D264" t="s">
        <v>69</v>
      </c>
      <c r="E264" t="s">
        <v>75</v>
      </c>
      <c r="F264" t="s">
        <v>71</v>
      </c>
      <c r="G264">
        <v>2.4333146218773898</v>
      </c>
      <c r="H264">
        <v>2E+20</v>
      </c>
      <c r="I264">
        <v>1.8076192171657599</v>
      </c>
      <c r="J264">
        <v>3.2626245985551998</v>
      </c>
      <c r="K264">
        <v>5</v>
      </c>
      <c r="L26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2.2930880765839192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1.3997857000332199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3.2207590152928498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0.58847912081681497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4.8260534923328997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4">
        <f>IF((DiscreteStatsTable[[#This Row],[RepsRequested]]&gt;1),DiscreteStatsTable[[#This Row],[HalfWidth]],DiscreteStatsTable[[#This Row],[BatchMeansHalfWidth]])</f>
        <v>0.1050209533137741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98</v>
      </c>
      <c r="C265">
        <v>44</v>
      </c>
      <c r="D265" t="s">
        <v>69</v>
      </c>
      <c r="E265" t="s">
        <v>76</v>
      </c>
      <c r="F265" t="s">
        <v>71</v>
      </c>
      <c r="G265">
        <v>0.33701763118420203</v>
      </c>
      <c r="H265">
        <v>2E+20</v>
      </c>
      <c r="I265">
        <v>0</v>
      </c>
      <c r="J265">
        <v>1.68508815592101</v>
      </c>
      <c r="K265">
        <v>5</v>
      </c>
      <c r="L26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0.22168689728253091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1.60620384950211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3.4950047602739902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5">
        <f>IF((DiscreteStatsTable[[#This Row],[RepsRequested]]&gt;1),DiscreteStatsTable[[#This Row],[HalfWidth]],DiscreteStatsTable[[#This Row],[BatchMeansHalfWidth]])</f>
        <v>9.547865285946916E-2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98</v>
      </c>
      <c r="C266">
        <v>45</v>
      </c>
      <c r="D266" t="s">
        <v>69</v>
      </c>
      <c r="E266" t="s">
        <v>70</v>
      </c>
      <c r="F266" t="s">
        <v>71</v>
      </c>
      <c r="G266">
        <v>0</v>
      </c>
      <c r="H266">
        <v>2E+20</v>
      </c>
      <c r="I266">
        <v>0</v>
      </c>
      <c r="J266">
        <v>0</v>
      </c>
      <c r="K266">
        <v>4</v>
      </c>
      <c r="L26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0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0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0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0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6">
        <f>IF((DiscreteStatsTable[[#This Row],[RepsRequested]]&gt;1),DiscreteStatsTable[[#This Row],[HalfWidth]],DiscreteStatsTable[[#This Row],[BatchMeansHalfWidth]])</f>
        <v>0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98</v>
      </c>
      <c r="C267">
        <v>45</v>
      </c>
      <c r="D267" t="s">
        <v>69</v>
      </c>
      <c r="E267" t="s">
        <v>72</v>
      </c>
      <c r="F267" t="s">
        <v>71</v>
      </c>
      <c r="G267">
        <v>0</v>
      </c>
      <c r="H267">
        <v>2E+20</v>
      </c>
      <c r="I267">
        <v>0</v>
      </c>
      <c r="J267">
        <v>0</v>
      </c>
      <c r="K267">
        <v>4</v>
      </c>
      <c r="L26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7">
        <f>IF((DiscreteStatsTable[[#This Row],[RepsRequested]]&gt;1),DiscreteStatsTable[[#This Row],[HalfWidth]],DiscreteStatsTable[[#This Row],[BatchMeansHalfWidth]])</f>
        <v>0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98</v>
      </c>
      <c r="C268">
        <v>45</v>
      </c>
      <c r="D268" t="s">
        <v>69</v>
      </c>
      <c r="E268" t="s">
        <v>73</v>
      </c>
      <c r="F268" t="s">
        <v>71</v>
      </c>
      <c r="G268">
        <v>1.5428277668510899</v>
      </c>
      <c r="H268">
        <v>2E+20</v>
      </c>
      <c r="I268">
        <v>0.89436702455918604</v>
      </c>
      <c r="J268">
        <v>2.0903181671053401</v>
      </c>
      <c r="K268">
        <v>4</v>
      </c>
      <c r="L26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2.5147749738664498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1.3997857000332199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4.4523993875489198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0.58847912081681497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5.4268973031599996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8">
        <f>IF((DiscreteStatsTable[[#This Row],[RepsRequested]]&gt;1),DiscreteStatsTable[[#This Row],[HalfWidth]],DiscreteStatsTable[[#This Row],[BatchMeansHalfWidth]])</f>
        <v>0.15379699758545484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98</v>
      </c>
      <c r="C269">
        <v>45</v>
      </c>
      <c r="D269" t="s">
        <v>69</v>
      </c>
      <c r="E269" t="s">
        <v>74</v>
      </c>
      <c r="F269" t="s">
        <v>71</v>
      </c>
      <c r="G269">
        <v>0</v>
      </c>
      <c r="H269">
        <v>2E+20</v>
      </c>
      <c r="I269">
        <v>0</v>
      </c>
      <c r="J269">
        <v>0</v>
      </c>
      <c r="K269">
        <v>4</v>
      </c>
      <c r="L26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69">
        <f>IF((DiscreteStatsTable[[#This Row],[RepsRequested]]&gt;1),DiscreteStatsTable[[#This Row],[HalfWidth]],DiscreteStatsTable[[#This Row],[BatchMeansHalfWidth]])</f>
        <v>0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98</v>
      </c>
      <c r="C270">
        <v>45</v>
      </c>
      <c r="D270" t="s">
        <v>69</v>
      </c>
      <c r="E270" t="s">
        <v>75</v>
      </c>
      <c r="F270" t="s">
        <v>71</v>
      </c>
      <c r="G270">
        <v>1.5428277668510899</v>
      </c>
      <c r="H270">
        <v>2E+20</v>
      </c>
      <c r="I270">
        <v>0.89436702455918604</v>
      </c>
      <c r="J270">
        <v>2.0903181671053401</v>
      </c>
      <c r="K270">
        <v>4</v>
      </c>
      <c r="L27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2.2930880765839192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1.3997857000332199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3.2207590152928498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0.58847912081681497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4.8260534923328997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0">
        <f>IF((DiscreteStatsTable[[#This Row],[RepsRequested]]&gt;1),DiscreteStatsTable[[#This Row],[HalfWidth]],DiscreteStatsTable[[#This Row],[BatchMeansHalfWidth]])</f>
        <v>0.1050209533137741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98</v>
      </c>
      <c r="C271">
        <v>45</v>
      </c>
      <c r="D271" t="s">
        <v>69</v>
      </c>
      <c r="E271" t="s">
        <v>76</v>
      </c>
      <c r="F271" t="s">
        <v>71</v>
      </c>
      <c r="G271">
        <v>0</v>
      </c>
      <c r="H271">
        <v>2E+20</v>
      </c>
      <c r="I271">
        <v>0</v>
      </c>
      <c r="J271">
        <v>0</v>
      </c>
      <c r="K271">
        <v>4</v>
      </c>
      <c r="L27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0.22168689728253091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1.60620384950211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3.4950047602739902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1">
        <f>IF((DiscreteStatsTable[[#This Row],[RepsRequested]]&gt;1),DiscreteStatsTable[[#This Row],[HalfWidth]],DiscreteStatsTable[[#This Row],[BatchMeansHalfWidth]])</f>
        <v>9.547865285946916E-2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98</v>
      </c>
      <c r="C272">
        <v>46</v>
      </c>
      <c r="D272" t="s">
        <v>69</v>
      </c>
      <c r="E272" t="s">
        <v>70</v>
      </c>
      <c r="F272" t="s">
        <v>71</v>
      </c>
      <c r="G272">
        <v>0</v>
      </c>
      <c r="H272">
        <v>2E+20</v>
      </c>
      <c r="I272">
        <v>0</v>
      </c>
      <c r="J272">
        <v>0</v>
      </c>
      <c r="K272">
        <v>3</v>
      </c>
      <c r="L27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0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0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0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0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2">
        <f>IF((DiscreteStatsTable[[#This Row],[RepsRequested]]&gt;1),DiscreteStatsTable[[#This Row],[HalfWidth]],DiscreteStatsTable[[#This Row],[BatchMeansHalfWidth]])</f>
        <v>0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98</v>
      </c>
      <c r="C273">
        <v>46</v>
      </c>
      <c r="D273" t="s">
        <v>69</v>
      </c>
      <c r="E273" t="s">
        <v>72</v>
      </c>
      <c r="F273" t="s">
        <v>71</v>
      </c>
      <c r="G273">
        <v>0</v>
      </c>
      <c r="H273">
        <v>2E+20</v>
      </c>
      <c r="I273">
        <v>0</v>
      </c>
      <c r="J273">
        <v>0</v>
      </c>
      <c r="K273">
        <v>3</v>
      </c>
      <c r="L27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3">
        <f>IF((DiscreteStatsTable[[#This Row],[RepsRequested]]&gt;1),DiscreteStatsTable[[#This Row],[HalfWidth]],DiscreteStatsTable[[#This Row],[BatchMeansHalfWidth]])</f>
        <v>0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98</v>
      </c>
      <c r="C274">
        <v>46</v>
      </c>
      <c r="D274" t="s">
        <v>69</v>
      </c>
      <c r="E274" t="s">
        <v>73</v>
      </c>
      <c r="F274" t="s">
        <v>71</v>
      </c>
      <c r="G274">
        <v>1.67433538646764</v>
      </c>
      <c r="H274">
        <v>2E+20</v>
      </c>
      <c r="I274">
        <v>1.2333715273297601</v>
      </c>
      <c r="J274">
        <v>2.4275446439922299</v>
      </c>
      <c r="K274">
        <v>3</v>
      </c>
      <c r="L27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2.5147749738664498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1.3997857000332199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4.4523993875489198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0.58847912081681497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5.4268973031599996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4">
        <f>IF((DiscreteStatsTable[[#This Row],[RepsRequested]]&gt;1),DiscreteStatsTable[[#This Row],[HalfWidth]],DiscreteStatsTable[[#This Row],[BatchMeansHalfWidth]])</f>
        <v>0.15379699758545484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98</v>
      </c>
      <c r="C275">
        <v>46</v>
      </c>
      <c r="D275" t="s">
        <v>69</v>
      </c>
      <c r="E275" t="s">
        <v>74</v>
      </c>
      <c r="F275" t="s">
        <v>71</v>
      </c>
      <c r="G275">
        <v>0</v>
      </c>
      <c r="H275">
        <v>2E+20</v>
      </c>
      <c r="I275">
        <v>0</v>
      </c>
      <c r="J275">
        <v>0</v>
      </c>
      <c r="K275">
        <v>3</v>
      </c>
      <c r="L27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5">
        <f>IF((DiscreteStatsTable[[#This Row],[RepsRequested]]&gt;1),DiscreteStatsTable[[#This Row],[HalfWidth]],DiscreteStatsTable[[#This Row],[BatchMeansHalfWidth]])</f>
        <v>0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98</v>
      </c>
      <c r="C276">
        <v>46</v>
      </c>
      <c r="D276" t="s">
        <v>69</v>
      </c>
      <c r="E276" t="s">
        <v>75</v>
      </c>
      <c r="F276" t="s">
        <v>71</v>
      </c>
      <c r="G276">
        <v>1.67433538646764</v>
      </c>
      <c r="H276">
        <v>2E+20</v>
      </c>
      <c r="I276">
        <v>1.2333715273297601</v>
      </c>
      <c r="J276">
        <v>2.4275446439922299</v>
      </c>
      <c r="K276">
        <v>3</v>
      </c>
      <c r="L27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2.2930880765839192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1.3997857000332199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3.2207590152928498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0.58847912081681497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4.8260534923328997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6">
        <f>IF((DiscreteStatsTable[[#This Row],[RepsRequested]]&gt;1),DiscreteStatsTable[[#This Row],[HalfWidth]],DiscreteStatsTable[[#This Row],[BatchMeansHalfWidth]])</f>
        <v>0.1050209533137741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98</v>
      </c>
      <c r="C277">
        <v>46</v>
      </c>
      <c r="D277" t="s">
        <v>69</v>
      </c>
      <c r="E277" t="s">
        <v>76</v>
      </c>
      <c r="F277" t="s">
        <v>71</v>
      </c>
      <c r="G277">
        <v>0</v>
      </c>
      <c r="H277">
        <v>2E+20</v>
      </c>
      <c r="I277">
        <v>0</v>
      </c>
      <c r="J277">
        <v>0</v>
      </c>
      <c r="K277">
        <v>3</v>
      </c>
      <c r="L27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0.22168689728253091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1.60620384950211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3.4950047602739902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7">
        <f>IF((DiscreteStatsTable[[#This Row],[RepsRequested]]&gt;1),DiscreteStatsTable[[#This Row],[HalfWidth]],DiscreteStatsTable[[#This Row],[BatchMeansHalfWidth]])</f>
        <v>9.547865285946916E-2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98</v>
      </c>
      <c r="C278">
        <v>47</v>
      </c>
      <c r="D278" t="s">
        <v>69</v>
      </c>
      <c r="E278" t="s">
        <v>70</v>
      </c>
      <c r="F278" t="s">
        <v>71</v>
      </c>
      <c r="G278">
        <v>0</v>
      </c>
      <c r="H278">
        <v>2E+20</v>
      </c>
      <c r="I278">
        <v>0</v>
      </c>
      <c r="J278">
        <v>0</v>
      </c>
      <c r="K278">
        <v>5</v>
      </c>
      <c r="L27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0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0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0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0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8">
        <f>IF((DiscreteStatsTable[[#This Row],[RepsRequested]]&gt;1),DiscreteStatsTable[[#This Row],[HalfWidth]],DiscreteStatsTable[[#This Row],[BatchMeansHalfWidth]])</f>
        <v>0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98</v>
      </c>
      <c r="C279">
        <v>47</v>
      </c>
      <c r="D279" t="s">
        <v>69</v>
      </c>
      <c r="E279" t="s">
        <v>72</v>
      </c>
      <c r="F279" t="s">
        <v>71</v>
      </c>
      <c r="G279">
        <v>0</v>
      </c>
      <c r="H279">
        <v>2E+20</v>
      </c>
      <c r="I279">
        <v>0</v>
      </c>
      <c r="J279">
        <v>0</v>
      </c>
      <c r="K279">
        <v>5</v>
      </c>
      <c r="L27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79">
        <f>IF((DiscreteStatsTable[[#This Row],[RepsRequested]]&gt;1),DiscreteStatsTable[[#This Row],[HalfWidth]],DiscreteStatsTable[[#This Row],[BatchMeansHalfWidth]])</f>
        <v>0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98</v>
      </c>
      <c r="C280">
        <v>47</v>
      </c>
      <c r="D280" t="s">
        <v>69</v>
      </c>
      <c r="E280" t="s">
        <v>73</v>
      </c>
      <c r="F280" t="s">
        <v>71</v>
      </c>
      <c r="G280">
        <v>2.85888982080139</v>
      </c>
      <c r="H280">
        <v>2E+20</v>
      </c>
      <c r="I280">
        <v>2.4744900238269598</v>
      </c>
      <c r="J280">
        <v>3.1819540334251601</v>
      </c>
      <c r="K280">
        <v>5</v>
      </c>
      <c r="L28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2.5147749738664498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1.3997857000332199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4.4523993875489198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0.58847912081681497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5.4268973031599996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0">
        <f>IF((DiscreteStatsTable[[#This Row],[RepsRequested]]&gt;1),DiscreteStatsTable[[#This Row],[HalfWidth]],DiscreteStatsTable[[#This Row],[BatchMeansHalfWidth]])</f>
        <v>0.15379699758545484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98</v>
      </c>
      <c r="C281">
        <v>47</v>
      </c>
      <c r="D281" t="s">
        <v>69</v>
      </c>
      <c r="E281" t="s">
        <v>74</v>
      </c>
      <c r="F281" t="s">
        <v>71</v>
      </c>
      <c r="G281">
        <v>0</v>
      </c>
      <c r="H281">
        <v>2E+20</v>
      </c>
      <c r="I281">
        <v>0</v>
      </c>
      <c r="J281">
        <v>0</v>
      </c>
      <c r="K281">
        <v>5</v>
      </c>
      <c r="L28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1">
        <f>IF((DiscreteStatsTable[[#This Row],[RepsRequested]]&gt;1),DiscreteStatsTable[[#This Row],[HalfWidth]],DiscreteStatsTable[[#This Row],[BatchMeansHalfWidth]])</f>
        <v>0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98</v>
      </c>
      <c r="C282">
        <v>47</v>
      </c>
      <c r="D282" t="s">
        <v>69</v>
      </c>
      <c r="E282" t="s">
        <v>75</v>
      </c>
      <c r="F282" t="s">
        <v>71</v>
      </c>
      <c r="G282">
        <v>2.7783499059774801</v>
      </c>
      <c r="H282">
        <v>2E+20</v>
      </c>
      <c r="I282">
        <v>2.4744900238269598</v>
      </c>
      <c r="J282">
        <v>3.1819540334251601</v>
      </c>
      <c r="K282">
        <v>5</v>
      </c>
      <c r="L28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2.2930880765839192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1.3997857000332199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3.2207590152928498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0.58847912081681497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4.8260534923328997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2">
        <f>IF((DiscreteStatsTable[[#This Row],[RepsRequested]]&gt;1),DiscreteStatsTable[[#This Row],[HalfWidth]],DiscreteStatsTable[[#This Row],[BatchMeansHalfWidth]])</f>
        <v>0.1050209533137741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98</v>
      </c>
      <c r="C283">
        <v>47</v>
      </c>
      <c r="D283" t="s">
        <v>69</v>
      </c>
      <c r="E283" t="s">
        <v>76</v>
      </c>
      <c r="F283" t="s">
        <v>71</v>
      </c>
      <c r="G283">
        <v>8.0539914823905295E-2</v>
      </c>
      <c r="H283">
        <v>2E+20</v>
      </c>
      <c r="I283">
        <v>0</v>
      </c>
      <c r="J283">
        <v>0.402699574119526</v>
      </c>
      <c r="K283">
        <v>5</v>
      </c>
      <c r="L28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0.22168689728253091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1.60620384950211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3.4950047602739902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3">
        <f>IF((DiscreteStatsTable[[#This Row],[RepsRequested]]&gt;1),DiscreteStatsTable[[#This Row],[HalfWidth]],DiscreteStatsTable[[#This Row],[BatchMeansHalfWidth]])</f>
        <v>9.547865285946916E-2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98</v>
      </c>
      <c r="C284">
        <v>48</v>
      </c>
      <c r="D284" t="s">
        <v>69</v>
      </c>
      <c r="E284" t="s">
        <v>70</v>
      </c>
      <c r="F284" t="s">
        <v>71</v>
      </c>
      <c r="G284">
        <v>0</v>
      </c>
      <c r="H284">
        <v>2E+20</v>
      </c>
      <c r="I284">
        <v>0</v>
      </c>
      <c r="J284">
        <v>0</v>
      </c>
      <c r="K284">
        <v>4</v>
      </c>
      <c r="L28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4">
        <f>IF((DiscreteStatsTable[[#This Row],[RepsRequested]]&gt;1),DiscreteStatsTable[[#This Row],[HalfWidth]],DiscreteStatsTable[[#This Row],[BatchMeansHalfWidth]])</f>
        <v>0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98</v>
      </c>
      <c r="C285">
        <v>48</v>
      </c>
      <c r="D285" t="s">
        <v>69</v>
      </c>
      <c r="E285" t="s">
        <v>72</v>
      </c>
      <c r="F285" t="s">
        <v>71</v>
      </c>
      <c r="G285">
        <v>0</v>
      </c>
      <c r="H285">
        <v>2E+20</v>
      </c>
      <c r="I285">
        <v>0</v>
      </c>
      <c r="J285">
        <v>0</v>
      </c>
      <c r="K285">
        <v>4</v>
      </c>
      <c r="L28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5">
        <f>IF((DiscreteStatsTable[[#This Row],[RepsRequested]]&gt;1),DiscreteStatsTable[[#This Row],[HalfWidth]],DiscreteStatsTable[[#This Row],[BatchMeansHalfWidth]])</f>
        <v>0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98</v>
      </c>
      <c r="C286">
        <v>48</v>
      </c>
      <c r="D286" t="s">
        <v>69</v>
      </c>
      <c r="E286" t="s">
        <v>73</v>
      </c>
      <c r="F286" t="s">
        <v>71</v>
      </c>
      <c r="G286">
        <v>2.3923143749685898</v>
      </c>
      <c r="H286">
        <v>2E+20</v>
      </c>
      <c r="I286">
        <v>1.4195642576251599</v>
      </c>
      <c r="J286">
        <v>4.1391784437654504</v>
      </c>
      <c r="K286">
        <v>4</v>
      </c>
      <c r="L28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2.5147749738664498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1.3997857000332199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4.4523993875489198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0.58847912081681497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5.4268973031599996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6">
        <f>IF((DiscreteStatsTable[[#This Row],[RepsRequested]]&gt;1),DiscreteStatsTable[[#This Row],[HalfWidth]],DiscreteStatsTable[[#This Row],[BatchMeansHalfWidth]])</f>
        <v>0.15379699758545484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98</v>
      </c>
      <c r="C287">
        <v>48</v>
      </c>
      <c r="D287" t="s">
        <v>69</v>
      </c>
      <c r="E287" t="s">
        <v>74</v>
      </c>
      <c r="F287" t="s">
        <v>71</v>
      </c>
      <c r="G287">
        <v>0</v>
      </c>
      <c r="H287">
        <v>2E+20</v>
      </c>
      <c r="I287">
        <v>0</v>
      </c>
      <c r="J287">
        <v>0</v>
      </c>
      <c r="K287">
        <v>4</v>
      </c>
      <c r="L28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7">
        <f>IF((DiscreteStatsTable[[#This Row],[RepsRequested]]&gt;1),DiscreteStatsTable[[#This Row],[HalfWidth]],DiscreteStatsTable[[#This Row],[BatchMeansHalfWidth]])</f>
        <v>0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98</v>
      </c>
      <c r="C288">
        <v>48</v>
      </c>
      <c r="D288" t="s">
        <v>69</v>
      </c>
      <c r="E288" t="s">
        <v>75</v>
      </c>
      <c r="F288" t="s">
        <v>71</v>
      </c>
      <c r="G288">
        <v>2.3899759763968702</v>
      </c>
      <c r="H288">
        <v>2E+20</v>
      </c>
      <c r="I288">
        <v>1.4195642576251599</v>
      </c>
      <c r="J288">
        <v>4.1391784437654504</v>
      </c>
      <c r="K288">
        <v>4</v>
      </c>
      <c r="L28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2.2930880765839192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1.3997857000332199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3.2207590152928498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0.58847912081681497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4.8260534923328997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8">
        <f>IF((DiscreteStatsTable[[#This Row],[RepsRequested]]&gt;1),DiscreteStatsTable[[#This Row],[HalfWidth]],DiscreteStatsTable[[#This Row],[BatchMeansHalfWidth]])</f>
        <v>0.1050209533137741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98</v>
      </c>
      <c r="C289">
        <v>48</v>
      </c>
      <c r="D289" t="s">
        <v>69</v>
      </c>
      <c r="E289" t="s">
        <v>76</v>
      </c>
      <c r="F289" t="s">
        <v>71</v>
      </c>
      <c r="G289">
        <v>2.3383985717252398E-3</v>
      </c>
      <c r="H289">
        <v>2E+20</v>
      </c>
      <c r="I289">
        <v>0</v>
      </c>
      <c r="J289">
        <v>9.3535942869009698E-3</v>
      </c>
      <c r="K289">
        <v>4</v>
      </c>
      <c r="L28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0.22168689728253091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1.60620384950211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3.4950047602739902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89">
        <f>IF((DiscreteStatsTable[[#This Row],[RepsRequested]]&gt;1),DiscreteStatsTable[[#This Row],[HalfWidth]],DiscreteStatsTable[[#This Row],[BatchMeansHalfWidth]])</f>
        <v>9.547865285946916E-2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98</v>
      </c>
      <c r="C290">
        <v>49</v>
      </c>
      <c r="D290" t="s">
        <v>69</v>
      </c>
      <c r="E290" t="s">
        <v>70</v>
      </c>
      <c r="F290" t="s">
        <v>71</v>
      </c>
      <c r="G290">
        <v>0</v>
      </c>
      <c r="H290">
        <v>2E+20</v>
      </c>
      <c r="I290">
        <v>0</v>
      </c>
      <c r="J290">
        <v>0</v>
      </c>
      <c r="K290">
        <v>4</v>
      </c>
      <c r="L29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0">
        <f>IF((DiscreteStatsTable[[#This Row],[RepsRequested]]&gt;1),DiscreteStatsTable[[#This Row],[HalfWidth]],DiscreteStatsTable[[#This Row],[BatchMeansHalfWidth]])</f>
        <v>0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98</v>
      </c>
      <c r="C291">
        <v>49</v>
      </c>
      <c r="D291" t="s">
        <v>69</v>
      </c>
      <c r="E291" t="s">
        <v>72</v>
      </c>
      <c r="F291" t="s">
        <v>71</v>
      </c>
      <c r="G291">
        <v>0</v>
      </c>
      <c r="H291">
        <v>2E+20</v>
      </c>
      <c r="I291">
        <v>0</v>
      </c>
      <c r="J291">
        <v>0</v>
      </c>
      <c r="K291">
        <v>4</v>
      </c>
      <c r="L29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1">
        <f>IF((DiscreteStatsTable[[#This Row],[RepsRequested]]&gt;1),DiscreteStatsTable[[#This Row],[HalfWidth]],DiscreteStatsTable[[#This Row],[BatchMeansHalfWidth]])</f>
        <v>0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98</v>
      </c>
      <c r="C292">
        <v>49</v>
      </c>
      <c r="D292" t="s">
        <v>69</v>
      </c>
      <c r="E292" t="s">
        <v>73</v>
      </c>
      <c r="F292" t="s">
        <v>71</v>
      </c>
      <c r="G292">
        <v>2.23276743114512</v>
      </c>
      <c r="H292">
        <v>2E+20</v>
      </c>
      <c r="I292">
        <v>1.3691809575613401</v>
      </c>
      <c r="J292">
        <v>2.79005538093576</v>
      </c>
      <c r="K292">
        <v>4</v>
      </c>
      <c r="L29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2.5147749738664498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1.3997857000332199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4.4523993875489198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0.58847912081681497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5.4268973031599996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2">
        <f>IF((DiscreteStatsTable[[#This Row],[RepsRequested]]&gt;1),DiscreteStatsTable[[#This Row],[HalfWidth]],DiscreteStatsTable[[#This Row],[BatchMeansHalfWidth]])</f>
        <v>0.15379699758545484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98</v>
      </c>
      <c r="C293">
        <v>49</v>
      </c>
      <c r="D293" t="s">
        <v>69</v>
      </c>
      <c r="E293" t="s">
        <v>74</v>
      </c>
      <c r="F293" t="s">
        <v>71</v>
      </c>
      <c r="G293">
        <v>0</v>
      </c>
      <c r="H293">
        <v>2E+20</v>
      </c>
      <c r="I293">
        <v>0</v>
      </c>
      <c r="J293">
        <v>0</v>
      </c>
      <c r="K293">
        <v>4</v>
      </c>
      <c r="L29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3">
        <f>IF((DiscreteStatsTable[[#This Row],[RepsRequested]]&gt;1),DiscreteStatsTable[[#This Row],[HalfWidth]],DiscreteStatsTable[[#This Row],[BatchMeansHalfWidth]])</f>
        <v>0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98</v>
      </c>
      <c r="C294">
        <v>49</v>
      </c>
      <c r="D294" t="s">
        <v>69</v>
      </c>
      <c r="E294" t="s">
        <v>75</v>
      </c>
      <c r="F294" t="s">
        <v>71</v>
      </c>
      <c r="G294">
        <v>2.23276743114512</v>
      </c>
      <c r="H294">
        <v>2E+20</v>
      </c>
      <c r="I294">
        <v>1.3691809575613401</v>
      </c>
      <c r="J294">
        <v>2.79005538093576</v>
      </c>
      <c r="K294">
        <v>4</v>
      </c>
      <c r="L29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2.2930880765839192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0.36953594412782692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1.3997857000332199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3.2207590152928498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0.58847912081681497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4.8260534923328997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4">
        <f>IF((DiscreteStatsTable[[#This Row],[RepsRequested]]&gt;1),DiscreteStatsTable[[#This Row],[HalfWidth]],DiscreteStatsTable[[#This Row],[BatchMeansHalfWidth]])</f>
        <v>0.1050209533137741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98</v>
      </c>
      <c r="C295">
        <v>49</v>
      </c>
      <c r="D295" t="s">
        <v>69</v>
      </c>
      <c r="E295" t="s">
        <v>76</v>
      </c>
      <c r="F295" t="s">
        <v>71</v>
      </c>
      <c r="G295">
        <v>0</v>
      </c>
      <c r="H295">
        <v>2E+20</v>
      </c>
      <c r="I295">
        <v>0</v>
      </c>
      <c r="J295">
        <v>0</v>
      </c>
      <c r="K295">
        <v>4</v>
      </c>
      <c r="L29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0.22168689728253091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0.33595956821170309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1.60620384950211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3.4950047602739902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5">
        <f>IF((DiscreteStatsTable[[#This Row],[RepsRequested]]&gt;1),DiscreteStatsTable[[#This Row],[HalfWidth]],DiscreteStatsTable[[#This Row],[BatchMeansHalfWidth]])</f>
        <v>9.547865285946916E-2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98</v>
      </c>
      <c r="C296">
        <v>50</v>
      </c>
      <c r="D296" t="s">
        <v>69</v>
      </c>
      <c r="E296" t="s">
        <v>70</v>
      </c>
      <c r="F296" t="s">
        <v>71</v>
      </c>
      <c r="G296">
        <v>0</v>
      </c>
      <c r="H296">
        <v>2E+20</v>
      </c>
      <c r="I296">
        <v>0</v>
      </c>
      <c r="J296">
        <v>0</v>
      </c>
      <c r="K296">
        <v>5</v>
      </c>
      <c r="L29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6">
        <f>IF((DiscreteStatsTable[[#This Row],[RepsRequested]]&gt;1),DiscreteStatsTable[[#This Row],[HalfWidth]],DiscreteStatsTable[[#This Row],[BatchMeansHalfWidth]])</f>
        <v>0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98</v>
      </c>
      <c r="C297">
        <v>50</v>
      </c>
      <c r="D297" t="s">
        <v>69</v>
      </c>
      <c r="E297" t="s">
        <v>72</v>
      </c>
      <c r="F297" t="s">
        <v>71</v>
      </c>
      <c r="G297">
        <v>0</v>
      </c>
      <c r="H297">
        <v>2E+20</v>
      </c>
      <c r="I297">
        <v>0</v>
      </c>
      <c r="J297">
        <v>0</v>
      </c>
      <c r="K297">
        <v>5</v>
      </c>
      <c r="L29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7">
        <f>IF((DiscreteStatsTable[[#This Row],[RepsRequested]]&gt;1),DiscreteStatsTable[[#This Row],[HalfWidth]],DiscreteStatsTable[[#This Row],[BatchMeansHalfWidth]])</f>
        <v>0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98</v>
      </c>
      <c r="C298">
        <v>50</v>
      </c>
      <c r="D298" t="s">
        <v>69</v>
      </c>
      <c r="E298" t="s">
        <v>73</v>
      </c>
      <c r="F298" t="s">
        <v>71</v>
      </c>
      <c r="G298">
        <v>1.95895218290902</v>
      </c>
      <c r="H298">
        <v>2E+20</v>
      </c>
      <c r="I298">
        <v>1.14079040349723</v>
      </c>
      <c r="J298">
        <v>3.1367728241656598</v>
      </c>
      <c r="K298">
        <v>5</v>
      </c>
      <c r="L29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2.5147749738664498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0.54116361462615026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0.15379699758545484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1.3997857000332199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4.4523993875489198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0.58847912081681497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5.4268973031599996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8">
        <f>IF((DiscreteStatsTable[[#This Row],[RepsRequested]]&gt;1),DiscreteStatsTable[[#This Row],[HalfWidth]],DiscreteStatsTable[[#This Row],[BatchMeansHalfWidth]])</f>
        <v>0.15379699758545484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98</v>
      </c>
      <c r="C299">
        <v>50</v>
      </c>
      <c r="D299" t="s">
        <v>69</v>
      </c>
      <c r="E299" t="s">
        <v>74</v>
      </c>
      <c r="F299" t="s">
        <v>71</v>
      </c>
      <c r="G299">
        <v>0</v>
      </c>
      <c r="H299">
        <v>2E+20</v>
      </c>
      <c r="I299">
        <v>0</v>
      </c>
      <c r="J299">
        <v>0</v>
      </c>
      <c r="K299">
        <v>5</v>
      </c>
      <c r="L29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299">
        <f>IF((DiscreteStatsTable[[#This Row],[RepsRequested]]&gt;1),DiscreteStatsTable[[#This Row],[HalfWidth]],DiscreteStatsTable[[#This Row],[BatchMeansHalfWidth]])</f>
        <v>0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98</v>
      </c>
      <c r="C300">
        <v>50</v>
      </c>
      <c r="D300" t="s">
        <v>69</v>
      </c>
      <c r="E300" t="s">
        <v>75</v>
      </c>
      <c r="F300" t="s">
        <v>71</v>
      </c>
      <c r="G300">
        <v>1.95895218290902</v>
      </c>
      <c r="H300">
        <v>2E+20</v>
      </c>
      <c r="I300">
        <v>1.14079040349723</v>
      </c>
      <c r="J300">
        <v>3.1367728241656598</v>
      </c>
      <c r="K300">
        <v>5</v>
      </c>
      <c r="L30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2.2930880765839192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0.36953594412782692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0.1050209533137741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1.3997857000332199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3.2207590152928498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0.58847912081681497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4.8260534923328997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00">
        <f>IF((DiscreteStatsTable[[#This Row],[RepsRequested]]&gt;1),DiscreteStatsTable[[#This Row],[HalfWidth]],DiscreteStatsTable[[#This Row],[BatchMeansHalfWidth]])</f>
        <v>0.1050209533137741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98</v>
      </c>
      <c r="C301">
        <v>50</v>
      </c>
      <c r="D301" t="s">
        <v>69</v>
      </c>
      <c r="E301" t="s">
        <v>76</v>
      </c>
      <c r="F301" t="s">
        <v>71</v>
      </c>
      <c r="G301">
        <v>0</v>
      </c>
      <c r="H301">
        <v>2E+20</v>
      </c>
      <c r="I301">
        <v>0</v>
      </c>
      <c r="J301">
        <v>0</v>
      </c>
      <c r="K301">
        <v>5</v>
      </c>
      <c r="L30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0.22168689728253091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0.33595956821170309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9.547865285946916E-2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1.60620384950211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3.4950047602739902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4.8600000000000003</v>
      </c>
      <c r="W301">
        <f>IF((DiscreteStatsTable[[#This Row],[RepsRequested]]&gt;1),DiscreteStatsTable[[#This Row],[HalfWidth]],DiscreteStatsTable[[#This Row],[BatchMeansHalfWidth]])</f>
        <v>9.547865285946916E-2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98</v>
      </c>
      <c r="C302">
        <v>1</v>
      </c>
      <c r="D302" t="s">
        <v>77</v>
      </c>
      <c r="E302" t="s">
        <v>78</v>
      </c>
      <c r="F302" t="s">
        <v>79</v>
      </c>
      <c r="G302">
        <v>0.168434823166243</v>
      </c>
      <c r="H302">
        <v>2E+20</v>
      </c>
      <c r="I302">
        <v>0</v>
      </c>
      <c r="J302">
        <v>0.84217411583121504</v>
      </c>
      <c r="K302">
        <v>5</v>
      </c>
      <c r="L302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0.26398293867088973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1.7435191110142401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4.3109297911012803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6.14</v>
      </c>
      <c r="W302">
        <f>IF((DiscreteStatsTable[[#This Row],[RepsRequested]]&gt;1),DiscreteStatsTable[[#This Row],[HalfWidth]],DiscreteStatsTable[[#This Row],[BatchMeansHalfWidth]])</f>
        <v>9.521079817633088E-2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98</v>
      </c>
      <c r="C303">
        <v>2</v>
      </c>
      <c r="D303" t="s">
        <v>77</v>
      </c>
      <c r="E303" t="s">
        <v>78</v>
      </c>
      <c r="F303" t="s">
        <v>79</v>
      </c>
      <c r="G303">
        <v>0.82109358150404599</v>
      </c>
      <c r="H303">
        <v>2E+20</v>
      </c>
      <c r="I303">
        <v>0</v>
      </c>
      <c r="J303">
        <v>2.6740475914352202</v>
      </c>
      <c r="K303">
        <v>6</v>
      </c>
      <c r="L303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0.26398293867088973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1.7435191110142401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4.3109297911012803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6.14</v>
      </c>
      <c r="W303">
        <f>IF((DiscreteStatsTable[[#This Row],[RepsRequested]]&gt;1),DiscreteStatsTable[[#This Row],[HalfWidth]],DiscreteStatsTable[[#This Row],[BatchMeansHalfWidth]])</f>
        <v>9.521079817633088E-2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98</v>
      </c>
      <c r="C304">
        <v>3</v>
      </c>
      <c r="D304" t="s">
        <v>77</v>
      </c>
      <c r="E304" t="s">
        <v>78</v>
      </c>
      <c r="F304" t="s">
        <v>79</v>
      </c>
      <c r="G304">
        <v>0</v>
      </c>
      <c r="H304">
        <v>2E+20</v>
      </c>
      <c r="I304">
        <v>0</v>
      </c>
      <c r="J304">
        <v>0</v>
      </c>
      <c r="K304">
        <v>7</v>
      </c>
      <c r="L304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0.26398293867088973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1.7435191110142401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4.3109297911012803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6.14</v>
      </c>
      <c r="W304">
        <f>IF((DiscreteStatsTable[[#This Row],[RepsRequested]]&gt;1),DiscreteStatsTable[[#This Row],[HalfWidth]],DiscreteStatsTable[[#This Row],[BatchMeansHalfWidth]])</f>
        <v>9.521079817633088E-2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98</v>
      </c>
      <c r="C305">
        <v>4</v>
      </c>
      <c r="D305" t="s">
        <v>77</v>
      </c>
      <c r="E305" t="s">
        <v>78</v>
      </c>
      <c r="F305" t="s">
        <v>79</v>
      </c>
      <c r="G305">
        <v>0.24965349886480101</v>
      </c>
      <c r="H305">
        <v>2E+20</v>
      </c>
      <c r="I305">
        <v>0</v>
      </c>
      <c r="J305">
        <v>1.4979209931888</v>
      </c>
      <c r="K305">
        <v>6</v>
      </c>
      <c r="L30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0.26398293867088973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1.7435191110142401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4.3109297911012803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6.14</v>
      </c>
      <c r="W305">
        <f>IF((DiscreteStatsTable[[#This Row],[RepsRequested]]&gt;1),DiscreteStatsTable[[#This Row],[HalfWidth]],DiscreteStatsTable[[#This Row],[BatchMeansHalfWidth]])</f>
        <v>9.521079817633088E-2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98</v>
      </c>
      <c r="C306">
        <v>5</v>
      </c>
      <c r="D306" t="s">
        <v>77</v>
      </c>
      <c r="E306" t="s">
        <v>78</v>
      </c>
      <c r="F306" t="s">
        <v>79</v>
      </c>
      <c r="G306">
        <v>0.17600643471052299</v>
      </c>
      <c r="H306">
        <v>2E+20</v>
      </c>
      <c r="I306">
        <v>0</v>
      </c>
      <c r="J306">
        <v>0.859471731954774</v>
      </c>
      <c r="K306">
        <v>7</v>
      </c>
      <c r="L306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0.26398293867088973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1.7435191110142401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4.3109297911012803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6.14</v>
      </c>
      <c r="W306">
        <f>IF((DiscreteStatsTable[[#This Row],[RepsRequested]]&gt;1),DiscreteStatsTable[[#This Row],[HalfWidth]],DiscreteStatsTable[[#This Row],[BatchMeansHalfWidth]])</f>
        <v>9.521079817633088E-2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98</v>
      </c>
      <c r="C307">
        <v>6</v>
      </c>
      <c r="D307" t="s">
        <v>77</v>
      </c>
      <c r="E307" t="s">
        <v>78</v>
      </c>
      <c r="F307" t="s">
        <v>79</v>
      </c>
      <c r="G307">
        <v>0.37454080418298202</v>
      </c>
      <c r="H307">
        <v>2E+20</v>
      </c>
      <c r="I307">
        <v>0</v>
      </c>
      <c r="J307">
        <v>1.05950649048974</v>
      </c>
      <c r="K307">
        <v>7</v>
      </c>
      <c r="L307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0.26398293867088973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1.7435191110142401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4.3109297911012803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6.14</v>
      </c>
      <c r="W307">
        <f>IF((DiscreteStatsTable[[#This Row],[RepsRequested]]&gt;1),DiscreteStatsTable[[#This Row],[HalfWidth]],DiscreteStatsTable[[#This Row],[BatchMeansHalfWidth]])</f>
        <v>9.521079817633088E-2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98</v>
      </c>
      <c r="C308">
        <v>7</v>
      </c>
      <c r="D308" t="s">
        <v>77</v>
      </c>
      <c r="E308" t="s">
        <v>78</v>
      </c>
      <c r="F308" t="s">
        <v>79</v>
      </c>
      <c r="G308">
        <v>0</v>
      </c>
      <c r="H308">
        <v>2E+20</v>
      </c>
      <c r="I308">
        <v>0</v>
      </c>
      <c r="J308">
        <v>0</v>
      </c>
      <c r="K308">
        <v>5</v>
      </c>
      <c r="L308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0.26398293867088973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1.7435191110142401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4.3109297911012803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6.14</v>
      </c>
      <c r="W308">
        <f>IF((DiscreteStatsTable[[#This Row],[RepsRequested]]&gt;1),DiscreteStatsTable[[#This Row],[HalfWidth]],DiscreteStatsTable[[#This Row],[BatchMeansHalfWidth]])</f>
        <v>9.521079817633088E-2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98</v>
      </c>
      <c r="C309">
        <v>8</v>
      </c>
      <c r="D309" t="s">
        <v>77</v>
      </c>
      <c r="E309" t="s">
        <v>78</v>
      </c>
      <c r="F309" t="s">
        <v>79</v>
      </c>
      <c r="G309">
        <v>0.20670875722086801</v>
      </c>
      <c r="H309">
        <v>2E+20</v>
      </c>
      <c r="I309">
        <v>0</v>
      </c>
      <c r="J309">
        <v>0.92334250436138399</v>
      </c>
      <c r="K309">
        <v>5</v>
      </c>
      <c r="L309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0.26398293867088973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1.7435191110142401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4.3109297911012803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6.14</v>
      </c>
      <c r="W309">
        <f>IF((DiscreteStatsTable[[#This Row],[RepsRequested]]&gt;1),DiscreteStatsTable[[#This Row],[HalfWidth]],DiscreteStatsTable[[#This Row],[BatchMeansHalfWidth]])</f>
        <v>9.521079817633088E-2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98</v>
      </c>
      <c r="C310">
        <v>9</v>
      </c>
      <c r="D310" t="s">
        <v>77</v>
      </c>
      <c r="E310" t="s">
        <v>78</v>
      </c>
      <c r="F310" t="s">
        <v>79</v>
      </c>
      <c r="G310">
        <v>0.191813971412479</v>
      </c>
      <c r="H310">
        <v>2E+20</v>
      </c>
      <c r="I310">
        <v>0</v>
      </c>
      <c r="J310">
        <v>1.3426977998873599</v>
      </c>
      <c r="K310">
        <v>7</v>
      </c>
      <c r="L310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0.26398293867088973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1.7435191110142401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4.3109297911012803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6.14</v>
      </c>
      <c r="W310">
        <f>IF((DiscreteStatsTable[[#This Row],[RepsRequested]]&gt;1),DiscreteStatsTable[[#This Row],[HalfWidth]],DiscreteStatsTable[[#This Row],[BatchMeansHalfWidth]])</f>
        <v>9.521079817633088E-2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98</v>
      </c>
      <c r="C311">
        <v>10</v>
      </c>
      <c r="D311" t="s">
        <v>77</v>
      </c>
      <c r="E311" t="s">
        <v>78</v>
      </c>
      <c r="F311" t="s">
        <v>79</v>
      </c>
      <c r="G311">
        <v>7.8248380584203303E-2</v>
      </c>
      <c r="H311">
        <v>2E+20</v>
      </c>
      <c r="I311">
        <v>0</v>
      </c>
      <c r="J311">
        <v>0.46949028350521999</v>
      </c>
      <c r="K311">
        <v>6</v>
      </c>
      <c r="L311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0.26398293867088973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1.7435191110142401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4.3109297911012803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6.14</v>
      </c>
      <c r="W311">
        <f>IF((DiscreteStatsTable[[#This Row],[RepsRequested]]&gt;1),DiscreteStatsTable[[#This Row],[HalfWidth]],DiscreteStatsTable[[#This Row],[BatchMeansHalfWidth]])</f>
        <v>9.521079817633088E-2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98</v>
      </c>
      <c r="C312">
        <v>11</v>
      </c>
      <c r="D312" t="s">
        <v>77</v>
      </c>
      <c r="E312" t="s">
        <v>78</v>
      </c>
      <c r="F312" t="s">
        <v>79</v>
      </c>
      <c r="G312">
        <v>0</v>
      </c>
      <c r="H312">
        <v>2E+20</v>
      </c>
      <c r="I312">
        <v>0</v>
      </c>
      <c r="J312">
        <v>0</v>
      </c>
      <c r="K312">
        <v>5</v>
      </c>
      <c r="L312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0.26398293867088973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1.7435191110142401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4.3109297911012803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6.14</v>
      </c>
      <c r="W312">
        <f>IF((DiscreteStatsTable[[#This Row],[RepsRequested]]&gt;1),DiscreteStatsTable[[#This Row],[HalfWidth]],DiscreteStatsTable[[#This Row],[BatchMeansHalfWidth]])</f>
        <v>9.521079817633088E-2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98</v>
      </c>
      <c r="C313">
        <v>12</v>
      </c>
      <c r="D313" t="s">
        <v>77</v>
      </c>
      <c r="E313" t="s">
        <v>78</v>
      </c>
      <c r="F313" t="s">
        <v>79</v>
      </c>
      <c r="G313">
        <v>0</v>
      </c>
      <c r="H313">
        <v>2E+20</v>
      </c>
      <c r="I313">
        <v>0</v>
      </c>
      <c r="J313">
        <v>0</v>
      </c>
      <c r="K313">
        <v>5</v>
      </c>
      <c r="L313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0.26398293867088973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1.7435191110142401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4.3109297911012803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6.14</v>
      </c>
      <c r="W313">
        <f>IF((DiscreteStatsTable[[#This Row],[RepsRequested]]&gt;1),DiscreteStatsTable[[#This Row],[HalfWidth]],DiscreteStatsTable[[#This Row],[BatchMeansHalfWidth]])</f>
        <v>9.521079817633088E-2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98</v>
      </c>
      <c r="C314">
        <v>13</v>
      </c>
      <c r="D314" t="s">
        <v>77</v>
      </c>
      <c r="E314" t="s">
        <v>78</v>
      </c>
      <c r="F314" t="s">
        <v>79</v>
      </c>
      <c r="G314">
        <v>0.18762745872155701</v>
      </c>
      <c r="H314">
        <v>2E+20</v>
      </c>
      <c r="I314">
        <v>0</v>
      </c>
      <c r="J314">
        <v>0.82231948850745995</v>
      </c>
      <c r="K314">
        <v>6</v>
      </c>
      <c r="L314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0.26398293867088973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1.7435191110142401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4.3109297911012803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6.14</v>
      </c>
      <c r="W314">
        <f>IF((DiscreteStatsTable[[#This Row],[RepsRequested]]&gt;1),DiscreteStatsTable[[#This Row],[HalfWidth]],DiscreteStatsTable[[#This Row],[BatchMeansHalfWidth]])</f>
        <v>9.521079817633088E-2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98</v>
      </c>
      <c r="C315">
        <v>14</v>
      </c>
      <c r="D315" t="s">
        <v>77</v>
      </c>
      <c r="E315" t="s">
        <v>78</v>
      </c>
      <c r="F315" t="s">
        <v>79</v>
      </c>
      <c r="G315">
        <v>0.20138721275982899</v>
      </c>
      <c r="H315">
        <v>2E+20</v>
      </c>
      <c r="I315">
        <v>0</v>
      </c>
      <c r="J315">
        <v>1.0262639046947299</v>
      </c>
      <c r="K315">
        <v>8</v>
      </c>
      <c r="L31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0.26398293867088973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1.7435191110142401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4.3109297911012803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6.14</v>
      </c>
      <c r="W315">
        <f>IF((DiscreteStatsTable[[#This Row],[RepsRequested]]&gt;1),DiscreteStatsTable[[#This Row],[HalfWidth]],DiscreteStatsTable[[#This Row],[BatchMeansHalfWidth]])</f>
        <v>9.521079817633088E-2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98</v>
      </c>
      <c r="C316">
        <v>15</v>
      </c>
      <c r="D316" t="s">
        <v>77</v>
      </c>
      <c r="E316" t="s">
        <v>78</v>
      </c>
      <c r="F316" t="s">
        <v>79</v>
      </c>
      <c r="G316">
        <v>0</v>
      </c>
      <c r="H316">
        <v>2E+20</v>
      </c>
      <c r="I316">
        <v>0</v>
      </c>
      <c r="J316">
        <v>0</v>
      </c>
      <c r="K316">
        <v>6</v>
      </c>
      <c r="L316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0.26398293867088973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1.7435191110142401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4.3109297911012803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6.14</v>
      </c>
      <c r="W316">
        <f>IF((DiscreteStatsTable[[#This Row],[RepsRequested]]&gt;1),DiscreteStatsTable[[#This Row],[HalfWidth]],DiscreteStatsTable[[#This Row],[BatchMeansHalfWidth]])</f>
        <v>9.521079817633088E-2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98</v>
      </c>
      <c r="C317">
        <v>16</v>
      </c>
      <c r="D317" t="s">
        <v>77</v>
      </c>
      <c r="E317" t="s">
        <v>78</v>
      </c>
      <c r="F317" t="s">
        <v>79</v>
      </c>
      <c r="G317">
        <v>1.0217875496658</v>
      </c>
      <c r="H317">
        <v>2E+20</v>
      </c>
      <c r="I317">
        <v>0</v>
      </c>
      <c r="J317">
        <v>1.8827329163944999</v>
      </c>
      <c r="K317">
        <v>9</v>
      </c>
      <c r="L317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0.26398293867088973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1.7435191110142401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4.3109297911012803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6.14</v>
      </c>
      <c r="W317">
        <f>IF((DiscreteStatsTable[[#This Row],[RepsRequested]]&gt;1),DiscreteStatsTable[[#This Row],[HalfWidth]],DiscreteStatsTable[[#This Row],[BatchMeansHalfWidth]])</f>
        <v>9.521079817633088E-2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98</v>
      </c>
      <c r="C318">
        <v>17</v>
      </c>
      <c r="D318" t="s">
        <v>77</v>
      </c>
      <c r="E318" t="s">
        <v>78</v>
      </c>
      <c r="F318" t="s">
        <v>79</v>
      </c>
      <c r="G318">
        <v>0</v>
      </c>
      <c r="H318">
        <v>2E+20</v>
      </c>
      <c r="I318">
        <v>0</v>
      </c>
      <c r="J318">
        <v>0</v>
      </c>
      <c r="K318">
        <v>3</v>
      </c>
      <c r="L318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0.26398293867088973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1.7435191110142401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4.3109297911012803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6.14</v>
      </c>
      <c r="W318">
        <f>IF((DiscreteStatsTable[[#This Row],[RepsRequested]]&gt;1),DiscreteStatsTable[[#This Row],[HalfWidth]],DiscreteStatsTable[[#This Row],[BatchMeansHalfWidth]])</f>
        <v>9.521079817633088E-2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98</v>
      </c>
      <c r="C319">
        <v>18</v>
      </c>
      <c r="D319" t="s">
        <v>77</v>
      </c>
      <c r="E319" t="s">
        <v>78</v>
      </c>
      <c r="F319" t="s">
        <v>79</v>
      </c>
      <c r="G319">
        <v>8.0290653375820198E-2</v>
      </c>
      <c r="H319">
        <v>2E+20</v>
      </c>
      <c r="I319">
        <v>0</v>
      </c>
      <c r="J319">
        <v>0.56203457363074205</v>
      </c>
      <c r="K319">
        <v>7</v>
      </c>
      <c r="L319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0.26398293867088973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1.7435191110142401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4.3109297911012803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6.14</v>
      </c>
      <c r="W319">
        <f>IF((DiscreteStatsTable[[#This Row],[RepsRequested]]&gt;1),DiscreteStatsTable[[#This Row],[HalfWidth]],DiscreteStatsTable[[#This Row],[BatchMeansHalfWidth]])</f>
        <v>9.521079817633088E-2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98</v>
      </c>
      <c r="C320">
        <v>19</v>
      </c>
      <c r="D320" t="s">
        <v>77</v>
      </c>
      <c r="E320" t="s">
        <v>78</v>
      </c>
      <c r="F320" t="s">
        <v>79</v>
      </c>
      <c r="G320">
        <v>2.32268541913393E-2</v>
      </c>
      <c r="H320">
        <v>2E+20</v>
      </c>
      <c r="I320">
        <v>0</v>
      </c>
      <c r="J320">
        <v>0.16258797933937499</v>
      </c>
      <c r="K320">
        <v>7</v>
      </c>
      <c r="L320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0.26398293867088973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1.7435191110142401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4.3109297911012803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6.14</v>
      </c>
      <c r="W320">
        <f>IF((DiscreteStatsTable[[#This Row],[RepsRequested]]&gt;1),DiscreteStatsTable[[#This Row],[HalfWidth]],DiscreteStatsTable[[#This Row],[BatchMeansHalfWidth]])</f>
        <v>9.521079817633088E-2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98</v>
      </c>
      <c r="C321">
        <v>20</v>
      </c>
      <c r="D321" t="s">
        <v>77</v>
      </c>
      <c r="E321" t="s">
        <v>78</v>
      </c>
      <c r="F321" t="s">
        <v>79</v>
      </c>
      <c r="G321">
        <v>0.70040036812835804</v>
      </c>
      <c r="H321">
        <v>2E+20</v>
      </c>
      <c r="I321">
        <v>0</v>
      </c>
      <c r="J321">
        <v>2.08788070943501</v>
      </c>
      <c r="K321">
        <v>8</v>
      </c>
      <c r="L321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0.26398293867088973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1.7435191110142401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4.3109297911012803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6.14</v>
      </c>
      <c r="W321">
        <f>IF((DiscreteStatsTable[[#This Row],[RepsRequested]]&gt;1),DiscreteStatsTable[[#This Row],[HalfWidth]],DiscreteStatsTable[[#This Row],[BatchMeansHalfWidth]])</f>
        <v>9.521079817633088E-2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98</v>
      </c>
      <c r="C322">
        <v>21</v>
      </c>
      <c r="D322" t="s">
        <v>77</v>
      </c>
      <c r="E322" t="s">
        <v>78</v>
      </c>
      <c r="F322" t="s">
        <v>79</v>
      </c>
      <c r="G322">
        <v>0.41451468927455298</v>
      </c>
      <c r="H322">
        <v>2E+20</v>
      </c>
      <c r="I322">
        <v>0</v>
      </c>
      <c r="J322">
        <v>2.0396915792169201</v>
      </c>
      <c r="K322">
        <v>5</v>
      </c>
      <c r="L322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0.26398293867088973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1.7435191110142401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4.3109297911012803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6.14</v>
      </c>
      <c r="W322">
        <f>IF((DiscreteStatsTable[[#This Row],[RepsRequested]]&gt;1),DiscreteStatsTable[[#This Row],[HalfWidth]],DiscreteStatsTable[[#This Row],[BatchMeansHalfWidth]])</f>
        <v>9.521079817633088E-2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98</v>
      </c>
      <c r="C323">
        <v>22</v>
      </c>
      <c r="D323" t="s">
        <v>77</v>
      </c>
      <c r="E323" t="s">
        <v>78</v>
      </c>
      <c r="F323" t="s">
        <v>79</v>
      </c>
      <c r="G323">
        <v>0</v>
      </c>
      <c r="H323">
        <v>2E+20</v>
      </c>
      <c r="I323">
        <v>0</v>
      </c>
      <c r="J323">
        <v>0</v>
      </c>
      <c r="K323">
        <v>6</v>
      </c>
      <c r="L323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0.26398293867088973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1.7435191110142401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4.3109297911012803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6.14</v>
      </c>
      <c r="W323">
        <f>IF((DiscreteStatsTable[[#This Row],[RepsRequested]]&gt;1),DiscreteStatsTable[[#This Row],[HalfWidth]],DiscreteStatsTable[[#This Row],[BatchMeansHalfWidth]])</f>
        <v>9.521079817633088E-2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98</v>
      </c>
      <c r="C324">
        <v>23</v>
      </c>
      <c r="D324" t="s">
        <v>77</v>
      </c>
      <c r="E324" t="s">
        <v>78</v>
      </c>
      <c r="F324" t="s">
        <v>79</v>
      </c>
      <c r="G324">
        <v>0.25112852501643301</v>
      </c>
      <c r="H324">
        <v>2E+20</v>
      </c>
      <c r="I324">
        <v>0</v>
      </c>
      <c r="J324">
        <v>1.3483268693249999</v>
      </c>
      <c r="K324">
        <v>7</v>
      </c>
      <c r="L324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0.26398293867088973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1.7435191110142401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4.3109297911012803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6.14</v>
      </c>
      <c r="W324">
        <f>IF((DiscreteStatsTable[[#This Row],[RepsRequested]]&gt;1),DiscreteStatsTable[[#This Row],[HalfWidth]],DiscreteStatsTable[[#This Row],[BatchMeansHalfWidth]])</f>
        <v>9.521079817633088E-2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98</v>
      </c>
      <c r="C325">
        <v>24</v>
      </c>
      <c r="D325" t="s">
        <v>77</v>
      </c>
      <c r="E325" t="s">
        <v>78</v>
      </c>
      <c r="F325" t="s">
        <v>79</v>
      </c>
      <c r="G325">
        <v>0</v>
      </c>
      <c r="H325">
        <v>2E+20</v>
      </c>
      <c r="I325">
        <v>0</v>
      </c>
      <c r="J325">
        <v>0</v>
      </c>
      <c r="K325">
        <v>5</v>
      </c>
      <c r="L32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0.26398293867088973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1.7435191110142401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4.3109297911012803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6.14</v>
      </c>
      <c r="W325">
        <f>IF((DiscreteStatsTable[[#This Row],[RepsRequested]]&gt;1),DiscreteStatsTable[[#This Row],[HalfWidth]],DiscreteStatsTable[[#This Row],[BatchMeansHalfWidth]])</f>
        <v>9.521079817633088E-2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98</v>
      </c>
      <c r="C326">
        <v>25</v>
      </c>
      <c r="D326" t="s">
        <v>77</v>
      </c>
      <c r="E326" t="s">
        <v>78</v>
      </c>
      <c r="F326" t="s">
        <v>79</v>
      </c>
      <c r="G326">
        <v>0.27290446541340402</v>
      </c>
      <c r="H326">
        <v>2E+20</v>
      </c>
      <c r="I326">
        <v>0</v>
      </c>
      <c r="J326">
        <v>1.0691374405527501</v>
      </c>
      <c r="K326">
        <v>8</v>
      </c>
      <c r="L326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0.26398293867088973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1.7435191110142401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4.3109297911012803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6.14</v>
      </c>
      <c r="W326">
        <f>IF((DiscreteStatsTable[[#This Row],[RepsRequested]]&gt;1),DiscreteStatsTable[[#This Row],[HalfWidth]],DiscreteStatsTable[[#This Row],[BatchMeansHalfWidth]])</f>
        <v>9.521079817633088E-2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98</v>
      </c>
      <c r="C327">
        <v>26</v>
      </c>
      <c r="D327" t="s">
        <v>77</v>
      </c>
      <c r="E327" t="s">
        <v>78</v>
      </c>
      <c r="F327" t="s">
        <v>79</v>
      </c>
      <c r="G327">
        <v>1.0039783451239399</v>
      </c>
      <c r="H327">
        <v>2E+20</v>
      </c>
      <c r="I327">
        <v>0</v>
      </c>
      <c r="J327">
        <v>2.36057596288647</v>
      </c>
      <c r="K327">
        <v>8</v>
      </c>
      <c r="L327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0.26398293867088973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1.7435191110142401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4.3109297911012803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6.14</v>
      </c>
      <c r="W327">
        <f>IF((DiscreteStatsTable[[#This Row],[RepsRequested]]&gt;1),DiscreteStatsTable[[#This Row],[HalfWidth]],DiscreteStatsTable[[#This Row],[BatchMeansHalfWidth]])</f>
        <v>9.521079817633088E-2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98</v>
      </c>
      <c r="C328">
        <v>27</v>
      </c>
      <c r="D328" t="s">
        <v>77</v>
      </c>
      <c r="E328" t="s">
        <v>78</v>
      </c>
      <c r="F328" t="s">
        <v>79</v>
      </c>
      <c r="G328">
        <v>0.46213902738641899</v>
      </c>
      <c r="H328">
        <v>2E+20</v>
      </c>
      <c r="I328">
        <v>0</v>
      </c>
      <c r="J328">
        <v>1.38422881471963</v>
      </c>
      <c r="K328">
        <v>7</v>
      </c>
      <c r="L328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0.26398293867088973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1.7435191110142401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4.3109297911012803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6.14</v>
      </c>
      <c r="W328">
        <f>IF((DiscreteStatsTable[[#This Row],[RepsRequested]]&gt;1),DiscreteStatsTable[[#This Row],[HalfWidth]],DiscreteStatsTable[[#This Row],[BatchMeansHalfWidth]])</f>
        <v>9.521079817633088E-2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98</v>
      </c>
      <c r="C329">
        <v>28</v>
      </c>
      <c r="D329" t="s">
        <v>77</v>
      </c>
      <c r="E329" t="s">
        <v>78</v>
      </c>
      <c r="F329" t="s">
        <v>79</v>
      </c>
      <c r="G329">
        <v>0.52421462318754997</v>
      </c>
      <c r="H329">
        <v>2E+20</v>
      </c>
      <c r="I329">
        <v>0</v>
      </c>
      <c r="J329">
        <v>1.5903512398863699</v>
      </c>
      <c r="K329">
        <v>6</v>
      </c>
      <c r="L329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0.26398293867088973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1.7435191110142401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4.3109297911012803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6.14</v>
      </c>
      <c r="W329">
        <f>IF((DiscreteStatsTable[[#This Row],[RepsRequested]]&gt;1),DiscreteStatsTable[[#This Row],[HalfWidth]],DiscreteStatsTable[[#This Row],[BatchMeansHalfWidth]])</f>
        <v>9.521079817633088E-2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98</v>
      </c>
      <c r="C330">
        <v>29</v>
      </c>
      <c r="D330" t="s">
        <v>77</v>
      </c>
      <c r="E330" t="s">
        <v>78</v>
      </c>
      <c r="F330" t="s">
        <v>79</v>
      </c>
      <c r="G330">
        <v>0.164980538363004</v>
      </c>
      <c r="H330">
        <v>2E+20</v>
      </c>
      <c r="I330">
        <v>0</v>
      </c>
      <c r="J330">
        <v>0.49494161508901102</v>
      </c>
      <c r="K330">
        <v>3</v>
      </c>
      <c r="L330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0.26398293867088973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1.7435191110142401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4.3109297911012803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6.14</v>
      </c>
      <c r="W330">
        <f>IF((DiscreteStatsTable[[#This Row],[RepsRequested]]&gt;1),DiscreteStatsTable[[#This Row],[HalfWidth]],DiscreteStatsTable[[#This Row],[BatchMeansHalfWidth]])</f>
        <v>9.521079817633088E-2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98</v>
      </c>
      <c r="C331">
        <v>30</v>
      </c>
      <c r="D331" t="s">
        <v>77</v>
      </c>
      <c r="E331" t="s">
        <v>78</v>
      </c>
      <c r="F331" t="s">
        <v>79</v>
      </c>
      <c r="G331">
        <v>0.248957238562866</v>
      </c>
      <c r="H331">
        <v>2E+20</v>
      </c>
      <c r="I331">
        <v>0</v>
      </c>
      <c r="J331">
        <v>1.1280907916194101</v>
      </c>
      <c r="K331">
        <v>7</v>
      </c>
      <c r="L331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0.26398293867088973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1.7435191110142401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4.3109297911012803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6.14</v>
      </c>
      <c r="W331">
        <f>IF((DiscreteStatsTable[[#This Row],[RepsRequested]]&gt;1),DiscreteStatsTable[[#This Row],[HalfWidth]],DiscreteStatsTable[[#This Row],[BatchMeansHalfWidth]])</f>
        <v>9.521079817633088E-2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98</v>
      </c>
      <c r="C332">
        <v>31</v>
      </c>
      <c r="D332" t="s">
        <v>77</v>
      </c>
      <c r="E332" t="s">
        <v>78</v>
      </c>
      <c r="F332" t="s">
        <v>79</v>
      </c>
      <c r="G332">
        <v>0</v>
      </c>
      <c r="H332">
        <v>2E+20</v>
      </c>
      <c r="I332">
        <v>0</v>
      </c>
      <c r="J332">
        <v>0</v>
      </c>
      <c r="K332">
        <v>5</v>
      </c>
      <c r="L332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0.26398293867088973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1.7435191110142401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4.3109297911012803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6.14</v>
      </c>
      <c r="W332">
        <f>IF((DiscreteStatsTable[[#This Row],[RepsRequested]]&gt;1),DiscreteStatsTable[[#This Row],[HalfWidth]],DiscreteStatsTable[[#This Row],[BatchMeansHalfWidth]])</f>
        <v>9.521079817633088E-2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98</v>
      </c>
      <c r="C333">
        <v>32</v>
      </c>
      <c r="D333" t="s">
        <v>77</v>
      </c>
      <c r="E333" t="s">
        <v>78</v>
      </c>
      <c r="F333" t="s">
        <v>79</v>
      </c>
      <c r="G333">
        <v>0</v>
      </c>
      <c r="H333">
        <v>2E+20</v>
      </c>
      <c r="I333">
        <v>0</v>
      </c>
      <c r="J333">
        <v>0</v>
      </c>
      <c r="K333">
        <v>4</v>
      </c>
      <c r="L333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0.26398293867088973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1.7435191110142401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4.3109297911012803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6.14</v>
      </c>
      <c r="W333">
        <f>IF((DiscreteStatsTable[[#This Row],[RepsRequested]]&gt;1),DiscreteStatsTable[[#This Row],[HalfWidth]],DiscreteStatsTable[[#This Row],[BatchMeansHalfWidth]])</f>
        <v>9.521079817633088E-2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98</v>
      </c>
      <c r="C334">
        <v>33</v>
      </c>
      <c r="D334" t="s">
        <v>77</v>
      </c>
      <c r="E334" t="s">
        <v>78</v>
      </c>
      <c r="F334" t="s">
        <v>79</v>
      </c>
      <c r="G334">
        <v>1.7435191110142401</v>
      </c>
      <c r="H334">
        <v>2E+20</v>
      </c>
      <c r="I334">
        <v>0</v>
      </c>
      <c r="J334">
        <v>4.3109297911012803</v>
      </c>
      <c r="K334">
        <v>8</v>
      </c>
      <c r="L334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0.26398293867088973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1.7435191110142401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4.3109297911012803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6.14</v>
      </c>
      <c r="W334">
        <f>IF((DiscreteStatsTable[[#This Row],[RepsRequested]]&gt;1),DiscreteStatsTable[[#This Row],[HalfWidth]],DiscreteStatsTable[[#This Row],[BatchMeansHalfWidth]])</f>
        <v>9.521079817633088E-2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98</v>
      </c>
      <c r="C335">
        <v>34</v>
      </c>
      <c r="D335" t="s">
        <v>77</v>
      </c>
      <c r="E335" t="s">
        <v>78</v>
      </c>
      <c r="F335" t="s">
        <v>79</v>
      </c>
      <c r="G335">
        <v>0.219730891742771</v>
      </c>
      <c r="H335">
        <v>2E+20</v>
      </c>
      <c r="I335">
        <v>0</v>
      </c>
      <c r="J335">
        <v>0.99648497632056998</v>
      </c>
      <c r="K335">
        <v>8</v>
      </c>
      <c r="L33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0.26398293867088973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1.7435191110142401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4.3109297911012803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6.14</v>
      </c>
      <c r="W335">
        <f>IF((DiscreteStatsTable[[#This Row],[RepsRequested]]&gt;1),DiscreteStatsTable[[#This Row],[HalfWidth]],DiscreteStatsTable[[#This Row],[BatchMeansHalfWidth]])</f>
        <v>9.521079817633088E-2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98</v>
      </c>
      <c r="C336">
        <v>35</v>
      </c>
      <c r="D336" t="s">
        <v>77</v>
      </c>
      <c r="E336" t="s">
        <v>78</v>
      </c>
      <c r="F336" t="s">
        <v>79</v>
      </c>
      <c r="G336">
        <v>0.17991798390528399</v>
      </c>
      <c r="H336">
        <v>2E+20</v>
      </c>
      <c r="I336">
        <v>0</v>
      </c>
      <c r="J336">
        <v>0.64795414822434705</v>
      </c>
      <c r="K336">
        <v>7</v>
      </c>
      <c r="L336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0.26398293867088973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1.7435191110142401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4.3109297911012803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6.14</v>
      </c>
      <c r="W336">
        <f>IF((DiscreteStatsTable[[#This Row],[RepsRequested]]&gt;1),DiscreteStatsTable[[#This Row],[HalfWidth]],DiscreteStatsTable[[#This Row],[BatchMeansHalfWidth]])</f>
        <v>9.521079817633088E-2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98</v>
      </c>
      <c r="C337">
        <v>36</v>
      </c>
      <c r="D337" t="s">
        <v>77</v>
      </c>
      <c r="E337" t="s">
        <v>78</v>
      </c>
      <c r="F337" t="s">
        <v>79</v>
      </c>
      <c r="G337">
        <v>0.38475238803247602</v>
      </c>
      <c r="H337">
        <v>2E+20</v>
      </c>
      <c r="I337">
        <v>0</v>
      </c>
      <c r="J337">
        <v>1.2152661772906199</v>
      </c>
      <c r="K337">
        <v>8</v>
      </c>
      <c r="L337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0.26398293867088973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1.7435191110142401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4.3109297911012803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6.14</v>
      </c>
      <c r="W337">
        <f>IF((DiscreteStatsTable[[#This Row],[RepsRequested]]&gt;1),DiscreteStatsTable[[#This Row],[HalfWidth]],DiscreteStatsTable[[#This Row],[BatchMeansHalfWidth]])</f>
        <v>9.521079817633088E-2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98</v>
      </c>
      <c r="C338">
        <v>37</v>
      </c>
      <c r="D338" t="s">
        <v>77</v>
      </c>
      <c r="E338" t="s">
        <v>78</v>
      </c>
      <c r="F338" t="s">
        <v>79</v>
      </c>
      <c r="G338">
        <v>0.47560763158099501</v>
      </c>
      <c r="H338">
        <v>2E+20</v>
      </c>
      <c r="I338">
        <v>0</v>
      </c>
      <c r="J338">
        <v>2.3780381579049799</v>
      </c>
      <c r="K338">
        <v>5</v>
      </c>
      <c r="L338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0.26398293867088973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1.7435191110142401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4.3109297911012803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6.14</v>
      </c>
      <c r="W338">
        <f>IF((DiscreteStatsTable[[#This Row],[RepsRequested]]&gt;1),DiscreteStatsTable[[#This Row],[HalfWidth]],DiscreteStatsTable[[#This Row],[BatchMeansHalfWidth]])</f>
        <v>9.521079817633088E-2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98</v>
      </c>
      <c r="C339">
        <v>38</v>
      </c>
      <c r="D339" t="s">
        <v>77</v>
      </c>
      <c r="E339" t="s">
        <v>78</v>
      </c>
      <c r="F339" t="s">
        <v>79</v>
      </c>
      <c r="G339">
        <v>0.262082986077672</v>
      </c>
      <c r="H339">
        <v>2E+20</v>
      </c>
      <c r="I339">
        <v>0</v>
      </c>
      <c r="J339">
        <v>1.01842197720529</v>
      </c>
      <c r="K339">
        <v>9</v>
      </c>
      <c r="L339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0.26398293867088973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1.7435191110142401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4.3109297911012803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6.14</v>
      </c>
      <c r="W339">
        <f>IF((DiscreteStatsTable[[#This Row],[RepsRequested]]&gt;1),DiscreteStatsTable[[#This Row],[HalfWidth]],DiscreteStatsTable[[#This Row],[BatchMeansHalfWidth]])</f>
        <v>9.521079817633088E-2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98</v>
      </c>
      <c r="C340">
        <v>39</v>
      </c>
      <c r="D340" t="s">
        <v>77</v>
      </c>
      <c r="E340" t="s">
        <v>78</v>
      </c>
      <c r="F340" t="s">
        <v>79</v>
      </c>
      <c r="G340">
        <v>0.32762720211790802</v>
      </c>
      <c r="H340">
        <v>2E+20</v>
      </c>
      <c r="I340">
        <v>0</v>
      </c>
      <c r="J340">
        <v>1.6381360105895399</v>
      </c>
      <c r="K340">
        <v>5</v>
      </c>
      <c r="L340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0.26398293867088973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1.7435191110142401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4.3109297911012803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6.14</v>
      </c>
      <c r="W340">
        <f>IF((DiscreteStatsTable[[#This Row],[RepsRequested]]&gt;1),DiscreteStatsTable[[#This Row],[HalfWidth]],DiscreteStatsTable[[#This Row],[BatchMeansHalfWidth]])</f>
        <v>9.521079817633088E-2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98</v>
      </c>
      <c r="C341">
        <v>40</v>
      </c>
      <c r="D341" t="s">
        <v>77</v>
      </c>
      <c r="E341" t="s">
        <v>78</v>
      </c>
      <c r="F341" t="s">
        <v>79</v>
      </c>
      <c r="G341">
        <v>0.120384598924362</v>
      </c>
      <c r="H341">
        <v>2E+20</v>
      </c>
      <c r="I341">
        <v>0</v>
      </c>
      <c r="J341">
        <v>0.60192299462180898</v>
      </c>
      <c r="K341">
        <v>5</v>
      </c>
      <c r="L341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0.26398293867088973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1.7435191110142401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4.3109297911012803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6.14</v>
      </c>
      <c r="W341">
        <f>IF((DiscreteStatsTable[[#This Row],[RepsRequested]]&gt;1),DiscreteStatsTable[[#This Row],[HalfWidth]],DiscreteStatsTable[[#This Row],[BatchMeansHalfWidth]])</f>
        <v>9.521079817633088E-2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98</v>
      </c>
      <c r="C342">
        <v>41</v>
      </c>
      <c r="D342" t="s">
        <v>77</v>
      </c>
      <c r="E342" t="s">
        <v>78</v>
      </c>
      <c r="F342" t="s">
        <v>79</v>
      </c>
      <c r="G342">
        <v>0</v>
      </c>
      <c r="H342">
        <v>2E+20</v>
      </c>
      <c r="I342">
        <v>0</v>
      </c>
      <c r="J342">
        <v>0</v>
      </c>
      <c r="K342">
        <v>5</v>
      </c>
      <c r="L342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0.26398293867088973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1.7435191110142401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4.3109297911012803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6.14</v>
      </c>
      <c r="W342">
        <f>IF((DiscreteStatsTable[[#This Row],[RepsRequested]]&gt;1),DiscreteStatsTable[[#This Row],[HalfWidth]],DiscreteStatsTable[[#This Row],[BatchMeansHalfWidth]])</f>
        <v>9.521079817633088E-2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98</v>
      </c>
      <c r="C343">
        <v>42</v>
      </c>
      <c r="D343" t="s">
        <v>77</v>
      </c>
      <c r="E343" t="s">
        <v>78</v>
      </c>
      <c r="F343" t="s">
        <v>79</v>
      </c>
      <c r="G343">
        <v>9.0315220760291606E-3</v>
      </c>
      <c r="H343">
        <v>2E+20</v>
      </c>
      <c r="I343">
        <v>0</v>
      </c>
      <c r="J343">
        <v>5.4189132456175002E-2</v>
      </c>
      <c r="K343">
        <v>6</v>
      </c>
      <c r="L343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0.26398293867088973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1.7435191110142401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4.3109297911012803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6.14</v>
      </c>
      <c r="W343">
        <f>IF((DiscreteStatsTable[[#This Row],[RepsRequested]]&gt;1),DiscreteStatsTable[[#This Row],[HalfWidth]],DiscreteStatsTable[[#This Row],[BatchMeansHalfWidth]])</f>
        <v>9.521079817633088E-2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98</v>
      </c>
      <c r="C344">
        <v>43</v>
      </c>
      <c r="D344" t="s">
        <v>77</v>
      </c>
      <c r="E344" t="s">
        <v>78</v>
      </c>
      <c r="F344" t="s">
        <v>79</v>
      </c>
      <c r="G344">
        <v>0.72068721494818799</v>
      </c>
      <c r="H344">
        <v>2E+20</v>
      </c>
      <c r="I344">
        <v>0</v>
      </c>
      <c r="J344">
        <v>1.9948712708956999</v>
      </c>
      <c r="K344">
        <v>9</v>
      </c>
      <c r="L344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0.26398293867088973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1.7435191110142401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4.3109297911012803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6.14</v>
      </c>
      <c r="W344">
        <f>IF((DiscreteStatsTable[[#This Row],[RepsRequested]]&gt;1),DiscreteStatsTable[[#This Row],[HalfWidth]],DiscreteStatsTable[[#This Row],[BatchMeansHalfWidth]])</f>
        <v>9.521079817633088E-2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98</v>
      </c>
      <c r="C345">
        <v>44</v>
      </c>
      <c r="D345" t="s">
        <v>77</v>
      </c>
      <c r="E345" t="s">
        <v>78</v>
      </c>
      <c r="F345" t="s">
        <v>79</v>
      </c>
      <c r="G345">
        <v>0.33701763118420203</v>
      </c>
      <c r="H345">
        <v>2E+20</v>
      </c>
      <c r="I345">
        <v>0</v>
      </c>
      <c r="J345">
        <v>1.68508815592101</v>
      </c>
      <c r="K345">
        <v>5</v>
      </c>
      <c r="L34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0.26398293867088973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1.7435191110142401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4.3109297911012803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6.14</v>
      </c>
      <c r="W345">
        <f>IF((DiscreteStatsTable[[#This Row],[RepsRequested]]&gt;1),DiscreteStatsTable[[#This Row],[HalfWidth]],DiscreteStatsTable[[#This Row],[BatchMeansHalfWidth]])</f>
        <v>9.521079817633088E-2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98</v>
      </c>
      <c r="C346">
        <v>45</v>
      </c>
      <c r="D346" t="s">
        <v>77</v>
      </c>
      <c r="E346" t="s">
        <v>78</v>
      </c>
      <c r="F346" t="s">
        <v>79</v>
      </c>
      <c r="G346">
        <v>0</v>
      </c>
      <c r="H346">
        <v>2E+20</v>
      </c>
      <c r="I346">
        <v>0</v>
      </c>
      <c r="J346">
        <v>0</v>
      </c>
      <c r="K346">
        <v>4</v>
      </c>
      <c r="L346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0.26398293867088973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1.7435191110142401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4.3109297911012803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6.14</v>
      </c>
      <c r="W346">
        <f>IF((DiscreteStatsTable[[#This Row],[RepsRequested]]&gt;1),DiscreteStatsTable[[#This Row],[HalfWidth]],DiscreteStatsTable[[#This Row],[BatchMeansHalfWidth]])</f>
        <v>9.521079817633088E-2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98</v>
      </c>
      <c r="C347">
        <v>46</v>
      </c>
      <c r="D347" t="s">
        <v>77</v>
      </c>
      <c r="E347" t="s">
        <v>78</v>
      </c>
      <c r="F347" t="s">
        <v>79</v>
      </c>
      <c r="G347">
        <v>0.152822914854437</v>
      </c>
      <c r="H347">
        <v>2E+20</v>
      </c>
      <c r="I347">
        <v>0</v>
      </c>
      <c r="J347">
        <v>0.76411457427218599</v>
      </c>
      <c r="K347">
        <v>5</v>
      </c>
      <c r="L347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0.26398293867088973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1.7435191110142401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4.3109297911012803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6.14</v>
      </c>
      <c r="W347">
        <f>IF((DiscreteStatsTable[[#This Row],[RepsRequested]]&gt;1),DiscreteStatsTable[[#This Row],[HalfWidth]],DiscreteStatsTable[[#This Row],[BatchMeansHalfWidth]])</f>
        <v>9.521079817633088E-2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98</v>
      </c>
      <c r="C348">
        <v>47</v>
      </c>
      <c r="D348" t="s">
        <v>77</v>
      </c>
      <c r="E348" t="s">
        <v>78</v>
      </c>
      <c r="F348" t="s">
        <v>79</v>
      </c>
      <c r="G348">
        <v>0.295867463194321</v>
      </c>
      <c r="H348">
        <v>2E+20</v>
      </c>
      <c r="I348">
        <v>0</v>
      </c>
      <c r="J348">
        <v>1.6683726682407201</v>
      </c>
      <c r="K348">
        <v>7</v>
      </c>
      <c r="L348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0.26398293867088973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1.7435191110142401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4.3109297911012803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6.14</v>
      </c>
      <c r="W348">
        <f>IF((DiscreteStatsTable[[#This Row],[RepsRequested]]&gt;1),DiscreteStatsTable[[#This Row],[HalfWidth]],DiscreteStatsTable[[#This Row],[BatchMeansHalfWidth]])</f>
        <v>9.521079817633088E-2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98</v>
      </c>
      <c r="C349">
        <v>48</v>
      </c>
      <c r="D349" t="s">
        <v>77</v>
      </c>
      <c r="E349" t="s">
        <v>78</v>
      </c>
      <c r="F349" t="s">
        <v>79</v>
      </c>
      <c r="G349">
        <v>2.3383985717252398E-3</v>
      </c>
      <c r="H349">
        <v>2E+20</v>
      </c>
      <c r="I349">
        <v>0</v>
      </c>
      <c r="J349">
        <v>9.3535942869009698E-3</v>
      </c>
      <c r="K349">
        <v>4</v>
      </c>
      <c r="L349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0.26398293867088973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1.7435191110142401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4.3109297911012803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6.14</v>
      </c>
      <c r="W349">
        <f>IF((DiscreteStatsTable[[#This Row],[RepsRequested]]&gt;1),DiscreteStatsTable[[#This Row],[HalfWidth]],DiscreteStatsTable[[#This Row],[BatchMeansHalfWidth]])</f>
        <v>9.521079817633088E-2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98</v>
      </c>
      <c r="C350">
        <v>49</v>
      </c>
      <c r="D350" t="s">
        <v>77</v>
      </c>
      <c r="E350" t="s">
        <v>78</v>
      </c>
      <c r="F350" t="s">
        <v>79</v>
      </c>
      <c r="G350">
        <v>0.143721194502858</v>
      </c>
      <c r="H350">
        <v>2E+20</v>
      </c>
      <c r="I350">
        <v>0</v>
      </c>
      <c r="J350">
        <v>0.71860597251429104</v>
      </c>
      <c r="K350">
        <v>5</v>
      </c>
      <c r="L350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0.26398293867088973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1.7435191110142401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4.3109297911012803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6.14</v>
      </c>
      <c r="W350">
        <f>IF((DiscreteStatsTable[[#This Row],[RepsRequested]]&gt;1),DiscreteStatsTable[[#This Row],[HalfWidth]],DiscreteStatsTable[[#This Row],[BatchMeansHalfWidth]])</f>
        <v>9.521079817633088E-2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98</v>
      </c>
      <c r="C351">
        <v>50</v>
      </c>
      <c r="D351" t="s">
        <v>77</v>
      </c>
      <c r="E351" t="s">
        <v>78</v>
      </c>
      <c r="F351" t="s">
        <v>79</v>
      </c>
      <c r="G351">
        <v>0</v>
      </c>
      <c r="H351">
        <v>2E+20</v>
      </c>
      <c r="I351">
        <v>0</v>
      </c>
      <c r="J351">
        <v>0</v>
      </c>
      <c r="K351">
        <v>6</v>
      </c>
      <c r="L351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0.26398293867088973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0.33501707121372942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9.521079817633088E-2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1.7435191110142401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4.3109297911012803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6.14</v>
      </c>
      <c r="W351">
        <f>IF((DiscreteStatsTable[[#This Row],[RepsRequested]]&gt;1),DiscreteStatsTable[[#This Row],[HalfWidth]],DiscreteStatsTable[[#This Row],[BatchMeansHalfWidth]])</f>
        <v>9.521079817633088E-2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>
        <f>IF(DiscreteStatsTable[[#This Row],[RepsRequested]]=DiscreteStatsTable[[#This Row],[RepsWithStatObserved]],1,0)</f>
        <v>1</v>
      </c>
    </row>
  </sheetData>
  <phoneticPr fontId="2" type="noConversion"/>
  <conditionalFormatting sqref="H2:H351 Q2:Q351">
    <cfRule type="expression" dxfId="51" priority="23">
      <formula>H2=200000000000000000000</formula>
    </cfRule>
  </conditionalFormatting>
  <conditionalFormatting sqref="H2:H351">
    <cfRule type="expression" dxfId="50" priority="21">
      <formula>H2=300000000000000000000</formula>
    </cfRule>
  </conditionalFormatting>
  <conditionalFormatting sqref="L2:Y351">
    <cfRule type="expression" dxfId="49" priority="19">
      <formula>MOD(ROW(),2)=0</formula>
    </cfRule>
  </conditionalFormatting>
  <conditionalFormatting sqref="Y2:Y351">
    <cfRule type="expression" dxfId="48" priority="14">
      <formula>Y2=0</formula>
    </cfRule>
    <cfRule type="expression" dxfId="47" priority="16">
      <formula>Y2=1</formula>
    </cfRule>
  </conditionalFormatting>
  <conditionalFormatting sqref="Y3:Y351">
    <cfRule type="expression" dxfId="46" priority="15">
      <formula>Y3=1</formula>
    </cfRule>
  </conditionalFormatting>
  <conditionalFormatting sqref="W2:W35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351 W2:W35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5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4" width="12.36328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2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98</v>
      </c>
      <c r="C2">
        <v>1</v>
      </c>
      <c r="D2" t="s">
        <v>69</v>
      </c>
      <c r="E2" t="s">
        <v>80</v>
      </c>
      <c r="F2" t="s">
        <v>71</v>
      </c>
      <c r="G2">
        <v>0.91239525550601497</v>
      </c>
      <c r="H2">
        <v>2E+20</v>
      </c>
      <c r="I2">
        <v>0</v>
      </c>
      <c r="J2">
        <v>3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0.61713110674043503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3.1068745343639899</v>
      </c>
      <c r="U2">
        <f>IF((ContinuousStatsTable[[#This Row],[RepsRequested]]&gt;1),ContinuousStatsTable[[#This Row],[HalfWidth]],ContinuousStatsTable[[#This Row],[BatchMeansHalfWidth]])</f>
        <v>0.16185495883193918</v>
      </c>
    </row>
    <row r="3" spans="1:21" x14ac:dyDescent="0.35">
      <c r="A3" t="s">
        <v>66</v>
      </c>
      <c r="B3" t="s">
        <v>98</v>
      </c>
      <c r="C3">
        <v>1</v>
      </c>
      <c r="D3" t="s">
        <v>77</v>
      </c>
      <c r="E3" t="s">
        <v>81</v>
      </c>
      <c r="F3" t="s">
        <v>79</v>
      </c>
      <c r="G3">
        <v>8.4217411583121599E-2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1.3948152888114</v>
      </c>
      <c r="U3">
        <f>IF((ContinuousStatsTable[[#This Row],[RepsRequested]]&gt;1),ContinuousStatsTable[[#This Row],[HalfWidth]],ContinuousStatsTable[[#This Row],[BatchMeansHalfWidth]])</f>
        <v>8.2805514591213075E-2</v>
      </c>
    </row>
    <row r="4" spans="1:21" x14ac:dyDescent="0.35">
      <c r="A4" t="s">
        <v>66</v>
      </c>
      <c r="B4" t="s">
        <v>98</v>
      </c>
      <c r="C4">
        <v>1</v>
      </c>
      <c r="D4" t="s">
        <v>82</v>
      </c>
      <c r="E4" t="s">
        <v>83</v>
      </c>
      <c r="F4" t="s">
        <v>84</v>
      </c>
      <c r="G4">
        <v>0.41408892196144698</v>
      </c>
      <c r="H4">
        <v>2E+20</v>
      </c>
      <c r="I4">
        <v>0</v>
      </c>
      <c r="J4">
        <v>1</v>
      </c>
      <c r="K4">
        <v>0.5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0.30856555337021802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0.98721163888391195</v>
      </c>
      <c r="U4">
        <f>IF((ContinuousStatsTable[[#This Row],[RepsRequested]]&gt;1),ContinuousStatsTable[[#This Row],[HalfWidth]],ContinuousStatsTable[[#This Row],[BatchMeansHalfWidth]])</f>
        <v>4.7861696606629554E-2</v>
      </c>
    </row>
    <row r="5" spans="1:21" x14ac:dyDescent="0.35">
      <c r="A5" t="s">
        <v>66</v>
      </c>
      <c r="B5" t="s">
        <v>98</v>
      </c>
      <c r="C5">
        <v>1</v>
      </c>
      <c r="D5" t="s">
        <v>82</v>
      </c>
      <c r="E5" t="s">
        <v>85</v>
      </c>
      <c r="F5" t="s">
        <v>84</v>
      </c>
      <c r="G5">
        <v>0.82817784392289295</v>
      </c>
      <c r="H5">
        <v>2E+20</v>
      </c>
      <c r="I5">
        <v>0</v>
      </c>
      <c r="J5">
        <v>2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0.61713110674043503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1.9744232777678199</v>
      </c>
      <c r="U5">
        <f>IF((ContinuousStatsTable[[#This Row],[RepsRequested]]&gt;1),ContinuousStatsTable[[#This Row],[HalfWidth]],ContinuousStatsTable[[#This Row],[BatchMeansHalfWidth]])</f>
        <v>9.5723393213258262E-2</v>
      </c>
    </row>
    <row r="6" spans="1:21" x14ac:dyDescent="0.35">
      <c r="A6" t="s">
        <v>66</v>
      </c>
      <c r="B6" t="s">
        <v>98</v>
      </c>
      <c r="C6">
        <v>1</v>
      </c>
      <c r="D6" t="s">
        <v>82</v>
      </c>
      <c r="E6" t="s">
        <v>86</v>
      </c>
      <c r="F6" t="s">
        <v>84</v>
      </c>
      <c r="G6">
        <v>2</v>
      </c>
      <c r="H6">
        <v>2E+20</v>
      </c>
      <c r="I6">
        <v>2</v>
      </c>
      <c r="J6">
        <v>2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5">
      <c r="A7" t="s">
        <v>66</v>
      </c>
      <c r="B7" t="s">
        <v>98</v>
      </c>
      <c r="C7">
        <v>2</v>
      </c>
      <c r="D7" t="s">
        <v>69</v>
      </c>
      <c r="E7" t="s">
        <v>80</v>
      </c>
      <c r="F7" t="s">
        <v>71</v>
      </c>
      <c r="G7">
        <v>2.1174266091527798</v>
      </c>
      <c r="H7">
        <v>2E+20</v>
      </c>
      <c r="I7">
        <v>0</v>
      </c>
      <c r="J7">
        <v>4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0.61713110674043503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3.1068745343639899</v>
      </c>
      <c r="U7">
        <f>IF((ContinuousStatsTable[[#This Row],[RepsRequested]]&gt;1),ContinuousStatsTable[[#This Row],[HalfWidth]],ContinuousStatsTable[[#This Row],[BatchMeansHalfWidth]])</f>
        <v>0.16185495883193918</v>
      </c>
    </row>
    <row r="8" spans="1:21" x14ac:dyDescent="0.35">
      <c r="A8" t="s">
        <v>66</v>
      </c>
      <c r="B8" t="s">
        <v>98</v>
      </c>
      <c r="C8">
        <v>2</v>
      </c>
      <c r="D8" t="s">
        <v>77</v>
      </c>
      <c r="E8" t="s">
        <v>81</v>
      </c>
      <c r="F8" t="s">
        <v>79</v>
      </c>
      <c r="G8">
        <v>0.49265614890242798</v>
      </c>
      <c r="H8">
        <v>2E+20</v>
      </c>
      <c r="I8">
        <v>0</v>
      </c>
      <c r="J8">
        <v>2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1.3948152888114</v>
      </c>
      <c r="U8">
        <f>IF((ContinuousStatsTable[[#This Row],[RepsRequested]]&gt;1),ContinuousStatsTable[[#This Row],[HalfWidth]],ContinuousStatsTable[[#This Row],[BatchMeansHalfWidth]])</f>
        <v>8.2805514591213075E-2</v>
      </c>
    </row>
    <row r="9" spans="1:21" x14ac:dyDescent="0.35">
      <c r="A9" t="s">
        <v>66</v>
      </c>
      <c r="B9" t="s">
        <v>98</v>
      </c>
      <c r="C9">
        <v>2</v>
      </c>
      <c r="D9" t="s">
        <v>82</v>
      </c>
      <c r="E9" t="s">
        <v>83</v>
      </c>
      <c r="F9" t="s">
        <v>84</v>
      </c>
      <c r="G9">
        <v>0.81238523012517605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0.30856555337021802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0.98721163888391195</v>
      </c>
      <c r="U9">
        <f>IF((ContinuousStatsTable[[#This Row],[RepsRequested]]&gt;1),ContinuousStatsTable[[#This Row],[HalfWidth]],ContinuousStatsTable[[#This Row],[BatchMeansHalfWidth]])</f>
        <v>4.7861696606629554E-2</v>
      </c>
    </row>
    <row r="10" spans="1:21" x14ac:dyDescent="0.35">
      <c r="A10" t="s">
        <v>66</v>
      </c>
      <c r="B10" t="s">
        <v>98</v>
      </c>
      <c r="C10">
        <v>2</v>
      </c>
      <c r="D10" t="s">
        <v>82</v>
      </c>
      <c r="E10" t="s">
        <v>85</v>
      </c>
      <c r="F10" t="s">
        <v>84</v>
      </c>
      <c r="G10">
        <v>1.6247704602503501</v>
      </c>
      <c r="H10">
        <v>2E+20</v>
      </c>
      <c r="I10">
        <v>0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0.61713110674043503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1.9744232777678199</v>
      </c>
      <c r="U10">
        <f>IF((ContinuousStatsTable[[#This Row],[RepsRequested]]&gt;1),ContinuousStatsTable[[#This Row],[HalfWidth]],ContinuousStatsTable[[#This Row],[BatchMeansHalfWidth]])</f>
        <v>9.5723393213258262E-2</v>
      </c>
    </row>
    <row r="11" spans="1:21" x14ac:dyDescent="0.35">
      <c r="A11" t="s">
        <v>66</v>
      </c>
      <c r="B11" t="s">
        <v>98</v>
      </c>
      <c r="C11">
        <v>2</v>
      </c>
      <c r="D11" t="s">
        <v>82</v>
      </c>
      <c r="E11" t="s">
        <v>86</v>
      </c>
      <c r="F11" t="s">
        <v>84</v>
      </c>
      <c r="G11">
        <v>2</v>
      </c>
      <c r="H11">
        <v>2E+20</v>
      </c>
      <c r="I11">
        <v>2</v>
      </c>
      <c r="J11">
        <v>2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98</v>
      </c>
      <c r="C12">
        <v>3</v>
      </c>
      <c r="D12" t="s">
        <v>69</v>
      </c>
      <c r="E12" t="s">
        <v>80</v>
      </c>
      <c r="F12" t="s">
        <v>71</v>
      </c>
      <c r="G12">
        <v>1.3797987174989199</v>
      </c>
      <c r="H12">
        <v>2E+20</v>
      </c>
      <c r="I12">
        <v>0</v>
      </c>
      <c r="J12">
        <v>2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0.61713110674043503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3.1068745343639899</v>
      </c>
      <c r="U12">
        <f>IF((ContinuousStatsTable[[#This Row],[RepsRequested]]&gt;1),ContinuousStatsTable[[#This Row],[HalfWidth]],ContinuousStatsTable[[#This Row],[BatchMeansHalfWidth]])</f>
        <v>0.16185495883193918</v>
      </c>
    </row>
    <row r="13" spans="1:21" x14ac:dyDescent="0.35">
      <c r="A13" t="s">
        <v>66</v>
      </c>
      <c r="B13" t="s">
        <v>98</v>
      </c>
      <c r="C13">
        <v>3</v>
      </c>
      <c r="D13" t="s">
        <v>77</v>
      </c>
      <c r="E13" t="s">
        <v>81</v>
      </c>
      <c r="F13" t="s">
        <v>79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1.3948152888114</v>
      </c>
      <c r="U13">
        <f>IF((ContinuousStatsTable[[#This Row],[RepsRequested]]&gt;1),ContinuousStatsTable[[#This Row],[HalfWidth]],ContinuousStatsTable[[#This Row],[BatchMeansHalfWidth]])</f>
        <v>8.2805514591213075E-2</v>
      </c>
    </row>
    <row r="14" spans="1:21" x14ac:dyDescent="0.35">
      <c r="A14" t="s">
        <v>66</v>
      </c>
      <c r="B14" t="s">
        <v>98</v>
      </c>
      <c r="C14">
        <v>3</v>
      </c>
      <c r="D14" t="s">
        <v>82</v>
      </c>
      <c r="E14" t="s">
        <v>83</v>
      </c>
      <c r="F14" t="s">
        <v>84</v>
      </c>
      <c r="G14">
        <v>0.68989935874945996</v>
      </c>
      <c r="H14">
        <v>2E+20</v>
      </c>
      <c r="I14">
        <v>0</v>
      </c>
      <c r="J14">
        <v>1</v>
      </c>
      <c r="K14">
        <v>0.5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0.30856555337021802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0.98721163888391195</v>
      </c>
      <c r="U14">
        <f>IF((ContinuousStatsTable[[#This Row],[RepsRequested]]&gt;1),ContinuousStatsTable[[#This Row],[HalfWidth]],ContinuousStatsTable[[#This Row],[BatchMeansHalfWidth]])</f>
        <v>4.7861696606629554E-2</v>
      </c>
    </row>
    <row r="15" spans="1:21" x14ac:dyDescent="0.35">
      <c r="A15" t="s">
        <v>66</v>
      </c>
      <c r="B15" t="s">
        <v>98</v>
      </c>
      <c r="C15">
        <v>3</v>
      </c>
      <c r="D15" t="s">
        <v>82</v>
      </c>
      <c r="E15" t="s">
        <v>85</v>
      </c>
      <c r="F15" t="s">
        <v>84</v>
      </c>
      <c r="G15">
        <v>1.3797987174989199</v>
      </c>
      <c r="H15">
        <v>2E+20</v>
      </c>
      <c r="I15">
        <v>0</v>
      </c>
      <c r="J15">
        <v>2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0.61713110674043503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1.9744232777678199</v>
      </c>
      <c r="U15">
        <f>IF((ContinuousStatsTable[[#This Row],[RepsRequested]]&gt;1),ContinuousStatsTable[[#This Row],[HalfWidth]],ContinuousStatsTable[[#This Row],[BatchMeansHalfWidth]])</f>
        <v>9.5723393213258262E-2</v>
      </c>
    </row>
    <row r="16" spans="1:21" x14ac:dyDescent="0.35">
      <c r="A16" t="s">
        <v>66</v>
      </c>
      <c r="B16" t="s">
        <v>98</v>
      </c>
      <c r="C16">
        <v>3</v>
      </c>
      <c r="D16" t="s">
        <v>82</v>
      </c>
      <c r="E16" t="s">
        <v>86</v>
      </c>
      <c r="F16" t="s">
        <v>84</v>
      </c>
      <c r="G16">
        <v>2</v>
      </c>
      <c r="H16">
        <v>2E+20</v>
      </c>
      <c r="I16">
        <v>2</v>
      </c>
      <c r="J16">
        <v>2</v>
      </c>
      <c r="K16">
        <v>2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2</v>
      </c>
      <c r="U16">
        <f>IF((ContinuousStatsTable[[#This Row],[RepsRequested]]&gt;1),ContinuousStatsTable[[#This Row],[HalfWidth]],ContinuousStatsTable[[#This Row],[BatchMeansHalfWidth]])</f>
        <v>0</v>
      </c>
    </row>
    <row r="17" spans="1:21" x14ac:dyDescent="0.35">
      <c r="A17" t="s">
        <v>66</v>
      </c>
      <c r="B17" t="s">
        <v>98</v>
      </c>
      <c r="C17">
        <v>4</v>
      </c>
      <c r="D17" t="s">
        <v>69</v>
      </c>
      <c r="E17" t="s">
        <v>80</v>
      </c>
      <c r="F17" t="s">
        <v>71</v>
      </c>
      <c r="G17">
        <v>1.48946544846559</v>
      </c>
      <c r="H17">
        <v>2E+20</v>
      </c>
      <c r="I17">
        <v>0</v>
      </c>
      <c r="J17">
        <v>4</v>
      </c>
      <c r="K17">
        <v>3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0.61713110674043503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3.1068745343639899</v>
      </c>
      <c r="U17">
        <f>IF((ContinuousStatsTable[[#This Row],[RepsRequested]]&gt;1),ContinuousStatsTable[[#This Row],[HalfWidth]],ContinuousStatsTable[[#This Row],[BatchMeansHalfWidth]])</f>
        <v>0.16185495883193918</v>
      </c>
    </row>
    <row r="18" spans="1:21" x14ac:dyDescent="0.35">
      <c r="A18" t="s">
        <v>66</v>
      </c>
      <c r="B18" t="s">
        <v>98</v>
      </c>
      <c r="C18">
        <v>4</v>
      </c>
      <c r="D18" t="s">
        <v>77</v>
      </c>
      <c r="E18" t="s">
        <v>81</v>
      </c>
      <c r="F18" t="s">
        <v>79</v>
      </c>
      <c r="G18">
        <v>0.235337685310958</v>
      </c>
      <c r="H18">
        <v>2E+20</v>
      </c>
      <c r="I18">
        <v>0</v>
      </c>
      <c r="J18">
        <v>2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1.3948152888114</v>
      </c>
      <c r="U18">
        <f>IF((ContinuousStatsTable[[#This Row],[RepsRequested]]&gt;1),ContinuousStatsTable[[#This Row],[HalfWidth]],ContinuousStatsTable[[#This Row],[BatchMeansHalfWidth]])</f>
        <v>8.2805514591213075E-2</v>
      </c>
    </row>
    <row r="19" spans="1:21" x14ac:dyDescent="0.35">
      <c r="A19" t="s">
        <v>66</v>
      </c>
      <c r="B19" t="s">
        <v>98</v>
      </c>
      <c r="C19">
        <v>4</v>
      </c>
      <c r="D19" t="s">
        <v>82</v>
      </c>
      <c r="E19" t="s">
        <v>83</v>
      </c>
      <c r="F19" t="s">
        <v>84</v>
      </c>
      <c r="G19">
        <v>0.62706388157731396</v>
      </c>
      <c r="H19">
        <v>2E+20</v>
      </c>
      <c r="I19">
        <v>0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0.30856555337021802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0.98721163888391195</v>
      </c>
      <c r="U19">
        <f>IF((ContinuousStatsTable[[#This Row],[RepsRequested]]&gt;1),ContinuousStatsTable[[#This Row],[HalfWidth]],ContinuousStatsTable[[#This Row],[BatchMeansHalfWidth]])</f>
        <v>4.7861696606629554E-2</v>
      </c>
    </row>
    <row r="20" spans="1:21" x14ac:dyDescent="0.35">
      <c r="A20" t="s">
        <v>66</v>
      </c>
      <c r="B20" t="s">
        <v>98</v>
      </c>
      <c r="C20">
        <v>4</v>
      </c>
      <c r="D20" t="s">
        <v>82</v>
      </c>
      <c r="E20" t="s">
        <v>85</v>
      </c>
      <c r="F20" t="s">
        <v>84</v>
      </c>
      <c r="G20">
        <v>1.2541277631546299</v>
      </c>
      <c r="H20">
        <v>2E+20</v>
      </c>
      <c r="I20">
        <v>0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0.61713110674043503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1.9744232777678199</v>
      </c>
      <c r="U20">
        <f>IF((ContinuousStatsTable[[#This Row],[RepsRequested]]&gt;1),ContinuousStatsTable[[#This Row],[HalfWidth]],ContinuousStatsTable[[#This Row],[BatchMeansHalfWidth]])</f>
        <v>9.5723393213258262E-2</v>
      </c>
    </row>
    <row r="21" spans="1:21" x14ac:dyDescent="0.35">
      <c r="A21" t="s">
        <v>66</v>
      </c>
      <c r="B21" t="s">
        <v>98</v>
      </c>
      <c r="C21">
        <v>4</v>
      </c>
      <c r="D21" t="s">
        <v>82</v>
      </c>
      <c r="E21" t="s">
        <v>86</v>
      </c>
      <c r="F21" t="s">
        <v>84</v>
      </c>
      <c r="G21">
        <v>2</v>
      </c>
      <c r="H21">
        <v>2E+20</v>
      </c>
      <c r="I21">
        <v>2</v>
      </c>
      <c r="J21">
        <v>2</v>
      </c>
      <c r="K21">
        <v>2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2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35">
      <c r="A22" t="s">
        <v>66</v>
      </c>
      <c r="B22" t="s">
        <v>98</v>
      </c>
      <c r="C22">
        <v>5</v>
      </c>
      <c r="D22" t="s">
        <v>69</v>
      </c>
      <c r="E22" t="s">
        <v>80</v>
      </c>
      <c r="F22" t="s">
        <v>71</v>
      </c>
      <c r="G22">
        <v>1.5401493720394801</v>
      </c>
      <c r="H22">
        <v>2E+20</v>
      </c>
      <c r="I22">
        <v>0</v>
      </c>
      <c r="J22">
        <v>3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0.61713110674043503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3.1068745343639899</v>
      </c>
      <c r="U22">
        <f>IF((ContinuousStatsTable[[#This Row],[RepsRequested]]&gt;1),ContinuousStatsTable[[#This Row],[HalfWidth]],ContinuousStatsTable[[#This Row],[BatchMeansHalfWidth]])</f>
        <v>0.16185495883193918</v>
      </c>
    </row>
    <row r="23" spans="1:21" x14ac:dyDescent="0.35">
      <c r="A23" t="s">
        <v>66</v>
      </c>
      <c r="B23" t="s">
        <v>98</v>
      </c>
      <c r="C23">
        <v>5</v>
      </c>
      <c r="D23" t="s">
        <v>77</v>
      </c>
      <c r="E23" t="s">
        <v>81</v>
      </c>
      <c r="F23" t="s">
        <v>79</v>
      </c>
      <c r="G23">
        <v>0.123204504297366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1.3948152888114</v>
      </c>
      <c r="U23">
        <f>IF((ContinuousStatsTable[[#This Row],[RepsRequested]]&gt;1),ContinuousStatsTable[[#This Row],[HalfWidth]],ContinuousStatsTable[[#This Row],[BatchMeansHalfWidth]])</f>
        <v>8.2805514591213075E-2</v>
      </c>
    </row>
    <row r="24" spans="1:21" x14ac:dyDescent="0.35">
      <c r="A24" t="s">
        <v>66</v>
      </c>
      <c r="B24" t="s">
        <v>98</v>
      </c>
      <c r="C24">
        <v>5</v>
      </c>
      <c r="D24" t="s">
        <v>82</v>
      </c>
      <c r="E24" t="s">
        <v>83</v>
      </c>
      <c r="F24" t="s">
        <v>84</v>
      </c>
      <c r="G24">
        <v>0.70847243387105696</v>
      </c>
      <c r="H24">
        <v>2E+20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0.30856555337021802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0.98721163888391195</v>
      </c>
      <c r="U24">
        <f>IF((ContinuousStatsTable[[#This Row],[RepsRequested]]&gt;1),ContinuousStatsTable[[#This Row],[HalfWidth]],ContinuousStatsTable[[#This Row],[BatchMeansHalfWidth]])</f>
        <v>4.7861696606629554E-2</v>
      </c>
    </row>
    <row r="25" spans="1:21" x14ac:dyDescent="0.35">
      <c r="A25" t="s">
        <v>66</v>
      </c>
      <c r="B25" t="s">
        <v>98</v>
      </c>
      <c r="C25">
        <v>5</v>
      </c>
      <c r="D25" t="s">
        <v>82</v>
      </c>
      <c r="E25" t="s">
        <v>85</v>
      </c>
      <c r="F25" t="s">
        <v>84</v>
      </c>
      <c r="G25">
        <v>1.4169448677421099</v>
      </c>
      <c r="H25">
        <v>2E+20</v>
      </c>
      <c r="I25">
        <v>0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0.61713110674043503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1.9744232777678199</v>
      </c>
      <c r="U25">
        <f>IF((ContinuousStatsTable[[#This Row],[RepsRequested]]&gt;1),ContinuousStatsTable[[#This Row],[HalfWidth]],ContinuousStatsTable[[#This Row],[BatchMeansHalfWidth]])</f>
        <v>9.5723393213258262E-2</v>
      </c>
    </row>
    <row r="26" spans="1:21" x14ac:dyDescent="0.35">
      <c r="A26" t="s">
        <v>66</v>
      </c>
      <c r="B26" t="s">
        <v>98</v>
      </c>
      <c r="C26">
        <v>5</v>
      </c>
      <c r="D26" t="s">
        <v>82</v>
      </c>
      <c r="E26" t="s">
        <v>86</v>
      </c>
      <c r="F26" t="s">
        <v>84</v>
      </c>
      <c r="G26">
        <v>2</v>
      </c>
      <c r="H26">
        <v>2E+20</v>
      </c>
      <c r="I26">
        <v>2</v>
      </c>
      <c r="J26">
        <v>2</v>
      </c>
      <c r="K26">
        <v>2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2</v>
      </c>
      <c r="U26">
        <f>IF((ContinuousStatsTable[[#This Row],[RepsRequested]]&gt;1),ContinuousStatsTable[[#This Row],[HalfWidth]],ContinuousStatsTable[[#This Row],[BatchMeansHalfWidth]])</f>
        <v>0</v>
      </c>
    </row>
    <row r="27" spans="1:21" x14ac:dyDescent="0.35">
      <c r="A27" t="s">
        <v>66</v>
      </c>
      <c r="B27" t="s">
        <v>98</v>
      </c>
      <c r="C27">
        <v>6</v>
      </c>
      <c r="D27" t="s">
        <v>69</v>
      </c>
      <c r="E27" t="s">
        <v>80</v>
      </c>
      <c r="F27" t="s">
        <v>71</v>
      </c>
      <c r="G27">
        <v>2.07104756827703</v>
      </c>
      <c r="H27">
        <v>2E+20</v>
      </c>
      <c r="I27">
        <v>0</v>
      </c>
      <c r="J27">
        <v>4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0.61713110674043503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3.1068745343639899</v>
      </c>
      <c r="U27">
        <f>IF((ContinuousStatsTable[[#This Row],[RepsRequested]]&gt;1),ContinuousStatsTable[[#This Row],[HalfWidth]],ContinuousStatsTable[[#This Row],[BatchMeansHalfWidth]])</f>
        <v>0.16185495883193918</v>
      </c>
    </row>
    <row r="28" spans="1:21" x14ac:dyDescent="0.35">
      <c r="A28" t="s">
        <v>66</v>
      </c>
      <c r="B28" t="s">
        <v>98</v>
      </c>
      <c r="C28">
        <v>6</v>
      </c>
      <c r="D28" t="s">
        <v>77</v>
      </c>
      <c r="E28" t="s">
        <v>81</v>
      </c>
      <c r="F28" t="s">
        <v>79</v>
      </c>
      <c r="G28">
        <v>0.262178562928087</v>
      </c>
      <c r="H28">
        <v>2E+20</v>
      </c>
      <c r="I28">
        <v>0</v>
      </c>
      <c r="J28">
        <v>2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1.3948152888114</v>
      </c>
      <c r="U28">
        <f>IF((ContinuousStatsTable[[#This Row],[RepsRequested]]&gt;1),ContinuousStatsTable[[#This Row],[HalfWidth]],ContinuousStatsTable[[#This Row],[BatchMeansHalfWidth]])</f>
        <v>8.2805514591213075E-2</v>
      </c>
    </row>
    <row r="29" spans="1:21" x14ac:dyDescent="0.35">
      <c r="A29" t="s">
        <v>66</v>
      </c>
      <c r="B29" t="s">
        <v>98</v>
      </c>
      <c r="C29">
        <v>6</v>
      </c>
      <c r="D29" t="s">
        <v>82</v>
      </c>
      <c r="E29" t="s">
        <v>83</v>
      </c>
      <c r="F29" t="s">
        <v>84</v>
      </c>
      <c r="G29">
        <v>0.90443450267447301</v>
      </c>
      <c r="H29">
        <v>2E+20</v>
      </c>
      <c r="I29">
        <v>0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0.30856555337021802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0.98721163888391195</v>
      </c>
      <c r="U29">
        <f>IF((ContinuousStatsTable[[#This Row],[RepsRequested]]&gt;1),ContinuousStatsTable[[#This Row],[HalfWidth]],ContinuousStatsTable[[#This Row],[BatchMeansHalfWidth]])</f>
        <v>4.7861696606629554E-2</v>
      </c>
    </row>
    <row r="30" spans="1:21" x14ac:dyDescent="0.35">
      <c r="A30" t="s">
        <v>66</v>
      </c>
      <c r="B30" t="s">
        <v>98</v>
      </c>
      <c r="C30">
        <v>6</v>
      </c>
      <c r="D30" t="s">
        <v>82</v>
      </c>
      <c r="E30" t="s">
        <v>85</v>
      </c>
      <c r="F30" t="s">
        <v>84</v>
      </c>
      <c r="G30">
        <v>1.80886900534895</v>
      </c>
      <c r="H30">
        <v>2E+20</v>
      </c>
      <c r="I30">
        <v>0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0.61713110674043503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1.9744232777678199</v>
      </c>
      <c r="U30">
        <f>IF((ContinuousStatsTable[[#This Row],[RepsRequested]]&gt;1),ContinuousStatsTable[[#This Row],[HalfWidth]],ContinuousStatsTable[[#This Row],[BatchMeansHalfWidth]])</f>
        <v>9.5723393213258262E-2</v>
      </c>
    </row>
    <row r="31" spans="1:21" x14ac:dyDescent="0.35">
      <c r="A31" t="s">
        <v>66</v>
      </c>
      <c r="B31" t="s">
        <v>98</v>
      </c>
      <c r="C31">
        <v>6</v>
      </c>
      <c r="D31" t="s">
        <v>82</v>
      </c>
      <c r="E31" t="s">
        <v>86</v>
      </c>
      <c r="F31" t="s">
        <v>84</v>
      </c>
      <c r="G31">
        <v>2</v>
      </c>
      <c r="H31">
        <v>2E+20</v>
      </c>
      <c r="I31">
        <v>2</v>
      </c>
      <c r="J31">
        <v>2</v>
      </c>
      <c r="K31">
        <v>2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35">
      <c r="A32" t="s">
        <v>66</v>
      </c>
      <c r="B32" t="s">
        <v>98</v>
      </c>
      <c r="C32">
        <v>7</v>
      </c>
      <c r="D32" t="s">
        <v>69</v>
      </c>
      <c r="E32" t="s">
        <v>80</v>
      </c>
      <c r="F32" t="s">
        <v>71</v>
      </c>
      <c r="G32">
        <v>1.26477116698575</v>
      </c>
      <c r="H32">
        <v>2E+20</v>
      </c>
      <c r="I32">
        <v>0</v>
      </c>
      <c r="J32">
        <v>2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0.61713110674043503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3.1068745343639899</v>
      </c>
      <c r="U32">
        <f>IF((ContinuousStatsTable[[#This Row],[RepsRequested]]&gt;1),ContinuousStatsTable[[#This Row],[HalfWidth]],ContinuousStatsTable[[#This Row],[BatchMeansHalfWidth]])</f>
        <v>0.16185495883193918</v>
      </c>
    </row>
    <row r="33" spans="1:21" x14ac:dyDescent="0.35">
      <c r="A33" t="s">
        <v>66</v>
      </c>
      <c r="B33" t="s">
        <v>98</v>
      </c>
      <c r="C33">
        <v>7</v>
      </c>
      <c r="D33" t="s">
        <v>77</v>
      </c>
      <c r="E33" t="s">
        <v>81</v>
      </c>
      <c r="F33" t="s">
        <v>79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1.3948152888114</v>
      </c>
      <c r="U33">
        <f>IF((ContinuousStatsTable[[#This Row],[RepsRequested]]&gt;1),ContinuousStatsTable[[#This Row],[HalfWidth]],ContinuousStatsTable[[#This Row],[BatchMeansHalfWidth]])</f>
        <v>8.2805514591213075E-2</v>
      </c>
    </row>
    <row r="34" spans="1:21" x14ac:dyDescent="0.35">
      <c r="A34" t="s">
        <v>66</v>
      </c>
      <c r="B34" t="s">
        <v>98</v>
      </c>
      <c r="C34">
        <v>7</v>
      </c>
      <c r="D34" t="s">
        <v>82</v>
      </c>
      <c r="E34" t="s">
        <v>83</v>
      </c>
      <c r="F34" t="s">
        <v>84</v>
      </c>
      <c r="G34">
        <v>0.63238558349287399</v>
      </c>
      <c r="H34">
        <v>2E+20</v>
      </c>
      <c r="I34">
        <v>0</v>
      </c>
      <c r="J34">
        <v>1</v>
      </c>
      <c r="K34">
        <v>0.5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0.30856555337021802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0.98721163888391195</v>
      </c>
      <c r="U34">
        <f>IF((ContinuousStatsTable[[#This Row],[RepsRequested]]&gt;1),ContinuousStatsTable[[#This Row],[HalfWidth]],ContinuousStatsTable[[#This Row],[BatchMeansHalfWidth]])</f>
        <v>4.7861696606629554E-2</v>
      </c>
    </row>
    <row r="35" spans="1:21" x14ac:dyDescent="0.35">
      <c r="A35" t="s">
        <v>66</v>
      </c>
      <c r="B35" t="s">
        <v>98</v>
      </c>
      <c r="C35">
        <v>7</v>
      </c>
      <c r="D35" t="s">
        <v>82</v>
      </c>
      <c r="E35" t="s">
        <v>85</v>
      </c>
      <c r="F35" t="s">
        <v>84</v>
      </c>
      <c r="G35">
        <v>1.26477116698575</v>
      </c>
      <c r="H35">
        <v>2E+20</v>
      </c>
      <c r="I35">
        <v>0</v>
      </c>
      <c r="J35">
        <v>2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0.61713110674043503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1.9744232777678199</v>
      </c>
      <c r="U35">
        <f>IF((ContinuousStatsTable[[#This Row],[RepsRequested]]&gt;1),ContinuousStatsTable[[#This Row],[HalfWidth]],ContinuousStatsTable[[#This Row],[BatchMeansHalfWidth]])</f>
        <v>9.5723393213258262E-2</v>
      </c>
    </row>
    <row r="36" spans="1:21" x14ac:dyDescent="0.35">
      <c r="A36" t="s">
        <v>66</v>
      </c>
      <c r="B36" t="s">
        <v>98</v>
      </c>
      <c r="C36">
        <v>7</v>
      </c>
      <c r="D36" t="s">
        <v>82</v>
      </c>
      <c r="E36" t="s">
        <v>86</v>
      </c>
      <c r="F36" t="s">
        <v>84</v>
      </c>
      <c r="G36">
        <v>2</v>
      </c>
      <c r="H36">
        <v>2E+20</v>
      </c>
      <c r="I36">
        <v>2</v>
      </c>
      <c r="J36">
        <v>2</v>
      </c>
      <c r="K36">
        <v>2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</v>
      </c>
      <c r="U36">
        <f>IF((ContinuousStatsTable[[#This Row],[RepsRequested]]&gt;1),ContinuousStatsTable[[#This Row],[HalfWidth]],ContinuousStatsTable[[#This Row],[BatchMeansHalfWidth]])</f>
        <v>0</v>
      </c>
    </row>
    <row r="37" spans="1:21" x14ac:dyDescent="0.35">
      <c r="A37" t="s">
        <v>66</v>
      </c>
      <c r="B37" t="s">
        <v>98</v>
      </c>
      <c r="C37">
        <v>8</v>
      </c>
      <c r="D37" t="s">
        <v>69</v>
      </c>
      <c r="E37" t="s">
        <v>80</v>
      </c>
      <c r="F37" t="s">
        <v>71</v>
      </c>
      <c r="G37">
        <v>1.47225533359885</v>
      </c>
      <c r="H37">
        <v>2E+20</v>
      </c>
      <c r="I37">
        <v>0</v>
      </c>
      <c r="J37">
        <v>3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0.61713110674043503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3.1068745343639899</v>
      </c>
      <c r="U37">
        <f>IF((ContinuousStatsTable[[#This Row],[RepsRequested]]&gt;1),ContinuousStatsTable[[#This Row],[HalfWidth]],ContinuousStatsTable[[#This Row],[BatchMeansHalfWidth]])</f>
        <v>0.16185495883193918</v>
      </c>
    </row>
    <row r="38" spans="1:21" x14ac:dyDescent="0.35">
      <c r="A38" t="s">
        <v>66</v>
      </c>
      <c r="B38" t="s">
        <v>98</v>
      </c>
      <c r="C38">
        <v>8</v>
      </c>
      <c r="D38" t="s">
        <v>77</v>
      </c>
      <c r="E38" t="s">
        <v>81</v>
      </c>
      <c r="F38" t="s">
        <v>79</v>
      </c>
      <c r="G38">
        <v>0.10335437861043401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1.3948152888114</v>
      </c>
      <c r="U38">
        <f>IF((ContinuousStatsTable[[#This Row],[RepsRequested]]&gt;1),ContinuousStatsTable[[#This Row],[HalfWidth]],ContinuousStatsTable[[#This Row],[BatchMeansHalfWidth]])</f>
        <v>8.2805514591213075E-2</v>
      </c>
    </row>
    <row r="39" spans="1:21" x14ac:dyDescent="0.35">
      <c r="A39" t="s">
        <v>66</v>
      </c>
      <c r="B39" t="s">
        <v>98</v>
      </c>
      <c r="C39">
        <v>8</v>
      </c>
      <c r="D39" t="s">
        <v>82</v>
      </c>
      <c r="E39" t="s">
        <v>83</v>
      </c>
      <c r="F39" t="s">
        <v>84</v>
      </c>
      <c r="G39">
        <v>0.68445047749420795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0.30856555337021802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0.98721163888391195</v>
      </c>
      <c r="U39">
        <f>IF((ContinuousStatsTable[[#This Row],[RepsRequested]]&gt;1),ContinuousStatsTable[[#This Row],[HalfWidth]],ContinuousStatsTable[[#This Row],[BatchMeansHalfWidth]])</f>
        <v>4.7861696606629554E-2</v>
      </c>
    </row>
    <row r="40" spans="1:21" x14ac:dyDescent="0.35">
      <c r="A40" t="s">
        <v>66</v>
      </c>
      <c r="B40" t="s">
        <v>98</v>
      </c>
      <c r="C40">
        <v>8</v>
      </c>
      <c r="D40" t="s">
        <v>82</v>
      </c>
      <c r="E40" t="s">
        <v>85</v>
      </c>
      <c r="F40" t="s">
        <v>84</v>
      </c>
      <c r="G40">
        <v>1.3689009549884199</v>
      </c>
      <c r="H40">
        <v>2E+20</v>
      </c>
      <c r="I40">
        <v>0</v>
      </c>
      <c r="J40">
        <v>2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0.61713110674043503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1.9744232777678199</v>
      </c>
      <c r="U40">
        <f>IF((ContinuousStatsTable[[#This Row],[RepsRequested]]&gt;1),ContinuousStatsTable[[#This Row],[HalfWidth]],ContinuousStatsTable[[#This Row],[BatchMeansHalfWidth]])</f>
        <v>9.5723393213258262E-2</v>
      </c>
    </row>
    <row r="41" spans="1:21" x14ac:dyDescent="0.35">
      <c r="A41" t="s">
        <v>66</v>
      </c>
      <c r="B41" t="s">
        <v>98</v>
      </c>
      <c r="C41">
        <v>8</v>
      </c>
      <c r="D41" t="s">
        <v>82</v>
      </c>
      <c r="E41" t="s">
        <v>86</v>
      </c>
      <c r="F41" t="s">
        <v>84</v>
      </c>
      <c r="G41">
        <v>2</v>
      </c>
      <c r="H41">
        <v>2E+20</v>
      </c>
      <c r="I41">
        <v>2</v>
      </c>
      <c r="J41">
        <v>2</v>
      </c>
      <c r="K41">
        <v>2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35">
      <c r="A42" t="s">
        <v>66</v>
      </c>
      <c r="B42" t="s">
        <v>98</v>
      </c>
      <c r="C42">
        <v>9</v>
      </c>
      <c r="D42" t="s">
        <v>69</v>
      </c>
      <c r="E42" t="s">
        <v>80</v>
      </c>
      <c r="F42" t="s">
        <v>71</v>
      </c>
      <c r="G42">
        <v>1.4855512588522799</v>
      </c>
      <c r="H42">
        <v>2E+20</v>
      </c>
      <c r="I42">
        <v>0</v>
      </c>
      <c r="J42">
        <v>3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0.61713110674043503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3.1068745343639899</v>
      </c>
      <c r="U42">
        <f>IF((ContinuousStatsTable[[#This Row],[RepsRequested]]&gt;1),ContinuousStatsTable[[#This Row],[HalfWidth]],ContinuousStatsTable[[#This Row],[BatchMeansHalfWidth]])</f>
        <v>0.16185495883193918</v>
      </c>
    </row>
    <row r="43" spans="1:21" x14ac:dyDescent="0.35">
      <c r="A43" t="s">
        <v>66</v>
      </c>
      <c r="B43" t="s">
        <v>98</v>
      </c>
      <c r="C43">
        <v>9</v>
      </c>
      <c r="D43" t="s">
        <v>77</v>
      </c>
      <c r="E43" t="s">
        <v>81</v>
      </c>
      <c r="F43" t="s">
        <v>79</v>
      </c>
      <c r="G43">
        <v>0.13426977998873599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1.3948152888114</v>
      </c>
      <c r="U43">
        <f>IF((ContinuousStatsTable[[#This Row],[RepsRequested]]&gt;1),ContinuousStatsTable[[#This Row],[HalfWidth]],ContinuousStatsTable[[#This Row],[BatchMeansHalfWidth]])</f>
        <v>8.2805514591213075E-2</v>
      </c>
    </row>
    <row r="44" spans="1:21" x14ac:dyDescent="0.35">
      <c r="A44" t="s">
        <v>66</v>
      </c>
      <c r="B44" t="s">
        <v>98</v>
      </c>
      <c r="C44">
        <v>9</v>
      </c>
      <c r="D44" t="s">
        <v>82</v>
      </c>
      <c r="E44" t="s">
        <v>83</v>
      </c>
      <c r="F44" t="s">
        <v>84</v>
      </c>
      <c r="G44">
        <v>0.67564073943177405</v>
      </c>
      <c r="H44">
        <v>2E+20</v>
      </c>
      <c r="I44">
        <v>0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0.30856555337021802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0.98721163888391195</v>
      </c>
      <c r="U44">
        <f>IF((ContinuousStatsTable[[#This Row],[RepsRequested]]&gt;1),ContinuousStatsTable[[#This Row],[HalfWidth]],ContinuousStatsTable[[#This Row],[BatchMeansHalfWidth]])</f>
        <v>4.7861696606629554E-2</v>
      </c>
    </row>
    <row r="45" spans="1:21" x14ac:dyDescent="0.35">
      <c r="A45" t="s">
        <v>66</v>
      </c>
      <c r="B45" t="s">
        <v>98</v>
      </c>
      <c r="C45">
        <v>9</v>
      </c>
      <c r="D45" t="s">
        <v>82</v>
      </c>
      <c r="E45" t="s">
        <v>85</v>
      </c>
      <c r="F45" t="s">
        <v>84</v>
      </c>
      <c r="G45">
        <v>1.3512814788635501</v>
      </c>
      <c r="H45">
        <v>2E+20</v>
      </c>
      <c r="I45">
        <v>0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0.61713110674043503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1.9744232777678199</v>
      </c>
      <c r="U45">
        <f>IF((ContinuousStatsTable[[#This Row],[RepsRequested]]&gt;1),ContinuousStatsTable[[#This Row],[HalfWidth]],ContinuousStatsTable[[#This Row],[BatchMeansHalfWidth]])</f>
        <v>9.5723393213258262E-2</v>
      </c>
    </row>
    <row r="46" spans="1:21" x14ac:dyDescent="0.35">
      <c r="A46" t="s">
        <v>66</v>
      </c>
      <c r="B46" t="s">
        <v>98</v>
      </c>
      <c r="C46">
        <v>9</v>
      </c>
      <c r="D46" t="s">
        <v>82</v>
      </c>
      <c r="E46" t="s">
        <v>86</v>
      </c>
      <c r="F46" t="s">
        <v>84</v>
      </c>
      <c r="G46">
        <v>2</v>
      </c>
      <c r="H46">
        <v>2E+20</v>
      </c>
      <c r="I46">
        <v>2</v>
      </c>
      <c r="J46">
        <v>2</v>
      </c>
      <c r="K46">
        <v>2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2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98</v>
      </c>
      <c r="C47">
        <v>10</v>
      </c>
      <c r="D47" t="s">
        <v>69</v>
      </c>
      <c r="E47" t="s">
        <v>80</v>
      </c>
      <c r="F47" t="s">
        <v>71</v>
      </c>
      <c r="G47">
        <v>1.4756199795002001</v>
      </c>
      <c r="H47">
        <v>2E+20</v>
      </c>
      <c r="I47">
        <v>0</v>
      </c>
      <c r="J47">
        <v>3</v>
      </c>
      <c r="K47">
        <v>2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0.61713110674043503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3.1068745343639899</v>
      </c>
      <c r="U47">
        <f>IF((ContinuousStatsTable[[#This Row],[RepsRequested]]&gt;1),ContinuousStatsTable[[#This Row],[HalfWidth]],ContinuousStatsTable[[#This Row],[BatchMeansHalfWidth]])</f>
        <v>0.16185495883193918</v>
      </c>
    </row>
    <row r="48" spans="1:21" x14ac:dyDescent="0.35">
      <c r="A48" t="s">
        <v>66</v>
      </c>
      <c r="B48" t="s">
        <v>98</v>
      </c>
      <c r="C48">
        <v>10</v>
      </c>
      <c r="D48" t="s">
        <v>77</v>
      </c>
      <c r="E48" t="s">
        <v>81</v>
      </c>
      <c r="F48" t="s">
        <v>79</v>
      </c>
      <c r="G48">
        <v>4.6949028350521997E-2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1.3948152888114</v>
      </c>
      <c r="U48">
        <f>IF((ContinuousStatsTable[[#This Row],[RepsRequested]]&gt;1),ContinuousStatsTable[[#This Row],[HalfWidth]],ContinuousStatsTable[[#This Row],[BatchMeansHalfWidth]])</f>
        <v>8.2805514591213075E-2</v>
      </c>
    </row>
    <row r="49" spans="1:21" x14ac:dyDescent="0.35">
      <c r="A49" t="s">
        <v>66</v>
      </c>
      <c r="B49" t="s">
        <v>98</v>
      </c>
      <c r="C49">
        <v>10</v>
      </c>
      <c r="D49" t="s">
        <v>82</v>
      </c>
      <c r="E49" t="s">
        <v>83</v>
      </c>
      <c r="F49" t="s">
        <v>84</v>
      </c>
      <c r="G49">
        <v>0.71433547557483901</v>
      </c>
      <c r="H49">
        <v>2E+20</v>
      </c>
      <c r="I49">
        <v>0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0.30856555337021802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0.98721163888391195</v>
      </c>
      <c r="U49">
        <f>IF((ContinuousStatsTable[[#This Row],[RepsRequested]]&gt;1),ContinuousStatsTable[[#This Row],[HalfWidth]],ContinuousStatsTable[[#This Row],[BatchMeansHalfWidth]])</f>
        <v>4.7861696606629554E-2</v>
      </c>
    </row>
    <row r="50" spans="1:21" x14ac:dyDescent="0.35">
      <c r="A50" t="s">
        <v>66</v>
      </c>
      <c r="B50" t="s">
        <v>98</v>
      </c>
      <c r="C50">
        <v>10</v>
      </c>
      <c r="D50" t="s">
        <v>82</v>
      </c>
      <c r="E50" t="s">
        <v>85</v>
      </c>
      <c r="F50" t="s">
        <v>84</v>
      </c>
      <c r="G50">
        <v>1.42867095114968</v>
      </c>
      <c r="H50">
        <v>2E+20</v>
      </c>
      <c r="I50">
        <v>0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0.61713110674043503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1.9744232777678199</v>
      </c>
      <c r="U50">
        <f>IF((ContinuousStatsTable[[#This Row],[RepsRequested]]&gt;1),ContinuousStatsTable[[#This Row],[HalfWidth]],ContinuousStatsTable[[#This Row],[BatchMeansHalfWidth]])</f>
        <v>9.5723393213258262E-2</v>
      </c>
    </row>
    <row r="51" spans="1:21" x14ac:dyDescent="0.35">
      <c r="A51" t="s">
        <v>66</v>
      </c>
      <c r="B51" t="s">
        <v>98</v>
      </c>
      <c r="C51">
        <v>10</v>
      </c>
      <c r="D51" t="s">
        <v>82</v>
      </c>
      <c r="E51" t="s">
        <v>86</v>
      </c>
      <c r="F51" t="s">
        <v>84</v>
      </c>
      <c r="G51">
        <v>2</v>
      </c>
      <c r="H51">
        <v>2E+20</v>
      </c>
      <c r="I51">
        <v>2</v>
      </c>
      <c r="J51">
        <v>2</v>
      </c>
      <c r="K51">
        <v>2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</v>
      </c>
      <c r="U51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98</v>
      </c>
      <c r="C52">
        <v>11</v>
      </c>
      <c r="D52" t="s">
        <v>69</v>
      </c>
      <c r="E52" t="s">
        <v>80</v>
      </c>
      <c r="F52" t="s">
        <v>71</v>
      </c>
      <c r="G52">
        <v>1.02935567307583</v>
      </c>
      <c r="H52">
        <v>2E+20</v>
      </c>
      <c r="I52">
        <v>0</v>
      </c>
      <c r="J52">
        <v>2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0.61713110674043503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3.1068745343639899</v>
      </c>
      <c r="U52">
        <f>IF((ContinuousStatsTable[[#This Row],[RepsRequested]]&gt;1),ContinuousStatsTable[[#This Row],[HalfWidth]],ContinuousStatsTable[[#This Row],[BatchMeansHalfWidth]])</f>
        <v>0.16185495883193918</v>
      </c>
    </row>
    <row r="53" spans="1:21" x14ac:dyDescent="0.35">
      <c r="A53" t="s">
        <v>66</v>
      </c>
      <c r="B53" t="s">
        <v>98</v>
      </c>
      <c r="C53">
        <v>11</v>
      </c>
      <c r="D53" t="s">
        <v>77</v>
      </c>
      <c r="E53" t="s">
        <v>81</v>
      </c>
      <c r="F53" t="s">
        <v>79</v>
      </c>
      <c r="G53">
        <v>0</v>
      </c>
      <c r="H53">
        <v>2E+20</v>
      </c>
      <c r="I53">
        <v>0</v>
      </c>
      <c r="J53">
        <v>0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1.3948152888114</v>
      </c>
      <c r="U53">
        <f>IF((ContinuousStatsTable[[#This Row],[RepsRequested]]&gt;1),ContinuousStatsTable[[#This Row],[HalfWidth]],ContinuousStatsTable[[#This Row],[BatchMeansHalfWidth]])</f>
        <v>8.2805514591213075E-2</v>
      </c>
    </row>
    <row r="54" spans="1:21" x14ac:dyDescent="0.35">
      <c r="A54" t="s">
        <v>66</v>
      </c>
      <c r="B54" t="s">
        <v>98</v>
      </c>
      <c r="C54">
        <v>11</v>
      </c>
      <c r="D54" t="s">
        <v>82</v>
      </c>
      <c r="E54" t="s">
        <v>83</v>
      </c>
      <c r="F54" t="s">
        <v>84</v>
      </c>
      <c r="G54">
        <v>0.51467783653791599</v>
      </c>
      <c r="H54">
        <v>2E+20</v>
      </c>
      <c r="I54">
        <v>0</v>
      </c>
      <c r="J54">
        <v>1</v>
      </c>
      <c r="K54">
        <v>0.5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0.30856555337021802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0.98721163888391195</v>
      </c>
      <c r="U54">
        <f>IF((ContinuousStatsTable[[#This Row],[RepsRequested]]&gt;1),ContinuousStatsTable[[#This Row],[HalfWidth]],ContinuousStatsTable[[#This Row],[BatchMeansHalfWidth]])</f>
        <v>4.7861696606629554E-2</v>
      </c>
    </row>
    <row r="55" spans="1:21" x14ac:dyDescent="0.35">
      <c r="A55" t="s">
        <v>66</v>
      </c>
      <c r="B55" t="s">
        <v>98</v>
      </c>
      <c r="C55">
        <v>11</v>
      </c>
      <c r="D55" t="s">
        <v>82</v>
      </c>
      <c r="E55" t="s">
        <v>85</v>
      </c>
      <c r="F55" t="s">
        <v>84</v>
      </c>
      <c r="G55">
        <v>1.02935567307583</v>
      </c>
      <c r="H55">
        <v>2E+20</v>
      </c>
      <c r="I55">
        <v>0</v>
      </c>
      <c r="J55">
        <v>2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0.61713110674043503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1.9744232777678199</v>
      </c>
      <c r="U55">
        <f>IF((ContinuousStatsTable[[#This Row],[RepsRequested]]&gt;1),ContinuousStatsTable[[#This Row],[HalfWidth]],ContinuousStatsTable[[#This Row],[BatchMeansHalfWidth]])</f>
        <v>9.5723393213258262E-2</v>
      </c>
    </row>
    <row r="56" spans="1:21" x14ac:dyDescent="0.35">
      <c r="A56" t="s">
        <v>66</v>
      </c>
      <c r="B56" t="s">
        <v>98</v>
      </c>
      <c r="C56">
        <v>11</v>
      </c>
      <c r="D56" t="s">
        <v>82</v>
      </c>
      <c r="E56" t="s">
        <v>86</v>
      </c>
      <c r="F56" t="s">
        <v>84</v>
      </c>
      <c r="G56">
        <v>2</v>
      </c>
      <c r="H56">
        <v>2E+20</v>
      </c>
      <c r="I56">
        <v>2</v>
      </c>
      <c r="J56">
        <v>2</v>
      </c>
      <c r="K56">
        <v>2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</v>
      </c>
      <c r="U56">
        <f>IF((ContinuousStatsTable[[#This Row],[RepsRequested]]&gt;1),ContinuousStatsTable[[#This Row],[HalfWidth]],ContinuousStatsTable[[#This Row],[BatchMeansHalfWidth]])</f>
        <v>0</v>
      </c>
    </row>
    <row r="57" spans="1:21" x14ac:dyDescent="0.35">
      <c r="A57" t="s">
        <v>66</v>
      </c>
      <c r="B57" t="s">
        <v>98</v>
      </c>
      <c r="C57">
        <v>12</v>
      </c>
      <c r="D57" t="s">
        <v>69</v>
      </c>
      <c r="E57" t="s">
        <v>80</v>
      </c>
      <c r="F57" t="s">
        <v>71</v>
      </c>
      <c r="G57">
        <v>0.85178400111310604</v>
      </c>
      <c r="H57">
        <v>2E+20</v>
      </c>
      <c r="I57">
        <v>0</v>
      </c>
      <c r="J57">
        <v>2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0.61713110674043503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3.1068745343639899</v>
      </c>
      <c r="U57">
        <f>IF((ContinuousStatsTable[[#This Row],[RepsRequested]]&gt;1),ContinuousStatsTable[[#This Row],[HalfWidth]],ContinuousStatsTable[[#This Row],[BatchMeansHalfWidth]])</f>
        <v>0.16185495883193918</v>
      </c>
    </row>
    <row r="58" spans="1:21" x14ac:dyDescent="0.35">
      <c r="A58" t="s">
        <v>66</v>
      </c>
      <c r="B58" t="s">
        <v>98</v>
      </c>
      <c r="C58">
        <v>12</v>
      </c>
      <c r="D58" t="s">
        <v>77</v>
      </c>
      <c r="E58" t="s">
        <v>81</v>
      </c>
      <c r="F58" t="s">
        <v>79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1.3948152888114</v>
      </c>
      <c r="U58">
        <f>IF((ContinuousStatsTable[[#This Row],[RepsRequested]]&gt;1),ContinuousStatsTable[[#This Row],[HalfWidth]],ContinuousStatsTable[[#This Row],[BatchMeansHalfWidth]])</f>
        <v>8.2805514591213075E-2</v>
      </c>
    </row>
    <row r="59" spans="1:21" x14ac:dyDescent="0.35">
      <c r="A59" t="s">
        <v>66</v>
      </c>
      <c r="B59" t="s">
        <v>98</v>
      </c>
      <c r="C59">
        <v>12</v>
      </c>
      <c r="D59" t="s">
        <v>82</v>
      </c>
      <c r="E59" t="s">
        <v>83</v>
      </c>
      <c r="F59" t="s">
        <v>84</v>
      </c>
      <c r="G59">
        <v>0.42589200055655302</v>
      </c>
      <c r="H59">
        <v>2E+20</v>
      </c>
      <c r="I59">
        <v>0</v>
      </c>
      <c r="J59">
        <v>1</v>
      </c>
      <c r="K59">
        <v>0.5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0.30856555337021802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0.98721163888391195</v>
      </c>
      <c r="U59">
        <f>IF((ContinuousStatsTable[[#This Row],[RepsRequested]]&gt;1),ContinuousStatsTable[[#This Row],[HalfWidth]],ContinuousStatsTable[[#This Row],[BatchMeansHalfWidth]])</f>
        <v>4.7861696606629554E-2</v>
      </c>
    </row>
    <row r="60" spans="1:21" x14ac:dyDescent="0.35">
      <c r="A60" t="s">
        <v>66</v>
      </c>
      <c r="B60" t="s">
        <v>98</v>
      </c>
      <c r="C60">
        <v>12</v>
      </c>
      <c r="D60" t="s">
        <v>82</v>
      </c>
      <c r="E60" t="s">
        <v>85</v>
      </c>
      <c r="F60" t="s">
        <v>84</v>
      </c>
      <c r="G60">
        <v>0.85178400111310604</v>
      </c>
      <c r="H60">
        <v>2E+20</v>
      </c>
      <c r="I60">
        <v>0</v>
      </c>
      <c r="J60">
        <v>2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0.61713110674043503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1.9744232777678199</v>
      </c>
      <c r="U60">
        <f>IF((ContinuousStatsTable[[#This Row],[RepsRequested]]&gt;1),ContinuousStatsTable[[#This Row],[HalfWidth]],ContinuousStatsTable[[#This Row],[BatchMeansHalfWidth]])</f>
        <v>9.5723393213258262E-2</v>
      </c>
    </row>
    <row r="61" spans="1:21" x14ac:dyDescent="0.35">
      <c r="A61" t="s">
        <v>66</v>
      </c>
      <c r="B61" t="s">
        <v>98</v>
      </c>
      <c r="C61">
        <v>12</v>
      </c>
      <c r="D61" t="s">
        <v>82</v>
      </c>
      <c r="E61" t="s">
        <v>86</v>
      </c>
      <c r="F61" t="s">
        <v>84</v>
      </c>
      <c r="G61">
        <v>2</v>
      </c>
      <c r="H61">
        <v>2E+20</v>
      </c>
      <c r="I61">
        <v>2</v>
      </c>
      <c r="J61">
        <v>2</v>
      </c>
      <c r="K61">
        <v>2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</v>
      </c>
      <c r="U61">
        <f>IF((ContinuousStatsTable[[#This Row],[RepsRequested]]&gt;1),ContinuousStatsTable[[#This Row],[HalfWidth]],ContinuousStatsTable[[#This Row],[BatchMeansHalfWidth]])</f>
        <v>0</v>
      </c>
    </row>
    <row r="62" spans="1:21" x14ac:dyDescent="0.35">
      <c r="A62" t="s">
        <v>66</v>
      </c>
      <c r="B62" t="s">
        <v>98</v>
      </c>
      <c r="C62">
        <v>13</v>
      </c>
      <c r="D62" t="s">
        <v>69</v>
      </c>
      <c r="E62" t="s">
        <v>80</v>
      </c>
      <c r="F62" t="s">
        <v>71</v>
      </c>
      <c r="G62">
        <v>1.22552115506203</v>
      </c>
      <c r="H62">
        <v>2E+20</v>
      </c>
      <c r="I62">
        <v>0</v>
      </c>
      <c r="J62">
        <v>3</v>
      </c>
      <c r="K62">
        <v>2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0.61713110674043503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3.1068745343639899</v>
      </c>
      <c r="U62">
        <f>IF((ContinuousStatsTable[[#This Row],[RepsRequested]]&gt;1),ContinuousStatsTable[[#This Row],[HalfWidth]],ContinuousStatsTable[[#This Row],[BatchMeansHalfWidth]])</f>
        <v>0.16185495883193918</v>
      </c>
    </row>
    <row r="63" spans="1:21" x14ac:dyDescent="0.35">
      <c r="A63" t="s">
        <v>66</v>
      </c>
      <c r="B63" t="s">
        <v>98</v>
      </c>
      <c r="C63">
        <v>13</v>
      </c>
      <c r="D63" t="s">
        <v>77</v>
      </c>
      <c r="E63" t="s">
        <v>81</v>
      </c>
      <c r="F63" t="s">
        <v>79</v>
      </c>
      <c r="G63">
        <v>0.112576475232934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1.3948152888114</v>
      </c>
      <c r="U63">
        <f>IF((ContinuousStatsTable[[#This Row],[RepsRequested]]&gt;1),ContinuousStatsTable[[#This Row],[HalfWidth]],ContinuousStatsTable[[#This Row],[BatchMeansHalfWidth]])</f>
        <v>8.2805514591213075E-2</v>
      </c>
    </row>
    <row r="64" spans="1:21" x14ac:dyDescent="0.35">
      <c r="A64" t="s">
        <v>66</v>
      </c>
      <c r="B64" t="s">
        <v>98</v>
      </c>
      <c r="C64">
        <v>13</v>
      </c>
      <c r="D64" t="s">
        <v>82</v>
      </c>
      <c r="E64" t="s">
        <v>83</v>
      </c>
      <c r="F64" t="s">
        <v>84</v>
      </c>
      <c r="G64">
        <v>0.55647233991455003</v>
      </c>
      <c r="H64">
        <v>2E+20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0.30856555337021802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0.98721163888391195</v>
      </c>
      <c r="U64">
        <f>IF((ContinuousStatsTable[[#This Row],[RepsRequested]]&gt;1),ContinuousStatsTable[[#This Row],[HalfWidth]],ContinuousStatsTable[[#This Row],[BatchMeansHalfWidth]])</f>
        <v>4.7861696606629554E-2</v>
      </c>
    </row>
    <row r="65" spans="1:21" x14ac:dyDescent="0.35">
      <c r="A65" t="s">
        <v>66</v>
      </c>
      <c r="B65" t="s">
        <v>98</v>
      </c>
      <c r="C65">
        <v>13</v>
      </c>
      <c r="D65" t="s">
        <v>82</v>
      </c>
      <c r="E65" t="s">
        <v>85</v>
      </c>
      <c r="F65" t="s">
        <v>84</v>
      </c>
      <c r="G65">
        <v>1.1129446798291001</v>
      </c>
      <c r="H65">
        <v>2E+20</v>
      </c>
      <c r="I65">
        <v>0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0.61713110674043503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1.9744232777678199</v>
      </c>
      <c r="U65">
        <f>IF((ContinuousStatsTable[[#This Row],[RepsRequested]]&gt;1),ContinuousStatsTable[[#This Row],[HalfWidth]],ContinuousStatsTable[[#This Row],[BatchMeansHalfWidth]])</f>
        <v>9.5723393213258262E-2</v>
      </c>
    </row>
    <row r="66" spans="1:21" x14ac:dyDescent="0.35">
      <c r="A66" t="s">
        <v>66</v>
      </c>
      <c r="B66" t="s">
        <v>98</v>
      </c>
      <c r="C66">
        <v>13</v>
      </c>
      <c r="D66" t="s">
        <v>82</v>
      </c>
      <c r="E66" t="s">
        <v>86</v>
      </c>
      <c r="F66" t="s">
        <v>84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98</v>
      </c>
      <c r="C67">
        <v>14</v>
      </c>
      <c r="D67" t="s">
        <v>69</v>
      </c>
      <c r="E67" t="s">
        <v>80</v>
      </c>
      <c r="F67" t="s">
        <v>71</v>
      </c>
      <c r="G67">
        <v>1.77373308677976</v>
      </c>
      <c r="H67">
        <v>2E+20</v>
      </c>
      <c r="I67">
        <v>0</v>
      </c>
      <c r="J67">
        <v>3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0.61713110674043503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3.1068745343639899</v>
      </c>
      <c r="U67">
        <f>IF((ContinuousStatsTable[[#This Row],[RepsRequested]]&gt;1),ContinuousStatsTable[[#This Row],[HalfWidth]],ContinuousStatsTable[[#This Row],[BatchMeansHalfWidth]])</f>
        <v>0.16185495883193918</v>
      </c>
    </row>
    <row r="68" spans="1:21" x14ac:dyDescent="0.35">
      <c r="A68" t="s">
        <v>66</v>
      </c>
      <c r="B68" t="s">
        <v>98</v>
      </c>
      <c r="C68">
        <v>14</v>
      </c>
      <c r="D68" t="s">
        <v>77</v>
      </c>
      <c r="E68" t="s">
        <v>81</v>
      </c>
      <c r="F68" t="s">
        <v>79</v>
      </c>
      <c r="G68">
        <v>0.16110977020786299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1.3948152888114</v>
      </c>
      <c r="U68">
        <f>IF((ContinuousStatsTable[[#This Row],[RepsRequested]]&gt;1),ContinuousStatsTable[[#This Row],[HalfWidth]],ContinuousStatsTable[[#This Row],[BatchMeansHalfWidth]])</f>
        <v>8.2805514591213075E-2</v>
      </c>
    </row>
    <row r="69" spans="1:21" x14ac:dyDescent="0.35">
      <c r="A69" t="s">
        <v>66</v>
      </c>
      <c r="B69" t="s">
        <v>98</v>
      </c>
      <c r="C69">
        <v>14</v>
      </c>
      <c r="D69" t="s">
        <v>82</v>
      </c>
      <c r="E69" t="s">
        <v>83</v>
      </c>
      <c r="F69" t="s">
        <v>84</v>
      </c>
      <c r="G69">
        <v>0.80631165828594598</v>
      </c>
      <c r="H69">
        <v>2E+20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0.30856555337021802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0.98721163888391195</v>
      </c>
      <c r="U69">
        <f>IF((ContinuousStatsTable[[#This Row],[RepsRequested]]&gt;1),ContinuousStatsTable[[#This Row],[HalfWidth]],ContinuousStatsTable[[#This Row],[BatchMeansHalfWidth]])</f>
        <v>4.7861696606629554E-2</v>
      </c>
    </row>
    <row r="70" spans="1:21" x14ac:dyDescent="0.35">
      <c r="A70" t="s">
        <v>66</v>
      </c>
      <c r="B70" t="s">
        <v>98</v>
      </c>
      <c r="C70">
        <v>14</v>
      </c>
      <c r="D70" t="s">
        <v>82</v>
      </c>
      <c r="E70" t="s">
        <v>85</v>
      </c>
      <c r="F70" t="s">
        <v>84</v>
      </c>
      <c r="G70">
        <v>1.61262331657189</v>
      </c>
      <c r="H70">
        <v>2E+20</v>
      </c>
      <c r="I70">
        <v>0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0.61713110674043503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1.9744232777678199</v>
      </c>
      <c r="U70">
        <f>IF((ContinuousStatsTable[[#This Row],[RepsRequested]]&gt;1),ContinuousStatsTable[[#This Row],[HalfWidth]],ContinuousStatsTable[[#This Row],[BatchMeansHalfWidth]])</f>
        <v>9.5723393213258262E-2</v>
      </c>
    </row>
    <row r="71" spans="1:21" x14ac:dyDescent="0.35">
      <c r="A71" t="s">
        <v>66</v>
      </c>
      <c r="B71" t="s">
        <v>98</v>
      </c>
      <c r="C71">
        <v>14</v>
      </c>
      <c r="D71" t="s">
        <v>82</v>
      </c>
      <c r="E71" t="s">
        <v>86</v>
      </c>
      <c r="F71" t="s">
        <v>84</v>
      </c>
      <c r="G71">
        <v>2</v>
      </c>
      <c r="H71">
        <v>2E+20</v>
      </c>
      <c r="I71">
        <v>2</v>
      </c>
      <c r="J71">
        <v>2</v>
      </c>
      <c r="K71">
        <v>2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2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35">
      <c r="A72" t="s">
        <v>66</v>
      </c>
      <c r="B72" t="s">
        <v>98</v>
      </c>
      <c r="C72">
        <v>15</v>
      </c>
      <c r="D72" t="s">
        <v>69</v>
      </c>
      <c r="E72" t="s">
        <v>80</v>
      </c>
      <c r="F72" t="s">
        <v>71</v>
      </c>
      <c r="G72">
        <v>1.0302175915477201</v>
      </c>
      <c r="H72">
        <v>2E+20</v>
      </c>
      <c r="I72">
        <v>0</v>
      </c>
      <c r="J72">
        <v>2</v>
      </c>
      <c r="K72">
        <v>2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0.61713110674043503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3.1068745343639899</v>
      </c>
      <c r="U72">
        <f>IF((ContinuousStatsTable[[#This Row],[RepsRequested]]&gt;1),ContinuousStatsTable[[#This Row],[HalfWidth]],ContinuousStatsTable[[#This Row],[BatchMeansHalfWidth]])</f>
        <v>0.16185495883193918</v>
      </c>
    </row>
    <row r="73" spans="1:21" x14ac:dyDescent="0.35">
      <c r="A73" t="s">
        <v>66</v>
      </c>
      <c r="B73" t="s">
        <v>98</v>
      </c>
      <c r="C73">
        <v>15</v>
      </c>
      <c r="D73" t="s">
        <v>77</v>
      </c>
      <c r="E73" t="s">
        <v>81</v>
      </c>
      <c r="F73" t="s">
        <v>79</v>
      </c>
      <c r="G73">
        <v>0</v>
      </c>
      <c r="H73">
        <v>2E+20</v>
      </c>
      <c r="I73">
        <v>0</v>
      </c>
      <c r="J73">
        <v>0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1.3948152888114</v>
      </c>
      <c r="U73">
        <f>IF((ContinuousStatsTable[[#This Row],[RepsRequested]]&gt;1),ContinuousStatsTable[[#This Row],[HalfWidth]],ContinuousStatsTable[[#This Row],[BatchMeansHalfWidth]])</f>
        <v>8.2805514591213075E-2</v>
      </c>
    </row>
    <row r="74" spans="1:21" x14ac:dyDescent="0.35">
      <c r="A74" t="s">
        <v>66</v>
      </c>
      <c r="B74" t="s">
        <v>98</v>
      </c>
      <c r="C74">
        <v>15</v>
      </c>
      <c r="D74" t="s">
        <v>82</v>
      </c>
      <c r="E74" t="s">
        <v>83</v>
      </c>
      <c r="F74" t="s">
        <v>84</v>
      </c>
      <c r="G74">
        <v>0.51510879577386004</v>
      </c>
      <c r="H74">
        <v>2E+20</v>
      </c>
      <c r="I74">
        <v>0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0.30856555337021802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0.98721163888391195</v>
      </c>
      <c r="U74">
        <f>IF((ContinuousStatsTable[[#This Row],[RepsRequested]]&gt;1),ContinuousStatsTable[[#This Row],[HalfWidth]],ContinuousStatsTable[[#This Row],[BatchMeansHalfWidth]])</f>
        <v>4.7861696606629554E-2</v>
      </c>
    </row>
    <row r="75" spans="1:21" x14ac:dyDescent="0.35">
      <c r="A75" t="s">
        <v>66</v>
      </c>
      <c r="B75" t="s">
        <v>98</v>
      </c>
      <c r="C75">
        <v>15</v>
      </c>
      <c r="D75" t="s">
        <v>82</v>
      </c>
      <c r="E75" t="s">
        <v>85</v>
      </c>
      <c r="F75" t="s">
        <v>84</v>
      </c>
      <c r="G75">
        <v>1.0302175915477201</v>
      </c>
      <c r="H75">
        <v>2E+20</v>
      </c>
      <c r="I75">
        <v>0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0.61713110674043503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1.9744232777678199</v>
      </c>
      <c r="U75">
        <f>IF((ContinuousStatsTable[[#This Row],[RepsRequested]]&gt;1),ContinuousStatsTable[[#This Row],[HalfWidth]],ContinuousStatsTable[[#This Row],[BatchMeansHalfWidth]])</f>
        <v>9.5723393213258262E-2</v>
      </c>
    </row>
    <row r="76" spans="1:21" x14ac:dyDescent="0.35">
      <c r="A76" t="s">
        <v>66</v>
      </c>
      <c r="B76" t="s">
        <v>98</v>
      </c>
      <c r="C76">
        <v>15</v>
      </c>
      <c r="D76" t="s">
        <v>82</v>
      </c>
      <c r="E76" t="s">
        <v>86</v>
      </c>
      <c r="F76" t="s">
        <v>84</v>
      </c>
      <c r="G76">
        <v>2</v>
      </c>
      <c r="H76">
        <v>2E+20</v>
      </c>
      <c r="I76">
        <v>2</v>
      </c>
      <c r="J76">
        <v>2</v>
      </c>
      <c r="K76">
        <v>2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2</v>
      </c>
      <c r="U76">
        <f>IF((ContinuousStatsTable[[#This Row],[RepsRequested]]&gt;1),ContinuousStatsTable[[#This Row],[HalfWidth]],ContinuousStatsTable[[#This Row],[BatchMeansHalfWidth]])</f>
        <v>0</v>
      </c>
    </row>
    <row r="77" spans="1:21" x14ac:dyDescent="0.35">
      <c r="A77" t="s">
        <v>66</v>
      </c>
      <c r="B77" t="s">
        <v>98</v>
      </c>
      <c r="C77">
        <v>16</v>
      </c>
      <c r="D77" t="s">
        <v>69</v>
      </c>
      <c r="E77" t="s">
        <v>80</v>
      </c>
      <c r="F77" t="s">
        <v>71</v>
      </c>
      <c r="G77">
        <v>2.8940320724670499</v>
      </c>
      <c r="H77">
        <v>2E+20</v>
      </c>
      <c r="I77">
        <v>0</v>
      </c>
      <c r="J77">
        <v>4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0.61713110674043503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3.1068745343639899</v>
      </c>
      <c r="U77">
        <f>IF((ContinuousStatsTable[[#This Row],[RepsRequested]]&gt;1),ContinuousStatsTable[[#This Row],[HalfWidth]],ContinuousStatsTable[[#This Row],[BatchMeansHalfWidth]])</f>
        <v>0.16185495883193918</v>
      </c>
    </row>
    <row r="78" spans="1:21" x14ac:dyDescent="0.35">
      <c r="A78" t="s">
        <v>66</v>
      </c>
      <c r="B78" t="s">
        <v>98</v>
      </c>
      <c r="C78">
        <v>16</v>
      </c>
      <c r="D78" t="s">
        <v>77</v>
      </c>
      <c r="E78" t="s">
        <v>81</v>
      </c>
      <c r="F78" t="s">
        <v>79</v>
      </c>
      <c r="G78">
        <v>0.91960879469922296</v>
      </c>
      <c r="H78">
        <v>2E+20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1.3948152888114</v>
      </c>
      <c r="U78">
        <f>IF((ContinuousStatsTable[[#This Row],[RepsRequested]]&gt;1),ContinuousStatsTable[[#This Row],[HalfWidth]],ContinuousStatsTable[[#This Row],[BatchMeansHalfWidth]])</f>
        <v>8.2805514591213075E-2</v>
      </c>
    </row>
    <row r="79" spans="1:21" x14ac:dyDescent="0.35">
      <c r="A79" t="s">
        <v>66</v>
      </c>
      <c r="B79" t="s">
        <v>98</v>
      </c>
      <c r="C79">
        <v>16</v>
      </c>
      <c r="D79" t="s">
        <v>82</v>
      </c>
      <c r="E79" t="s">
        <v>83</v>
      </c>
      <c r="F79" t="s">
        <v>84</v>
      </c>
      <c r="G79">
        <v>0.98721163888391195</v>
      </c>
      <c r="H79">
        <v>2E+20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0.30856555337021802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0.98721163888391195</v>
      </c>
      <c r="U79">
        <f>IF((ContinuousStatsTable[[#This Row],[RepsRequested]]&gt;1),ContinuousStatsTable[[#This Row],[HalfWidth]],ContinuousStatsTable[[#This Row],[BatchMeansHalfWidth]])</f>
        <v>4.7861696606629554E-2</v>
      </c>
    </row>
    <row r="80" spans="1:21" x14ac:dyDescent="0.35">
      <c r="A80" t="s">
        <v>66</v>
      </c>
      <c r="B80" t="s">
        <v>98</v>
      </c>
      <c r="C80">
        <v>16</v>
      </c>
      <c r="D80" t="s">
        <v>82</v>
      </c>
      <c r="E80" t="s">
        <v>85</v>
      </c>
      <c r="F80" t="s">
        <v>84</v>
      </c>
      <c r="G80">
        <v>1.9744232777678199</v>
      </c>
      <c r="H80">
        <v>2E+20</v>
      </c>
      <c r="I80">
        <v>0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0.61713110674043503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1.9744232777678199</v>
      </c>
      <c r="U80">
        <f>IF((ContinuousStatsTable[[#This Row],[RepsRequested]]&gt;1),ContinuousStatsTable[[#This Row],[HalfWidth]],ContinuousStatsTable[[#This Row],[BatchMeansHalfWidth]])</f>
        <v>9.5723393213258262E-2</v>
      </c>
    </row>
    <row r="81" spans="1:21" x14ac:dyDescent="0.35">
      <c r="A81" t="s">
        <v>66</v>
      </c>
      <c r="B81" t="s">
        <v>98</v>
      </c>
      <c r="C81">
        <v>16</v>
      </c>
      <c r="D81" t="s">
        <v>82</v>
      </c>
      <c r="E81" t="s">
        <v>86</v>
      </c>
      <c r="F81" t="s">
        <v>84</v>
      </c>
      <c r="G81">
        <v>2</v>
      </c>
      <c r="H81">
        <v>2E+20</v>
      </c>
      <c r="I81">
        <v>2</v>
      </c>
      <c r="J81">
        <v>2</v>
      </c>
      <c r="K81">
        <v>2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2</v>
      </c>
      <c r="U81">
        <f>IF((ContinuousStatsTable[[#This Row],[RepsRequested]]&gt;1),ContinuousStatsTable[[#This Row],[HalfWidth]],ContinuousStatsTable[[#This Row],[BatchMeansHalfWidth]])</f>
        <v>0</v>
      </c>
    </row>
    <row r="82" spans="1:21" x14ac:dyDescent="0.35">
      <c r="A82" t="s">
        <v>66</v>
      </c>
      <c r="B82" t="s">
        <v>98</v>
      </c>
      <c r="C82">
        <v>17</v>
      </c>
      <c r="D82" t="s">
        <v>69</v>
      </c>
      <c r="E82" t="s">
        <v>80</v>
      </c>
      <c r="F82" t="s">
        <v>71</v>
      </c>
      <c r="G82">
        <v>0.74819210112866896</v>
      </c>
      <c r="H82">
        <v>2E+20</v>
      </c>
      <c r="I82">
        <v>0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0.61713110674043503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3.1068745343639899</v>
      </c>
      <c r="U82">
        <f>IF((ContinuousStatsTable[[#This Row],[RepsRequested]]&gt;1),ContinuousStatsTable[[#This Row],[HalfWidth]],ContinuousStatsTable[[#This Row],[BatchMeansHalfWidth]])</f>
        <v>0.16185495883193918</v>
      </c>
    </row>
    <row r="83" spans="1:21" x14ac:dyDescent="0.35">
      <c r="A83" t="s">
        <v>66</v>
      </c>
      <c r="B83" t="s">
        <v>98</v>
      </c>
      <c r="C83">
        <v>17</v>
      </c>
      <c r="D83" t="s">
        <v>77</v>
      </c>
      <c r="E83" t="s">
        <v>81</v>
      </c>
      <c r="F83" t="s">
        <v>79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1.3948152888114</v>
      </c>
      <c r="U83">
        <f>IF((ContinuousStatsTable[[#This Row],[RepsRequested]]&gt;1),ContinuousStatsTable[[#This Row],[HalfWidth]],ContinuousStatsTable[[#This Row],[BatchMeansHalfWidth]])</f>
        <v>8.2805514591213075E-2</v>
      </c>
    </row>
    <row r="84" spans="1:21" x14ac:dyDescent="0.35">
      <c r="A84" t="s">
        <v>66</v>
      </c>
      <c r="B84" t="s">
        <v>98</v>
      </c>
      <c r="C84">
        <v>17</v>
      </c>
      <c r="D84" t="s">
        <v>82</v>
      </c>
      <c r="E84" t="s">
        <v>83</v>
      </c>
      <c r="F84" t="s">
        <v>84</v>
      </c>
      <c r="G84">
        <v>0.37409605056433498</v>
      </c>
      <c r="H84">
        <v>2E+20</v>
      </c>
      <c r="I84">
        <v>0</v>
      </c>
      <c r="J84">
        <v>0.5</v>
      </c>
      <c r="K84">
        <v>0.5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0.30856555337021802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0.98721163888391195</v>
      </c>
      <c r="U84">
        <f>IF((ContinuousStatsTable[[#This Row],[RepsRequested]]&gt;1),ContinuousStatsTable[[#This Row],[HalfWidth]],ContinuousStatsTable[[#This Row],[BatchMeansHalfWidth]])</f>
        <v>4.7861696606629554E-2</v>
      </c>
    </row>
    <row r="85" spans="1:21" x14ac:dyDescent="0.35">
      <c r="A85" t="s">
        <v>66</v>
      </c>
      <c r="B85" t="s">
        <v>98</v>
      </c>
      <c r="C85">
        <v>17</v>
      </c>
      <c r="D85" t="s">
        <v>82</v>
      </c>
      <c r="E85" t="s">
        <v>85</v>
      </c>
      <c r="F85" t="s">
        <v>84</v>
      </c>
      <c r="G85">
        <v>0.74819210112866896</v>
      </c>
      <c r="H85">
        <v>2E+20</v>
      </c>
      <c r="I85">
        <v>0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0.61713110674043503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1.9744232777678199</v>
      </c>
      <c r="U85">
        <f>IF((ContinuousStatsTable[[#This Row],[RepsRequested]]&gt;1),ContinuousStatsTable[[#This Row],[HalfWidth]],ContinuousStatsTable[[#This Row],[BatchMeansHalfWidth]])</f>
        <v>9.5723393213258262E-2</v>
      </c>
    </row>
    <row r="86" spans="1:21" x14ac:dyDescent="0.35">
      <c r="A86" t="s">
        <v>66</v>
      </c>
      <c r="B86" t="s">
        <v>98</v>
      </c>
      <c r="C86">
        <v>17</v>
      </c>
      <c r="D86" t="s">
        <v>82</v>
      </c>
      <c r="E86" t="s">
        <v>86</v>
      </c>
      <c r="F86" t="s">
        <v>84</v>
      </c>
      <c r="G86">
        <v>2</v>
      </c>
      <c r="H86">
        <v>2E+20</v>
      </c>
      <c r="I86">
        <v>2</v>
      </c>
      <c r="J86">
        <v>2</v>
      </c>
      <c r="K86">
        <v>2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</v>
      </c>
      <c r="U86">
        <f>IF((ContinuousStatsTable[[#This Row],[RepsRequested]]&gt;1),ContinuousStatsTable[[#This Row],[HalfWidth]],ContinuousStatsTable[[#This Row],[BatchMeansHalfWidth]])</f>
        <v>0</v>
      </c>
    </row>
    <row r="87" spans="1:21" x14ac:dyDescent="0.35">
      <c r="A87" t="s">
        <v>66</v>
      </c>
      <c r="B87" t="s">
        <v>98</v>
      </c>
      <c r="C87">
        <v>18</v>
      </c>
      <c r="D87" t="s">
        <v>69</v>
      </c>
      <c r="E87" t="s">
        <v>80</v>
      </c>
      <c r="F87" t="s">
        <v>71</v>
      </c>
      <c r="G87">
        <v>1.1327626160473501</v>
      </c>
      <c r="H87">
        <v>2E+20</v>
      </c>
      <c r="I87">
        <v>0</v>
      </c>
      <c r="J87">
        <v>3</v>
      </c>
      <c r="K87">
        <v>2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0.61713110674043503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3.1068745343639899</v>
      </c>
      <c r="U87">
        <f>IF((ContinuousStatsTable[[#This Row],[RepsRequested]]&gt;1),ContinuousStatsTable[[#This Row],[HalfWidth]],ContinuousStatsTable[[#This Row],[BatchMeansHalfWidth]])</f>
        <v>0.16185495883193918</v>
      </c>
    </row>
    <row r="88" spans="1:21" x14ac:dyDescent="0.35">
      <c r="A88" t="s">
        <v>66</v>
      </c>
      <c r="B88" t="s">
        <v>98</v>
      </c>
      <c r="C88">
        <v>18</v>
      </c>
      <c r="D88" t="s">
        <v>77</v>
      </c>
      <c r="E88" t="s">
        <v>81</v>
      </c>
      <c r="F88" t="s">
        <v>79</v>
      </c>
      <c r="G88">
        <v>5.6203457363074201E-2</v>
      </c>
      <c r="H88">
        <v>2E+20</v>
      </c>
      <c r="I88">
        <v>0</v>
      </c>
      <c r="J88">
        <v>1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1.3948152888114</v>
      </c>
      <c r="U88">
        <f>IF((ContinuousStatsTable[[#This Row],[RepsRequested]]&gt;1),ContinuousStatsTable[[#This Row],[HalfWidth]],ContinuousStatsTable[[#This Row],[BatchMeansHalfWidth]])</f>
        <v>8.2805514591213075E-2</v>
      </c>
    </row>
    <row r="89" spans="1:21" x14ac:dyDescent="0.35">
      <c r="A89" t="s">
        <v>66</v>
      </c>
      <c r="B89" t="s">
        <v>98</v>
      </c>
      <c r="C89">
        <v>18</v>
      </c>
      <c r="D89" t="s">
        <v>82</v>
      </c>
      <c r="E89" t="s">
        <v>83</v>
      </c>
      <c r="F89" t="s">
        <v>84</v>
      </c>
      <c r="G89">
        <v>0.53827957934213799</v>
      </c>
      <c r="H89">
        <v>2E+20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0.30856555337021802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0.98721163888391195</v>
      </c>
      <c r="U89">
        <f>IF((ContinuousStatsTable[[#This Row],[RepsRequested]]&gt;1),ContinuousStatsTable[[#This Row],[HalfWidth]],ContinuousStatsTable[[#This Row],[BatchMeansHalfWidth]])</f>
        <v>4.7861696606629554E-2</v>
      </c>
    </row>
    <row r="90" spans="1:21" x14ac:dyDescent="0.35">
      <c r="A90" t="s">
        <v>66</v>
      </c>
      <c r="B90" t="s">
        <v>98</v>
      </c>
      <c r="C90">
        <v>18</v>
      </c>
      <c r="D90" t="s">
        <v>82</v>
      </c>
      <c r="E90" t="s">
        <v>85</v>
      </c>
      <c r="F90" t="s">
        <v>84</v>
      </c>
      <c r="G90">
        <v>1.07655915868428</v>
      </c>
      <c r="H90">
        <v>2E+20</v>
      </c>
      <c r="I90">
        <v>0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0.61713110674043503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1.9744232777678199</v>
      </c>
      <c r="U90">
        <f>IF((ContinuousStatsTable[[#This Row],[RepsRequested]]&gt;1),ContinuousStatsTable[[#This Row],[HalfWidth]],ContinuousStatsTable[[#This Row],[BatchMeansHalfWidth]])</f>
        <v>9.5723393213258262E-2</v>
      </c>
    </row>
    <row r="91" spans="1:21" x14ac:dyDescent="0.35">
      <c r="A91" t="s">
        <v>66</v>
      </c>
      <c r="B91" t="s">
        <v>98</v>
      </c>
      <c r="C91">
        <v>18</v>
      </c>
      <c r="D91" t="s">
        <v>82</v>
      </c>
      <c r="E91" t="s">
        <v>86</v>
      </c>
      <c r="F91" t="s">
        <v>84</v>
      </c>
      <c r="G91">
        <v>2</v>
      </c>
      <c r="H91">
        <v>2E+20</v>
      </c>
      <c r="I91">
        <v>2</v>
      </c>
      <c r="J91">
        <v>2</v>
      </c>
      <c r="K91">
        <v>2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</v>
      </c>
      <c r="U91">
        <f>IF((ContinuousStatsTable[[#This Row],[RepsRequested]]&gt;1),ContinuousStatsTable[[#This Row],[HalfWidth]],ContinuousStatsTable[[#This Row],[BatchMeansHalfWidth]])</f>
        <v>0</v>
      </c>
    </row>
    <row r="92" spans="1:21" x14ac:dyDescent="0.35">
      <c r="A92" t="s">
        <v>66</v>
      </c>
      <c r="B92" t="s">
        <v>98</v>
      </c>
      <c r="C92">
        <v>19</v>
      </c>
      <c r="D92" t="s">
        <v>69</v>
      </c>
      <c r="E92" t="s">
        <v>80</v>
      </c>
      <c r="F92" t="s">
        <v>71</v>
      </c>
      <c r="G92">
        <v>1.21565569423402</v>
      </c>
      <c r="H92">
        <v>2E+20</v>
      </c>
      <c r="I92">
        <v>0</v>
      </c>
      <c r="J92">
        <v>3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0.61713110674043503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3.1068745343639899</v>
      </c>
      <c r="U92">
        <f>IF((ContinuousStatsTable[[#This Row],[RepsRequested]]&gt;1),ContinuousStatsTable[[#This Row],[HalfWidth]],ContinuousStatsTable[[#This Row],[BatchMeansHalfWidth]])</f>
        <v>0.16185495883193918</v>
      </c>
    </row>
    <row r="93" spans="1:21" x14ac:dyDescent="0.35">
      <c r="A93" t="s">
        <v>66</v>
      </c>
      <c r="B93" t="s">
        <v>98</v>
      </c>
      <c r="C93">
        <v>19</v>
      </c>
      <c r="D93" t="s">
        <v>77</v>
      </c>
      <c r="E93" t="s">
        <v>81</v>
      </c>
      <c r="F93" t="s">
        <v>79</v>
      </c>
      <c r="G93">
        <v>1.6258797933937499E-2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1.3948152888114</v>
      </c>
      <c r="U93">
        <f>IF((ContinuousStatsTable[[#This Row],[RepsRequested]]&gt;1),ContinuousStatsTable[[#This Row],[HalfWidth]],ContinuousStatsTable[[#This Row],[BatchMeansHalfWidth]])</f>
        <v>8.2805514591213075E-2</v>
      </c>
    </row>
    <row r="94" spans="1:21" x14ac:dyDescent="0.35">
      <c r="A94" t="s">
        <v>66</v>
      </c>
      <c r="B94" t="s">
        <v>98</v>
      </c>
      <c r="C94">
        <v>19</v>
      </c>
      <c r="D94" t="s">
        <v>82</v>
      </c>
      <c r="E94" t="s">
        <v>83</v>
      </c>
      <c r="F94" t="s">
        <v>84</v>
      </c>
      <c r="G94">
        <v>0.59969844815004303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0.30856555337021802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0.98721163888391195</v>
      </c>
      <c r="U94">
        <f>IF((ContinuousStatsTable[[#This Row],[RepsRequested]]&gt;1),ContinuousStatsTable[[#This Row],[HalfWidth]],ContinuousStatsTable[[#This Row],[BatchMeansHalfWidth]])</f>
        <v>4.7861696606629554E-2</v>
      </c>
    </row>
    <row r="95" spans="1:21" x14ac:dyDescent="0.35">
      <c r="A95" t="s">
        <v>66</v>
      </c>
      <c r="B95" t="s">
        <v>98</v>
      </c>
      <c r="C95">
        <v>19</v>
      </c>
      <c r="D95" t="s">
        <v>82</v>
      </c>
      <c r="E95" t="s">
        <v>85</v>
      </c>
      <c r="F95" t="s">
        <v>84</v>
      </c>
      <c r="G95">
        <v>1.1993968963000901</v>
      </c>
      <c r="H95">
        <v>2E+20</v>
      </c>
      <c r="I95">
        <v>0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0.61713110674043503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1.9744232777678199</v>
      </c>
      <c r="U95">
        <f>IF((ContinuousStatsTable[[#This Row],[RepsRequested]]&gt;1),ContinuousStatsTable[[#This Row],[HalfWidth]],ContinuousStatsTable[[#This Row],[BatchMeansHalfWidth]])</f>
        <v>9.5723393213258262E-2</v>
      </c>
    </row>
    <row r="96" spans="1:21" x14ac:dyDescent="0.35">
      <c r="A96" t="s">
        <v>66</v>
      </c>
      <c r="B96" t="s">
        <v>98</v>
      </c>
      <c r="C96">
        <v>19</v>
      </c>
      <c r="D96" t="s">
        <v>82</v>
      </c>
      <c r="E96" t="s">
        <v>86</v>
      </c>
      <c r="F96" t="s">
        <v>84</v>
      </c>
      <c r="G96">
        <v>2</v>
      </c>
      <c r="H96">
        <v>2E+20</v>
      </c>
      <c r="I96">
        <v>2</v>
      </c>
      <c r="J96">
        <v>2</v>
      </c>
      <c r="K96">
        <v>2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35">
      <c r="A97" t="s">
        <v>66</v>
      </c>
      <c r="B97" t="s">
        <v>98</v>
      </c>
      <c r="C97">
        <v>20</v>
      </c>
      <c r="D97" t="s">
        <v>69</v>
      </c>
      <c r="E97" t="s">
        <v>80</v>
      </c>
      <c r="F97" t="s">
        <v>71</v>
      </c>
      <c r="G97">
        <v>2.78430437695057</v>
      </c>
      <c r="H97">
        <v>2E+20</v>
      </c>
      <c r="I97">
        <v>0</v>
      </c>
      <c r="J97">
        <v>6</v>
      </c>
      <c r="K97">
        <v>6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0.61713110674043503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3.1068745343639899</v>
      </c>
      <c r="U97">
        <f>IF((ContinuousStatsTable[[#This Row],[RepsRequested]]&gt;1),ContinuousStatsTable[[#This Row],[HalfWidth]],ContinuousStatsTable[[#This Row],[BatchMeansHalfWidth]])</f>
        <v>0.16185495883193918</v>
      </c>
    </row>
    <row r="98" spans="1:21" x14ac:dyDescent="0.35">
      <c r="A98" t="s">
        <v>66</v>
      </c>
      <c r="B98" t="s">
        <v>98</v>
      </c>
      <c r="C98">
        <v>20</v>
      </c>
      <c r="D98" t="s">
        <v>77</v>
      </c>
      <c r="E98" t="s">
        <v>81</v>
      </c>
      <c r="F98" t="s">
        <v>79</v>
      </c>
      <c r="G98">
        <v>0.97641258534046105</v>
      </c>
      <c r="H98">
        <v>2E+20</v>
      </c>
      <c r="I98">
        <v>0</v>
      </c>
      <c r="J98">
        <v>4</v>
      </c>
      <c r="K98">
        <v>4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1.3948152888114</v>
      </c>
      <c r="U98">
        <f>IF((ContinuousStatsTable[[#This Row],[RepsRequested]]&gt;1),ContinuousStatsTable[[#This Row],[HalfWidth]],ContinuousStatsTable[[#This Row],[BatchMeansHalfWidth]])</f>
        <v>8.2805514591213075E-2</v>
      </c>
    </row>
    <row r="99" spans="1:21" x14ac:dyDescent="0.35">
      <c r="A99" t="s">
        <v>66</v>
      </c>
      <c r="B99" t="s">
        <v>98</v>
      </c>
      <c r="C99">
        <v>20</v>
      </c>
      <c r="D99" t="s">
        <v>82</v>
      </c>
      <c r="E99" t="s">
        <v>83</v>
      </c>
      <c r="F99" t="s">
        <v>84</v>
      </c>
      <c r="G99">
        <v>0.90394589580505302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0.30856555337021802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0.98721163888391195</v>
      </c>
      <c r="U99">
        <f>IF((ContinuousStatsTable[[#This Row],[RepsRequested]]&gt;1),ContinuousStatsTable[[#This Row],[HalfWidth]],ContinuousStatsTable[[#This Row],[BatchMeansHalfWidth]])</f>
        <v>4.7861696606629554E-2</v>
      </c>
    </row>
    <row r="100" spans="1:21" x14ac:dyDescent="0.35">
      <c r="A100" t="s">
        <v>66</v>
      </c>
      <c r="B100" t="s">
        <v>98</v>
      </c>
      <c r="C100">
        <v>20</v>
      </c>
      <c r="D100" t="s">
        <v>82</v>
      </c>
      <c r="E100" t="s">
        <v>85</v>
      </c>
      <c r="F100" t="s">
        <v>84</v>
      </c>
      <c r="G100">
        <v>1.80789179161011</v>
      </c>
      <c r="H100">
        <v>2E+20</v>
      </c>
      <c r="I100">
        <v>0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0.61713110674043503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1.9744232777678199</v>
      </c>
      <c r="U100">
        <f>IF((ContinuousStatsTable[[#This Row],[RepsRequested]]&gt;1),ContinuousStatsTable[[#This Row],[HalfWidth]],ContinuousStatsTable[[#This Row],[BatchMeansHalfWidth]])</f>
        <v>9.5723393213258262E-2</v>
      </c>
    </row>
    <row r="101" spans="1:21" x14ac:dyDescent="0.35">
      <c r="A101" t="s">
        <v>66</v>
      </c>
      <c r="B101" t="s">
        <v>98</v>
      </c>
      <c r="C101">
        <v>20</v>
      </c>
      <c r="D101" t="s">
        <v>82</v>
      </c>
      <c r="E101" t="s">
        <v>86</v>
      </c>
      <c r="F101" t="s">
        <v>84</v>
      </c>
      <c r="G101">
        <v>2</v>
      </c>
      <c r="H101">
        <v>2E+20</v>
      </c>
      <c r="I101">
        <v>2</v>
      </c>
      <c r="J101">
        <v>2</v>
      </c>
      <c r="K101">
        <v>2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2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98</v>
      </c>
      <c r="C102">
        <v>21</v>
      </c>
      <c r="D102" t="s">
        <v>69</v>
      </c>
      <c r="E102" t="s">
        <v>80</v>
      </c>
      <c r="F102" t="s">
        <v>71</v>
      </c>
      <c r="G102">
        <v>1.8654670771991899</v>
      </c>
      <c r="H102">
        <v>2E+20</v>
      </c>
      <c r="I102">
        <v>0</v>
      </c>
      <c r="J102">
        <v>4</v>
      </c>
      <c r="K102">
        <v>3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0.61713110674043503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3.1068745343639899</v>
      </c>
      <c r="U102">
        <f>IF((ContinuousStatsTable[[#This Row],[RepsRequested]]&gt;1),ContinuousStatsTable[[#This Row],[HalfWidth]],ContinuousStatsTable[[#This Row],[BatchMeansHalfWidth]])</f>
        <v>0.16185495883193918</v>
      </c>
    </row>
    <row r="103" spans="1:21" x14ac:dyDescent="0.35">
      <c r="A103" t="s">
        <v>66</v>
      </c>
      <c r="B103" t="s">
        <v>98</v>
      </c>
      <c r="C103">
        <v>21</v>
      </c>
      <c r="D103" t="s">
        <v>77</v>
      </c>
      <c r="E103" t="s">
        <v>81</v>
      </c>
      <c r="F103" t="s">
        <v>79</v>
      </c>
      <c r="G103">
        <v>0.53111384417938901</v>
      </c>
      <c r="H103">
        <v>2E+20</v>
      </c>
      <c r="I103">
        <v>0</v>
      </c>
      <c r="J103">
        <v>2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1.3948152888114</v>
      </c>
      <c r="U103">
        <f>IF((ContinuousStatsTable[[#This Row],[RepsRequested]]&gt;1),ContinuousStatsTable[[#This Row],[HalfWidth]],ContinuousStatsTable[[#This Row],[BatchMeansHalfWidth]])</f>
        <v>8.2805514591213075E-2</v>
      </c>
    </row>
    <row r="104" spans="1:21" x14ac:dyDescent="0.35">
      <c r="A104" t="s">
        <v>66</v>
      </c>
      <c r="B104" t="s">
        <v>98</v>
      </c>
      <c r="C104">
        <v>21</v>
      </c>
      <c r="D104" t="s">
        <v>82</v>
      </c>
      <c r="E104" t="s">
        <v>83</v>
      </c>
      <c r="F104" t="s">
        <v>84</v>
      </c>
      <c r="G104">
        <v>0.66717661650990201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0.30856555337021802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0.98721163888391195</v>
      </c>
      <c r="U104">
        <f>IF((ContinuousStatsTable[[#This Row],[RepsRequested]]&gt;1),ContinuousStatsTable[[#This Row],[HalfWidth]],ContinuousStatsTable[[#This Row],[BatchMeansHalfWidth]])</f>
        <v>4.7861696606629554E-2</v>
      </c>
    </row>
    <row r="105" spans="1:21" x14ac:dyDescent="0.35">
      <c r="A105" t="s">
        <v>66</v>
      </c>
      <c r="B105" t="s">
        <v>98</v>
      </c>
      <c r="C105">
        <v>21</v>
      </c>
      <c r="D105" t="s">
        <v>82</v>
      </c>
      <c r="E105" t="s">
        <v>85</v>
      </c>
      <c r="F105" t="s">
        <v>84</v>
      </c>
      <c r="G105">
        <v>1.3343532330198</v>
      </c>
      <c r="H105">
        <v>2E+20</v>
      </c>
      <c r="I105">
        <v>0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0.61713110674043503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1.9744232777678199</v>
      </c>
      <c r="U105">
        <f>IF((ContinuousStatsTable[[#This Row],[RepsRequested]]&gt;1),ContinuousStatsTable[[#This Row],[HalfWidth]],ContinuousStatsTable[[#This Row],[BatchMeansHalfWidth]])</f>
        <v>9.5723393213258262E-2</v>
      </c>
    </row>
    <row r="106" spans="1:21" x14ac:dyDescent="0.35">
      <c r="A106" t="s">
        <v>66</v>
      </c>
      <c r="B106" t="s">
        <v>98</v>
      </c>
      <c r="C106">
        <v>21</v>
      </c>
      <c r="D106" t="s">
        <v>82</v>
      </c>
      <c r="E106" t="s">
        <v>86</v>
      </c>
      <c r="F106" t="s">
        <v>84</v>
      </c>
      <c r="G106">
        <v>2</v>
      </c>
      <c r="H106">
        <v>2E+20</v>
      </c>
      <c r="I106">
        <v>2</v>
      </c>
      <c r="J106">
        <v>2</v>
      </c>
      <c r="K106">
        <v>2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2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98</v>
      </c>
      <c r="C107">
        <v>22</v>
      </c>
      <c r="D107" t="s">
        <v>69</v>
      </c>
      <c r="E107" t="s">
        <v>80</v>
      </c>
      <c r="F107" t="s">
        <v>71</v>
      </c>
      <c r="G107">
        <v>1.23026541476707</v>
      </c>
      <c r="H107">
        <v>2E+20</v>
      </c>
      <c r="I107">
        <v>0</v>
      </c>
      <c r="J107">
        <v>2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0.61713110674043503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3.1068745343639899</v>
      </c>
      <c r="U107">
        <f>IF((ContinuousStatsTable[[#This Row],[RepsRequested]]&gt;1),ContinuousStatsTable[[#This Row],[HalfWidth]],ContinuousStatsTable[[#This Row],[BatchMeansHalfWidth]])</f>
        <v>0.16185495883193918</v>
      </c>
    </row>
    <row r="108" spans="1:21" x14ac:dyDescent="0.35">
      <c r="A108" t="s">
        <v>66</v>
      </c>
      <c r="B108" t="s">
        <v>98</v>
      </c>
      <c r="C108">
        <v>22</v>
      </c>
      <c r="D108" t="s">
        <v>77</v>
      </c>
      <c r="E108" t="s">
        <v>81</v>
      </c>
      <c r="F108" t="s">
        <v>79</v>
      </c>
      <c r="G108">
        <v>0</v>
      </c>
      <c r="H108">
        <v>2E+20</v>
      </c>
      <c r="I108">
        <v>0</v>
      </c>
      <c r="J108">
        <v>0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1.3948152888114</v>
      </c>
      <c r="U108">
        <f>IF((ContinuousStatsTable[[#This Row],[RepsRequested]]&gt;1),ContinuousStatsTable[[#This Row],[HalfWidth]],ContinuousStatsTable[[#This Row],[BatchMeansHalfWidth]])</f>
        <v>8.2805514591213075E-2</v>
      </c>
    </row>
    <row r="109" spans="1:21" x14ac:dyDescent="0.35">
      <c r="A109" t="s">
        <v>66</v>
      </c>
      <c r="B109" t="s">
        <v>98</v>
      </c>
      <c r="C109">
        <v>22</v>
      </c>
      <c r="D109" t="s">
        <v>82</v>
      </c>
      <c r="E109" t="s">
        <v>83</v>
      </c>
      <c r="F109" t="s">
        <v>84</v>
      </c>
      <c r="G109">
        <v>0.61513270738353398</v>
      </c>
      <c r="H109">
        <v>2E+20</v>
      </c>
      <c r="I109">
        <v>0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0.30856555337021802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0.98721163888391195</v>
      </c>
      <c r="U109">
        <f>IF((ContinuousStatsTable[[#This Row],[RepsRequested]]&gt;1),ContinuousStatsTable[[#This Row],[HalfWidth]],ContinuousStatsTable[[#This Row],[BatchMeansHalfWidth]])</f>
        <v>4.7861696606629554E-2</v>
      </c>
    </row>
    <row r="110" spans="1:21" x14ac:dyDescent="0.35">
      <c r="A110" t="s">
        <v>66</v>
      </c>
      <c r="B110" t="s">
        <v>98</v>
      </c>
      <c r="C110">
        <v>22</v>
      </c>
      <c r="D110" t="s">
        <v>82</v>
      </c>
      <c r="E110" t="s">
        <v>85</v>
      </c>
      <c r="F110" t="s">
        <v>84</v>
      </c>
      <c r="G110">
        <v>1.23026541476707</v>
      </c>
      <c r="H110">
        <v>2E+20</v>
      </c>
      <c r="I110">
        <v>0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0.61713110674043503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1.9744232777678199</v>
      </c>
      <c r="U110">
        <f>IF((ContinuousStatsTable[[#This Row],[RepsRequested]]&gt;1),ContinuousStatsTable[[#This Row],[HalfWidth]],ContinuousStatsTable[[#This Row],[BatchMeansHalfWidth]])</f>
        <v>9.5723393213258262E-2</v>
      </c>
    </row>
    <row r="111" spans="1:21" x14ac:dyDescent="0.35">
      <c r="A111" t="s">
        <v>66</v>
      </c>
      <c r="B111" t="s">
        <v>98</v>
      </c>
      <c r="C111">
        <v>22</v>
      </c>
      <c r="D111" t="s">
        <v>82</v>
      </c>
      <c r="E111" t="s">
        <v>86</v>
      </c>
      <c r="F111" t="s">
        <v>84</v>
      </c>
      <c r="G111">
        <v>2</v>
      </c>
      <c r="H111">
        <v>2E+20</v>
      </c>
      <c r="I111">
        <v>2</v>
      </c>
      <c r="J111">
        <v>2</v>
      </c>
      <c r="K111">
        <v>2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2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35">
      <c r="A112" t="s">
        <v>66</v>
      </c>
      <c r="B112" t="s">
        <v>98</v>
      </c>
      <c r="C112">
        <v>23</v>
      </c>
      <c r="D112" t="s">
        <v>69</v>
      </c>
      <c r="E112" t="s">
        <v>80</v>
      </c>
      <c r="F112" t="s">
        <v>71</v>
      </c>
      <c r="G112">
        <v>1.7481232289022099</v>
      </c>
      <c r="H112">
        <v>2E+20</v>
      </c>
      <c r="I112">
        <v>0</v>
      </c>
      <c r="J112">
        <v>3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0.61713110674043503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3.1068745343639899</v>
      </c>
      <c r="U112">
        <f>IF((ContinuousStatsTable[[#This Row],[RepsRequested]]&gt;1),ContinuousStatsTable[[#This Row],[HalfWidth]],ContinuousStatsTable[[#This Row],[BatchMeansHalfWidth]])</f>
        <v>0.16185495883193918</v>
      </c>
    </row>
    <row r="113" spans="1:21" x14ac:dyDescent="0.35">
      <c r="A113" t="s">
        <v>66</v>
      </c>
      <c r="B113" t="s">
        <v>98</v>
      </c>
      <c r="C113">
        <v>23</v>
      </c>
      <c r="D113" t="s">
        <v>77</v>
      </c>
      <c r="E113" t="s">
        <v>81</v>
      </c>
      <c r="F113" t="s">
        <v>79</v>
      </c>
      <c r="G113">
        <v>0.175789967511503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1.3948152888114</v>
      </c>
      <c r="U113">
        <f>IF((ContinuousStatsTable[[#This Row],[RepsRequested]]&gt;1),ContinuousStatsTable[[#This Row],[HalfWidth]],ContinuousStatsTable[[#This Row],[BatchMeansHalfWidth]])</f>
        <v>8.2805514591213075E-2</v>
      </c>
    </row>
    <row r="114" spans="1:21" x14ac:dyDescent="0.35">
      <c r="A114" t="s">
        <v>66</v>
      </c>
      <c r="B114" t="s">
        <v>98</v>
      </c>
      <c r="C114">
        <v>23</v>
      </c>
      <c r="D114" t="s">
        <v>82</v>
      </c>
      <c r="E114" t="s">
        <v>83</v>
      </c>
      <c r="F114" t="s">
        <v>84</v>
      </c>
      <c r="G114">
        <v>0.78616663069535198</v>
      </c>
      <c r="H114">
        <v>2E+20</v>
      </c>
      <c r="I114">
        <v>0</v>
      </c>
      <c r="J114">
        <v>1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0.30856555337021802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0.98721163888391195</v>
      </c>
      <c r="U114">
        <f>IF((ContinuousStatsTable[[#This Row],[RepsRequested]]&gt;1),ContinuousStatsTable[[#This Row],[HalfWidth]],ContinuousStatsTable[[#This Row],[BatchMeansHalfWidth]])</f>
        <v>4.7861696606629554E-2</v>
      </c>
    </row>
    <row r="115" spans="1:21" x14ac:dyDescent="0.35">
      <c r="A115" t="s">
        <v>66</v>
      </c>
      <c r="B115" t="s">
        <v>98</v>
      </c>
      <c r="C115">
        <v>23</v>
      </c>
      <c r="D115" t="s">
        <v>82</v>
      </c>
      <c r="E115" t="s">
        <v>85</v>
      </c>
      <c r="F115" t="s">
        <v>84</v>
      </c>
      <c r="G115">
        <v>1.5723332613907</v>
      </c>
      <c r="H115">
        <v>2E+20</v>
      </c>
      <c r="I115">
        <v>0</v>
      </c>
      <c r="J115">
        <v>2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0.61713110674043503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1.9744232777678199</v>
      </c>
      <c r="U115">
        <f>IF((ContinuousStatsTable[[#This Row],[RepsRequested]]&gt;1),ContinuousStatsTable[[#This Row],[HalfWidth]],ContinuousStatsTable[[#This Row],[BatchMeansHalfWidth]])</f>
        <v>9.5723393213258262E-2</v>
      </c>
    </row>
    <row r="116" spans="1:21" x14ac:dyDescent="0.35">
      <c r="A116" t="s">
        <v>66</v>
      </c>
      <c r="B116" t="s">
        <v>98</v>
      </c>
      <c r="C116">
        <v>23</v>
      </c>
      <c r="D116" t="s">
        <v>82</v>
      </c>
      <c r="E116" t="s">
        <v>86</v>
      </c>
      <c r="F116" t="s">
        <v>84</v>
      </c>
      <c r="G116">
        <v>2</v>
      </c>
      <c r="H116">
        <v>2E+20</v>
      </c>
      <c r="I116">
        <v>2</v>
      </c>
      <c r="J116">
        <v>2</v>
      </c>
      <c r="K116">
        <v>2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2</v>
      </c>
      <c r="U116">
        <f>IF((ContinuousStatsTable[[#This Row],[RepsRequested]]&gt;1),ContinuousStatsTable[[#This Row],[HalfWidth]],ContinuousStatsTable[[#This Row],[BatchMeansHalfWidth]])</f>
        <v>0</v>
      </c>
    </row>
    <row r="117" spans="1:21" x14ac:dyDescent="0.35">
      <c r="A117" t="s">
        <v>66</v>
      </c>
      <c r="B117" t="s">
        <v>98</v>
      </c>
      <c r="C117">
        <v>24</v>
      </c>
      <c r="D117" t="s">
        <v>69</v>
      </c>
      <c r="E117" t="s">
        <v>80</v>
      </c>
      <c r="F117" t="s">
        <v>71</v>
      </c>
      <c r="G117">
        <v>1.33525744261539</v>
      </c>
      <c r="H117">
        <v>2E+20</v>
      </c>
      <c r="I117">
        <v>0</v>
      </c>
      <c r="J117">
        <v>2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0.61713110674043503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3.1068745343639899</v>
      </c>
      <c r="U117">
        <f>IF((ContinuousStatsTable[[#This Row],[RepsRequested]]&gt;1),ContinuousStatsTable[[#This Row],[HalfWidth]],ContinuousStatsTable[[#This Row],[BatchMeansHalfWidth]])</f>
        <v>0.16185495883193918</v>
      </c>
    </row>
    <row r="118" spans="1:21" x14ac:dyDescent="0.35">
      <c r="A118" t="s">
        <v>66</v>
      </c>
      <c r="B118" t="s">
        <v>98</v>
      </c>
      <c r="C118">
        <v>24</v>
      </c>
      <c r="D118" t="s">
        <v>77</v>
      </c>
      <c r="E118" t="s">
        <v>81</v>
      </c>
      <c r="F118" t="s">
        <v>79</v>
      </c>
      <c r="G118">
        <v>0</v>
      </c>
      <c r="H118">
        <v>2E+20</v>
      </c>
      <c r="I118">
        <v>0</v>
      </c>
      <c r="J118">
        <v>0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1.3948152888114</v>
      </c>
      <c r="U118">
        <f>IF((ContinuousStatsTable[[#This Row],[RepsRequested]]&gt;1),ContinuousStatsTable[[#This Row],[HalfWidth]],ContinuousStatsTable[[#This Row],[BatchMeansHalfWidth]])</f>
        <v>8.2805514591213075E-2</v>
      </c>
    </row>
    <row r="119" spans="1:21" x14ac:dyDescent="0.35">
      <c r="A119" t="s">
        <v>66</v>
      </c>
      <c r="B119" t="s">
        <v>98</v>
      </c>
      <c r="C119">
        <v>24</v>
      </c>
      <c r="D119" t="s">
        <v>82</v>
      </c>
      <c r="E119" t="s">
        <v>83</v>
      </c>
      <c r="F119" t="s">
        <v>84</v>
      </c>
      <c r="G119">
        <v>0.66762872130769402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0.30856555337021802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0.98721163888391195</v>
      </c>
      <c r="U119">
        <f>IF((ContinuousStatsTable[[#This Row],[RepsRequested]]&gt;1),ContinuousStatsTable[[#This Row],[HalfWidth]],ContinuousStatsTable[[#This Row],[BatchMeansHalfWidth]])</f>
        <v>4.7861696606629554E-2</v>
      </c>
    </row>
    <row r="120" spans="1:21" x14ac:dyDescent="0.35">
      <c r="A120" t="s">
        <v>66</v>
      </c>
      <c r="B120" t="s">
        <v>98</v>
      </c>
      <c r="C120">
        <v>24</v>
      </c>
      <c r="D120" t="s">
        <v>82</v>
      </c>
      <c r="E120" t="s">
        <v>85</v>
      </c>
      <c r="F120" t="s">
        <v>84</v>
      </c>
      <c r="G120">
        <v>1.33525744261539</v>
      </c>
      <c r="H120">
        <v>2E+20</v>
      </c>
      <c r="I120">
        <v>0</v>
      </c>
      <c r="J120">
        <v>2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0.61713110674043503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1.9744232777678199</v>
      </c>
      <c r="U120">
        <f>IF((ContinuousStatsTable[[#This Row],[RepsRequested]]&gt;1),ContinuousStatsTable[[#This Row],[HalfWidth]],ContinuousStatsTable[[#This Row],[BatchMeansHalfWidth]])</f>
        <v>9.5723393213258262E-2</v>
      </c>
    </row>
    <row r="121" spans="1:21" x14ac:dyDescent="0.35">
      <c r="A121" t="s">
        <v>66</v>
      </c>
      <c r="B121" t="s">
        <v>98</v>
      </c>
      <c r="C121">
        <v>24</v>
      </c>
      <c r="D121" t="s">
        <v>82</v>
      </c>
      <c r="E121" t="s">
        <v>86</v>
      </c>
      <c r="F121" t="s">
        <v>84</v>
      </c>
      <c r="G121">
        <v>2</v>
      </c>
      <c r="H121">
        <v>2E+20</v>
      </c>
      <c r="I121">
        <v>2</v>
      </c>
      <c r="J121">
        <v>2</v>
      </c>
      <c r="K121">
        <v>2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98</v>
      </c>
      <c r="C122">
        <v>25</v>
      </c>
      <c r="D122" t="s">
        <v>69</v>
      </c>
      <c r="E122" t="s">
        <v>80</v>
      </c>
      <c r="F122" t="s">
        <v>71</v>
      </c>
      <c r="G122">
        <v>1.83590933276838</v>
      </c>
      <c r="H122">
        <v>2E+20</v>
      </c>
      <c r="I122">
        <v>0</v>
      </c>
      <c r="J122">
        <v>4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0.61713110674043503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3.1068745343639899</v>
      </c>
      <c r="U122">
        <f>IF((ContinuousStatsTable[[#This Row],[RepsRequested]]&gt;1),ContinuousStatsTable[[#This Row],[HalfWidth]],ContinuousStatsTable[[#This Row],[BatchMeansHalfWidth]])</f>
        <v>0.16185495883193918</v>
      </c>
    </row>
    <row r="123" spans="1:21" x14ac:dyDescent="0.35">
      <c r="A123" t="s">
        <v>66</v>
      </c>
      <c r="B123" t="s">
        <v>98</v>
      </c>
      <c r="C123">
        <v>25</v>
      </c>
      <c r="D123" t="s">
        <v>77</v>
      </c>
      <c r="E123" t="s">
        <v>81</v>
      </c>
      <c r="F123" t="s">
        <v>79</v>
      </c>
      <c r="G123">
        <v>0.218323572330724</v>
      </c>
      <c r="H123">
        <v>2E+20</v>
      </c>
      <c r="I123">
        <v>0</v>
      </c>
      <c r="J123">
        <v>2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1.3948152888114</v>
      </c>
      <c r="U123">
        <f>IF((ContinuousStatsTable[[#This Row],[RepsRequested]]&gt;1),ContinuousStatsTable[[#This Row],[HalfWidth]],ContinuousStatsTable[[#This Row],[BatchMeansHalfWidth]])</f>
        <v>8.2805514591213075E-2</v>
      </c>
    </row>
    <row r="124" spans="1:21" x14ac:dyDescent="0.35">
      <c r="A124" t="s">
        <v>66</v>
      </c>
      <c r="B124" t="s">
        <v>98</v>
      </c>
      <c r="C124">
        <v>25</v>
      </c>
      <c r="D124" t="s">
        <v>82</v>
      </c>
      <c r="E124" t="s">
        <v>83</v>
      </c>
      <c r="F124" t="s">
        <v>84</v>
      </c>
      <c r="G124">
        <v>0.80879288021883</v>
      </c>
      <c r="H124">
        <v>2E+20</v>
      </c>
      <c r="I124">
        <v>0</v>
      </c>
      <c r="J124">
        <v>1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0.30856555337021802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0.98721163888391195</v>
      </c>
      <c r="U124">
        <f>IF((ContinuousStatsTable[[#This Row],[RepsRequested]]&gt;1),ContinuousStatsTable[[#This Row],[HalfWidth]],ContinuousStatsTable[[#This Row],[BatchMeansHalfWidth]])</f>
        <v>4.7861696606629554E-2</v>
      </c>
    </row>
    <row r="125" spans="1:21" x14ac:dyDescent="0.35">
      <c r="A125" t="s">
        <v>66</v>
      </c>
      <c r="B125" t="s">
        <v>98</v>
      </c>
      <c r="C125">
        <v>25</v>
      </c>
      <c r="D125" t="s">
        <v>82</v>
      </c>
      <c r="E125" t="s">
        <v>85</v>
      </c>
      <c r="F125" t="s">
        <v>84</v>
      </c>
      <c r="G125">
        <v>1.61758576043766</v>
      </c>
      <c r="H125">
        <v>2E+20</v>
      </c>
      <c r="I125">
        <v>0</v>
      </c>
      <c r="J125">
        <v>2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0.61713110674043503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1.9744232777678199</v>
      </c>
      <c r="U125">
        <f>IF((ContinuousStatsTable[[#This Row],[RepsRequested]]&gt;1),ContinuousStatsTable[[#This Row],[HalfWidth]],ContinuousStatsTable[[#This Row],[BatchMeansHalfWidth]])</f>
        <v>9.5723393213258262E-2</v>
      </c>
    </row>
    <row r="126" spans="1:21" x14ac:dyDescent="0.35">
      <c r="A126" t="s">
        <v>66</v>
      </c>
      <c r="B126" t="s">
        <v>98</v>
      </c>
      <c r="C126">
        <v>25</v>
      </c>
      <c r="D126" t="s">
        <v>82</v>
      </c>
      <c r="E126" t="s">
        <v>86</v>
      </c>
      <c r="F126" t="s">
        <v>84</v>
      </c>
      <c r="G126">
        <v>2</v>
      </c>
      <c r="H126">
        <v>2E+20</v>
      </c>
      <c r="I126">
        <v>2</v>
      </c>
      <c r="J126">
        <v>2</v>
      </c>
      <c r="K126">
        <v>2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</v>
      </c>
      <c r="U126">
        <f>IF((ContinuousStatsTable[[#This Row],[RepsRequested]]&gt;1),ContinuousStatsTable[[#This Row],[HalfWidth]],ContinuousStatsTable[[#This Row],[BatchMeansHalfWidth]])</f>
        <v>0</v>
      </c>
    </row>
    <row r="127" spans="1:21" x14ac:dyDescent="0.35">
      <c r="A127" t="s">
        <v>66</v>
      </c>
      <c r="B127" t="s">
        <v>98</v>
      </c>
      <c r="C127">
        <v>26</v>
      </c>
      <c r="D127" t="s">
        <v>69</v>
      </c>
      <c r="E127" t="s">
        <v>80</v>
      </c>
      <c r="F127" t="s">
        <v>71</v>
      </c>
      <c r="G127">
        <v>2.2816010967595899</v>
      </c>
      <c r="H127">
        <v>2E+20</v>
      </c>
      <c r="I127">
        <v>0</v>
      </c>
      <c r="J127">
        <v>5</v>
      </c>
      <c r="K127">
        <v>2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0.61713110674043503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3.1068745343639899</v>
      </c>
      <c r="U127">
        <f>IF((ContinuousStatsTable[[#This Row],[RepsRequested]]&gt;1),ContinuousStatsTable[[#This Row],[HalfWidth]],ContinuousStatsTable[[#This Row],[BatchMeansHalfWidth]])</f>
        <v>0.16185495883193918</v>
      </c>
    </row>
    <row r="128" spans="1:21" x14ac:dyDescent="0.35">
      <c r="A128" t="s">
        <v>66</v>
      </c>
      <c r="B128" t="s">
        <v>98</v>
      </c>
      <c r="C128">
        <v>26</v>
      </c>
      <c r="D128" t="s">
        <v>77</v>
      </c>
      <c r="E128" t="s">
        <v>81</v>
      </c>
      <c r="F128" t="s">
        <v>79</v>
      </c>
      <c r="G128">
        <v>0.80318267609915295</v>
      </c>
      <c r="H128">
        <v>2E+20</v>
      </c>
      <c r="I128">
        <v>0</v>
      </c>
      <c r="J128">
        <v>3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1.3948152888114</v>
      </c>
      <c r="U128">
        <f>IF((ContinuousStatsTable[[#This Row],[RepsRequested]]&gt;1),ContinuousStatsTable[[#This Row],[HalfWidth]],ContinuousStatsTable[[#This Row],[BatchMeansHalfWidth]])</f>
        <v>8.2805514591213075E-2</v>
      </c>
    </row>
    <row r="129" spans="1:21" x14ac:dyDescent="0.35">
      <c r="A129" t="s">
        <v>66</v>
      </c>
      <c r="B129" t="s">
        <v>98</v>
      </c>
      <c r="C129">
        <v>26</v>
      </c>
      <c r="D129" t="s">
        <v>82</v>
      </c>
      <c r="E129" t="s">
        <v>83</v>
      </c>
      <c r="F129" t="s">
        <v>84</v>
      </c>
      <c r="G129">
        <v>0.73920921033022002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0.30856555337021802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0.98721163888391195</v>
      </c>
      <c r="U129">
        <f>IF((ContinuousStatsTable[[#This Row],[RepsRequested]]&gt;1),ContinuousStatsTable[[#This Row],[HalfWidth]],ContinuousStatsTable[[#This Row],[BatchMeansHalfWidth]])</f>
        <v>4.7861696606629554E-2</v>
      </c>
    </row>
    <row r="130" spans="1:21" x14ac:dyDescent="0.35">
      <c r="A130" t="s">
        <v>66</v>
      </c>
      <c r="B130" t="s">
        <v>98</v>
      </c>
      <c r="C130">
        <v>26</v>
      </c>
      <c r="D130" t="s">
        <v>82</v>
      </c>
      <c r="E130" t="s">
        <v>85</v>
      </c>
      <c r="F130" t="s">
        <v>84</v>
      </c>
      <c r="G130">
        <v>1.47841842066044</v>
      </c>
      <c r="H130">
        <v>2E+20</v>
      </c>
      <c r="I130">
        <v>0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0.61713110674043503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1.9744232777678199</v>
      </c>
      <c r="U130">
        <f>IF((ContinuousStatsTable[[#This Row],[RepsRequested]]&gt;1),ContinuousStatsTable[[#This Row],[HalfWidth]],ContinuousStatsTable[[#This Row],[BatchMeansHalfWidth]])</f>
        <v>9.5723393213258262E-2</v>
      </c>
    </row>
    <row r="131" spans="1:21" x14ac:dyDescent="0.35">
      <c r="A131" t="s">
        <v>66</v>
      </c>
      <c r="B131" t="s">
        <v>98</v>
      </c>
      <c r="C131">
        <v>26</v>
      </c>
      <c r="D131" t="s">
        <v>82</v>
      </c>
      <c r="E131" t="s">
        <v>86</v>
      </c>
      <c r="F131" t="s">
        <v>84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>
        <f>IF((ContinuousStatsTable[[#This Row],[RepsRequested]]&gt;1),ContinuousStatsTable[[#This Row],[HalfWidth]],ContinuousStatsTable[[#This Row],[BatchMeansHalfWidth]])</f>
        <v>0</v>
      </c>
    </row>
    <row r="132" spans="1:21" x14ac:dyDescent="0.35">
      <c r="A132" t="s">
        <v>66</v>
      </c>
      <c r="B132" t="s">
        <v>98</v>
      </c>
      <c r="C132">
        <v>27</v>
      </c>
      <c r="D132" t="s">
        <v>69</v>
      </c>
      <c r="E132" t="s">
        <v>80</v>
      </c>
      <c r="F132" t="s">
        <v>71</v>
      </c>
      <c r="G132">
        <v>1.88021298855868</v>
      </c>
      <c r="H132">
        <v>2E+20</v>
      </c>
      <c r="I132">
        <v>0</v>
      </c>
      <c r="J132">
        <v>4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0.61713110674043503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3.1068745343639899</v>
      </c>
      <c r="U132">
        <f>IF((ContinuousStatsTable[[#This Row],[RepsRequested]]&gt;1),ContinuousStatsTable[[#This Row],[HalfWidth]],ContinuousStatsTable[[#This Row],[BatchMeansHalfWidth]])</f>
        <v>0.16185495883193918</v>
      </c>
    </row>
    <row r="133" spans="1:21" x14ac:dyDescent="0.35">
      <c r="A133" t="s">
        <v>66</v>
      </c>
      <c r="B133" t="s">
        <v>98</v>
      </c>
      <c r="C133">
        <v>27</v>
      </c>
      <c r="D133" t="s">
        <v>77</v>
      </c>
      <c r="E133" t="s">
        <v>81</v>
      </c>
      <c r="F133" t="s">
        <v>79</v>
      </c>
      <c r="G133">
        <v>0.32349731917049401</v>
      </c>
      <c r="H133">
        <v>2E+20</v>
      </c>
      <c r="I133">
        <v>0</v>
      </c>
      <c r="J133">
        <v>2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1.3948152888114</v>
      </c>
      <c r="U133">
        <f>IF((ContinuousStatsTable[[#This Row],[RepsRequested]]&gt;1),ContinuousStatsTable[[#This Row],[HalfWidth]],ContinuousStatsTable[[#This Row],[BatchMeansHalfWidth]])</f>
        <v>8.2805514591213075E-2</v>
      </c>
    </row>
    <row r="134" spans="1:21" x14ac:dyDescent="0.35">
      <c r="A134" t="s">
        <v>66</v>
      </c>
      <c r="B134" t="s">
        <v>98</v>
      </c>
      <c r="C134">
        <v>27</v>
      </c>
      <c r="D134" t="s">
        <v>82</v>
      </c>
      <c r="E134" t="s">
        <v>83</v>
      </c>
      <c r="F134" t="s">
        <v>84</v>
      </c>
      <c r="G134">
        <v>0.77835783469409203</v>
      </c>
      <c r="H134">
        <v>2E+20</v>
      </c>
      <c r="I134">
        <v>0</v>
      </c>
      <c r="J134">
        <v>1</v>
      </c>
      <c r="K134">
        <v>0.5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0.30856555337021802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0.98721163888391195</v>
      </c>
      <c r="U134">
        <f>IF((ContinuousStatsTable[[#This Row],[RepsRequested]]&gt;1),ContinuousStatsTable[[#This Row],[HalfWidth]],ContinuousStatsTable[[#This Row],[BatchMeansHalfWidth]])</f>
        <v>4.7861696606629554E-2</v>
      </c>
    </row>
    <row r="135" spans="1:21" x14ac:dyDescent="0.35">
      <c r="A135" t="s">
        <v>66</v>
      </c>
      <c r="B135" t="s">
        <v>98</v>
      </c>
      <c r="C135">
        <v>27</v>
      </c>
      <c r="D135" t="s">
        <v>82</v>
      </c>
      <c r="E135" t="s">
        <v>85</v>
      </c>
      <c r="F135" t="s">
        <v>84</v>
      </c>
      <c r="G135">
        <v>1.5567156693881801</v>
      </c>
      <c r="H135">
        <v>2E+20</v>
      </c>
      <c r="I135">
        <v>0</v>
      </c>
      <c r="J135">
        <v>2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0.61713110674043503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1.9744232777678199</v>
      </c>
      <c r="U135">
        <f>IF((ContinuousStatsTable[[#This Row],[RepsRequested]]&gt;1),ContinuousStatsTable[[#This Row],[HalfWidth]],ContinuousStatsTable[[#This Row],[BatchMeansHalfWidth]])</f>
        <v>9.5723393213258262E-2</v>
      </c>
    </row>
    <row r="136" spans="1:21" x14ac:dyDescent="0.35">
      <c r="A136" t="s">
        <v>66</v>
      </c>
      <c r="B136" t="s">
        <v>98</v>
      </c>
      <c r="C136">
        <v>27</v>
      </c>
      <c r="D136" t="s">
        <v>82</v>
      </c>
      <c r="E136" t="s">
        <v>86</v>
      </c>
      <c r="F136" t="s">
        <v>84</v>
      </c>
      <c r="G136">
        <v>2</v>
      </c>
      <c r="H136">
        <v>2E+20</v>
      </c>
      <c r="I136">
        <v>2</v>
      </c>
      <c r="J136">
        <v>2</v>
      </c>
      <c r="K136">
        <v>2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2</v>
      </c>
      <c r="U136">
        <f>IF((ContinuousStatsTable[[#This Row],[RepsRequested]]&gt;1),ContinuousStatsTable[[#This Row],[HalfWidth]],ContinuousStatsTable[[#This Row],[BatchMeansHalfWidth]])</f>
        <v>0</v>
      </c>
    </row>
    <row r="137" spans="1:21" x14ac:dyDescent="0.35">
      <c r="A137" t="s">
        <v>66</v>
      </c>
      <c r="B137" t="s">
        <v>98</v>
      </c>
      <c r="C137">
        <v>28</v>
      </c>
      <c r="D137" t="s">
        <v>69</v>
      </c>
      <c r="E137" t="s">
        <v>80</v>
      </c>
      <c r="F137" t="s">
        <v>71</v>
      </c>
      <c r="G137">
        <v>1.8686356818982699</v>
      </c>
      <c r="H137">
        <v>2E+20</v>
      </c>
      <c r="I137">
        <v>0</v>
      </c>
      <c r="J137">
        <v>4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0.61713110674043503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3.1068745343639899</v>
      </c>
      <c r="U137">
        <f>IF((ContinuousStatsTable[[#This Row],[RepsRequested]]&gt;1),ContinuousStatsTable[[#This Row],[HalfWidth]],ContinuousStatsTable[[#This Row],[BatchMeansHalfWidth]])</f>
        <v>0.16185495883193918</v>
      </c>
    </row>
    <row r="138" spans="1:21" x14ac:dyDescent="0.35">
      <c r="A138" t="s">
        <v>66</v>
      </c>
      <c r="B138" t="s">
        <v>98</v>
      </c>
      <c r="C138">
        <v>28</v>
      </c>
      <c r="D138" t="s">
        <v>77</v>
      </c>
      <c r="E138" t="s">
        <v>81</v>
      </c>
      <c r="F138" t="s">
        <v>79</v>
      </c>
      <c r="G138">
        <v>0.31452877391252998</v>
      </c>
      <c r="H138">
        <v>2E+20</v>
      </c>
      <c r="I138">
        <v>0</v>
      </c>
      <c r="J138">
        <v>2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1.3948152888114</v>
      </c>
      <c r="U138">
        <f>IF((ContinuousStatsTable[[#This Row],[RepsRequested]]&gt;1),ContinuousStatsTable[[#This Row],[HalfWidth]],ContinuousStatsTable[[#This Row],[BatchMeansHalfWidth]])</f>
        <v>8.2805514591213075E-2</v>
      </c>
    </row>
    <row r="139" spans="1:21" x14ac:dyDescent="0.35">
      <c r="A139" t="s">
        <v>66</v>
      </c>
      <c r="B139" t="s">
        <v>98</v>
      </c>
      <c r="C139">
        <v>28</v>
      </c>
      <c r="D139" t="s">
        <v>82</v>
      </c>
      <c r="E139" t="s">
        <v>83</v>
      </c>
      <c r="F139" t="s">
        <v>84</v>
      </c>
      <c r="G139">
        <v>0.77705345399287196</v>
      </c>
      <c r="H139">
        <v>2E+20</v>
      </c>
      <c r="I139">
        <v>0</v>
      </c>
      <c r="J139">
        <v>1</v>
      </c>
      <c r="K139">
        <v>0.5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0.30856555337021802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0.98721163888391195</v>
      </c>
      <c r="U139">
        <f>IF((ContinuousStatsTable[[#This Row],[RepsRequested]]&gt;1),ContinuousStatsTable[[#This Row],[HalfWidth]],ContinuousStatsTable[[#This Row],[BatchMeansHalfWidth]])</f>
        <v>4.7861696606629554E-2</v>
      </c>
    </row>
    <row r="140" spans="1:21" x14ac:dyDescent="0.35">
      <c r="A140" t="s">
        <v>66</v>
      </c>
      <c r="B140" t="s">
        <v>98</v>
      </c>
      <c r="C140">
        <v>28</v>
      </c>
      <c r="D140" t="s">
        <v>82</v>
      </c>
      <c r="E140" t="s">
        <v>85</v>
      </c>
      <c r="F140" t="s">
        <v>84</v>
      </c>
      <c r="G140">
        <v>1.5541069079857399</v>
      </c>
      <c r="H140">
        <v>2E+20</v>
      </c>
      <c r="I140">
        <v>0</v>
      </c>
      <c r="J140">
        <v>2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0.61713110674043503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1.9744232777678199</v>
      </c>
      <c r="U140">
        <f>IF((ContinuousStatsTable[[#This Row],[RepsRequested]]&gt;1),ContinuousStatsTable[[#This Row],[HalfWidth]],ContinuousStatsTable[[#This Row],[BatchMeansHalfWidth]])</f>
        <v>9.5723393213258262E-2</v>
      </c>
    </row>
    <row r="141" spans="1:21" x14ac:dyDescent="0.35">
      <c r="A141" t="s">
        <v>66</v>
      </c>
      <c r="B141" t="s">
        <v>98</v>
      </c>
      <c r="C141">
        <v>28</v>
      </c>
      <c r="D141" t="s">
        <v>82</v>
      </c>
      <c r="E141" t="s">
        <v>86</v>
      </c>
      <c r="F141" t="s">
        <v>84</v>
      </c>
      <c r="G141">
        <v>2</v>
      </c>
      <c r="H141">
        <v>2E+20</v>
      </c>
      <c r="I141">
        <v>2</v>
      </c>
      <c r="J141">
        <v>2</v>
      </c>
      <c r="K141">
        <v>2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2</v>
      </c>
      <c r="U141">
        <f>IF((ContinuousStatsTable[[#This Row],[RepsRequested]]&gt;1),ContinuousStatsTable[[#This Row],[HalfWidth]],ContinuousStatsTable[[#This Row],[BatchMeansHalfWidth]])</f>
        <v>0</v>
      </c>
    </row>
    <row r="142" spans="1:21" x14ac:dyDescent="0.35">
      <c r="A142" t="s">
        <v>66</v>
      </c>
      <c r="B142" t="s">
        <v>98</v>
      </c>
      <c r="C142">
        <v>29</v>
      </c>
      <c r="D142" t="s">
        <v>69</v>
      </c>
      <c r="E142" t="s">
        <v>80</v>
      </c>
      <c r="F142" t="s">
        <v>71</v>
      </c>
      <c r="G142">
        <v>0.852318140235097</v>
      </c>
      <c r="H142">
        <v>2E+20</v>
      </c>
      <c r="I142">
        <v>0</v>
      </c>
      <c r="J142">
        <v>3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0.61713110674043503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3.1068745343639899</v>
      </c>
      <c r="U142">
        <f>IF((ContinuousStatsTable[[#This Row],[RepsRequested]]&gt;1),ContinuousStatsTable[[#This Row],[HalfWidth]],ContinuousStatsTable[[#This Row],[BatchMeansHalfWidth]])</f>
        <v>0.16185495883193918</v>
      </c>
    </row>
    <row r="143" spans="1:21" x14ac:dyDescent="0.35">
      <c r="A143" t="s">
        <v>66</v>
      </c>
      <c r="B143" t="s">
        <v>98</v>
      </c>
      <c r="C143">
        <v>29</v>
      </c>
      <c r="D143" t="s">
        <v>77</v>
      </c>
      <c r="E143" t="s">
        <v>81</v>
      </c>
      <c r="F143" t="s">
        <v>79</v>
      </c>
      <c r="G143">
        <v>4.9494161508901097E-2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1.3948152888114</v>
      </c>
      <c r="U143">
        <f>IF((ContinuousStatsTable[[#This Row],[RepsRequested]]&gt;1),ContinuousStatsTable[[#This Row],[HalfWidth]],ContinuousStatsTable[[#This Row],[BatchMeansHalfWidth]])</f>
        <v>8.2805514591213075E-2</v>
      </c>
    </row>
    <row r="144" spans="1:21" x14ac:dyDescent="0.35">
      <c r="A144" t="s">
        <v>66</v>
      </c>
      <c r="B144" t="s">
        <v>98</v>
      </c>
      <c r="C144">
        <v>29</v>
      </c>
      <c r="D144" t="s">
        <v>82</v>
      </c>
      <c r="E144" t="s">
        <v>83</v>
      </c>
      <c r="F144" t="s">
        <v>84</v>
      </c>
      <c r="G144">
        <v>0.40141198936309802</v>
      </c>
      <c r="H144">
        <v>2E+20</v>
      </c>
      <c r="I144">
        <v>0</v>
      </c>
      <c r="J144">
        <v>1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0.30856555337021802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0.98721163888391195</v>
      </c>
      <c r="U144">
        <f>IF((ContinuousStatsTable[[#This Row],[RepsRequested]]&gt;1),ContinuousStatsTable[[#This Row],[HalfWidth]],ContinuousStatsTable[[#This Row],[BatchMeansHalfWidth]])</f>
        <v>4.7861696606629554E-2</v>
      </c>
    </row>
    <row r="145" spans="1:21" x14ac:dyDescent="0.35">
      <c r="A145" t="s">
        <v>66</v>
      </c>
      <c r="B145" t="s">
        <v>98</v>
      </c>
      <c r="C145">
        <v>29</v>
      </c>
      <c r="D145" t="s">
        <v>82</v>
      </c>
      <c r="E145" t="s">
        <v>85</v>
      </c>
      <c r="F145" t="s">
        <v>84</v>
      </c>
      <c r="G145">
        <v>0.80282397872619604</v>
      </c>
      <c r="H145">
        <v>2E+20</v>
      </c>
      <c r="I145">
        <v>0</v>
      </c>
      <c r="J145">
        <v>2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0.61713110674043503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1.9744232777678199</v>
      </c>
      <c r="U145">
        <f>IF((ContinuousStatsTable[[#This Row],[RepsRequested]]&gt;1),ContinuousStatsTable[[#This Row],[HalfWidth]],ContinuousStatsTable[[#This Row],[BatchMeansHalfWidth]])</f>
        <v>9.5723393213258262E-2</v>
      </c>
    </row>
    <row r="146" spans="1:21" x14ac:dyDescent="0.35">
      <c r="A146" t="s">
        <v>66</v>
      </c>
      <c r="B146" t="s">
        <v>98</v>
      </c>
      <c r="C146">
        <v>29</v>
      </c>
      <c r="D146" t="s">
        <v>82</v>
      </c>
      <c r="E146" t="s">
        <v>86</v>
      </c>
      <c r="F146" t="s">
        <v>84</v>
      </c>
      <c r="G146">
        <v>2</v>
      </c>
      <c r="H146">
        <v>2E+20</v>
      </c>
      <c r="I146">
        <v>2</v>
      </c>
      <c r="J146">
        <v>2</v>
      </c>
      <c r="K146">
        <v>2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</v>
      </c>
      <c r="U146">
        <f>IF((ContinuousStatsTable[[#This Row],[RepsRequested]]&gt;1),ContinuousStatsTable[[#This Row],[HalfWidth]],ContinuousStatsTable[[#This Row],[BatchMeansHalfWidth]])</f>
        <v>0</v>
      </c>
    </row>
    <row r="147" spans="1:21" x14ac:dyDescent="0.35">
      <c r="A147" t="s">
        <v>66</v>
      </c>
      <c r="B147" t="s">
        <v>98</v>
      </c>
      <c r="C147">
        <v>30</v>
      </c>
      <c r="D147" t="s">
        <v>69</v>
      </c>
      <c r="E147" t="s">
        <v>80</v>
      </c>
      <c r="F147" t="s">
        <v>71</v>
      </c>
      <c r="G147">
        <v>1.2892533636207</v>
      </c>
      <c r="H147">
        <v>2E+20</v>
      </c>
      <c r="I147">
        <v>0</v>
      </c>
      <c r="J147">
        <v>3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0.61713110674043503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3.1068745343639899</v>
      </c>
      <c r="U147">
        <f>IF((ContinuousStatsTable[[#This Row],[RepsRequested]]&gt;1),ContinuousStatsTable[[#This Row],[HalfWidth]],ContinuousStatsTable[[#This Row],[BatchMeansHalfWidth]])</f>
        <v>0.16185495883193918</v>
      </c>
    </row>
    <row r="148" spans="1:21" x14ac:dyDescent="0.35">
      <c r="A148" t="s">
        <v>66</v>
      </c>
      <c r="B148" t="s">
        <v>98</v>
      </c>
      <c r="C148">
        <v>30</v>
      </c>
      <c r="D148" t="s">
        <v>77</v>
      </c>
      <c r="E148" t="s">
        <v>81</v>
      </c>
      <c r="F148" t="s">
        <v>79</v>
      </c>
      <c r="G148">
        <v>0.17427006699400599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1.3948152888114</v>
      </c>
      <c r="U148">
        <f>IF((ContinuousStatsTable[[#This Row],[RepsRequested]]&gt;1),ContinuousStatsTable[[#This Row],[HalfWidth]],ContinuousStatsTable[[#This Row],[BatchMeansHalfWidth]])</f>
        <v>8.2805514591213075E-2</v>
      </c>
    </row>
    <row r="149" spans="1:21" x14ac:dyDescent="0.35">
      <c r="A149" t="s">
        <v>66</v>
      </c>
      <c r="B149" t="s">
        <v>98</v>
      </c>
      <c r="C149">
        <v>30</v>
      </c>
      <c r="D149" t="s">
        <v>82</v>
      </c>
      <c r="E149" t="s">
        <v>83</v>
      </c>
      <c r="F149" t="s">
        <v>84</v>
      </c>
      <c r="G149">
        <v>0.55749164831334497</v>
      </c>
      <c r="H149">
        <v>2E+20</v>
      </c>
      <c r="I149">
        <v>0</v>
      </c>
      <c r="J149">
        <v>1</v>
      </c>
      <c r="K149">
        <v>0.5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0.30856555337021802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0.98721163888391195</v>
      </c>
      <c r="U149">
        <f>IF((ContinuousStatsTable[[#This Row],[RepsRequested]]&gt;1),ContinuousStatsTable[[#This Row],[HalfWidth]],ContinuousStatsTable[[#This Row],[BatchMeansHalfWidth]])</f>
        <v>4.7861696606629554E-2</v>
      </c>
    </row>
    <row r="150" spans="1:21" x14ac:dyDescent="0.35">
      <c r="A150" t="s">
        <v>66</v>
      </c>
      <c r="B150" t="s">
        <v>98</v>
      </c>
      <c r="C150">
        <v>30</v>
      </c>
      <c r="D150" t="s">
        <v>82</v>
      </c>
      <c r="E150" t="s">
        <v>85</v>
      </c>
      <c r="F150" t="s">
        <v>84</v>
      </c>
      <c r="G150">
        <v>1.1149832966266899</v>
      </c>
      <c r="H150">
        <v>2E+20</v>
      </c>
      <c r="I150">
        <v>0</v>
      </c>
      <c r="J150">
        <v>2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0.61713110674043503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1.9744232777678199</v>
      </c>
      <c r="U150">
        <f>IF((ContinuousStatsTable[[#This Row],[RepsRequested]]&gt;1),ContinuousStatsTable[[#This Row],[HalfWidth]],ContinuousStatsTable[[#This Row],[BatchMeansHalfWidth]])</f>
        <v>9.5723393213258262E-2</v>
      </c>
    </row>
    <row r="151" spans="1:21" x14ac:dyDescent="0.35">
      <c r="A151" t="s">
        <v>66</v>
      </c>
      <c r="B151" t="s">
        <v>98</v>
      </c>
      <c r="C151">
        <v>30</v>
      </c>
      <c r="D151" t="s">
        <v>82</v>
      </c>
      <c r="E151" t="s">
        <v>86</v>
      </c>
      <c r="F151" t="s">
        <v>84</v>
      </c>
      <c r="G151">
        <v>2</v>
      </c>
      <c r="H151">
        <v>2E+20</v>
      </c>
      <c r="I151">
        <v>2</v>
      </c>
      <c r="J151">
        <v>2</v>
      </c>
      <c r="K151">
        <v>2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2</v>
      </c>
      <c r="U151">
        <f>IF((ContinuousStatsTable[[#This Row],[RepsRequested]]&gt;1),ContinuousStatsTable[[#This Row],[HalfWidth]],ContinuousStatsTable[[#This Row],[BatchMeansHalfWidth]])</f>
        <v>0</v>
      </c>
    </row>
    <row r="152" spans="1:21" x14ac:dyDescent="0.35">
      <c r="A152" t="s">
        <v>66</v>
      </c>
      <c r="B152" t="s">
        <v>98</v>
      </c>
      <c r="C152">
        <v>31</v>
      </c>
      <c r="D152" t="s">
        <v>69</v>
      </c>
      <c r="E152" t="s">
        <v>80</v>
      </c>
      <c r="F152" t="s">
        <v>71</v>
      </c>
      <c r="G152">
        <v>1.0127254153043601</v>
      </c>
      <c r="H152">
        <v>2E+20</v>
      </c>
      <c r="I152">
        <v>0</v>
      </c>
      <c r="J152">
        <v>2</v>
      </c>
      <c r="K152">
        <v>1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0.61713110674043503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3.1068745343639899</v>
      </c>
      <c r="U152">
        <f>IF((ContinuousStatsTable[[#This Row],[RepsRequested]]&gt;1),ContinuousStatsTable[[#This Row],[HalfWidth]],ContinuousStatsTable[[#This Row],[BatchMeansHalfWidth]])</f>
        <v>0.16185495883193918</v>
      </c>
    </row>
    <row r="153" spans="1:21" x14ac:dyDescent="0.35">
      <c r="A153" t="s">
        <v>66</v>
      </c>
      <c r="B153" t="s">
        <v>98</v>
      </c>
      <c r="C153">
        <v>31</v>
      </c>
      <c r="D153" t="s">
        <v>77</v>
      </c>
      <c r="E153" t="s">
        <v>81</v>
      </c>
      <c r="F153" t="s">
        <v>79</v>
      </c>
      <c r="G153">
        <v>0</v>
      </c>
      <c r="H153">
        <v>2E+20</v>
      </c>
      <c r="I153">
        <v>0</v>
      </c>
      <c r="J153">
        <v>0</v>
      </c>
      <c r="K153">
        <v>0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1.3948152888114</v>
      </c>
      <c r="U153">
        <f>IF((ContinuousStatsTable[[#This Row],[RepsRequested]]&gt;1),ContinuousStatsTable[[#This Row],[HalfWidth]],ContinuousStatsTable[[#This Row],[BatchMeansHalfWidth]])</f>
        <v>8.2805514591213075E-2</v>
      </c>
    </row>
    <row r="154" spans="1:21" x14ac:dyDescent="0.35">
      <c r="A154" t="s">
        <v>66</v>
      </c>
      <c r="B154" t="s">
        <v>98</v>
      </c>
      <c r="C154">
        <v>31</v>
      </c>
      <c r="D154" t="s">
        <v>82</v>
      </c>
      <c r="E154" t="s">
        <v>83</v>
      </c>
      <c r="F154" t="s">
        <v>84</v>
      </c>
      <c r="G154">
        <v>0.50636270765218105</v>
      </c>
      <c r="H154">
        <v>2E+20</v>
      </c>
      <c r="I154">
        <v>0</v>
      </c>
      <c r="J154">
        <v>1</v>
      </c>
      <c r="K154">
        <v>0.5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0.30856555337021802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0.98721163888391195</v>
      </c>
      <c r="U154">
        <f>IF((ContinuousStatsTable[[#This Row],[RepsRequested]]&gt;1),ContinuousStatsTable[[#This Row],[HalfWidth]],ContinuousStatsTable[[#This Row],[BatchMeansHalfWidth]])</f>
        <v>4.7861696606629554E-2</v>
      </c>
    </row>
    <row r="155" spans="1:21" x14ac:dyDescent="0.35">
      <c r="A155" t="s">
        <v>66</v>
      </c>
      <c r="B155" t="s">
        <v>98</v>
      </c>
      <c r="C155">
        <v>31</v>
      </c>
      <c r="D155" t="s">
        <v>82</v>
      </c>
      <c r="E155" t="s">
        <v>85</v>
      </c>
      <c r="F155" t="s">
        <v>84</v>
      </c>
      <c r="G155">
        <v>1.0127254153043601</v>
      </c>
      <c r="H155">
        <v>2E+20</v>
      </c>
      <c r="I155">
        <v>0</v>
      </c>
      <c r="J155">
        <v>2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0.61713110674043503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1.9744232777678199</v>
      </c>
      <c r="U155">
        <f>IF((ContinuousStatsTable[[#This Row],[RepsRequested]]&gt;1),ContinuousStatsTable[[#This Row],[HalfWidth]],ContinuousStatsTable[[#This Row],[BatchMeansHalfWidth]])</f>
        <v>9.5723393213258262E-2</v>
      </c>
    </row>
    <row r="156" spans="1:21" x14ac:dyDescent="0.35">
      <c r="A156" t="s">
        <v>66</v>
      </c>
      <c r="B156" t="s">
        <v>98</v>
      </c>
      <c r="C156">
        <v>31</v>
      </c>
      <c r="D156" t="s">
        <v>82</v>
      </c>
      <c r="E156" t="s">
        <v>86</v>
      </c>
      <c r="F156" t="s">
        <v>84</v>
      </c>
      <c r="G156">
        <v>2</v>
      </c>
      <c r="H156">
        <v>2E+20</v>
      </c>
      <c r="I156">
        <v>2</v>
      </c>
      <c r="J156">
        <v>2</v>
      </c>
      <c r="K156">
        <v>2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2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2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2</v>
      </c>
      <c r="U156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98</v>
      </c>
      <c r="C157">
        <v>32</v>
      </c>
      <c r="D157" t="s">
        <v>69</v>
      </c>
      <c r="E157" t="s">
        <v>80</v>
      </c>
      <c r="F157" t="s">
        <v>71</v>
      </c>
      <c r="G157">
        <v>0.68065253864465902</v>
      </c>
      <c r="H157">
        <v>2E+20</v>
      </c>
      <c r="I157">
        <v>0</v>
      </c>
      <c r="J157">
        <v>3</v>
      </c>
      <c r="K157">
        <v>3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0.61713110674043503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3.1068745343639899</v>
      </c>
      <c r="U157">
        <f>IF((ContinuousStatsTable[[#This Row],[RepsRequested]]&gt;1),ContinuousStatsTable[[#This Row],[HalfWidth]],ContinuousStatsTable[[#This Row],[BatchMeansHalfWidth]])</f>
        <v>0.16185495883193918</v>
      </c>
    </row>
    <row r="158" spans="1:21" x14ac:dyDescent="0.35">
      <c r="A158" t="s">
        <v>66</v>
      </c>
      <c r="B158" t="s">
        <v>98</v>
      </c>
      <c r="C158">
        <v>32</v>
      </c>
      <c r="D158" t="s">
        <v>77</v>
      </c>
      <c r="E158" t="s">
        <v>81</v>
      </c>
      <c r="F158" t="s">
        <v>79</v>
      </c>
      <c r="G158">
        <v>2.6320033455184001E-2</v>
      </c>
      <c r="H158">
        <v>2E+20</v>
      </c>
      <c r="I158">
        <v>0</v>
      </c>
      <c r="J158">
        <v>1</v>
      </c>
      <c r="K158">
        <v>1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1.3948152888114</v>
      </c>
      <c r="U158">
        <f>IF((ContinuousStatsTable[[#This Row],[RepsRequested]]&gt;1),ContinuousStatsTable[[#This Row],[HalfWidth]],ContinuousStatsTable[[#This Row],[BatchMeansHalfWidth]])</f>
        <v>8.2805514591213075E-2</v>
      </c>
    </row>
    <row r="159" spans="1:21" x14ac:dyDescent="0.35">
      <c r="A159" t="s">
        <v>66</v>
      </c>
      <c r="B159" t="s">
        <v>98</v>
      </c>
      <c r="C159">
        <v>32</v>
      </c>
      <c r="D159" t="s">
        <v>82</v>
      </c>
      <c r="E159" t="s">
        <v>83</v>
      </c>
      <c r="F159" t="s">
        <v>84</v>
      </c>
      <c r="G159">
        <v>0.32716625259473803</v>
      </c>
      <c r="H159">
        <v>2E+20</v>
      </c>
      <c r="I159">
        <v>0</v>
      </c>
      <c r="J159">
        <v>1</v>
      </c>
      <c r="K159">
        <v>1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0.30856555337021802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0.98721163888391195</v>
      </c>
      <c r="U159">
        <f>IF((ContinuousStatsTable[[#This Row],[RepsRequested]]&gt;1),ContinuousStatsTable[[#This Row],[HalfWidth]],ContinuousStatsTable[[#This Row],[BatchMeansHalfWidth]])</f>
        <v>4.7861696606629554E-2</v>
      </c>
    </row>
    <row r="160" spans="1:21" x14ac:dyDescent="0.35">
      <c r="A160" t="s">
        <v>66</v>
      </c>
      <c r="B160" t="s">
        <v>98</v>
      </c>
      <c r="C160">
        <v>32</v>
      </c>
      <c r="D160" t="s">
        <v>82</v>
      </c>
      <c r="E160" t="s">
        <v>85</v>
      </c>
      <c r="F160" t="s">
        <v>84</v>
      </c>
      <c r="G160">
        <v>0.65433250518947506</v>
      </c>
      <c r="H160">
        <v>2E+20</v>
      </c>
      <c r="I160">
        <v>0</v>
      </c>
      <c r="J160">
        <v>2</v>
      </c>
      <c r="K160">
        <v>2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0.61713110674043503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1.9744232777678199</v>
      </c>
      <c r="U160">
        <f>IF((ContinuousStatsTable[[#This Row],[RepsRequested]]&gt;1),ContinuousStatsTable[[#This Row],[HalfWidth]],ContinuousStatsTable[[#This Row],[BatchMeansHalfWidth]])</f>
        <v>9.5723393213258262E-2</v>
      </c>
    </row>
    <row r="161" spans="1:21" x14ac:dyDescent="0.35">
      <c r="A161" t="s">
        <v>66</v>
      </c>
      <c r="B161" t="s">
        <v>98</v>
      </c>
      <c r="C161">
        <v>32</v>
      </c>
      <c r="D161" t="s">
        <v>82</v>
      </c>
      <c r="E161" t="s">
        <v>86</v>
      </c>
      <c r="F161" t="s">
        <v>84</v>
      </c>
      <c r="G161">
        <v>2</v>
      </c>
      <c r="H161">
        <v>2E+20</v>
      </c>
      <c r="I161">
        <v>2</v>
      </c>
      <c r="J161">
        <v>2</v>
      </c>
      <c r="K161">
        <v>2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2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2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2</v>
      </c>
      <c r="U161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98</v>
      </c>
      <c r="C162">
        <v>33</v>
      </c>
      <c r="D162" t="s">
        <v>69</v>
      </c>
      <c r="E162" t="s">
        <v>80</v>
      </c>
      <c r="F162" t="s">
        <v>71</v>
      </c>
      <c r="G162">
        <v>3.1068745343639899</v>
      </c>
      <c r="H162">
        <v>2E+20</v>
      </c>
      <c r="I162">
        <v>0</v>
      </c>
      <c r="J162">
        <v>7</v>
      </c>
      <c r="K162">
        <v>2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0.61713110674043503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3.1068745343639899</v>
      </c>
      <c r="U162">
        <f>IF((ContinuousStatsTable[[#This Row],[RepsRequested]]&gt;1),ContinuousStatsTable[[#This Row],[HalfWidth]],ContinuousStatsTable[[#This Row],[BatchMeansHalfWidth]])</f>
        <v>0.16185495883193918</v>
      </c>
    </row>
    <row r="163" spans="1:21" x14ac:dyDescent="0.35">
      <c r="A163" t="s">
        <v>66</v>
      </c>
      <c r="B163" t="s">
        <v>98</v>
      </c>
      <c r="C163">
        <v>33</v>
      </c>
      <c r="D163" t="s">
        <v>77</v>
      </c>
      <c r="E163" t="s">
        <v>81</v>
      </c>
      <c r="F163" t="s">
        <v>79</v>
      </c>
      <c r="G163">
        <v>1.3948152888114</v>
      </c>
      <c r="H163">
        <v>2E+20</v>
      </c>
      <c r="I163">
        <v>0</v>
      </c>
      <c r="J163">
        <v>5</v>
      </c>
      <c r="K163">
        <v>0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0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1.3948152888114</v>
      </c>
      <c r="U163">
        <f>IF((ContinuousStatsTable[[#This Row],[RepsRequested]]&gt;1),ContinuousStatsTable[[#This Row],[HalfWidth]],ContinuousStatsTable[[#This Row],[BatchMeansHalfWidth]])</f>
        <v>8.2805514591213075E-2</v>
      </c>
    </row>
    <row r="164" spans="1:21" x14ac:dyDescent="0.35">
      <c r="A164" t="s">
        <v>66</v>
      </c>
      <c r="B164" t="s">
        <v>98</v>
      </c>
      <c r="C164">
        <v>33</v>
      </c>
      <c r="D164" t="s">
        <v>82</v>
      </c>
      <c r="E164" t="s">
        <v>83</v>
      </c>
      <c r="F164" t="s">
        <v>84</v>
      </c>
      <c r="G164">
        <v>0.85602962277629602</v>
      </c>
      <c r="H164">
        <v>2E+20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0.30856555337021802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0.98721163888391195</v>
      </c>
      <c r="U164">
        <f>IF((ContinuousStatsTable[[#This Row],[RepsRequested]]&gt;1),ContinuousStatsTable[[#This Row],[HalfWidth]],ContinuousStatsTable[[#This Row],[BatchMeansHalfWidth]])</f>
        <v>4.7861696606629554E-2</v>
      </c>
    </row>
    <row r="165" spans="1:21" x14ac:dyDescent="0.35">
      <c r="A165" t="s">
        <v>66</v>
      </c>
      <c r="B165" t="s">
        <v>98</v>
      </c>
      <c r="C165">
        <v>33</v>
      </c>
      <c r="D165" t="s">
        <v>82</v>
      </c>
      <c r="E165" t="s">
        <v>85</v>
      </c>
      <c r="F165" t="s">
        <v>84</v>
      </c>
      <c r="G165">
        <v>1.71205924555259</v>
      </c>
      <c r="H165">
        <v>2E+20</v>
      </c>
      <c r="I165">
        <v>0</v>
      </c>
      <c r="J165">
        <v>2</v>
      </c>
      <c r="K165">
        <v>2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0.61713110674043503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1.9744232777678199</v>
      </c>
      <c r="U165">
        <f>IF((ContinuousStatsTable[[#This Row],[RepsRequested]]&gt;1),ContinuousStatsTable[[#This Row],[HalfWidth]],ContinuousStatsTable[[#This Row],[BatchMeansHalfWidth]])</f>
        <v>9.5723393213258262E-2</v>
      </c>
    </row>
    <row r="166" spans="1:21" x14ac:dyDescent="0.35">
      <c r="A166" t="s">
        <v>66</v>
      </c>
      <c r="B166" t="s">
        <v>98</v>
      </c>
      <c r="C166">
        <v>33</v>
      </c>
      <c r="D166" t="s">
        <v>82</v>
      </c>
      <c r="E166" t="s">
        <v>86</v>
      </c>
      <c r="F166" t="s">
        <v>84</v>
      </c>
      <c r="G166">
        <v>2</v>
      </c>
      <c r="H166">
        <v>2E+20</v>
      </c>
      <c r="I166">
        <v>2</v>
      </c>
      <c r="J166">
        <v>2</v>
      </c>
      <c r="K166">
        <v>2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2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2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2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35">
      <c r="A167" t="s">
        <v>66</v>
      </c>
      <c r="B167" t="s">
        <v>98</v>
      </c>
      <c r="C167">
        <v>34</v>
      </c>
      <c r="D167" t="s">
        <v>69</v>
      </c>
      <c r="E167" t="s">
        <v>80</v>
      </c>
      <c r="F167" t="s">
        <v>71</v>
      </c>
      <c r="G167">
        <v>1.7580030869465999</v>
      </c>
      <c r="H167">
        <v>2E+20</v>
      </c>
      <c r="I167">
        <v>0</v>
      </c>
      <c r="J167">
        <v>3</v>
      </c>
      <c r="K167">
        <v>1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0.61713110674043503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3.1068745343639899</v>
      </c>
      <c r="U167">
        <f>IF((ContinuousStatsTable[[#This Row],[RepsRequested]]&gt;1),ContinuousStatsTable[[#This Row],[HalfWidth]],ContinuousStatsTable[[#This Row],[BatchMeansHalfWidth]])</f>
        <v>0.16185495883193918</v>
      </c>
    </row>
    <row r="168" spans="1:21" x14ac:dyDescent="0.35">
      <c r="A168" t="s">
        <v>66</v>
      </c>
      <c r="B168" t="s">
        <v>98</v>
      </c>
      <c r="C168">
        <v>34</v>
      </c>
      <c r="D168" t="s">
        <v>77</v>
      </c>
      <c r="E168" t="s">
        <v>81</v>
      </c>
      <c r="F168" t="s">
        <v>79</v>
      </c>
      <c r="G168">
        <v>0.175784713394217</v>
      </c>
      <c r="H168">
        <v>2E+20</v>
      </c>
      <c r="I168">
        <v>0</v>
      </c>
      <c r="J168">
        <v>1</v>
      </c>
      <c r="K168">
        <v>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1.3948152888114</v>
      </c>
      <c r="U168">
        <f>IF((ContinuousStatsTable[[#This Row],[RepsRequested]]&gt;1),ContinuousStatsTable[[#This Row],[HalfWidth]],ContinuousStatsTable[[#This Row],[BatchMeansHalfWidth]])</f>
        <v>8.2805514591213075E-2</v>
      </c>
    </row>
    <row r="169" spans="1:21" x14ac:dyDescent="0.35">
      <c r="A169" t="s">
        <v>66</v>
      </c>
      <c r="B169" t="s">
        <v>98</v>
      </c>
      <c r="C169">
        <v>34</v>
      </c>
      <c r="D169" t="s">
        <v>82</v>
      </c>
      <c r="E169" t="s">
        <v>83</v>
      </c>
      <c r="F169" t="s">
        <v>84</v>
      </c>
      <c r="G169">
        <v>0.79110918677619002</v>
      </c>
      <c r="H169">
        <v>2E+20</v>
      </c>
      <c r="I169">
        <v>0</v>
      </c>
      <c r="J169">
        <v>1</v>
      </c>
      <c r="K169">
        <v>0.5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0.30856555337021802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0.98721163888391195</v>
      </c>
      <c r="U169">
        <f>IF((ContinuousStatsTable[[#This Row],[RepsRequested]]&gt;1),ContinuousStatsTable[[#This Row],[HalfWidth]],ContinuousStatsTable[[#This Row],[BatchMeansHalfWidth]])</f>
        <v>4.7861696606629554E-2</v>
      </c>
    </row>
    <row r="170" spans="1:21" x14ac:dyDescent="0.35">
      <c r="A170" t="s">
        <v>66</v>
      </c>
      <c r="B170" t="s">
        <v>98</v>
      </c>
      <c r="C170">
        <v>34</v>
      </c>
      <c r="D170" t="s">
        <v>82</v>
      </c>
      <c r="E170" t="s">
        <v>85</v>
      </c>
      <c r="F170" t="s">
        <v>84</v>
      </c>
      <c r="G170">
        <v>1.58221837355238</v>
      </c>
      <c r="H170">
        <v>2E+20</v>
      </c>
      <c r="I170">
        <v>0</v>
      </c>
      <c r="J170">
        <v>2</v>
      </c>
      <c r="K170">
        <v>1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0.61713110674043503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1.9744232777678199</v>
      </c>
      <c r="U170">
        <f>IF((ContinuousStatsTable[[#This Row],[RepsRequested]]&gt;1),ContinuousStatsTable[[#This Row],[HalfWidth]],ContinuousStatsTable[[#This Row],[BatchMeansHalfWidth]])</f>
        <v>9.5723393213258262E-2</v>
      </c>
    </row>
    <row r="171" spans="1:21" x14ac:dyDescent="0.35">
      <c r="A171" t="s">
        <v>66</v>
      </c>
      <c r="B171" t="s">
        <v>98</v>
      </c>
      <c r="C171">
        <v>34</v>
      </c>
      <c r="D171" t="s">
        <v>82</v>
      </c>
      <c r="E171" t="s">
        <v>86</v>
      </c>
      <c r="F171" t="s">
        <v>84</v>
      </c>
      <c r="G171">
        <v>2</v>
      </c>
      <c r="H171">
        <v>2E+20</v>
      </c>
      <c r="I171">
        <v>2</v>
      </c>
      <c r="J171">
        <v>2</v>
      </c>
      <c r="K171">
        <v>2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2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2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2</v>
      </c>
      <c r="U171">
        <f>IF((ContinuousStatsTable[[#This Row],[RepsRequested]]&gt;1),ContinuousStatsTable[[#This Row],[HalfWidth]],ContinuousStatsTable[[#This Row],[BatchMeansHalfWidth]])</f>
        <v>0</v>
      </c>
    </row>
    <row r="172" spans="1:21" x14ac:dyDescent="0.35">
      <c r="A172" t="s">
        <v>66</v>
      </c>
      <c r="B172" t="s">
        <v>98</v>
      </c>
      <c r="C172">
        <v>35</v>
      </c>
      <c r="D172" t="s">
        <v>69</v>
      </c>
      <c r="E172" t="s">
        <v>80</v>
      </c>
      <c r="F172" t="s">
        <v>71</v>
      </c>
      <c r="G172">
        <v>2.0364700972732099</v>
      </c>
      <c r="H172">
        <v>2E+20</v>
      </c>
      <c r="I172">
        <v>0</v>
      </c>
      <c r="J172">
        <v>4</v>
      </c>
      <c r="K172">
        <v>3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0.61713110674043503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3.1068745343639899</v>
      </c>
      <c r="U172">
        <f>IF((ContinuousStatsTable[[#This Row],[RepsRequested]]&gt;1),ContinuousStatsTable[[#This Row],[HalfWidth]],ContinuousStatsTable[[#This Row],[BatchMeansHalfWidth]])</f>
        <v>0.16185495883193918</v>
      </c>
    </row>
    <row r="173" spans="1:21" x14ac:dyDescent="0.35">
      <c r="A173" t="s">
        <v>66</v>
      </c>
      <c r="B173" t="s">
        <v>98</v>
      </c>
      <c r="C173">
        <v>35</v>
      </c>
      <c r="D173" t="s">
        <v>77</v>
      </c>
      <c r="E173" t="s">
        <v>81</v>
      </c>
      <c r="F173" t="s">
        <v>79</v>
      </c>
      <c r="G173">
        <v>0.36137341190787697</v>
      </c>
      <c r="H173">
        <v>2E+20</v>
      </c>
      <c r="I173">
        <v>0</v>
      </c>
      <c r="J173">
        <v>2</v>
      </c>
      <c r="K173">
        <v>1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1.3948152888114</v>
      </c>
      <c r="U173">
        <f>IF((ContinuousStatsTable[[#This Row],[RepsRequested]]&gt;1),ContinuousStatsTable[[#This Row],[HalfWidth]],ContinuousStatsTable[[#This Row],[BatchMeansHalfWidth]])</f>
        <v>8.2805514591213075E-2</v>
      </c>
    </row>
    <row r="174" spans="1:21" x14ac:dyDescent="0.35">
      <c r="A174" t="s">
        <v>66</v>
      </c>
      <c r="B174" t="s">
        <v>98</v>
      </c>
      <c r="C174">
        <v>35</v>
      </c>
      <c r="D174" t="s">
        <v>82</v>
      </c>
      <c r="E174" t="s">
        <v>83</v>
      </c>
      <c r="F174" t="s">
        <v>84</v>
      </c>
      <c r="G174">
        <v>0.83754834268266598</v>
      </c>
      <c r="H174">
        <v>2E+20</v>
      </c>
      <c r="I174">
        <v>0</v>
      </c>
      <c r="J174">
        <v>1</v>
      </c>
      <c r="K174">
        <v>1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0.30856555337021802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0.98721163888391195</v>
      </c>
      <c r="U174">
        <f>IF((ContinuousStatsTable[[#This Row],[RepsRequested]]&gt;1),ContinuousStatsTable[[#This Row],[HalfWidth]],ContinuousStatsTable[[#This Row],[BatchMeansHalfWidth]])</f>
        <v>4.7861696606629554E-2</v>
      </c>
    </row>
    <row r="175" spans="1:21" x14ac:dyDescent="0.35">
      <c r="A175" t="s">
        <v>66</v>
      </c>
      <c r="B175" t="s">
        <v>98</v>
      </c>
      <c r="C175">
        <v>35</v>
      </c>
      <c r="D175" t="s">
        <v>82</v>
      </c>
      <c r="E175" t="s">
        <v>85</v>
      </c>
      <c r="F175" t="s">
        <v>84</v>
      </c>
      <c r="G175">
        <v>1.67509668536533</v>
      </c>
      <c r="H175">
        <v>2E+20</v>
      </c>
      <c r="I175">
        <v>0</v>
      </c>
      <c r="J175">
        <v>2</v>
      </c>
      <c r="K175">
        <v>2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0.61713110674043503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1.9744232777678199</v>
      </c>
      <c r="U175">
        <f>IF((ContinuousStatsTable[[#This Row],[RepsRequested]]&gt;1),ContinuousStatsTable[[#This Row],[HalfWidth]],ContinuousStatsTable[[#This Row],[BatchMeansHalfWidth]])</f>
        <v>9.5723393213258262E-2</v>
      </c>
    </row>
    <row r="176" spans="1:21" x14ac:dyDescent="0.35">
      <c r="A176" t="s">
        <v>66</v>
      </c>
      <c r="B176" t="s">
        <v>98</v>
      </c>
      <c r="C176">
        <v>35</v>
      </c>
      <c r="D176" t="s">
        <v>82</v>
      </c>
      <c r="E176" t="s">
        <v>86</v>
      </c>
      <c r="F176" t="s">
        <v>84</v>
      </c>
      <c r="G176">
        <v>2</v>
      </c>
      <c r="H176">
        <v>2E+20</v>
      </c>
      <c r="I176">
        <v>2</v>
      </c>
      <c r="J176">
        <v>2</v>
      </c>
      <c r="K176">
        <v>2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2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2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2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98</v>
      </c>
      <c r="C177">
        <v>36</v>
      </c>
      <c r="D177" t="s">
        <v>69</v>
      </c>
      <c r="E177" t="s">
        <v>80</v>
      </c>
      <c r="F177" t="s">
        <v>71</v>
      </c>
      <c r="G177">
        <v>1.8475146167038801</v>
      </c>
      <c r="H177">
        <v>2E+20</v>
      </c>
      <c r="I177">
        <v>0</v>
      </c>
      <c r="J177">
        <v>4</v>
      </c>
      <c r="K177">
        <v>0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0.61713110674043503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3.1068745343639899</v>
      </c>
      <c r="U177">
        <f>IF((ContinuousStatsTable[[#This Row],[RepsRequested]]&gt;1),ContinuousStatsTable[[#This Row],[HalfWidth]],ContinuousStatsTable[[#This Row],[BatchMeansHalfWidth]])</f>
        <v>0.16185495883193918</v>
      </c>
    </row>
    <row r="178" spans="1:21" x14ac:dyDescent="0.35">
      <c r="A178" t="s">
        <v>66</v>
      </c>
      <c r="B178" t="s">
        <v>98</v>
      </c>
      <c r="C178">
        <v>36</v>
      </c>
      <c r="D178" t="s">
        <v>77</v>
      </c>
      <c r="E178" t="s">
        <v>81</v>
      </c>
      <c r="F178" t="s">
        <v>79</v>
      </c>
      <c r="G178">
        <v>0.30780191042598098</v>
      </c>
      <c r="H178">
        <v>2E+20</v>
      </c>
      <c r="I178">
        <v>0</v>
      </c>
      <c r="J178">
        <v>2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1.3948152888114</v>
      </c>
      <c r="U178">
        <f>IF((ContinuousStatsTable[[#This Row],[RepsRequested]]&gt;1),ContinuousStatsTable[[#This Row],[HalfWidth]],ContinuousStatsTable[[#This Row],[BatchMeansHalfWidth]])</f>
        <v>8.2805514591213075E-2</v>
      </c>
    </row>
    <row r="179" spans="1:21" x14ac:dyDescent="0.35">
      <c r="A179" t="s">
        <v>66</v>
      </c>
      <c r="B179" t="s">
        <v>98</v>
      </c>
      <c r="C179">
        <v>36</v>
      </c>
      <c r="D179" t="s">
        <v>82</v>
      </c>
      <c r="E179" t="s">
        <v>83</v>
      </c>
      <c r="F179" t="s">
        <v>84</v>
      </c>
      <c r="G179">
        <v>0.76985635313895096</v>
      </c>
      <c r="H179">
        <v>2E+20</v>
      </c>
      <c r="I179">
        <v>0</v>
      </c>
      <c r="J179">
        <v>1</v>
      </c>
      <c r="K179">
        <v>0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0.30856555337021802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0.98721163888391195</v>
      </c>
      <c r="U179">
        <f>IF((ContinuousStatsTable[[#This Row],[RepsRequested]]&gt;1),ContinuousStatsTable[[#This Row],[HalfWidth]],ContinuousStatsTable[[#This Row],[BatchMeansHalfWidth]])</f>
        <v>4.7861696606629554E-2</v>
      </c>
    </row>
    <row r="180" spans="1:21" x14ac:dyDescent="0.35">
      <c r="A180" t="s">
        <v>66</v>
      </c>
      <c r="B180" t="s">
        <v>98</v>
      </c>
      <c r="C180">
        <v>36</v>
      </c>
      <c r="D180" t="s">
        <v>82</v>
      </c>
      <c r="E180" t="s">
        <v>85</v>
      </c>
      <c r="F180" t="s">
        <v>84</v>
      </c>
      <c r="G180">
        <v>1.5397127062778999</v>
      </c>
      <c r="H180">
        <v>2E+20</v>
      </c>
      <c r="I180">
        <v>0</v>
      </c>
      <c r="J180">
        <v>2</v>
      </c>
      <c r="K180">
        <v>0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0.61713110674043503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1.9744232777678199</v>
      </c>
      <c r="U180">
        <f>IF((ContinuousStatsTable[[#This Row],[RepsRequested]]&gt;1),ContinuousStatsTable[[#This Row],[HalfWidth]],ContinuousStatsTable[[#This Row],[BatchMeansHalfWidth]])</f>
        <v>9.5723393213258262E-2</v>
      </c>
    </row>
    <row r="181" spans="1:21" x14ac:dyDescent="0.35">
      <c r="A181" t="s">
        <v>66</v>
      </c>
      <c r="B181" t="s">
        <v>98</v>
      </c>
      <c r="C181">
        <v>36</v>
      </c>
      <c r="D181" t="s">
        <v>82</v>
      </c>
      <c r="E181" t="s">
        <v>86</v>
      </c>
      <c r="F181" t="s">
        <v>84</v>
      </c>
      <c r="G181">
        <v>2</v>
      </c>
      <c r="H181">
        <v>2E+20</v>
      </c>
      <c r="I181">
        <v>2</v>
      </c>
      <c r="J181">
        <v>2</v>
      </c>
      <c r="K181">
        <v>2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2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2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2</v>
      </c>
      <c r="U181">
        <f>IF((ContinuousStatsTable[[#This Row],[RepsRequested]]&gt;1),ContinuousStatsTable[[#This Row],[HalfWidth]],ContinuousStatsTable[[#This Row],[BatchMeansHalfWidth]])</f>
        <v>0</v>
      </c>
    </row>
    <row r="182" spans="1:21" x14ac:dyDescent="0.35">
      <c r="A182" t="s">
        <v>66</v>
      </c>
      <c r="B182" t="s">
        <v>98</v>
      </c>
      <c r="C182">
        <v>37</v>
      </c>
      <c r="D182" t="s">
        <v>69</v>
      </c>
      <c r="E182" t="s">
        <v>80</v>
      </c>
      <c r="F182" t="s">
        <v>71</v>
      </c>
      <c r="G182">
        <v>1.17826565950706</v>
      </c>
      <c r="H182">
        <v>2E+20</v>
      </c>
      <c r="I182">
        <v>0</v>
      </c>
      <c r="J182">
        <v>3</v>
      </c>
      <c r="K182">
        <v>1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0.61713110674043503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3.1068745343639899</v>
      </c>
      <c r="U182">
        <f>IF((ContinuousStatsTable[[#This Row],[RepsRequested]]&gt;1),ContinuousStatsTable[[#This Row],[HalfWidth]],ContinuousStatsTable[[#This Row],[BatchMeansHalfWidth]])</f>
        <v>0.16185495883193918</v>
      </c>
    </row>
    <row r="183" spans="1:21" x14ac:dyDescent="0.35">
      <c r="A183" t="s">
        <v>66</v>
      </c>
      <c r="B183" t="s">
        <v>98</v>
      </c>
      <c r="C183">
        <v>37</v>
      </c>
      <c r="D183" t="s">
        <v>77</v>
      </c>
      <c r="E183" t="s">
        <v>81</v>
      </c>
      <c r="F183" t="s">
        <v>79</v>
      </c>
      <c r="G183">
        <v>0.237803815790498</v>
      </c>
      <c r="H183">
        <v>2E+20</v>
      </c>
      <c r="I183">
        <v>0</v>
      </c>
      <c r="J183">
        <v>1</v>
      </c>
      <c r="K183">
        <v>0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1.3948152888114</v>
      </c>
      <c r="U183">
        <f>IF((ContinuousStatsTable[[#This Row],[RepsRequested]]&gt;1),ContinuousStatsTable[[#This Row],[HalfWidth]],ContinuousStatsTable[[#This Row],[BatchMeansHalfWidth]])</f>
        <v>8.2805514591213075E-2</v>
      </c>
    </row>
    <row r="184" spans="1:21" x14ac:dyDescent="0.35">
      <c r="A184" t="s">
        <v>66</v>
      </c>
      <c r="B184" t="s">
        <v>98</v>
      </c>
      <c r="C184">
        <v>37</v>
      </c>
      <c r="D184" t="s">
        <v>82</v>
      </c>
      <c r="E184" t="s">
        <v>83</v>
      </c>
      <c r="F184" t="s">
        <v>84</v>
      </c>
      <c r="G184">
        <v>0.47023092185828202</v>
      </c>
      <c r="H184">
        <v>2E+20</v>
      </c>
      <c r="I184">
        <v>0</v>
      </c>
      <c r="J184">
        <v>1</v>
      </c>
      <c r="K184">
        <v>0.5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0.30856555337021802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0.98721163888391195</v>
      </c>
      <c r="U184">
        <f>IF((ContinuousStatsTable[[#This Row],[RepsRequested]]&gt;1),ContinuousStatsTable[[#This Row],[HalfWidth]],ContinuousStatsTable[[#This Row],[BatchMeansHalfWidth]])</f>
        <v>4.7861696606629554E-2</v>
      </c>
    </row>
    <row r="185" spans="1:21" x14ac:dyDescent="0.35">
      <c r="A185" t="s">
        <v>66</v>
      </c>
      <c r="B185" t="s">
        <v>98</v>
      </c>
      <c r="C185">
        <v>37</v>
      </c>
      <c r="D185" t="s">
        <v>82</v>
      </c>
      <c r="E185" t="s">
        <v>85</v>
      </c>
      <c r="F185" t="s">
        <v>84</v>
      </c>
      <c r="G185">
        <v>0.94046184371656405</v>
      </c>
      <c r="H185">
        <v>2E+20</v>
      </c>
      <c r="I185">
        <v>0</v>
      </c>
      <c r="J185">
        <v>2</v>
      </c>
      <c r="K185">
        <v>1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0.61713110674043503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1.9744232777678199</v>
      </c>
      <c r="U185">
        <f>IF((ContinuousStatsTable[[#This Row],[RepsRequested]]&gt;1),ContinuousStatsTable[[#This Row],[HalfWidth]],ContinuousStatsTable[[#This Row],[BatchMeansHalfWidth]])</f>
        <v>9.5723393213258262E-2</v>
      </c>
    </row>
    <row r="186" spans="1:21" x14ac:dyDescent="0.35">
      <c r="A186" t="s">
        <v>66</v>
      </c>
      <c r="B186" t="s">
        <v>98</v>
      </c>
      <c r="C186">
        <v>37</v>
      </c>
      <c r="D186" t="s">
        <v>82</v>
      </c>
      <c r="E186" t="s">
        <v>86</v>
      </c>
      <c r="F186" t="s">
        <v>84</v>
      </c>
      <c r="G186">
        <v>2</v>
      </c>
      <c r="H186">
        <v>2E+20</v>
      </c>
      <c r="I186">
        <v>2</v>
      </c>
      <c r="J186">
        <v>2</v>
      </c>
      <c r="K186">
        <v>2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2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2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2</v>
      </c>
      <c r="U186">
        <f>IF((ContinuousStatsTable[[#This Row],[RepsRequested]]&gt;1),ContinuousStatsTable[[#This Row],[HalfWidth]],ContinuousStatsTable[[#This Row],[BatchMeansHalfWidth]])</f>
        <v>0</v>
      </c>
    </row>
    <row r="187" spans="1:21" x14ac:dyDescent="0.35">
      <c r="A187" t="s">
        <v>66</v>
      </c>
      <c r="B187" t="s">
        <v>98</v>
      </c>
      <c r="C187">
        <v>38</v>
      </c>
      <c r="D187" t="s">
        <v>69</v>
      </c>
      <c r="E187" t="s">
        <v>80</v>
      </c>
      <c r="F187" t="s">
        <v>71</v>
      </c>
      <c r="G187">
        <v>1.84605357849369</v>
      </c>
      <c r="H187">
        <v>2E+20</v>
      </c>
      <c r="I187">
        <v>0</v>
      </c>
      <c r="J187">
        <v>4</v>
      </c>
      <c r="K187">
        <v>1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0.61713110674043503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3.1068745343639899</v>
      </c>
      <c r="U187">
        <f>IF((ContinuousStatsTable[[#This Row],[RepsRequested]]&gt;1),ContinuousStatsTable[[#This Row],[HalfWidth]],ContinuousStatsTable[[#This Row],[BatchMeansHalfWidth]])</f>
        <v>0.16185495883193918</v>
      </c>
    </row>
    <row r="188" spans="1:21" x14ac:dyDescent="0.35">
      <c r="A188" t="s">
        <v>66</v>
      </c>
      <c r="B188" t="s">
        <v>98</v>
      </c>
      <c r="C188">
        <v>38</v>
      </c>
      <c r="D188" t="s">
        <v>77</v>
      </c>
      <c r="E188" t="s">
        <v>81</v>
      </c>
      <c r="F188" t="s">
        <v>79</v>
      </c>
      <c r="G188">
        <v>0.235874687469905</v>
      </c>
      <c r="H188">
        <v>2E+20</v>
      </c>
      <c r="I188">
        <v>0</v>
      </c>
      <c r="J188">
        <v>2</v>
      </c>
      <c r="K188">
        <v>0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1.3948152888114</v>
      </c>
      <c r="U188">
        <f>IF((ContinuousStatsTable[[#This Row],[RepsRequested]]&gt;1),ContinuousStatsTable[[#This Row],[HalfWidth]],ContinuousStatsTable[[#This Row],[BatchMeansHalfWidth]])</f>
        <v>8.2805514591213075E-2</v>
      </c>
    </row>
    <row r="189" spans="1:21" x14ac:dyDescent="0.35">
      <c r="A189" t="s">
        <v>66</v>
      </c>
      <c r="B189" t="s">
        <v>98</v>
      </c>
      <c r="C189">
        <v>38</v>
      </c>
      <c r="D189" t="s">
        <v>82</v>
      </c>
      <c r="E189" t="s">
        <v>83</v>
      </c>
      <c r="F189" t="s">
        <v>84</v>
      </c>
      <c r="G189">
        <v>0.80508944551189299</v>
      </c>
      <c r="H189">
        <v>2E+20</v>
      </c>
      <c r="I189">
        <v>0</v>
      </c>
      <c r="J189">
        <v>1</v>
      </c>
      <c r="K189">
        <v>0.5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0.30856555337021802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0.98721163888391195</v>
      </c>
      <c r="U189">
        <f>IF((ContinuousStatsTable[[#This Row],[RepsRequested]]&gt;1),ContinuousStatsTable[[#This Row],[HalfWidth]],ContinuousStatsTable[[#This Row],[BatchMeansHalfWidth]])</f>
        <v>4.7861696606629554E-2</v>
      </c>
    </row>
    <row r="190" spans="1:21" x14ac:dyDescent="0.35">
      <c r="A190" t="s">
        <v>66</v>
      </c>
      <c r="B190" t="s">
        <v>98</v>
      </c>
      <c r="C190">
        <v>38</v>
      </c>
      <c r="D190" t="s">
        <v>82</v>
      </c>
      <c r="E190" t="s">
        <v>85</v>
      </c>
      <c r="F190" t="s">
        <v>84</v>
      </c>
      <c r="G190">
        <v>1.61017889102379</v>
      </c>
      <c r="H190">
        <v>2E+20</v>
      </c>
      <c r="I190">
        <v>0</v>
      </c>
      <c r="J190">
        <v>2</v>
      </c>
      <c r="K190">
        <v>1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0.61713110674043503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1.9744232777678199</v>
      </c>
      <c r="U190">
        <f>IF((ContinuousStatsTable[[#This Row],[RepsRequested]]&gt;1),ContinuousStatsTable[[#This Row],[HalfWidth]],ContinuousStatsTable[[#This Row],[BatchMeansHalfWidth]])</f>
        <v>9.5723393213258262E-2</v>
      </c>
    </row>
    <row r="191" spans="1:21" x14ac:dyDescent="0.35">
      <c r="A191" t="s">
        <v>66</v>
      </c>
      <c r="B191" t="s">
        <v>98</v>
      </c>
      <c r="C191">
        <v>38</v>
      </c>
      <c r="D191" t="s">
        <v>82</v>
      </c>
      <c r="E191" t="s">
        <v>86</v>
      </c>
      <c r="F191" t="s">
        <v>84</v>
      </c>
      <c r="G191">
        <v>2</v>
      </c>
      <c r="H191">
        <v>2E+20</v>
      </c>
      <c r="I191">
        <v>2</v>
      </c>
      <c r="J191">
        <v>2</v>
      </c>
      <c r="K191">
        <v>2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2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2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2</v>
      </c>
      <c r="U191">
        <f>IF((ContinuousStatsTable[[#This Row],[RepsRequested]]&gt;1),ContinuousStatsTable[[#This Row],[HalfWidth]],ContinuousStatsTable[[#This Row],[BatchMeansHalfWidth]])</f>
        <v>0</v>
      </c>
    </row>
    <row r="192" spans="1:21" x14ac:dyDescent="0.35">
      <c r="A192" t="s">
        <v>66</v>
      </c>
      <c r="B192" t="s">
        <v>98</v>
      </c>
      <c r="C192">
        <v>39</v>
      </c>
      <c r="D192" t="s">
        <v>69</v>
      </c>
      <c r="E192" t="s">
        <v>80</v>
      </c>
      <c r="F192" t="s">
        <v>71</v>
      </c>
      <c r="G192">
        <v>1.3801013749226101</v>
      </c>
      <c r="H192">
        <v>2E+20</v>
      </c>
      <c r="I192">
        <v>0</v>
      </c>
      <c r="J192">
        <v>3</v>
      </c>
      <c r="K192">
        <v>1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0.61713110674043503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3.1068745343639899</v>
      </c>
      <c r="U192">
        <f>IF((ContinuousStatsTable[[#This Row],[RepsRequested]]&gt;1),ContinuousStatsTable[[#This Row],[HalfWidth]],ContinuousStatsTable[[#This Row],[BatchMeansHalfWidth]])</f>
        <v>0.16185495883193918</v>
      </c>
    </row>
    <row r="193" spans="1:21" x14ac:dyDescent="0.35">
      <c r="A193" t="s">
        <v>66</v>
      </c>
      <c r="B193" t="s">
        <v>98</v>
      </c>
      <c r="C193">
        <v>39</v>
      </c>
      <c r="D193" t="s">
        <v>77</v>
      </c>
      <c r="E193" t="s">
        <v>81</v>
      </c>
      <c r="F193" t="s">
        <v>79</v>
      </c>
      <c r="G193">
        <v>0.16381360105895401</v>
      </c>
      <c r="H193">
        <v>2E+20</v>
      </c>
      <c r="I193">
        <v>0</v>
      </c>
      <c r="J193">
        <v>1</v>
      </c>
      <c r="K193">
        <v>0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1.3948152888114</v>
      </c>
      <c r="U193">
        <f>IF((ContinuousStatsTable[[#This Row],[RepsRequested]]&gt;1),ContinuousStatsTable[[#This Row],[HalfWidth]],ContinuousStatsTable[[#This Row],[BatchMeansHalfWidth]])</f>
        <v>8.2805514591213075E-2</v>
      </c>
    </row>
    <row r="194" spans="1:21" x14ac:dyDescent="0.35">
      <c r="A194" t="s">
        <v>66</v>
      </c>
      <c r="B194" t="s">
        <v>98</v>
      </c>
      <c r="C194">
        <v>39</v>
      </c>
      <c r="D194" t="s">
        <v>82</v>
      </c>
      <c r="E194" t="s">
        <v>83</v>
      </c>
      <c r="F194" t="s">
        <v>84</v>
      </c>
      <c r="G194">
        <v>0.60814388693182797</v>
      </c>
      <c r="H194">
        <v>2E+20</v>
      </c>
      <c r="I194">
        <v>0</v>
      </c>
      <c r="J194">
        <v>1</v>
      </c>
      <c r="K194">
        <v>0.5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0.30856555337021802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0.98721163888391195</v>
      </c>
      <c r="U194">
        <f>IF((ContinuousStatsTable[[#This Row],[RepsRequested]]&gt;1),ContinuousStatsTable[[#This Row],[HalfWidth]],ContinuousStatsTable[[#This Row],[BatchMeansHalfWidth]])</f>
        <v>4.7861696606629554E-2</v>
      </c>
    </row>
    <row r="195" spans="1:21" x14ac:dyDescent="0.35">
      <c r="A195" t="s">
        <v>66</v>
      </c>
      <c r="B195" t="s">
        <v>98</v>
      </c>
      <c r="C195">
        <v>39</v>
      </c>
      <c r="D195" t="s">
        <v>82</v>
      </c>
      <c r="E195" t="s">
        <v>85</v>
      </c>
      <c r="F195" t="s">
        <v>84</v>
      </c>
      <c r="G195">
        <v>1.2162877738636599</v>
      </c>
      <c r="H195">
        <v>2E+20</v>
      </c>
      <c r="I195">
        <v>0</v>
      </c>
      <c r="J195">
        <v>2</v>
      </c>
      <c r="K195">
        <v>1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0.61713110674043503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1.9744232777678199</v>
      </c>
      <c r="U195">
        <f>IF((ContinuousStatsTable[[#This Row],[RepsRequested]]&gt;1),ContinuousStatsTable[[#This Row],[HalfWidth]],ContinuousStatsTable[[#This Row],[BatchMeansHalfWidth]])</f>
        <v>9.5723393213258262E-2</v>
      </c>
    </row>
    <row r="196" spans="1:21" x14ac:dyDescent="0.35">
      <c r="A196" t="s">
        <v>66</v>
      </c>
      <c r="B196" t="s">
        <v>98</v>
      </c>
      <c r="C196">
        <v>39</v>
      </c>
      <c r="D196" t="s">
        <v>82</v>
      </c>
      <c r="E196" t="s">
        <v>86</v>
      </c>
      <c r="F196" t="s">
        <v>84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>
        <f>IF((ContinuousStatsTable[[#This Row],[RepsRequested]]&gt;1),ContinuousStatsTable[[#This Row],[HalfWidth]],ContinuousStatsTable[[#This Row],[BatchMeansHalfWidth]])</f>
        <v>0</v>
      </c>
    </row>
    <row r="197" spans="1:21" x14ac:dyDescent="0.35">
      <c r="A197" t="s">
        <v>66</v>
      </c>
      <c r="B197" t="s">
        <v>98</v>
      </c>
      <c r="C197">
        <v>40</v>
      </c>
      <c r="D197" t="s">
        <v>69</v>
      </c>
      <c r="E197" t="s">
        <v>80</v>
      </c>
      <c r="F197" t="s">
        <v>71</v>
      </c>
      <c r="G197">
        <v>1.14196312151156</v>
      </c>
      <c r="H197">
        <v>2E+20</v>
      </c>
      <c r="I197">
        <v>0</v>
      </c>
      <c r="J197">
        <v>3</v>
      </c>
      <c r="K197">
        <v>0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0.61713110674043503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3.1068745343639899</v>
      </c>
      <c r="U197">
        <f>IF((ContinuousStatsTable[[#This Row],[RepsRequested]]&gt;1),ContinuousStatsTable[[#This Row],[HalfWidth]],ContinuousStatsTable[[#This Row],[BatchMeansHalfWidth]])</f>
        <v>0.16185495883193918</v>
      </c>
    </row>
    <row r="198" spans="1:21" x14ac:dyDescent="0.35">
      <c r="A198" t="s">
        <v>66</v>
      </c>
      <c r="B198" t="s">
        <v>98</v>
      </c>
      <c r="C198">
        <v>40</v>
      </c>
      <c r="D198" t="s">
        <v>77</v>
      </c>
      <c r="E198" t="s">
        <v>81</v>
      </c>
      <c r="F198" t="s">
        <v>79</v>
      </c>
      <c r="G198">
        <v>6.0192299462180902E-2</v>
      </c>
      <c r="H198">
        <v>2E+20</v>
      </c>
      <c r="I198">
        <v>0</v>
      </c>
      <c r="J198">
        <v>1</v>
      </c>
      <c r="K198">
        <v>0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0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1.3948152888114</v>
      </c>
      <c r="U198">
        <f>IF((ContinuousStatsTable[[#This Row],[RepsRequested]]&gt;1),ContinuousStatsTable[[#This Row],[HalfWidth]],ContinuousStatsTable[[#This Row],[BatchMeansHalfWidth]])</f>
        <v>8.2805514591213075E-2</v>
      </c>
    </row>
    <row r="199" spans="1:21" x14ac:dyDescent="0.35">
      <c r="A199" t="s">
        <v>66</v>
      </c>
      <c r="B199" t="s">
        <v>98</v>
      </c>
      <c r="C199">
        <v>40</v>
      </c>
      <c r="D199" t="s">
        <v>82</v>
      </c>
      <c r="E199" t="s">
        <v>83</v>
      </c>
      <c r="F199" t="s">
        <v>84</v>
      </c>
      <c r="G199">
        <v>0.54088541102469201</v>
      </c>
      <c r="H199">
        <v>2E+20</v>
      </c>
      <c r="I199">
        <v>0</v>
      </c>
      <c r="J199">
        <v>1</v>
      </c>
      <c r="K199">
        <v>0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0.30856555337021802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0.98721163888391195</v>
      </c>
      <c r="U199">
        <f>IF((ContinuousStatsTable[[#This Row],[RepsRequested]]&gt;1),ContinuousStatsTable[[#This Row],[HalfWidth]],ContinuousStatsTable[[#This Row],[BatchMeansHalfWidth]])</f>
        <v>4.7861696606629554E-2</v>
      </c>
    </row>
    <row r="200" spans="1:21" x14ac:dyDescent="0.35">
      <c r="A200" t="s">
        <v>66</v>
      </c>
      <c r="B200" t="s">
        <v>98</v>
      </c>
      <c r="C200">
        <v>40</v>
      </c>
      <c r="D200" t="s">
        <v>82</v>
      </c>
      <c r="E200" t="s">
        <v>85</v>
      </c>
      <c r="F200" t="s">
        <v>84</v>
      </c>
      <c r="G200">
        <v>1.08177082204938</v>
      </c>
      <c r="H200">
        <v>2E+20</v>
      </c>
      <c r="I200">
        <v>0</v>
      </c>
      <c r="J200">
        <v>2</v>
      </c>
      <c r="K200">
        <v>0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0.61713110674043503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1.9744232777678199</v>
      </c>
      <c r="U200">
        <f>IF((ContinuousStatsTable[[#This Row],[RepsRequested]]&gt;1),ContinuousStatsTable[[#This Row],[HalfWidth]],ContinuousStatsTable[[#This Row],[BatchMeansHalfWidth]])</f>
        <v>9.5723393213258262E-2</v>
      </c>
    </row>
    <row r="201" spans="1:21" x14ac:dyDescent="0.35">
      <c r="A201" t="s">
        <v>66</v>
      </c>
      <c r="B201" t="s">
        <v>98</v>
      </c>
      <c r="C201">
        <v>40</v>
      </c>
      <c r="D201" t="s">
        <v>82</v>
      </c>
      <c r="E201" t="s">
        <v>86</v>
      </c>
      <c r="F201" t="s">
        <v>84</v>
      </c>
      <c r="G201">
        <v>2</v>
      </c>
      <c r="H201">
        <v>2E+20</v>
      </c>
      <c r="I201">
        <v>2</v>
      </c>
      <c r="J201">
        <v>2</v>
      </c>
      <c r="K201">
        <v>2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2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2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2</v>
      </c>
      <c r="U201">
        <f>IF((ContinuousStatsTable[[#This Row],[RepsRequested]]&gt;1),ContinuousStatsTable[[#This Row],[HalfWidth]],ContinuousStatsTable[[#This Row],[BatchMeansHalfWidth]])</f>
        <v>0</v>
      </c>
    </row>
    <row r="202" spans="1:21" x14ac:dyDescent="0.35">
      <c r="A202" t="s">
        <v>66</v>
      </c>
      <c r="B202" t="s">
        <v>98</v>
      </c>
      <c r="C202">
        <v>41</v>
      </c>
      <c r="D202" t="s">
        <v>69</v>
      </c>
      <c r="E202" t="s">
        <v>80</v>
      </c>
      <c r="F202" t="s">
        <v>71</v>
      </c>
      <c r="G202">
        <v>1.03516645546797</v>
      </c>
      <c r="H202">
        <v>2E+20</v>
      </c>
      <c r="I202">
        <v>0</v>
      </c>
      <c r="J202">
        <v>2</v>
      </c>
      <c r="K202">
        <v>2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0.61713110674043503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3.1068745343639899</v>
      </c>
      <c r="U202">
        <f>IF((ContinuousStatsTable[[#This Row],[RepsRequested]]&gt;1),ContinuousStatsTable[[#This Row],[HalfWidth]],ContinuousStatsTable[[#This Row],[BatchMeansHalfWidth]])</f>
        <v>0.16185495883193918</v>
      </c>
    </row>
    <row r="203" spans="1:21" x14ac:dyDescent="0.35">
      <c r="A203" t="s">
        <v>66</v>
      </c>
      <c r="B203" t="s">
        <v>98</v>
      </c>
      <c r="C203">
        <v>41</v>
      </c>
      <c r="D203" t="s">
        <v>77</v>
      </c>
      <c r="E203" t="s">
        <v>81</v>
      </c>
      <c r="F203" t="s">
        <v>79</v>
      </c>
      <c r="G203">
        <v>0</v>
      </c>
      <c r="H203">
        <v>2E+20</v>
      </c>
      <c r="I203">
        <v>0</v>
      </c>
      <c r="J203">
        <v>0</v>
      </c>
      <c r="K203">
        <v>0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1.3948152888114</v>
      </c>
      <c r="U203">
        <f>IF((ContinuousStatsTable[[#This Row],[RepsRequested]]&gt;1),ContinuousStatsTable[[#This Row],[HalfWidth]],ContinuousStatsTable[[#This Row],[BatchMeansHalfWidth]])</f>
        <v>8.2805514591213075E-2</v>
      </c>
    </row>
    <row r="204" spans="1:21" x14ac:dyDescent="0.35">
      <c r="A204" t="s">
        <v>66</v>
      </c>
      <c r="B204" t="s">
        <v>98</v>
      </c>
      <c r="C204">
        <v>41</v>
      </c>
      <c r="D204" t="s">
        <v>82</v>
      </c>
      <c r="E204" t="s">
        <v>83</v>
      </c>
      <c r="F204" t="s">
        <v>84</v>
      </c>
      <c r="G204">
        <v>0.51758322773398502</v>
      </c>
      <c r="H204">
        <v>2E+20</v>
      </c>
      <c r="I204">
        <v>0</v>
      </c>
      <c r="J204">
        <v>1</v>
      </c>
      <c r="K204">
        <v>1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0.30856555337021802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0.98721163888391195</v>
      </c>
      <c r="U204">
        <f>IF((ContinuousStatsTable[[#This Row],[RepsRequested]]&gt;1),ContinuousStatsTable[[#This Row],[HalfWidth]],ContinuousStatsTable[[#This Row],[BatchMeansHalfWidth]])</f>
        <v>4.7861696606629554E-2</v>
      </c>
    </row>
    <row r="205" spans="1:21" x14ac:dyDescent="0.35">
      <c r="A205" t="s">
        <v>66</v>
      </c>
      <c r="B205" t="s">
        <v>98</v>
      </c>
      <c r="C205">
        <v>41</v>
      </c>
      <c r="D205" t="s">
        <v>82</v>
      </c>
      <c r="E205" t="s">
        <v>85</v>
      </c>
      <c r="F205" t="s">
        <v>84</v>
      </c>
      <c r="G205">
        <v>1.03516645546797</v>
      </c>
      <c r="H205">
        <v>2E+20</v>
      </c>
      <c r="I205">
        <v>0</v>
      </c>
      <c r="J205">
        <v>2</v>
      </c>
      <c r="K205">
        <v>2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0.61713110674043503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1.9744232777678199</v>
      </c>
      <c r="U205">
        <f>IF((ContinuousStatsTable[[#This Row],[RepsRequested]]&gt;1),ContinuousStatsTable[[#This Row],[HalfWidth]],ContinuousStatsTable[[#This Row],[BatchMeansHalfWidth]])</f>
        <v>9.5723393213258262E-2</v>
      </c>
    </row>
    <row r="206" spans="1:21" x14ac:dyDescent="0.35">
      <c r="A206" t="s">
        <v>66</v>
      </c>
      <c r="B206" t="s">
        <v>98</v>
      </c>
      <c r="C206">
        <v>41</v>
      </c>
      <c r="D206" t="s">
        <v>82</v>
      </c>
      <c r="E206" t="s">
        <v>86</v>
      </c>
      <c r="F206" t="s">
        <v>84</v>
      </c>
      <c r="G206">
        <v>2</v>
      </c>
      <c r="H206">
        <v>2E+20</v>
      </c>
      <c r="I206">
        <v>2</v>
      </c>
      <c r="J206">
        <v>2</v>
      </c>
      <c r="K206">
        <v>2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2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2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2</v>
      </c>
      <c r="U206">
        <f>IF((ContinuousStatsTable[[#This Row],[RepsRequested]]&gt;1),ContinuousStatsTable[[#This Row],[HalfWidth]],ContinuousStatsTable[[#This Row],[BatchMeansHalfWidth]])</f>
        <v>0</v>
      </c>
    </row>
    <row r="207" spans="1:21" x14ac:dyDescent="0.35">
      <c r="A207" t="s">
        <v>66</v>
      </c>
      <c r="B207" t="s">
        <v>98</v>
      </c>
      <c r="C207">
        <v>42</v>
      </c>
      <c r="D207" t="s">
        <v>69</v>
      </c>
      <c r="E207" t="s">
        <v>80</v>
      </c>
      <c r="F207" t="s">
        <v>71</v>
      </c>
      <c r="G207">
        <v>0.98007275439872199</v>
      </c>
      <c r="H207">
        <v>2E+20</v>
      </c>
      <c r="I207">
        <v>0</v>
      </c>
      <c r="J207">
        <v>3</v>
      </c>
      <c r="K207">
        <v>2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0.61713110674043503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3.1068745343639899</v>
      </c>
      <c r="U207">
        <f>IF((ContinuousStatsTable[[#This Row],[RepsRequested]]&gt;1),ContinuousStatsTable[[#This Row],[HalfWidth]],ContinuousStatsTable[[#This Row],[BatchMeansHalfWidth]])</f>
        <v>0.16185495883193918</v>
      </c>
    </row>
    <row r="208" spans="1:21" x14ac:dyDescent="0.35">
      <c r="A208" t="s">
        <v>66</v>
      </c>
      <c r="B208" t="s">
        <v>98</v>
      </c>
      <c r="C208">
        <v>42</v>
      </c>
      <c r="D208" t="s">
        <v>77</v>
      </c>
      <c r="E208" t="s">
        <v>81</v>
      </c>
      <c r="F208" t="s">
        <v>79</v>
      </c>
      <c r="G208">
        <v>5.4189132456175003E-3</v>
      </c>
      <c r="H208">
        <v>2E+20</v>
      </c>
      <c r="I208">
        <v>0</v>
      </c>
      <c r="J208">
        <v>1</v>
      </c>
      <c r="K208">
        <v>0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0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1.3948152888114</v>
      </c>
      <c r="U208">
        <f>IF((ContinuousStatsTable[[#This Row],[RepsRequested]]&gt;1),ContinuousStatsTable[[#This Row],[HalfWidth]],ContinuousStatsTable[[#This Row],[BatchMeansHalfWidth]])</f>
        <v>8.2805514591213075E-2</v>
      </c>
    </row>
    <row r="209" spans="1:21" x14ac:dyDescent="0.35">
      <c r="A209" t="s">
        <v>66</v>
      </c>
      <c r="B209" t="s">
        <v>98</v>
      </c>
      <c r="C209">
        <v>42</v>
      </c>
      <c r="D209" t="s">
        <v>82</v>
      </c>
      <c r="E209" t="s">
        <v>83</v>
      </c>
      <c r="F209" t="s">
        <v>84</v>
      </c>
      <c r="G209">
        <v>0.48732692057655203</v>
      </c>
      <c r="H209">
        <v>2E+20</v>
      </c>
      <c r="I209">
        <v>0</v>
      </c>
      <c r="J209">
        <v>1</v>
      </c>
      <c r="K209">
        <v>1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0.30856555337021802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0.98721163888391195</v>
      </c>
      <c r="U209">
        <f>IF((ContinuousStatsTable[[#This Row],[RepsRequested]]&gt;1),ContinuousStatsTable[[#This Row],[HalfWidth]],ContinuousStatsTable[[#This Row],[BatchMeansHalfWidth]])</f>
        <v>4.7861696606629554E-2</v>
      </c>
    </row>
    <row r="210" spans="1:21" x14ac:dyDescent="0.35">
      <c r="A210" t="s">
        <v>66</v>
      </c>
      <c r="B210" t="s">
        <v>98</v>
      </c>
      <c r="C210">
        <v>42</v>
      </c>
      <c r="D210" t="s">
        <v>82</v>
      </c>
      <c r="E210" t="s">
        <v>85</v>
      </c>
      <c r="F210" t="s">
        <v>84</v>
      </c>
      <c r="G210">
        <v>0.97465384115310405</v>
      </c>
      <c r="H210">
        <v>2E+20</v>
      </c>
      <c r="I210">
        <v>0</v>
      </c>
      <c r="J210">
        <v>2</v>
      </c>
      <c r="K210">
        <v>2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0.61713110674043503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1.9744232777678199</v>
      </c>
      <c r="U210">
        <f>IF((ContinuousStatsTable[[#This Row],[RepsRequested]]&gt;1),ContinuousStatsTable[[#This Row],[HalfWidth]],ContinuousStatsTable[[#This Row],[BatchMeansHalfWidth]])</f>
        <v>9.5723393213258262E-2</v>
      </c>
    </row>
    <row r="211" spans="1:21" x14ac:dyDescent="0.35">
      <c r="A211" t="s">
        <v>66</v>
      </c>
      <c r="B211" t="s">
        <v>98</v>
      </c>
      <c r="C211">
        <v>42</v>
      </c>
      <c r="D211" t="s">
        <v>82</v>
      </c>
      <c r="E211" t="s">
        <v>86</v>
      </c>
      <c r="F211" t="s">
        <v>84</v>
      </c>
      <c r="G211">
        <v>2</v>
      </c>
      <c r="H211">
        <v>2E+20</v>
      </c>
      <c r="I211">
        <v>2</v>
      </c>
      <c r="J211">
        <v>2</v>
      </c>
      <c r="K211">
        <v>2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2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2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2</v>
      </c>
      <c r="U211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98</v>
      </c>
      <c r="C212">
        <v>43</v>
      </c>
      <c r="D212" t="s">
        <v>69</v>
      </c>
      <c r="E212" t="s">
        <v>80</v>
      </c>
      <c r="F212" t="s">
        <v>71</v>
      </c>
      <c r="G212">
        <v>2.3915474196206099</v>
      </c>
      <c r="H212">
        <v>2E+20</v>
      </c>
      <c r="I212">
        <v>0</v>
      </c>
      <c r="J212">
        <v>5</v>
      </c>
      <c r="K212">
        <v>2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0.61713110674043503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3.1068745343639899</v>
      </c>
      <c r="U212">
        <f>IF((ContinuousStatsTable[[#This Row],[RepsRequested]]&gt;1),ContinuousStatsTable[[#This Row],[HalfWidth]],ContinuousStatsTable[[#This Row],[BatchMeansHalfWidth]])</f>
        <v>0.16185495883193918</v>
      </c>
    </row>
    <row r="213" spans="1:21" x14ac:dyDescent="0.35">
      <c r="A213" t="s">
        <v>66</v>
      </c>
      <c r="B213" t="s">
        <v>98</v>
      </c>
      <c r="C213">
        <v>43</v>
      </c>
      <c r="D213" t="s">
        <v>77</v>
      </c>
      <c r="E213" t="s">
        <v>81</v>
      </c>
      <c r="F213" t="s">
        <v>79</v>
      </c>
      <c r="G213">
        <v>0.64861849345336897</v>
      </c>
      <c r="H213">
        <v>2E+20</v>
      </c>
      <c r="I213">
        <v>0</v>
      </c>
      <c r="J213">
        <v>3</v>
      </c>
      <c r="K213">
        <v>0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1.3948152888114</v>
      </c>
      <c r="U213">
        <f>IF((ContinuousStatsTable[[#This Row],[RepsRequested]]&gt;1),ContinuousStatsTable[[#This Row],[HalfWidth]],ContinuousStatsTable[[#This Row],[BatchMeansHalfWidth]])</f>
        <v>8.2805514591213075E-2</v>
      </c>
    </row>
    <row r="214" spans="1:21" x14ac:dyDescent="0.35">
      <c r="A214" t="s">
        <v>66</v>
      </c>
      <c r="B214" t="s">
        <v>98</v>
      </c>
      <c r="C214">
        <v>43</v>
      </c>
      <c r="D214" t="s">
        <v>82</v>
      </c>
      <c r="E214" t="s">
        <v>83</v>
      </c>
      <c r="F214" t="s">
        <v>84</v>
      </c>
      <c r="G214">
        <v>0.87146446308362102</v>
      </c>
      <c r="H214">
        <v>2E+20</v>
      </c>
      <c r="I214">
        <v>0</v>
      </c>
      <c r="J214">
        <v>1</v>
      </c>
      <c r="K214">
        <v>1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0.30856555337021802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0.98721163888391195</v>
      </c>
      <c r="U214">
        <f>IF((ContinuousStatsTable[[#This Row],[RepsRequested]]&gt;1),ContinuousStatsTable[[#This Row],[HalfWidth]],ContinuousStatsTable[[#This Row],[BatchMeansHalfWidth]])</f>
        <v>4.7861696606629554E-2</v>
      </c>
    </row>
    <row r="215" spans="1:21" x14ac:dyDescent="0.35">
      <c r="A215" t="s">
        <v>66</v>
      </c>
      <c r="B215" t="s">
        <v>98</v>
      </c>
      <c r="C215">
        <v>43</v>
      </c>
      <c r="D215" t="s">
        <v>82</v>
      </c>
      <c r="E215" t="s">
        <v>85</v>
      </c>
      <c r="F215" t="s">
        <v>84</v>
      </c>
      <c r="G215">
        <v>1.74292892616724</v>
      </c>
      <c r="H215">
        <v>2E+20</v>
      </c>
      <c r="I215">
        <v>0</v>
      </c>
      <c r="J215">
        <v>2</v>
      </c>
      <c r="K215">
        <v>2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0.61713110674043503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1.9744232777678199</v>
      </c>
      <c r="U215">
        <f>IF((ContinuousStatsTable[[#This Row],[RepsRequested]]&gt;1),ContinuousStatsTable[[#This Row],[HalfWidth]],ContinuousStatsTable[[#This Row],[BatchMeansHalfWidth]])</f>
        <v>9.5723393213258262E-2</v>
      </c>
    </row>
    <row r="216" spans="1:21" x14ac:dyDescent="0.35">
      <c r="A216" t="s">
        <v>66</v>
      </c>
      <c r="B216" t="s">
        <v>98</v>
      </c>
      <c r="C216">
        <v>43</v>
      </c>
      <c r="D216" t="s">
        <v>82</v>
      </c>
      <c r="E216" t="s">
        <v>86</v>
      </c>
      <c r="F216" t="s">
        <v>84</v>
      </c>
      <c r="G216">
        <v>2</v>
      </c>
      <c r="H216">
        <v>2E+20</v>
      </c>
      <c r="I216">
        <v>2</v>
      </c>
      <c r="J216">
        <v>2</v>
      </c>
      <c r="K216">
        <v>2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2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2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2</v>
      </c>
      <c r="U216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98</v>
      </c>
      <c r="C217">
        <v>44</v>
      </c>
      <c r="D217" t="s">
        <v>69</v>
      </c>
      <c r="E217" t="s">
        <v>80</v>
      </c>
      <c r="F217" t="s">
        <v>71</v>
      </c>
      <c r="G217">
        <v>1.3851661265308</v>
      </c>
      <c r="H217">
        <v>2E+20</v>
      </c>
      <c r="I217">
        <v>0</v>
      </c>
      <c r="J217">
        <v>3</v>
      </c>
      <c r="K217">
        <v>0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0.61713110674043503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3.1068745343639899</v>
      </c>
      <c r="U217">
        <f>IF((ContinuousStatsTable[[#This Row],[RepsRequested]]&gt;1),ContinuousStatsTable[[#This Row],[HalfWidth]],ContinuousStatsTable[[#This Row],[BatchMeansHalfWidth]])</f>
        <v>0.16185495883193918</v>
      </c>
    </row>
    <row r="218" spans="1:21" x14ac:dyDescent="0.35">
      <c r="A218" t="s">
        <v>66</v>
      </c>
      <c r="B218" t="s">
        <v>98</v>
      </c>
      <c r="C218">
        <v>44</v>
      </c>
      <c r="D218" t="s">
        <v>77</v>
      </c>
      <c r="E218" t="s">
        <v>81</v>
      </c>
      <c r="F218" t="s">
        <v>79</v>
      </c>
      <c r="G218">
        <v>0.16850881559210101</v>
      </c>
      <c r="H218">
        <v>2E+20</v>
      </c>
      <c r="I218">
        <v>0</v>
      </c>
      <c r="J218">
        <v>1</v>
      </c>
      <c r="K218">
        <v>0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0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1.3948152888114</v>
      </c>
      <c r="U218">
        <f>IF((ContinuousStatsTable[[#This Row],[RepsRequested]]&gt;1),ContinuousStatsTable[[#This Row],[HalfWidth]],ContinuousStatsTable[[#This Row],[BatchMeansHalfWidth]])</f>
        <v>8.2805514591213075E-2</v>
      </c>
    </row>
    <row r="219" spans="1:21" x14ac:dyDescent="0.35">
      <c r="A219" t="s">
        <v>66</v>
      </c>
      <c r="B219" t="s">
        <v>98</v>
      </c>
      <c r="C219">
        <v>44</v>
      </c>
      <c r="D219" t="s">
        <v>82</v>
      </c>
      <c r="E219" t="s">
        <v>83</v>
      </c>
      <c r="F219" t="s">
        <v>84</v>
      </c>
      <c r="G219">
        <v>0.608328655469348</v>
      </c>
      <c r="H219">
        <v>2E+20</v>
      </c>
      <c r="I219">
        <v>0</v>
      </c>
      <c r="J219">
        <v>1</v>
      </c>
      <c r="K219">
        <v>0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0.30856555337021802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0.98721163888391195</v>
      </c>
      <c r="U219">
        <f>IF((ContinuousStatsTable[[#This Row],[RepsRequested]]&gt;1),ContinuousStatsTable[[#This Row],[HalfWidth]],ContinuousStatsTable[[#This Row],[BatchMeansHalfWidth]])</f>
        <v>4.7861696606629554E-2</v>
      </c>
    </row>
    <row r="220" spans="1:21" x14ac:dyDescent="0.35">
      <c r="A220" t="s">
        <v>66</v>
      </c>
      <c r="B220" t="s">
        <v>98</v>
      </c>
      <c r="C220">
        <v>44</v>
      </c>
      <c r="D220" t="s">
        <v>82</v>
      </c>
      <c r="E220" t="s">
        <v>85</v>
      </c>
      <c r="F220" t="s">
        <v>84</v>
      </c>
      <c r="G220">
        <v>1.2166573109387</v>
      </c>
      <c r="H220">
        <v>2E+20</v>
      </c>
      <c r="I220">
        <v>0</v>
      </c>
      <c r="J220">
        <v>2</v>
      </c>
      <c r="K220">
        <v>0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0.61713110674043503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1.9744232777678199</v>
      </c>
      <c r="U220">
        <f>IF((ContinuousStatsTable[[#This Row],[RepsRequested]]&gt;1),ContinuousStatsTable[[#This Row],[HalfWidth]],ContinuousStatsTable[[#This Row],[BatchMeansHalfWidth]])</f>
        <v>9.5723393213258262E-2</v>
      </c>
    </row>
    <row r="221" spans="1:21" x14ac:dyDescent="0.35">
      <c r="A221" t="s">
        <v>66</v>
      </c>
      <c r="B221" t="s">
        <v>98</v>
      </c>
      <c r="C221">
        <v>44</v>
      </c>
      <c r="D221" t="s">
        <v>82</v>
      </c>
      <c r="E221" t="s">
        <v>86</v>
      </c>
      <c r="F221" t="s">
        <v>84</v>
      </c>
      <c r="G221">
        <v>2</v>
      </c>
      <c r="H221">
        <v>2E+20</v>
      </c>
      <c r="I221">
        <v>2</v>
      </c>
      <c r="J221">
        <v>2</v>
      </c>
      <c r="K221">
        <v>2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2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2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2</v>
      </c>
      <c r="U221">
        <f>IF((ContinuousStatsTable[[#This Row],[RepsRequested]]&gt;1),ContinuousStatsTable[[#This Row],[HalfWidth]],ContinuousStatsTable[[#This Row],[BatchMeansHalfWidth]])</f>
        <v>0</v>
      </c>
    </row>
    <row r="222" spans="1:21" x14ac:dyDescent="0.35">
      <c r="A222" t="s">
        <v>66</v>
      </c>
      <c r="B222" t="s">
        <v>98</v>
      </c>
      <c r="C222">
        <v>45</v>
      </c>
      <c r="D222" t="s">
        <v>69</v>
      </c>
      <c r="E222" t="s">
        <v>80</v>
      </c>
      <c r="F222" t="s">
        <v>71</v>
      </c>
      <c r="G222">
        <v>0.61713110674043503</v>
      </c>
      <c r="H222">
        <v>2E+20</v>
      </c>
      <c r="I222">
        <v>0</v>
      </c>
      <c r="J222">
        <v>2</v>
      </c>
      <c r="K222">
        <v>0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0.61713110674043503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3.1068745343639899</v>
      </c>
      <c r="U222">
        <f>IF((ContinuousStatsTable[[#This Row],[RepsRequested]]&gt;1),ContinuousStatsTable[[#This Row],[HalfWidth]],ContinuousStatsTable[[#This Row],[BatchMeansHalfWidth]])</f>
        <v>0.16185495883193918</v>
      </c>
    </row>
    <row r="223" spans="1:21" x14ac:dyDescent="0.35">
      <c r="A223" t="s">
        <v>66</v>
      </c>
      <c r="B223" t="s">
        <v>98</v>
      </c>
      <c r="C223">
        <v>45</v>
      </c>
      <c r="D223" t="s">
        <v>77</v>
      </c>
      <c r="E223" t="s">
        <v>81</v>
      </c>
      <c r="F223" t="s">
        <v>79</v>
      </c>
      <c r="G223">
        <v>0</v>
      </c>
      <c r="H223">
        <v>2E+20</v>
      </c>
      <c r="I223">
        <v>0</v>
      </c>
      <c r="J223">
        <v>0</v>
      </c>
      <c r="K223">
        <v>0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1.3948152888114</v>
      </c>
      <c r="U223">
        <f>IF((ContinuousStatsTable[[#This Row],[RepsRequested]]&gt;1),ContinuousStatsTable[[#This Row],[HalfWidth]],ContinuousStatsTable[[#This Row],[BatchMeansHalfWidth]])</f>
        <v>8.2805514591213075E-2</v>
      </c>
    </row>
    <row r="224" spans="1:21" x14ac:dyDescent="0.35">
      <c r="A224" t="s">
        <v>66</v>
      </c>
      <c r="B224" t="s">
        <v>98</v>
      </c>
      <c r="C224">
        <v>45</v>
      </c>
      <c r="D224" t="s">
        <v>82</v>
      </c>
      <c r="E224" t="s">
        <v>83</v>
      </c>
      <c r="F224" t="s">
        <v>84</v>
      </c>
      <c r="G224">
        <v>0.30856555337021802</v>
      </c>
      <c r="H224">
        <v>2E+20</v>
      </c>
      <c r="I224">
        <v>0</v>
      </c>
      <c r="J224">
        <v>1</v>
      </c>
      <c r="K224">
        <v>0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0.30856555337021802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0.98721163888391195</v>
      </c>
      <c r="U224">
        <f>IF((ContinuousStatsTable[[#This Row],[RepsRequested]]&gt;1),ContinuousStatsTable[[#This Row],[HalfWidth]],ContinuousStatsTable[[#This Row],[BatchMeansHalfWidth]])</f>
        <v>4.7861696606629554E-2</v>
      </c>
    </row>
    <row r="225" spans="1:21" x14ac:dyDescent="0.35">
      <c r="A225" t="s">
        <v>66</v>
      </c>
      <c r="B225" t="s">
        <v>98</v>
      </c>
      <c r="C225">
        <v>45</v>
      </c>
      <c r="D225" t="s">
        <v>82</v>
      </c>
      <c r="E225" t="s">
        <v>85</v>
      </c>
      <c r="F225" t="s">
        <v>84</v>
      </c>
      <c r="G225">
        <v>0.61713110674043503</v>
      </c>
      <c r="H225">
        <v>2E+20</v>
      </c>
      <c r="I225">
        <v>0</v>
      </c>
      <c r="J225">
        <v>2</v>
      </c>
      <c r="K225">
        <v>0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0.61713110674043503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1.9744232777678199</v>
      </c>
      <c r="U225">
        <f>IF((ContinuousStatsTable[[#This Row],[RepsRequested]]&gt;1),ContinuousStatsTable[[#This Row],[HalfWidth]],ContinuousStatsTable[[#This Row],[BatchMeansHalfWidth]])</f>
        <v>9.5723393213258262E-2</v>
      </c>
    </row>
    <row r="226" spans="1:21" x14ac:dyDescent="0.35">
      <c r="A226" t="s">
        <v>66</v>
      </c>
      <c r="B226" t="s">
        <v>98</v>
      </c>
      <c r="C226">
        <v>45</v>
      </c>
      <c r="D226" t="s">
        <v>82</v>
      </c>
      <c r="E226" t="s">
        <v>86</v>
      </c>
      <c r="F226" t="s">
        <v>84</v>
      </c>
      <c r="G226">
        <v>2</v>
      </c>
      <c r="H226">
        <v>2E+20</v>
      </c>
      <c r="I226">
        <v>2</v>
      </c>
      <c r="J226">
        <v>2</v>
      </c>
      <c r="K226">
        <v>2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2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2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2</v>
      </c>
      <c r="U226">
        <f>IF((ContinuousStatsTable[[#This Row],[RepsRequested]]&gt;1),ContinuousStatsTable[[#This Row],[HalfWidth]],ContinuousStatsTable[[#This Row],[BatchMeansHalfWidth]])</f>
        <v>0</v>
      </c>
    </row>
    <row r="227" spans="1:21" x14ac:dyDescent="0.35">
      <c r="A227" t="s">
        <v>66</v>
      </c>
      <c r="B227" t="s">
        <v>98</v>
      </c>
      <c r="C227">
        <v>46</v>
      </c>
      <c r="D227" t="s">
        <v>69</v>
      </c>
      <c r="E227" t="s">
        <v>80</v>
      </c>
      <c r="F227" t="s">
        <v>71</v>
      </c>
      <c r="G227">
        <v>0.86594898689328803</v>
      </c>
      <c r="H227">
        <v>2E+20</v>
      </c>
      <c r="I227">
        <v>0</v>
      </c>
      <c r="J227">
        <v>3</v>
      </c>
      <c r="K227">
        <v>3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0.61713110674043503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3.1068745343639899</v>
      </c>
      <c r="U227">
        <f>IF((ContinuousStatsTable[[#This Row],[RepsRequested]]&gt;1),ContinuousStatsTable[[#This Row],[HalfWidth]],ContinuousStatsTable[[#This Row],[BatchMeansHalfWidth]])</f>
        <v>0.16185495883193918</v>
      </c>
    </row>
    <row r="228" spans="1:21" x14ac:dyDescent="0.35">
      <c r="A228" t="s">
        <v>66</v>
      </c>
      <c r="B228" t="s">
        <v>98</v>
      </c>
      <c r="C228">
        <v>46</v>
      </c>
      <c r="D228" t="s">
        <v>77</v>
      </c>
      <c r="E228" t="s">
        <v>81</v>
      </c>
      <c r="F228" t="s">
        <v>79</v>
      </c>
      <c r="G228">
        <v>9.4605557781592603E-2</v>
      </c>
      <c r="H228">
        <v>2E+20</v>
      </c>
      <c r="I228">
        <v>0</v>
      </c>
      <c r="J228">
        <v>1</v>
      </c>
      <c r="K228">
        <v>1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0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1.3948152888114</v>
      </c>
      <c r="U228">
        <f>IF((ContinuousStatsTable[[#This Row],[RepsRequested]]&gt;1),ContinuousStatsTable[[#This Row],[HalfWidth]],ContinuousStatsTable[[#This Row],[BatchMeansHalfWidth]])</f>
        <v>8.2805514591213075E-2</v>
      </c>
    </row>
    <row r="229" spans="1:21" x14ac:dyDescent="0.35">
      <c r="A229" t="s">
        <v>66</v>
      </c>
      <c r="B229" t="s">
        <v>98</v>
      </c>
      <c r="C229">
        <v>46</v>
      </c>
      <c r="D229" t="s">
        <v>82</v>
      </c>
      <c r="E229" t="s">
        <v>83</v>
      </c>
      <c r="F229" t="s">
        <v>84</v>
      </c>
      <c r="G229">
        <v>0.38567171455584798</v>
      </c>
      <c r="H229">
        <v>2E+20</v>
      </c>
      <c r="I229">
        <v>0</v>
      </c>
      <c r="J229">
        <v>1</v>
      </c>
      <c r="K229">
        <v>1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0.30856555337021802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0.98721163888391195</v>
      </c>
      <c r="U229">
        <f>IF((ContinuousStatsTable[[#This Row],[RepsRequested]]&gt;1),ContinuousStatsTable[[#This Row],[HalfWidth]],ContinuousStatsTable[[#This Row],[BatchMeansHalfWidth]])</f>
        <v>4.7861696606629554E-2</v>
      </c>
    </row>
    <row r="230" spans="1:21" x14ac:dyDescent="0.35">
      <c r="A230" t="s">
        <v>66</v>
      </c>
      <c r="B230" t="s">
        <v>98</v>
      </c>
      <c r="C230">
        <v>46</v>
      </c>
      <c r="D230" t="s">
        <v>82</v>
      </c>
      <c r="E230" t="s">
        <v>85</v>
      </c>
      <c r="F230" t="s">
        <v>84</v>
      </c>
      <c r="G230">
        <v>0.77134342911169496</v>
      </c>
      <c r="H230">
        <v>2E+20</v>
      </c>
      <c r="I230">
        <v>0</v>
      </c>
      <c r="J230">
        <v>2</v>
      </c>
      <c r="K230">
        <v>2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0.61713110674043503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1.9744232777678199</v>
      </c>
      <c r="U230">
        <f>IF((ContinuousStatsTable[[#This Row],[RepsRequested]]&gt;1),ContinuousStatsTable[[#This Row],[HalfWidth]],ContinuousStatsTable[[#This Row],[BatchMeansHalfWidth]])</f>
        <v>9.5723393213258262E-2</v>
      </c>
    </row>
    <row r="231" spans="1:21" x14ac:dyDescent="0.35">
      <c r="A231" t="s">
        <v>66</v>
      </c>
      <c r="B231" t="s">
        <v>98</v>
      </c>
      <c r="C231">
        <v>46</v>
      </c>
      <c r="D231" t="s">
        <v>82</v>
      </c>
      <c r="E231" t="s">
        <v>86</v>
      </c>
      <c r="F231" t="s">
        <v>84</v>
      </c>
      <c r="G231">
        <v>2</v>
      </c>
      <c r="H231">
        <v>2E+20</v>
      </c>
      <c r="I231">
        <v>2</v>
      </c>
      <c r="J231">
        <v>2</v>
      </c>
      <c r="K231">
        <v>2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2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2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2</v>
      </c>
      <c r="U231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98</v>
      </c>
      <c r="C232">
        <v>47</v>
      </c>
      <c r="D232" t="s">
        <v>69</v>
      </c>
      <c r="E232" t="s">
        <v>80</v>
      </c>
      <c r="F232" t="s">
        <v>71</v>
      </c>
      <c r="G232">
        <v>1.9173740930765</v>
      </c>
      <c r="H232">
        <v>2E+20</v>
      </c>
      <c r="I232">
        <v>0</v>
      </c>
      <c r="J232">
        <v>3</v>
      </c>
      <c r="K232">
        <v>2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0.61713110674043503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3.1068745343639899</v>
      </c>
      <c r="U232">
        <f>IF((ContinuousStatsTable[[#This Row],[RepsRequested]]&gt;1),ContinuousStatsTable[[#This Row],[HalfWidth]],ContinuousStatsTable[[#This Row],[BatchMeansHalfWidth]])</f>
        <v>0.16185495883193918</v>
      </c>
    </row>
    <row r="233" spans="1:21" x14ac:dyDescent="0.35">
      <c r="A233" t="s">
        <v>66</v>
      </c>
      <c r="B233" t="s">
        <v>98</v>
      </c>
      <c r="C233">
        <v>47</v>
      </c>
      <c r="D233" t="s">
        <v>77</v>
      </c>
      <c r="E233" t="s">
        <v>81</v>
      </c>
      <c r="F233" t="s">
        <v>79</v>
      </c>
      <c r="G233">
        <v>0.20710722423602501</v>
      </c>
      <c r="H233">
        <v>2E+20</v>
      </c>
      <c r="I233">
        <v>0</v>
      </c>
      <c r="J233">
        <v>1</v>
      </c>
      <c r="K233">
        <v>0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1.3948152888114</v>
      </c>
      <c r="U233">
        <f>IF((ContinuousStatsTable[[#This Row],[RepsRequested]]&gt;1),ContinuousStatsTable[[#This Row],[HalfWidth]],ContinuousStatsTable[[#This Row],[BatchMeansHalfWidth]])</f>
        <v>8.2805514591213075E-2</v>
      </c>
    </row>
    <row r="234" spans="1:21" x14ac:dyDescent="0.35">
      <c r="A234" t="s">
        <v>66</v>
      </c>
      <c r="B234" t="s">
        <v>98</v>
      </c>
      <c r="C234">
        <v>47</v>
      </c>
      <c r="D234" t="s">
        <v>82</v>
      </c>
      <c r="E234" t="s">
        <v>83</v>
      </c>
      <c r="F234" t="s">
        <v>84</v>
      </c>
      <c r="G234">
        <v>0.85513343442023504</v>
      </c>
      <c r="H234">
        <v>2E+20</v>
      </c>
      <c r="I234">
        <v>0</v>
      </c>
      <c r="J234">
        <v>1</v>
      </c>
      <c r="K234">
        <v>1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0.30856555337021802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0.98721163888391195</v>
      </c>
      <c r="U234">
        <f>IF((ContinuousStatsTable[[#This Row],[RepsRequested]]&gt;1),ContinuousStatsTable[[#This Row],[HalfWidth]],ContinuousStatsTable[[#This Row],[BatchMeansHalfWidth]])</f>
        <v>4.7861696606629554E-2</v>
      </c>
    </row>
    <row r="235" spans="1:21" x14ac:dyDescent="0.35">
      <c r="A235" t="s">
        <v>66</v>
      </c>
      <c r="B235" t="s">
        <v>98</v>
      </c>
      <c r="C235">
        <v>47</v>
      </c>
      <c r="D235" t="s">
        <v>82</v>
      </c>
      <c r="E235" t="s">
        <v>85</v>
      </c>
      <c r="F235" t="s">
        <v>84</v>
      </c>
      <c r="G235">
        <v>1.7102668688404701</v>
      </c>
      <c r="H235">
        <v>2E+20</v>
      </c>
      <c r="I235">
        <v>0</v>
      </c>
      <c r="J235">
        <v>2</v>
      </c>
      <c r="K235">
        <v>2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0.61713110674043503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1.9744232777678199</v>
      </c>
      <c r="U235">
        <f>IF((ContinuousStatsTable[[#This Row],[RepsRequested]]&gt;1),ContinuousStatsTable[[#This Row],[HalfWidth]],ContinuousStatsTable[[#This Row],[BatchMeansHalfWidth]])</f>
        <v>9.5723393213258262E-2</v>
      </c>
    </row>
    <row r="236" spans="1:21" x14ac:dyDescent="0.35">
      <c r="A236" t="s">
        <v>66</v>
      </c>
      <c r="B236" t="s">
        <v>98</v>
      </c>
      <c r="C236">
        <v>47</v>
      </c>
      <c r="D236" t="s">
        <v>82</v>
      </c>
      <c r="E236" t="s">
        <v>86</v>
      </c>
      <c r="F236" t="s">
        <v>84</v>
      </c>
      <c r="G236">
        <v>2</v>
      </c>
      <c r="H236">
        <v>2E+20</v>
      </c>
      <c r="I236">
        <v>2</v>
      </c>
      <c r="J236">
        <v>2</v>
      </c>
      <c r="K236">
        <v>2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2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2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2</v>
      </c>
      <c r="U236">
        <f>IF((ContinuousStatsTable[[#This Row],[RepsRequested]]&gt;1),ContinuousStatsTable[[#This Row],[HalfWidth]],ContinuousStatsTable[[#This Row],[BatchMeansHalfWidth]])</f>
        <v>0</v>
      </c>
    </row>
    <row r="237" spans="1:21" x14ac:dyDescent="0.35">
      <c r="A237" t="s">
        <v>66</v>
      </c>
      <c r="B237" t="s">
        <v>98</v>
      </c>
      <c r="C237">
        <v>48</v>
      </c>
      <c r="D237" t="s">
        <v>69</v>
      </c>
      <c r="E237" t="s">
        <v>80</v>
      </c>
      <c r="F237" t="s">
        <v>71</v>
      </c>
      <c r="G237">
        <v>0.95692574998743796</v>
      </c>
      <c r="H237">
        <v>2E+20</v>
      </c>
      <c r="I237">
        <v>0</v>
      </c>
      <c r="J237">
        <v>3</v>
      </c>
      <c r="K237">
        <v>0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0.61713110674043503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3.1068745343639899</v>
      </c>
      <c r="U237">
        <f>IF((ContinuousStatsTable[[#This Row],[RepsRequested]]&gt;1),ContinuousStatsTable[[#This Row],[HalfWidth]],ContinuousStatsTable[[#This Row],[BatchMeansHalfWidth]])</f>
        <v>0.16185495883193918</v>
      </c>
    </row>
    <row r="238" spans="1:21" x14ac:dyDescent="0.35">
      <c r="A238" t="s">
        <v>66</v>
      </c>
      <c r="B238" t="s">
        <v>98</v>
      </c>
      <c r="C238">
        <v>48</v>
      </c>
      <c r="D238" t="s">
        <v>77</v>
      </c>
      <c r="E238" t="s">
        <v>81</v>
      </c>
      <c r="F238" t="s">
        <v>79</v>
      </c>
      <c r="G238">
        <v>9.3535942869009696E-4</v>
      </c>
      <c r="H238">
        <v>2E+20</v>
      </c>
      <c r="I238">
        <v>0</v>
      </c>
      <c r="J238">
        <v>1</v>
      </c>
      <c r="K238">
        <v>0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1.3948152888114</v>
      </c>
      <c r="U238">
        <f>IF((ContinuousStatsTable[[#This Row],[RepsRequested]]&gt;1),ContinuousStatsTable[[#This Row],[HalfWidth]],ContinuousStatsTable[[#This Row],[BatchMeansHalfWidth]])</f>
        <v>8.2805514591213075E-2</v>
      </c>
    </row>
    <row r="239" spans="1:21" x14ac:dyDescent="0.35">
      <c r="A239" t="s">
        <v>66</v>
      </c>
      <c r="B239" t="s">
        <v>98</v>
      </c>
      <c r="C239">
        <v>48</v>
      </c>
      <c r="D239" t="s">
        <v>82</v>
      </c>
      <c r="E239" t="s">
        <v>83</v>
      </c>
      <c r="F239" t="s">
        <v>84</v>
      </c>
      <c r="G239">
        <v>0.47799519527937401</v>
      </c>
      <c r="H239">
        <v>2E+20</v>
      </c>
      <c r="I239">
        <v>0</v>
      </c>
      <c r="J239">
        <v>1</v>
      </c>
      <c r="K239">
        <v>0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0.30856555337021802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0.98721163888391195</v>
      </c>
      <c r="U239">
        <f>IF((ContinuousStatsTable[[#This Row],[RepsRequested]]&gt;1),ContinuousStatsTable[[#This Row],[HalfWidth]],ContinuousStatsTable[[#This Row],[BatchMeansHalfWidth]])</f>
        <v>4.7861696606629554E-2</v>
      </c>
    </row>
    <row r="240" spans="1:21" x14ac:dyDescent="0.35">
      <c r="A240" t="s">
        <v>66</v>
      </c>
      <c r="B240" t="s">
        <v>98</v>
      </c>
      <c r="C240">
        <v>48</v>
      </c>
      <c r="D240" t="s">
        <v>82</v>
      </c>
      <c r="E240" t="s">
        <v>85</v>
      </c>
      <c r="F240" t="s">
        <v>84</v>
      </c>
      <c r="G240">
        <v>0.95599039055874802</v>
      </c>
      <c r="H240">
        <v>2E+20</v>
      </c>
      <c r="I240">
        <v>0</v>
      </c>
      <c r="J240">
        <v>2</v>
      </c>
      <c r="K240">
        <v>0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0.61713110674043503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1.9744232777678199</v>
      </c>
      <c r="U240">
        <f>IF((ContinuousStatsTable[[#This Row],[RepsRequested]]&gt;1),ContinuousStatsTable[[#This Row],[HalfWidth]],ContinuousStatsTable[[#This Row],[BatchMeansHalfWidth]])</f>
        <v>9.5723393213258262E-2</v>
      </c>
    </row>
    <row r="241" spans="1:21" x14ac:dyDescent="0.35">
      <c r="A241" t="s">
        <v>66</v>
      </c>
      <c r="B241" t="s">
        <v>98</v>
      </c>
      <c r="C241">
        <v>48</v>
      </c>
      <c r="D241" t="s">
        <v>82</v>
      </c>
      <c r="E241" t="s">
        <v>86</v>
      </c>
      <c r="F241" t="s">
        <v>84</v>
      </c>
      <c r="G241">
        <v>2</v>
      </c>
      <c r="H241">
        <v>2E+20</v>
      </c>
      <c r="I241">
        <v>2</v>
      </c>
      <c r="J241">
        <v>2</v>
      </c>
      <c r="K241">
        <v>2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2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2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2</v>
      </c>
      <c r="U241">
        <f>IF((ContinuousStatsTable[[#This Row],[RepsRequested]]&gt;1),ContinuousStatsTable[[#This Row],[HalfWidth]],ContinuousStatsTable[[#This Row],[BatchMeansHalfWidth]])</f>
        <v>0</v>
      </c>
    </row>
    <row r="242" spans="1:21" x14ac:dyDescent="0.35">
      <c r="A242" t="s">
        <v>66</v>
      </c>
      <c r="B242" t="s">
        <v>98</v>
      </c>
      <c r="C242">
        <v>49</v>
      </c>
      <c r="D242" t="s">
        <v>69</v>
      </c>
      <c r="E242" t="s">
        <v>80</v>
      </c>
      <c r="F242" t="s">
        <v>71</v>
      </c>
      <c r="G242">
        <v>1.1250067960999</v>
      </c>
      <c r="H242">
        <v>2E+20</v>
      </c>
      <c r="I242">
        <v>0</v>
      </c>
      <c r="J242">
        <v>3</v>
      </c>
      <c r="K242">
        <v>1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0.61713110674043503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3.1068745343639899</v>
      </c>
      <c r="U242">
        <f>IF((ContinuousStatsTable[[#This Row],[RepsRequested]]&gt;1),ContinuousStatsTable[[#This Row],[HalfWidth]],ContinuousStatsTable[[#This Row],[BatchMeansHalfWidth]])</f>
        <v>0.16185495883193918</v>
      </c>
    </row>
    <row r="243" spans="1:21" x14ac:dyDescent="0.35">
      <c r="A243" t="s">
        <v>66</v>
      </c>
      <c r="B243" t="s">
        <v>98</v>
      </c>
      <c r="C243">
        <v>49</v>
      </c>
      <c r="D243" t="s">
        <v>77</v>
      </c>
      <c r="E243" t="s">
        <v>81</v>
      </c>
      <c r="F243" t="s">
        <v>79</v>
      </c>
      <c r="G243">
        <v>7.1860597251429098E-2</v>
      </c>
      <c r="H243">
        <v>2E+20</v>
      </c>
      <c r="I243">
        <v>0</v>
      </c>
      <c r="J243">
        <v>1</v>
      </c>
      <c r="K243">
        <v>0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1.3948152888114</v>
      </c>
      <c r="U243">
        <f>IF((ContinuousStatsTable[[#This Row],[RepsRequested]]&gt;1),ContinuousStatsTable[[#This Row],[HalfWidth]],ContinuousStatsTable[[#This Row],[BatchMeansHalfWidth]])</f>
        <v>8.2805514591213075E-2</v>
      </c>
    </row>
    <row r="244" spans="1:21" x14ac:dyDescent="0.35">
      <c r="A244" t="s">
        <v>66</v>
      </c>
      <c r="B244" t="s">
        <v>98</v>
      </c>
      <c r="C244">
        <v>49</v>
      </c>
      <c r="D244" t="s">
        <v>82</v>
      </c>
      <c r="E244" t="s">
        <v>83</v>
      </c>
      <c r="F244" t="s">
        <v>84</v>
      </c>
      <c r="G244">
        <v>0.52657309942423702</v>
      </c>
      <c r="H244">
        <v>2E+20</v>
      </c>
      <c r="I244">
        <v>0</v>
      </c>
      <c r="J244">
        <v>1</v>
      </c>
      <c r="K244">
        <v>0.5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0.30856555337021802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0.98721163888391195</v>
      </c>
      <c r="U244">
        <f>IF((ContinuousStatsTable[[#This Row],[RepsRequested]]&gt;1),ContinuousStatsTable[[#This Row],[HalfWidth]],ContinuousStatsTable[[#This Row],[BatchMeansHalfWidth]])</f>
        <v>4.7861696606629554E-2</v>
      </c>
    </row>
    <row r="245" spans="1:21" x14ac:dyDescent="0.35">
      <c r="A245" t="s">
        <v>66</v>
      </c>
      <c r="B245" t="s">
        <v>98</v>
      </c>
      <c r="C245">
        <v>49</v>
      </c>
      <c r="D245" t="s">
        <v>82</v>
      </c>
      <c r="E245" t="s">
        <v>85</v>
      </c>
      <c r="F245" t="s">
        <v>84</v>
      </c>
      <c r="G245">
        <v>1.05314619884847</v>
      </c>
      <c r="H245">
        <v>2E+20</v>
      </c>
      <c r="I245">
        <v>0</v>
      </c>
      <c r="J245">
        <v>2</v>
      </c>
      <c r="K245">
        <v>1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0.61713110674043503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1.9744232777678199</v>
      </c>
      <c r="U245">
        <f>IF((ContinuousStatsTable[[#This Row],[RepsRequested]]&gt;1),ContinuousStatsTable[[#This Row],[HalfWidth]],ContinuousStatsTable[[#This Row],[BatchMeansHalfWidth]])</f>
        <v>9.5723393213258262E-2</v>
      </c>
    </row>
    <row r="246" spans="1:21" x14ac:dyDescent="0.35">
      <c r="A246" t="s">
        <v>66</v>
      </c>
      <c r="B246" t="s">
        <v>98</v>
      </c>
      <c r="C246">
        <v>49</v>
      </c>
      <c r="D246" t="s">
        <v>82</v>
      </c>
      <c r="E246" t="s">
        <v>86</v>
      </c>
      <c r="F246" t="s">
        <v>84</v>
      </c>
      <c r="G246">
        <v>2</v>
      </c>
      <c r="H246">
        <v>2E+20</v>
      </c>
      <c r="I246">
        <v>2</v>
      </c>
      <c r="J246">
        <v>2</v>
      </c>
      <c r="K246">
        <v>2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2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2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2</v>
      </c>
      <c r="U246">
        <f>IF((ContinuousStatsTable[[#This Row],[RepsRequested]]&gt;1),ContinuousStatsTable[[#This Row],[HalfWidth]],ContinuousStatsTable[[#This Row],[BatchMeansHalfWidth]])</f>
        <v>0</v>
      </c>
    </row>
    <row r="247" spans="1:21" x14ac:dyDescent="0.35">
      <c r="A247" t="s">
        <v>66</v>
      </c>
      <c r="B247" t="s">
        <v>98</v>
      </c>
      <c r="C247">
        <v>50</v>
      </c>
      <c r="D247" t="s">
        <v>69</v>
      </c>
      <c r="E247" t="s">
        <v>80</v>
      </c>
      <c r="F247" t="s">
        <v>71</v>
      </c>
      <c r="G247">
        <v>1.0438800513075599</v>
      </c>
      <c r="H247">
        <v>2E+20</v>
      </c>
      <c r="I247">
        <v>0</v>
      </c>
      <c r="J247">
        <v>2</v>
      </c>
      <c r="K247">
        <v>1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1.4877585281880483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0.56951706432364502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0.16185495883193918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0.61713110674043503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3.1068745343639899</v>
      </c>
      <c r="U247">
        <f>IF((ContinuousStatsTable[[#This Row],[RepsRequested]]&gt;1),ContinuousStatsTable[[#This Row],[HalfWidth]],ContinuousStatsTable[[#This Row],[BatchMeansHalfWidth]])</f>
        <v>0.16185495883193918</v>
      </c>
    </row>
    <row r="248" spans="1:21" x14ac:dyDescent="0.35">
      <c r="A248" t="s">
        <v>66</v>
      </c>
      <c r="B248" t="s">
        <v>98</v>
      </c>
      <c r="C248">
        <v>50</v>
      </c>
      <c r="D248" t="s">
        <v>77</v>
      </c>
      <c r="E248" t="s">
        <v>81</v>
      </c>
      <c r="F248" t="s">
        <v>79</v>
      </c>
      <c r="G248">
        <v>0</v>
      </c>
      <c r="H248">
        <v>2E+20</v>
      </c>
      <c r="I248">
        <v>0</v>
      </c>
      <c r="J248">
        <v>0</v>
      </c>
      <c r="K248">
        <v>0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0.20950744970441737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0.29136675156652908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8.2805514591213075E-2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0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1.3948152888114</v>
      </c>
      <c r="U248">
        <f>IF((ContinuousStatsTable[[#This Row],[RepsRequested]]&gt;1),ContinuousStatsTable[[#This Row],[HalfWidth]],ContinuousStatsTable[[#This Row],[BatchMeansHalfWidth]])</f>
        <v>8.2805514591213075E-2</v>
      </c>
    </row>
    <row r="249" spans="1:21" x14ac:dyDescent="0.35">
      <c r="A249" t="s">
        <v>66</v>
      </c>
      <c r="B249" t="s">
        <v>98</v>
      </c>
      <c r="C249">
        <v>50</v>
      </c>
      <c r="D249" t="s">
        <v>82</v>
      </c>
      <c r="E249" t="s">
        <v>83</v>
      </c>
      <c r="F249" t="s">
        <v>84</v>
      </c>
      <c r="G249">
        <v>0.52194002565377995</v>
      </c>
      <c r="H249">
        <v>2E+20</v>
      </c>
      <c r="I249">
        <v>0</v>
      </c>
      <c r="J249">
        <v>1</v>
      </c>
      <c r="K249">
        <v>0.5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0.63912553924181559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0.16841036655083153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4.7861696606629554E-2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0.30856555337021802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0.98721163888391195</v>
      </c>
      <c r="U249">
        <f>IF((ContinuousStatsTable[[#This Row],[RepsRequested]]&gt;1),ContinuousStatsTable[[#This Row],[HalfWidth]],ContinuousStatsTable[[#This Row],[BatchMeansHalfWidth]])</f>
        <v>4.7861696606629554E-2</v>
      </c>
    </row>
    <row r="250" spans="1:21" x14ac:dyDescent="0.35">
      <c r="A250" t="s">
        <v>66</v>
      </c>
      <c r="B250" t="s">
        <v>98</v>
      </c>
      <c r="C250">
        <v>50</v>
      </c>
      <c r="D250" t="s">
        <v>82</v>
      </c>
      <c r="E250" t="s">
        <v>85</v>
      </c>
      <c r="F250" t="s">
        <v>84</v>
      </c>
      <c r="G250">
        <v>1.0438800513075599</v>
      </c>
      <c r="H250">
        <v>2E+20</v>
      </c>
      <c r="I250">
        <v>0</v>
      </c>
      <c r="J250">
        <v>2</v>
      </c>
      <c r="K250">
        <v>1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1.2782510784836314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0.33682073310166005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9.5723393213258262E-2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0.61713110674043503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1.9744232777678199</v>
      </c>
      <c r="U250">
        <f>IF((ContinuousStatsTable[[#This Row],[RepsRequested]]&gt;1),ContinuousStatsTable[[#This Row],[HalfWidth]],ContinuousStatsTable[[#This Row],[BatchMeansHalfWidth]])</f>
        <v>9.5723393213258262E-2</v>
      </c>
    </row>
    <row r="251" spans="1:21" x14ac:dyDescent="0.35">
      <c r="A251" t="s">
        <v>66</v>
      </c>
      <c r="B251" t="s">
        <v>98</v>
      </c>
      <c r="C251">
        <v>50</v>
      </c>
      <c r="D251" t="s">
        <v>82</v>
      </c>
      <c r="E251" t="s">
        <v>86</v>
      </c>
      <c r="F251" t="s">
        <v>84</v>
      </c>
      <c r="G251">
        <v>2</v>
      </c>
      <c r="H251">
        <v>2E+20</v>
      </c>
      <c r="I251">
        <v>2</v>
      </c>
      <c r="J251">
        <v>2</v>
      </c>
      <c r="K251">
        <v>2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2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2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2</v>
      </c>
      <c r="U25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51">
    <cfRule type="expression" dxfId="28" priority="9">
      <formula>H2=200000000000000000000</formula>
    </cfRule>
  </conditionalFormatting>
  <conditionalFormatting sqref="H2:H251">
    <cfRule type="expression" dxfId="27" priority="7">
      <formula>H2=300000000000000000000</formula>
    </cfRule>
  </conditionalFormatting>
  <conditionalFormatting sqref="M2:U251">
    <cfRule type="expression" dxfId="26" priority="5">
      <formula>MOD(ROW(),2)=0</formula>
    </cfRule>
  </conditionalFormatting>
  <conditionalFormatting sqref="U2:U25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251 U2:U25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5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6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98</v>
      </c>
      <c r="C2">
        <v>1</v>
      </c>
      <c r="D2" t="s">
        <v>87</v>
      </c>
      <c r="E2" t="s">
        <v>88</v>
      </c>
      <c r="F2" t="s">
        <v>71</v>
      </c>
      <c r="G2">
        <v>5</v>
      </c>
      <c r="H2">
        <v>0</v>
      </c>
      <c r="I2" t="str">
        <f>OutputTable[[#This Row],[ProjectName]]&amp;OutputTable[[#This Row],[Name]]&amp;OutputTable[[#This Row],[Type]]&amp;OutputTable[[#This Row],[Source]]</f>
        <v>Unnamed ProjectArquivos.NumberInNumber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6.32</v>
      </c>
      <c r="L2" cm="1">
        <f t="array" ref="L2">IFERROR(_xlfn.STDEV.S(IF((OutputTable[GroupByKey]=OutputTable[[#This Row],[GroupByKey]]),(OutputTable[GroupByKey]=OutputTable[[#This Row],[GroupByKey]])*OutputTable[RecordedValue])),0)</f>
        <v>1.671367520252534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" cm="1">
        <f t="array" ref="O2">MIN(IF((OutputTable[GroupByKey]=OutputTable[[#This Row],[GroupByKey]]),(OutputTable[GroupByKey]=OutputTable[[#This Row],[GroupByKey]])*OutputTable[RecordedValue]))</f>
        <v>3</v>
      </c>
      <c r="P2" cm="1">
        <f t="array" ref="P2">MAX(IF((OutputTable[GroupByKey]=OutputTable[[#This Row],[GroupByKey]]),(OutputTable[GroupByKey]=OutputTable[[#This Row],[GroupByKey]])*OutputTable[RecordedValue]))</f>
        <v>12</v>
      </c>
    </row>
    <row r="3" spans="1:16" x14ac:dyDescent="0.35">
      <c r="A3" t="s">
        <v>66</v>
      </c>
      <c r="B3" t="s">
        <v>98</v>
      </c>
      <c r="C3">
        <v>1</v>
      </c>
      <c r="D3" t="s">
        <v>89</v>
      </c>
      <c r="E3" t="s">
        <v>90</v>
      </c>
      <c r="F3" t="s">
        <v>71</v>
      </c>
      <c r="G3">
        <v>4</v>
      </c>
      <c r="H3">
        <v>0</v>
      </c>
      <c r="I3" t="str">
        <f>OutputTable[[#This Row],[ProjectName]]&amp;OutputTable[[#This Row],[Name]]&amp;OutputTable[[#This Row],[Type]]&amp;OutputTable[[#This Row],[Source]]</f>
        <v>Unnamed ProjectArquivos.NumberOutNumber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4.8600000000000003</v>
      </c>
      <c r="L3" cm="1">
        <f t="array" ref="L3">IFERROR(_xlfn.STDEV.S(IF((OutputTable[GroupByKey]=OutputTable[[#This Row],[GroupByKey]]),(OutputTable[GroupByKey]=OutputTable[[#This Row],[GroupByKey]])*OutputTable[RecordedValue])),0)</f>
        <v>1.4287142785721427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3" cm="1">
        <f t="array" ref="O3">MIN(IF((OutputTable[GroupByKey]=OutputTable[[#This Row],[GroupByKey]]),(OutputTable[GroupByKey]=OutputTable[[#This Row],[GroupByKey]])*OutputTable[RecordedValue]))</f>
        <v>2</v>
      </c>
      <c r="P3" cm="1">
        <f t="array" ref="P3">MAX(IF((OutputTable[GroupByKey]=OutputTable[[#This Row],[GroupByKey]]),(OutputTable[GroupByKey]=OutputTable[[#This Row],[GroupByKey]])*OutputTable[RecordedValue]))</f>
        <v>8</v>
      </c>
    </row>
    <row r="4" spans="1:16" x14ac:dyDescent="0.35">
      <c r="A4" t="s">
        <v>66</v>
      </c>
      <c r="B4" t="s">
        <v>98</v>
      </c>
      <c r="C4">
        <v>1</v>
      </c>
      <c r="D4" t="s">
        <v>91</v>
      </c>
      <c r="E4" t="s">
        <v>92</v>
      </c>
      <c r="F4" t="s">
        <v>84</v>
      </c>
      <c r="G4">
        <v>5</v>
      </c>
      <c r="H4">
        <v>0</v>
      </c>
      <c r="I4" t="str">
        <f>OutputTable[[#This Row],[ProjectName]]&amp;OutputTable[[#This Row],[Name]]&amp;OutputTable[[#This Row],[Type]]&amp;OutputTable[[#This Row],[Source]]</f>
        <v>Unnamed ProjectOperador.NumberSeizedTotal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6.14</v>
      </c>
      <c r="L4" cm="1">
        <f t="array" ref="L4">IFERROR(_xlfn.STDEV.S(IF((OutputTable[GroupByKey]=OutputTable[[#This Row],[GroupByKey]]),(OutputTable[GroupByKey]=OutputTable[[#This Row],[GroupByKey]])*OutputTable[RecordedValue])),0)</f>
        <v>1.4984345572793558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4" cm="1">
        <f t="array" ref="O4">MIN(IF((OutputTable[GroupByKey]=OutputTable[[#This Row],[GroupByKey]]),(OutputTable[GroupByKey]=OutputTable[[#This Row],[GroupByKey]])*OutputTable[RecordedValue]))</f>
        <v>3</v>
      </c>
      <c r="P4" cm="1">
        <f t="array" ref="P4">MAX(IF((OutputTable[GroupByKey]=OutputTable[[#This Row],[GroupByKey]]),(OutputTable[GroupByKey]=OutputTable[[#This Row],[GroupByKey]])*OutputTable[RecordedValue]))</f>
        <v>9</v>
      </c>
    </row>
    <row r="5" spans="1:16" x14ac:dyDescent="0.35">
      <c r="A5" t="s">
        <v>66</v>
      </c>
      <c r="B5" t="s">
        <v>98</v>
      </c>
      <c r="C5">
        <v>1</v>
      </c>
      <c r="D5" t="s">
        <v>93</v>
      </c>
      <c r="E5" t="s">
        <v>94</v>
      </c>
      <c r="F5" t="s">
        <v>84</v>
      </c>
      <c r="G5">
        <v>0.41408892196144698</v>
      </c>
      <c r="H5">
        <v>0</v>
      </c>
      <c r="I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0.63912553924181559</v>
      </c>
      <c r="L5" cm="1">
        <f t="array" ref="L5">IFERROR(_xlfn.STDEV.S(IF((OutputTable[GroupByKey]=OutputTable[[#This Row],[GroupByKey]]),(OutputTable[GroupByKey]=OutputTable[[#This Row],[GroupByKey]])*OutputTable[RecordedValue])),0)</f>
        <v>0.16841036655083153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5" cm="1">
        <f t="array" ref="O5">MIN(IF((OutputTable[GroupByKey]=OutputTable[[#This Row],[GroupByKey]]),(OutputTable[GroupByKey]=OutputTable[[#This Row],[GroupByKey]])*OutputTable[RecordedValue]))</f>
        <v>0.30856555337021802</v>
      </c>
      <c r="P5" cm="1">
        <f t="array" ref="P5">MAX(IF((OutputTable[GroupByKey]=OutputTable[[#This Row],[GroupByKey]]),(OutputTable[GroupByKey]=OutputTable[[#This Row],[GroupByKey]])*OutputTable[RecordedValue]))</f>
        <v>0.98721163888391195</v>
      </c>
    </row>
    <row r="6" spans="1:16" x14ac:dyDescent="0.35">
      <c r="A6" t="s">
        <v>66</v>
      </c>
      <c r="B6" t="s">
        <v>98</v>
      </c>
      <c r="C6">
        <v>1</v>
      </c>
      <c r="D6" t="s">
        <v>95</v>
      </c>
      <c r="E6" t="s">
        <v>90</v>
      </c>
      <c r="F6" t="s">
        <v>96</v>
      </c>
      <c r="G6">
        <v>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4.8600000000000003</v>
      </c>
      <c r="L6" cm="1">
        <f t="array" ref="L6">IFERROR(_xlfn.STDEV.S(IF((OutputTable[GroupByKey]=OutputTable[[#This Row],[GroupByKey]]),(OutputTable[GroupByKey]=OutputTable[[#This Row],[GroupByKey]])*OutputTable[RecordedValue])),0)</f>
        <v>1.4287142785721427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6" cm="1">
        <f t="array" ref="O6">MIN(IF((OutputTable[GroupByKey]=OutputTable[[#This Row],[GroupByKey]]),(OutputTable[GroupByKey]=OutputTable[[#This Row],[GroupByKey]])*OutputTable[RecordedValue]))</f>
        <v>2</v>
      </c>
      <c r="P6" cm="1">
        <f t="array" ref="P6">MAX(IF((OutputTable[GroupByKey]=OutputTable[[#This Row],[GroupByKey]]),(OutputTable[GroupByKey]=OutputTable[[#This Row],[GroupByKey]])*OutputTable[RecordedValue]))</f>
        <v>8</v>
      </c>
    </row>
    <row r="7" spans="1:16" x14ac:dyDescent="0.35">
      <c r="A7" t="s">
        <v>66</v>
      </c>
      <c r="B7" t="s">
        <v>98</v>
      </c>
      <c r="C7">
        <v>2</v>
      </c>
      <c r="D7" t="s">
        <v>87</v>
      </c>
      <c r="E7" t="s">
        <v>88</v>
      </c>
      <c r="F7" t="s">
        <v>71</v>
      </c>
      <c r="G7">
        <v>6</v>
      </c>
      <c r="H7">
        <v>0</v>
      </c>
      <c r="I7" t="str">
        <f>OutputTable[[#This Row],[ProjectName]]&amp;OutputTable[[#This Row],[Name]]&amp;OutputTable[[#This Row],[Type]]&amp;OutputTable[[#This Row],[Source]]</f>
        <v>Unnamed ProjectArquivos.NumberInNumber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6.32</v>
      </c>
      <c r="L7" cm="1">
        <f t="array" ref="L7">IFERROR(_xlfn.STDEV.S(IF((OutputTable[GroupByKey]=OutputTable[[#This Row],[GroupByKey]]),(OutputTable[GroupByKey]=OutputTable[[#This Row],[GroupByKey]])*OutputTable[RecordedValue])),0)</f>
        <v>1.671367520252534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7" cm="1">
        <f t="array" ref="O7">MIN(IF((OutputTable[GroupByKey]=OutputTable[[#This Row],[GroupByKey]]),(OutputTable[GroupByKey]=OutputTable[[#This Row],[GroupByKey]])*OutputTable[RecordedValue]))</f>
        <v>3</v>
      </c>
      <c r="P7" cm="1">
        <f t="array" ref="P7">MAX(IF((OutputTable[GroupByKey]=OutputTable[[#This Row],[GroupByKey]]),(OutputTable[GroupByKey]=OutputTable[[#This Row],[GroupByKey]])*OutputTable[RecordedValue]))</f>
        <v>12</v>
      </c>
    </row>
    <row r="8" spans="1:16" x14ac:dyDescent="0.35">
      <c r="A8" t="s">
        <v>66</v>
      </c>
      <c r="B8" t="s">
        <v>98</v>
      </c>
      <c r="C8">
        <v>2</v>
      </c>
      <c r="D8" t="s">
        <v>89</v>
      </c>
      <c r="E8" t="s">
        <v>90</v>
      </c>
      <c r="F8" t="s">
        <v>71</v>
      </c>
      <c r="G8">
        <v>4</v>
      </c>
      <c r="H8">
        <v>0</v>
      </c>
      <c r="I8" t="str">
        <f>OutputTable[[#This Row],[ProjectName]]&amp;OutputTable[[#This Row],[Name]]&amp;OutputTable[[#This Row],[Type]]&amp;OutputTable[[#This Row],[Source]]</f>
        <v>Unnamed ProjectArquivos.NumberOutNumber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4.8600000000000003</v>
      </c>
      <c r="L8" cm="1">
        <f t="array" ref="L8">IFERROR(_xlfn.STDEV.S(IF((OutputTable[GroupByKey]=OutputTable[[#This Row],[GroupByKey]]),(OutputTable[GroupByKey]=OutputTable[[#This Row],[GroupByKey]])*OutputTable[RecordedValue])),0)</f>
        <v>1.4287142785721427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8" cm="1">
        <f t="array" ref="O8">MIN(IF((OutputTable[GroupByKey]=OutputTable[[#This Row],[GroupByKey]]),(OutputTable[GroupByKey]=OutputTable[[#This Row],[GroupByKey]])*OutputTable[RecordedValue]))</f>
        <v>2</v>
      </c>
      <c r="P8" cm="1">
        <f t="array" ref="P8">MAX(IF((OutputTable[GroupByKey]=OutputTable[[#This Row],[GroupByKey]]),(OutputTable[GroupByKey]=OutputTable[[#This Row],[GroupByKey]])*OutputTable[RecordedValue]))</f>
        <v>8</v>
      </c>
    </row>
    <row r="9" spans="1:16" x14ac:dyDescent="0.35">
      <c r="A9" t="s">
        <v>66</v>
      </c>
      <c r="B9" t="s">
        <v>98</v>
      </c>
      <c r="C9">
        <v>2</v>
      </c>
      <c r="D9" t="s">
        <v>91</v>
      </c>
      <c r="E9" t="s">
        <v>92</v>
      </c>
      <c r="F9" t="s">
        <v>84</v>
      </c>
      <c r="G9">
        <v>6</v>
      </c>
      <c r="H9">
        <v>0</v>
      </c>
      <c r="I9" t="str">
        <f>OutputTable[[#This Row],[ProjectName]]&amp;OutputTable[[#This Row],[Name]]&amp;OutputTable[[#This Row],[Type]]&amp;OutputTable[[#This Row],[Source]]</f>
        <v>Unnamed ProjectOperador.NumberSeizedTotal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6.14</v>
      </c>
      <c r="L9" cm="1">
        <f t="array" ref="L9">IFERROR(_xlfn.STDEV.S(IF((OutputTable[GroupByKey]=OutputTable[[#This Row],[GroupByKey]]),(OutputTable[GroupByKey]=OutputTable[[#This Row],[GroupByKey]])*OutputTable[RecordedValue])),0)</f>
        <v>1.4984345572793558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9" cm="1">
        <f t="array" ref="O9">MIN(IF((OutputTable[GroupByKey]=OutputTable[[#This Row],[GroupByKey]]),(OutputTable[GroupByKey]=OutputTable[[#This Row],[GroupByKey]])*OutputTable[RecordedValue]))</f>
        <v>3</v>
      </c>
      <c r="P9" cm="1">
        <f t="array" ref="P9">MAX(IF((OutputTable[GroupByKey]=OutputTable[[#This Row],[GroupByKey]]),(OutputTable[GroupByKey]=OutputTable[[#This Row],[GroupByKey]])*OutputTable[RecordedValue]))</f>
        <v>9</v>
      </c>
    </row>
    <row r="10" spans="1:16" x14ac:dyDescent="0.35">
      <c r="A10" t="s">
        <v>66</v>
      </c>
      <c r="B10" t="s">
        <v>98</v>
      </c>
      <c r="C10">
        <v>2</v>
      </c>
      <c r="D10" t="s">
        <v>93</v>
      </c>
      <c r="E10" t="s">
        <v>94</v>
      </c>
      <c r="F10" t="s">
        <v>84</v>
      </c>
      <c r="G10">
        <v>0.81238523012517605</v>
      </c>
      <c r="H10">
        <v>0</v>
      </c>
      <c r="I1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0.63912553924181559</v>
      </c>
      <c r="L10" cm="1">
        <f t="array" ref="L10">IFERROR(_xlfn.STDEV.S(IF((OutputTable[GroupByKey]=OutputTable[[#This Row],[GroupByKey]]),(OutputTable[GroupByKey]=OutputTable[[#This Row],[GroupByKey]])*OutputTable[RecordedValue])),0)</f>
        <v>0.16841036655083153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0" cm="1">
        <f t="array" ref="O10">MIN(IF((OutputTable[GroupByKey]=OutputTable[[#This Row],[GroupByKey]]),(OutputTable[GroupByKey]=OutputTable[[#This Row],[GroupByKey]])*OutputTable[RecordedValue]))</f>
        <v>0.30856555337021802</v>
      </c>
      <c r="P10" cm="1">
        <f t="array" ref="P10">MAX(IF((OutputTable[GroupByKey]=OutputTable[[#This Row],[GroupByKey]]),(OutputTable[GroupByKey]=OutputTable[[#This Row],[GroupByKey]])*OutputTable[RecordedValue]))</f>
        <v>0.98721163888391195</v>
      </c>
    </row>
    <row r="11" spans="1:16" x14ac:dyDescent="0.35">
      <c r="A11" t="s">
        <v>66</v>
      </c>
      <c r="B11" t="s">
        <v>98</v>
      </c>
      <c r="C11">
        <v>2</v>
      </c>
      <c r="D11" t="s">
        <v>95</v>
      </c>
      <c r="E11" t="s">
        <v>90</v>
      </c>
      <c r="F11" t="s">
        <v>96</v>
      </c>
      <c r="G11">
        <v>4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4.8600000000000003</v>
      </c>
      <c r="L11" cm="1">
        <f t="array" ref="L11">IFERROR(_xlfn.STDEV.S(IF((OutputTable[GroupByKey]=OutputTable[[#This Row],[GroupByKey]]),(OutputTable[GroupByKey]=OutputTable[[#This Row],[GroupByKey]])*OutputTable[RecordedValue])),0)</f>
        <v>1.4287142785721427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1" cm="1">
        <f t="array" ref="O11">MIN(IF((OutputTable[GroupByKey]=OutputTable[[#This Row],[GroupByKey]]),(OutputTable[GroupByKey]=OutputTable[[#This Row],[GroupByKey]])*OutputTable[RecordedValue]))</f>
        <v>2</v>
      </c>
      <c r="P11" cm="1">
        <f t="array" ref="P11">MAX(IF((OutputTable[GroupByKey]=OutputTable[[#This Row],[GroupByKey]]),(OutputTable[GroupByKey]=OutputTable[[#This Row],[GroupByKey]])*OutputTable[RecordedValue]))</f>
        <v>8</v>
      </c>
    </row>
    <row r="12" spans="1:16" x14ac:dyDescent="0.35">
      <c r="A12" t="s">
        <v>66</v>
      </c>
      <c r="B12" t="s">
        <v>98</v>
      </c>
      <c r="C12">
        <v>3</v>
      </c>
      <c r="D12" t="s">
        <v>87</v>
      </c>
      <c r="E12" t="s">
        <v>88</v>
      </c>
      <c r="F12" t="s">
        <v>71</v>
      </c>
      <c r="G12">
        <v>7</v>
      </c>
      <c r="H12">
        <v>0</v>
      </c>
      <c r="I12" t="str">
        <f>OutputTable[[#This Row],[ProjectName]]&amp;OutputTable[[#This Row],[Name]]&amp;OutputTable[[#This Row],[Type]]&amp;OutputTable[[#This Row],[Source]]</f>
        <v>Unnamed ProjectArquivos.NumberInNumber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6.32</v>
      </c>
      <c r="L12" cm="1">
        <f t="array" ref="L12">IFERROR(_xlfn.STDEV.S(IF((OutputTable[GroupByKey]=OutputTable[[#This Row],[GroupByKey]]),(OutputTable[GroupByKey]=OutputTable[[#This Row],[GroupByKey]])*OutputTable[RecordedValue])),0)</f>
        <v>1.671367520252534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2" cm="1">
        <f t="array" ref="O12">MIN(IF((OutputTable[GroupByKey]=OutputTable[[#This Row],[GroupByKey]]),(OutputTable[GroupByKey]=OutputTable[[#This Row],[GroupByKey]])*OutputTable[RecordedValue]))</f>
        <v>3</v>
      </c>
      <c r="P12" cm="1">
        <f t="array" ref="P12">MAX(IF((OutputTable[GroupByKey]=OutputTable[[#This Row],[GroupByKey]]),(OutputTable[GroupByKey]=OutputTable[[#This Row],[GroupByKey]])*OutputTable[RecordedValue]))</f>
        <v>12</v>
      </c>
    </row>
    <row r="13" spans="1:16" x14ac:dyDescent="0.35">
      <c r="A13" t="s">
        <v>66</v>
      </c>
      <c r="B13" t="s">
        <v>98</v>
      </c>
      <c r="C13">
        <v>3</v>
      </c>
      <c r="D13" t="s">
        <v>89</v>
      </c>
      <c r="E13" t="s">
        <v>90</v>
      </c>
      <c r="F13" t="s">
        <v>71</v>
      </c>
      <c r="G13">
        <v>6</v>
      </c>
      <c r="H13">
        <v>0</v>
      </c>
      <c r="I13" t="str">
        <f>OutputTable[[#This Row],[ProjectName]]&amp;OutputTable[[#This Row],[Name]]&amp;OutputTable[[#This Row],[Type]]&amp;OutputTable[[#This Row],[Source]]</f>
        <v>Unnamed ProjectArquivos.NumberOutNumber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4.8600000000000003</v>
      </c>
      <c r="L13" cm="1">
        <f t="array" ref="L13">IFERROR(_xlfn.STDEV.S(IF((OutputTable[GroupByKey]=OutputTable[[#This Row],[GroupByKey]]),(OutputTable[GroupByKey]=OutputTable[[#This Row],[GroupByKey]])*OutputTable[RecordedValue])),0)</f>
        <v>1.4287142785721427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3" cm="1">
        <f t="array" ref="O13">MIN(IF((OutputTable[GroupByKey]=OutputTable[[#This Row],[GroupByKey]]),(OutputTable[GroupByKey]=OutputTable[[#This Row],[GroupByKey]])*OutputTable[RecordedValue]))</f>
        <v>2</v>
      </c>
      <c r="P13" cm="1">
        <f t="array" ref="P13">MAX(IF((OutputTable[GroupByKey]=OutputTable[[#This Row],[GroupByKey]]),(OutputTable[GroupByKey]=OutputTable[[#This Row],[GroupByKey]])*OutputTable[RecordedValue]))</f>
        <v>8</v>
      </c>
    </row>
    <row r="14" spans="1:16" x14ac:dyDescent="0.35">
      <c r="A14" t="s">
        <v>66</v>
      </c>
      <c r="B14" t="s">
        <v>98</v>
      </c>
      <c r="C14">
        <v>3</v>
      </c>
      <c r="D14" t="s">
        <v>91</v>
      </c>
      <c r="E14" t="s">
        <v>92</v>
      </c>
      <c r="F14" t="s">
        <v>84</v>
      </c>
      <c r="G14">
        <v>7</v>
      </c>
      <c r="H14">
        <v>0</v>
      </c>
      <c r="I1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6.14</v>
      </c>
      <c r="L14" cm="1">
        <f t="array" ref="L14">IFERROR(_xlfn.STDEV.S(IF((OutputTable[GroupByKey]=OutputTable[[#This Row],[GroupByKey]]),(OutputTable[GroupByKey]=OutputTable[[#This Row],[GroupByKey]])*OutputTable[RecordedValue])),0)</f>
        <v>1.4984345572793558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4" cm="1">
        <f t="array" ref="O14">MIN(IF((OutputTable[GroupByKey]=OutputTable[[#This Row],[GroupByKey]]),(OutputTable[GroupByKey]=OutputTable[[#This Row],[GroupByKey]])*OutputTable[RecordedValue]))</f>
        <v>3</v>
      </c>
      <c r="P14" cm="1">
        <f t="array" ref="P14">MAX(IF((OutputTable[GroupByKey]=OutputTable[[#This Row],[GroupByKey]]),(OutputTable[GroupByKey]=OutputTable[[#This Row],[GroupByKey]])*OutputTable[RecordedValue]))</f>
        <v>9</v>
      </c>
    </row>
    <row r="15" spans="1:16" x14ac:dyDescent="0.35">
      <c r="A15" t="s">
        <v>66</v>
      </c>
      <c r="B15" t="s">
        <v>98</v>
      </c>
      <c r="C15">
        <v>3</v>
      </c>
      <c r="D15" t="s">
        <v>93</v>
      </c>
      <c r="E15" t="s">
        <v>94</v>
      </c>
      <c r="F15" t="s">
        <v>84</v>
      </c>
      <c r="G15">
        <v>0.68989935874945996</v>
      </c>
      <c r="H15">
        <v>0</v>
      </c>
      <c r="I1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0.63912553924181559</v>
      </c>
      <c r="L15" cm="1">
        <f t="array" ref="L15">IFERROR(_xlfn.STDEV.S(IF((OutputTable[GroupByKey]=OutputTable[[#This Row],[GroupByKey]]),(OutputTable[GroupByKey]=OutputTable[[#This Row],[GroupByKey]])*OutputTable[RecordedValue])),0)</f>
        <v>0.16841036655083153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5" cm="1">
        <f t="array" ref="O15">MIN(IF((OutputTable[GroupByKey]=OutputTable[[#This Row],[GroupByKey]]),(OutputTable[GroupByKey]=OutputTable[[#This Row],[GroupByKey]])*OutputTable[RecordedValue]))</f>
        <v>0.30856555337021802</v>
      </c>
      <c r="P15" cm="1">
        <f t="array" ref="P15">MAX(IF((OutputTable[GroupByKey]=OutputTable[[#This Row],[GroupByKey]]),(OutputTable[GroupByKey]=OutputTable[[#This Row],[GroupByKey]])*OutputTable[RecordedValue]))</f>
        <v>0.98721163888391195</v>
      </c>
    </row>
    <row r="16" spans="1:16" x14ac:dyDescent="0.35">
      <c r="A16" t="s">
        <v>66</v>
      </c>
      <c r="B16" t="s">
        <v>98</v>
      </c>
      <c r="C16">
        <v>3</v>
      </c>
      <c r="D16" t="s">
        <v>95</v>
      </c>
      <c r="E16" t="s">
        <v>90</v>
      </c>
      <c r="F16" t="s">
        <v>96</v>
      </c>
      <c r="G16">
        <v>6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4.8600000000000003</v>
      </c>
      <c r="L16" cm="1">
        <f t="array" ref="L16">IFERROR(_xlfn.STDEV.S(IF((OutputTable[GroupByKey]=OutputTable[[#This Row],[GroupByKey]]),(OutputTable[GroupByKey]=OutputTable[[#This Row],[GroupByKey]])*OutputTable[RecordedValue])),0)</f>
        <v>1.4287142785721427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6" cm="1">
        <f t="array" ref="O16">MIN(IF((OutputTable[GroupByKey]=OutputTable[[#This Row],[GroupByKey]]),(OutputTable[GroupByKey]=OutputTable[[#This Row],[GroupByKey]])*OutputTable[RecordedValue]))</f>
        <v>2</v>
      </c>
      <c r="P16" cm="1">
        <f t="array" ref="P16">MAX(IF((OutputTable[GroupByKey]=OutputTable[[#This Row],[GroupByKey]]),(OutputTable[GroupByKey]=OutputTable[[#This Row],[GroupByKey]])*OutputTable[RecordedValue]))</f>
        <v>8</v>
      </c>
    </row>
    <row r="17" spans="1:16" x14ac:dyDescent="0.35">
      <c r="A17" t="s">
        <v>66</v>
      </c>
      <c r="B17" t="s">
        <v>98</v>
      </c>
      <c r="C17">
        <v>4</v>
      </c>
      <c r="D17" t="s">
        <v>87</v>
      </c>
      <c r="E17" t="s">
        <v>88</v>
      </c>
      <c r="F17" t="s">
        <v>71</v>
      </c>
      <c r="G17">
        <v>7</v>
      </c>
      <c r="H17">
        <v>0</v>
      </c>
      <c r="I17" t="str">
        <f>OutputTable[[#This Row],[ProjectName]]&amp;OutputTable[[#This Row],[Name]]&amp;OutputTable[[#This Row],[Type]]&amp;OutputTable[[#This Row],[Source]]</f>
        <v>Unnamed ProjectArquivos.NumberInNumber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6.32</v>
      </c>
      <c r="L17" cm="1">
        <f t="array" ref="L17">IFERROR(_xlfn.STDEV.S(IF((OutputTable[GroupByKey]=OutputTable[[#This Row],[GroupByKey]]),(OutputTable[GroupByKey]=OutputTable[[#This Row],[GroupByKey]])*OutputTable[RecordedValue])),0)</f>
        <v>1.671367520252534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7" cm="1">
        <f t="array" ref="O17">MIN(IF((OutputTable[GroupByKey]=OutputTable[[#This Row],[GroupByKey]]),(OutputTable[GroupByKey]=OutputTable[[#This Row],[GroupByKey]])*OutputTable[RecordedValue]))</f>
        <v>3</v>
      </c>
      <c r="P17" cm="1">
        <f t="array" ref="P17">MAX(IF((OutputTable[GroupByKey]=OutputTable[[#This Row],[GroupByKey]]),(OutputTable[GroupByKey]=OutputTable[[#This Row],[GroupByKey]])*OutputTable[RecordedValue]))</f>
        <v>12</v>
      </c>
    </row>
    <row r="18" spans="1:16" x14ac:dyDescent="0.35">
      <c r="A18" t="s">
        <v>66</v>
      </c>
      <c r="B18" t="s">
        <v>98</v>
      </c>
      <c r="C18">
        <v>4</v>
      </c>
      <c r="D18" t="s">
        <v>89</v>
      </c>
      <c r="E18" t="s">
        <v>90</v>
      </c>
      <c r="F18" t="s">
        <v>71</v>
      </c>
      <c r="G18">
        <v>4</v>
      </c>
      <c r="H18">
        <v>0</v>
      </c>
      <c r="I18" t="str">
        <f>OutputTable[[#This Row],[ProjectName]]&amp;OutputTable[[#This Row],[Name]]&amp;OutputTable[[#This Row],[Type]]&amp;OutputTable[[#This Row],[Source]]</f>
        <v>Unnamed ProjectArquivos.NumberOutNumber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4.8600000000000003</v>
      </c>
      <c r="L18" cm="1">
        <f t="array" ref="L18">IFERROR(_xlfn.STDEV.S(IF((OutputTable[GroupByKey]=OutputTable[[#This Row],[GroupByKey]]),(OutputTable[GroupByKey]=OutputTable[[#This Row],[GroupByKey]])*OutputTable[RecordedValue])),0)</f>
        <v>1.4287142785721427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8" cm="1">
        <f t="array" ref="O18">MIN(IF((OutputTable[GroupByKey]=OutputTable[[#This Row],[GroupByKey]]),(OutputTable[GroupByKey]=OutputTable[[#This Row],[GroupByKey]])*OutputTable[RecordedValue]))</f>
        <v>2</v>
      </c>
      <c r="P18" cm="1">
        <f t="array" ref="P18">MAX(IF((OutputTable[GroupByKey]=OutputTable[[#This Row],[GroupByKey]]),(OutputTable[GroupByKey]=OutputTable[[#This Row],[GroupByKey]])*OutputTable[RecordedValue]))</f>
        <v>8</v>
      </c>
    </row>
    <row r="19" spans="1:16" x14ac:dyDescent="0.35">
      <c r="A19" t="s">
        <v>66</v>
      </c>
      <c r="B19" t="s">
        <v>98</v>
      </c>
      <c r="C19">
        <v>4</v>
      </c>
      <c r="D19" t="s">
        <v>91</v>
      </c>
      <c r="E19" t="s">
        <v>92</v>
      </c>
      <c r="F19" t="s">
        <v>84</v>
      </c>
      <c r="G19">
        <v>6</v>
      </c>
      <c r="H19">
        <v>0</v>
      </c>
      <c r="I1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6.14</v>
      </c>
      <c r="L19" cm="1">
        <f t="array" ref="L19">IFERROR(_xlfn.STDEV.S(IF((OutputTable[GroupByKey]=OutputTable[[#This Row],[GroupByKey]]),(OutputTable[GroupByKey]=OutputTable[[#This Row],[GroupByKey]])*OutputTable[RecordedValue])),0)</f>
        <v>1.4984345572793558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9" cm="1">
        <f t="array" ref="O19">MIN(IF((OutputTable[GroupByKey]=OutputTable[[#This Row],[GroupByKey]]),(OutputTable[GroupByKey]=OutputTable[[#This Row],[GroupByKey]])*OutputTable[RecordedValue]))</f>
        <v>3</v>
      </c>
      <c r="P19" cm="1">
        <f t="array" ref="P19">MAX(IF((OutputTable[GroupByKey]=OutputTable[[#This Row],[GroupByKey]]),(OutputTable[GroupByKey]=OutputTable[[#This Row],[GroupByKey]])*OutputTable[RecordedValue]))</f>
        <v>9</v>
      </c>
    </row>
    <row r="20" spans="1:16" x14ac:dyDescent="0.35">
      <c r="A20" t="s">
        <v>66</v>
      </c>
      <c r="B20" t="s">
        <v>98</v>
      </c>
      <c r="C20">
        <v>4</v>
      </c>
      <c r="D20" t="s">
        <v>93</v>
      </c>
      <c r="E20" t="s">
        <v>94</v>
      </c>
      <c r="F20" t="s">
        <v>84</v>
      </c>
      <c r="G20">
        <v>0.62706388157731396</v>
      </c>
      <c r="H20">
        <v>0</v>
      </c>
      <c r="I2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0.63912553924181559</v>
      </c>
      <c r="L20" cm="1">
        <f t="array" ref="L20">IFERROR(_xlfn.STDEV.S(IF((OutputTable[GroupByKey]=OutputTable[[#This Row],[GroupByKey]]),(OutputTable[GroupByKey]=OutputTable[[#This Row],[GroupByKey]])*OutputTable[RecordedValue])),0)</f>
        <v>0.16841036655083153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0" cm="1">
        <f t="array" ref="O20">MIN(IF((OutputTable[GroupByKey]=OutputTable[[#This Row],[GroupByKey]]),(OutputTable[GroupByKey]=OutputTable[[#This Row],[GroupByKey]])*OutputTable[RecordedValue]))</f>
        <v>0.30856555337021802</v>
      </c>
      <c r="P20" cm="1">
        <f t="array" ref="P20">MAX(IF((OutputTable[GroupByKey]=OutputTable[[#This Row],[GroupByKey]]),(OutputTable[GroupByKey]=OutputTable[[#This Row],[GroupByKey]])*OutputTable[RecordedValue]))</f>
        <v>0.98721163888391195</v>
      </c>
    </row>
    <row r="21" spans="1:16" x14ac:dyDescent="0.35">
      <c r="A21" t="s">
        <v>66</v>
      </c>
      <c r="B21" t="s">
        <v>98</v>
      </c>
      <c r="C21">
        <v>4</v>
      </c>
      <c r="D21" t="s">
        <v>95</v>
      </c>
      <c r="E21" t="s">
        <v>90</v>
      </c>
      <c r="F21" t="s">
        <v>96</v>
      </c>
      <c r="G21">
        <v>4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4.8600000000000003</v>
      </c>
      <c r="L21" cm="1">
        <f t="array" ref="L21">IFERROR(_xlfn.STDEV.S(IF((OutputTable[GroupByKey]=OutputTable[[#This Row],[GroupByKey]]),(OutputTable[GroupByKey]=OutputTable[[#This Row],[GroupByKey]])*OutputTable[RecordedValue])),0)</f>
        <v>1.4287142785721427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1" cm="1">
        <f t="array" ref="O21">MIN(IF((OutputTable[GroupByKey]=OutputTable[[#This Row],[GroupByKey]]),(OutputTable[GroupByKey]=OutputTable[[#This Row],[GroupByKey]])*OutputTable[RecordedValue]))</f>
        <v>2</v>
      </c>
      <c r="P21" cm="1">
        <f t="array" ref="P21">MAX(IF((OutputTable[GroupByKey]=OutputTable[[#This Row],[GroupByKey]]),(OutputTable[GroupByKey]=OutputTable[[#This Row],[GroupByKey]])*OutputTable[RecordedValue]))</f>
        <v>8</v>
      </c>
    </row>
    <row r="22" spans="1:16" x14ac:dyDescent="0.35">
      <c r="A22" t="s">
        <v>66</v>
      </c>
      <c r="B22" t="s">
        <v>98</v>
      </c>
      <c r="C22">
        <v>5</v>
      </c>
      <c r="D22" t="s">
        <v>87</v>
      </c>
      <c r="E22" t="s">
        <v>88</v>
      </c>
      <c r="F22" t="s">
        <v>71</v>
      </c>
      <c r="G22">
        <v>7</v>
      </c>
      <c r="H22">
        <v>0</v>
      </c>
      <c r="I22" t="str">
        <f>OutputTable[[#This Row],[ProjectName]]&amp;OutputTable[[#This Row],[Name]]&amp;OutputTable[[#This Row],[Type]]&amp;OutputTable[[#This Row],[Source]]</f>
        <v>Unnamed ProjectArquivos.NumberInNumber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6.32</v>
      </c>
      <c r="L22" cm="1">
        <f t="array" ref="L22">IFERROR(_xlfn.STDEV.S(IF((OutputTable[GroupByKey]=OutputTable[[#This Row],[GroupByKey]]),(OutputTable[GroupByKey]=OutputTable[[#This Row],[GroupByKey]])*OutputTable[RecordedValue])),0)</f>
        <v>1.671367520252534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2" cm="1">
        <f t="array" ref="O22">MIN(IF((OutputTable[GroupByKey]=OutputTable[[#This Row],[GroupByKey]]),(OutputTable[GroupByKey]=OutputTable[[#This Row],[GroupByKey]])*OutputTable[RecordedValue]))</f>
        <v>3</v>
      </c>
      <c r="P22" cm="1">
        <f t="array" ref="P22">MAX(IF((OutputTable[GroupByKey]=OutputTable[[#This Row],[GroupByKey]]),(OutputTable[GroupByKey]=OutputTable[[#This Row],[GroupByKey]])*OutputTable[RecordedValue]))</f>
        <v>12</v>
      </c>
    </row>
    <row r="23" spans="1:16" x14ac:dyDescent="0.35">
      <c r="A23" t="s">
        <v>66</v>
      </c>
      <c r="B23" t="s">
        <v>98</v>
      </c>
      <c r="C23">
        <v>5</v>
      </c>
      <c r="D23" t="s">
        <v>89</v>
      </c>
      <c r="E23" t="s">
        <v>90</v>
      </c>
      <c r="F23" t="s">
        <v>71</v>
      </c>
      <c r="G23">
        <v>5</v>
      </c>
      <c r="H23">
        <v>0</v>
      </c>
      <c r="I23" t="str">
        <f>OutputTable[[#This Row],[ProjectName]]&amp;OutputTable[[#This Row],[Name]]&amp;OutputTable[[#This Row],[Type]]&amp;OutputTable[[#This Row],[Source]]</f>
        <v>Unnamed ProjectArquivos.NumberOutNumber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4.8600000000000003</v>
      </c>
      <c r="L23" cm="1">
        <f t="array" ref="L23">IFERROR(_xlfn.STDEV.S(IF((OutputTable[GroupByKey]=OutputTable[[#This Row],[GroupByKey]]),(OutputTable[GroupByKey]=OutputTable[[#This Row],[GroupByKey]])*OutputTable[RecordedValue])),0)</f>
        <v>1.4287142785721427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3" cm="1">
        <f t="array" ref="O23">MIN(IF((OutputTable[GroupByKey]=OutputTable[[#This Row],[GroupByKey]]),(OutputTable[GroupByKey]=OutputTable[[#This Row],[GroupByKey]])*OutputTable[RecordedValue]))</f>
        <v>2</v>
      </c>
      <c r="P23" cm="1">
        <f t="array" ref="P23">MAX(IF((OutputTable[GroupByKey]=OutputTable[[#This Row],[GroupByKey]]),(OutputTable[GroupByKey]=OutputTable[[#This Row],[GroupByKey]])*OutputTable[RecordedValue]))</f>
        <v>8</v>
      </c>
    </row>
    <row r="24" spans="1:16" x14ac:dyDescent="0.35">
      <c r="A24" t="s">
        <v>66</v>
      </c>
      <c r="B24" t="s">
        <v>98</v>
      </c>
      <c r="C24">
        <v>5</v>
      </c>
      <c r="D24" t="s">
        <v>91</v>
      </c>
      <c r="E24" t="s">
        <v>92</v>
      </c>
      <c r="F24" t="s">
        <v>84</v>
      </c>
      <c r="G24">
        <v>7</v>
      </c>
      <c r="H24">
        <v>0</v>
      </c>
      <c r="I2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6.14</v>
      </c>
      <c r="L24" cm="1">
        <f t="array" ref="L24">IFERROR(_xlfn.STDEV.S(IF((OutputTable[GroupByKey]=OutputTable[[#This Row],[GroupByKey]]),(OutputTable[GroupByKey]=OutputTable[[#This Row],[GroupByKey]])*OutputTable[RecordedValue])),0)</f>
        <v>1.4984345572793558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4" cm="1">
        <f t="array" ref="O24">MIN(IF((OutputTable[GroupByKey]=OutputTable[[#This Row],[GroupByKey]]),(OutputTable[GroupByKey]=OutputTable[[#This Row],[GroupByKey]])*OutputTable[RecordedValue]))</f>
        <v>3</v>
      </c>
      <c r="P24" cm="1">
        <f t="array" ref="P24">MAX(IF((OutputTable[GroupByKey]=OutputTable[[#This Row],[GroupByKey]]),(OutputTable[GroupByKey]=OutputTable[[#This Row],[GroupByKey]])*OutputTable[RecordedValue]))</f>
        <v>9</v>
      </c>
    </row>
    <row r="25" spans="1:16" x14ac:dyDescent="0.35">
      <c r="A25" t="s">
        <v>66</v>
      </c>
      <c r="B25" t="s">
        <v>98</v>
      </c>
      <c r="C25">
        <v>5</v>
      </c>
      <c r="D25" t="s">
        <v>93</v>
      </c>
      <c r="E25" t="s">
        <v>94</v>
      </c>
      <c r="F25" t="s">
        <v>84</v>
      </c>
      <c r="G25">
        <v>0.70847243387105696</v>
      </c>
      <c r="H25">
        <v>0</v>
      </c>
      <c r="I2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0.63912553924181559</v>
      </c>
      <c r="L25" cm="1">
        <f t="array" ref="L25">IFERROR(_xlfn.STDEV.S(IF((OutputTable[GroupByKey]=OutputTable[[#This Row],[GroupByKey]]),(OutputTable[GroupByKey]=OutputTable[[#This Row],[GroupByKey]])*OutputTable[RecordedValue])),0)</f>
        <v>0.16841036655083153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5" cm="1">
        <f t="array" ref="O25">MIN(IF((OutputTable[GroupByKey]=OutputTable[[#This Row],[GroupByKey]]),(OutputTable[GroupByKey]=OutputTable[[#This Row],[GroupByKey]])*OutputTable[RecordedValue]))</f>
        <v>0.30856555337021802</v>
      </c>
      <c r="P25" cm="1">
        <f t="array" ref="P25">MAX(IF((OutputTable[GroupByKey]=OutputTable[[#This Row],[GroupByKey]]),(OutputTable[GroupByKey]=OutputTable[[#This Row],[GroupByKey]])*OutputTable[RecordedValue]))</f>
        <v>0.98721163888391195</v>
      </c>
    </row>
    <row r="26" spans="1:16" x14ac:dyDescent="0.35">
      <c r="A26" t="s">
        <v>66</v>
      </c>
      <c r="B26" t="s">
        <v>98</v>
      </c>
      <c r="C26">
        <v>5</v>
      </c>
      <c r="D26" t="s">
        <v>95</v>
      </c>
      <c r="E26" t="s">
        <v>90</v>
      </c>
      <c r="F26" t="s">
        <v>96</v>
      </c>
      <c r="G26">
        <v>5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4.8600000000000003</v>
      </c>
      <c r="L26" cm="1">
        <f t="array" ref="L26">IFERROR(_xlfn.STDEV.S(IF((OutputTable[GroupByKey]=OutputTable[[#This Row],[GroupByKey]]),(OutputTable[GroupByKey]=OutputTable[[#This Row],[GroupByKey]])*OutputTable[RecordedValue])),0)</f>
        <v>1.4287142785721427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6" cm="1">
        <f t="array" ref="O26">MIN(IF((OutputTable[GroupByKey]=OutputTable[[#This Row],[GroupByKey]]),(OutputTable[GroupByKey]=OutputTable[[#This Row],[GroupByKey]])*OutputTable[RecordedValue]))</f>
        <v>2</v>
      </c>
      <c r="P26" cm="1">
        <f t="array" ref="P26">MAX(IF((OutputTable[GroupByKey]=OutputTable[[#This Row],[GroupByKey]]),(OutputTable[GroupByKey]=OutputTable[[#This Row],[GroupByKey]])*OutputTable[RecordedValue]))</f>
        <v>8</v>
      </c>
    </row>
    <row r="27" spans="1:16" x14ac:dyDescent="0.35">
      <c r="A27" t="s">
        <v>66</v>
      </c>
      <c r="B27" t="s">
        <v>98</v>
      </c>
      <c r="C27">
        <v>6</v>
      </c>
      <c r="D27" t="s">
        <v>87</v>
      </c>
      <c r="E27" t="s">
        <v>88</v>
      </c>
      <c r="F27" t="s">
        <v>71</v>
      </c>
      <c r="G27">
        <v>7</v>
      </c>
      <c r="H27">
        <v>0</v>
      </c>
      <c r="I27" t="str">
        <f>OutputTable[[#This Row],[ProjectName]]&amp;OutputTable[[#This Row],[Name]]&amp;OutputTable[[#This Row],[Type]]&amp;OutputTable[[#This Row],[Source]]</f>
        <v>Unnamed ProjectArquivos.NumberInNumber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6.32</v>
      </c>
      <c r="L27" cm="1">
        <f t="array" ref="L27">IFERROR(_xlfn.STDEV.S(IF((OutputTable[GroupByKey]=OutputTable[[#This Row],[GroupByKey]]),(OutputTable[GroupByKey]=OutputTable[[#This Row],[GroupByKey]])*OutputTable[RecordedValue])),0)</f>
        <v>1.671367520252534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7" cm="1">
        <f t="array" ref="O27">MIN(IF((OutputTable[GroupByKey]=OutputTable[[#This Row],[GroupByKey]]),(OutputTable[GroupByKey]=OutputTable[[#This Row],[GroupByKey]])*OutputTable[RecordedValue]))</f>
        <v>3</v>
      </c>
      <c r="P27" cm="1">
        <f t="array" ref="P27">MAX(IF((OutputTable[GroupByKey]=OutputTable[[#This Row],[GroupByKey]]),(OutputTable[GroupByKey]=OutputTable[[#This Row],[GroupByKey]])*OutputTable[RecordedValue]))</f>
        <v>12</v>
      </c>
    </row>
    <row r="28" spans="1:16" x14ac:dyDescent="0.35">
      <c r="A28" t="s">
        <v>66</v>
      </c>
      <c r="B28" t="s">
        <v>98</v>
      </c>
      <c r="C28">
        <v>6</v>
      </c>
      <c r="D28" t="s">
        <v>89</v>
      </c>
      <c r="E28" t="s">
        <v>90</v>
      </c>
      <c r="F28" t="s">
        <v>71</v>
      </c>
      <c r="G28">
        <v>5</v>
      </c>
      <c r="H28">
        <v>0</v>
      </c>
      <c r="I28" t="str">
        <f>OutputTable[[#This Row],[ProjectName]]&amp;OutputTable[[#This Row],[Name]]&amp;OutputTable[[#This Row],[Type]]&amp;OutputTable[[#This Row],[Source]]</f>
        <v>Unnamed ProjectArquivos.NumberOutNumber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4.8600000000000003</v>
      </c>
      <c r="L28" cm="1">
        <f t="array" ref="L28">IFERROR(_xlfn.STDEV.S(IF((OutputTable[GroupByKey]=OutputTable[[#This Row],[GroupByKey]]),(OutputTable[GroupByKey]=OutputTable[[#This Row],[GroupByKey]])*OutputTable[RecordedValue])),0)</f>
        <v>1.4287142785721427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8" cm="1">
        <f t="array" ref="O28">MIN(IF((OutputTable[GroupByKey]=OutputTable[[#This Row],[GroupByKey]]),(OutputTable[GroupByKey]=OutputTable[[#This Row],[GroupByKey]])*OutputTable[RecordedValue]))</f>
        <v>2</v>
      </c>
      <c r="P28" cm="1">
        <f t="array" ref="P28">MAX(IF((OutputTable[GroupByKey]=OutputTable[[#This Row],[GroupByKey]]),(OutputTable[GroupByKey]=OutputTable[[#This Row],[GroupByKey]])*OutputTable[RecordedValue]))</f>
        <v>8</v>
      </c>
    </row>
    <row r="29" spans="1:16" x14ac:dyDescent="0.35">
      <c r="A29" t="s">
        <v>66</v>
      </c>
      <c r="B29" t="s">
        <v>98</v>
      </c>
      <c r="C29">
        <v>6</v>
      </c>
      <c r="D29" t="s">
        <v>91</v>
      </c>
      <c r="E29" t="s">
        <v>92</v>
      </c>
      <c r="F29" t="s">
        <v>84</v>
      </c>
      <c r="G29">
        <v>7</v>
      </c>
      <c r="H29">
        <v>0</v>
      </c>
      <c r="I2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6.14</v>
      </c>
      <c r="L29" cm="1">
        <f t="array" ref="L29">IFERROR(_xlfn.STDEV.S(IF((OutputTable[GroupByKey]=OutputTable[[#This Row],[GroupByKey]]),(OutputTable[GroupByKey]=OutputTable[[#This Row],[GroupByKey]])*OutputTable[RecordedValue])),0)</f>
        <v>1.4984345572793558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9" cm="1">
        <f t="array" ref="O29">MIN(IF((OutputTable[GroupByKey]=OutputTable[[#This Row],[GroupByKey]]),(OutputTable[GroupByKey]=OutputTable[[#This Row],[GroupByKey]])*OutputTable[RecordedValue]))</f>
        <v>3</v>
      </c>
      <c r="P29" cm="1">
        <f t="array" ref="P29">MAX(IF((OutputTable[GroupByKey]=OutputTable[[#This Row],[GroupByKey]]),(OutputTable[GroupByKey]=OutputTable[[#This Row],[GroupByKey]])*OutputTable[RecordedValue]))</f>
        <v>9</v>
      </c>
    </row>
    <row r="30" spans="1:16" x14ac:dyDescent="0.35">
      <c r="A30" t="s">
        <v>66</v>
      </c>
      <c r="B30" t="s">
        <v>98</v>
      </c>
      <c r="C30">
        <v>6</v>
      </c>
      <c r="D30" t="s">
        <v>93</v>
      </c>
      <c r="E30" t="s">
        <v>94</v>
      </c>
      <c r="F30" t="s">
        <v>84</v>
      </c>
      <c r="G30">
        <v>0.90443450267447301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0.63912553924181559</v>
      </c>
      <c r="L30" cm="1">
        <f t="array" ref="L30">IFERROR(_xlfn.STDEV.S(IF((OutputTable[GroupByKey]=OutputTable[[#This Row],[GroupByKey]]),(OutputTable[GroupByKey]=OutputTable[[#This Row],[GroupByKey]])*OutputTable[RecordedValue])),0)</f>
        <v>0.16841036655083153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30" cm="1">
        <f t="array" ref="O30">MIN(IF((OutputTable[GroupByKey]=OutputTable[[#This Row],[GroupByKey]]),(OutputTable[GroupByKey]=OutputTable[[#This Row],[GroupByKey]])*OutputTable[RecordedValue]))</f>
        <v>0.30856555337021802</v>
      </c>
      <c r="P30" cm="1">
        <f t="array" ref="P30">MAX(IF((OutputTable[GroupByKey]=OutputTable[[#This Row],[GroupByKey]]),(OutputTable[GroupByKey]=OutputTable[[#This Row],[GroupByKey]])*OutputTable[RecordedValue]))</f>
        <v>0.98721163888391195</v>
      </c>
    </row>
    <row r="31" spans="1:16" x14ac:dyDescent="0.35">
      <c r="A31" t="s">
        <v>66</v>
      </c>
      <c r="B31" t="s">
        <v>98</v>
      </c>
      <c r="C31">
        <v>6</v>
      </c>
      <c r="D31" t="s">
        <v>95</v>
      </c>
      <c r="E31" t="s">
        <v>90</v>
      </c>
      <c r="F31" t="s">
        <v>96</v>
      </c>
      <c r="G31">
        <v>5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4.8600000000000003</v>
      </c>
      <c r="L31" cm="1">
        <f t="array" ref="L31">IFERROR(_xlfn.STDEV.S(IF((OutputTable[GroupByKey]=OutputTable[[#This Row],[GroupByKey]]),(OutputTable[GroupByKey]=OutputTable[[#This Row],[GroupByKey]])*OutputTable[RecordedValue])),0)</f>
        <v>1.4287142785721427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31" cm="1">
        <f t="array" ref="O31">MIN(IF((OutputTable[GroupByKey]=OutputTable[[#This Row],[GroupByKey]]),(OutputTable[GroupByKey]=OutputTable[[#This Row],[GroupByKey]])*OutputTable[RecordedValue]))</f>
        <v>2</v>
      </c>
      <c r="P31" cm="1">
        <f t="array" ref="P31">MAX(IF((OutputTable[GroupByKey]=OutputTable[[#This Row],[GroupByKey]]),(OutputTable[GroupByKey]=OutputTable[[#This Row],[GroupByKey]])*OutputTable[RecordedValue]))</f>
        <v>8</v>
      </c>
    </row>
    <row r="32" spans="1:16" x14ac:dyDescent="0.35">
      <c r="A32" t="s">
        <v>66</v>
      </c>
      <c r="B32" t="s">
        <v>98</v>
      </c>
      <c r="C32">
        <v>7</v>
      </c>
      <c r="D32" t="s">
        <v>87</v>
      </c>
      <c r="E32" t="s">
        <v>88</v>
      </c>
      <c r="F32" t="s">
        <v>71</v>
      </c>
      <c r="G32">
        <v>5</v>
      </c>
      <c r="H32">
        <v>0</v>
      </c>
      <c r="I32" t="str">
        <f>OutputTable[[#This Row],[ProjectName]]&amp;OutputTable[[#This Row],[Name]]&amp;OutputTable[[#This Row],[Type]]&amp;OutputTable[[#This Row],[Source]]</f>
        <v>Unnamed ProjectArquivos.NumberInNumber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cm="1">
        <f t="array" ref="K32">IFERROR(AVERAGE(IF((OutputTable[GroupByKey]=OutputTable[[#This Row],[GroupByKey]]),(OutputTable[GroupByKey]=OutputTable[[#This Row],[GroupByKey]])*OutputTable[RecordedValue])),0)</f>
        <v>6.32</v>
      </c>
      <c r="L32" cm="1">
        <f t="array" ref="L32">IFERROR(_xlfn.STDEV.S(IF((OutputTable[GroupByKey]=OutputTable[[#This Row],[GroupByKey]]),(OutputTable[GroupByKey]=OutputTable[[#This Row],[GroupByKey]])*OutputTable[RecordedValue])),0)</f>
        <v>1.671367520252534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32" cm="1">
        <f t="array" ref="O32">MIN(IF((OutputTable[GroupByKey]=OutputTable[[#This Row],[GroupByKey]]),(OutputTable[GroupByKey]=OutputTable[[#This Row],[GroupByKey]])*OutputTable[RecordedValue]))</f>
        <v>3</v>
      </c>
      <c r="P32" cm="1">
        <f t="array" ref="P32">MAX(IF((OutputTable[GroupByKey]=OutputTable[[#This Row],[GroupByKey]]),(OutputTable[GroupByKey]=OutputTable[[#This Row],[GroupByKey]])*OutputTable[RecordedValue]))</f>
        <v>12</v>
      </c>
    </row>
    <row r="33" spans="1:16" x14ac:dyDescent="0.35">
      <c r="A33" t="s">
        <v>66</v>
      </c>
      <c r="B33" t="s">
        <v>98</v>
      </c>
      <c r="C33">
        <v>7</v>
      </c>
      <c r="D33" t="s">
        <v>89</v>
      </c>
      <c r="E33" t="s">
        <v>90</v>
      </c>
      <c r="F33" t="s">
        <v>71</v>
      </c>
      <c r="G33">
        <v>4</v>
      </c>
      <c r="H33">
        <v>0</v>
      </c>
      <c r="I33" t="str">
        <f>OutputTable[[#This Row],[ProjectName]]&amp;OutputTable[[#This Row],[Name]]&amp;OutputTable[[#This Row],[Type]]&amp;OutputTable[[#This Row],[Source]]</f>
        <v>Unnamed ProjectArquivos.NumberOutNumber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cm="1">
        <f t="array" ref="K33">IFERROR(AVERAGE(IF((OutputTable[GroupByKey]=OutputTable[[#This Row],[GroupByKey]]),(OutputTable[GroupByKey]=OutputTable[[#This Row],[GroupByKey]])*OutputTable[RecordedValue])),0)</f>
        <v>4.8600000000000003</v>
      </c>
      <c r="L33" cm="1">
        <f t="array" ref="L33">IFERROR(_xlfn.STDEV.S(IF((OutputTable[GroupByKey]=OutputTable[[#This Row],[GroupByKey]]),(OutputTable[GroupByKey]=OutputTable[[#This Row],[GroupByKey]])*OutputTable[RecordedValue])),0)</f>
        <v>1.4287142785721427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33" cm="1">
        <f t="array" ref="O33">MIN(IF((OutputTable[GroupByKey]=OutputTable[[#This Row],[GroupByKey]]),(OutputTable[GroupByKey]=OutputTable[[#This Row],[GroupByKey]])*OutputTable[RecordedValue]))</f>
        <v>2</v>
      </c>
      <c r="P33" cm="1">
        <f t="array" ref="P33">MAX(IF((OutputTable[GroupByKey]=OutputTable[[#This Row],[GroupByKey]]),(OutputTable[GroupByKey]=OutputTable[[#This Row],[GroupByKey]])*OutputTable[RecordedValue]))</f>
        <v>8</v>
      </c>
    </row>
    <row r="34" spans="1:16" x14ac:dyDescent="0.35">
      <c r="A34" t="s">
        <v>66</v>
      </c>
      <c r="B34" t="s">
        <v>98</v>
      </c>
      <c r="C34">
        <v>7</v>
      </c>
      <c r="D34" t="s">
        <v>91</v>
      </c>
      <c r="E34" t="s">
        <v>92</v>
      </c>
      <c r="F34" t="s">
        <v>84</v>
      </c>
      <c r="G34">
        <v>5</v>
      </c>
      <c r="H34">
        <v>0</v>
      </c>
      <c r="I34" t="str">
        <f>OutputTable[[#This Row],[ProjectName]]&amp;OutputTable[[#This Row],[Name]]&amp;OutputTable[[#This Row],[Type]]&amp;OutputTable[[#This Row],[Source]]</f>
        <v>Unnamed ProjectOperador.NumberSeizedTotal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cm="1">
        <f t="array" ref="K34">IFERROR(AVERAGE(IF((OutputTable[GroupByKey]=OutputTable[[#This Row],[GroupByKey]]),(OutputTable[GroupByKey]=OutputTable[[#This Row],[GroupByKey]])*OutputTable[RecordedValue])),0)</f>
        <v>6.14</v>
      </c>
      <c r="L34" cm="1">
        <f t="array" ref="L34">IFERROR(_xlfn.STDEV.S(IF((OutputTable[GroupByKey]=OutputTable[[#This Row],[GroupByKey]]),(OutputTable[GroupByKey]=OutputTable[[#This Row],[GroupByKey]])*OutputTable[RecordedValue])),0)</f>
        <v>1.4984345572793558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34" cm="1">
        <f t="array" ref="O34">MIN(IF((OutputTable[GroupByKey]=OutputTable[[#This Row],[GroupByKey]]),(OutputTable[GroupByKey]=OutputTable[[#This Row],[GroupByKey]])*OutputTable[RecordedValue]))</f>
        <v>3</v>
      </c>
      <c r="P34" cm="1">
        <f t="array" ref="P34">MAX(IF((OutputTable[GroupByKey]=OutputTable[[#This Row],[GroupByKey]]),(OutputTable[GroupByKey]=OutputTable[[#This Row],[GroupByKey]])*OutputTable[RecordedValue]))</f>
        <v>9</v>
      </c>
    </row>
    <row r="35" spans="1:16" x14ac:dyDescent="0.35">
      <c r="A35" t="s">
        <v>66</v>
      </c>
      <c r="B35" t="s">
        <v>98</v>
      </c>
      <c r="C35">
        <v>7</v>
      </c>
      <c r="D35" t="s">
        <v>93</v>
      </c>
      <c r="E35" t="s">
        <v>94</v>
      </c>
      <c r="F35" t="s">
        <v>84</v>
      </c>
      <c r="G35">
        <v>0.63238558349287399</v>
      </c>
      <c r="H35">
        <v>0</v>
      </c>
      <c r="I3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cm="1">
        <f t="array" ref="K35">IFERROR(AVERAGE(IF((OutputTable[GroupByKey]=OutputTable[[#This Row],[GroupByKey]]),(OutputTable[GroupByKey]=OutputTable[[#This Row],[GroupByKey]])*OutputTable[RecordedValue])),0)</f>
        <v>0.63912553924181559</v>
      </c>
      <c r="L35" cm="1">
        <f t="array" ref="L35">IFERROR(_xlfn.STDEV.S(IF((OutputTable[GroupByKey]=OutputTable[[#This Row],[GroupByKey]]),(OutputTable[GroupByKey]=OutputTable[[#This Row],[GroupByKey]])*OutputTable[RecordedValue])),0)</f>
        <v>0.16841036655083153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35" cm="1">
        <f t="array" ref="O35">MIN(IF((OutputTable[GroupByKey]=OutputTable[[#This Row],[GroupByKey]]),(OutputTable[GroupByKey]=OutputTable[[#This Row],[GroupByKey]])*OutputTable[RecordedValue]))</f>
        <v>0.30856555337021802</v>
      </c>
      <c r="P35" cm="1">
        <f t="array" ref="P35">MAX(IF((OutputTable[GroupByKey]=OutputTable[[#This Row],[GroupByKey]]),(OutputTable[GroupByKey]=OutputTable[[#This Row],[GroupByKey]])*OutputTable[RecordedValue]))</f>
        <v>0.98721163888391195</v>
      </c>
    </row>
    <row r="36" spans="1:16" x14ac:dyDescent="0.35">
      <c r="A36" t="s">
        <v>66</v>
      </c>
      <c r="B36" t="s">
        <v>98</v>
      </c>
      <c r="C36">
        <v>7</v>
      </c>
      <c r="D36" t="s">
        <v>95</v>
      </c>
      <c r="E36" t="s">
        <v>90</v>
      </c>
      <c r="F36" t="s">
        <v>96</v>
      </c>
      <c r="G36">
        <v>4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cm="1">
        <f t="array" ref="K36">IFERROR(AVERAGE(IF((OutputTable[GroupByKey]=OutputTable[[#This Row],[GroupByKey]]),(OutputTable[GroupByKey]=OutputTable[[#This Row],[GroupByKey]])*OutputTable[RecordedValue])),0)</f>
        <v>4.8600000000000003</v>
      </c>
      <c r="L36" cm="1">
        <f t="array" ref="L36">IFERROR(_xlfn.STDEV.S(IF((OutputTable[GroupByKey]=OutputTable[[#This Row],[GroupByKey]]),(OutputTable[GroupByKey]=OutputTable[[#This Row],[GroupByKey]])*OutputTable[RecordedValue])),0)</f>
        <v>1.4287142785721427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36" cm="1">
        <f t="array" ref="O36">MIN(IF((OutputTable[GroupByKey]=OutputTable[[#This Row],[GroupByKey]]),(OutputTable[GroupByKey]=OutputTable[[#This Row],[GroupByKey]])*OutputTable[RecordedValue]))</f>
        <v>2</v>
      </c>
      <c r="P36" cm="1">
        <f t="array" ref="P36">MAX(IF((OutputTable[GroupByKey]=OutputTable[[#This Row],[GroupByKey]]),(OutputTable[GroupByKey]=OutputTable[[#This Row],[GroupByKey]])*OutputTable[RecordedValue]))</f>
        <v>8</v>
      </c>
    </row>
    <row r="37" spans="1:16" x14ac:dyDescent="0.35">
      <c r="A37" t="s">
        <v>66</v>
      </c>
      <c r="B37" t="s">
        <v>98</v>
      </c>
      <c r="C37">
        <v>8</v>
      </c>
      <c r="D37" t="s">
        <v>87</v>
      </c>
      <c r="E37" t="s">
        <v>88</v>
      </c>
      <c r="F37" t="s">
        <v>71</v>
      </c>
      <c r="G37">
        <v>5</v>
      </c>
      <c r="H37">
        <v>0</v>
      </c>
      <c r="I37" t="str">
        <f>OutputTable[[#This Row],[ProjectName]]&amp;OutputTable[[#This Row],[Name]]&amp;OutputTable[[#This Row],[Type]]&amp;OutputTable[[#This Row],[Source]]</f>
        <v>Unnamed ProjectArquivos.NumberInNumber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cm="1">
        <f t="array" ref="K37">IFERROR(AVERAGE(IF((OutputTable[GroupByKey]=OutputTable[[#This Row],[GroupByKey]]),(OutputTable[GroupByKey]=OutputTable[[#This Row],[GroupByKey]])*OutputTable[RecordedValue])),0)</f>
        <v>6.32</v>
      </c>
      <c r="L37" cm="1">
        <f t="array" ref="L37">IFERROR(_xlfn.STDEV.S(IF((OutputTable[GroupByKey]=OutputTable[[#This Row],[GroupByKey]]),(OutputTable[GroupByKey]=OutputTable[[#This Row],[GroupByKey]])*OutputTable[RecordedValue])),0)</f>
        <v>1.671367520252534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37" cm="1">
        <f t="array" ref="O37">MIN(IF((OutputTable[GroupByKey]=OutputTable[[#This Row],[GroupByKey]]),(OutputTable[GroupByKey]=OutputTable[[#This Row],[GroupByKey]])*OutputTable[RecordedValue]))</f>
        <v>3</v>
      </c>
      <c r="P37" cm="1">
        <f t="array" ref="P37">MAX(IF((OutputTable[GroupByKey]=OutputTable[[#This Row],[GroupByKey]]),(OutputTable[GroupByKey]=OutputTable[[#This Row],[GroupByKey]])*OutputTable[RecordedValue]))</f>
        <v>12</v>
      </c>
    </row>
    <row r="38" spans="1:16" x14ac:dyDescent="0.35">
      <c r="A38" t="s">
        <v>66</v>
      </c>
      <c r="B38" t="s">
        <v>98</v>
      </c>
      <c r="C38">
        <v>8</v>
      </c>
      <c r="D38" t="s">
        <v>89</v>
      </c>
      <c r="E38" t="s">
        <v>90</v>
      </c>
      <c r="F38" t="s">
        <v>71</v>
      </c>
      <c r="G38">
        <v>5</v>
      </c>
      <c r="H38">
        <v>0</v>
      </c>
      <c r="I38" t="str">
        <f>OutputTable[[#This Row],[ProjectName]]&amp;OutputTable[[#This Row],[Name]]&amp;OutputTable[[#This Row],[Type]]&amp;OutputTable[[#This Row],[Source]]</f>
        <v>Unnamed ProjectArquivos.NumberOutNumber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cm="1">
        <f t="array" ref="K38">IFERROR(AVERAGE(IF((OutputTable[GroupByKey]=OutputTable[[#This Row],[GroupByKey]]),(OutputTable[GroupByKey]=OutputTable[[#This Row],[GroupByKey]])*OutputTable[RecordedValue])),0)</f>
        <v>4.8600000000000003</v>
      </c>
      <c r="L38" cm="1">
        <f t="array" ref="L38">IFERROR(_xlfn.STDEV.S(IF((OutputTable[GroupByKey]=OutputTable[[#This Row],[GroupByKey]]),(OutputTable[GroupByKey]=OutputTable[[#This Row],[GroupByKey]])*OutputTable[RecordedValue])),0)</f>
        <v>1.4287142785721427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38" cm="1">
        <f t="array" ref="O38">MIN(IF((OutputTable[GroupByKey]=OutputTable[[#This Row],[GroupByKey]]),(OutputTable[GroupByKey]=OutputTable[[#This Row],[GroupByKey]])*OutputTable[RecordedValue]))</f>
        <v>2</v>
      </c>
      <c r="P38" cm="1">
        <f t="array" ref="P38">MAX(IF((OutputTable[GroupByKey]=OutputTable[[#This Row],[GroupByKey]]),(OutputTable[GroupByKey]=OutputTable[[#This Row],[GroupByKey]])*OutputTable[RecordedValue]))</f>
        <v>8</v>
      </c>
    </row>
    <row r="39" spans="1:16" x14ac:dyDescent="0.35">
      <c r="A39" t="s">
        <v>66</v>
      </c>
      <c r="B39" t="s">
        <v>98</v>
      </c>
      <c r="C39">
        <v>8</v>
      </c>
      <c r="D39" t="s">
        <v>91</v>
      </c>
      <c r="E39" t="s">
        <v>92</v>
      </c>
      <c r="F39" t="s">
        <v>84</v>
      </c>
      <c r="G39">
        <v>5</v>
      </c>
      <c r="H39">
        <v>0</v>
      </c>
      <c r="I39" t="str">
        <f>OutputTable[[#This Row],[ProjectName]]&amp;OutputTable[[#This Row],[Name]]&amp;OutputTable[[#This Row],[Type]]&amp;OutputTable[[#This Row],[Source]]</f>
        <v>Unnamed ProjectOperador.NumberSeizedTotal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cm="1">
        <f t="array" ref="K39">IFERROR(AVERAGE(IF((OutputTable[GroupByKey]=OutputTable[[#This Row],[GroupByKey]]),(OutputTable[GroupByKey]=OutputTable[[#This Row],[GroupByKey]])*OutputTable[RecordedValue])),0)</f>
        <v>6.14</v>
      </c>
      <c r="L39" cm="1">
        <f t="array" ref="L39">IFERROR(_xlfn.STDEV.S(IF((OutputTable[GroupByKey]=OutputTable[[#This Row],[GroupByKey]]),(OutputTable[GroupByKey]=OutputTable[[#This Row],[GroupByKey]])*OutputTable[RecordedValue])),0)</f>
        <v>1.4984345572793558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39" cm="1">
        <f t="array" ref="O39">MIN(IF((OutputTable[GroupByKey]=OutputTable[[#This Row],[GroupByKey]]),(OutputTable[GroupByKey]=OutputTable[[#This Row],[GroupByKey]])*OutputTable[RecordedValue]))</f>
        <v>3</v>
      </c>
      <c r="P39" cm="1">
        <f t="array" ref="P39">MAX(IF((OutputTable[GroupByKey]=OutputTable[[#This Row],[GroupByKey]]),(OutputTable[GroupByKey]=OutputTable[[#This Row],[GroupByKey]])*OutputTable[RecordedValue]))</f>
        <v>9</v>
      </c>
    </row>
    <row r="40" spans="1:16" x14ac:dyDescent="0.35">
      <c r="A40" t="s">
        <v>66</v>
      </c>
      <c r="B40" t="s">
        <v>98</v>
      </c>
      <c r="C40">
        <v>8</v>
      </c>
      <c r="D40" t="s">
        <v>93</v>
      </c>
      <c r="E40" t="s">
        <v>94</v>
      </c>
      <c r="F40" t="s">
        <v>84</v>
      </c>
      <c r="G40">
        <v>0.68445047749420795</v>
      </c>
      <c r="H40">
        <v>0</v>
      </c>
      <c r="I4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cm="1">
        <f t="array" ref="K40">IFERROR(AVERAGE(IF((OutputTable[GroupByKey]=OutputTable[[#This Row],[GroupByKey]]),(OutputTable[GroupByKey]=OutputTable[[#This Row],[GroupByKey]])*OutputTable[RecordedValue])),0)</f>
        <v>0.63912553924181559</v>
      </c>
      <c r="L40" cm="1">
        <f t="array" ref="L40">IFERROR(_xlfn.STDEV.S(IF((OutputTable[GroupByKey]=OutputTable[[#This Row],[GroupByKey]]),(OutputTable[GroupByKey]=OutputTable[[#This Row],[GroupByKey]])*OutputTable[RecordedValue])),0)</f>
        <v>0.16841036655083153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40" cm="1">
        <f t="array" ref="O40">MIN(IF((OutputTable[GroupByKey]=OutputTable[[#This Row],[GroupByKey]]),(OutputTable[GroupByKey]=OutputTable[[#This Row],[GroupByKey]])*OutputTable[RecordedValue]))</f>
        <v>0.30856555337021802</v>
      </c>
      <c r="P40" cm="1">
        <f t="array" ref="P40">MAX(IF((OutputTable[GroupByKey]=OutputTable[[#This Row],[GroupByKey]]),(OutputTable[GroupByKey]=OutputTable[[#This Row],[GroupByKey]])*OutputTable[RecordedValue]))</f>
        <v>0.98721163888391195</v>
      </c>
    </row>
    <row r="41" spans="1:16" x14ac:dyDescent="0.35">
      <c r="A41" t="s">
        <v>66</v>
      </c>
      <c r="B41" t="s">
        <v>98</v>
      </c>
      <c r="C41">
        <v>8</v>
      </c>
      <c r="D41" t="s">
        <v>95</v>
      </c>
      <c r="E41" t="s">
        <v>90</v>
      </c>
      <c r="F41" t="s">
        <v>96</v>
      </c>
      <c r="G41">
        <v>5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cm="1">
        <f t="array" ref="K41">IFERROR(AVERAGE(IF((OutputTable[GroupByKey]=OutputTable[[#This Row],[GroupByKey]]),(OutputTable[GroupByKey]=OutputTable[[#This Row],[GroupByKey]])*OutputTable[RecordedValue])),0)</f>
        <v>4.8600000000000003</v>
      </c>
      <c r="L41" cm="1">
        <f t="array" ref="L41">IFERROR(_xlfn.STDEV.S(IF((OutputTable[GroupByKey]=OutputTable[[#This Row],[GroupByKey]]),(OutputTable[GroupByKey]=OutputTable[[#This Row],[GroupByKey]])*OutputTable[RecordedValue])),0)</f>
        <v>1.4287142785721427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41" cm="1">
        <f t="array" ref="O41">MIN(IF((OutputTable[GroupByKey]=OutputTable[[#This Row],[GroupByKey]]),(OutputTable[GroupByKey]=OutputTable[[#This Row],[GroupByKey]])*OutputTable[RecordedValue]))</f>
        <v>2</v>
      </c>
      <c r="P41" cm="1">
        <f t="array" ref="P41">MAX(IF((OutputTable[GroupByKey]=OutputTable[[#This Row],[GroupByKey]]),(OutputTable[GroupByKey]=OutputTable[[#This Row],[GroupByKey]])*OutputTable[RecordedValue]))</f>
        <v>8</v>
      </c>
    </row>
    <row r="42" spans="1:16" x14ac:dyDescent="0.35">
      <c r="A42" t="s">
        <v>66</v>
      </c>
      <c r="B42" t="s">
        <v>98</v>
      </c>
      <c r="C42">
        <v>9</v>
      </c>
      <c r="D42" t="s">
        <v>87</v>
      </c>
      <c r="E42" t="s">
        <v>88</v>
      </c>
      <c r="F42" t="s">
        <v>71</v>
      </c>
      <c r="G42">
        <v>7</v>
      </c>
      <c r="H42">
        <v>0</v>
      </c>
      <c r="I42" t="str">
        <f>OutputTable[[#This Row],[ProjectName]]&amp;OutputTable[[#This Row],[Name]]&amp;OutputTable[[#This Row],[Type]]&amp;OutputTable[[#This Row],[Source]]</f>
        <v>Unnamed ProjectArquivos.NumberInNumber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cm="1">
        <f t="array" ref="K42">IFERROR(AVERAGE(IF((OutputTable[GroupByKey]=OutputTable[[#This Row],[GroupByKey]]),(OutputTable[GroupByKey]=OutputTable[[#This Row],[GroupByKey]])*OutputTable[RecordedValue])),0)</f>
        <v>6.32</v>
      </c>
      <c r="L42" cm="1">
        <f t="array" ref="L42">IFERROR(_xlfn.STDEV.S(IF((OutputTable[GroupByKey]=OutputTable[[#This Row],[GroupByKey]]),(OutputTable[GroupByKey]=OutputTable[[#This Row],[GroupByKey]])*OutputTable[RecordedValue])),0)</f>
        <v>1.671367520252534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42" cm="1">
        <f t="array" ref="O42">MIN(IF((OutputTable[GroupByKey]=OutputTable[[#This Row],[GroupByKey]]),(OutputTable[GroupByKey]=OutputTable[[#This Row],[GroupByKey]])*OutputTable[RecordedValue]))</f>
        <v>3</v>
      </c>
      <c r="P42" cm="1">
        <f t="array" ref="P42">MAX(IF((OutputTable[GroupByKey]=OutputTable[[#This Row],[GroupByKey]]),(OutputTable[GroupByKey]=OutputTable[[#This Row],[GroupByKey]])*OutputTable[RecordedValue]))</f>
        <v>12</v>
      </c>
    </row>
    <row r="43" spans="1:16" x14ac:dyDescent="0.35">
      <c r="A43" t="s">
        <v>66</v>
      </c>
      <c r="B43" t="s">
        <v>98</v>
      </c>
      <c r="C43">
        <v>9</v>
      </c>
      <c r="D43" t="s">
        <v>89</v>
      </c>
      <c r="E43" t="s">
        <v>90</v>
      </c>
      <c r="F43" t="s">
        <v>71</v>
      </c>
      <c r="G43">
        <v>5</v>
      </c>
      <c r="H43">
        <v>0</v>
      </c>
      <c r="I43" t="str">
        <f>OutputTable[[#This Row],[ProjectName]]&amp;OutputTable[[#This Row],[Name]]&amp;OutputTable[[#This Row],[Type]]&amp;OutputTable[[#This Row],[Source]]</f>
        <v>Unnamed ProjectArquivos.NumberOutNumber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cm="1">
        <f t="array" ref="K43">IFERROR(AVERAGE(IF((OutputTable[GroupByKey]=OutputTable[[#This Row],[GroupByKey]]),(OutputTable[GroupByKey]=OutputTable[[#This Row],[GroupByKey]])*OutputTable[RecordedValue])),0)</f>
        <v>4.8600000000000003</v>
      </c>
      <c r="L43" cm="1">
        <f t="array" ref="L43">IFERROR(_xlfn.STDEV.S(IF((OutputTable[GroupByKey]=OutputTable[[#This Row],[GroupByKey]]),(OutputTable[GroupByKey]=OutputTable[[#This Row],[GroupByKey]])*OutputTable[RecordedValue])),0)</f>
        <v>1.4287142785721427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43" cm="1">
        <f t="array" ref="O43">MIN(IF((OutputTable[GroupByKey]=OutputTable[[#This Row],[GroupByKey]]),(OutputTable[GroupByKey]=OutputTable[[#This Row],[GroupByKey]])*OutputTable[RecordedValue]))</f>
        <v>2</v>
      </c>
      <c r="P43" cm="1">
        <f t="array" ref="P43">MAX(IF((OutputTable[GroupByKey]=OutputTable[[#This Row],[GroupByKey]]),(OutputTable[GroupByKey]=OutputTable[[#This Row],[GroupByKey]])*OutputTable[RecordedValue]))</f>
        <v>8</v>
      </c>
    </row>
    <row r="44" spans="1:16" x14ac:dyDescent="0.35">
      <c r="A44" t="s">
        <v>66</v>
      </c>
      <c r="B44" t="s">
        <v>98</v>
      </c>
      <c r="C44">
        <v>9</v>
      </c>
      <c r="D44" t="s">
        <v>91</v>
      </c>
      <c r="E44" t="s">
        <v>92</v>
      </c>
      <c r="F44" t="s">
        <v>84</v>
      </c>
      <c r="G44">
        <v>7</v>
      </c>
      <c r="H44">
        <v>0</v>
      </c>
      <c r="I44" t="str">
        <f>OutputTable[[#This Row],[ProjectName]]&amp;OutputTable[[#This Row],[Name]]&amp;OutputTable[[#This Row],[Type]]&amp;OutputTable[[#This Row],[Source]]</f>
        <v>Unnamed ProjectOperador.NumberSeizedTotal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cm="1">
        <f t="array" ref="K44">IFERROR(AVERAGE(IF((OutputTable[GroupByKey]=OutputTable[[#This Row],[GroupByKey]]),(OutputTable[GroupByKey]=OutputTable[[#This Row],[GroupByKey]])*OutputTable[RecordedValue])),0)</f>
        <v>6.14</v>
      </c>
      <c r="L44" cm="1">
        <f t="array" ref="L44">IFERROR(_xlfn.STDEV.S(IF((OutputTable[GroupByKey]=OutputTable[[#This Row],[GroupByKey]]),(OutputTable[GroupByKey]=OutputTable[[#This Row],[GroupByKey]])*OutputTable[RecordedValue])),0)</f>
        <v>1.4984345572793558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44" cm="1">
        <f t="array" ref="O44">MIN(IF((OutputTable[GroupByKey]=OutputTable[[#This Row],[GroupByKey]]),(OutputTable[GroupByKey]=OutputTable[[#This Row],[GroupByKey]])*OutputTable[RecordedValue]))</f>
        <v>3</v>
      </c>
      <c r="P44" cm="1">
        <f t="array" ref="P44">MAX(IF((OutputTable[GroupByKey]=OutputTable[[#This Row],[GroupByKey]]),(OutputTable[GroupByKey]=OutputTable[[#This Row],[GroupByKey]])*OutputTable[RecordedValue]))</f>
        <v>9</v>
      </c>
    </row>
    <row r="45" spans="1:16" x14ac:dyDescent="0.35">
      <c r="A45" t="s">
        <v>66</v>
      </c>
      <c r="B45" t="s">
        <v>98</v>
      </c>
      <c r="C45">
        <v>9</v>
      </c>
      <c r="D45" t="s">
        <v>93</v>
      </c>
      <c r="E45" t="s">
        <v>94</v>
      </c>
      <c r="F45" t="s">
        <v>84</v>
      </c>
      <c r="G45">
        <v>0.67564073943177405</v>
      </c>
      <c r="H45">
        <v>0</v>
      </c>
      <c r="I4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cm="1">
        <f t="array" ref="K45">IFERROR(AVERAGE(IF((OutputTable[GroupByKey]=OutputTable[[#This Row],[GroupByKey]]),(OutputTable[GroupByKey]=OutputTable[[#This Row],[GroupByKey]])*OutputTable[RecordedValue])),0)</f>
        <v>0.63912553924181559</v>
      </c>
      <c r="L45" cm="1">
        <f t="array" ref="L45">IFERROR(_xlfn.STDEV.S(IF((OutputTable[GroupByKey]=OutputTable[[#This Row],[GroupByKey]]),(OutputTable[GroupByKey]=OutputTable[[#This Row],[GroupByKey]])*OutputTable[RecordedValue])),0)</f>
        <v>0.16841036655083153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45" cm="1">
        <f t="array" ref="O45">MIN(IF((OutputTable[GroupByKey]=OutputTable[[#This Row],[GroupByKey]]),(OutputTable[GroupByKey]=OutputTable[[#This Row],[GroupByKey]])*OutputTable[RecordedValue]))</f>
        <v>0.30856555337021802</v>
      </c>
      <c r="P45" cm="1">
        <f t="array" ref="P45">MAX(IF((OutputTable[GroupByKey]=OutputTable[[#This Row],[GroupByKey]]),(OutputTable[GroupByKey]=OutputTable[[#This Row],[GroupByKey]])*OutputTable[RecordedValue]))</f>
        <v>0.98721163888391195</v>
      </c>
    </row>
    <row r="46" spans="1:16" x14ac:dyDescent="0.35">
      <c r="A46" t="s">
        <v>66</v>
      </c>
      <c r="B46" t="s">
        <v>98</v>
      </c>
      <c r="C46">
        <v>9</v>
      </c>
      <c r="D46" t="s">
        <v>95</v>
      </c>
      <c r="E46" t="s">
        <v>90</v>
      </c>
      <c r="F46" t="s">
        <v>96</v>
      </c>
      <c r="G46">
        <v>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cm="1">
        <f t="array" ref="K46">IFERROR(AVERAGE(IF((OutputTable[GroupByKey]=OutputTable[[#This Row],[GroupByKey]]),(OutputTable[GroupByKey]=OutputTable[[#This Row],[GroupByKey]])*OutputTable[RecordedValue])),0)</f>
        <v>4.8600000000000003</v>
      </c>
      <c r="L46" cm="1">
        <f t="array" ref="L46">IFERROR(_xlfn.STDEV.S(IF((OutputTable[GroupByKey]=OutputTable[[#This Row],[GroupByKey]]),(OutputTable[GroupByKey]=OutputTable[[#This Row],[GroupByKey]])*OutputTable[RecordedValue])),0)</f>
        <v>1.4287142785721427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46" cm="1">
        <f t="array" ref="O46">MIN(IF((OutputTable[GroupByKey]=OutputTable[[#This Row],[GroupByKey]]),(OutputTable[GroupByKey]=OutputTable[[#This Row],[GroupByKey]])*OutputTable[RecordedValue]))</f>
        <v>2</v>
      </c>
      <c r="P46" cm="1">
        <f t="array" ref="P46">MAX(IF((OutputTable[GroupByKey]=OutputTable[[#This Row],[GroupByKey]]),(OutputTable[GroupByKey]=OutputTable[[#This Row],[GroupByKey]])*OutputTable[RecordedValue]))</f>
        <v>8</v>
      </c>
    </row>
    <row r="47" spans="1:16" x14ac:dyDescent="0.35">
      <c r="A47" t="s">
        <v>66</v>
      </c>
      <c r="B47" t="s">
        <v>98</v>
      </c>
      <c r="C47">
        <v>10</v>
      </c>
      <c r="D47" t="s">
        <v>87</v>
      </c>
      <c r="E47" t="s">
        <v>88</v>
      </c>
      <c r="F47" t="s">
        <v>71</v>
      </c>
      <c r="G47">
        <v>6</v>
      </c>
      <c r="H47">
        <v>0</v>
      </c>
      <c r="I47" t="str">
        <f>OutputTable[[#This Row],[ProjectName]]&amp;OutputTable[[#This Row],[Name]]&amp;OutputTable[[#This Row],[Type]]&amp;OutputTable[[#This Row],[Source]]</f>
        <v>Unnamed ProjectArquivos.NumberInNumber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cm="1">
        <f t="array" ref="K47">IFERROR(AVERAGE(IF((OutputTable[GroupByKey]=OutputTable[[#This Row],[GroupByKey]]),(OutputTable[GroupByKey]=OutputTable[[#This Row],[GroupByKey]])*OutputTable[RecordedValue])),0)</f>
        <v>6.32</v>
      </c>
      <c r="L47" cm="1">
        <f t="array" ref="L47">IFERROR(_xlfn.STDEV.S(IF((OutputTable[GroupByKey]=OutputTable[[#This Row],[GroupByKey]]),(OutputTable[GroupByKey]=OutputTable[[#This Row],[GroupByKey]])*OutputTable[RecordedValue])),0)</f>
        <v>1.671367520252534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47" cm="1">
        <f t="array" ref="O47">MIN(IF((OutputTable[GroupByKey]=OutputTable[[#This Row],[GroupByKey]]),(OutputTable[GroupByKey]=OutputTable[[#This Row],[GroupByKey]])*OutputTable[RecordedValue]))</f>
        <v>3</v>
      </c>
      <c r="P47" cm="1">
        <f t="array" ref="P47">MAX(IF((OutputTable[GroupByKey]=OutputTable[[#This Row],[GroupByKey]]),(OutputTable[GroupByKey]=OutputTable[[#This Row],[GroupByKey]])*OutputTable[RecordedValue]))</f>
        <v>12</v>
      </c>
    </row>
    <row r="48" spans="1:16" x14ac:dyDescent="0.35">
      <c r="A48" t="s">
        <v>66</v>
      </c>
      <c r="B48" t="s">
        <v>98</v>
      </c>
      <c r="C48">
        <v>10</v>
      </c>
      <c r="D48" t="s">
        <v>89</v>
      </c>
      <c r="E48" t="s">
        <v>90</v>
      </c>
      <c r="F48" t="s">
        <v>71</v>
      </c>
      <c r="G48">
        <v>4</v>
      </c>
      <c r="H48">
        <v>0</v>
      </c>
      <c r="I48" t="str">
        <f>OutputTable[[#This Row],[ProjectName]]&amp;OutputTable[[#This Row],[Name]]&amp;OutputTable[[#This Row],[Type]]&amp;OutputTable[[#This Row],[Source]]</f>
        <v>Unnamed ProjectArquivos.NumberOutNumber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cm="1">
        <f t="array" ref="K48">IFERROR(AVERAGE(IF((OutputTable[GroupByKey]=OutputTable[[#This Row],[GroupByKey]]),(OutputTable[GroupByKey]=OutputTable[[#This Row],[GroupByKey]])*OutputTable[RecordedValue])),0)</f>
        <v>4.8600000000000003</v>
      </c>
      <c r="L48" cm="1">
        <f t="array" ref="L48">IFERROR(_xlfn.STDEV.S(IF((OutputTable[GroupByKey]=OutputTable[[#This Row],[GroupByKey]]),(OutputTable[GroupByKey]=OutputTable[[#This Row],[GroupByKey]])*OutputTable[RecordedValue])),0)</f>
        <v>1.4287142785721427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48" cm="1">
        <f t="array" ref="O48">MIN(IF((OutputTable[GroupByKey]=OutputTable[[#This Row],[GroupByKey]]),(OutputTable[GroupByKey]=OutputTable[[#This Row],[GroupByKey]])*OutputTable[RecordedValue]))</f>
        <v>2</v>
      </c>
      <c r="P48" cm="1">
        <f t="array" ref="P48">MAX(IF((OutputTable[GroupByKey]=OutputTable[[#This Row],[GroupByKey]]),(OutputTable[GroupByKey]=OutputTable[[#This Row],[GroupByKey]])*OutputTable[RecordedValue]))</f>
        <v>8</v>
      </c>
    </row>
    <row r="49" spans="1:16" x14ac:dyDescent="0.35">
      <c r="A49" t="s">
        <v>66</v>
      </c>
      <c r="B49" t="s">
        <v>98</v>
      </c>
      <c r="C49">
        <v>10</v>
      </c>
      <c r="D49" t="s">
        <v>91</v>
      </c>
      <c r="E49" t="s">
        <v>92</v>
      </c>
      <c r="F49" t="s">
        <v>84</v>
      </c>
      <c r="G49">
        <v>6</v>
      </c>
      <c r="H49">
        <v>0</v>
      </c>
      <c r="I49" t="str">
        <f>OutputTable[[#This Row],[ProjectName]]&amp;OutputTable[[#This Row],[Name]]&amp;OutputTable[[#This Row],[Type]]&amp;OutputTable[[#This Row],[Source]]</f>
        <v>Unnamed ProjectOperador.NumberSeizedTotal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cm="1">
        <f t="array" ref="K49">IFERROR(AVERAGE(IF((OutputTable[GroupByKey]=OutputTable[[#This Row],[GroupByKey]]),(OutputTable[GroupByKey]=OutputTable[[#This Row],[GroupByKey]])*OutputTable[RecordedValue])),0)</f>
        <v>6.14</v>
      </c>
      <c r="L49" cm="1">
        <f t="array" ref="L49">IFERROR(_xlfn.STDEV.S(IF((OutputTable[GroupByKey]=OutputTable[[#This Row],[GroupByKey]]),(OutputTable[GroupByKey]=OutputTable[[#This Row],[GroupByKey]])*OutputTable[RecordedValue])),0)</f>
        <v>1.4984345572793558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49" cm="1">
        <f t="array" ref="O49">MIN(IF((OutputTable[GroupByKey]=OutputTable[[#This Row],[GroupByKey]]),(OutputTable[GroupByKey]=OutputTable[[#This Row],[GroupByKey]])*OutputTable[RecordedValue]))</f>
        <v>3</v>
      </c>
      <c r="P49" cm="1">
        <f t="array" ref="P49">MAX(IF((OutputTable[GroupByKey]=OutputTable[[#This Row],[GroupByKey]]),(OutputTable[GroupByKey]=OutputTable[[#This Row],[GroupByKey]])*OutputTable[RecordedValue]))</f>
        <v>9</v>
      </c>
    </row>
    <row r="50" spans="1:16" x14ac:dyDescent="0.35">
      <c r="A50" t="s">
        <v>66</v>
      </c>
      <c r="B50" t="s">
        <v>98</v>
      </c>
      <c r="C50">
        <v>10</v>
      </c>
      <c r="D50" t="s">
        <v>93</v>
      </c>
      <c r="E50" t="s">
        <v>94</v>
      </c>
      <c r="F50" t="s">
        <v>84</v>
      </c>
      <c r="G50">
        <v>0.71433547557483901</v>
      </c>
      <c r="H50">
        <v>0</v>
      </c>
      <c r="I5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cm="1">
        <f t="array" ref="K50">IFERROR(AVERAGE(IF((OutputTable[GroupByKey]=OutputTable[[#This Row],[GroupByKey]]),(OutputTable[GroupByKey]=OutputTable[[#This Row],[GroupByKey]])*OutputTable[RecordedValue])),0)</f>
        <v>0.63912553924181559</v>
      </c>
      <c r="L50" cm="1">
        <f t="array" ref="L50">IFERROR(_xlfn.STDEV.S(IF((OutputTable[GroupByKey]=OutputTable[[#This Row],[GroupByKey]]),(OutputTable[GroupByKey]=OutputTable[[#This Row],[GroupByKey]])*OutputTable[RecordedValue])),0)</f>
        <v>0.16841036655083153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50" cm="1">
        <f t="array" ref="O50">MIN(IF((OutputTable[GroupByKey]=OutputTable[[#This Row],[GroupByKey]]),(OutputTable[GroupByKey]=OutputTable[[#This Row],[GroupByKey]])*OutputTable[RecordedValue]))</f>
        <v>0.30856555337021802</v>
      </c>
      <c r="P50" cm="1">
        <f t="array" ref="P50">MAX(IF((OutputTable[GroupByKey]=OutputTable[[#This Row],[GroupByKey]]),(OutputTable[GroupByKey]=OutputTable[[#This Row],[GroupByKey]])*OutputTable[RecordedValue]))</f>
        <v>0.98721163888391195</v>
      </c>
    </row>
    <row r="51" spans="1:16" x14ac:dyDescent="0.35">
      <c r="A51" t="s">
        <v>66</v>
      </c>
      <c r="B51" t="s">
        <v>98</v>
      </c>
      <c r="C51">
        <v>10</v>
      </c>
      <c r="D51" t="s">
        <v>95</v>
      </c>
      <c r="E51" t="s">
        <v>90</v>
      </c>
      <c r="F51" t="s">
        <v>96</v>
      </c>
      <c r="G51">
        <v>4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cm="1">
        <f t="array" ref="K51">IFERROR(AVERAGE(IF((OutputTable[GroupByKey]=OutputTable[[#This Row],[GroupByKey]]),(OutputTable[GroupByKey]=OutputTable[[#This Row],[GroupByKey]])*OutputTable[RecordedValue])),0)</f>
        <v>4.8600000000000003</v>
      </c>
      <c r="L51" cm="1">
        <f t="array" ref="L51">IFERROR(_xlfn.STDEV.S(IF((OutputTable[GroupByKey]=OutputTable[[#This Row],[GroupByKey]]),(OutputTable[GroupByKey]=OutputTable[[#This Row],[GroupByKey]])*OutputTable[RecordedValue])),0)</f>
        <v>1.4287142785721427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51" cm="1">
        <f t="array" ref="O51">MIN(IF((OutputTable[GroupByKey]=OutputTable[[#This Row],[GroupByKey]]),(OutputTable[GroupByKey]=OutputTable[[#This Row],[GroupByKey]])*OutputTable[RecordedValue]))</f>
        <v>2</v>
      </c>
      <c r="P51" cm="1">
        <f t="array" ref="P51">MAX(IF((OutputTable[GroupByKey]=OutputTable[[#This Row],[GroupByKey]]),(OutputTable[GroupByKey]=OutputTable[[#This Row],[GroupByKey]])*OutputTable[RecordedValue]))</f>
        <v>8</v>
      </c>
    </row>
    <row r="52" spans="1:16" x14ac:dyDescent="0.35">
      <c r="A52" t="s">
        <v>66</v>
      </c>
      <c r="B52" t="s">
        <v>98</v>
      </c>
      <c r="C52">
        <v>11</v>
      </c>
      <c r="D52" t="s">
        <v>87</v>
      </c>
      <c r="E52" t="s">
        <v>88</v>
      </c>
      <c r="F52" t="s">
        <v>71</v>
      </c>
      <c r="G52">
        <v>5</v>
      </c>
      <c r="H52">
        <v>0</v>
      </c>
      <c r="I52" t="str">
        <f>OutputTable[[#This Row],[ProjectName]]&amp;OutputTable[[#This Row],[Name]]&amp;OutputTable[[#This Row],[Type]]&amp;OutputTable[[#This Row],[Source]]</f>
        <v>Unnamed ProjectArquivos.NumberInNumber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cm="1">
        <f t="array" ref="K52">IFERROR(AVERAGE(IF((OutputTable[GroupByKey]=OutputTable[[#This Row],[GroupByKey]]),(OutputTable[GroupByKey]=OutputTable[[#This Row],[GroupByKey]])*OutputTable[RecordedValue])),0)</f>
        <v>6.32</v>
      </c>
      <c r="L52" cm="1">
        <f t="array" ref="L52">IFERROR(_xlfn.STDEV.S(IF((OutputTable[GroupByKey]=OutputTable[[#This Row],[GroupByKey]]),(OutputTable[GroupByKey]=OutputTable[[#This Row],[GroupByKey]])*OutputTable[RecordedValue])),0)</f>
        <v>1.671367520252534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52" cm="1">
        <f t="array" ref="O52">MIN(IF((OutputTable[GroupByKey]=OutputTable[[#This Row],[GroupByKey]]),(OutputTable[GroupByKey]=OutputTable[[#This Row],[GroupByKey]])*OutputTable[RecordedValue]))</f>
        <v>3</v>
      </c>
      <c r="P52" cm="1">
        <f t="array" ref="P52">MAX(IF((OutputTable[GroupByKey]=OutputTable[[#This Row],[GroupByKey]]),(OutputTable[GroupByKey]=OutputTable[[#This Row],[GroupByKey]])*OutputTable[RecordedValue]))</f>
        <v>12</v>
      </c>
    </row>
    <row r="53" spans="1:16" x14ac:dyDescent="0.35">
      <c r="A53" t="s">
        <v>66</v>
      </c>
      <c r="B53" t="s">
        <v>98</v>
      </c>
      <c r="C53">
        <v>11</v>
      </c>
      <c r="D53" t="s">
        <v>89</v>
      </c>
      <c r="E53" t="s">
        <v>90</v>
      </c>
      <c r="F53" t="s">
        <v>71</v>
      </c>
      <c r="G53">
        <v>4</v>
      </c>
      <c r="H53">
        <v>0</v>
      </c>
      <c r="I53" t="str">
        <f>OutputTable[[#This Row],[ProjectName]]&amp;OutputTable[[#This Row],[Name]]&amp;OutputTable[[#This Row],[Type]]&amp;OutputTable[[#This Row],[Source]]</f>
        <v>Unnamed ProjectArquivos.NumberOutNumber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cm="1">
        <f t="array" ref="K53">IFERROR(AVERAGE(IF((OutputTable[GroupByKey]=OutputTable[[#This Row],[GroupByKey]]),(OutputTable[GroupByKey]=OutputTable[[#This Row],[GroupByKey]])*OutputTable[RecordedValue])),0)</f>
        <v>4.8600000000000003</v>
      </c>
      <c r="L53" cm="1">
        <f t="array" ref="L53">IFERROR(_xlfn.STDEV.S(IF((OutputTable[GroupByKey]=OutputTable[[#This Row],[GroupByKey]]),(OutputTable[GroupByKey]=OutputTable[[#This Row],[GroupByKey]])*OutputTable[RecordedValue])),0)</f>
        <v>1.4287142785721427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53" cm="1">
        <f t="array" ref="O53">MIN(IF((OutputTable[GroupByKey]=OutputTable[[#This Row],[GroupByKey]]),(OutputTable[GroupByKey]=OutputTable[[#This Row],[GroupByKey]])*OutputTable[RecordedValue]))</f>
        <v>2</v>
      </c>
      <c r="P53" cm="1">
        <f t="array" ref="P53">MAX(IF((OutputTable[GroupByKey]=OutputTable[[#This Row],[GroupByKey]]),(OutputTable[GroupByKey]=OutputTable[[#This Row],[GroupByKey]])*OutputTable[RecordedValue]))</f>
        <v>8</v>
      </c>
    </row>
    <row r="54" spans="1:16" x14ac:dyDescent="0.35">
      <c r="A54" t="s">
        <v>66</v>
      </c>
      <c r="B54" t="s">
        <v>98</v>
      </c>
      <c r="C54">
        <v>11</v>
      </c>
      <c r="D54" t="s">
        <v>91</v>
      </c>
      <c r="E54" t="s">
        <v>92</v>
      </c>
      <c r="F54" t="s">
        <v>84</v>
      </c>
      <c r="G54">
        <v>5</v>
      </c>
      <c r="H54">
        <v>0</v>
      </c>
      <c r="I54" t="str">
        <f>OutputTable[[#This Row],[ProjectName]]&amp;OutputTable[[#This Row],[Name]]&amp;OutputTable[[#This Row],[Type]]&amp;OutputTable[[#This Row],[Source]]</f>
        <v>Unnamed ProjectOperador.NumberSeizedTotal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cm="1">
        <f t="array" ref="K54">IFERROR(AVERAGE(IF((OutputTable[GroupByKey]=OutputTable[[#This Row],[GroupByKey]]),(OutputTable[GroupByKey]=OutputTable[[#This Row],[GroupByKey]])*OutputTable[RecordedValue])),0)</f>
        <v>6.14</v>
      </c>
      <c r="L54" cm="1">
        <f t="array" ref="L54">IFERROR(_xlfn.STDEV.S(IF((OutputTable[GroupByKey]=OutputTable[[#This Row],[GroupByKey]]),(OutputTable[GroupByKey]=OutputTable[[#This Row],[GroupByKey]])*OutputTable[RecordedValue])),0)</f>
        <v>1.4984345572793558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54" cm="1">
        <f t="array" ref="O54">MIN(IF((OutputTable[GroupByKey]=OutputTable[[#This Row],[GroupByKey]]),(OutputTable[GroupByKey]=OutputTable[[#This Row],[GroupByKey]])*OutputTable[RecordedValue]))</f>
        <v>3</v>
      </c>
      <c r="P54" cm="1">
        <f t="array" ref="P54">MAX(IF((OutputTable[GroupByKey]=OutputTable[[#This Row],[GroupByKey]]),(OutputTable[GroupByKey]=OutputTable[[#This Row],[GroupByKey]])*OutputTable[RecordedValue]))</f>
        <v>9</v>
      </c>
    </row>
    <row r="55" spans="1:16" x14ac:dyDescent="0.35">
      <c r="A55" t="s">
        <v>66</v>
      </c>
      <c r="B55" t="s">
        <v>98</v>
      </c>
      <c r="C55">
        <v>11</v>
      </c>
      <c r="D55" t="s">
        <v>93</v>
      </c>
      <c r="E55" t="s">
        <v>94</v>
      </c>
      <c r="F55" t="s">
        <v>84</v>
      </c>
      <c r="G55">
        <v>0.51467783653791599</v>
      </c>
      <c r="H55">
        <v>0</v>
      </c>
      <c r="I5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cm="1">
        <f t="array" ref="K55">IFERROR(AVERAGE(IF((OutputTable[GroupByKey]=OutputTable[[#This Row],[GroupByKey]]),(OutputTable[GroupByKey]=OutputTable[[#This Row],[GroupByKey]])*OutputTable[RecordedValue])),0)</f>
        <v>0.63912553924181559</v>
      </c>
      <c r="L55" cm="1">
        <f t="array" ref="L55">IFERROR(_xlfn.STDEV.S(IF((OutputTable[GroupByKey]=OutputTable[[#This Row],[GroupByKey]]),(OutputTable[GroupByKey]=OutputTable[[#This Row],[GroupByKey]])*OutputTable[RecordedValue])),0)</f>
        <v>0.16841036655083153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55" cm="1">
        <f t="array" ref="O55">MIN(IF((OutputTable[GroupByKey]=OutputTable[[#This Row],[GroupByKey]]),(OutputTable[GroupByKey]=OutputTable[[#This Row],[GroupByKey]])*OutputTable[RecordedValue]))</f>
        <v>0.30856555337021802</v>
      </c>
      <c r="P55" cm="1">
        <f t="array" ref="P55">MAX(IF((OutputTable[GroupByKey]=OutputTable[[#This Row],[GroupByKey]]),(OutputTable[GroupByKey]=OutputTable[[#This Row],[GroupByKey]])*OutputTable[RecordedValue]))</f>
        <v>0.98721163888391195</v>
      </c>
    </row>
    <row r="56" spans="1:16" x14ac:dyDescent="0.35">
      <c r="A56" t="s">
        <v>66</v>
      </c>
      <c r="B56" t="s">
        <v>98</v>
      </c>
      <c r="C56">
        <v>11</v>
      </c>
      <c r="D56" t="s">
        <v>95</v>
      </c>
      <c r="E56" t="s">
        <v>90</v>
      </c>
      <c r="F56" t="s">
        <v>96</v>
      </c>
      <c r="G56">
        <v>4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cm="1">
        <f t="array" ref="K56">IFERROR(AVERAGE(IF((OutputTable[GroupByKey]=OutputTable[[#This Row],[GroupByKey]]),(OutputTable[GroupByKey]=OutputTable[[#This Row],[GroupByKey]])*OutputTable[RecordedValue])),0)</f>
        <v>4.8600000000000003</v>
      </c>
      <c r="L56" cm="1">
        <f t="array" ref="L56">IFERROR(_xlfn.STDEV.S(IF((OutputTable[GroupByKey]=OutputTable[[#This Row],[GroupByKey]]),(OutputTable[GroupByKey]=OutputTable[[#This Row],[GroupByKey]])*OutputTable[RecordedValue])),0)</f>
        <v>1.4287142785721427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56" cm="1">
        <f t="array" ref="O56">MIN(IF((OutputTable[GroupByKey]=OutputTable[[#This Row],[GroupByKey]]),(OutputTable[GroupByKey]=OutputTable[[#This Row],[GroupByKey]])*OutputTable[RecordedValue]))</f>
        <v>2</v>
      </c>
      <c r="P56" cm="1">
        <f t="array" ref="P56">MAX(IF((OutputTable[GroupByKey]=OutputTable[[#This Row],[GroupByKey]]),(OutputTable[GroupByKey]=OutputTable[[#This Row],[GroupByKey]])*OutputTable[RecordedValue]))</f>
        <v>8</v>
      </c>
    </row>
    <row r="57" spans="1:16" x14ac:dyDescent="0.35">
      <c r="A57" t="s">
        <v>66</v>
      </c>
      <c r="B57" t="s">
        <v>98</v>
      </c>
      <c r="C57">
        <v>12</v>
      </c>
      <c r="D57" t="s">
        <v>87</v>
      </c>
      <c r="E57" t="s">
        <v>88</v>
      </c>
      <c r="F57" t="s">
        <v>71</v>
      </c>
      <c r="G57">
        <v>5</v>
      </c>
      <c r="H57">
        <v>0</v>
      </c>
      <c r="I57" t="str">
        <f>OutputTable[[#This Row],[ProjectName]]&amp;OutputTable[[#This Row],[Name]]&amp;OutputTable[[#This Row],[Type]]&amp;OutputTable[[#This Row],[Source]]</f>
        <v>Unnamed ProjectArquivos.NumberInNumber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cm="1">
        <f t="array" ref="K57">IFERROR(AVERAGE(IF((OutputTable[GroupByKey]=OutputTable[[#This Row],[GroupByKey]]),(OutputTable[GroupByKey]=OutputTable[[#This Row],[GroupByKey]])*OutputTable[RecordedValue])),0)</f>
        <v>6.32</v>
      </c>
      <c r="L57" cm="1">
        <f t="array" ref="L57">IFERROR(_xlfn.STDEV.S(IF((OutputTable[GroupByKey]=OutputTable[[#This Row],[GroupByKey]]),(OutputTable[GroupByKey]=OutputTable[[#This Row],[GroupByKey]])*OutputTable[RecordedValue])),0)</f>
        <v>1.671367520252534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57" cm="1">
        <f t="array" ref="O57">MIN(IF((OutputTable[GroupByKey]=OutputTable[[#This Row],[GroupByKey]]),(OutputTable[GroupByKey]=OutputTable[[#This Row],[GroupByKey]])*OutputTable[RecordedValue]))</f>
        <v>3</v>
      </c>
      <c r="P57" cm="1">
        <f t="array" ref="P57">MAX(IF((OutputTable[GroupByKey]=OutputTable[[#This Row],[GroupByKey]]),(OutputTable[GroupByKey]=OutputTable[[#This Row],[GroupByKey]])*OutputTable[RecordedValue]))</f>
        <v>12</v>
      </c>
    </row>
    <row r="58" spans="1:16" x14ac:dyDescent="0.35">
      <c r="A58" t="s">
        <v>66</v>
      </c>
      <c r="B58" t="s">
        <v>98</v>
      </c>
      <c r="C58">
        <v>12</v>
      </c>
      <c r="D58" t="s">
        <v>89</v>
      </c>
      <c r="E58" t="s">
        <v>90</v>
      </c>
      <c r="F58" t="s">
        <v>71</v>
      </c>
      <c r="G58">
        <v>4</v>
      </c>
      <c r="H58">
        <v>0</v>
      </c>
      <c r="I58" t="str">
        <f>OutputTable[[#This Row],[ProjectName]]&amp;OutputTable[[#This Row],[Name]]&amp;OutputTable[[#This Row],[Type]]&amp;OutputTable[[#This Row],[Source]]</f>
        <v>Unnamed ProjectArquivos.NumberOutNumber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cm="1">
        <f t="array" ref="K58">IFERROR(AVERAGE(IF((OutputTable[GroupByKey]=OutputTable[[#This Row],[GroupByKey]]),(OutputTable[GroupByKey]=OutputTable[[#This Row],[GroupByKey]])*OutputTable[RecordedValue])),0)</f>
        <v>4.8600000000000003</v>
      </c>
      <c r="L58" cm="1">
        <f t="array" ref="L58">IFERROR(_xlfn.STDEV.S(IF((OutputTable[GroupByKey]=OutputTable[[#This Row],[GroupByKey]]),(OutputTable[GroupByKey]=OutputTable[[#This Row],[GroupByKey]])*OutputTable[RecordedValue])),0)</f>
        <v>1.4287142785721427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58" cm="1">
        <f t="array" ref="O58">MIN(IF((OutputTable[GroupByKey]=OutputTable[[#This Row],[GroupByKey]]),(OutputTable[GroupByKey]=OutputTable[[#This Row],[GroupByKey]])*OutputTable[RecordedValue]))</f>
        <v>2</v>
      </c>
      <c r="P58" cm="1">
        <f t="array" ref="P58">MAX(IF((OutputTable[GroupByKey]=OutputTable[[#This Row],[GroupByKey]]),(OutputTable[GroupByKey]=OutputTable[[#This Row],[GroupByKey]])*OutputTable[RecordedValue]))</f>
        <v>8</v>
      </c>
    </row>
    <row r="59" spans="1:16" x14ac:dyDescent="0.35">
      <c r="A59" t="s">
        <v>66</v>
      </c>
      <c r="B59" t="s">
        <v>98</v>
      </c>
      <c r="C59">
        <v>12</v>
      </c>
      <c r="D59" t="s">
        <v>91</v>
      </c>
      <c r="E59" t="s">
        <v>92</v>
      </c>
      <c r="F59" t="s">
        <v>84</v>
      </c>
      <c r="G59">
        <v>5</v>
      </c>
      <c r="H59">
        <v>0</v>
      </c>
      <c r="I59" t="str">
        <f>OutputTable[[#This Row],[ProjectName]]&amp;OutputTable[[#This Row],[Name]]&amp;OutputTable[[#This Row],[Type]]&amp;OutputTable[[#This Row],[Source]]</f>
        <v>Unnamed ProjectOperador.NumberSeizedTotal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cm="1">
        <f t="array" ref="K59">IFERROR(AVERAGE(IF((OutputTable[GroupByKey]=OutputTable[[#This Row],[GroupByKey]]),(OutputTable[GroupByKey]=OutputTable[[#This Row],[GroupByKey]])*OutputTable[RecordedValue])),0)</f>
        <v>6.14</v>
      </c>
      <c r="L59" cm="1">
        <f t="array" ref="L59">IFERROR(_xlfn.STDEV.S(IF((OutputTable[GroupByKey]=OutputTable[[#This Row],[GroupByKey]]),(OutputTable[GroupByKey]=OutputTable[[#This Row],[GroupByKey]])*OutputTable[RecordedValue])),0)</f>
        <v>1.4984345572793558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59" cm="1">
        <f t="array" ref="O59">MIN(IF((OutputTable[GroupByKey]=OutputTable[[#This Row],[GroupByKey]]),(OutputTable[GroupByKey]=OutputTable[[#This Row],[GroupByKey]])*OutputTable[RecordedValue]))</f>
        <v>3</v>
      </c>
      <c r="P59" cm="1">
        <f t="array" ref="P59">MAX(IF((OutputTable[GroupByKey]=OutputTable[[#This Row],[GroupByKey]]),(OutputTable[GroupByKey]=OutputTable[[#This Row],[GroupByKey]])*OutputTable[RecordedValue]))</f>
        <v>9</v>
      </c>
    </row>
    <row r="60" spans="1:16" x14ac:dyDescent="0.35">
      <c r="A60" t="s">
        <v>66</v>
      </c>
      <c r="B60" t="s">
        <v>98</v>
      </c>
      <c r="C60">
        <v>12</v>
      </c>
      <c r="D60" t="s">
        <v>93</v>
      </c>
      <c r="E60" t="s">
        <v>94</v>
      </c>
      <c r="F60" t="s">
        <v>84</v>
      </c>
      <c r="G60">
        <v>0.42589200055655302</v>
      </c>
      <c r="H60">
        <v>0</v>
      </c>
      <c r="I6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cm="1">
        <f t="array" ref="K60">IFERROR(AVERAGE(IF((OutputTable[GroupByKey]=OutputTable[[#This Row],[GroupByKey]]),(OutputTable[GroupByKey]=OutputTable[[#This Row],[GroupByKey]])*OutputTable[RecordedValue])),0)</f>
        <v>0.63912553924181559</v>
      </c>
      <c r="L60" cm="1">
        <f t="array" ref="L60">IFERROR(_xlfn.STDEV.S(IF((OutputTable[GroupByKey]=OutputTable[[#This Row],[GroupByKey]]),(OutputTable[GroupByKey]=OutputTable[[#This Row],[GroupByKey]])*OutputTable[RecordedValue])),0)</f>
        <v>0.16841036655083153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60" cm="1">
        <f t="array" ref="O60">MIN(IF((OutputTable[GroupByKey]=OutputTable[[#This Row],[GroupByKey]]),(OutputTable[GroupByKey]=OutputTable[[#This Row],[GroupByKey]])*OutputTable[RecordedValue]))</f>
        <v>0.30856555337021802</v>
      </c>
      <c r="P60" cm="1">
        <f t="array" ref="P60">MAX(IF((OutputTable[GroupByKey]=OutputTable[[#This Row],[GroupByKey]]),(OutputTable[GroupByKey]=OutputTable[[#This Row],[GroupByKey]])*OutputTable[RecordedValue]))</f>
        <v>0.98721163888391195</v>
      </c>
    </row>
    <row r="61" spans="1:16" x14ac:dyDescent="0.35">
      <c r="A61" t="s">
        <v>66</v>
      </c>
      <c r="B61" t="s">
        <v>98</v>
      </c>
      <c r="C61">
        <v>12</v>
      </c>
      <c r="D61" t="s">
        <v>95</v>
      </c>
      <c r="E61" t="s">
        <v>90</v>
      </c>
      <c r="F61" t="s">
        <v>96</v>
      </c>
      <c r="G61">
        <v>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cm="1">
        <f t="array" ref="K61">IFERROR(AVERAGE(IF((OutputTable[GroupByKey]=OutputTable[[#This Row],[GroupByKey]]),(OutputTable[GroupByKey]=OutputTable[[#This Row],[GroupByKey]])*OutputTable[RecordedValue])),0)</f>
        <v>4.8600000000000003</v>
      </c>
      <c r="L61" cm="1">
        <f t="array" ref="L61">IFERROR(_xlfn.STDEV.S(IF((OutputTable[GroupByKey]=OutputTable[[#This Row],[GroupByKey]]),(OutputTable[GroupByKey]=OutputTable[[#This Row],[GroupByKey]])*OutputTable[RecordedValue])),0)</f>
        <v>1.4287142785721427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61" cm="1">
        <f t="array" ref="O61">MIN(IF((OutputTable[GroupByKey]=OutputTable[[#This Row],[GroupByKey]]),(OutputTable[GroupByKey]=OutputTable[[#This Row],[GroupByKey]])*OutputTable[RecordedValue]))</f>
        <v>2</v>
      </c>
      <c r="P61" cm="1">
        <f t="array" ref="P61">MAX(IF((OutputTable[GroupByKey]=OutputTable[[#This Row],[GroupByKey]]),(OutputTable[GroupByKey]=OutputTable[[#This Row],[GroupByKey]])*OutputTable[RecordedValue]))</f>
        <v>8</v>
      </c>
    </row>
    <row r="62" spans="1:16" x14ac:dyDescent="0.35">
      <c r="A62" t="s">
        <v>66</v>
      </c>
      <c r="B62" t="s">
        <v>98</v>
      </c>
      <c r="C62">
        <v>13</v>
      </c>
      <c r="D62" t="s">
        <v>87</v>
      </c>
      <c r="E62" t="s">
        <v>88</v>
      </c>
      <c r="F62" t="s">
        <v>71</v>
      </c>
      <c r="G62">
        <v>6</v>
      </c>
      <c r="H62">
        <v>0</v>
      </c>
      <c r="I62" t="str">
        <f>OutputTable[[#This Row],[ProjectName]]&amp;OutputTable[[#This Row],[Name]]&amp;OutputTable[[#This Row],[Type]]&amp;OutputTable[[#This Row],[Source]]</f>
        <v>Unnamed ProjectArquivos.NumberInNumber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cm="1">
        <f t="array" ref="K62">IFERROR(AVERAGE(IF((OutputTable[GroupByKey]=OutputTable[[#This Row],[GroupByKey]]),(OutputTable[GroupByKey]=OutputTable[[#This Row],[GroupByKey]])*OutputTable[RecordedValue])),0)</f>
        <v>6.32</v>
      </c>
      <c r="L62" cm="1">
        <f t="array" ref="L62">IFERROR(_xlfn.STDEV.S(IF((OutputTable[GroupByKey]=OutputTable[[#This Row],[GroupByKey]]),(OutputTable[GroupByKey]=OutputTable[[#This Row],[GroupByKey]])*OutputTable[RecordedValue])),0)</f>
        <v>1.671367520252534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62" cm="1">
        <f t="array" ref="O62">MIN(IF((OutputTable[GroupByKey]=OutputTable[[#This Row],[GroupByKey]]),(OutputTable[GroupByKey]=OutputTable[[#This Row],[GroupByKey]])*OutputTable[RecordedValue]))</f>
        <v>3</v>
      </c>
      <c r="P62" cm="1">
        <f t="array" ref="P62">MAX(IF((OutputTable[GroupByKey]=OutputTable[[#This Row],[GroupByKey]]),(OutputTable[GroupByKey]=OutputTable[[#This Row],[GroupByKey]])*OutputTable[RecordedValue]))</f>
        <v>12</v>
      </c>
    </row>
    <row r="63" spans="1:16" x14ac:dyDescent="0.35">
      <c r="A63" t="s">
        <v>66</v>
      </c>
      <c r="B63" t="s">
        <v>98</v>
      </c>
      <c r="C63">
        <v>13</v>
      </c>
      <c r="D63" t="s">
        <v>89</v>
      </c>
      <c r="E63" t="s">
        <v>90</v>
      </c>
      <c r="F63" t="s">
        <v>71</v>
      </c>
      <c r="G63">
        <v>4</v>
      </c>
      <c r="H63">
        <v>0</v>
      </c>
      <c r="I63" t="str">
        <f>OutputTable[[#This Row],[ProjectName]]&amp;OutputTable[[#This Row],[Name]]&amp;OutputTable[[#This Row],[Type]]&amp;OutputTable[[#This Row],[Source]]</f>
        <v>Unnamed ProjectArquivos.NumberOutNumber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cm="1">
        <f t="array" ref="K63">IFERROR(AVERAGE(IF((OutputTable[GroupByKey]=OutputTable[[#This Row],[GroupByKey]]),(OutputTable[GroupByKey]=OutputTable[[#This Row],[GroupByKey]])*OutputTable[RecordedValue])),0)</f>
        <v>4.8600000000000003</v>
      </c>
      <c r="L63" cm="1">
        <f t="array" ref="L63">IFERROR(_xlfn.STDEV.S(IF((OutputTable[GroupByKey]=OutputTable[[#This Row],[GroupByKey]]),(OutputTable[GroupByKey]=OutputTable[[#This Row],[GroupByKey]])*OutputTable[RecordedValue])),0)</f>
        <v>1.4287142785721427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63" cm="1">
        <f t="array" ref="O63">MIN(IF((OutputTable[GroupByKey]=OutputTable[[#This Row],[GroupByKey]]),(OutputTable[GroupByKey]=OutputTable[[#This Row],[GroupByKey]])*OutputTable[RecordedValue]))</f>
        <v>2</v>
      </c>
      <c r="P63" cm="1">
        <f t="array" ref="P63">MAX(IF((OutputTable[GroupByKey]=OutputTable[[#This Row],[GroupByKey]]),(OutputTable[GroupByKey]=OutputTable[[#This Row],[GroupByKey]])*OutputTable[RecordedValue]))</f>
        <v>8</v>
      </c>
    </row>
    <row r="64" spans="1:16" x14ac:dyDescent="0.35">
      <c r="A64" t="s">
        <v>66</v>
      </c>
      <c r="B64" t="s">
        <v>98</v>
      </c>
      <c r="C64">
        <v>13</v>
      </c>
      <c r="D64" t="s">
        <v>91</v>
      </c>
      <c r="E64" t="s">
        <v>92</v>
      </c>
      <c r="F64" t="s">
        <v>84</v>
      </c>
      <c r="G64">
        <v>6</v>
      </c>
      <c r="H64">
        <v>0</v>
      </c>
      <c r="I64" t="str">
        <f>OutputTable[[#This Row],[ProjectName]]&amp;OutputTable[[#This Row],[Name]]&amp;OutputTable[[#This Row],[Type]]&amp;OutputTable[[#This Row],[Source]]</f>
        <v>Unnamed ProjectOperador.NumberSeizedTotal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cm="1">
        <f t="array" ref="K64">IFERROR(AVERAGE(IF((OutputTable[GroupByKey]=OutputTable[[#This Row],[GroupByKey]]),(OutputTable[GroupByKey]=OutputTable[[#This Row],[GroupByKey]])*OutputTable[RecordedValue])),0)</f>
        <v>6.14</v>
      </c>
      <c r="L64" cm="1">
        <f t="array" ref="L64">IFERROR(_xlfn.STDEV.S(IF((OutputTable[GroupByKey]=OutputTable[[#This Row],[GroupByKey]]),(OutputTable[GroupByKey]=OutputTable[[#This Row],[GroupByKey]])*OutputTable[RecordedValue])),0)</f>
        <v>1.4984345572793558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64" cm="1">
        <f t="array" ref="O64">MIN(IF((OutputTable[GroupByKey]=OutputTable[[#This Row],[GroupByKey]]),(OutputTable[GroupByKey]=OutputTable[[#This Row],[GroupByKey]])*OutputTable[RecordedValue]))</f>
        <v>3</v>
      </c>
      <c r="P64" cm="1">
        <f t="array" ref="P64">MAX(IF((OutputTable[GroupByKey]=OutputTable[[#This Row],[GroupByKey]]),(OutputTable[GroupByKey]=OutputTable[[#This Row],[GroupByKey]])*OutputTable[RecordedValue]))</f>
        <v>9</v>
      </c>
    </row>
    <row r="65" spans="1:16" x14ac:dyDescent="0.35">
      <c r="A65" t="s">
        <v>66</v>
      </c>
      <c r="B65" t="s">
        <v>98</v>
      </c>
      <c r="C65">
        <v>13</v>
      </c>
      <c r="D65" t="s">
        <v>93</v>
      </c>
      <c r="E65" t="s">
        <v>94</v>
      </c>
      <c r="F65" t="s">
        <v>84</v>
      </c>
      <c r="G65">
        <v>0.55647233991455003</v>
      </c>
      <c r="H65">
        <v>0</v>
      </c>
      <c r="I6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cm="1">
        <f t="array" ref="K65">IFERROR(AVERAGE(IF((OutputTable[GroupByKey]=OutputTable[[#This Row],[GroupByKey]]),(OutputTable[GroupByKey]=OutputTable[[#This Row],[GroupByKey]])*OutputTable[RecordedValue])),0)</f>
        <v>0.63912553924181559</v>
      </c>
      <c r="L65" cm="1">
        <f t="array" ref="L65">IFERROR(_xlfn.STDEV.S(IF((OutputTable[GroupByKey]=OutputTable[[#This Row],[GroupByKey]]),(OutputTable[GroupByKey]=OutputTable[[#This Row],[GroupByKey]])*OutputTable[RecordedValue])),0)</f>
        <v>0.16841036655083153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65" cm="1">
        <f t="array" ref="O65">MIN(IF((OutputTable[GroupByKey]=OutputTable[[#This Row],[GroupByKey]]),(OutputTable[GroupByKey]=OutputTable[[#This Row],[GroupByKey]])*OutputTable[RecordedValue]))</f>
        <v>0.30856555337021802</v>
      </c>
      <c r="P65" cm="1">
        <f t="array" ref="P65">MAX(IF((OutputTable[GroupByKey]=OutputTable[[#This Row],[GroupByKey]]),(OutputTable[GroupByKey]=OutputTable[[#This Row],[GroupByKey]])*OutputTable[RecordedValue]))</f>
        <v>0.98721163888391195</v>
      </c>
    </row>
    <row r="66" spans="1:16" x14ac:dyDescent="0.35">
      <c r="A66" t="s">
        <v>66</v>
      </c>
      <c r="B66" t="s">
        <v>98</v>
      </c>
      <c r="C66">
        <v>13</v>
      </c>
      <c r="D66" t="s">
        <v>95</v>
      </c>
      <c r="E66" t="s">
        <v>90</v>
      </c>
      <c r="F66" t="s">
        <v>96</v>
      </c>
      <c r="G66">
        <v>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cm="1">
        <f t="array" ref="K66">IFERROR(AVERAGE(IF((OutputTable[GroupByKey]=OutputTable[[#This Row],[GroupByKey]]),(OutputTable[GroupByKey]=OutputTable[[#This Row],[GroupByKey]])*OutputTable[RecordedValue])),0)</f>
        <v>4.8600000000000003</v>
      </c>
      <c r="L66" cm="1">
        <f t="array" ref="L66">IFERROR(_xlfn.STDEV.S(IF((OutputTable[GroupByKey]=OutputTable[[#This Row],[GroupByKey]]),(OutputTable[GroupByKey]=OutputTable[[#This Row],[GroupByKey]])*OutputTable[RecordedValue])),0)</f>
        <v>1.4287142785721427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66" cm="1">
        <f t="array" ref="O66">MIN(IF((OutputTable[GroupByKey]=OutputTable[[#This Row],[GroupByKey]]),(OutputTable[GroupByKey]=OutputTable[[#This Row],[GroupByKey]])*OutputTable[RecordedValue]))</f>
        <v>2</v>
      </c>
      <c r="P66" cm="1">
        <f t="array" ref="P66">MAX(IF((OutputTable[GroupByKey]=OutputTable[[#This Row],[GroupByKey]]),(OutputTable[GroupByKey]=OutputTable[[#This Row],[GroupByKey]])*OutputTable[RecordedValue]))</f>
        <v>8</v>
      </c>
    </row>
    <row r="67" spans="1:16" x14ac:dyDescent="0.35">
      <c r="A67" t="s">
        <v>66</v>
      </c>
      <c r="B67" t="s">
        <v>98</v>
      </c>
      <c r="C67">
        <v>14</v>
      </c>
      <c r="D67" t="s">
        <v>87</v>
      </c>
      <c r="E67" t="s">
        <v>88</v>
      </c>
      <c r="F67" t="s">
        <v>71</v>
      </c>
      <c r="G67">
        <v>8</v>
      </c>
      <c r="H67">
        <v>0</v>
      </c>
      <c r="I67" t="str">
        <f>OutputTable[[#This Row],[ProjectName]]&amp;OutputTable[[#This Row],[Name]]&amp;OutputTable[[#This Row],[Type]]&amp;OutputTable[[#This Row],[Source]]</f>
        <v>Unnamed ProjectArquivos.NumberInNumber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cm="1">
        <f t="array" ref="K67">IFERROR(AVERAGE(IF((OutputTable[GroupByKey]=OutputTable[[#This Row],[GroupByKey]]),(OutputTable[GroupByKey]=OutputTable[[#This Row],[GroupByKey]])*OutputTable[RecordedValue])),0)</f>
        <v>6.32</v>
      </c>
      <c r="L67" cm="1">
        <f t="array" ref="L67">IFERROR(_xlfn.STDEV.S(IF((OutputTable[GroupByKey]=OutputTable[[#This Row],[GroupByKey]]),(OutputTable[GroupByKey]=OutputTable[[#This Row],[GroupByKey]])*OutputTable[RecordedValue])),0)</f>
        <v>1.671367520252534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67" cm="1">
        <f t="array" ref="O67">MIN(IF((OutputTable[GroupByKey]=OutputTable[[#This Row],[GroupByKey]]),(OutputTable[GroupByKey]=OutputTable[[#This Row],[GroupByKey]])*OutputTable[RecordedValue]))</f>
        <v>3</v>
      </c>
      <c r="P67" cm="1">
        <f t="array" ref="P67">MAX(IF((OutputTable[GroupByKey]=OutputTable[[#This Row],[GroupByKey]]),(OutputTable[GroupByKey]=OutputTable[[#This Row],[GroupByKey]])*OutputTable[RecordedValue]))</f>
        <v>12</v>
      </c>
    </row>
    <row r="68" spans="1:16" x14ac:dyDescent="0.35">
      <c r="A68" t="s">
        <v>66</v>
      </c>
      <c r="B68" t="s">
        <v>98</v>
      </c>
      <c r="C68">
        <v>14</v>
      </c>
      <c r="D68" t="s">
        <v>89</v>
      </c>
      <c r="E68" t="s">
        <v>90</v>
      </c>
      <c r="F68" t="s">
        <v>71</v>
      </c>
      <c r="G68">
        <v>6</v>
      </c>
      <c r="H68">
        <v>0</v>
      </c>
      <c r="I68" t="str">
        <f>OutputTable[[#This Row],[ProjectName]]&amp;OutputTable[[#This Row],[Name]]&amp;OutputTable[[#This Row],[Type]]&amp;OutputTable[[#This Row],[Source]]</f>
        <v>Unnamed ProjectArquivos.NumberOutNumber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cm="1">
        <f t="array" ref="K68">IFERROR(AVERAGE(IF((OutputTable[GroupByKey]=OutputTable[[#This Row],[GroupByKey]]),(OutputTable[GroupByKey]=OutputTable[[#This Row],[GroupByKey]])*OutputTable[RecordedValue])),0)</f>
        <v>4.8600000000000003</v>
      </c>
      <c r="L68" cm="1">
        <f t="array" ref="L68">IFERROR(_xlfn.STDEV.S(IF((OutputTable[GroupByKey]=OutputTable[[#This Row],[GroupByKey]]),(OutputTable[GroupByKey]=OutputTable[[#This Row],[GroupByKey]])*OutputTable[RecordedValue])),0)</f>
        <v>1.4287142785721427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68" cm="1">
        <f t="array" ref="O68">MIN(IF((OutputTable[GroupByKey]=OutputTable[[#This Row],[GroupByKey]]),(OutputTable[GroupByKey]=OutputTable[[#This Row],[GroupByKey]])*OutputTable[RecordedValue]))</f>
        <v>2</v>
      </c>
      <c r="P68" cm="1">
        <f t="array" ref="P68">MAX(IF((OutputTable[GroupByKey]=OutputTable[[#This Row],[GroupByKey]]),(OutputTable[GroupByKey]=OutputTable[[#This Row],[GroupByKey]])*OutputTable[RecordedValue]))</f>
        <v>8</v>
      </c>
    </row>
    <row r="69" spans="1:16" x14ac:dyDescent="0.35">
      <c r="A69" t="s">
        <v>66</v>
      </c>
      <c r="B69" t="s">
        <v>98</v>
      </c>
      <c r="C69">
        <v>14</v>
      </c>
      <c r="D69" t="s">
        <v>91</v>
      </c>
      <c r="E69" t="s">
        <v>92</v>
      </c>
      <c r="F69" t="s">
        <v>84</v>
      </c>
      <c r="G69">
        <v>8</v>
      </c>
      <c r="H69">
        <v>0</v>
      </c>
      <c r="I69" t="str">
        <f>OutputTable[[#This Row],[ProjectName]]&amp;OutputTable[[#This Row],[Name]]&amp;OutputTable[[#This Row],[Type]]&amp;OutputTable[[#This Row],[Source]]</f>
        <v>Unnamed ProjectOperador.NumberSeizedTotal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cm="1">
        <f t="array" ref="K69">IFERROR(AVERAGE(IF((OutputTable[GroupByKey]=OutputTable[[#This Row],[GroupByKey]]),(OutputTable[GroupByKey]=OutputTable[[#This Row],[GroupByKey]])*OutputTable[RecordedValue])),0)</f>
        <v>6.14</v>
      </c>
      <c r="L69" cm="1">
        <f t="array" ref="L69">IFERROR(_xlfn.STDEV.S(IF((OutputTable[GroupByKey]=OutputTable[[#This Row],[GroupByKey]]),(OutputTable[GroupByKey]=OutputTable[[#This Row],[GroupByKey]])*OutputTable[RecordedValue])),0)</f>
        <v>1.4984345572793558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69" cm="1">
        <f t="array" ref="O69">MIN(IF((OutputTable[GroupByKey]=OutputTable[[#This Row],[GroupByKey]]),(OutputTable[GroupByKey]=OutputTable[[#This Row],[GroupByKey]])*OutputTable[RecordedValue]))</f>
        <v>3</v>
      </c>
      <c r="P69" cm="1">
        <f t="array" ref="P69">MAX(IF((OutputTable[GroupByKey]=OutputTable[[#This Row],[GroupByKey]]),(OutputTable[GroupByKey]=OutputTable[[#This Row],[GroupByKey]])*OutputTable[RecordedValue]))</f>
        <v>9</v>
      </c>
    </row>
    <row r="70" spans="1:16" x14ac:dyDescent="0.35">
      <c r="A70" t="s">
        <v>66</v>
      </c>
      <c r="B70" t="s">
        <v>98</v>
      </c>
      <c r="C70">
        <v>14</v>
      </c>
      <c r="D70" t="s">
        <v>93</v>
      </c>
      <c r="E70" t="s">
        <v>94</v>
      </c>
      <c r="F70" t="s">
        <v>84</v>
      </c>
      <c r="G70">
        <v>0.80631165828594598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cm="1">
        <f t="array" ref="K70">IFERROR(AVERAGE(IF((OutputTable[GroupByKey]=OutputTable[[#This Row],[GroupByKey]]),(OutputTable[GroupByKey]=OutputTable[[#This Row],[GroupByKey]])*OutputTable[RecordedValue])),0)</f>
        <v>0.63912553924181559</v>
      </c>
      <c r="L70" cm="1">
        <f t="array" ref="L70">IFERROR(_xlfn.STDEV.S(IF((OutputTable[GroupByKey]=OutputTable[[#This Row],[GroupByKey]]),(OutputTable[GroupByKey]=OutputTable[[#This Row],[GroupByKey]])*OutputTable[RecordedValue])),0)</f>
        <v>0.16841036655083153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70" cm="1">
        <f t="array" ref="O70">MIN(IF((OutputTable[GroupByKey]=OutputTable[[#This Row],[GroupByKey]]),(OutputTable[GroupByKey]=OutputTable[[#This Row],[GroupByKey]])*OutputTable[RecordedValue]))</f>
        <v>0.30856555337021802</v>
      </c>
      <c r="P70" cm="1">
        <f t="array" ref="P70">MAX(IF((OutputTable[GroupByKey]=OutputTable[[#This Row],[GroupByKey]]),(OutputTable[GroupByKey]=OutputTable[[#This Row],[GroupByKey]])*OutputTable[RecordedValue]))</f>
        <v>0.98721163888391195</v>
      </c>
    </row>
    <row r="71" spans="1:16" x14ac:dyDescent="0.35">
      <c r="A71" t="s">
        <v>66</v>
      </c>
      <c r="B71" t="s">
        <v>98</v>
      </c>
      <c r="C71">
        <v>14</v>
      </c>
      <c r="D71" t="s">
        <v>95</v>
      </c>
      <c r="E71" t="s">
        <v>90</v>
      </c>
      <c r="F71" t="s">
        <v>96</v>
      </c>
      <c r="G71">
        <v>6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cm="1">
        <f t="array" ref="K71">IFERROR(AVERAGE(IF((OutputTable[GroupByKey]=OutputTable[[#This Row],[GroupByKey]]),(OutputTable[GroupByKey]=OutputTable[[#This Row],[GroupByKey]])*OutputTable[RecordedValue])),0)</f>
        <v>4.8600000000000003</v>
      </c>
      <c r="L71" cm="1">
        <f t="array" ref="L71">IFERROR(_xlfn.STDEV.S(IF((OutputTable[GroupByKey]=OutputTable[[#This Row],[GroupByKey]]),(OutputTable[GroupByKey]=OutputTable[[#This Row],[GroupByKey]])*OutputTable[RecordedValue])),0)</f>
        <v>1.4287142785721427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71" cm="1">
        <f t="array" ref="O71">MIN(IF((OutputTable[GroupByKey]=OutputTable[[#This Row],[GroupByKey]]),(OutputTable[GroupByKey]=OutputTable[[#This Row],[GroupByKey]])*OutputTable[RecordedValue]))</f>
        <v>2</v>
      </c>
      <c r="P71" cm="1">
        <f t="array" ref="P71">MAX(IF((OutputTable[GroupByKey]=OutputTable[[#This Row],[GroupByKey]]),(OutputTable[GroupByKey]=OutputTable[[#This Row],[GroupByKey]])*OutputTable[RecordedValue]))</f>
        <v>8</v>
      </c>
    </row>
    <row r="72" spans="1:16" x14ac:dyDescent="0.35">
      <c r="A72" t="s">
        <v>66</v>
      </c>
      <c r="B72" t="s">
        <v>98</v>
      </c>
      <c r="C72">
        <v>15</v>
      </c>
      <c r="D72" t="s">
        <v>87</v>
      </c>
      <c r="E72" t="s">
        <v>88</v>
      </c>
      <c r="F72" t="s">
        <v>71</v>
      </c>
      <c r="G72">
        <v>6</v>
      </c>
      <c r="H72">
        <v>0</v>
      </c>
      <c r="I72" t="str">
        <f>OutputTable[[#This Row],[ProjectName]]&amp;OutputTable[[#This Row],[Name]]&amp;OutputTable[[#This Row],[Type]]&amp;OutputTable[[#This Row],[Source]]</f>
        <v>Unnamed ProjectArquivos.NumberInNumber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cm="1">
        <f t="array" ref="K72">IFERROR(AVERAGE(IF((OutputTable[GroupByKey]=OutputTable[[#This Row],[GroupByKey]]),(OutputTable[GroupByKey]=OutputTable[[#This Row],[GroupByKey]])*OutputTable[RecordedValue])),0)</f>
        <v>6.32</v>
      </c>
      <c r="L72" cm="1">
        <f t="array" ref="L72">IFERROR(_xlfn.STDEV.S(IF((OutputTable[GroupByKey]=OutputTable[[#This Row],[GroupByKey]]),(OutputTable[GroupByKey]=OutputTable[[#This Row],[GroupByKey]])*OutputTable[RecordedValue])),0)</f>
        <v>1.671367520252534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72" cm="1">
        <f t="array" ref="O72">MIN(IF((OutputTable[GroupByKey]=OutputTable[[#This Row],[GroupByKey]]),(OutputTable[GroupByKey]=OutputTable[[#This Row],[GroupByKey]])*OutputTable[RecordedValue]))</f>
        <v>3</v>
      </c>
      <c r="P72" cm="1">
        <f t="array" ref="P72">MAX(IF((OutputTable[GroupByKey]=OutputTable[[#This Row],[GroupByKey]]),(OutputTable[GroupByKey]=OutputTable[[#This Row],[GroupByKey]])*OutputTable[RecordedValue]))</f>
        <v>12</v>
      </c>
    </row>
    <row r="73" spans="1:16" x14ac:dyDescent="0.35">
      <c r="A73" t="s">
        <v>66</v>
      </c>
      <c r="B73" t="s">
        <v>98</v>
      </c>
      <c r="C73">
        <v>15</v>
      </c>
      <c r="D73" t="s">
        <v>89</v>
      </c>
      <c r="E73" t="s">
        <v>90</v>
      </c>
      <c r="F73" t="s">
        <v>71</v>
      </c>
      <c r="G73">
        <v>4</v>
      </c>
      <c r="H73">
        <v>0</v>
      </c>
      <c r="I73" t="str">
        <f>OutputTable[[#This Row],[ProjectName]]&amp;OutputTable[[#This Row],[Name]]&amp;OutputTable[[#This Row],[Type]]&amp;OutputTable[[#This Row],[Source]]</f>
        <v>Unnamed ProjectArquivos.NumberOutNumber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cm="1">
        <f t="array" ref="K73">IFERROR(AVERAGE(IF((OutputTable[GroupByKey]=OutputTable[[#This Row],[GroupByKey]]),(OutputTable[GroupByKey]=OutputTable[[#This Row],[GroupByKey]])*OutputTable[RecordedValue])),0)</f>
        <v>4.8600000000000003</v>
      </c>
      <c r="L73" cm="1">
        <f t="array" ref="L73">IFERROR(_xlfn.STDEV.S(IF((OutputTable[GroupByKey]=OutputTable[[#This Row],[GroupByKey]]),(OutputTable[GroupByKey]=OutputTable[[#This Row],[GroupByKey]])*OutputTable[RecordedValue])),0)</f>
        <v>1.4287142785721427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73" cm="1">
        <f t="array" ref="O73">MIN(IF((OutputTable[GroupByKey]=OutputTable[[#This Row],[GroupByKey]]),(OutputTable[GroupByKey]=OutputTable[[#This Row],[GroupByKey]])*OutputTable[RecordedValue]))</f>
        <v>2</v>
      </c>
      <c r="P73" cm="1">
        <f t="array" ref="P73">MAX(IF((OutputTable[GroupByKey]=OutputTable[[#This Row],[GroupByKey]]),(OutputTable[GroupByKey]=OutputTable[[#This Row],[GroupByKey]])*OutputTable[RecordedValue]))</f>
        <v>8</v>
      </c>
    </row>
    <row r="74" spans="1:16" x14ac:dyDescent="0.35">
      <c r="A74" t="s">
        <v>66</v>
      </c>
      <c r="B74" t="s">
        <v>98</v>
      </c>
      <c r="C74">
        <v>15</v>
      </c>
      <c r="D74" t="s">
        <v>91</v>
      </c>
      <c r="E74" t="s">
        <v>92</v>
      </c>
      <c r="F74" t="s">
        <v>84</v>
      </c>
      <c r="G74">
        <v>6</v>
      </c>
      <c r="H74">
        <v>0</v>
      </c>
      <c r="I74" t="str">
        <f>OutputTable[[#This Row],[ProjectName]]&amp;OutputTable[[#This Row],[Name]]&amp;OutputTable[[#This Row],[Type]]&amp;OutputTable[[#This Row],[Source]]</f>
        <v>Unnamed ProjectOperador.NumberSeizedTotal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cm="1">
        <f t="array" ref="K74">IFERROR(AVERAGE(IF((OutputTable[GroupByKey]=OutputTable[[#This Row],[GroupByKey]]),(OutputTable[GroupByKey]=OutputTable[[#This Row],[GroupByKey]])*OutputTable[RecordedValue])),0)</f>
        <v>6.14</v>
      </c>
      <c r="L74" cm="1">
        <f t="array" ref="L74">IFERROR(_xlfn.STDEV.S(IF((OutputTable[GroupByKey]=OutputTable[[#This Row],[GroupByKey]]),(OutputTable[GroupByKey]=OutputTable[[#This Row],[GroupByKey]])*OutputTable[RecordedValue])),0)</f>
        <v>1.4984345572793558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74" cm="1">
        <f t="array" ref="O74">MIN(IF((OutputTable[GroupByKey]=OutputTable[[#This Row],[GroupByKey]]),(OutputTable[GroupByKey]=OutputTable[[#This Row],[GroupByKey]])*OutputTable[RecordedValue]))</f>
        <v>3</v>
      </c>
      <c r="P74" cm="1">
        <f t="array" ref="P74">MAX(IF((OutputTable[GroupByKey]=OutputTable[[#This Row],[GroupByKey]]),(OutputTable[GroupByKey]=OutputTable[[#This Row],[GroupByKey]])*OutputTable[RecordedValue]))</f>
        <v>9</v>
      </c>
    </row>
    <row r="75" spans="1:16" x14ac:dyDescent="0.35">
      <c r="A75" t="s">
        <v>66</v>
      </c>
      <c r="B75" t="s">
        <v>98</v>
      </c>
      <c r="C75">
        <v>15</v>
      </c>
      <c r="D75" t="s">
        <v>93</v>
      </c>
      <c r="E75" t="s">
        <v>94</v>
      </c>
      <c r="F75" t="s">
        <v>84</v>
      </c>
      <c r="G75">
        <v>0.51510879577386004</v>
      </c>
      <c r="H75">
        <v>0</v>
      </c>
      <c r="I7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cm="1">
        <f t="array" ref="K75">IFERROR(AVERAGE(IF((OutputTable[GroupByKey]=OutputTable[[#This Row],[GroupByKey]]),(OutputTable[GroupByKey]=OutputTable[[#This Row],[GroupByKey]])*OutputTable[RecordedValue])),0)</f>
        <v>0.63912553924181559</v>
      </c>
      <c r="L75" cm="1">
        <f t="array" ref="L75">IFERROR(_xlfn.STDEV.S(IF((OutputTable[GroupByKey]=OutputTable[[#This Row],[GroupByKey]]),(OutputTable[GroupByKey]=OutputTable[[#This Row],[GroupByKey]])*OutputTable[RecordedValue])),0)</f>
        <v>0.16841036655083153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75" cm="1">
        <f t="array" ref="O75">MIN(IF((OutputTable[GroupByKey]=OutputTable[[#This Row],[GroupByKey]]),(OutputTable[GroupByKey]=OutputTable[[#This Row],[GroupByKey]])*OutputTable[RecordedValue]))</f>
        <v>0.30856555337021802</v>
      </c>
      <c r="P75" cm="1">
        <f t="array" ref="P75">MAX(IF((OutputTable[GroupByKey]=OutputTable[[#This Row],[GroupByKey]]),(OutputTable[GroupByKey]=OutputTable[[#This Row],[GroupByKey]])*OutputTable[RecordedValue]))</f>
        <v>0.98721163888391195</v>
      </c>
    </row>
    <row r="76" spans="1:16" x14ac:dyDescent="0.35">
      <c r="A76" t="s">
        <v>66</v>
      </c>
      <c r="B76" t="s">
        <v>98</v>
      </c>
      <c r="C76">
        <v>15</v>
      </c>
      <c r="D76" t="s">
        <v>95</v>
      </c>
      <c r="E76" t="s">
        <v>90</v>
      </c>
      <c r="F76" t="s">
        <v>96</v>
      </c>
      <c r="G76">
        <v>4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cm="1">
        <f t="array" ref="K76">IFERROR(AVERAGE(IF((OutputTable[GroupByKey]=OutputTable[[#This Row],[GroupByKey]]),(OutputTable[GroupByKey]=OutputTable[[#This Row],[GroupByKey]])*OutputTable[RecordedValue])),0)</f>
        <v>4.8600000000000003</v>
      </c>
      <c r="L76" cm="1">
        <f t="array" ref="L76">IFERROR(_xlfn.STDEV.S(IF((OutputTable[GroupByKey]=OutputTable[[#This Row],[GroupByKey]]),(OutputTable[GroupByKey]=OutputTable[[#This Row],[GroupByKey]])*OutputTable[RecordedValue])),0)</f>
        <v>1.4287142785721427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76" cm="1">
        <f t="array" ref="O76">MIN(IF((OutputTable[GroupByKey]=OutputTable[[#This Row],[GroupByKey]]),(OutputTable[GroupByKey]=OutputTable[[#This Row],[GroupByKey]])*OutputTable[RecordedValue]))</f>
        <v>2</v>
      </c>
      <c r="P76" cm="1">
        <f t="array" ref="P76">MAX(IF((OutputTable[GroupByKey]=OutputTable[[#This Row],[GroupByKey]]),(OutputTable[GroupByKey]=OutputTable[[#This Row],[GroupByKey]])*OutputTable[RecordedValue]))</f>
        <v>8</v>
      </c>
    </row>
    <row r="77" spans="1:16" x14ac:dyDescent="0.35">
      <c r="A77" t="s">
        <v>66</v>
      </c>
      <c r="B77" t="s">
        <v>98</v>
      </c>
      <c r="C77">
        <v>16</v>
      </c>
      <c r="D77" t="s">
        <v>87</v>
      </c>
      <c r="E77" t="s">
        <v>88</v>
      </c>
      <c r="F77" t="s">
        <v>71</v>
      </c>
      <c r="G77">
        <v>9</v>
      </c>
      <c r="H77">
        <v>0</v>
      </c>
      <c r="I77" t="str">
        <f>OutputTable[[#This Row],[ProjectName]]&amp;OutputTable[[#This Row],[Name]]&amp;OutputTable[[#This Row],[Type]]&amp;OutputTable[[#This Row],[Source]]</f>
        <v>Unnamed ProjectArquivos.NumberInNumber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cm="1">
        <f t="array" ref="K77">IFERROR(AVERAGE(IF((OutputTable[GroupByKey]=OutputTable[[#This Row],[GroupByKey]]),(OutputTable[GroupByKey]=OutputTable[[#This Row],[GroupByKey]])*OutputTable[RecordedValue])),0)</f>
        <v>6.32</v>
      </c>
      <c r="L77" cm="1">
        <f t="array" ref="L77">IFERROR(_xlfn.STDEV.S(IF((OutputTable[GroupByKey]=OutputTable[[#This Row],[GroupByKey]]),(OutputTable[GroupByKey]=OutputTable[[#This Row],[GroupByKey]])*OutputTable[RecordedValue])),0)</f>
        <v>1.671367520252534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77" cm="1">
        <f t="array" ref="O77">MIN(IF((OutputTable[GroupByKey]=OutputTable[[#This Row],[GroupByKey]]),(OutputTable[GroupByKey]=OutputTable[[#This Row],[GroupByKey]])*OutputTable[RecordedValue]))</f>
        <v>3</v>
      </c>
      <c r="P77" cm="1">
        <f t="array" ref="P77">MAX(IF((OutputTable[GroupByKey]=OutputTable[[#This Row],[GroupByKey]]),(OutputTable[GroupByKey]=OutputTable[[#This Row],[GroupByKey]])*OutputTable[RecordedValue]))</f>
        <v>12</v>
      </c>
    </row>
    <row r="78" spans="1:16" x14ac:dyDescent="0.35">
      <c r="A78" t="s">
        <v>66</v>
      </c>
      <c r="B78" t="s">
        <v>98</v>
      </c>
      <c r="C78">
        <v>16</v>
      </c>
      <c r="D78" t="s">
        <v>89</v>
      </c>
      <c r="E78" t="s">
        <v>90</v>
      </c>
      <c r="F78" t="s">
        <v>71</v>
      </c>
      <c r="G78">
        <v>7</v>
      </c>
      <c r="H78">
        <v>0</v>
      </c>
      <c r="I78" t="str">
        <f>OutputTable[[#This Row],[ProjectName]]&amp;OutputTable[[#This Row],[Name]]&amp;OutputTable[[#This Row],[Type]]&amp;OutputTable[[#This Row],[Source]]</f>
        <v>Unnamed ProjectArquivos.NumberOutNumber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cm="1">
        <f t="array" ref="K78">IFERROR(AVERAGE(IF((OutputTable[GroupByKey]=OutputTable[[#This Row],[GroupByKey]]),(OutputTable[GroupByKey]=OutputTable[[#This Row],[GroupByKey]])*OutputTable[RecordedValue])),0)</f>
        <v>4.8600000000000003</v>
      </c>
      <c r="L78" cm="1">
        <f t="array" ref="L78">IFERROR(_xlfn.STDEV.S(IF((OutputTable[GroupByKey]=OutputTable[[#This Row],[GroupByKey]]),(OutputTable[GroupByKey]=OutputTable[[#This Row],[GroupByKey]])*OutputTable[RecordedValue])),0)</f>
        <v>1.4287142785721427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78" cm="1">
        <f t="array" ref="O78">MIN(IF((OutputTable[GroupByKey]=OutputTable[[#This Row],[GroupByKey]]),(OutputTable[GroupByKey]=OutputTable[[#This Row],[GroupByKey]])*OutputTable[RecordedValue]))</f>
        <v>2</v>
      </c>
      <c r="P78" cm="1">
        <f t="array" ref="P78">MAX(IF((OutputTable[GroupByKey]=OutputTable[[#This Row],[GroupByKey]]),(OutputTable[GroupByKey]=OutputTable[[#This Row],[GroupByKey]])*OutputTable[RecordedValue]))</f>
        <v>8</v>
      </c>
    </row>
    <row r="79" spans="1:16" x14ac:dyDescent="0.35">
      <c r="A79" t="s">
        <v>66</v>
      </c>
      <c r="B79" t="s">
        <v>98</v>
      </c>
      <c r="C79">
        <v>16</v>
      </c>
      <c r="D79" t="s">
        <v>91</v>
      </c>
      <c r="E79" t="s">
        <v>92</v>
      </c>
      <c r="F79" t="s">
        <v>84</v>
      </c>
      <c r="G79">
        <v>9</v>
      </c>
      <c r="H79">
        <v>0</v>
      </c>
      <c r="I79" t="str">
        <f>OutputTable[[#This Row],[ProjectName]]&amp;OutputTable[[#This Row],[Name]]&amp;OutputTable[[#This Row],[Type]]&amp;OutputTable[[#This Row],[Source]]</f>
        <v>Unnamed ProjectOperador.NumberSeizedTotal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cm="1">
        <f t="array" ref="K79">IFERROR(AVERAGE(IF((OutputTable[GroupByKey]=OutputTable[[#This Row],[GroupByKey]]),(OutputTable[GroupByKey]=OutputTable[[#This Row],[GroupByKey]])*OutputTable[RecordedValue])),0)</f>
        <v>6.14</v>
      </c>
      <c r="L79" cm="1">
        <f t="array" ref="L79">IFERROR(_xlfn.STDEV.S(IF((OutputTable[GroupByKey]=OutputTable[[#This Row],[GroupByKey]]),(OutputTable[GroupByKey]=OutputTable[[#This Row],[GroupByKey]])*OutputTable[RecordedValue])),0)</f>
        <v>1.4984345572793558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79" cm="1">
        <f t="array" ref="O79">MIN(IF((OutputTable[GroupByKey]=OutputTable[[#This Row],[GroupByKey]]),(OutputTable[GroupByKey]=OutputTable[[#This Row],[GroupByKey]])*OutputTable[RecordedValue]))</f>
        <v>3</v>
      </c>
      <c r="P79" cm="1">
        <f t="array" ref="P79">MAX(IF((OutputTable[GroupByKey]=OutputTable[[#This Row],[GroupByKey]]),(OutputTable[GroupByKey]=OutputTable[[#This Row],[GroupByKey]])*OutputTable[RecordedValue]))</f>
        <v>9</v>
      </c>
    </row>
    <row r="80" spans="1:16" x14ac:dyDescent="0.35">
      <c r="A80" t="s">
        <v>66</v>
      </c>
      <c r="B80" t="s">
        <v>98</v>
      </c>
      <c r="C80">
        <v>16</v>
      </c>
      <c r="D80" t="s">
        <v>93</v>
      </c>
      <c r="E80" t="s">
        <v>94</v>
      </c>
      <c r="F80" t="s">
        <v>84</v>
      </c>
      <c r="G80">
        <v>0.98721163888391195</v>
      </c>
      <c r="H80">
        <v>0</v>
      </c>
      <c r="I8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cm="1">
        <f t="array" ref="K80">IFERROR(AVERAGE(IF((OutputTable[GroupByKey]=OutputTable[[#This Row],[GroupByKey]]),(OutputTable[GroupByKey]=OutputTable[[#This Row],[GroupByKey]])*OutputTable[RecordedValue])),0)</f>
        <v>0.63912553924181559</v>
      </c>
      <c r="L80" cm="1">
        <f t="array" ref="L80">IFERROR(_xlfn.STDEV.S(IF((OutputTable[GroupByKey]=OutputTable[[#This Row],[GroupByKey]]),(OutputTable[GroupByKey]=OutputTable[[#This Row],[GroupByKey]])*OutputTable[RecordedValue])),0)</f>
        <v>0.16841036655083153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80" cm="1">
        <f t="array" ref="O80">MIN(IF((OutputTable[GroupByKey]=OutputTable[[#This Row],[GroupByKey]]),(OutputTable[GroupByKey]=OutputTable[[#This Row],[GroupByKey]])*OutputTable[RecordedValue]))</f>
        <v>0.30856555337021802</v>
      </c>
      <c r="P80" cm="1">
        <f t="array" ref="P80">MAX(IF((OutputTable[GroupByKey]=OutputTable[[#This Row],[GroupByKey]]),(OutputTable[GroupByKey]=OutputTable[[#This Row],[GroupByKey]])*OutputTable[RecordedValue]))</f>
        <v>0.98721163888391195</v>
      </c>
    </row>
    <row r="81" spans="1:16" x14ac:dyDescent="0.35">
      <c r="A81" t="s">
        <v>66</v>
      </c>
      <c r="B81" t="s">
        <v>98</v>
      </c>
      <c r="C81">
        <v>16</v>
      </c>
      <c r="D81" t="s">
        <v>95</v>
      </c>
      <c r="E81" t="s">
        <v>90</v>
      </c>
      <c r="F81" t="s">
        <v>96</v>
      </c>
      <c r="G81">
        <v>7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cm="1">
        <f t="array" ref="K81">IFERROR(AVERAGE(IF((OutputTable[GroupByKey]=OutputTable[[#This Row],[GroupByKey]]),(OutputTable[GroupByKey]=OutputTable[[#This Row],[GroupByKey]])*OutputTable[RecordedValue])),0)</f>
        <v>4.8600000000000003</v>
      </c>
      <c r="L81" cm="1">
        <f t="array" ref="L81">IFERROR(_xlfn.STDEV.S(IF((OutputTable[GroupByKey]=OutputTable[[#This Row],[GroupByKey]]),(OutputTable[GroupByKey]=OutputTable[[#This Row],[GroupByKey]])*OutputTable[RecordedValue])),0)</f>
        <v>1.4287142785721427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81" cm="1">
        <f t="array" ref="O81">MIN(IF((OutputTable[GroupByKey]=OutputTable[[#This Row],[GroupByKey]]),(OutputTable[GroupByKey]=OutputTable[[#This Row],[GroupByKey]])*OutputTable[RecordedValue]))</f>
        <v>2</v>
      </c>
      <c r="P81" cm="1">
        <f t="array" ref="P81">MAX(IF((OutputTable[GroupByKey]=OutputTable[[#This Row],[GroupByKey]]),(OutputTable[GroupByKey]=OutputTable[[#This Row],[GroupByKey]])*OutputTable[RecordedValue]))</f>
        <v>8</v>
      </c>
    </row>
    <row r="82" spans="1:16" x14ac:dyDescent="0.35">
      <c r="A82" t="s">
        <v>66</v>
      </c>
      <c r="B82" t="s">
        <v>98</v>
      </c>
      <c r="C82">
        <v>17</v>
      </c>
      <c r="D82" t="s">
        <v>87</v>
      </c>
      <c r="E82" t="s">
        <v>88</v>
      </c>
      <c r="F82" t="s">
        <v>71</v>
      </c>
      <c r="G82">
        <v>3</v>
      </c>
      <c r="H82">
        <v>0</v>
      </c>
      <c r="I82" t="str">
        <f>OutputTable[[#This Row],[ProjectName]]&amp;OutputTable[[#This Row],[Name]]&amp;OutputTable[[#This Row],[Type]]&amp;OutputTable[[#This Row],[Source]]</f>
        <v>Unnamed ProjectArquivos.NumberInNumber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cm="1">
        <f t="array" ref="K82">IFERROR(AVERAGE(IF((OutputTable[GroupByKey]=OutputTable[[#This Row],[GroupByKey]]),(OutputTable[GroupByKey]=OutputTable[[#This Row],[GroupByKey]])*OutputTable[RecordedValue])),0)</f>
        <v>6.32</v>
      </c>
      <c r="L82" cm="1">
        <f t="array" ref="L82">IFERROR(_xlfn.STDEV.S(IF((OutputTable[GroupByKey]=OutputTable[[#This Row],[GroupByKey]]),(OutputTable[GroupByKey]=OutputTable[[#This Row],[GroupByKey]])*OutputTable[RecordedValue])),0)</f>
        <v>1.671367520252534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82" cm="1">
        <f t="array" ref="O82">MIN(IF((OutputTable[GroupByKey]=OutputTable[[#This Row],[GroupByKey]]),(OutputTable[GroupByKey]=OutputTable[[#This Row],[GroupByKey]])*OutputTable[RecordedValue]))</f>
        <v>3</v>
      </c>
      <c r="P82" cm="1">
        <f t="array" ref="P82">MAX(IF((OutputTable[GroupByKey]=OutputTable[[#This Row],[GroupByKey]]),(OutputTable[GroupByKey]=OutputTable[[#This Row],[GroupByKey]])*OutputTable[RecordedValue]))</f>
        <v>12</v>
      </c>
    </row>
    <row r="83" spans="1:16" x14ac:dyDescent="0.35">
      <c r="A83" t="s">
        <v>66</v>
      </c>
      <c r="B83" t="s">
        <v>98</v>
      </c>
      <c r="C83">
        <v>17</v>
      </c>
      <c r="D83" t="s">
        <v>89</v>
      </c>
      <c r="E83" t="s">
        <v>90</v>
      </c>
      <c r="F83" t="s">
        <v>71</v>
      </c>
      <c r="G83">
        <v>2</v>
      </c>
      <c r="H83">
        <v>0</v>
      </c>
      <c r="I83" t="str">
        <f>OutputTable[[#This Row],[ProjectName]]&amp;OutputTable[[#This Row],[Name]]&amp;OutputTable[[#This Row],[Type]]&amp;OutputTable[[#This Row],[Source]]</f>
        <v>Unnamed ProjectArquivos.NumberOutNumber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cm="1">
        <f t="array" ref="K83">IFERROR(AVERAGE(IF((OutputTable[GroupByKey]=OutputTable[[#This Row],[GroupByKey]]),(OutputTable[GroupByKey]=OutputTable[[#This Row],[GroupByKey]])*OutputTable[RecordedValue])),0)</f>
        <v>4.8600000000000003</v>
      </c>
      <c r="L83" cm="1">
        <f t="array" ref="L83">IFERROR(_xlfn.STDEV.S(IF((OutputTable[GroupByKey]=OutputTable[[#This Row],[GroupByKey]]),(OutputTable[GroupByKey]=OutputTable[[#This Row],[GroupByKey]])*OutputTable[RecordedValue])),0)</f>
        <v>1.4287142785721427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83" cm="1">
        <f t="array" ref="O83">MIN(IF((OutputTable[GroupByKey]=OutputTable[[#This Row],[GroupByKey]]),(OutputTable[GroupByKey]=OutputTable[[#This Row],[GroupByKey]])*OutputTable[RecordedValue]))</f>
        <v>2</v>
      </c>
      <c r="P83" cm="1">
        <f t="array" ref="P83">MAX(IF((OutputTable[GroupByKey]=OutputTable[[#This Row],[GroupByKey]]),(OutputTable[GroupByKey]=OutputTable[[#This Row],[GroupByKey]])*OutputTable[RecordedValue]))</f>
        <v>8</v>
      </c>
    </row>
    <row r="84" spans="1:16" x14ac:dyDescent="0.35">
      <c r="A84" t="s">
        <v>66</v>
      </c>
      <c r="B84" t="s">
        <v>98</v>
      </c>
      <c r="C84">
        <v>17</v>
      </c>
      <c r="D84" t="s">
        <v>91</v>
      </c>
      <c r="E84" t="s">
        <v>92</v>
      </c>
      <c r="F84" t="s">
        <v>84</v>
      </c>
      <c r="G84">
        <v>3</v>
      </c>
      <c r="H84">
        <v>0</v>
      </c>
      <c r="I84" t="str">
        <f>OutputTable[[#This Row],[ProjectName]]&amp;OutputTable[[#This Row],[Name]]&amp;OutputTable[[#This Row],[Type]]&amp;OutputTable[[#This Row],[Source]]</f>
        <v>Unnamed ProjectOperador.NumberSeizedTotal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cm="1">
        <f t="array" ref="K84">IFERROR(AVERAGE(IF((OutputTable[GroupByKey]=OutputTable[[#This Row],[GroupByKey]]),(OutputTable[GroupByKey]=OutputTable[[#This Row],[GroupByKey]])*OutputTable[RecordedValue])),0)</f>
        <v>6.14</v>
      </c>
      <c r="L84" cm="1">
        <f t="array" ref="L84">IFERROR(_xlfn.STDEV.S(IF((OutputTable[GroupByKey]=OutputTable[[#This Row],[GroupByKey]]),(OutputTable[GroupByKey]=OutputTable[[#This Row],[GroupByKey]])*OutputTable[RecordedValue])),0)</f>
        <v>1.4984345572793558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84" cm="1">
        <f t="array" ref="O84">MIN(IF((OutputTable[GroupByKey]=OutputTable[[#This Row],[GroupByKey]]),(OutputTable[GroupByKey]=OutputTable[[#This Row],[GroupByKey]])*OutputTable[RecordedValue]))</f>
        <v>3</v>
      </c>
      <c r="P84" cm="1">
        <f t="array" ref="P84">MAX(IF((OutputTable[GroupByKey]=OutputTable[[#This Row],[GroupByKey]]),(OutputTable[GroupByKey]=OutputTable[[#This Row],[GroupByKey]])*OutputTable[RecordedValue]))</f>
        <v>9</v>
      </c>
    </row>
    <row r="85" spans="1:16" x14ac:dyDescent="0.35">
      <c r="A85" t="s">
        <v>66</v>
      </c>
      <c r="B85" t="s">
        <v>98</v>
      </c>
      <c r="C85">
        <v>17</v>
      </c>
      <c r="D85" t="s">
        <v>93</v>
      </c>
      <c r="E85" t="s">
        <v>94</v>
      </c>
      <c r="F85" t="s">
        <v>84</v>
      </c>
      <c r="G85">
        <v>0.37409605056433498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cm="1">
        <f t="array" ref="K85">IFERROR(AVERAGE(IF((OutputTable[GroupByKey]=OutputTable[[#This Row],[GroupByKey]]),(OutputTable[GroupByKey]=OutputTable[[#This Row],[GroupByKey]])*OutputTable[RecordedValue])),0)</f>
        <v>0.63912553924181559</v>
      </c>
      <c r="L85" cm="1">
        <f t="array" ref="L85">IFERROR(_xlfn.STDEV.S(IF((OutputTable[GroupByKey]=OutputTable[[#This Row],[GroupByKey]]),(OutputTable[GroupByKey]=OutputTable[[#This Row],[GroupByKey]])*OutputTable[RecordedValue])),0)</f>
        <v>0.16841036655083153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85" cm="1">
        <f t="array" ref="O85">MIN(IF((OutputTable[GroupByKey]=OutputTable[[#This Row],[GroupByKey]]),(OutputTable[GroupByKey]=OutputTable[[#This Row],[GroupByKey]])*OutputTable[RecordedValue]))</f>
        <v>0.30856555337021802</v>
      </c>
      <c r="P85" cm="1">
        <f t="array" ref="P85">MAX(IF((OutputTable[GroupByKey]=OutputTable[[#This Row],[GroupByKey]]),(OutputTable[GroupByKey]=OutputTable[[#This Row],[GroupByKey]])*OutputTable[RecordedValue]))</f>
        <v>0.98721163888391195</v>
      </c>
    </row>
    <row r="86" spans="1:16" x14ac:dyDescent="0.35">
      <c r="A86" t="s">
        <v>66</v>
      </c>
      <c r="B86" t="s">
        <v>98</v>
      </c>
      <c r="C86">
        <v>17</v>
      </c>
      <c r="D86" t="s">
        <v>95</v>
      </c>
      <c r="E86" t="s">
        <v>90</v>
      </c>
      <c r="F86" t="s">
        <v>96</v>
      </c>
      <c r="G86">
        <v>2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cm="1">
        <f t="array" ref="K86">IFERROR(AVERAGE(IF((OutputTable[GroupByKey]=OutputTable[[#This Row],[GroupByKey]]),(OutputTable[GroupByKey]=OutputTable[[#This Row],[GroupByKey]])*OutputTable[RecordedValue])),0)</f>
        <v>4.8600000000000003</v>
      </c>
      <c r="L86" cm="1">
        <f t="array" ref="L86">IFERROR(_xlfn.STDEV.S(IF((OutputTable[GroupByKey]=OutputTable[[#This Row],[GroupByKey]]),(OutputTable[GroupByKey]=OutputTable[[#This Row],[GroupByKey]])*OutputTable[RecordedValue])),0)</f>
        <v>1.4287142785721427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86" cm="1">
        <f t="array" ref="O86">MIN(IF((OutputTable[GroupByKey]=OutputTable[[#This Row],[GroupByKey]]),(OutputTable[GroupByKey]=OutputTable[[#This Row],[GroupByKey]])*OutputTable[RecordedValue]))</f>
        <v>2</v>
      </c>
      <c r="P86" cm="1">
        <f t="array" ref="P86">MAX(IF((OutputTable[GroupByKey]=OutputTable[[#This Row],[GroupByKey]]),(OutputTable[GroupByKey]=OutputTable[[#This Row],[GroupByKey]])*OutputTable[RecordedValue]))</f>
        <v>8</v>
      </c>
    </row>
    <row r="87" spans="1:16" x14ac:dyDescent="0.35">
      <c r="A87" t="s">
        <v>66</v>
      </c>
      <c r="B87" t="s">
        <v>98</v>
      </c>
      <c r="C87">
        <v>18</v>
      </c>
      <c r="D87" t="s">
        <v>87</v>
      </c>
      <c r="E87" t="s">
        <v>88</v>
      </c>
      <c r="F87" t="s">
        <v>71</v>
      </c>
      <c r="G87">
        <v>7</v>
      </c>
      <c r="H87">
        <v>0</v>
      </c>
      <c r="I87" t="str">
        <f>OutputTable[[#This Row],[ProjectName]]&amp;OutputTable[[#This Row],[Name]]&amp;OutputTable[[#This Row],[Type]]&amp;OutputTable[[#This Row],[Source]]</f>
        <v>Unnamed ProjectArquivos.NumberInNumber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cm="1">
        <f t="array" ref="K87">IFERROR(AVERAGE(IF((OutputTable[GroupByKey]=OutputTable[[#This Row],[GroupByKey]]),(OutputTable[GroupByKey]=OutputTable[[#This Row],[GroupByKey]])*OutputTable[RecordedValue])),0)</f>
        <v>6.32</v>
      </c>
      <c r="L87" cm="1">
        <f t="array" ref="L87">IFERROR(_xlfn.STDEV.S(IF((OutputTable[GroupByKey]=OutputTable[[#This Row],[GroupByKey]]),(OutputTable[GroupByKey]=OutputTable[[#This Row],[GroupByKey]])*OutputTable[RecordedValue])),0)</f>
        <v>1.671367520252534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87" cm="1">
        <f t="array" ref="O87">MIN(IF((OutputTable[GroupByKey]=OutputTable[[#This Row],[GroupByKey]]),(OutputTable[GroupByKey]=OutputTable[[#This Row],[GroupByKey]])*OutputTable[RecordedValue]))</f>
        <v>3</v>
      </c>
      <c r="P87" cm="1">
        <f t="array" ref="P87">MAX(IF((OutputTable[GroupByKey]=OutputTable[[#This Row],[GroupByKey]]),(OutputTable[GroupByKey]=OutputTable[[#This Row],[GroupByKey]])*OutputTable[RecordedValue]))</f>
        <v>12</v>
      </c>
    </row>
    <row r="88" spans="1:16" x14ac:dyDescent="0.35">
      <c r="A88" t="s">
        <v>66</v>
      </c>
      <c r="B88" t="s">
        <v>98</v>
      </c>
      <c r="C88">
        <v>18</v>
      </c>
      <c r="D88" t="s">
        <v>89</v>
      </c>
      <c r="E88" t="s">
        <v>90</v>
      </c>
      <c r="F88" t="s">
        <v>71</v>
      </c>
      <c r="G88">
        <v>5</v>
      </c>
      <c r="H88">
        <v>0</v>
      </c>
      <c r="I88" t="str">
        <f>OutputTable[[#This Row],[ProjectName]]&amp;OutputTable[[#This Row],[Name]]&amp;OutputTable[[#This Row],[Type]]&amp;OutputTable[[#This Row],[Source]]</f>
        <v>Unnamed ProjectArquivos.NumberOutNumber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cm="1">
        <f t="array" ref="K88">IFERROR(AVERAGE(IF((OutputTable[GroupByKey]=OutputTable[[#This Row],[GroupByKey]]),(OutputTable[GroupByKey]=OutputTable[[#This Row],[GroupByKey]])*OutputTable[RecordedValue])),0)</f>
        <v>4.8600000000000003</v>
      </c>
      <c r="L88" cm="1">
        <f t="array" ref="L88">IFERROR(_xlfn.STDEV.S(IF((OutputTable[GroupByKey]=OutputTable[[#This Row],[GroupByKey]]),(OutputTable[GroupByKey]=OutputTable[[#This Row],[GroupByKey]])*OutputTable[RecordedValue])),0)</f>
        <v>1.4287142785721427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88" cm="1">
        <f t="array" ref="O88">MIN(IF((OutputTable[GroupByKey]=OutputTable[[#This Row],[GroupByKey]]),(OutputTable[GroupByKey]=OutputTable[[#This Row],[GroupByKey]])*OutputTable[RecordedValue]))</f>
        <v>2</v>
      </c>
      <c r="P88" cm="1">
        <f t="array" ref="P88">MAX(IF((OutputTable[GroupByKey]=OutputTable[[#This Row],[GroupByKey]]),(OutputTable[GroupByKey]=OutputTable[[#This Row],[GroupByKey]])*OutputTable[RecordedValue]))</f>
        <v>8</v>
      </c>
    </row>
    <row r="89" spans="1:16" x14ac:dyDescent="0.35">
      <c r="A89" t="s">
        <v>66</v>
      </c>
      <c r="B89" t="s">
        <v>98</v>
      </c>
      <c r="C89">
        <v>18</v>
      </c>
      <c r="D89" t="s">
        <v>91</v>
      </c>
      <c r="E89" t="s">
        <v>92</v>
      </c>
      <c r="F89" t="s">
        <v>84</v>
      </c>
      <c r="G89">
        <v>7</v>
      </c>
      <c r="H89">
        <v>0</v>
      </c>
      <c r="I89" t="str">
        <f>OutputTable[[#This Row],[ProjectName]]&amp;OutputTable[[#This Row],[Name]]&amp;OutputTable[[#This Row],[Type]]&amp;OutputTable[[#This Row],[Source]]</f>
        <v>Unnamed ProjectOperador.NumberSeizedTotal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cm="1">
        <f t="array" ref="K89">IFERROR(AVERAGE(IF((OutputTable[GroupByKey]=OutputTable[[#This Row],[GroupByKey]]),(OutputTable[GroupByKey]=OutputTable[[#This Row],[GroupByKey]])*OutputTable[RecordedValue])),0)</f>
        <v>6.14</v>
      </c>
      <c r="L89" cm="1">
        <f t="array" ref="L89">IFERROR(_xlfn.STDEV.S(IF((OutputTable[GroupByKey]=OutputTable[[#This Row],[GroupByKey]]),(OutputTable[GroupByKey]=OutputTable[[#This Row],[GroupByKey]])*OutputTable[RecordedValue])),0)</f>
        <v>1.4984345572793558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89" cm="1">
        <f t="array" ref="O89">MIN(IF((OutputTable[GroupByKey]=OutputTable[[#This Row],[GroupByKey]]),(OutputTable[GroupByKey]=OutputTable[[#This Row],[GroupByKey]])*OutputTable[RecordedValue]))</f>
        <v>3</v>
      </c>
      <c r="P89" cm="1">
        <f t="array" ref="P89">MAX(IF((OutputTable[GroupByKey]=OutputTable[[#This Row],[GroupByKey]]),(OutputTable[GroupByKey]=OutputTable[[#This Row],[GroupByKey]])*OutputTable[RecordedValue]))</f>
        <v>9</v>
      </c>
    </row>
    <row r="90" spans="1:16" x14ac:dyDescent="0.35">
      <c r="A90" t="s">
        <v>66</v>
      </c>
      <c r="B90" t="s">
        <v>98</v>
      </c>
      <c r="C90">
        <v>18</v>
      </c>
      <c r="D90" t="s">
        <v>93</v>
      </c>
      <c r="E90" t="s">
        <v>94</v>
      </c>
      <c r="F90" t="s">
        <v>84</v>
      </c>
      <c r="G90">
        <v>0.53827957934213799</v>
      </c>
      <c r="H90">
        <v>0</v>
      </c>
      <c r="I9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cm="1">
        <f t="array" ref="K90">IFERROR(AVERAGE(IF((OutputTable[GroupByKey]=OutputTable[[#This Row],[GroupByKey]]),(OutputTable[GroupByKey]=OutputTable[[#This Row],[GroupByKey]])*OutputTable[RecordedValue])),0)</f>
        <v>0.63912553924181559</v>
      </c>
      <c r="L90" cm="1">
        <f t="array" ref="L90">IFERROR(_xlfn.STDEV.S(IF((OutputTable[GroupByKey]=OutputTable[[#This Row],[GroupByKey]]),(OutputTable[GroupByKey]=OutputTable[[#This Row],[GroupByKey]])*OutputTable[RecordedValue])),0)</f>
        <v>0.16841036655083153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90" cm="1">
        <f t="array" ref="O90">MIN(IF((OutputTable[GroupByKey]=OutputTable[[#This Row],[GroupByKey]]),(OutputTable[GroupByKey]=OutputTable[[#This Row],[GroupByKey]])*OutputTable[RecordedValue]))</f>
        <v>0.30856555337021802</v>
      </c>
      <c r="P90" cm="1">
        <f t="array" ref="P90">MAX(IF((OutputTable[GroupByKey]=OutputTable[[#This Row],[GroupByKey]]),(OutputTable[GroupByKey]=OutputTable[[#This Row],[GroupByKey]])*OutputTable[RecordedValue]))</f>
        <v>0.98721163888391195</v>
      </c>
    </row>
    <row r="91" spans="1:16" x14ac:dyDescent="0.35">
      <c r="A91" t="s">
        <v>66</v>
      </c>
      <c r="B91" t="s">
        <v>98</v>
      </c>
      <c r="C91">
        <v>18</v>
      </c>
      <c r="D91" t="s">
        <v>95</v>
      </c>
      <c r="E91" t="s">
        <v>90</v>
      </c>
      <c r="F91" t="s">
        <v>96</v>
      </c>
      <c r="G91">
        <v>5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cm="1">
        <f t="array" ref="K91">IFERROR(AVERAGE(IF((OutputTable[GroupByKey]=OutputTable[[#This Row],[GroupByKey]]),(OutputTable[GroupByKey]=OutputTable[[#This Row],[GroupByKey]])*OutputTable[RecordedValue])),0)</f>
        <v>4.8600000000000003</v>
      </c>
      <c r="L91" cm="1">
        <f t="array" ref="L91">IFERROR(_xlfn.STDEV.S(IF((OutputTable[GroupByKey]=OutputTable[[#This Row],[GroupByKey]]),(OutputTable[GroupByKey]=OutputTable[[#This Row],[GroupByKey]])*OutputTable[RecordedValue])),0)</f>
        <v>1.4287142785721427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91" cm="1">
        <f t="array" ref="O91">MIN(IF((OutputTable[GroupByKey]=OutputTable[[#This Row],[GroupByKey]]),(OutputTable[GroupByKey]=OutputTable[[#This Row],[GroupByKey]])*OutputTable[RecordedValue]))</f>
        <v>2</v>
      </c>
      <c r="P91" cm="1">
        <f t="array" ref="P91">MAX(IF((OutputTable[GroupByKey]=OutputTable[[#This Row],[GroupByKey]]),(OutputTable[GroupByKey]=OutputTable[[#This Row],[GroupByKey]])*OutputTable[RecordedValue]))</f>
        <v>8</v>
      </c>
    </row>
    <row r="92" spans="1:16" x14ac:dyDescent="0.35">
      <c r="A92" t="s">
        <v>66</v>
      </c>
      <c r="B92" t="s">
        <v>98</v>
      </c>
      <c r="C92">
        <v>19</v>
      </c>
      <c r="D92" t="s">
        <v>87</v>
      </c>
      <c r="E92" t="s">
        <v>88</v>
      </c>
      <c r="F92" t="s">
        <v>71</v>
      </c>
      <c r="G92">
        <v>7</v>
      </c>
      <c r="H92">
        <v>0</v>
      </c>
      <c r="I92" t="str">
        <f>OutputTable[[#This Row],[ProjectName]]&amp;OutputTable[[#This Row],[Name]]&amp;OutputTable[[#This Row],[Type]]&amp;OutputTable[[#This Row],[Source]]</f>
        <v>Unnamed ProjectArquivos.NumberInNumber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cm="1">
        <f t="array" ref="K92">IFERROR(AVERAGE(IF((OutputTable[GroupByKey]=OutputTable[[#This Row],[GroupByKey]]),(OutputTable[GroupByKey]=OutputTable[[#This Row],[GroupByKey]])*OutputTable[RecordedValue])),0)</f>
        <v>6.32</v>
      </c>
      <c r="L92" cm="1">
        <f t="array" ref="L92">IFERROR(_xlfn.STDEV.S(IF((OutputTable[GroupByKey]=OutputTable[[#This Row],[GroupByKey]]),(OutputTable[GroupByKey]=OutputTable[[#This Row],[GroupByKey]])*OutputTable[RecordedValue])),0)</f>
        <v>1.671367520252534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92" cm="1">
        <f t="array" ref="O92">MIN(IF((OutputTable[GroupByKey]=OutputTable[[#This Row],[GroupByKey]]),(OutputTable[GroupByKey]=OutputTable[[#This Row],[GroupByKey]])*OutputTable[RecordedValue]))</f>
        <v>3</v>
      </c>
      <c r="P92" cm="1">
        <f t="array" ref="P92">MAX(IF((OutputTable[GroupByKey]=OutputTable[[#This Row],[GroupByKey]]),(OutputTable[GroupByKey]=OutputTable[[#This Row],[GroupByKey]])*OutputTable[RecordedValue]))</f>
        <v>12</v>
      </c>
    </row>
    <row r="93" spans="1:16" x14ac:dyDescent="0.35">
      <c r="A93" t="s">
        <v>66</v>
      </c>
      <c r="B93" t="s">
        <v>98</v>
      </c>
      <c r="C93">
        <v>19</v>
      </c>
      <c r="D93" t="s">
        <v>89</v>
      </c>
      <c r="E93" t="s">
        <v>90</v>
      </c>
      <c r="F93" t="s">
        <v>71</v>
      </c>
      <c r="G93">
        <v>5</v>
      </c>
      <c r="H93">
        <v>0</v>
      </c>
      <c r="I93" t="str">
        <f>OutputTable[[#This Row],[ProjectName]]&amp;OutputTable[[#This Row],[Name]]&amp;OutputTable[[#This Row],[Type]]&amp;OutputTable[[#This Row],[Source]]</f>
        <v>Unnamed ProjectArquivos.NumberOutNumber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cm="1">
        <f t="array" ref="K93">IFERROR(AVERAGE(IF((OutputTable[GroupByKey]=OutputTable[[#This Row],[GroupByKey]]),(OutputTable[GroupByKey]=OutputTable[[#This Row],[GroupByKey]])*OutputTable[RecordedValue])),0)</f>
        <v>4.8600000000000003</v>
      </c>
      <c r="L93" cm="1">
        <f t="array" ref="L93">IFERROR(_xlfn.STDEV.S(IF((OutputTable[GroupByKey]=OutputTable[[#This Row],[GroupByKey]]),(OutputTable[GroupByKey]=OutputTable[[#This Row],[GroupByKey]])*OutputTable[RecordedValue])),0)</f>
        <v>1.4287142785721427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93" cm="1">
        <f t="array" ref="O93">MIN(IF((OutputTable[GroupByKey]=OutputTable[[#This Row],[GroupByKey]]),(OutputTable[GroupByKey]=OutputTable[[#This Row],[GroupByKey]])*OutputTable[RecordedValue]))</f>
        <v>2</v>
      </c>
      <c r="P93" cm="1">
        <f t="array" ref="P93">MAX(IF((OutputTable[GroupByKey]=OutputTable[[#This Row],[GroupByKey]]),(OutputTable[GroupByKey]=OutputTable[[#This Row],[GroupByKey]])*OutputTable[RecordedValue]))</f>
        <v>8</v>
      </c>
    </row>
    <row r="94" spans="1:16" x14ac:dyDescent="0.35">
      <c r="A94" t="s">
        <v>66</v>
      </c>
      <c r="B94" t="s">
        <v>98</v>
      </c>
      <c r="C94">
        <v>19</v>
      </c>
      <c r="D94" t="s">
        <v>91</v>
      </c>
      <c r="E94" t="s">
        <v>92</v>
      </c>
      <c r="F94" t="s">
        <v>84</v>
      </c>
      <c r="G94">
        <v>7</v>
      </c>
      <c r="H94">
        <v>0</v>
      </c>
      <c r="I94" t="str">
        <f>OutputTable[[#This Row],[ProjectName]]&amp;OutputTable[[#This Row],[Name]]&amp;OutputTable[[#This Row],[Type]]&amp;OutputTable[[#This Row],[Source]]</f>
        <v>Unnamed ProjectOperador.NumberSeizedTotal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cm="1">
        <f t="array" ref="K94">IFERROR(AVERAGE(IF((OutputTable[GroupByKey]=OutputTable[[#This Row],[GroupByKey]]),(OutputTable[GroupByKey]=OutputTable[[#This Row],[GroupByKey]])*OutputTable[RecordedValue])),0)</f>
        <v>6.14</v>
      </c>
      <c r="L94" cm="1">
        <f t="array" ref="L94">IFERROR(_xlfn.STDEV.S(IF((OutputTable[GroupByKey]=OutputTable[[#This Row],[GroupByKey]]),(OutputTable[GroupByKey]=OutputTable[[#This Row],[GroupByKey]])*OutputTable[RecordedValue])),0)</f>
        <v>1.4984345572793558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94" cm="1">
        <f t="array" ref="O94">MIN(IF((OutputTable[GroupByKey]=OutputTable[[#This Row],[GroupByKey]]),(OutputTable[GroupByKey]=OutputTable[[#This Row],[GroupByKey]])*OutputTable[RecordedValue]))</f>
        <v>3</v>
      </c>
      <c r="P94" cm="1">
        <f t="array" ref="P94">MAX(IF((OutputTable[GroupByKey]=OutputTable[[#This Row],[GroupByKey]]),(OutputTable[GroupByKey]=OutputTable[[#This Row],[GroupByKey]])*OutputTable[RecordedValue]))</f>
        <v>9</v>
      </c>
    </row>
    <row r="95" spans="1:16" x14ac:dyDescent="0.35">
      <c r="A95" t="s">
        <v>66</v>
      </c>
      <c r="B95" t="s">
        <v>98</v>
      </c>
      <c r="C95">
        <v>19</v>
      </c>
      <c r="D95" t="s">
        <v>93</v>
      </c>
      <c r="E95" t="s">
        <v>94</v>
      </c>
      <c r="F95" t="s">
        <v>84</v>
      </c>
      <c r="G95">
        <v>0.59969844815004303</v>
      </c>
      <c r="H95">
        <v>0</v>
      </c>
      <c r="I9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cm="1">
        <f t="array" ref="K95">IFERROR(AVERAGE(IF((OutputTable[GroupByKey]=OutputTable[[#This Row],[GroupByKey]]),(OutputTable[GroupByKey]=OutputTable[[#This Row],[GroupByKey]])*OutputTable[RecordedValue])),0)</f>
        <v>0.63912553924181559</v>
      </c>
      <c r="L95" cm="1">
        <f t="array" ref="L95">IFERROR(_xlfn.STDEV.S(IF((OutputTable[GroupByKey]=OutputTable[[#This Row],[GroupByKey]]),(OutputTable[GroupByKey]=OutputTable[[#This Row],[GroupByKey]])*OutputTable[RecordedValue])),0)</f>
        <v>0.16841036655083153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95" cm="1">
        <f t="array" ref="O95">MIN(IF((OutputTable[GroupByKey]=OutputTable[[#This Row],[GroupByKey]]),(OutputTable[GroupByKey]=OutputTable[[#This Row],[GroupByKey]])*OutputTable[RecordedValue]))</f>
        <v>0.30856555337021802</v>
      </c>
      <c r="P95" cm="1">
        <f t="array" ref="P95">MAX(IF((OutputTable[GroupByKey]=OutputTable[[#This Row],[GroupByKey]]),(OutputTable[GroupByKey]=OutputTable[[#This Row],[GroupByKey]])*OutputTable[RecordedValue]))</f>
        <v>0.98721163888391195</v>
      </c>
    </row>
    <row r="96" spans="1:16" x14ac:dyDescent="0.35">
      <c r="A96" t="s">
        <v>66</v>
      </c>
      <c r="B96" t="s">
        <v>98</v>
      </c>
      <c r="C96">
        <v>19</v>
      </c>
      <c r="D96" t="s">
        <v>95</v>
      </c>
      <c r="E96" t="s">
        <v>90</v>
      </c>
      <c r="F96" t="s">
        <v>96</v>
      </c>
      <c r="G96">
        <v>5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cm="1">
        <f t="array" ref="K96">IFERROR(AVERAGE(IF((OutputTable[GroupByKey]=OutputTable[[#This Row],[GroupByKey]]),(OutputTable[GroupByKey]=OutputTable[[#This Row],[GroupByKey]])*OutputTable[RecordedValue])),0)</f>
        <v>4.8600000000000003</v>
      </c>
      <c r="L96" cm="1">
        <f t="array" ref="L96">IFERROR(_xlfn.STDEV.S(IF((OutputTable[GroupByKey]=OutputTable[[#This Row],[GroupByKey]]),(OutputTable[GroupByKey]=OutputTable[[#This Row],[GroupByKey]])*OutputTable[RecordedValue])),0)</f>
        <v>1.4287142785721427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96" cm="1">
        <f t="array" ref="O96">MIN(IF((OutputTable[GroupByKey]=OutputTable[[#This Row],[GroupByKey]]),(OutputTable[GroupByKey]=OutputTable[[#This Row],[GroupByKey]])*OutputTable[RecordedValue]))</f>
        <v>2</v>
      </c>
      <c r="P96" cm="1">
        <f t="array" ref="P96">MAX(IF((OutputTable[GroupByKey]=OutputTable[[#This Row],[GroupByKey]]),(OutputTable[GroupByKey]=OutputTable[[#This Row],[GroupByKey]])*OutputTable[RecordedValue]))</f>
        <v>8</v>
      </c>
    </row>
    <row r="97" spans="1:16" x14ac:dyDescent="0.35">
      <c r="A97" t="s">
        <v>66</v>
      </c>
      <c r="B97" t="s">
        <v>98</v>
      </c>
      <c r="C97">
        <v>20</v>
      </c>
      <c r="D97" t="s">
        <v>87</v>
      </c>
      <c r="E97" t="s">
        <v>88</v>
      </c>
      <c r="F97" t="s">
        <v>71</v>
      </c>
      <c r="G97">
        <v>12</v>
      </c>
      <c r="H97">
        <v>0</v>
      </c>
      <c r="I97" t="str">
        <f>OutputTable[[#This Row],[ProjectName]]&amp;OutputTable[[#This Row],[Name]]&amp;OutputTable[[#This Row],[Type]]&amp;OutputTable[[#This Row],[Source]]</f>
        <v>Unnamed ProjectArquivos.NumberInNumber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cm="1">
        <f t="array" ref="K97">IFERROR(AVERAGE(IF((OutputTable[GroupByKey]=OutputTable[[#This Row],[GroupByKey]]),(OutputTable[GroupByKey]=OutputTable[[#This Row],[GroupByKey]])*OutputTable[RecordedValue])),0)</f>
        <v>6.32</v>
      </c>
      <c r="L97" cm="1">
        <f t="array" ref="L97">IFERROR(_xlfn.STDEV.S(IF((OutputTable[GroupByKey]=OutputTable[[#This Row],[GroupByKey]]),(OutputTable[GroupByKey]=OutputTable[[#This Row],[GroupByKey]])*OutputTable[RecordedValue])),0)</f>
        <v>1.671367520252534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97" cm="1">
        <f t="array" ref="O97">MIN(IF((OutputTable[GroupByKey]=OutputTable[[#This Row],[GroupByKey]]),(OutputTable[GroupByKey]=OutputTable[[#This Row],[GroupByKey]])*OutputTable[RecordedValue]))</f>
        <v>3</v>
      </c>
      <c r="P97" cm="1">
        <f t="array" ref="P97">MAX(IF((OutputTable[GroupByKey]=OutputTable[[#This Row],[GroupByKey]]),(OutputTable[GroupByKey]=OutputTable[[#This Row],[GroupByKey]])*OutputTable[RecordedValue]))</f>
        <v>12</v>
      </c>
    </row>
    <row r="98" spans="1:16" x14ac:dyDescent="0.35">
      <c r="A98" t="s">
        <v>66</v>
      </c>
      <c r="B98" t="s">
        <v>98</v>
      </c>
      <c r="C98">
        <v>20</v>
      </c>
      <c r="D98" t="s">
        <v>89</v>
      </c>
      <c r="E98" t="s">
        <v>90</v>
      </c>
      <c r="F98" t="s">
        <v>71</v>
      </c>
      <c r="G98">
        <v>6</v>
      </c>
      <c r="H98">
        <v>0</v>
      </c>
      <c r="I98" t="str">
        <f>OutputTable[[#This Row],[ProjectName]]&amp;OutputTable[[#This Row],[Name]]&amp;OutputTable[[#This Row],[Type]]&amp;OutputTable[[#This Row],[Source]]</f>
        <v>Unnamed ProjectArquivos.NumberOutNumber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cm="1">
        <f t="array" ref="K98">IFERROR(AVERAGE(IF((OutputTable[GroupByKey]=OutputTable[[#This Row],[GroupByKey]]),(OutputTable[GroupByKey]=OutputTable[[#This Row],[GroupByKey]])*OutputTable[RecordedValue])),0)</f>
        <v>4.8600000000000003</v>
      </c>
      <c r="L98" cm="1">
        <f t="array" ref="L98">IFERROR(_xlfn.STDEV.S(IF((OutputTable[GroupByKey]=OutputTable[[#This Row],[GroupByKey]]),(OutputTable[GroupByKey]=OutputTable[[#This Row],[GroupByKey]])*OutputTable[RecordedValue])),0)</f>
        <v>1.4287142785721427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98" cm="1">
        <f t="array" ref="O98">MIN(IF((OutputTable[GroupByKey]=OutputTable[[#This Row],[GroupByKey]]),(OutputTable[GroupByKey]=OutputTable[[#This Row],[GroupByKey]])*OutputTable[RecordedValue]))</f>
        <v>2</v>
      </c>
      <c r="P98" cm="1">
        <f t="array" ref="P98">MAX(IF((OutputTable[GroupByKey]=OutputTable[[#This Row],[GroupByKey]]),(OutputTable[GroupByKey]=OutputTable[[#This Row],[GroupByKey]])*OutputTable[RecordedValue]))</f>
        <v>8</v>
      </c>
    </row>
    <row r="99" spans="1:16" x14ac:dyDescent="0.35">
      <c r="A99" t="s">
        <v>66</v>
      </c>
      <c r="B99" t="s">
        <v>98</v>
      </c>
      <c r="C99">
        <v>20</v>
      </c>
      <c r="D99" t="s">
        <v>91</v>
      </c>
      <c r="E99" t="s">
        <v>92</v>
      </c>
      <c r="F99" t="s">
        <v>84</v>
      </c>
      <c r="G99">
        <v>8</v>
      </c>
      <c r="H99">
        <v>0</v>
      </c>
      <c r="I99" t="str">
        <f>OutputTable[[#This Row],[ProjectName]]&amp;OutputTable[[#This Row],[Name]]&amp;OutputTable[[#This Row],[Type]]&amp;OutputTable[[#This Row],[Source]]</f>
        <v>Unnamed ProjectOperador.NumberSeizedTotal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cm="1">
        <f t="array" ref="K99">IFERROR(AVERAGE(IF((OutputTable[GroupByKey]=OutputTable[[#This Row],[GroupByKey]]),(OutputTable[GroupByKey]=OutputTable[[#This Row],[GroupByKey]])*OutputTable[RecordedValue])),0)</f>
        <v>6.14</v>
      </c>
      <c r="L99" cm="1">
        <f t="array" ref="L99">IFERROR(_xlfn.STDEV.S(IF((OutputTable[GroupByKey]=OutputTable[[#This Row],[GroupByKey]]),(OutputTable[GroupByKey]=OutputTable[[#This Row],[GroupByKey]])*OutputTable[RecordedValue])),0)</f>
        <v>1.4984345572793558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99" cm="1">
        <f t="array" ref="O99">MIN(IF((OutputTable[GroupByKey]=OutputTable[[#This Row],[GroupByKey]]),(OutputTable[GroupByKey]=OutputTable[[#This Row],[GroupByKey]])*OutputTable[RecordedValue]))</f>
        <v>3</v>
      </c>
      <c r="P99" cm="1">
        <f t="array" ref="P99">MAX(IF((OutputTable[GroupByKey]=OutputTable[[#This Row],[GroupByKey]]),(OutputTable[GroupByKey]=OutputTable[[#This Row],[GroupByKey]])*OutputTable[RecordedValue]))</f>
        <v>9</v>
      </c>
    </row>
    <row r="100" spans="1:16" x14ac:dyDescent="0.35">
      <c r="A100" t="s">
        <v>66</v>
      </c>
      <c r="B100" t="s">
        <v>98</v>
      </c>
      <c r="C100">
        <v>20</v>
      </c>
      <c r="D100" t="s">
        <v>93</v>
      </c>
      <c r="E100" t="s">
        <v>94</v>
      </c>
      <c r="F100" t="s">
        <v>84</v>
      </c>
      <c r="G100">
        <v>0.90394589580505302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cm="1">
        <f t="array" ref="K100">IFERROR(AVERAGE(IF((OutputTable[GroupByKey]=OutputTable[[#This Row],[GroupByKey]]),(OutputTable[GroupByKey]=OutputTable[[#This Row],[GroupByKey]])*OutputTable[RecordedValue])),0)</f>
        <v>0.63912553924181559</v>
      </c>
      <c r="L100" cm="1">
        <f t="array" ref="L100">IFERROR(_xlfn.STDEV.S(IF((OutputTable[GroupByKey]=OutputTable[[#This Row],[GroupByKey]]),(OutputTable[GroupByKey]=OutputTable[[#This Row],[GroupByKey]])*OutputTable[RecordedValue])),0)</f>
        <v>0.16841036655083153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00" cm="1">
        <f t="array" ref="O100">MIN(IF((OutputTable[GroupByKey]=OutputTable[[#This Row],[GroupByKey]]),(OutputTable[GroupByKey]=OutputTable[[#This Row],[GroupByKey]])*OutputTable[RecordedValue]))</f>
        <v>0.30856555337021802</v>
      </c>
      <c r="P100" cm="1">
        <f t="array" ref="P100">MAX(IF((OutputTable[GroupByKey]=OutputTable[[#This Row],[GroupByKey]]),(OutputTable[GroupByKey]=OutputTable[[#This Row],[GroupByKey]])*OutputTable[RecordedValue]))</f>
        <v>0.98721163888391195</v>
      </c>
    </row>
    <row r="101" spans="1:16" x14ac:dyDescent="0.35">
      <c r="A101" t="s">
        <v>66</v>
      </c>
      <c r="B101" t="s">
        <v>98</v>
      </c>
      <c r="C101">
        <v>20</v>
      </c>
      <c r="D101" t="s">
        <v>95</v>
      </c>
      <c r="E101" t="s">
        <v>90</v>
      </c>
      <c r="F101" t="s">
        <v>96</v>
      </c>
      <c r="G101">
        <v>6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cm="1">
        <f t="array" ref="K101">IFERROR(AVERAGE(IF((OutputTable[GroupByKey]=OutputTable[[#This Row],[GroupByKey]]),(OutputTable[GroupByKey]=OutputTable[[#This Row],[GroupByKey]])*OutputTable[RecordedValue])),0)</f>
        <v>4.8600000000000003</v>
      </c>
      <c r="L101" cm="1">
        <f t="array" ref="L101">IFERROR(_xlfn.STDEV.S(IF((OutputTable[GroupByKey]=OutputTable[[#This Row],[GroupByKey]]),(OutputTable[GroupByKey]=OutputTable[[#This Row],[GroupByKey]])*OutputTable[RecordedValue])),0)</f>
        <v>1.4287142785721427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01" cm="1">
        <f t="array" ref="O101">MIN(IF((OutputTable[GroupByKey]=OutputTable[[#This Row],[GroupByKey]]),(OutputTable[GroupByKey]=OutputTable[[#This Row],[GroupByKey]])*OutputTable[RecordedValue]))</f>
        <v>2</v>
      </c>
      <c r="P101" cm="1">
        <f t="array" ref="P101">MAX(IF((OutputTable[GroupByKey]=OutputTable[[#This Row],[GroupByKey]]),(OutputTable[GroupByKey]=OutputTable[[#This Row],[GroupByKey]])*OutputTable[RecordedValue]))</f>
        <v>8</v>
      </c>
    </row>
    <row r="102" spans="1:16" x14ac:dyDescent="0.35">
      <c r="A102" t="s">
        <v>66</v>
      </c>
      <c r="B102" t="s">
        <v>98</v>
      </c>
      <c r="C102">
        <v>21</v>
      </c>
      <c r="D102" t="s">
        <v>87</v>
      </c>
      <c r="E102" t="s">
        <v>88</v>
      </c>
      <c r="F102" t="s">
        <v>71</v>
      </c>
      <c r="G102">
        <v>6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ProjectArquivos.NumberInNumber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cm="1">
        <f t="array" ref="K102">IFERROR(AVERAGE(IF((OutputTable[GroupByKey]=OutputTable[[#This Row],[GroupByKey]]),(OutputTable[GroupByKey]=OutputTable[[#This Row],[GroupByKey]])*OutputTable[RecordedValue])),0)</f>
        <v>6.32</v>
      </c>
      <c r="L102" cm="1">
        <f t="array" ref="L102">IFERROR(_xlfn.STDEV.S(IF((OutputTable[GroupByKey]=OutputTable[[#This Row],[GroupByKey]]),(OutputTable[GroupByKey]=OutputTable[[#This Row],[GroupByKey]])*OutputTable[RecordedValue])),0)</f>
        <v>1.671367520252534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02" cm="1">
        <f t="array" ref="O102">MIN(IF((OutputTable[GroupByKey]=OutputTable[[#This Row],[GroupByKey]]),(OutputTable[GroupByKey]=OutputTable[[#This Row],[GroupByKey]])*OutputTable[RecordedValue]))</f>
        <v>3</v>
      </c>
      <c r="P102" cm="1">
        <f t="array" ref="P102">MAX(IF((OutputTable[GroupByKey]=OutputTable[[#This Row],[GroupByKey]]),(OutputTable[GroupByKey]=OutputTable[[#This Row],[GroupByKey]])*OutputTable[RecordedValue]))</f>
        <v>12</v>
      </c>
    </row>
    <row r="103" spans="1:16" x14ac:dyDescent="0.35">
      <c r="A103" t="s">
        <v>66</v>
      </c>
      <c r="B103" t="s">
        <v>98</v>
      </c>
      <c r="C103">
        <v>21</v>
      </c>
      <c r="D103" t="s">
        <v>89</v>
      </c>
      <c r="E103" t="s">
        <v>90</v>
      </c>
      <c r="F103" t="s">
        <v>71</v>
      </c>
      <c r="G103">
        <v>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ProjectArquivos.NumberOutNumber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cm="1">
        <f t="array" ref="K103">IFERROR(AVERAGE(IF((OutputTable[GroupByKey]=OutputTable[[#This Row],[GroupByKey]]),(OutputTable[GroupByKey]=OutputTable[[#This Row],[GroupByKey]])*OutputTable[RecordedValue])),0)</f>
        <v>4.8600000000000003</v>
      </c>
      <c r="L103" cm="1">
        <f t="array" ref="L103">IFERROR(_xlfn.STDEV.S(IF((OutputTable[GroupByKey]=OutputTable[[#This Row],[GroupByKey]]),(OutputTable[GroupByKey]=OutputTable[[#This Row],[GroupByKey]])*OutputTable[RecordedValue])),0)</f>
        <v>1.4287142785721427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03" cm="1">
        <f t="array" ref="O103">MIN(IF((OutputTable[GroupByKey]=OutputTable[[#This Row],[GroupByKey]]),(OutputTable[GroupByKey]=OutputTable[[#This Row],[GroupByKey]])*OutputTable[RecordedValue]))</f>
        <v>2</v>
      </c>
      <c r="P103" cm="1">
        <f t="array" ref="P103">MAX(IF((OutputTable[GroupByKey]=OutputTable[[#This Row],[GroupByKey]]),(OutputTable[GroupByKey]=OutputTable[[#This Row],[GroupByKey]])*OutputTable[RecordedValue]))</f>
        <v>8</v>
      </c>
    </row>
    <row r="104" spans="1:16" x14ac:dyDescent="0.35">
      <c r="A104" t="s">
        <v>66</v>
      </c>
      <c r="B104" t="s">
        <v>98</v>
      </c>
      <c r="C104">
        <v>21</v>
      </c>
      <c r="D104" t="s">
        <v>91</v>
      </c>
      <c r="E104" t="s">
        <v>92</v>
      </c>
      <c r="F104" t="s">
        <v>84</v>
      </c>
      <c r="G104">
        <v>5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cm="1">
        <f t="array" ref="K104">IFERROR(AVERAGE(IF((OutputTable[GroupByKey]=OutputTable[[#This Row],[GroupByKey]]),(OutputTable[GroupByKey]=OutputTable[[#This Row],[GroupByKey]])*OutputTable[RecordedValue])),0)</f>
        <v>6.14</v>
      </c>
      <c r="L104" cm="1">
        <f t="array" ref="L104">IFERROR(_xlfn.STDEV.S(IF((OutputTable[GroupByKey]=OutputTable[[#This Row],[GroupByKey]]),(OutputTable[GroupByKey]=OutputTable[[#This Row],[GroupByKey]])*OutputTable[RecordedValue])),0)</f>
        <v>1.4984345572793558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04" cm="1">
        <f t="array" ref="O104">MIN(IF((OutputTable[GroupByKey]=OutputTable[[#This Row],[GroupByKey]]),(OutputTable[GroupByKey]=OutputTable[[#This Row],[GroupByKey]])*OutputTable[RecordedValue]))</f>
        <v>3</v>
      </c>
      <c r="P104" cm="1">
        <f t="array" ref="P104">MAX(IF((OutputTable[GroupByKey]=OutputTable[[#This Row],[GroupByKey]]),(OutputTable[GroupByKey]=OutputTable[[#This Row],[GroupByKey]])*OutputTable[RecordedValue]))</f>
        <v>9</v>
      </c>
    </row>
    <row r="105" spans="1:16" x14ac:dyDescent="0.35">
      <c r="A105" t="s">
        <v>66</v>
      </c>
      <c r="B105" t="s">
        <v>98</v>
      </c>
      <c r="C105">
        <v>21</v>
      </c>
      <c r="D105" t="s">
        <v>93</v>
      </c>
      <c r="E105" t="s">
        <v>94</v>
      </c>
      <c r="F105" t="s">
        <v>84</v>
      </c>
      <c r="G105">
        <v>0.66717661650990201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cm="1">
        <f t="array" ref="K105">IFERROR(AVERAGE(IF((OutputTable[GroupByKey]=OutputTable[[#This Row],[GroupByKey]]),(OutputTable[GroupByKey]=OutputTable[[#This Row],[GroupByKey]])*OutputTable[RecordedValue])),0)</f>
        <v>0.63912553924181559</v>
      </c>
      <c r="L105" cm="1">
        <f t="array" ref="L105">IFERROR(_xlfn.STDEV.S(IF((OutputTable[GroupByKey]=OutputTable[[#This Row],[GroupByKey]]),(OutputTable[GroupByKey]=OutputTable[[#This Row],[GroupByKey]])*OutputTable[RecordedValue])),0)</f>
        <v>0.16841036655083153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05" cm="1">
        <f t="array" ref="O105">MIN(IF((OutputTable[GroupByKey]=OutputTable[[#This Row],[GroupByKey]]),(OutputTable[GroupByKey]=OutputTable[[#This Row],[GroupByKey]])*OutputTable[RecordedValue]))</f>
        <v>0.30856555337021802</v>
      </c>
      <c r="P105" cm="1">
        <f t="array" ref="P105">MAX(IF((OutputTable[GroupByKey]=OutputTable[[#This Row],[GroupByKey]]),(OutputTable[GroupByKey]=OutputTable[[#This Row],[GroupByKey]])*OutputTable[RecordedValue]))</f>
        <v>0.98721163888391195</v>
      </c>
    </row>
    <row r="106" spans="1:16" x14ac:dyDescent="0.35">
      <c r="A106" t="s">
        <v>66</v>
      </c>
      <c r="B106" t="s">
        <v>98</v>
      </c>
      <c r="C106">
        <v>21</v>
      </c>
      <c r="D106" t="s">
        <v>95</v>
      </c>
      <c r="E106" t="s">
        <v>90</v>
      </c>
      <c r="F106" t="s">
        <v>96</v>
      </c>
      <c r="G106">
        <v>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cm="1">
        <f t="array" ref="K106">IFERROR(AVERAGE(IF((OutputTable[GroupByKey]=OutputTable[[#This Row],[GroupByKey]]),(OutputTable[GroupByKey]=OutputTable[[#This Row],[GroupByKey]])*OutputTable[RecordedValue])),0)</f>
        <v>4.8600000000000003</v>
      </c>
      <c r="L106" cm="1">
        <f t="array" ref="L106">IFERROR(_xlfn.STDEV.S(IF((OutputTable[GroupByKey]=OutputTable[[#This Row],[GroupByKey]]),(OutputTable[GroupByKey]=OutputTable[[#This Row],[GroupByKey]])*OutputTable[RecordedValue])),0)</f>
        <v>1.4287142785721427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06" cm="1">
        <f t="array" ref="O106">MIN(IF((OutputTable[GroupByKey]=OutputTable[[#This Row],[GroupByKey]]),(OutputTable[GroupByKey]=OutputTable[[#This Row],[GroupByKey]])*OutputTable[RecordedValue]))</f>
        <v>2</v>
      </c>
      <c r="P106" cm="1">
        <f t="array" ref="P106">MAX(IF((OutputTable[GroupByKey]=OutputTable[[#This Row],[GroupByKey]]),(OutputTable[GroupByKey]=OutputTable[[#This Row],[GroupByKey]])*OutputTable[RecordedValue]))</f>
        <v>8</v>
      </c>
    </row>
    <row r="107" spans="1:16" x14ac:dyDescent="0.35">
      <c r="A107" t="s">
        <v>66</v>
      </c>
      <c r="B107" t="s">
        <v>98</v>
      </c>
      <c r="C107">
        <v>22</v>
      </c>
      <c r="D107" t="s">
        <v>87</v>
      </c>
      <c r="E107" t="s">
        <v>88</v>
      </c>
      <c r="F107" t="s">
        <v>71</v>
      </c>
      <c r="G107">
        <v>6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ProjectArquivos.NumberInNumber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cm="1">
        <f t="array" ref="K107">IFERROR(AVERAGE(IF((OutputTable[GroupByKey]=OutputTable[[#This Row],[GroupByKey]]),(OutputTable[GroupByKey]=OutputTable[[#This Row],[GroupByKey]])*OutputTable[RecordedValue])),0)</f>
        <v>6.32</v>
      </c>
      <c r="L107" cm="1">
        <f t="array" ref="L107">IFERROR(_xlfn.STDEV.S(IF((OutputTable[GroupByKey]=OutputTable[[#This Row],[GroupByKey]]),(OutputTable[GroupByKey]=OutputTable[[#This Row],[GroupByKey]])*OutputTable[RecordedValue])),0)</f>
        <v>1.671367520252534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07" cm="1">
        <f t="array" ref="O107">MIN(IF((OutputTable[GroupByKey]=OutputTable[[#This Row],[GroupByKey]]),(OutputTable[GroupByKey]=OutputTable[[#This Row],[GroupByKey]])*OutputTable[RecordedValue]))</f>
        <v>3</v>
      </c>
      <c r="P107" cm="1">
        <f t="array" ref="P107">MAX(IF((OutputTable[GroupByKey]=OutputTable[[#This Row],[GroupByKey]]),(OutputTable[GroupByKey]=OutputTable[[#This Row],[GroupByKey]])*OutputTable[RecordedValue]))</f>
        <v>12</v>
      </c>
    </row>
    <row r="108" spans="1:16" x14ac:dyDescent="0.35">
      <c r="A108" t="s">
        <v>66</v>
      </c>
      <c r="B108" t="s">
        <v>98</v>
      </c>
      <c r="C108">
        <v>22</v>
      </c>
      <c r="D108" t="s">
        <v>89</v>
      </c>
      <c r="E108" t="s">
        <v>90</v>
      </c>
      <c r="F108" t="s">
        <v>71</v>
      </c>
      <c r="G108">
        <v>4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ProjectArquivos.NumberOutNumber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cm="1">
        <f t="array" ref="K108">IFERROR(AVERAGE(IF((OutputTable[GroupByKey]=OutputTable[[#This Row],[GroupByKey]]),(OutputTable[GroupByKey]=OutputTable[[#This Row],[GroupByKey]])*OutputTable[RecordedValue])),0)</f>
        <v>4.8600000000000003</v>
      </c>
      <c r="L108" cm="1">
        <f t="array" ref="L108">IFERROR(_xlfn.STDEV.S(IF((OutputTable[GroupByKey]=OutputTable[[#This Row],[GroupByKey]]),(OutputTable[GroupByKey]=OutputTable[[#This Row],[GroupByKey]])*OutputTable[RecordedValue])),0)</f>
        <v>1.4287142785721427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08" cm="1">
        <f t="array" ref="O108">MIN(IF((OutputTable[GroupByKey]=OutputTable[[#This Row],[GroupByKey]]),(OutputTable[GroupByKey]=OutputTable[[#This Row],[GroupByKey]])*OutputTable[RecordedValue]))</f>
        <v>2</v>
      </c>
      <c r="P108" cm="1">
        <f t="array" ref="P108">MAX(IF((OutputTable[GroupByKey]=OutputTable[[#This Row],[GroupByKey]]),(OutputTable[GroupByKey]=OutputTable[[#This Row],[GroupByKey]])*OutputTable[RecordedValue]))</f>
        <v>8</v>
      </c>
    </row>
    <row r="109" spans="1:16" x14ac:dyDescent="0.35">
      <c r="A109" t="s">
        <v>66</v>
      </c>
      <c r="B109" t="s">
        <v>98</v>
      </c>
      <c r="C109">
        <v>22</v>
      </c>
      <c r="D109" t="s">
        <v>91</v>
      </c>
      <c r="E109" t="s">
        <v>92</v>
      </c>
      <c r="F109" t="s">
        <v>84</v>
      </c>
      <c r="G109">
        <v>6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cm="1">
        <f t="array" ref="K109">IFERROR(AVERAGE(IF((OutputTable[GroupByKey]=OutputTable[[#This Row],[GroupByKey]]),(OutputTable[GroupByKey]=OutputTable[[#This Row],[GroupByKey]])*OutputTable[RecordedValue])),0)</f>
        <v>6.14</v>
      </c>
      <c r="L109" cm="1">
        <f t="array" ref="L109">IFERROR(_xlfn.STDEV.S(IF((OutputTable[GroupByKey]=OutputTable[[#This Row],[GroupByKey]]),(OutputTable[GroupByKey]=OutputTable[[#This Row],[GroupByKey]])*OutputTable[RecordedValue])),0)</f>
        <v>1.4984345572793558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09" cm="1">
        <f t="array" ref="O109">MIN(IF((OutputTable[GroupByKey]=OutputTable[[#This Row],[GroupByKey]]),(OutputTable[GroupByKey]=OutputTable[[#This Row],[GroupByKey]])*OutputTable[RecordedValue]))</f>
        <v>3</v>
      </c>
      <c r="P109" cm="1">
        <f t="array" ref="P109">MAX(IF((OutputTable[GroupByKey]=OutputTable[[#This Row],[GroupByKey]]),(OutputTable[GroupByKey]=OutputTable[[#This Row],[GroupByKey]])*OutputTable[RecordedValue]))</f>
        <v>9</v>
      </c>
    </row>
    <row r="110" spans="1:16" x14ac:dyDescent="0.35">
      <c r="A110" t="s">
        <v>66</v>
      </c>
      <c r="B110" t="s">
        <v>98</v>
      </c>
      <c r="C110">
        <v>22</v>
      </c>
      <c r="D110" t="s">
        <v>93</v>
      </c>
      <c r="E110" t="s">
        <v>94</v>
      </c>
      <c r="F110" t="s">
        <v>84</v>
      </c>
      <c r="G110">
        <v>0.61513270738353398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cm="1">
        <f t="array" ref="K110">IFERROR(AVERAGE(IF((OutputTable[GroupByKey]=OutputTable[[#This Row],[GroupByKey]]),(OutputTable[GroupByKey]=OutputTable[[#This Row],[GroupByKey]])*OutputTable[RecordedValue])),0)</f>
        <v>0.63912553924181559</v>
      </c>
      <c r="L110" cm="1">
        <f t="array" ref="L110">IFERROR(_xlfn.STDEV.S(IF((OutputTable[GroupByKey]=OutputTable[[#This Row],[GroupByKey]]),(OutputTable[GroupByKey]=OutputTable[[#This Row],[GroupByKey]])*OutputTable[RecordedValue])),0)</f>
        <v>0.16841036655083153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10" cm="1">
        <f t="array" ref="O110">MIN(IF((OutputTable[GroupByKey]=OutputTable[[#This Row],[GroupByKey]]),(OutputTable[GroupByKey]=OutputTable[[#This Row],[GroupByKey]])*OutputTable[RecordedValue]))</f>
        <v>0.30856555337021802</v>
      </c>
      <c r="P110" cm="1">
        <f t="array" ref="P110">MAX(IF((OutputTable[GroupByKey]=OutputTable[[#This Row],[GroupByKey]]),(OutputTable[GroupByKey]=OutputTable[[#This Row],[GroupByKey]])*OutputTable[RecordedValue]))</f>
        <v>0.98721163888391195</v>
      </c>
    </row>
    <row r="111" spans="1:16" x14ac:dyDescent="0.35">
      <c r="A111" t="s">
        <v>66</v>
      </c>
      <c r="B111" t="s">
        <v>98</v>
      </c>
      <c r="C111">
        <v>22</v>
      </c>
      <c r="D111" t="s">
        <v>95</v>
      </c>
      <c r="E111" t="s">
        <v>90</v>
      </c>
      <c r="F111" t="s">
        <v>96</v>
      </c>
      <c r="G111">
        <v>4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cm="1">
        <f t="array" ref="K111">IFERROR(AVERAGE(IF((OutputTable[GroupByKey]=OutputTable[[#This Row],[GroupByKey]]),(OutputTable[GroupByKey]=OutputTable[[#This Row],[GroupByKey]])*OutputTable[RecordedValue])),0)</f>
        <v>4.8600000000000003</v>
      </c>
      <c r="L111" cm="1">
        <f t="array" ref="L111">IFERROR(_xlfn.STDEV.S(IF((OutputTable[GroupByKey]=OutputTable[[#This Row],[GroupByKey]]),(OutputTable[GroupByKey]=OutputTable[[#This Row],[GroupByKey]])*OutputTable[RecordedValue])),0)</f>
        <v>1.4287142785721427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11" cm="1">
        <f t="array" ref="O111">MIN(IF((OutputTable[GroupByKey]=OutputTable[[#This Row],[GroupByKey]]),(OutputTable[GroupByKey]=OutputTable[[#This Row],[GroupByKey]])*OutputTable[RecordedValue]))</f>
        <v>2</v>
      </c>
      <c r="P111" cm="1">
        <f t="array" ref="P111">MAX(IF((OutputTable[GroupByKey]=OutputTable[[#This Row],[GroupByKey]]),(OutputTable[GroupByKey]=OutputTable[[#This Row],[GroupByKey]])*OutputTable[RecordedValue]))</f>
        <v>8</v>
      </c>
    </row>
    <row r="112" spans="1:16" x14ac:dyDescent="0.35">
      <c r="A112" t="s">
        <v>66</v>
      </c>
      <c r="B112" t="s">
        <v>98</v>
      </c>
      <c r="C112">
        <v>23</v>
      </c>
      <c r="D112" t="s">
        <v>87</v>
      </c>
      <c r="E112" t="s">
        <v>88</v>
      </c>
      <c r="F112" t="s">
        <v>71</v>
      </c>
      <c r="G112">
        <v>7</v>
      </c>
      <c r="H112">
        <v>0</v>
      </c>
      <c r="I112" t="str">
        <f>OutputTable[[#This Row],[ProjectName]]&amp;OutputTable[[#This Row],[Name]]&amp;OutputTable[[#This Row],[Type]]&amp;OutputTable[[#This Row],[Source]]</f>
        <v>Unnamed ProjectArquivos.NumberInNumber InEntity</v>
      </c>
      <c r="J112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cm="1">
        <f t="array" ref="K112">IFERROR(AVERAGE(IF((OutputTable[GroupByKey]=OutputTable[[#This Row],[GroupByKey]]),(OutputTable[GroupByKey]=OutputTable[[#This Row],[GroupByKey]])*OutputTable[RecordedValue])),0)</f>
        <v>6.32</v>
      </c>
      <c r="L112" cm="1">
        <f t="array" ref="L112">IFERROR(_xlfn.STDEV.S(IF((OutputTable[GroupByKey]=OutputTable[[#This Row],[GroupByKey]]),(OutputTable[GroupByKey]=OutputTable[[#This Row],[GroupByKey]])*OutputTable[RecordedValue])),0)</f>
        <v>1.671367520252534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12" cm="1">
        <f t="array" ref="O112">MIN(IF((OutputTable[GroupByKey]=OutputTable[[#This Row],[GroupByKey]]),(OutputTable[GroupByKey]=OutputTable[[#This Row],[GroupByKey]])*OutputTable[RecordedValue]))</f>
        <v>3</v>
      </c>
      <c r="P112" cm="1">
        <f t="array" ref="P112">MAX(IF((OutputTable[GroupByKey]=OutputTable[[#This Row],[GroupByKey]]),(OutputTable[GroupByKey]=OutputTable[[#This Row],[GroupByKey]])*OutputTable[RecordedValue]))</f>
        <v>12</v>
      </c>
    </row>
    <row r="113" spans="1:16" x14ac:dyDescent="0.35">
      <c r="A113" t="s">
        <v>66</v>
      </c>
      <c r="B113" t="s">
        <v>98</v>
      </c>
      <c r="C113">
        <v>23</v>
      </c>
      <c r="D113" t="s">
        <v>89</v>
      </c>
      <c r="E113" t="s">
        <v>90</v>
      </c>
      <c r="F113" t="s">
        <v>71</v>
      </c>
      <c r="G113">
        <v>7</v>
      </c>
      <c r="H113">
        <v>0</v>
      </c>
      <c r="I113" t="str">
        <f>OutputTable[[#This Row],[ProjectName]]&amp;OutputTable[[#This Row],[Name]]&amp;OutputTable[[#This Row],[Type]]&amp;OutputTable[[#This Row],[Source]]</f>
        <v>Unnamed ProjectArquivos.NumberOutNumber OutEntity</v>
      </c>
      <c r="J113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cm="1">
        <f t="array" ref="K113">IFERROR(AVERAGE(IF((OutputTable[GroupByKey]=OutputTable[[#This Row],[GroupByKey]]),(OutputTable[GroupByKey]=OutputTable[[#This Row],[GroupByKey]])*OutputTable[RecordedValue])),0)</f>
        <v>4.8600000000000003</v>
      </c>
      <c r="L113" cm="1">
        <f t="array" ref="L113">IFERROR(_xlfn.STDEV.S(IF((OutputTable[GroupByKey]=OutputTable[[#This Row],[GroupByKey]]),(OutputTable[GroupByKey]=OutputTable[[#This Row],[GroupByKey]])*OutputTable[RecordedValue])),0)</f>
        <v>1.4287142785721427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13" cm="1">
        <f t="array" ref="O113">MIN(IF((OutputTable[GroupByKey]=OutputTable[[#This Row],[GroupByKey]]),(OutputTable[GroupByKey]=OutputTable[[#This Row],[GroupByKey]])*OutputTable[RecordedValue]))</f>
        <v>2</v>
      </c>
      <c r="P113" cm="1">
        <f t="array" ref="P113">MAX(IF((OutputTable[GroupByKey]=OutputTable[[#This Row],[GroupByKey]]),(OutputTable[GroupByKey]=OutputTable[[#This Row],[GroupByKey]])*OutputTable[RecordedValue]))</f>
        <v>8</v>
      </c>
    </row>
    <row r="114" spans="1:16" x14ac:dyDescent="0.35">
      <c r="A114" t="s">
        <v>66</v>
      </c>
      <c r="B114" t="s">
        <v>98</v>
      </c>
      <c r="C114">
        <v>23</v>
      </c>
      <c r="D114" t="s">
        <v>91</v>
      </c>
      <c r="E114" t="s">
        <v>92</v>
      </c>
      <c r="F114" t="s">
        <v>84</v>
      </c>
      <c r="G114">
        <v>7</v>
      </c>
      <c r="H114">
        <v>0</v>
      </c>
      <c r="I11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14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cm="1">
        <f t="array" ref="K114">IFERROR(AVERAGE(IF((OutputTable[GroupByKey]=OutputTable[[#This Row],[GroupByKey]]),(OutputTable[GroupByKey]=OutputTable[[#This Row],[GroupByKey]])*OutputTable[RecordedValue])),0)</f>
        <v>6.14</v>
      </c>
      <c r="L114" cm="1">
        <f t="array" ref="L114">IFERROR(_xlfn.STDEV.S(IF((OutputTable[GroupByKey]=OutputTable[[#This Row],[GroupByKey]]),(OutputTable[GroupByKey]=OutputTable[[#This Row],[GroupByKey]])*OutputTable[RecordedValue])),0)</f>
        <v>1.4984345572793558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14" cm="1">
        <f t="array" ref="O114">MIN(IF((OutputTable[GroupByKey]=OutputTable[[#This Row],[GroupByKey]]),(OutputTable[GroupByKey]=OutputTable[[#This Row],[GroupByKey]])*OutputTable[RecordedValue]))</f>
        <v>3</v>
      </c>
      <c r="P114" cm="1">
        <f t="array" ref="P114">MAX(IF((OutputTable[GroupByKey]=OutputTable[[#This Row],[GroupByKey]]),(OutputTable[GroupByKey]=OutputTable[[#This Row],[GroupByKey]])*OutputTable[RecordedValue]))</f>
        <v>9</v>
      </c>
    </row>
    <row r="115" spans="1:16" x14ac:dyDescent="0.35">
      <c r="A115" t="s">
        <v>66</v>
      </c>
      <c r="B115" t="s">
        <v>98</v>
      </c>
      <c r="C115">
        <v>23</v>
      </c>
      <c r="D115" t="s">
        <v>93</v>
      </c>
      <c r="E115" t="s">
        <v>94</v>
      </c>
      <c r="F115" t="s">
        <v>84</v>
      </c>
      <c r="G115">
        <v>0.78616663069535198</v>
      </c>
      <c r="H115">
        <v>0</v>
      </c>
      <c r="I11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1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cm="1">
        <f t="array" ref="K115">IFERROR(AVERAGE(IF((OutputTable[GroupByKey]=OutputTable[[#This Row],[GroupByKey]]),(OutputTable[GroupByKey]=OutputTable[[#This Row],[GroupByKey]])*OutputTable[RecordedValue])),0)</f>
        <v>0.63912553924181559</v>
      </c>
      <c r="L115" cm="1">
        <f t="array" ref="L115">IFERROR(_xlfn.STDEV.S(IF((OutputTable[GroupByKey]=OutputTable[[#This Row],[GroupByKey]]),(OutputTable[GroupByKey]=OutputTable[[#This Row],[GroupByKey]])*OutputTable[RecordedValue])),0)</f>
        <v>0.16841036655083153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15" cm="1">
        <f t="array" ref="O115">MIN(IF((OutputTable[GroupByKey]=OutputTable[[#This Row],[GroupByKey]]),(OutputTable[GroupByKey]=OutputTable[[#This Row],[GroupByKey]])*OutputTable[RecordedValue]))</f>
        <v>0.30856555337021802</v>
      </c>
      <c r="P115" cm="1">
        <f t="array" ref="P115">MAX(IF((OutputTable[GroupByKey]=OutputTable[[#This Row],[GroupByKey]]),(OutputTable[GroupByKey]=OutputTable[[#This Row],[GroupByKey]])*OutputTable[RecordedValue]))</f>
        <v>0.98721163888391195</v>
      </c>
    </row>
    <row r="116" spans="1:16" x14ac:dyDescent="0.35">
      <c r="A116" t="s">
        <v>66</v>
      </c>
      <c r="B116" t="s">
        <v>98</v>
      </c>
      <c r="C116">
        <v>23</v>
      </c>
      <c r="D116" t="s">
        <v>95</v>
      </c>
      <c r="E116" t="s">
        <v>90</v>
      </c>
      <c r="F116" t="s">
        <v>96</v>
      </c>
      <c r="G116">
        <v>7</v>
      </c>
      <c r="H116">
        <v>0</v>
      </c>
      <c r="I116" t="str">
        <f>OutputTable[[#This Row],[ProjectName]]&amp;OutputTable[[#This Row],[Name]]&amp;OutputTable[[#This Row],[Type]]&amp;OutputTable[[#This Row],[Source]]</f>
        <v>Unnamed ProjectSystem.NumberOutNumber OutSystem</v>
      </c>
      <c r="J116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cm="1">
        <f t="array" ref="K116">IFERROR(AVERAGE(IF((OutputTable[GroupByKey]=OutputTable[[#This Row],[GroupByKey]]),(OutputTable[GroupByKey]=OutputTable[[#This Row],[GroupByKey]])*OutputTable[RecordedValue])),0)</f>
        <v>4.8600000000000003</v>
      </c>
      <c r="L116" cm="1">
        <f t="array" ref="L116">IFERROR(_xlfn.STDEV.S(IF((OutputTable[GroupByKey]=OutputTable[[#This Row],[GroupByKey]]),(OutputTable[GroupByKey]=OutputTable[[#This Row],[GroupByKey]])*OutputTable[RecordedValue])),0)</f>
        <v>1.4287142785721427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16" cm="1">
        <f t="array" ref="O116">MIN(IF((OutputTable[GroupByKey]=OutputTable[[#This Row],[GroupByKey]]),(OutputTable[GroupByKey]=OutputTable[[#This Row],[GroupByKey]])*OutputTable[RecordedValue]))</f>
        <v>2</v>
      </c>
      <c r="P116" cm="1">
        <f t="array" ref="P116">MAX(IF((OutputTable[GroupByKey]=OutputTable[[#This Row],[GroupByKey]]),(OutputTable[GroupByKey]=OutputTable[[#This Row],[GroupByKey]])*OutputTable[RecordedValue]))</f>
        <v>8</v>
      </c>
    </row>
    <row r="117" spans="1:16" x14ac:dyDescent="0.35">
      <c r="A117" t="s">
        <v>66</v>
      </c>
      <c r="B117" t="s">
        <v>98</v>
      </c>
      <c r="C117">
        <v>24</v>
      </c>
      <c r="D117" t="s">
        <v>87</v>
      </c>
      <c r="E117" t="s">
        <v>88</v>
      </c>
      <c r="F117" t="s">
        <v>71</v>
      </c>
      <c r="G117">
        <v>5</v>
      </c>
      <c r="H117">
        <v>0</v>
      </c>
      <c r="I117" t="str">
        <f>OutputTable[[#This Row],[ProjectName]]&amp;OutputTable[[#This Row],[Name]]&amp;OutputTable[[#This Row],[Type]]&amp;OutputTable[[#This Row],[Source]]</f>
        <v>Unnamed ProjectArquivos.NumberInNumber InEntity</v>
      </c>
      <c r="J117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cm="1">
        <f t="array" ref="K117">IFERROR(AVERAGE(IF((OutputTable[GroupByKey]=OutputTable[[#This Row],[GroupByKey]]),(OutputTable[GroupByKey]=OutputTable[[#This Row],[GroupByKey]])*OutputTable[RecordedValue])),0)</f>
        <v>6.32</v>
      </c>
      <c r="L117" cm="1">
        <f t="array" ref="L117">IFERROR(_xlfn.STDEV.S(IF((OutputTable[GroupByKey]=OutputTable[[#This Row],[GroupByKey]]),(OutputTable[GroupByKey]=OutputTable[[#This Row],[GroupByKey]])*OutputTable[RecordedValue])),0)</f>
        <v>1.671367520252534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17" cm="1">
        <f t="array" ref="O117">MIN(IF((OutputTable[GroupByKey]=OutputTable[[#This Row],[GroupByKey]]),(OutputTable[GroupByKey]=OutputTable[[#This Row],[GroupByKey]])*OutputTable[RecordedValue]))</f>
        <v>3</v>
      </c>
      <c r="P117" cm="1">
        <f t="array" ref="P117">MAX(IF((OutputTable[GroupByKey]=OutputTable[[#This Row],[GroupByKey]]),(OutputTable[GroupByKey]=OutputTable[[#This Row],[GroupByKey]])*OutputTable[RecordedValue]))</f>
        <v>12</v>
      </c>
    </row>
    <row r="118" spans="1:16" x14ac:dyDescent="0.35">
      <c r="A118" t="s">
        <v>66</v>
      </c>
      <c r="B118" t="s">
        <v>98</v>
      </c>
      <c r="C118">
        <v>24</v>
      </c>
      <c r="D118" t="s">
        <v>89</v>
      </c>
      <c r="E118" t="s">
        <v>90</v>
      </c>
      <c r="F118" t="s">
        <v>71</v>
      </c>
      <c r="G118">
        <v>5</v>
      </c>
      <c r="H118">
        <v>0</v>
      </c>
      <c r="I118" t="str">
        <f>OutputTable[[#This Row],[ProjectName]]&amp;OutputTable[[#This Row],[Name]]&amp;OutputTable[[#This Row],[Type]]&amp;OutputTable[[#This Row],[Source]]</f>
        <v>Unnamed ProjectArquivos.NumberOutNumber OutEntity</v>
      </c>
      <c r="J118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cm="1">
        <f t="array" ref="K118">IFERROR(AVERAGE(IF((OutputTable[GroupByKey]=OutputTable[[#This Row],[GroupByKey]]),(OutputTable[GroupByKey]=OutputTable[[#This Row],[GroupByKey]])*OutputTable[RecordedValue])),0)</f>
        <v>4.8600000000000003</v>
      </c>
      <c r="L118" cm="1">
        <f t="array" ref="L118">IFERROR(_xlfn.STDEV.S(IF((OutputTable[GroupByKey]=OutputTable[[#This Row],[GroupByKey]]),(OutputTable[GroupByKey]=OutputTable[[#This Row],[GroupByKey]])*OutputTable[RecordedValue])),0)</f>
        <v>1.4287142785721427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18" cm="1">
        <f t="array" ref="O118">MIN(IF((OutputTable[GroupByKey]=OutputTable[[#This Row],[GroupByKey]]),(OutputTable[GroupByKey]=OutputTable[[#This Row],[GroupByKey]])*OutputTable[RecordedValue]))</f>
        <v>2</v>
      </c>
      <c r="P118" cm="1">
        <f t="array" ref="P118">MAX(IF((OutputTable[GroupByKey]=OutputTable[[#This Row],[GroupByKey]]),(OutputTable[GroupByKey]=OutputTable[[#This Row],[GroupByKey]])*OutputTable[RecordedValue]))</f>
        <v>8</v>
      </c>
    </row>
    <row r="119" spans="1:16" x14ac:dyDescent="0.35">
      <c r="A119" t="s">
        <v>66</v>
      </c>
      <c r="B119" t="s">
        <v>98</v>
      </c>
      <c r="C119">
        <v>24</v>
      </c>
      <c r="D119" t="s">
        <v>91</v>
      </c>
      <c r="E119" t="s">
        <v>92</v>
      </c>
      <c r="F119" t="s">
        <v>84</v>
      </c>
      <c r="G119">
        <v>5</v>
      </c>
      <c r="H119">
        <v>0</v>
      </c>
      <c r="I11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19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cm="1">
        <f t="array" ref="K119">IFERROR(AVERAGE(IF((OutputTable[GroupByKey]=OutputTable[[#This Row],[GroupByKey]]),(OutputTable[GroupByKey]=OutputTable[[#This Row],[GroupByKey]])*OutputTable[RecordedValue])),0)</f>
        <v>6.14</v>
      </c>
      <c r="L119" cm="1">
        <f t="array" ref="L119">IFERROR(_xlfn.STDEV.S(IF((OutputTable[GroupByKey]=OutputTable[[#This Row],[GroupByKey]]),(OutputTable[GroupByKey]=OutputTable[[#This Row],[GroupByKey]])*OutputTable[RecordedValue])),0)</f>
        <v>1.4984345572793558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19" cm="1">
        <f t="array" ref="O119">MIN(IF((OutputTable[GroupByKey]=OutputTable[[#This Row],[GroupByKey]]),(OutputTable[GroupByKey]=OutputTable[[#This Row],[GroupByKey]])*OutputTable[RecordedValue]))</f>
        <v>3</v>
      </c>
      <c r="P119" cm="1">
        <f t="array" ref="P119">MAX(IF((OutputTable[GroupByKey]=OutputTable[[#This Row],[GroupByKey]]),(OutputTable[GroupByKey]=OutputTable[[#This Row],[GroupByKey]])*OutputTable[RecordedValue]))</f>
        <v>9</v>
      </c>
    </row>
    <row r="120" spans="1:16" x14ac:dyDescent="0.35">
      <c r="A120" t="s">
        <v>66</v>
      </c>
      <c r="B120" t="s">
        <v>98</v>
      </c>
      <c r="C120">
        <v>24</v>
      </c>
      <c r="D120" t="s">
        <v>93</v>
      </c>
      <c r="E120" t="s">
        <v>94</v>
      </c>
      <c r="F120" t="s">
        <v>84</v>
      </c>
      <c r="G120">
        <v>0.66762872130769402</v>
      </c>
      <c r="H120">
        <v>0</v>
      </c>
      <c r="I12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20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cm="1">
        <f t="array" ref="K120">IFERROR(AVERAGE(IF((OutputTable[GroupByKey]=OutputTable[[#This Row],[GroupByKey]]),(OutputTable[GroupByKey]=OutputTable[[#This Row],[GroupByKey]])*OutputTable[RecordedValue])),0)</f>
        <v>0.63912553924181559</v>
      </c>
      <c r="L120" cm="1">
        <f t="array" ref="L120">IFERROR(_xlfn.STDEV.S(IF((OutputTable[GroupByKey]=OutputTable[[#This Row],[GroupByKey]]),(OutputTable[GroupByKey]=OutputTable[[#This Row],[GroupByKey]])*OutputTable[RecordedValue])),0)</f>
        <v>0.16841036655083153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20" cm="1">
        <f t="array" ref="O120">MIN(IF((OutputTable[GroupByKey]=OutputTable[[#This Row],[GroupByKey]]),(OutputTable[GroupByKey]=OutputTable[[#This Row],[GroupByKey]])*OutputTable[RecordedValue]))</f>
        <v>0.30856555337021802</v>
      </c>
      <c r="P120" cm="1">
        <f t="array" ref="P120">MAX(IF((OutputTable[GroupByKey]=OutputTable[[#This Row],[GroupByKey]]),(OutputTable[GroupByKey]=OutputTable[[#This Row],[GroupByKey]])*OutputTable[RecordedValue]))</f>
        <v>0.98721163888391195</v>
      </c>
    </row>
    <row r="121" spans="1:16" x14ac:dyDescent="0.35">
      <c r="A121" t="s">
        <v>66</v>
      </c>
      <c r="B121" t="s">
        <v>98</v>
      </c>
      <c r="C121">
        <v>24</v>
      </c>
      <c r="D121" t="s">
        <v>95</v>
      </c>
      <c r="E121" t="s">
        <v>90</v>
      </c>
      <c r="F121" t="s">
        <v>96</v>
      </c>
      <c r="G121">
        <v>5</v>
      </c>
      <c r="H121">
        <v>0</v>
      </c>
      <c r="I121" t="str">
        <f>OutputTable[[#This Row],[ProjectName]]&amp;OutputTable[[#This Row],[Name]]&amp;OutputTable[[#This Row],[Type]]&amp;OutputTable[[#This Row],[Source]]</f>
        <v>Unnamed ProjectSystem.NumberOutNumber OutSystem</v>
      </c>
      <c r="J121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cm="1">
        <f t="array" ref="K121">IFERROR(AVERAGE(IF((OutputTable[GroupByKey]=OutputTable[[#This Row],[GroupByKey]]),(OutputTable[GroupByKey]=OutputTable[[#This Row],[GroupByKey]])*OutputTable[RecordedValue])),0)</f>
        <v>4.8600000000000003</v>
      </c>
      <c r="L121" cm="1">
        <f t="array" ref="L121">IFERROR(_xlfn.STDEV.S(IF((OutputTable[GroupByKey]=OutputTable[[#This Row],[GroupByKey]]),(OutputTable[GroupByKey]=OutputTable[[#This Row],[GroupByKey]])*OutputTable[RecordedValue])),0)</f>
        <v>1.4287142785721427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21" cm="1">
        <f t="array" ref="O121">MIN(IF((OutputTable[GroupByKey]=OutputTable[[#This Row],[GroupByKey]]),(OutputTable[GroupByKey]=OutputTable[[#This Row],[GroupByKey]])*OutputTable[RecordedValue]))</f>
        <v>2</v>
      </c>
      <c r="P121" cm="1">
        <f t="array" ref="P121">MAX(IF((OutputTable[GroupByKey]=OutputTable[[#This Row],[GroupByKey]]),(OutputTable[GroupByKey]=OutputTable[[#This Row],[GroupByKey]])*OutputTable[RecordedValue]))</f>
        <v>8</v>
      </c>
    </row>
    <row r="122" spans="1:16" x14ac:dyDescent="0.35">
      <c r="A122" t="s">
        <v>66</v>
      </c>
      <c r="B122" t="s">
        <v>98</v>
      </c>
      <c r="C122">
        <v>25</v>
      </c>
      <c r="D122" t="s">
        <v>87</v>
      </c>
      <c r="E122" t="s">
        <v>88</v>
      </c>
      <c r="F122" t="s">
        <v>71</v>
      </c>
      <c r="G122">
        <v>8</v>
      </c>
      <c r="H122">
        <v>0</v>
      </c>
      <c r="I122" t="str">
        <f>OutputTable[[#This Row],[ProjectName]]&amp;OutputTable[[#This Row],[Name]]&amp;OutputTable[[#This Row],[Type]]&amp;OutputTable[[#This Row],[Source]]</f>
        <v>Unnamed ProjectArquivos.NumberInNumber InEntity</v>
      </c>
      <c r="J122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cm="1">
        <f t="array" ref="K122">IFERROR(AVERAGE(IF((OutputTable[GroupByKey]=OutputTable[[#This Row],[GroupByKey]]),(OutputTable[GroupByKey]=OutputTable[[#This Row],[GroupByKey]])*OutputTable[RecordedValue])),0)</f>
        <v>6.32</v>
      </c>
      <c r="L122" cm="1">
        <f t="array" ref="L122">IFERROR(_xlfn.STDEV.S(IF((OutputTable[GroupByKey]=OutputTable[[#This Row],[GroupByKey]]),(OutputTable[GroupByKey]=OutputTable[[#This Row],[GroupByKey]])*OutputTable[RecordedValue])),0)</f>
        <v>1.671367520252534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22" cm="1">
        <f t="array" ref="O122">MIN(IF((OutputTable[GroupByKey]=OutputTable[[#This Row],[GroupByKey]]),(OutputTable[GroupByKey]=OutputTable[[#This Row],[GroupByKey]])*OutputTable[RecordedValue]))</f>
        <v>3</v>
      </c>
      <c r="P122" cm="1">
        <f t="array" ref="P122">MAX(IF((OutputTable[GroupByKey]=OutputTable[[#This Row],[GroupByKey]]),(OutputTable[GroupByKey]=OutputTable[[#This Row],[GroupByKey]])*OutputTable[RecordedValue]))</f>
        <v>12</v>
      </c>
    </row>
    <row r="123" spans="1:16" x14ac:dyDescent="0.35">
      <c r="A123" t="s">
        <v>66</v>
      </c>
      <c r="B123" t="s">
        <v>98</v>
      </c>
      <c r="C123">
        <v>25</v>
      </c>
      <c r="D123" t="s">
        <v>89</v>
      </c>
      <c r="E123" t="s">
        <v>90</v>
      </c>
      <c r="F123" t="s">
        <v>71</v>
      </c>
      <c r="G123">
        <v>8</v>
      </c>
      <c r="H123">
        <v>0</v>
      </c>
      <c r="I123" t="str">
        <f>OutputTable[[#This Row],[ProjectName]]&amp;OutputTable[[#This Row],[Name]]&amp;OutputTable[[#This Row],[Type]]&amp;OutputTable[[#This Row],[Source]]</f>
        <v>Unnamed ProjectArquivos.NumberOutNumber OutEntity</v>
      </c>
      <c r="J123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cm="1">
        <f t="array" ref="K123">IFERROR(AVERAGE(IF((OutputTable[GroupByKey]=OutputTable[[#This Row],[GroupByKey]]),(OutputTable[GroupByKey]=OutputTable[[#This Row],[GroupByKey]])*OutputTable[RecordedValue])),0)</f>
        <v>4.8600000000000003</v>
      </c>
      <c r="L123" cm="1">
        <f t="array" ref="L123">IFERROR(_xlfn.STDEV.S(IF((OutputTable[GroupByKey]=OutputTable[[#This Row],[GroupByKey]]),(OutputTable[GroupByKey]=OutputTable[[#This Row],[GroupByKey]])*OutputTable[RecordedValue])),0)</f>
        <v>1.4287142785721427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23" cm="1">
        <f t="array" ref="O123">MIN(IF((OutputTable[GroupByKey]=OutputTable[[#This Row],[GroupByKey]]),(OutputTable[GroupByKey]=OutputTable[[#This Row],[GroupByKey]])*OutputTable[RecordedValue]))</f>
        <v>2</v>
      </c>
      <c r="P123" cm="1">
        <f t="array" ref="P123">MAX(IF((OutputTable[GroupByKey]=OutputTable[[#This Row],[GroupByKey]]),(OutputTable[GroupByKey]=OutputTable[[#This Row],[GroupByKey]])*OutputTable[RecordedValue]))</f>
        <v>8</v>
      </c>
    </row>
    <row r="124" spans="1:16" x14ac:dyDescent="0.35">
      <c r="A124" t="s">
        <v>66</v>
      </c>
      <c r="B124" t="s">
        <v>98</v>
      </c>
      <c r="C124">
        <v>25</v>
      </c>
      <c r="D124" t="s">
        <v>91</v>
      </c>
      <c r="E124" t="s">
        <v>92</v>
      </c>
      <c r="F124" t="s">
        <v>84</v>
      </c>
      <c r="G124">
        <v>8</v>
      </c>
      <c r="H124">
        <v>0</v>
      </c>
      <c r="I12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24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cm="1">
        <f t="array" ref="K124">IFERROR(AVERAGE(IF((OutputTable[GroupByKey]=OutputTable[[#This Row],[GroupByKey]]),(OutputTable[GroupByKey]=OutputTable[[#This Row],[GroupByKey]])*OutputTable[RecordedValue])),0)</f>
        <v>6.14</v>
      </c>
      <c r="L124" cm="1">
        <f t="array" ref="L124">IFERROR(_xlfn.STDEV.S(IF((OutputTable[GroupByKey]=OutputTable[[#This Row],[GroupByKey]]),(OutputTable[GroupByKey]=OutputTable[[#This Row],[GroupByKey]])*OutputTable[RecordedValue])),0)</f>
        <v>1.4984345572793558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24" cm="1">
        <f t="array" ref="O124">MIN(IF((OutputTable[GroupByKey]=OutputTable[[#This Row],[GroupByKey]]),(OutputTable[GroupByKey]=OutputTable[[#This Row],[GroupByKey]])*OutputTable[RecordedValue]))</f>
        <v>3</v>
      </c>
      <c r="P124" cm="1">
        <f t="array" ref="P124">MAX(IF((OutputTable[GroupByKey]=OutputTable[[#This Row],[GroupByKey]]),(OutputTable[GroupByKey]=OutputTable[[#This Row],[GroupByKey]])*OutputTable[RecordedValue]))</f>
        <v>9</v>
      </c>
    </row>
    <row r="125" spans="1:16" x14ac:dyDescent="0.35">
      <c r="A125" t="s">
        <v>66</v>
      </c>
      <c r="B125" t="s">
        <v>98</v>
      </c>
      <c r="C125">
        <v>25</v>
      </c>
      <c r="D125" t="s">
        <v>93</v>
      </c>
      <c r="E125" t="s">
        <v>94</v>
      </c>
      <c r="F125" t="s">
        <v>84</v>
      </c>
      <c r="G125">
        <v>0.80879288021883</v>
      </c>
      <c r="H125">
        <v>0</v>
      </c>
      <c r="I12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2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cm="1">
        <f t="array" ref="K125">IFERROR(AVERAGE(IF((OutputTable[GroupByKey]=OutputTable[[#This Row],[GroupByKey]]),(OutputTable[GroupByKey]=OutputTable[[#This Row],[GroupByKey]])*OutputTable[RecordedValue])),0)</f>
        <v>0.63912553924181559</v>
      </c>
      <c r="L125" cm="1">
        <f t="array" ref="L125">IFERROR(_xlfn.STDEV.S(IF((OutputTable[GroupByKey]=OutputTable[[#This Row],[GroupByKey]]),(OutputTable[GroupByKey]=OutputTable[[#This Row],[GroupByKey]])*OutputTable[RecordedValue])),0)</f>
        <v>0.16841036655083153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25" cm="1">
        <f t="array" ref="O125">MIN(IF((OutputTable[GroupByKey]=OutputTable[[#This Row],[GroupByKey]]),(OutputTable[GroupByKey]=OutputTable[[#This Row],[GroupByKey]])*OutputTable[RecordedValue]))</f>
        <v>0.30856555337021802</v>
      </c>
      <c r="P125" cm="1">
        <f t="array" ref="P125">MAX(IF((OutputTable[GroupByKey]=OutputTable[[#This Row],[GroupByKey]]),(OutputTable[GroupByKey]=OutputTable[[#This Row],[GroupByKey]])*OutputTable[RecordedValue]))</f>
        <v>0.98721163888391195</v>
      </c>
    </row>
    <row r="126" spans="1:16" x14ac:dyDescent="0.35">
      <c r="A126" t="s">
        <v>66</v>
      </c>
      <c r="B126" t="s">
        <v>98</v>
      </c>
      <c r="C126">
        <v>25</v>
      </c>
      <c r="D126" t="s">
        <v>95</v>
      </c>
      <c r="E126" t="s">
        <v>90</v>
      </c>
      <c r="F126" t="s">
        <v>96</v>
      </c>
      <c r="G126">
        <v>8</v>
      </c>
      <c r="H126">
        <v>0</v>
      </c>
      <c r="I126" t="str">
        <f>OutputTable[[#This Row],[ProjectName]]&amp;OutputTable[[#This Row],[Name]]&amp;OutputTable[[#This Row],[Type]]&amp;OutputTable[[#This Row],[Source]]</f>
        <v>Unnamed ProjectSystem.NumberOutNumber OutSystem</v>
      </c>
      <c r="J126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cm="1">
        <f t="array" ref="K126">IFERROR(AVERAGE(IF((OutputTable[GroupByKey]=OutputTable[[#This Row],[GroupByKey]]),(OutputTable[GroupByKey]=OutputTable[[#This Row],[GroupByKey]])*OutputTable[RecordedValue])),0)</f>
        <v>4.8600000000000003</v>
      </c>
      <c r="L126" cm="1">
        <f t="array" ref="L126">IFERROR(_xlfn.STDEV.S(IF((OutputTable[GroupByKey]=OutputTable[[#This Row],[GroupByKey]]),(OutputTable[GroupByKey]=OutputTable[[#This Row],[GroupByKey]])*OutputTable[RecordedValue])),0)</f>
        <v>1.4287142785721427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26" cm="1">
        <f t="array" ref="O126">MIN(IF((OutputTable[GroupByKey]=OutputTable[[#This Row],[GroupByKey]]),(OutputTable[GroupByKey]=OutputTable[[#This Row],[GroupByKey]])*OutputTable[RecordedValue]))</f>
        <v>2</v>
      </c>
      <c r="P126" cm="1">
        <f t="array" ref="P126">MAX(IF((OutputTable[GroupByKey]=OutputTable[[#This Row],[GroupByKey]]),(OutputTable[GroupByKey]=OutputTable[[#This Row],[GroupByKey]])*OutputTable[RecordedValue]))</f>
        <v>8</v>
      </c>
    </row>
    <row r="127" spans="1:16" x14ac:dyDescent="0.35">
      <c r="A127" t="s">
        <v>66</v>
      </c>
      <c r="B127" t="s">
        <v>98</v>
      </c>
      <c r="C127">
        <v>26</v>
      </c>
      <c r="D127" t="s">
        <v>87</v>
      </c>
      <c r="E127" t="s">
        <v>88</v>
      </c>
      <c r="F127" t="s">
        <v>71</v>
      </c>
      <c r="G127">
        <v>8</v>
      </c>
      <c r="H127">
        <v>0</v>
      </c>
      <c r="I127" t="str">
        <f>OutputTable[[#This Row],[ProjectName]]&amp;OutputTable[[#This Row],[Name]]&amp;OutputTable[[#This Row],[Type]]&amp;OutputTable[[#This Row],[Source]]</f>
        <v>Unnamed ProjectArquivos.NumberInNumber InEntity</v>
      </c>
      <c r="J127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cm="1">
        <f t="array" ref="K127">IFERROR(AVERAGE(IF((OutputTable[GroupByKey]=OutputTable[[#This Row],[GroupByKey]]),(OutputTable[GroupByKey]=OutputTable[[#This Row],[GroupByKey]])*OutputTable[RecordedValue])),0)</f>
        <v>6.32</v>
      </c>
      <c r="L127" cm="1">
        <f t="array" ref="L127">IFERROR(_xlfn.STDEV.S(IF((OutputTable[GroupByKey]=OutputTable[[#This Row],[GroupByKey]]),(OutputTable[GroupByKey]=OutputTable[[#This Row],[GroupByKey]])*OutputTable[RecordedValue])),0)</f>
        <v>1.671367520252534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27" cm="1">
        <f t="array" ref="O127">MIN(IF((OutputTable[GroupByKey]=OutputTable[[#This Row],[GroupByKey]]),(OutputTable[GroupByKey]=OutputTable[[#This Row],[GroupByKey]])*OutputTable[RecordedValue]))</f>
        <v>3</v>
      </c>
      <c r="P127" cm="1">
        <f t="array" ref="P127">MAX(IF((OutputTable[GroupByKey]=OutputTable[[#This Row],[GroupByKey]]),(OutputTable[GroupByKey]=OutputTable[[#This Row],[GroupByKey]])*OutputTable[RecordedValue]))</f>
        <v>12</v>
      </c>
    </row>
    <row r="128" spans="1:16" x14ac:dyDescent="0.35">
      <c r="A128" t="s">
        <v>66</v>
      </c>
      <c r="B128" t="s">
        <v>98</v>
      </c>
      <c r="C128">
        <v>26</v>
      </c>
      <c r="D128" t="s">
        <v>89</v>
      </c>
      <c r="E128" t="s">
        <v>90</v>
      </c>
      <c r="F128" t="s">
        <v>71</v>
      </c>
      <c r="G128">
        <v>6</v>
      </c>
      <c r="H128">
        <v>0</v>
      </c>
      <c r="I128" t="str">
        <f>OutputTable[[#This Row],[ProjectName]]&amp;OutputTable[[#This Row],[Name]]&amp;OutputTable[[#This Row],[Type]]&amp;OutputTable[[#This Row],[Source]]</f>
        <v>Unnamed ProjectArquivos.NumberOutNumber OutEntity</v>
      </c>
      <c r="J128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cm="1">
        <f t="array" ref="K128">IFERROR(AVERAGE(IF((OutputTable[GroupByKey]=OutputTable[[#This Row],[GroupByKey]]),(OutputTable[GroupByKey]=OutputTable[[#This Row],[GroupByKey]])*OutputTable[RecordedValue])),0)</f>
        <v>4.8600000000000003</v>
      </c>
      <c r="L128" cm="1">
        <f t="array" ref="L128">IFERROR(_xlfn.STDEV.S(IF((OutputTable[GroupByKey]=OutputTable[[#This Row],[GroupByKey]]),(OutputTable[GroupByKey]=OutputTable[[#This Row],[GroupByKey]])*OutputTable[RecordedValue])),0)</f>
        <v>1.4287142785721427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28" cm="1">
        <f t="array" ref="O128">MIN(IF((OutputTable[GroupByKey]=OutputTable[[#This Row],[GroupByKey]]),(OutputTable[GroupByKey]=OutputTable[[#This Row],[GroupByKey]])*OutputTable[RecordedValue]))</f>
        <v>2</v>
      </c>
      <c r="P128" cm="1">
        <f t="array" ref="P128">MAX(IF((OutputTable[GroupByKey]=OutputTable[[#This Row],[GroupByKey]]),(OutputTable[GroupByKey]=OutputTable[[#This Row],[GroupByKey]])*OutputTable[RecordedValue]))</f>
        <v>8</v>
      </c>
    </row>
    <row r="129" spans="1:16" x14ac:dyDescent="0.35">
      <c r="A129" t="s">
        <v>66</v>
      </c>
      <c r="B129" t="s">
        <v>98</v>
      </c>
      <c r="C129">
        <v>26</v>
      </c>
      <c r="D129" t="s">
        <v>91</v>
      </c>
      <c r="E129" t="s">
        <v>92</v>
      </c>
      <c r="F129" t="s">
        <v>84</v>
      </c>
      <c r="G129">
        <v>8</v>
      </c>
      <c r="H129">
        <v>0</v>
      </c>
      <c r="I12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29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cm="1">
        <f t="array" ref="K129">IFERROR(AVERAGE(IF((OutputTable[GroupByKey]=OutputTable[[#This Row],[GroupByKey]]),(OutputTable[GroupByKey]=OutputTable[[#This Row],[GroupByKey]])*OutputTable[RecordedValue])),0)</f>
        <v>6.14</v>
      </c>
      <c r="L129" cm="1">
        <f t="array" ref="L129">IFERROR(_xlfn.STDEV.S(IF((OutputTable[GroupByKey]=OutputTable[[#This Row],[GroupByKey]]),(OutputTable[GroupByKey]=OutputTable[[#This Row],[GroupByKey]])*OutputTable[RecordedValue])),0)</f>
        <v>1.4984345572793558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29" cm="1">
        <f t="array" ref="O129">MIN(IF((OutputTable[GroupByKey]=OutputTable[[#This Row],[GroupByKey]]),(OutputTable[GroupByKey]=OutputTable[[#This Row],[GroupByKey]])*OutputTable[RecordedValue]))</f>
        <v>3</v>
      </c>
      <c r="P129" cm="1">
        <f t="array" ref="P129">MAX(IF((OutputTable[GroupByKey]=OutputTable[[#This Row],[GroupByKey]]),(OutputTable[GroupByKey]=OutputTable[[#This Row],[GroupByKey]])*OutputTable[RecordedValue]))</f>
        <v>9</v>
      </c>
    </row>
    <row r="130" spans="1:16" x14ac:dyDescent="0.35">
      <c r="A130" t="s">
        <v>66</v>
      </c>
      <c r="B130" t="s">
        <v>98</v>
      </c>
      <c r="C130">
        <v>26</v>
      </c>
      <c r="D130" t="s">
        <v>93</v>
      </c>
      <c r="E130" t="s">
        <v>94</v>
      </c>
      <c r="F130" t="s">
        <v>84</v>
      </c>
      <c r="G130">
        <v>0.73920921033022002</v>
      </c>
      <c r="H130">
        <v>0</v>
      </c>
      <c r="I13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30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cm="1">
        <f t="array" ref="K130">IFERROR(AVERAGE(IF((OutputTable[GroupByKey]=OutputTable[[#This Row],[GroupByKey]]),(OutputTable[GroupByKey]=OutputTable[[#This Row],[GroupByKey]])*OutputTable[RecordedValue])),0)</f>
        <v>0.63912553924181559</v>
      </c>
      <c r="L130" cm="1">
        <f t="array" ref="L130">IFERROR(_xlfn.STDEV.S(IF((OutputTable[GroupByKey]=OutputTable[[#This Row],[GroupByKey]]),(OutputTable[GroupByKey]=OutputTable[[#This Row],[GroupByKey]])*OutputTable[RecordedValue])),0)</f>
        <v>0.16841036655083153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30" cm="1">
        <f t="array" ref="O130">MIN(IF((OutputTable[GroupByKey]=OutputTable[[#This Row],[GroupByKey]]),(OutputTable[GroupByKey]=OutputTable[[#This Row],[GroupByKey]])*OutputTable[RecordedValue]))</f>
        <v>0.30856555337021802</v>
      </c>
      <c r="P130" cm="1">
        <f t="array" ref="P130">MAX(IF((OutputTable[GroupByKey]=OutputTable[[#This Row],[GroupByKey]]),(OutputTable[GroupByKey]=OutputTable[[#This Row],[GroupByKey]])*OutputTable[RecordedValue]))</f>
        <v>0.98721163888391195</v>
      </c>
    </row>
    <row r="131" spans="1:16" x14ac:dyDescent="0.35">
      <c r="A131" t="s">
        <v>66</v>
      </c>
      <c r="B131" t="s">
        <v>98</v>
      </c>
      <c r="C131">
        <v>26</v>
      </c>
      <c r="D131" t="s">
        <v>95</v>
      </c>
      <c r="E131" t="s">
        <v>90</v>
      </c>
      <c r="F131" t="s">
        <v>96</v>
      </c>
      <c r="G131">
        <v>6</v>
      </c>
      <c r="H131">
        <v>0</v>
      </c>
      <c r="I131" t="str">
        <f>OutputTable[[#This Row],[ProjectName]]&amp;OutputTable[[#This Row],[Name]]&amp;OutputTable[[#This Row],[Type]]&amp;OutputTable[[#This Row],[Source]]</f>
        <v>Unnamed ProjectSystem.NumberOutNumber OutSystem</v>
      </c>
      <c r="J131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cm="1">
        <f t="array" ref="K131">IFERROR(AVERAGE(IF((OutputTable[GroupByKey]=OutputTable[[#This Row],[GroupByKey]]),(OutputTable[GroupByKey]=OutputTable[[#This Row],[GroupByKey]])*OutputTable[RecordedValue])),0)</f>
        <v>4.8600000000000003</v>
      </c>
      <c r="L131" cm="1">
        <f t="array" ref="L131">IFERROR(_xlfn.STDEV.S(IF((OutputTable[GroupByKey]=OutputTable[[#This Row],[GroupByKey]]),(OutputTable[GroupByKey]=OutputTable[[#This Row],[GroupByKey]])*OutputTable[RecordedValue])),0)</f>
        <v>1.4287142785721427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31" cm="1">
        <f t="array" ref="O131">MIN(IF((OutputTable[GroupByKey]=OutputTable[[#This Row],[GroupByKey]]),(OutputTable[GroupByKey]=OutputTable[[#This Row],[GroupByKey]])*OutputTable[RecordedValue]))</f>
        <v>2</v>
      </c>
      <c r="P131" cm="1">
        <f t="array" ref="P131">MAX(IF((OutputTable[GroupByKey]=OutputTable[[#This Row],[GroupByKey]]),(OutputTable[GroupByKey]=OutputTable[[#This Row],[GroupByKey]])*OutputTable[RecordedValue]))</f>
        <v>8</v>
      </c>
    </row>
    <row r="132" spans="1:16" x14ac:dyDescent="0.35">
      <c r="A132" t="s">
        <v>66</v>
      </c>
      <c r="B132" t="s">
        <v>98</v>
      </c>
      <c r="C132">
        <v>27</v>
      </c>
      <c r="D132" t="s">
        <v>87</v>
      </c>
      <c r="E132" t="s">
        <v>88</v>
      </c>
      <c r="F132" t="s">
        <v>71</v>
      </c>
      <c r="G132">
        <v>7</v>
      </c>
      <c r="H132">
        <v>0</v>
      </c>
      <c r="I132" t="str">
        <f>OutputTable[[#This Row],[ProjectName]]&amp;OutputTable[[#This Row],[Name]]&amp;OutputTable[[#This Row],[Type]]&amp;OutputTable[[#This Row],[Source]]</f>
        <v>Unnamed ProjectArquivos.NumberInNumber InEntity</v>
      </c>
      <c r="J132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cm="1">
        <f t="array" ref="K132">IFERROR(AVERAGE(IF((OutputTable[GroupByKey]=OutputTable[[#This Row],[GroupByKey]]),(OutputTable[GroupByKey]=OutputTable[[#This Row],[GroupByKey]])*OutputTable[RecordedValue])),0)</f>
        <v>6.32</v>
      </c>
      <c r="L132" cm="1">
        <f t="array" ref="L132">IFERROR(_xlfn.STDEV.S(IF((OutputTable[GroupByKey]=OutputTable[[#This Row],[GroupByKey]]),(OutputTable[GroupByKey]=OutputTable[[#This Row],[GroupByKey]])*OutputTable[RecordedValue])),0)</f>
        <v>1.671367520252534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32" cm="1">
        <f t="array" ref="O132">MIN(IF((OutputTable[GroupByKey]=OutputTable[[#This Row],[GroupByKey]]),(OutputTable[GroupByKey]=OutputTable[[#This Row],[GroupByKey]])*OutputTable[RecordedValue]))</f>
        <v>3</v>
      </c>
      <c r="P132" cm="1">
        <f t="array" ref="P132">MAX(IF((OutputTable[GroupByKey]=OutputTable[[#This Row],[GroupByKey]]),(OutputTable[GroupByKey]=OutputTable[[#This Row],[GroupByKey]])*OutputTable[RecordedValue]))</f>
        <v>12</v>
      </c>
    </row>
    <row r="133" spans="1:16" x14ac:dyDescent="0.35">
      <c r="A133" t="s">
        <v>66</v>
      </c>
      <c r="B133" t="s">
        <v>98</v>
      </c>
      <c r="C133">
        <v>27</v>
      </c>
      <c r="D133" t="s">
        <v>89</v>
      </c>
      <c r="E133" t="s">
        <v>90</v>
      </c>
      <c r="F133" t="s">
        <v>71</v>
      </c>
      <c r="G133">
        <v>6</v>
      </c>
      <c r="H133">
        <v>0</v>
      </c>
      <c r="I133" t="str">
        <f>OutputTable[[#This Row],[ProjectName]]&amp;OutputTable[[#This Row],[Name]]&amp;OutputTable[[#This Row],[Type]]&amp;OutputTable[[#This Row],[Source]]</f>
        <v>Unnamed ProjectArquivos.NumberOutNumber OutEntity</v>
      </c>
      <c r="J133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cm="1">
        <f t="array" ref="K133">IFERROR(AVERAGE(IF((OutputTable[GroupByKey]=OutputTable[[#This Row],[GroupByKey]]),(OutputTable[GroupByKey]=OutputTable[[#This Row],[GroupByKey]])*OutputTable[RecordedValue])),0)</f>
        <v>4.8600000000000003</v>
      </c>
      <c r="L133" cm="1">
        <f t="array" ref="L133">IFERROR(_xlfn.STDEV.S(IF((OutputTable[GroupByKey]=OutputTable[[#This Row],[GroupByKey]]),(OutputTable[GroupByKey]=OutputTable[[#This Row],[GroupByKey]])*OutputTable[RecordedValue])),0)</f>
        <v>1.4287142785721427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33" cm="1">
        <f t="array" ref="O133">MIN(IF((OutputTable[GroupByKey]=OutputTable[[#This Row],[GroupByKey]]),(OutputTable[GroupByKey]=OutputTable[[#This Row],[GroupByKey]])*OutputTable[RecordedValue]))</f>
        <v>2</v>
      </c>
      <c r="P133" cm="1">
        <f t="array" ref="P133">MAX(IF((OutputTable[GroupByKey]=OutputTable[[#This Row],[GroupByKey]]),(OutputTable[GroupByKey]=OutputTable[[#This Row],[GroupByKey]])*OutputTable[RecordedValue]))</f>
        <v>8</v>
      </c>
    </row>
    <row r="134" spans="1:16" x14ac:dyDescent="0.35">
      <c r="A134" t="s">
        <v>66</v>
      </c>
      <c r="B134" t="s">
        <v>98</v>
      </c>
      <c r="C134">
        <v>27</v>
      </c>
      <c r="D134" t="s">
        <v>91</v>
      </c>
      <c r="E134" t="s">
        <v>92</v>
      </c>
      <c r="F134" t="s">
        <v>84</v>
      </c>
      <c r="G134">
        <v>7</v>
      </c>
      <c r="H134">
        <v>0</v>
      </c>
      <c r="I13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34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cm="1">
        <f t="array" ref="K134">IFERROR(AVERAGE(IF((OutputTable[GroupByKey]=OutputTable[[#This Row],[GroupByKey]]),(OutputTable[GroupByKey]=OutputTable[[#This Row],[GroupByKey]])*OutputTable[RecordedValue])),0)</f>
        <v>6.14</v>
      </c>
      <c r="L134" cm="1">
        <f t="array" ref="L134">IFERROR(_xlfn.STDEV.S(IF((OutputTable[GroupByKey]=OutputTable[[#This Row],[GroupByKey]]),(OutputTable[GroupByKey]=OutputTable[[#This Row],[GroupByKey]])*OutputTable[RecordedValue])),0)</f>
        <v>1.4984345572793558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34" cm="1">
        <f t="array" ref="O134">MIN(IF((OutputTable[GroupByKey]=OutputTable[[#This Row],[GroupByKey]]),(OutputTable[GroupByKey]=OutputTable[[#This Row],[GroupByKey]])*OutputTable[RecordedValue]))</f>
        <v>3</v>
      </c>
      <c r="P134" cm="1">
        <f t="array" ref="P134">MAX(IF((OutputTable[GroupByKey]=OutputTable[[#This Row],[GroupByKey]]),(OutputTable[GroupByKey]=OutputTable[[#This Row],[GroupByKey]])*OutputTable[RecordedValue]))</f>
        <v>9</v>
      </c>
    </row>
    <row r="135" spans="1:16" x14ac:dyDescent="0.35">
      <c r="A135" t="s">
        <v>66</v>
      </c>
      <c r="B135" t="s">
        <v>98</v>
      </c>
      <c r="C135">
        <v>27</v>
      </c>
      <c r="D135" t="s">
        <v>93</v>
      </c>
      <c r="E135" t="s">
        <v>94</v>
      </c>
      <c r="F135" t="s">
        <v>84</v>
      </c>
      <c r="G135">
        <v>0.77835783469409203</v>
      </c>
      <c r="H135">
        <v>0</v>
      </c>
      <c r="I13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3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cm="1">
        <f t="array" ref="K135">IFERROR(AVERAGE(IF((OutputTable[GroupByKey]=OutputTable[[#This Row],[GroupByKey]]),(OutputTable[GroupByKey]=OutputTable[[#This Row],[GroupByKey]])*OutputTable[RecordedValue])),0)</f>
        <v>0.63912553924181559</v>
      </c>
      <c r="L135" cm="1">
        <f t="array" ref="L135">IFERROR(_xlfn.STDEV.S(IF((OutputTable[GroupByKey]=OutputTable[[#This Row],[GroupByKey]]),(OutputTable[GroupByKey]=OutputTable[[#This Row],[GroupByKey]])*OutputTable[RecordedValue])),0)</f>
        <v>0.16841036655083153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35" cm="1">
        <f t="array" ref="O135">MIN(IF((OutputTable[GroupByKey]=OutputTable[[#This Row],[GroupByKey]]),(OutputTable[GroupByKey]=OutputTable[[#This Row],[GroupByKey]])*OutputTable[RecordedValue]))</f>
        <v>0.30856555337021802</v>
      </c>
      <c r="P135" cm="1">
        <f t="array" ref="P135">MAX(IF((OutputTable[GroupByKey]=OutputTable[[#This Row],[GroupByKey]]),(OutputTable[GroupByKey]=OutputTable[[#This Row],[GroupByKey]])*OutputTable[RecordedValue]))</f>
        <v>0.98721163888391195</v>
      </c>
    </row>
    <row r="136" spans="1:16" x14ac:dyDescent="0.35">
      <c r="A136" t="s">
        <v>66</v>
      </c>
      <c r="B136" t="s">
        <v>98</v>
      </c>
      <c r="C136">
        <v>27</v>
      </c>
      <c r="D136" t="s">
        <v>95</v>
      </c>
      <c r="E136" t="s">
        <v>90</v>
      </c>
      <c r="F136" t="s">
        <v>96</v>
      </c>
      <c r="G136">
        <v>6</v>
      </c>
      <c r="H136">
        <v>0</v>
      </c>
      <c r="I136" t="str">
        <f>OutputTable[[#This Row],[ProjectName]]&amp;OutputTable[[#This Row],[Name]]&amp;OutputTable[[#This Row],[Type]]&amp;OutputTable[[#This Row],[Source]]</f>
        <v>Unnamed ProjectSystem.NumberOutNumber OutSystem</v>
      </c>
      <c r="J136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cm="1">
        <f t="array" ref="K136">IFERROR(AVERAGE(IF((OutputTable[GroupByKey]=OutputTable[[#This Row],[GroupByKey]]),(OutputTable[GroupByKey]=OutputTable[[#This Row],[GroupByKey]])*OutputTable[RecordedValue])),0)</f>
        <v>4.8600000000000003</v>
      </c>
      <c r="L136" cm="1">
        <f t="array" ref="L136">IFERROR(_xlfn.STDEV.S(IF((OutputTable[GroupByKey]=OutputTable[[#This Row],[GroupByKey]]),(OutputTable[GroupByKey]=OutputTable[[#This Row],[GroupByKey]])*OutputTable[RecordedValue])),0)</f>
        <v>1.4287142785721427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36" cm="1">
        <f t="array" ref="O136">MIN(IF((OutputTable[GroupByKey]=OutputTable[[#This Row],[GroupByKey]]),(OutputTable[GroupByKey]=OutputTable[[#This Row],[GroupByKey]])*OutputTable[RecordedValue]))</f>
        <v>2</v>
      </c>
      <c r="P136" cm="1">
        <f t="array" ref="P136">MAX(IF((OutputTable[GroupByKey]=OutputTable[[#This Row],[GroupByKey]]),(OutputTable[GroupByKey]=OutputTable[[#This Row],[GroupByKey]])*OutputTable[RecordedValue]))</f>
        <v>8</v>
      </c>
    </row>
    <row r="137" spans="1:16" x14ac:dyDescent="0.35">
      <c r="A137" t="s">
        <v>66</v>
      </c>
      <c r="B137" t="s">
        <v>98</v>
      </c>
      <c r="C137">
        <v>28</v>
      </c>
      <c r="D137" t="s">
        <v>87</v>
      </c>
      <c r="E137" t="s">
        <v>88</v>
      </c>
      <c r="F137" t="s">
        <v>71</v>
      </c>
      <c r="G137">
        <v>6</v>
      </c>
      <c r="H137">
        <v>0</v>
      </c>
      <c r="I137" t="str">
        <f>OutputTable[[#This Row],[ProjectName]]&amp;OutputTable[[#This Row],[Name]]&amp;OutputTable[[#This Row],[Type]]&amp;OutputTable[[#This Row],[Source]]</f>
        <v>Unnamed ProjectArquivos.NumberInNumber InEntity</v>
      </c>
      <c r="J137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cm="1">
        <f t="array" ref="K137">IFERROR(AVERAGE(IF((OutputTable[GroupByKey]=OutputTable[[#This Row],[GroupByKey]]),(OutputTable[GroupByKey]=OutputTable[[#This Row],[GroupByKey]])*OutputTable[RecordedValue])),0)</f>
        <v>6.32</v>
      </c>
      <c r="L137" cm="1">
        <f t="array" ref="L137">IFERROR(_xlfn.STDEV.S(IF((OutputTable[GroupByKey]=OutputTable[[#This Row],[GroupByKey]]),(OutputTable[GroupByKey]=OutputTable[[#This Row],[GroupByKey]])*OutputTable[RecordedValue])),0)</f>
        <v>1.671367520252534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37" cm="1">
        <f t="array" ref="O137">MIN(IF((OutputTable[GroupByKey]=OutputTable[[#This Row],[GroupByKey]]),(OutputTable[GroupByKey]=OutputTable[[#This Row],[GroupByKey]])*OutputTable[RecordedValue]))</f>
        <v>3</v>
      </c>
      <c r="P137" cm="1">
        <f t="array" ref="P137">MAX(IF((OutputTable[GroupByKey]=OutputTable[[#This Row],[GroupByKey]]),(OutputTable[GroupByKey]=OutputTable[[#This Row],[GroupByKey]])*OutputTable[RecordedValue]))</f>
        <v>12</v>
      </c>
    </row>
    <row r="138" spans="1:16" x14ac:dyDescent="0.35">
      <c r="A138" t="s">
        <v>66</v>
      </c>
      <c r="B138" t="s">
        <v>98</v>
      </c>
      <c r="C138">
        <v>28</v>
      </c>
      <c r="D138" t="s">
        <v>89</v>
      </c>
      <c r="E138" t="s">
        <v>90</v>
      </c>
      <c r="F138" t="s">
        <v>71</v>
      </c>
      <c r="G138">
        <v>5</v>
      </c>
      <c r="H138">
        <v>0</v>
      </c>
      <c r="I138" t="str">
        <f>OutputTable[[#This Row],[ProjectName]]&amp;OutputTable[[#This Row],[Name]]&amp;OutputTable[[#This Row],[Type]]&amp;OutputTable[[#This Row],[Source]]</f>
        <v>Unnamed ProjectArquivos.NumberOutNumber OutEntity</v>
      </c>
      <c r="J138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cm="1">
        <f t="array" ref="K138">IFERROR(AVERAGE(IF((OutputTable[GroupByKey]=OutputTable[[#This Row],[GroupByKey]]),(OutputTable[GroupByKey]=OutputTable[[#This Row],[GroupByKey]])*OutputTable[RecordedValue])),0)</f>
        <v>4.8600000000000003</v>
      </c>
      <c r="L138" cm="1">
        <f t="array" ref="L138">IFERROR(_xlfn.STDEV.S(IF((OutputTable[GroupByKey]=OutputTable[[#This Row],[GroupByKey]]),(OutputTable[GroupByKey]=OutputTable[[#This Row],[GroupByKey]])*OutputTable[RecordedValue])),0)</f>
        <v>1.4287142785721427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38" cm="1">
        <f t="array" ref="O138">MIN(IF((OutputTable[GroupByKey]=OutputTable[[#This Row],[GroupByKey]]),(OutputTable[GroupByKey]=OutputTable[[#This Row],[GroupByKey]])*OutputTable[RecordedValue]))</f>
        <v>2</v>
      </c>
      <c r="P138" cm="1">
        <f t="array" ref="P138">MAX(IF((OutputTable[GroupByKey]=OutputTable[[#This Row],[GroupByKey]]),(OutputTable[GroupByKey]=OutputTable[[#This Row],[GroupByKey]])*OutputTable[RecordedValue]))</f>
        <v>8</v>
      </c>
    </row>
    <row r="139" spans="1:16" x14ac:dyDescent="0.35">
      <c r="A139" t="s">
        <v>66</v>
      </c>
      <c r="B139" t="s">
        <v>98</v>
      </c>
      <c r="C139">
        <v>28</v>
      </c>
      <c r="D139" t="s">
        <v>91</v>
      </c>
      <c r="E139" t="s">
        <v>92</v>
      </c>
      <c r="F139" t="s">
        <v>84</v>
      </c>
      <c r="G139">
        <v>6</v>
      </c>
      <c r="H139">
        <v>0</v>
      </c>
      <c r="I13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cm="1">
        <f t="array" ref="K139">IFERROR(AVERAGE(IF((OutputTable[GroupByKey]=OutputTable[[#This Row],[GroupByKey]]),(OutputTable[GroupByKey]=OutputTable[[#This Row],[GroupByKey]])*OutputTable[RecordedValue])),0)</f>
        <v>6.14</v>
      </c>
      <c r="L139" cm="1">
        <f t="array" ref="L139">IFERROR(_xlfn.STDEV.S(IF((OutputTable[GroupByKey]=OutputTable[[#This Row],[GroupByKey]]),(OutputTable[GroupByKey]=OutputTable[[#This Row],[GroupByKey]])*OutputTable[RecordedValue])),0)</f>
        <v>1.4984345572793558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39" cm="1">
        <f t="array" ref="O139">MIN(IF((OutputTable[GroupByKey]=OutputTable[[#This Row],[GroupByKey]]),(OutputTable[GroupByKey]=OutputTable[[#This Row],[GroupByKey]])*OutputTable[RecordedValue]))</f>
        <v>3</v>
      </c>
      <c r="P139" cm="1">
        <f t="array" ref="P139">MAX(IF((OutputTable[GroupByKey]=OutputTable[[#This Row],[GroupByKey]]),(OutputTable[GroupByKey]=OutputTable[[#This Row],[GroupByKey]])*OutputTable[RecordedValue]))</f>
        <v>9</v>
      </c>
    </row>
    <row r="140" spans="1:16" x14ac:dyDescent="0.35">
      <c r="A140" t="s">
        <v>66</v>
      </c>
      <c r="B140" t="s">
        <v>98</v>
      </c>
      <c r="C140">
        <v>28</v>
      </c>
      <c r="D140" t="s">
        <v>93</v>
      </c>
      <c r="E140" t="s">
        <v>94</v>
      </c>
      <c r="F140" t="s">
        <v>84</v>
      </c>
      <c r="G140">
        <v>0.77705345399287196</v>
      </c>
      <c r="H140">
        <v>0</v>
      </c>
      <c r="I14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cm="1">
        <f t="array" ref="K140">IFERROR(AVERAGE(IF((OutputTable[GroupByKey]=OutputTable[[#This Row],[GroupByKey]]),(OutputTable[GroupByKey]=OutputTable[[#This Row],[GroupByKey]])*OutputTable[RecordedValue])),0)</f>
        <v>0.63912553924181559</v>
      </c>
      <c r="L140" cm="1">
        <f t="array" ref="L140">IFERROR(_xlfn.STDEV.S(IF((OutputTable[GroupByKey]=OutputTable[[#This Row],[GroupByKey]]),(OutputTable[GroupByKey]=OutputTable[[#This Row],[GroupByKey]])*OutputTable[RecordedValue])),0)</f>
        <v>0.16841036655083153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40" cm="1">
        <f t="array" ref="O140">MIN(IF((OutputTable[GroupByKey]=OutputTable[[#This Row],[GroupByKey]]),(OutputTable[GroupByKey]=OutputTable[[#This Row],[GroupByKey]])*OutputTable[RecordedValue]))</f>
        <v>0.30856555337021802</v>
      </c>
      <c r="P140" cm="1">
        <f t="array" ref="P140">MAX(IF((OutputTable[GroupByKey]=OutputTable[[#This Row],[GroupByKey]]),(OutputTable[GroupByKey]=OutputTable[[#This Row],[GroupByKey]])*OutputTable[RecordedValue]))</f>
        <v>0.98721163888391195</v>
      </c>
    </row>
    <row r="141" spans="1:16" x14ac:dyDescent="0.35">
      <c r="A141" t="s">
        <v>66</v>
      </c>
      <c r="B141" t="s">
        <v>98</v>
      </c>
      <c r="C141">
        <v>28</v>
      </c>
      <c r="D141" t="s">
        <v>95</v>
      </c>
      <c r="E141" t="s">
        <v>90</v>
      </c>
      <c r="F141" t="s">
        <v>96</v>
      </c>
      <c r="G141">
        <v>5</v>
      </c>
      <c r="H141">
        <v>0</v>
      </c>
      <c r="I141" t="str">
        <f>OutputTable[[#This Row],[ProjectName]]&amp;OutputTable[[#This Row],[Name]]&amp;OutputTable[[#This Row],[Type]]&amp;OutputTable[[#This Row],[Source]]</f>
        <v>Unnamed ProjectSystem.NumberOutNumber OutSystem</v>
      </c>
      <c r="J141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cm="1">
        <f t="array" ref="K141">IFERROR(AVERAGE(IF((OutputTable[GroupByKey]=OutputTable[[#This Row],[GroupByKey]]),(OutputTable[GroupByKey]=OutputTable[[#This Row],[GroupByKey]])*OutputTable[RecordedValue])),0)</f>
        <v>4.8600000000000003</v>
      </c>
      <c r="L141" cm="1">
        <f t="array" ref="L141">IFERROR(_xlfn.STDEV.S(IF((OutputTable[GroupByKey]=OutputTable[[#This Row],[GroupByKey]]),(OutputTable[GroupByKey]=OutputTable[[#This Row],[GroupByKey]])*OutputTable[RecordedValue])),0)</f>
        <v>1.4287142785721427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41" cm="1">
        <f t="array" ref="O141">MIN(IF((OutputTable[GroupByKey]=OutputTable[[#This Row],[GroupByKey]]),(OutputTable[GroupByKey]=OutputTable[[#This Row],[GroupByKey]])*OutputTable[RecordedValue]))</f>
        <v>2</v>
      </c>
      <c r="P141" cm="1">
        <f t="array" ref="P141">MAX(IF((OutputTable[GroupByKey]=OutputTable[[#This Row],[GroupByKey]]),(OutputTable[GroupByKey]=OutputTable[[#This Row],[GroupByKey]])*OutputTable[RecordedValue]))</f>
        <v>8</v>
      </c>
    </row>
    <row r="142" spans="1:16" x14ac:dyDescent="0.35">
      <c r="A142" t="s">
        <v>66</v>
      </c>
      <c r="B142" t="s">
        <v>98</v>
      </c>
      <c r="C142">
        <v>29</v>
      </c>
      <c r="D142" t="s">
        <v>87</v>
      </c>
      <c r="E142" t="s">
        <v>88</v>
      </c>
      <c r="F142" t="s">
        <v>71</v>
      </c>
      <c r="G142">
        <v>3</v>
      </c>
      <c r="H142">
        <v>0</v>
      </c>
      <c r="I142" t="str">
        <f>OutputTable[[#This Row],[ProjectName]]&amp;OutputTable[[#This Row],[Name]]&amp;OutputTable[[#This Row],[Type]]&amp;OutputTable[[#This Row],[Source]]</f>
        <v>Unnamed ProjectArquivos.NumberInNumber InEntity</v>
      </c>
      <c r="J142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cm="1">
        <f t="array" ref="K142">IFERROR(AVERAGE(IF((OutputTable[GroupByKey]=OutputTable[[#This Row],[GroupByKey]]),(OutputTable[GroupByKey]=OutputTable[[#This Row],[GroupByKey]])*OutputTable[RecordedValue])),0)</f>
        <v>6.32</v>
      </c>
      <c r="L142" cm="1">
        <f t="array" ref="L142">IFERROR(_xlfn.STDEV.S(IF((OutputTable[GroupByKey]=OutputTable[[#This Row],[GroupByKey]]),(OutputTable[GroupByKey]=OutputTable[[#This Row],[GroupByKey]])*OutputTable[RecordedValue])),0)</f>
        <v>1.671367520252534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42" cm="1">
        <f t="array" ref="O142">MIN(IF((OutputTable[GroupByKey]=OutputTable[[#This Row],[GroupByKey]]),(OutputTable[GroupByKey]=OutputTable[[#This Row],[GroupByKey]])*OutputTable[RecordedValue]))</f>
        <v>3</v>
      </c>
      <c r="P142" cm="1">
        <f t="array" ref="P142">MAX(IF((OutputTable[GroupByKey]=OutputTable[[#This Row],[GroupByKey]]),(OutputTable[GroupByKey]=OutputTable[[#This Row],[GroupByKey]])*OutputTable[RecordedValue]))</f>
        <v>12</v>
      </c>
    </row>
    <row r="143" spans="1:16" x14ac:dyDescent="0.35">
      <c r="A143" t="s">
        <v>66</v>
      </c>
      <c r="B143" t="s">
        <v>98</v>
      </c>
      <c r="C143">
        <v>29</v>
      </c>
      <c r="D143" t="s">
        <v>89</v>
      </c>
      <c r="E143" t="s">
        <v>90</v>
      </c>
      <c r="F143" t="s">
        <v>71</v>
      </c>
      <c r="G143">
        <v>3</v>
      </c>
      <c r="H143">
        <v>0</v>
      </c>
      <c r="I143" t="str">
        <f>OutputTable[[#This Row],[ProjectName]]&amp;OutputTable[[#This Row],[Name]]&amp;OutputTable[[#This Row],[Type]]&amp;OutputTable[[#This Row],[Source]]</f>
        <v>Unnamed ProjectArquivos.NumberOutNumber OutEntity</v>
      </c>
      <c r="J143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cm="1">
        <f t="array" ref="K143">IFERROR(AVERAGE(IF((OutputTable[GroupByKey]=OutputTable[[#This Row],[GroupByKey]]),(OutputTable[GroupByKey]=OutputTable[[#This Row],[GroupByKey]])*OutputTable[RecordedValue])),0)</f>
        <v>4.8600000000000003</v>
      </c>
      <c r="L143" cm="1">
        <f t="array" ref="L143">IFERROR(_xlfn.STDEV.S(IF((OutputTable[GroupByKey]=OutputTable[[#This Row],[GroupByKey]]),(OutputTable[GroupByKey]=OutputTable[[#This Row],[GroupByKey]])*OutputTable[RecordedValue])),0)</f>
        <v>1.4287142785721427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43" cm="1">
        <f t="array" ref="O143">MIN(IF((OutputTable[GroupByKey]=OutputTable[[#This Row],[GroupByKey]]),(OutputTable[GroupByKey]=OutputTable[[#This Row],[GroupByKey]])*OutputTable[RecordedValue]))</f>
        <v>2</v>
      </c>
      <c r="P143" cm="1">
        <f t="array" ref="P143">MAX(IF((OutputTable[GroupByKey]=OutputTable[[#This Row],[GroupByKey]]),(OutputTable[GroupByKey]=OutputTable[[#This Row],[GroupByKey]])*OutputTable[RecordedValue]))</f>
        <v>8</v>
      </c>
    </row>
    <row r="144" spans="1:16" x14ac:dyDescent="0.35">
      <c r="A144" t="s">
        <v>66</v>
      </c>
      <c r="B144" t="s">
        <v>98</v>
      </c>
      <c r="C144">
        <v>29</v>
      </c>
      <c r="D144" t="s">
        <v>91</v>
      </c>
      <c r="E144" t="s">
        <v>92</v>
      </c>
      <c r="F144" t="s">
        <v>84</v>
      </c>
      <c r="G144">
        <v>3</v>
      </c>
      <c r="H144">
        <v>0</v>
      </c>
      <c r="I14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44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cm="1">
        <f t="array" ref="K144">IFERROR(AVERAGE(IF((OutputTable[GroupByKey]=OutputTable[[#This Row],[GroupByKey]]),(OutputTable[GroupByKey]=OutputTable[[#This Row],[GroupByKey]])*OutputTable[RecordedValue])),0)</f>
        <v>6.14</v>
      </c>
      <c r="L144" cm="1">
        <f t="array" ref="L144">IFERROR(_xlfn.STDEV.S(IF((OutputTable[GroupByKey]=OutputTable[[#This Row],[GroupByKey]]),(OutputTable[GroupByKey]=OutputTable[[#This Row],[GroupByKey]])*OutputTable[RecordedValue])),0)</f>
        <v>1.4984345572793558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44" cm="1">
        <f t="array" ref="O144">MIN(IF((OutputTable[GroupByKey]=OutputTable[[#This Row],[GroupByKey]]),(OutputTable[GroupByKey]=OutputTable[[#This Row],[GroupByKey]])*OutputTable[RecordedValue]))</f>
        <v>3</v>
      </c>
      <c r="P144" cm="1">
        <f t="array" ref="P144">MAX(IF((OutputTable[GroupByKey]=OutputTable[[#This Row],[GroupByKey]]),(OutputTable[GroupByKey]=OutputTable[[#This Row],[GroupByKey]])*OutputTable[RecordedValue]))</f>
        <v>9</v>
      </c>
    </row>
    <row r="145" spans="1:16" x14ac:dyDescent="0.35">
      <c r="A145" t="s">
        <v>66</v>
      </c>
      <c r="B145" t="s">
        <v>98</v>
      </c>
      <c r="C145">
        <v>29</v>
      </c>
      <c r="D145" t="s">
        <v>93</v>
      </c>
      <c r="E145" t="s">
        <v>94</v>
      </c>
      <c r="F145" t="s">
        <v>84</v>
      </c>
      <c r="G145">
        <v>0.40141198936309802</v>
      </c>
      <c r="H145">
        <v>0</v>
      </c>
      <c r="I14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4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cm="1">
        <f t="array" ref="K145">IFERROR(AVERAGE(IF((OutputTable[GroupByKey]=OutputTable[[#This Row],[GroupByKey]]),(OutputTable[GroupByKey]=OutputTable[[#This Row],[GroupByKey]])*OutputTable[RecordedValue])),0)</f>
        <v>0.63912553924181559</v>
      </c>
      <c r="L145" cm="1">
        <f t="array" ref="L145">IFERROR(_xlfn.STDEV.S(IF((OutputTable[GroupByKey]=OutputTable[[#This Row],[GroupByKey]]),(OutputTable[GroupByKey]=OutputTable[[#This Row],[GroupByKey]])*OutputTable[RecordedValue])),0)</f>
        <v>0.16841036655083153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45" cm="1">
        <f t="array" ref="O145">MIN(IF((OutputTable[GroupByKey]=OutputTable[[#This Row],[GroupByKey]]),(OutputTable[GroupByKey]=OutputTable[[#This Row],[GroupByKey]])*OutputTable[RecordedValue]))</f>
        <v>0.30856555337021802</v>
      </c>
      <c r="P145" cm="1">
        <f t="array" ref="P145">MAX(IF((OutputTable[GroupByKey]=OutputTable[[#This Row],[GroupByKey]]),(OutputTable[GroupByKey]=OutputTable[[#This Row],[GroupByKey]])*OutputTable[RecordedValue]))</f>
        <v>0.98721163888391195</v>
      </c>
    </row>
    <row r="146" spans="1:16" x14ac:dyDescent="0.35">
      <c r="A146" t="s">
        <v>66</v>
      </c>
      <c r="B146" t="s">
        <v>98</v>
      </c>
      <c r="C146">
        <v>29</v>
      </c>
      <c r="D146" t="s">
        <v>95</v>
      </c>
      <c r="E146" t="s">
        <v>90</v>
      </c>
      <c r="F146" t="s">
        <v>96</v>
      </c>
      <c r="G146">
        <v>3</v>
      </c>
      <c r="H146">
        <v>0</v>
      </c>
      <c r="I146" t="str">
        <f>OutputTable[[#This Row],[ProjectName]]&amp;OutputTable[[#This Row],[Name]]&amp;OutputTable[[#This Row],[Type]]&amp;OutputTable[[#This Row],[Source]]</f>
        <v>Unnamed ProjectSystem.NumberOutNumber OutSystem</v>
      </c>
      <c r="J146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cm="1">
        <f t="array" ref="K146">IFERROR(AVERAGE(IF((OutputTable[GroupByKey]=OutputTable[[#This Row],[GroupByKey]]),(OutputTable[GroupByKey]=OutputTable[[#This Row],[GroupByKey]])*OutputTable[RecordedValue])),0)</f>
        <v>4.8600000000000003</v>
      </c>
      <c r="L146" cm="1">
        <f t="array" ref="L146">IFERROR(_xlfn.STDEV.S(IF((OutputTable[GroupByKey]=OutputTable[[#This Row],[GroupByKey]]),(OutputTable[GroupByKey]=OutputTable[[#This Row],[GroupByKey]])*OutputTable[RecordedValue])),0)</f>
        <v>1.4287142785721427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46" cm="1">
        <f t="array" ref="O146">MIN(IF((OutputTable[GroupByKey]=OutputTable[[#This Row],[GroupByKey]]),(OutputTable[GroupByKey]=OutputTable[[#This Row],[GroupByKey]])*OutputTable[RecordedValue]))</f>
        <v>2</v>
      </c>
      <c r="P146" cm="1">
        <f t="array" ref="P146">MAX(IF((OutputTable[GroupByKey]=OutputTable[[#This Row],[GroupByKey]]),(OutputTable[GroupByKey]=OutputTable[[#This Row],[GroupByKey]])*OutputTable[RecordedValue]))</f>
        <v>8</v>
      </c>
    </row>
    <row r="147" spans="1:16" x14ac:dyDescent="0.35">
      <c r="A147" t="s">
        <v>66</v>
      </c>
      <c r="B147" t="s">
        <v>98</v>
      </c>
      <c r="C147">
        <v>30</v>
      </c>
      <c r="D147" t="s">
        <v>87</v>
      </c>
      <c r="E147" t="s">
        <v>88</v>
      </c>
      <c r="F147" t="s">
        <v>71</v>
      </c>
      <c r="G147">
        <v>7</v>
      </c>
      <c r="H147">
        <v>0</v>
      </c>
      <c r="I147" t="str">
        <f>OutputTable[[#This Row],[ProjectName]]&amp;OutputTable[[#This Row],[Name]]&amp;OutputTable[[#This Row],[Type]]&amp;OutputTable[[#This Row],[Source]]</f>
        <v>Unnamed ProjectArquivos.NumberInNumber InEntity</v>
      </c>
      <c r="J147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cm="1">
        <f t="array" ref="K147">IFERROR(AVERAGE(IF((OutputTable[GroupByKey]=OutputTable[[#This Row],[GroupByKey]]),(OutputTable[GroupByKey]=OutputTable[[#This Row],[GroupByKey]])*OutputTable[RecordedValue])),0)</f>
        <v>6.32</v>
      </c>
      <c r="L147" cm="1">
        <f t="array" ref="L147">IFERROR(_xlfn.STDEV.S(IF((OutputTable[GroupByKey]=OutputTable[[#This Row],[GroupByKey]]),(OutputTable[GroupByKey]=OutputTable[[#This Row],[GroupByKey]])*OutputTable[RecordedValue])),0)</f>
        <v>1.671367520252534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47" cm="1">
        <f t="array" ref="O147">MIN(IF((OutputTable[GroupByKey]=OutputTable[[#This Row],[GroupByKey]]),(OutputTable[GroupByKey]=OutputTable[[#This Row],[GroupByKey]])*OutputTable[RecordedValue]))</f>
        <v>3</v>
      </c>
      <c r="P147" cm="1">
        <f t="array" ref="P147">MAX(IF((OutputTable[GroupByKey]=OutputTable[[#This Row],[GroupByKey]]),(OutputTable[GroupByKey]=OutputTable[[#This Row],[GroupByKey]])*OutputTable[RecordedValue]))</f>
        <v>12</v>
      </c>
    </row>
    <row r="148" spans="1:16" x14ac:dyDescent="0.35">
      <c r="A148" t="s">
        <v>66</v>
      </c>
      <c r="B148" t="s">
        <v>98</v>
      </c>
      <c r="C148">
        <v>30</v>
      </c>
      <c r="D148" t="s">
        <v>89</v>
      </c>
      <c r="E148" t="s">
        <v>90</v>
      </c>
      <c r="F148" t="s">
        <v>71</v>
      </c>
      <c r="G148">
        <v>6</v>
      </c>
      <c r="H148">
        <v>0</v>
      </c>
      <c r="I148" t="str">
        <f>OutputTable[[#This Row],[ProjectName]]&amp;OutputTable[[#This Row],[Name]]&amp;OutputTable[[#This Row],[Type]]&amp;OutputTable[[#This Row],[Source]]</f>
        <v>Unnamed ProjectArquivos.NumberOutNumber OutEntity</v>
      </c>
      <c r="J148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cm="1">
        <f t="array" ref="K148">IFERROR(AVERAGE(IF((OutputTable[GroupByKey]=OutputTable[[#This Row],[GroupByKey]]),(OutputTable[GroupByKey]=OutputTable[[#This Row],[GroupByKey]])*OutputTable[RecordedValue])),0)</f>
        <v>4.8600000000000003</v>
      </c>
      <c r="L148" cm="1">
        <f t="array" ref="L148">IFERROR(_xlfn.STDEV.S(IF((OutputTable[GroupByKey]=OutputTable[[#This Row],[GroupByKey]]),(OutputTable[GroupByKey]=OutputTable[[#This Row],[GroupByKey]])*OutputTable[RecordedValue])),0)</f>
        <v>1.4287142785721427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48" cm="1">
        <f t="array" ref="O148">MIN(IF((OutputTable[GroupByKey]=OutputTable[[#This Row],[GroupByKey]]),(OutputTable[GroupByKey]=OutputTable[[#This Row],[GroupByKey]])*OutputTable[RecordedValue]))</f>
        <v>2</v>
      </c>
      <c r="P148" cm="1">
        <f t="array" ref="P148">MAX(IF((OutputTable[GroupByKey]=OutputTable[[#This Row],[GroupByKey]]),(OutputTable[GroupByKey]=OutputTable[[#This Row],[GroupByKey]])*OutputTable[RecordedValue]))</f>
        <v>8</v>
      </c>
    </row>
    <row r="149" spans="1:16" x14ac:dyDescent="0.35">
      <c r="A149" t="s">
        <v>66</v>
      </c>
      <c r="B149" t="s">
        <v>98</v>
      </c>
      <c r="C149">
        <v>30</v>
      </c>
      <c r="D149" t="s">
        <v>91</v>
      </c>
      <c r="E149" t="s">
        <v>92</v>
      </c>
      <c r="F149" t="s">
        <v>84</v>
      </c>
      <c r="G149">
        <v>7</v>
      </c>
      <c r="H149">
        <v>0</v>
      </c>
      <c r="I14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49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cm="1">
        <f t="array" ref="K149">IFERROR(AVERAGE(IF((OutputTable[GroupByKey]=OutputTable[[#This Row],[GroupByKey]]),(OutputTable[GroupByKey]=OutputTable[[#This Row],[GroupByKey]])*OutputTable[RecordedValue])),0)</f>
        <v>6.14</v>
      </c>
      <c r="L149" cm="1">
        <f t="array" ref="L149">IFERROR(_xlfn.STDEV.S(IF((OutputTable[GroupByKey]=OutputTable[[#This Row],[GroupByKey]]),(OutputTable[GroupByKey]=OutputTable[[#This Row],[GroupByKey]])*OutputTable[RecordedValue])),0)</f>
        <v>1.4984345572793558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49" cm="1">
        <f t="array" ref="O149">MIN(IF((OutputTable[GroupByKey]=OutputTable[[#This Row],[GroupByKey]]),(OutputTable[GroupByKey]=OutputTable[[#This Row],[GroupByKey]])*OutputTable[RecordedValue]))</f>
        <v>3</v>
      </c>
      <c r="P149" cm="1">
        <f t="array" ref="P149">MAX(IF((OutputTable[GroupByKey]=OutputTable[[#This Row],[GroupByKey]]),(OutputTable[GroupByKey]=OutputTable[[#This Row],[GroupByKey]])*OutputTable[RecordedValue]))</f>
        <v>9</v>
      </c>
    </row>
    <row r="150" spans="1:16" x14ac:dyDescent="0.35">
      <c r="A150" t="s">
        <v>66</v>
      </c>
      <c r="B150" t="s">
        <v>98</v>
      </c>
      <c r="C150">
        <v>30</v>
      </c>
      <c r="D150" t="s">
        <v>93</v>
      </c>
      <c r="E150" t="s">
        <v>94</v>
      </c>
      <c r="F150" t="s">
        <v>84</v>
      </c>
      <c r="G150">
        <v>0.55749164831334497</v>
      </c>
      <c r="H150">
        <v>0</v>
      </c>
      <c r="I15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50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cm="1">
        <f t="array" ref="K150">IFERROR(AVERAGE(IF((OutputTable[GroupByKey]=OutputTable[[#This Row],[GroupByKey]]),(OutputTable[GroupByKey]=OutputTable[[#This Row],[GroupByKey]])*OutputTable[RecordedValue])),0)</f>
        <v>0.63912553924181559</v>
      </c>
      <c r="L150" cm="1">
        <f t="array" ref="L150">IFERROR(_xlfn.STDEV.S(IF((OutputTable[GroupByKey]=OutputTable[[#This Row],[GroupByKey]]),(OutputTable[GroupByKey]=OutputTable[[#This Row],[GroupByKey]])*OutputTable[RecordedValue])),0)</f>
        <v>0.16841036655083153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50" cm="1">
        <f t="array" ref="O150">MIN(IF((OutputTable[GroupByKey]=OutputTable[[#This Row],[GroupByKey]]),(OutputTable[GroupByKey]=OutputTable[[#This Row],[GroupByKey]])*OutputTable[RecordedValue]))</f>
        <v>0.30856555337021802</v>
      </c>
      <c r="P150" cm="1">
        <f t="array" ref="P150">MAX(IF((OutputTable[GroupByKey]=OutputTable[[#This Row],[GroupByKey]]),(OutputTable[GroupByKey]=OutputTable[[#This Row],[GroupByKey]])*OutputTable[RecordedValue]))</f>
        <v>0.98721163888391195</v>
      </c>
    </row>
    <row r="151" spans="1:16" x14ac:dyDescent="0.35">
      <c r="A151" t="s">
        <v>66</v>
      </c>
      <c r="B151" t="s">
        <v>98</v>
      </c>
      <c r="C151">
        <v>30</v>
      </c>
      <c r="D151" t="s">
        <v>95</v>
      </c>
      <c r="E151" t="s">
        <v>90</v>
      </c>
      <c r="F151" t="s">
        <v>96</v>
      </c>
      <c r="G151">
        <v>6</v>
      </c>
      <c r="H151">
        <v>0</v>
      </c>
      <c r="I151" t="str">
        <f>OutputTable[[#This Row],[ProjectName]]&amp;OutputTable[[#This Row],[Name]]&amp;OutputTable[[#This Row],[Type]]&amp;OutputTable[[#This Row],[Source]]</f>
        <v>Unnamed ProjectSystem.NumberOutNumber OutSystem</v>
      </c>
      <c r="J151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cm="1">
        <f t="array" ref="K151">IFERROR(AVERAGE(IF((OutputTable[GroupByKey]=OutputTable[[#This Row],[GroupByKey]]),(OutputTable[GroupByKey]=OutputTable[[#This Row],[GroupByKey]])*OutputTable[RecordedValue])),0)</f>
        <v>4.8600000000000003</v>
      </c>
      <c r="L151" cm="1">
        <f t="array" ref="L151">IFERROR(_xlfn.STDEV.S(IF((OutputTable[GroupByKey]=OutputTable[[#This Row],[GroupByKey]]),(OutputTable[GroupByKey]=OutputTable[[#This Row],[GroupByKey]])*OutputTable[RecordedValue])),0)</f>
        <v>1.4287142785721427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51" cm="1">
        <f t="array" ref="O151">MIN(IF((OutputTable[GroupByKey]=OutputTable[[#This Row],[GroupByKey]]),(OutputTable[GroupByKey]=OutputTable[[#This Row],[GroupByKey]])*OutputTable[RecordedValue]))</f>
        <v>2</v>
      </c>
      <c r="P151" cm="1">
        <f t="array" ref="P151">MAX(IF((OutputTable[GroupByKey]=OutputTable[[#This Row],[GroupByKey]]),(OutputTable[GroupByKey]=OutputTable[[#This Row],[GroupByKey]])*OutputTable[RecordedValue]))</f>
        <v>8</v>
      </c>
    </row>
    <row r="152" spans="1:16" x14ac:dyDescent="0.35">
      <c r="A152" t="s">
        <v>66</v>
      </c>
      <c r="B152" t="s">
        <v>98</v>
      </c>
      <c r="C152">
        <v>31</v>
      </c>
      <c r="D152" t="s">
        <v>87</v>
      </c>
      <c r="E152" t="s">
        <v>88</v>
      </c>
      <c r="F152" t="s">
        <v>71</v>
      </c>
      <c r="G152">
        <v>5</v>
      </c>
      <c r="H152">
        <v>0</v>
      </c>
      <c r="I152" t="str">
        <f>OutputTable[[#This Row],[ProjectName]]&amp;OutputTable[[#This Row],[Name]]&amp;OutputTable[[#This Row],[Type]]&amp;OutputTable[[#This Row],[Source]]</f>
        <v>Unnamed ProjectArquivos.NumberInNumber InEntity</v>
      </c>
      <c r="J152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cm="1">
        <f t="array" ref="K152">IFERROR(AVERAGE(IF((OutputTable[GroupByKey]=OutputTable[[#This Row],[GroupByKey]]),(OutputTable[GroupByKey]=OutputTable[[#This Row],[GroupByKey]])*OutputTable[RecordedValue])),0)</f>
        <v>6.32</v>
      </c>
      <c r="L152" cm="1">
        <f t="array" ref="L152">IFERROR(_xlfn.STDEV.S(IF((OutputTable[GroupByKey]=OutputTable[[#This Row],[GroupByKey]]),(OutputTable[GroupByKey]=OutputTable[[#This Row],[GroupByKey]])*OutputTable[RecordedValue])),0)</f>
        <v>1.671367520252534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52" cm="1">
        <f t="array" ref="O152">MIN(IF((OutputTable[GroupByKey]=OutputTable[[#This Row],[GroupByKey]]),(OutputTable[GroupByKey]=OutputTable[[#This Row],[GroupByKey]])*OutputTable[RecordedValue]))</f>
        <v>3</v>
      </c>
      <c r="P152" cm="1">
        <f t="array" ref="P152">MAX(IF((OutputTable[GroupByKey]=OutputTable[[#This Row],[GroupByKey]]),(OutputTable[GroupByKey]=OutputTable[[#This Row],[GroupByKey]])*OutputTable[RecordedValue]))</f>
        <v>12</v>
      </c>
    </row>
    <row r="153" spans="1:16" x14ac:dyDescent="0.35">
      <c r="A153" t="s">
        <v>66</v>
      </c>
      <c r="B153" t="s">
        <v>98</v>
      </c>
      <c r="C153">
        <v>31</v>
      </c>
      <c r="D153" t="s">
        <v>89</v>
      </c>
      <c r="E153" t="s">
        <v>90</v>
      </c>
      <c r="F153" t="s">
        <v>71</v>
      </c>
      <c r="G153">
        <v>4</v>
      </c>
      <c r="H153">
        <v>0</v>
      </c>
      <c r="I153" t="str">
        <f>OutputTable[[#This Row],[ProjectName]]&amp;OutputTable[[#This Row],[Name]]&amp;OutputTable[[#This Row],[Type]]&amp;OutputTable[[#This Row],[Source]]</f>
        <v>Unnamed ProjectArquivos.NumberOutNumber OutEntity</v>
      </c>
      <c r="J153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cm="1">
        <f t="array" ref="K153">IFERROR(AVERAGE(IF((OutputTable[GroupByKey]=OutputTable[[#This Row],[GroupByKey]]),(OutputTable[GroupByKey]=OutputTable[[#This Row],[GroupByKey]])*OutputTable[RecordedValue])),0)</f>
        <v>4.8600000000000003</v>
      </c>
      <c r="L153" cm="1">
        <f t="array" ref="L153">IFERROR(_xlfn.STDEV.S(IF((OutputTable[GroupByKey]=OutputTable[[#This Row],[GroupByKey]]),(OutputTable[GroupByKey]=OutputTable[[#This Row],[GroupByKey]])*OutputTable[RecordedValue])),0)</f>
        <v>1.4287142785721427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53" cm="1">
        <f t="array" ref="O153">MIN(IF((OutputTable[GroupByKey]=OutputTable[[#This Row],[GroupByKey]]),(OutputTable[GroupByKey]=OutputTable[[#This Row],[GroupByKey]])*OutputTable[RecordedValue]))</f>
        <v>2</v>
      </c>
      <c r="P153" cm="1">
        <f t="array" ref="P153">MAX(IF((OutputTable[GroupByKey]=OutputTable[[#This Row],[GroupByKey]]),(OutputTable[GroupByKey]=OutputTable[[#This Row],[GroupByKey]])*OutputTable[RecordedValue]))</f>
        <v>8</v>
      </c>
    </row>
    <row r="154" spans="1:16" x14ac:dyDescent="0.35">
      <c r="A154" t="s">
        <v>66</v>
      </c>
      <c r="B154" t="s">
        <v>98</v>
      </c>
      <c r="C154">
        <v>31</v>
      </c>
      <c r="D154" t="s">
        <v>91</v>
      </c>
      <c r="E154" t="s">
        <v>92</v>
      </c>
      <c r="F154" t="s">
        <v>84</v>
      </c>
      <c r="G154">
        <v>5</v>
      </c>
      <c r="H154">
        <v>0</v>
      </c>
      <c r="I15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54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cm="1">
        <f t="array" ref="K154">IFERROR(AVERAGE(IF((OutputTable[GroupByKey]=OutputTable[[#This Row],[GroupByKey]]),(OutputTable[GroupByKey]=OutputTable[[#This Row],[GroupByKey]])*OutputTable[RecordedValue])),0)</f>
        <v>6.14</v>
      </c>
      <c r="L154" cm="1">
        <f t="array" ref="L154">IFERROR(_xlfn.STDEV.S(IF((OutputTable[GroupByKey]=OutputTable[[#This Row],[GroupByKey]]),(OutputTable[GroupByKey]=OutputTable[[#This Row],[GroupByKey]])*OutputTable[RecordedValue])),0)</f>
        <v>1.4984345572793558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54" cm="1">
        <f t="array" ref="O154">MIN(IF((OutputTable[GroupByKey]=OutputTable[[#This Row],[GroupByKey]]),(OutputTable[GroupByKey]=OutputTable[[#This Row],[GroupByKey]])*OutputTable[RecordedValue]))</f>
        <v>3</v>
      </c>
      <c r="P154" cm="1">
        <f t="array" ref="P154">MAX(IF((OutputTable[GroupByKey]=OutputTable[[#This Row],[GroupByKey]]),(OutputTable[GroupByKey]=OutputTable[[#This Row],[GroupByKey]])*OutputTable[RecordedValue]))</f>
        <v>9</v>
      </c>
    </row>
    <row r="155" spans="1:16" x14ac:dyDescent="0.35">
      <c r="A155" t="s">
        <v>66</v>
      </c>
      <c r="B155" t="s">
        <v>98</v>
      </c>
      <c r="C155">
        <v>31</v>
      </c>
      <c r="D155" t="s">
        <v>93</v>
      </c>
      <c r="E155" t="s">
        <v>94</v>
      </c>
      <c r="F155" t="s">
        <v>84</v>
      </c>
      <c r="G155">
        <v>0.50636270765218105</v>
      </c>
      <c r="H155">
        <v>0</v>
      </c>
      <c r="I15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5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cm="1">
        <f t="array" ref="K155">IFERROR(AVERAGE(IF((OutputTable[GroupByKey]=OutputTable[[#This Row],[GroupByKey]]),(OutputTable[GroupByKey]=OutputTable[[#This Row],[GroupByKey]])*OutputTable[RecordedValue])),0)</f>
        <v>0.63912553924181559</v>
      </c>
      <c r="L155" cm="1">
        <f t="array" ref="L155">IFERROR(_xlfn.STDEV.S(IF((OutputTable[GroupByKey]=OutputTable[[#This Row],[GroupByKey]]),(OutputTable[GroupByKey]=OutputTable[[#This Row],[GroupByKey]])*OutputTable[RecordedValue])),0)</f>
        <v>0.16841036655083153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55" cm="1">
        <f t="array" ref="O155">MIN(IF((OutputTable[GroupByKey]=OutputTable[[#This Row],[GroupByKey]]),(OutputTable[GroupByKey]=OutputTable[[#This Row],[GroupByKey]])*OutputTable[RecordedValue]))</f>
        <v>0.30856555337021802</v>
      </c>
      <c r="P155" cm="1">
        <f t="array" ref="P155">MAX(IF((OutputTable[GroupByKey]=OutputTable[[#This Row],[GroupByKey]]),(OutputTable[GroupByKey]=OutputTable[[#This Row],[GroupByKey]])*OutputTable[RecordedValue]))</f>
        <v>0.98721163888391195</v>
      </c>
    </row>
    <row r="156" spans="1:16" x14ac:dyDescent="0.35">
      <c r="A156" t="s">
        <v>66</v>
      </c>
      <c r="B156" t="s">
        <v>98</v>
      </c>
      <c r="C156">
        <v>31</v>
      </c>
      <c r="D156" t="s">
        <v>95</v>
      </c>
      <c r="E156" t="s">
        <v>90</v>
      </c>
      <c r="F156" t="s">
        <v>96</v>
      </c>
      <c r="G156">
        <v>4</v>
      </c>
      <c r="H156">
        <v>0</v>
      </c>
      <c r="I156" t="str">
        <f>OutputTable[[#This Row],[ProjectName]]&amp;OutputTable[[#This Row],[Name]]&amp;OutputTable[[#This Row],[Type]]&amp;OutputTable[[#This Row],[Source]]</f>
        <v>Unnamed ProjectSystem.NumberOutNumber OutSystem</v>
      </c>
      <c r="J156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cm="1">
        <f t="array" ref="K156">IFERROR(AVERAGE(IF((OutputTable[GroupByKey]=OutputTable[[#This Row],[GroupByKey]]),(OutputTable[GroupByKey]=OutputTable[[#This Row],[GroupByKey]])*OutputTable[RecordedValue])),0)</f>
        <v>4.8600000000000003</v>
      </c>
      <c r="L156" cm="1">
        <f t="array" ref="L156">IFERROR(_xlfn.STDEV.S(IF((OutputTable[GroupByKey]=OutputTable[[#This Row],[GroupByKey]]),(OutputTable[GroupByKey]=OutputTable[[#This Row],[GroupByKey]])*OutputTable[RecordedValue])),0)</f>
        <v>1.4287142785721427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56" cm="1">
        <f t="array" ref="O156">MIN(IF((OutputTable[GroupByKey]=OutputTable[[#This Row],[GroupByKey]]),(OutputTable[GroupByKey]=OutputTable[[#This Row],[GroupByKey]])*OutputTable[RecordedValue]))</f>
        <v>2</v>
      </c>
      <c r="P156" cm="1">
        <f t="array" ref="P156">MAX(IF((OutputTable[GroupByKey]=OutputTable[[#This Row],[GroupByKey]]),(OutputTable[GroupByKey]=OutputTable[[#This Row],[GroupByKey]])*OutputTable[RecordedValue]))</f>
        <v>8</v>
      </c>
    </row>
    <row r="157" spans="1:16" x14ac:dyDescent="0.35">
      <c r="A157" t="s">
        <v>66</v>
      </c>
      <c r="B157" t="s">
        <v>98</v>
      </c>
      <c r="C157">
        <v>32</v>
      </c>
      <c r="D157" t="s">
        <v>87</v>
      </c>
      <c r="E157" t="s">
        <v>88</v>
      </c>
      <c r="F157" t="s">
        <v>71</v>
      </c>
      <c r="G157">
        <v>5</v>
      </c>
      <c r="H157">
        <v>0</v>
      </c>
      <c r="I157" t="str">
        <f>OutputTable[[#This Row],[ProjectName]]&amp;OutputTable[[#This Row],[Name]]&amp;OutputTable[[#This Row],[Type]]&amp;OutputTable[[#This Row],[Source]]</f>
        <v>Unnamed ProjectArquivos.NumberInNumber InEntity</v>
      </c>
      <c r="J157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cm="1">
        <f t="array" ref="K157">IFERROR(AVERAGE(IF((OutputTable[GroupByKey]=OutputTable[[#This Row],[GroupByKey]]),(OutputTable[GroupByKey]=OutputTable[[#This Row],[GroupByKey]])*OutputTable[RecordedValue])),0)</f>
        <v>6.32</v>
      </c>
      <c r="L157" cm="1">
        <f t="array" ref="L157">IFERROR(_xlfn.STDEV.S(IF((OutputTable[GroupByKey]=OutputTable[[#This Row],[GroupByKey]]),(OutputTable[GroupByKey]=OutputTable[[#This Row],[GroupByKey]])*OutputTable[RecordedValue])),0)</f>
        <v>1.671367520252534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57" cm="1">
        <f t="array" ref="O157">MIN(IF((OutputTable[GroupByKey]=OutputTable[[#This Row],[GroupByKey]]),(OutputTable[GroupByKey]=OutputTable[[#This Row],[GroupByKey]])*OutputTable[RecordedValue]))</f>
        <v>3</v>
      </c>
      <c r="P157" cm="1">
        <f t="array" ref="P157">MAX(IF((OutputTable[GroupByKey]=OutputTable[[#This Row],[GroupByKey]]),(OutputTable[GroupByKey]=OutputTable[[#This Row],[GroupByKey]])*OutputTable[RecordedValue]))</f>
        <v>12</v>
      </c>
    </row>
    <row r="158" spans="1:16" x14ac:dyDescent="0.35">
      <c r="A158" t="s">
        <v>66</v>
      </c>
      <c r="B158" t="s">
        <v>98</v>
      </c>
      <c r="C158">
        <v>32</v>
      </c>
      <c r="D158" t="s">
        <v>89</v>
      </c>
      <c r="E158" t="s">
        <v>90</v>
      </c>
      <c r="F158" t="s">
        <v>71</v>
      </c>
      <c r="G158">
        <v>2</v>
      </c>
      <c r="H158">
        <v>0</v>
      </c>
      <c r="I158" t="str">
        <f>OutputTable[[#This Row],[ProjectName]]&amp;OutputTable[[#This Row],[Name]]&amp;OutputTable[[#This Row],[Type]]&amp;OutputTable[[#This Row],[Source]]</f>
        <v>Unnamed ProjectArquivos.NumberOutNumber OutEntity</v>
      </c>
      <c r="J158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cm="1">
        <f t="array" ref="K158">IFERROR(AVERAGE(IF((OutputTable[GroupByKey]=OutputTable[[#This Row],[GroupByKey]]),(OutputTable[GroupByKey]=OutputTable[[#This Row],[GroupByKey]])*OutputTable[RecordedValue])),0)</f>
        <v>4.8600000000000003</v>
      </c>
      <c r="L158" cm="1">
        <f t="array" ref="L158">IFERROR(_xlfn.STDEV.S(IF((OutputTable[GroupByKey]=OutputTable[[#This Row],[GroupByKey]]),(OutputTable[GroupByKey]=OutputTable[[#This Row],[GroupByKey]])*OutputTable[RecordedValue])),0)</f>
        <v>1.4287142785721427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58" cm="1">
        <f t="array" ref="O158">MIN(IF((OutputTable[GroupByKey]=OutputTable[[#This Row],[GroupByKey]]),(OutputTable[GroupByKey]=OutputTable[[#This Row],[GroupByKey]])*OutputTable[RecordedValue]))</f>
        <v>2</v>
      </c>
      <c r="P158" cm="1">
        <f t="array" ref="P158">MAX(IF((OutputTable[GroupByKey]=OutputTable[[#This Row],[GroupByKey]]),(OutputTable[GroupByKey]=OutputTable[[#This Row],[GroupByKey]])*OutputTable[RecordedValue]))</f>
        <v>8</v>
      </c>
    </row>
    <row r="159" spans="1:16" x14ac:dyDescent="0.35">
      <c r="A159" t="s">
        <v>66</v>
      </c>
      <c r="B159" t="s">
        <v>98</v>
      </c>
      <c r="C159">
        <v>32</v>
      </c>
      <c r="D159" t="s">
        <v>91</v>
      </c>
      <c r="E159" t="s">
        <v>92</v>
      </c>
      <c r="F159" t="s">
        <v>84</v>
      </c>
      <c r="G159">
        <v>4</v>
      </c>
      <c r="H159">
        <v>0</v>
      </c>
      <c r="I15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cm="1">
        <f t="array" ref="K159">IFERROR(AVERAGE(IF((OutputTable[GroupByKey]=OutputTable[[#This Row],[GroupByKey]]),(OutputTable[GroupByKey]=OutputTable[[#This Row],[GroupByKey]])*OutputTable[RecordedValue])),0)</f>
        <v>6.14</v>
      </c>
      <c r="L159" cm="1">
        <f t="array" ref="L159">IFERROR(_xlfn.STDEV.S(IF((OutputTable[GroupByKey]=OutputTable[[#This Row],[GroupByKey]]),(OutputTable[GroupByKey]=OutputTable[[#This Row],[GroupByKey]])*OutputTable[RecordedValue])),0)</f>
        <v>1.4984345572793558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59" cm="1">
        <f t="array" ref="O159">MIN(IF((OutputTable[GroupByKey]=OutputTable[[#This Row],[GroupByKey]]),(OutputTable[GroupByKey]=OutputTable[[#This Row],[GroupByKey]])*OutputTable[RecordedValue]))</f>
        <v>3</v>
      </c>
      <c r="P159" cm="1">
        <f t="array" ref="P159">MAX(IF((OutputTable[GroupByKey]=OutputTable[[#This Row],[GroupByKey]]),(OutputTable[GroupByKey]=OutputTable[[#This Row],[GroupByKey]])*OutputTable[RecordedValue]))</f>
        <v>9</v>
      </c>
    </row>
    <row r="160" spans="1:16" x14ac:dyDescent="0.35">
      <c r="A160" t="s">
        <v>66</v>
      </c>
      <c r="B160" t="s">
        <v>98</v>
      </c>
      <c r="C160">
        <v>32</v>
      </c>
      <c r="D160" t="s">
        <v>93</v>
      </c>
      <c r="E160" t="s">
        <v>94</v>
      </c>
      <c r="F160" t="s">
        <v>84</v>
      </c>
      <c r="G160">
        <v>0.32716625259473803</v>
      </c>
      <c r="H160">
        <v>0</v>
      </c>
      <c r="I16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cm="1">
        <f t="array" ref="K160">IFERROR(AVERAGE(IF((OutputTable[GroupByKey]=OutputTable[[#This Row],[GroupByKey]]),(OutputTable[GroupByKey]=OutputTable[[#This Row],[GroupByKey]])*OutputTable[RecordedValue])),0)</f>
        <v>0.63912553924181559</v>
      </c>
      <c r="L160" cm="1">
        <f t="array" ref="L160">IFERROR(_xlfn.STDEV.S(IF((OutputTable[GroupByKey]=OutputTable[[#This Row],[GroupByKey]]),(OutputTable[GroupByKey]=OutputTable[[#This Row],[GroupByKey]])*OutputTable[RecordedValue])),0)</f>
        <v>0.16841036655083153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60" cm="1">
        <f t="array" ref="O160">MIN(IF((OutputTable[GroupByKey]=OutputTable[[#This Row],[GroupByKey]]),(OutputTable[GroupByKey]=OutputTable[[#This Row],[GroupByKey]])*OutputTable[RecordedValue]))</f>
        <v>0.30856555337021802</v>
      </c>
      <c r="P160" cm="1">
        <f t="array" ref="P160">MAX(IF((OutputTable[GroupByKey]=OutputTable[[#This Row],[GroupByKey]]),(OutputTable[GroupByKey]=OutputTable[[#This Row],[GroupByKey]])*OutputTable[RecordedValue]))</f>
        <v>0.98721163888391195</v>
      </c>
    </row>
    <row r="161" spans="1:16" x14ac:dyDescent="0.35">
      <c r="A161" t="s">
        <v>66</v>
      </c>
      <c r="B161" t="s">
        <v>98</v>
      </c>
      <c r="C161">
        <v>32</v>
      </c>
      <c r="D161" t="s">
        <v>95</v>
      </c>
      <c r="E161" t="s">
        <v>90</v>
      </c>
      <c r="F161" t="s">
        <v>96</v>
      </c>
      <c r="G161">
        <v>2</v>
      </c>
      <c r="H161">
        <v>0</v>
      </c>
      <c r="I161" t="str">
        <f>OutputTable[[#This Row],[ProjectName]]&amp;OutputTable[[#This Row],[Name]]&amp;OutputTable[[#This Row],[Type]]&amp;OutputTable[[#This Row],[Source]]</f>
        <v>Unnamed ProjectSystem.NumberOutNumber OutSystem</v>
      </c>
      <c r="J161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cm="1">
        <f t="array" ref="K161">IFERROR(AVERAGE(IF((OutputTable[GroupByKey]=OutputTable[[#This Row],[GroupByKey]]),(OutputTable[GroupByKey]=OutputTable[[#This Row],[GroupByKey]])*OutputTable[RecordedValue])),0)</f>
        <v>4.8600000000000003</v>
      </c>
      <c r="L161" cm="1">
        <f t="array" ref="L161">IFERROR(_xlfn.STDEV.S(IF((OutputTable[GroupByKey]=OutputTable[[#This Row],[GroupByKey]]),(OutputTable[GroupByKey]=OutputTable[[#This Row],[GroupByKey]])*OutputTable[RecordedValue])),0)</f>
        <v>1.4287142785721427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61" cm="1">
        <f t="array" ref="O161">MIN(IF((OutputTable[GroupByKey]=OutputTable[[#This Row],[GroupByKey]]),(OutputTable[GroupByKey]=OutputTable[[#This Row],[GroupByKey]])*OutputTable[RecordedValue]))</f>
        <v>2</v>
      </c>
      <c r="P161" cm="1">
        <f t="array" ref="P161">MAX(IF((OutputTable[GroupByKey]=OutputTable[[#This Row],[GroupByKey]]),(OutputTable[GroupByKey]=OutputTable[[#This Row],[GroupByKey]])*OutputTable[RecordedValue]))</f>
        <v>8</v>
      </c>
    </row>
    <row r="162" spans="1:16" x14ac:dyDescent="0.35">
      <c r="A162" t="s">
        <v>66</v>
      </c>
      <c r="B162" t="s">
        <v>98</v>
      </c>
      <c r="C162">
        <v>33</v>
      </c>
      <c r="D162" t="s">
        <v>87</v>
      </c>
      <c r="E162" t="s">
        <v>88</v>
      </c>
      <c r="F162" t="s">
        <v>71</v>
      </c>
      <c r="G162">
        <v>8</v>
      </c>
      <c r="H162">
        <v>0</v>
      </c>
      <c r="I162" t="str">
        <f>OutputTable[[#This Row],[ProjectName]]&amp;OutputTable[[#This Row],[Name]]&amp;OutputTable[[#This Row],[Type]]&amp;OutputTable[[#This Row],[Source]]</f>
        <v>Unnamed ProjectArquivos.NumberInNumber InEntity</v>
      </c>
      <c r="J162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cm="1">
        <f t="array" ref="K162">IFERROR(AVERAGE(IF((OutputTable[GroupByKey]=OutputTable[[#This Row],[GroupByKey]]),(OutputTable[GroupByKey]=OutputTable[[#This Row],[GroupByKey]])*OutputTable[RecordedValue])),0)</f>
        <v>6.32</v>
      </c>
      <c r="L162" cm="1">
        <f t="array" ref="L162">IFERROR(_xlfn.STDEV.S(IF((OutputTable[GroupByKey]=OutputTable[[#This Row],[GroupByKey]]),(OutputTable[GroupByKey]=OutputTable[[#This Row],[GroupByKey]])*OutputTable[RecordedValue])),0)</f>
        <v>1.671367520252534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62" cm="1">
        <f t="array" ref="O162">MIN(IF((OutputTable[GroupByKey]=OutputTable[[#This Row],[GroupByKey]]),(OutputTable[GroupByKey]=OutputTable[[#This Row],[GroupByKey]])*OutputTable[RecordedValue]))</f>
        <v>3</v>
      </c>
      <c r="P162" cm="1">
        <f t="array" ref="P162">MAX(IF((OutputTable[GroupByKey]=OutputTable[[#This Row],[GroupByKey]]),(OutputTable[GroupByKey]=OutputTable[[#This Row],[GroupByKey]])*OutputTable[RecordedValue]))</f>
        <v>12</v>
      </c>
    </row>
    <row r="163" spans="1:16" x14ac:dyDescent="0.35">
      <c r="A163" t="s">
        <v>66</v>
      </c>
      <c r="B163" t="s">
        <v>98</v>
      </c>
      <c r="C163">
        <v>33</v>
      </c>
      <c r="D163" t="s">
        <v>89</v>
      </c>
      <c r="E163" t="s">
        <v>90</v>
      </c>
      <c r="F163" t="s">
        <v>71</v>
      </c>
      <c r="G163">
        <v>6</v>
      </c>
      <c r="H163">
        <v>0</v>
      </c>
      <c r="I163" t="str">
        <f>OutputTable[[#This Row],[ProjectName]]&amp;OutputTable[[#This Row],[Name]]&amp;OutputTable[[#This Row],[Type]]&amp;OutputTable[[#This Row],[Source]]</f>
        <v>Unnamed ProjectArquivos.NumberOutNumber OutEntity</v>
      </c>
      <c r="J163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cm="1">
        <f t="array" ref="K163">IFERROR(AVERAGE(IF((OutputTable[GroupByKey]=OutputTable[[#This Row],[GroupByKey]]),(OutputTable[GroupByKey]=OutputTable[[#This Row],[GroupByKey]])*OutputTable[RecordedValue])),0)</f>
        <v>4.8600000000000003</v>
      </c>
      <c r="L163" cm="1">
        <f t="array" ref="L163">IFERROR(_xlfn.STDEV.S(IF((OutputTable[GroupByKey]=OutputTable[[#This Row],[GroupByKey]]),(OutputTable[GroupByKey]=OutputTable[[#This Row],[GroupByKey]])*OutputTable[RecordedValue])),0)</f>
        <v>1.4287142785721427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63" cm="1">
        <f t="array" ref="O163">MIN(IF((OutputTable[GroupByKey]=OutputTable[[#This Row],[GroupByKey]]),(OutputTable[GroupByKey]=OutputTable[[#This Row],[GroupByKey]])*OutputTable[RecordedValue]))</f>
        <v>2</v>
      </c>
      <c r="P163" cm="1">
        <f t="array" ref="P163">MAX(IF((OutputTable[GroupByKey]=OutputTable[[#This Row],[GroupByKey]]),(OutputTable[GroupByKey]=OutputTable[[#This Row],[GroupByKey]])*OutputTable[RecordedValue]))</f>
        <v>8</v>
      </c>
    </row>
    <row r="164" spans="1:16" x14ac:dyDescent="0.35">
      <c r="A164" t="s">
        <v>66</v>
      </c>
      <c r="B164" t="s">
        <v>98</v>
      </c>
      <c r="C164">
        <v>33</v>
      </c>
      <c r="D164" t="s">
        <v>91</v>
      </c>
      <c r="E164" t="s">
        <v>92</v>
      </c>
      <c r="F164" t="s">
        <v>84</v>
      </c>
      <c r="G164">
        <v>8</v>
      </c>
      <c r="H164">
        <v>0</v>
      </c>
      <c r="I16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64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cm="1">
        <f t="array" ref="K164">IFERROR(AVERAGE(IF((OutputTable[GroupByKey]=OutputTable[[#This Row],[GroupByKey]]),(OutputTable[GroupByKey]=OutputTable[[#This Row],[GroupByKey]])*OutputTable[RecordedValue])),0)</f>
        <v>6.14</v>
      </c>
      <c r="L164" cm="1">
        <f t="array" ref="L164">IFERROR(_xlfn.STDEV.S(IF((OutputTable[GroupByKey]=OutputTable[[#This Row],[GroupByKey]]),(OutputTable[GroupByKey]=OutputTable[[#This Row],[GroupByKey]])*OutputTable[RecordedValue])),0)</f>
        <v>1.4984345572793558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64" cm="1">
        <f t="array" ref="O164">MIN(IF((OutputTable[GroupByKey]=OutputTable[[#This Row],[GroupByKey]]),(OutputTable[GroupByKey]=OutputTable[[#This Row],[GroupByKey]])*OutputTable[RecordedValue]))</f>
        <v>3</v>
      </c>
      <c r="P164" cm="1">
        <f t="array" ref="P164">MAX(IF((OutputTable[GroupByKey]=OutputTable[[#This Row],[GroupByKey]]),(OutputTable[GroupByKey]=OutputTable[[#This Row],[GroupByKey]])*OutputTable[RecordedValue]))</f>
        <v>9</v>
      </c>
    </row>
    <row r="165" spans="1:16" x14ac:dyDescent="0.35">
      <c r="A165" t="s">
        <v>66</v>
      </c>
      <c r="B165" t="s">
        <v>98</v>
      </c>
      <c r="C165">
        <v>33</v>
      </c>
      <c r="D165" t="s">
        <v>93</v>
      </c>
      <c r="E165" t="s">
        <v>94</v>
      </c>
      <c r="F165" t="s">
        <v>84</v>
      </c>
      <c r="G165">
        <v>0.85602962277629602</v>
      </c>
      <c r="H165">
        <v>0</v>
      </c>
      <c r="I16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6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cm="1">
        <f t="array" ref="K165">IFERROR(AVERAGE(IF((OutputTable[GroupByKey]=OutputTable[[#This Row],[GroupByKey]]),(OutputTable[GroupByKey]=OutputTable[[#This Row],[GroupByKey]])*OutputTable[RecordedValue])),0)</f>
        <v>0.63912553924181559</v>
      </c>
      <c r="L165" cm="1">
        <f t="array" ref="L165">IFERROR(_xlfn.STDEV.S(IF((OutputTable[GroupByKey]=OutputTable[[#This Row],[GroupByKey]]),(OutputTable[GroupByKey]=OutputTable[[#This Row],[GroupByKey]])*OutputTable[RecordedValue])),0)</f>
        <v>0.16841036655083153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65" cm="1">
        <f t="array" ref="O165">MIN(IF((OutputTable[GroupByKey]=OutputTable[[#This Row],[GroupByKey]]),(OutputTable[GroupByKey]=OutputTable[[#This Row],[GroupByKey]])*OutputTable[RecordedValue]))</f>
        <v>0.30856555337021802</v>
      </c>
      <c r="P165" cm="1">
        <f t="array" ref="P165">MAX(IF((OutputTable[GroupByKey]=OutputTable[[#This Row],[GroupByKey]]),(OutputTable[GroupByKey]=OutputTable[[#This Row],[GroupByKey]])*OutputTable[RecordedValue]))</f>
        <v>0.98721163888391195</v>
      </c>
    </row>
    <row r="166" spans="1:16" x14ac:dyDescent="0.35">
      <c r="A166" t="s">
        <v>66</v>
      </c>
      <c r="B166" t="s">
        <v>98</v>
      </c>
      <c r="C166">
        <v>33</v>
      </c>
      <c r="D166" t="s">
        <v>95</v>
      </c>
      <c r="E166" t="s">
        <v>90</v>
      </c>
      <c r="F166" t="s">
        <v>96</v>
      </c>
      <c r="G166">
        <v>6</v>
      </c>
      <c r="H166">
        <v>0</v>
      </c>
      <c r="I166" t="str">
        <f>OutputTable[[#This Row],[ProjectName]]&amp;OutputTable[[#This Row],[Name]]&amp;OutputTable[[#This Row],[Type]]&amp;OutputTable[[#This Row],[Source]]</f>
        <v>Unnamed ProjectSystem.NumberOutNumber OutSystem</v>
      </c>
      <c r="J166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cm="1">
        <f t="array" ref="K166">IFERROR(AVERAGE(IF((OutputTable[GroupByKey]=OutputTable[[#This Row],[GroupByKey]]),(OutputTable[GroupByKey]=OutputTable[[#This Row],[GroupByKey]])*OutputTable[RecordedValue])),0)</f>
        <v>4.8600000000000003</v>
      </c>
      <c r="L166" cm="1">
        <f t="array" ref="L166">IFERROR(_xlfn.STDEV.S(IF((OutputTable[GroupByKey]=OutputTable[[#This Row],[GroupByKey]]),(OutputTable[GroupByKey]=OutputTable[[#This Row],[GroupByKey]])*OutputTable[RecordedValue])),0)</f>
        <v>1.4287142785721427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66" cm="1">
        <f t="array" ref="O166">MIN(IF((OutputTable[GroupByKey]=OutputTable[[#This Row],[GroupByKey]]),(OutputTable[GroupByKey]=OutputTable[[#This Row],[GroupByKey]])*OutputTable[RecordedValue]))</f>
        <v>2</v>
      </c>
      <c r="P166" cm="1">
        <f t="array" ref="P166">MAX(IF((OutputTable[GroupByKey]=OutputTable[[#This Row],[GroupByKey]]),(OutputTable[GroupByKey]=OutputTable[[#This Row],[GroupByKey]])*OutputTable[RecordedValue]))</f>
        <v>8</v>
      </c>
    </row>
    <row r="167" spans="1:16" x14ac:dyDescent="0.35">
      <c r="A167" t="s">
        <v>66</v>
      </c>
      <c r="B167" t="s">
        <v>98</v>
      </c>
      <c r="C167">
        <v>34</v>
      </c>
      <c r="D167" t="s">
        <v>87</v>
      </c>
      <c r="E167" t="s">
        <v>88</v>
      </c>
      <c r="F167" t="s">
        <v>71</v>
      </c>
      <c r="G167">
        <v>8</v>
      </c>
      <c r="H167">
        <v>0</v>
      </c>
      <c r="I167" t="str">
        <f>OutputTable[[#This Row],[ProjectName]]&amp;OutputTable[[#This Row],[Name]]&amp;OutputTable[[#This Row],[Type]]&amp;OutputTable[[#This Row],[Source]]</f>
        <v>Unnamed ProjectArquivos.NumberInNumber InEntity</v>
      </c>
      <c r="J167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cm="1">
        <f t="array" ref="K167">IFERROR(AVERAGE(IF((OutputTable[GroupByKey]=OutputTable[[#This Row],[GroupByKey]]),(OutputTable[GroupByKey]=OutputTable[[#This Row],[GroupByKey]])*OutputTable[RecordedValue])),0)</f>
        <v>6.32</v>
      </c>
      <c r="L167" cm="1">
        <f t="array" ref="L167">IFERROR(_xlfn.STDEV.S(IF((OutputTable[GroupByKey]=OutputTable[[#This Row],[GroupByKey]]),(OutputTable[GroupByKey]=OutputTable[[#This Row],[GroupByKey]])*OutputTable[RecordedValue])),0)</f>
        <v>1.671367520252534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67" cm="1">
        <f t="array" ref="O167">MIN(IF((OutputTable[GroupByKey]=OutputTable[[#This Row],[GroupByKey]]),(OutputTable[GroupByKey]=OutputTable[[#This Row],[GroupByKey]])*OutputTable[RecordedValue]))</f>
        <v>3</v>
      </c>
      <c r="P167" cm="1">
        <f t="array" ref="P167">MAX(IF((OutputTable[GroupByKey]=OutputTable[[#This Row],[GroupByKey]]),(OutputTable[GroupByKey]=OutputTable[[#This Row],[GroupByKey]])*OutputTable[RecordedValue]))</f>
        <v>12</v>
      </c>
    </row>
    <row r="168" spans="1:16" x14ac:dyDescent="0.35">
      <c r="A168" t="s">
        <v>66</v>
      </c>
      <c r="B168" t="s">
        <v>98</v>
      </c>
      <c r="C168">
        <v>34</v>
      </c>
      <c r="D168" t="s">
        <v>89</v>
      </c>
      <c r="E168" t="s">
        <v>90</v>
      </c>
      <c r="F168" t="s">
        <v>71</v>
      </c>
      <c r="G168">
        <v>7</v>
      </c>
      <c r="H168">
        <v>0</v>
      </c>
      <c r="I168" t="str">
        <f>OutputTable[[#This Row],[ProjectName]]&amp;OutputTable[[#This Row],[Name]]&amp;OutputTable[[#This Row],[Type]]&amp;OutputTable[[#This Row],[Source]]</f>
        <v>Unnamed ProjectArquivos.NumberOutNumber OutEntity</v>
      </c>
      <c r="J168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cm="1">
        <f t="array" ref="K168">IFERROR(AVERAGE(IF((OutputTable[GroupByKey]=OutputTable[[#This Row],[GroupByKey]]),(OutputTable[GroupByKey]=OutputTable[[#This Row],[GroupByKey]])*OutputTable[RecordedValue])),0)</f>
        <v>4.8600000000000003</v>
      </c>
      <c r="L168" cm="1">
        <f t="array" ref="L168">IFERROR(_xlfn.STDEV.S(IF((OutputTable[GroupByKey]=OutputTable[[#This Row],[GroupByKey]]),(OutputTable[GroupByKey]=OutputTable[[#This Row],[GroupByKey]])*OutputTable[RecordedValue])),0)</f>
        <v>1.4287142785721427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68" cm="1">
        <f t="array" ref="O168">MIN(IF((OutputTable[GroupByKey]=OutputTable[[#This Row],[GroupByKey]]),(OutputTable[GroupByKey]=OutputTable[[#This Row],[GroupByKey]])*OutputTable[RecordedValue]))</f>
        <v>2</v>
      </c>
      <c r="P168" cm="1">
        <f t="array" ref="P168">MAX(IF((OutputTable[GroupByKey]=OutputTable[[#This Row],[GroupByKey]]),(OutputTable[GroupByKey]=OutputTable[[#This Row],[GroupByKey]])*OutputTable[RecordedValue]))</f>
        <v>8</v>
      </c>
    </row>
    <row r="169" spans="1:16" x14ac:dyDescent="0.35">
      <c r="A169" t="s">
        <v>66</v>
      </c>
      <c r="B169" t="s">
        <v>98</v>
      </c>
      <c r="C169">
        <v>34</v>
      </c>
      <c r="D169" t="s">
        <v>91</v>
      </c>
      <c r="E169" t="s">
        <v>92</v>
      </c>
      <c r="F169" t="s">
        <v>84</v>
      </c>
      <c r="G169">
        <v>8</v>
      </c>
      <c r="H169">
        <v>0</v>
      </c>
      <c r="I16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69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cm="1">
        <f t="array" ref="K169">IFERROR(AVERAGE(IF((OutputTable[GroupByKey]=OutputTable[[#This Row],[GroupByKey]]),(OutputTable[GroupByKey]=OutputTable[[#This Row],[GroupByKey]])*OutputTable[RecordedValue])),0)</f>
        <v>6.14</v>
      </c>
      <c r="L169" cm="1">
        <f t="array" ref="L169">IFERROR(_xlfn.STDEV.S(IF((OutputTable[GroupByKey]=OutputTable[[#This Row],[GroupByKey]]),(OutputTable[GroupByKey]=OutputTable[[#This Row],[GroupByKey]])*OutputTable[RecordedValue])),0)</f>
        <v>1.4984345572793558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69" cm="1">
        <f t="array" ref="O169">MIN(IF((OutputTable[GroupByKey]=OutputTable[[#This Row],[GroupByKey]]),(OutputTable[GroupByKey]=OutputTable[[#This Row],[GroupByKey]])*OutputTable[RecordedValue]))</f>
        <v>3</v>
      </c>
      <c r="P169" cm="1">
        <f t="array" ref="P169">MAX(IF((OutputTable[GroupByKey]=OutputTable[[#This Row],[GroupByKey]]),(OutputTable[GroupByKey]=OutputTable[[#This Row],[GroupByKey]])*OutputTable[RecordedValue]))</f>
        <v>9</v>
      </c>
    </row>
    <row r="170" spans="1:16" x14ac:dyDescent="0.35">
      <c r="A170" t="s">
        <v>66</v>
      </c>
      <c r="B170" t="s">
        <v>98</v>
      </c>
      <c r="C170">
        <v>34</v>
      </c>
      <c r="D170" t="s">
        <v>93</v>
      </c>
      <c r="E170" t="s">
        <v>94</v>
      </c>
      <c r="F170" t="s">
        <v>84</v>
      </c>
      <c r="G170">
        <v>0.79110918677619002</v>
      </c>
      <c r="H170">
        <v>0</v>
      </c>
      <c r="I17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70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cm="1">
        <f t="array" ref="K170">IFERROR(AVERAGE(IF((OutputTable[GroupByKey]=OutputTable[[#This Row],[GroupByKey]]),(OutputTable[GroupByKey]=OutputTable[[#This Row],[GroupByKey]])*OutputTable[RecordedValue])),0)</f>
        <v>0.63912553924181559</v>
      </c>
      <c r="L170" cm="1">
        <f t="array" ref="L170">IFERROR(_xlfn.STDEV.S(IF((OutputTable[GroupByKey]=OutputTable[[#This Row],[GroupByKey]]),(OutputTable[GroupByKey]=OutputTable[[#This Row],[GroupByKey]])*OutputTable[RecordedValue])),0)</f>
        <v>0.16841036655083153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70" cm="1">
        <f t="array" ref="O170">MIN(IF((OutputTable[GroupByKey]=OutputTable[[#This Row],[GroupByKey]]),(OutputTable[GroupByKey]=OutputTable[[#This Row],[GroupByKey]])*OutputTable[RecordedValue]))</f>
        <v>0.30856555337021802</v>
      </c>
      <c r="P170" cm="1">
        <f t="array" ref="P170">MAX(IF((OutputTable[GroupByKey]=OutputTable[[#This Row],[GroupByKey]]),(OutputTable[GroupByKey]=OutputTable[[#This Row],[GroupByKey]])*OutputTable[RecordedValue]))</f>
        <v>0.98721163888391195</v>
      </c>
    </row>
    <row r="171" spans="1:16" x14ac:dyDescent="0.35">
      <c r="A171" t="s">
        <v>66</v>
      </c>
      <c r="B171" t="s">
        <v>98</v>
      </c>
      <c r="C171">
        <v>34</v>
      </c>
      <c r="D171" t="s">
        <v>95</v>
      </c>
      <c r="E171" t="s">
        <v>90</v>
      </c>
      <c r="F171" t="s">
        <v>96</v>
      </c>
      <c r="G171">
        <v>7</v>
      </c>
      <c r="H171">
        <v>0</v>
      </c>
      <c r="I171" t="str">
        <f>OutputTable[[#This Row],[ProjectName]]&amp;OutputTable[[#This Row],[Name]]&amp;OutputTable[[#This Row],[Type]]&amp;OutputTable[[#This Row],[Source]]</f>
        <v>Unnamed ProjectSystem.NumberOutNumber OutSystem</v>
      </c>
      <c r="J171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cm="1">
        <f t="array" ref="K171">IFERROR(AVERAGE(IF((OutputTable[GroupByKey]=OutputTable[[#This Row],[GroupByKey]]),(OutputTable[GroupByKey]=OutputTable[[#This Row],[GroupByKey]])*OutputTable[RecordedValue])),0)</f>
        <v>4.8600000000000003</v>
      </c>
      <c r="L171" cm="1">
        <f t="array" ref="L171">IFERROR(_xlfn.STDEV.S(IF((OutputTable[GroupByKey]=OutputTable[[#This Row],[GroupByKey]]),(OutputTable[GroupByKey]=OutputTable[[#This Row],[GroupByKey]])*OutputTable[RecordedValue])),0)</f>
        <v>1.4287142785721427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71" cm="1">
        <f t="array" ref="O171">MIN(IF((OutputTable[GroupByKey]=OutputTable[[#This Row],[GroupByKey]]),(OutputTable[GroupByKey]=OutputTable[[#This Row],[GroupByKey]])*OutputTable[RecordedValue]))</f>
        <v>2</v>
      </c>
      <c r="P171" cm="1">
        <f t="array" ref="P171">MAX(IF((OutputTable[GroupByKey]=OutputTable[[#This Row],[GroupByKey]]),(OutputTable[GroupByKey]=OutputTable[[#This Row],[GroupByKey]])*OutputTable[RecordedValue]))</f>
        <v>8</v>
      </c>
    </row>
    <row r="172" spans="1:16" x14ac:dyDescent="0.35">
      <c r="A172" t="s">
        <v>66</v>
      </c>
      <c r="B172" t="s">
        <v>98</v>
      </c>
      <c r="C172">
        <v>35</v>
      </c>
      <c r="D172" t="s">
        <v>87</v>
      </c>
      <c r="E172" t="s">
        <v>88</v>
      </c>
      <c r="F172" t="s">
        <v>71</v>
      </c>
      <c r="G172">
        <v>8</v>
      </c>
      <c r="H172">
        <v>0</v>
      </c>
      <c r="I172" t="str">
        <f>OutputTable[[#This Row],[ProjectName]]&amp;OutputTable[[#This Row],[Name]]&amp;OutputTable[[#This Row],[Type]]&amp;OutputTable[[#This Row],[Source]]</f>
        <v>Unnamed ProjectArquivos.NumberInNumber InEntity</v>
      </c>
      <c r="J172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cm="1">
        <f t="array" ref="K172">IFERROR(AVERAGE(IF((OutputTable[GroupByKey]=OutputTable[[#This Row],[GroupByKey]]),(OutputTable[GroupByKey]=OutputTable[[#This Row],[GroupByKey]])*OutputTable[RecordedValue])),0)</f>
        <v>6.32</v>
      </c>
      <c r="L172" cm="1">
        <f t="array" ref="L172">IFERROR(_xlfn.STDEV.S(IF((OutputTable[GroupByKey]=OutputTable[[#This Row],[GroupByKey]]),(OutputTable[GroupByKey]=OutputTable[[#This Row],[GroupByKey]])*OutputTable[RecordedValue])),0)</f>
        <v>1.671367520252534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72" cm="1">
        <f t="array" ref="O172">MIN(IF((OutputTable[GroupByKey]=OutputTable[[#This Row],[GroupByKey]]),(OutputTable[GroupByKey]=OutputTable[[#This Row],[GroupByKey]])*OutputTable[RecordedValue]))</f>
        <v>3</v>
      </c>
      <c r="P172" cm="1">
        <f t="array" ref="P172">MAX(IF((OutputTable[GroupByKey]=OutputTable[[#This Row],[GroupByKey]]),(OutputTable[GroupByKey]=OutputTable[[#This Row],[GroupByKey]])*OutputTable[RecordedValue]))</f>
        <v>12</v>
      </c>
    </row>
    <row r="173" spans="1:16" x14ac:dyDescent="0.35">
      <c r="A173" t="s">
        <v>66</v>
      </c>
      <c r="B173" t="s">
        <v>98</v>
      </c>
      <c r="C173">
        <v>35</v>
      </c>
      <c r="D173" t="s">
        <v>89</v>
      </c>
      <c r="E173" t="s">
        <v>90</v>
      </c>
      <c r="F173" t="s">
        <v>71</v>
      </c>
      <c r="G173">
        <v>5</v>
      </c>
      <c r="H173">
        <v>0</v>
      </c>
      <c r="I173" t="str">
        <f>OutputTable[[#This Row],[ProjectName]]&amp;OutputTable[[#This Row],[Name]]&amp;OutputTable[[#This Row],[Type]]&amp;OutputTable[[#This Row],[Source]]</f>
        <v>Unnamed ProjectArquivos.NumberOutNumber OutEntity</v>
      </c>
      <c r="J173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cm="1">
        <f t="array" ref="K173">IFERROR(AVERAGE(IF((OutputTable[GroupByKey]=OutputTable[[#This Row],[GroupByKey]]),(OutputTable[GroupByKey]=OutputTable[[#This Row],[GroupByKey]])*OutputTable[RecordedValue])),0)</f>
        <v>4.8600000000000003</v>
      </c>
      <c r="L173" cm="1">
        <f t="array" ref="L173">IFERROR(_xlfn.STDEV.S(IF((OutputTable[GroupByKey]=OutputTable[[#This Row],[GroupByKey]]),(OutputTable[GroupByKey]=OutputTable[[#This Row],[GroupByKey]])*OutputTable[RecordedValue])),0)</f>
        <v>1.4287142785721427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73" cm="1">
        <f t="array" ref="O173">MIN(IF((OutputTable[GroupByKey]=OutputTable[[#This Row],[GroupByKey]]),(OutputTable[GroupByKey]=OutputTable[[#This Row],[GroupByKey]])*OutputTable[RecordedValue]))</f>
        <v>2</v>
      </c>
      <c r="P173" cm="1">
        <f t="array" ref="P173">MAX(IF((OutputTable[GroupByKey]=OutputTable[[#This Row],[GroupByKey]]),(OutputTable[GroupByKey]=OutputTable[[#This Row],[GroupByKey]])*OutputTable[RecordedValue]))</f>
        <v>8</v>
      </c>
    </row>
    <row r="174" spans="1:16" x14ac:dyDescent="0.35">
      <c r="A174" t="s">
        <v>66</v>
      </c>
      <c r="B174" t="s">
        <v>98</v>
      </c>
      <c r="C174">
        <v>35</v>
      </c>
      <c r="D174" t="s">
        <v>91</v>
      </c>
      <c r="E174" t="s">
        <v>92</v>
      </c>
      <c r="F174" t="s">
        <v>84</v>
      </c>
      <c r="G174">
        <v>7</v>
      </c>
      <c r="H174">
        <v>0</v>
      </c>
      <c r="I17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74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cm="1">
        <f t="array" ref="K174">IFERROR(AVERAGE(IF((OutputTable[GroupByKey]=OutputTable[[#This Row],[GroupByKey]]),(OutputTable[GroupByKey]=OutputTable[[#This Row],[GroupByKey]])*OutputTable[RecordedValue])),0)</f>
        <v>6.14</v>
      </c>
      <c r="L174" cm="1">
        <f t="array" ref="L174">IFERROR(_xlfn.STDEV.S(IF((OutputTable[GroupByKey]=OutputTable[[#This Row],[GroupByKey]]),(OutputTable[GroupByKey]=OutputTable[[#This Row],[GroupByKey]])*OutputTable[RecordedValue])),0)</f>
        <v>1.4984345572793558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74" cm="1">
        <f t="array" ref="O174">MIN(IF((OutputTable[GroupByKey]=OutputTable[[#This Row],[GroupByKey]]),(OutputTable[GroupByKey]=OutputTable[[#This Row],[GroupByKey]])*OutputTable[RecordedValue]))</f>
        <v>3</v>
      </c>
      <c r="P174" cm="1">
        <f t="array" ref="P174">MAX(IF((OutputTable[GroupByKey]=OutputTable[[#This Row],[GroupByKey]]),(OutputTable[GroupByKey]=OutputTable[[#This Row],[GroupByKey]])*OutputTable[RecordedValue]))</f>
        <v>9</v>
      </c>
    </row>
    <row r="175" spans="1:16" x14ac:dyDescent="0.35">
      <c r="A175" t="s">
        <v>66</v>
      </c>
      <c r="B175" t="s">
        <v>98</v>
      </c>
      <c r="C175">
        <v>35</v>
      </c>
      <c r="D175" t="s">
        <v>93</v>
      </c>
      <c r="E175" t="s">
        <v>94</v>
      </c>
      <c r="F175" t="s">
        <v>84</v>
      </c>
      <c r="G175">
        <v>0.83754834268266598</v>
      </c>
      <c r="H175">
        <v>0</v>
      </c>
      <c r="I17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7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cm="1">
        <f t="array" ref="K175">IFERROR(AVERAGE(IF((OutputTable[GroupByKey]=OutputTable[[#This Row],[GroupByKey]]),(OutputTable[GroupByKey]=OutputTable[[#This Row],[GroupByKey]])*OutputTable[RecordedValue])),0)</f>
        <v>0.63912553924181559</v>
      </c>
      <c r="L175" cm="1">
        <f t="array" ref="L175">IFERROR(_xlfn.STDEV.S(IF((OutputTable[GroupByKey]=OutputTable[[#This Row],[GroupByKey]]),(OutputTable[GroupByKey]=OutputTable[[#This Row],[GroupByKey]])*OutputTable[RecordedValue])),0)</f>
        <v>0.16841036655083153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75" cm="1">
        <f t="array" ref="O175">MIN(IF((OutputTable[GroupByKey]=OutputTable[[#This Row],[GroupByKey]]),(OutputTable[GroupByKey]=OutputTable[[#This Row],[GroupByKey]])*OutputTable[RecordedValue]))</f>
        <v>0.30856555337021802</v>
      </c>
      <c r="P175" cm="1">
        <f t="array" ref="P175">MAX(IF((OutputTable[GroupByKey]=OutputTable[[#This Row],[GroupByKey]]),(OutputTable[GroupByKey]=OutputTable[[#This Row],[GroupByKey]])*OutputTable[RecordedValue]))</f>
        <v>0.98721163888391195</v>
      </c>
    </row>
    <row r="176" spans="1:16" x14ac:dyDescent="0.35">
      <c r="A176" t="s">
        <v>66</v>
      </c>
      <c r="B176" t="s">
        <v>98</v>
      </c>
      <c r="C176">
        <v>35</v>
      </c>
      <c r="D176" t="s">
        <v>95</v>
      </c>
      <c r="E176" t="s">
        <v>90</v>
      </c>
      <c r="F176" t="s">
        <v>96</v>
      </c>
      <c r="G176">
        <v>5</v>
      </c>
      <c r="H176">
        <v>0</v>
      </c>
      <c r="I176" t="str">
        <f>OutputTable[[#This Row],[ProjectName]]&amp;OutputTable[[#This Row],[Name]]&amp;OutputTable[[#This Row],[Type]]&amp;OutputTable[[#This Row],[Source]]</f>
        <v>Unnamed ProjectSystem.NumberOutNumber OutSystem</v>
      </c>
      <c r="J176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cm="1">
        <f t="array" ref="K176">IFERROR(AVERAGE(IF((OutputTable[GroupByKey]=OutputTable[[#This Row],[GroupByKey]]),(OutputTable[GroupByKey]=OutputTable[[#This Row],[GroupByKey]])*OutputTable[RecordedValue])),0)</f>
        <v>4.8600000000000003</v>
      </c>
      <c r="L176" cm="1">
        <f t="array" ref="L176">IFERROR(_xlfn.STDEV.S(IF((OutputTable[GroupByKey]=OutputTable[[#This Row],[GroupByKey]]),(OutputTable[GroupByKey]=OutputTable[[#This Row],[GroupByKey]])*OutputTable[RecordedValue])),0)</f>
        <v>1.4287142785721427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76" cm="1">
        <f t="array" ref="O176">MIN(IF((OutputTable[GroupByKey]=OutputTable[[#This Row],[GroupByKey]]),(OutputTable[GroupByKey]=OutputTable[[#This Row],[GroupByKey]])*OutputTable[RecordedValue]))</f>
        <v>2</v>
      </c>
      <c r="P176" cm="1">
        <f t="array" ref="P176">MAX(IF((OutputTable[GroupByKey]=OutputTable[[#This Row],[GroupByKey]]),(OutputTable[GroupByKey]=OutputTable[[#This Row],[GroupByKey]])*OutputTable[RecordedValue]))</f>
        <v>8</v>
      </c>
    </row>
    <row r="177" spans="1:16" x14ac:dyDescent="0.35">
      <c r="A177" t="s">
        <v>66</v>
      </c>
      <c r="B177" t="s">
        <v>98</v>
      </c>
      <c r="C177">
        <v>36</v>
      </c>
      <c r="D177" t="s">
        <v>87</v>
      </c>
      <c r="E177" t="s">
        <v>88</v>
      </c>
      <c r="F177" t="s">
        <v>71</v>
      </c>
      <c r="G177">
        <v>8</v>
      </c>
      <c r="H177">
        <v>0</v>
      </c>
      <c r="I177" t="str">
        <f>OutputTable[[#This Row],[ProjectName]]&amp;OutputTable[[#This Row],[Name]]&amp;OutputTable[[#This Row],[Type]]&amp;OutputTable[[#This Row],[Source]]</f>
        <v>Unnamed ProjectArquivos.NumberInNumber InEntity</v>
      </c>
      <c r="J177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cm="1">
        <f t="array" ref="K177">IFERROR(AVERAGE(IF((OutputTable[GroupByKey]=OutputTable[[#This Row],[GroupByKey]]),(OutputTable[GroupByKey]=OutputTable[[#This Row],[GroupByKey]])*OutputTable[RecordedValue])),0)</f>
        <v>6.32</v>
      </c>
      <c r="L177" cm="1">
        <f t="array" ref="L177">IFERROR(_xlfn.STDEV.S(IF((OutputTable[GroupByKey]=OutputTable[[#This Row],[GroupByKey]]),(OutputTable[GroupByKey]=OutputTable[[#This Row],[GroupByKey]])*OutputTable[RecordedValue])),0)</f>
        <v>1.671367520252534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77" cm="1">
        <f t="array" ref="O177">MIN(IF((OutputTable[GroupByKey]=OutputTable[[#This Row],[GroupByKey]]),(OutputTable[GroupByKey]=OutputTable[[#This Row],[GroupByKey]])*OutputTable[RecordedValue]))</f>
        <v>3</v>
      </c>
      <c r="P177" cm="1">
        <f t="array" ref="P177">MAX(IF((OutputTable[GroupByKey]=OutputTable[[#This Row],[GroupByKey]]),(OutputTable[GroupByKey]=OutputTable[[#This Row],[GroupByKey]])*OutputTable[RecordedValue]))</f>
        <v>12</v>
      </c>
    </row>
    <row r="178" spans="1:16" x14ac:dyDescent="0.35">
      <c r="A178" t="s">
        <v>66</v>
      </c>
      <c r="B178" t="s">
        <v>98</v>
      </c>
      <c r="C178">
        <v>36</v>
      </c>
      <c r="D178" t="s">
        <v>89</v>
      </c>
      <c r="E178" t="s">
        <v>90</v>
      </c>
      <c r="F178" t="s">
        <v>71</v>
      </c>
      <c r="G178">
        <v>8</v>
      </c>
      <c r="H178">
        <v>0</v>
      </c>
      <c r="I178" t="str">
        <f>OutputTable[[#This Row],[ProjectName]]&amp;OutputTable[[#This Row],[Name]]&amp;OutputTable[[#This Row],[Type]]&amp;OutputTable[[#This Row],[Source]]</f>
        <v>Unnamed ProjectArquivos.NumberOutNumber OutEntity</v>
      </c>
      <c r="J178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cm="1">
        <f t="array" ref="K178">IFERROR(AVERAGE(IF((OutputTable[GroupByKey]=OutputTable[[#This Row],[GroupByKey]]),(OutputTable[GroupByKey]=OutputTable[[#This Row],[GroupByKey]])*OutputTable[RecordedValue])),0)</f>
        <v>4.8600000000000003</v>
      </c>
      <c r="L178" cm="1">
        <f t="array" ref="L178">IFERROR(_xlfn.STDEV.S(IF((OutputTable[GroupByKey]=OutputTable[[#This Row],[GroupByKey]]),(OutputTable[GroupByKey]=OutputTable[[#This Row],[GroupByKey]])*OutputTable[RecordedValue])),0)</f>
        <v>1.4287142785721427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78" cm="1">
        <f t="array" ref="O178">MIN(IF((OutputTable[GroupByKey]=OutputTable[[#This Row],[GroupByKey]]),(OutputTable[GroupByKey]=OutputTable[[#This Row],[GroupByKey]])*OutputTable[RecordedValue]))</f>
        <v>2</v>
      </c>
      <c r="P178" cm="1">
        <f t="array" ref="P178">MAX(IF((OutputTable[GroupByKey]=OutputTable[[#This Row],[GroupByKey]]),(OutputTable[GroupByKey]=OutputTable[[#This Row],[GroupByKey]])*OutputTable[RecordedValue]))</f>
        <v>8</v>
      </c>
    </row>
    <row r="179" spans="1:16" x14ac:dyDescent="0.35">
      <c r="A179" t="s">
        <v>66</v>
      </c>
      <c r="B179" t="s">
        <v>98</v>
      </c>
      <c r="C179">
        <v>36</v>
      </c>
      <c r="D179" t="s">
        <v>91</v>
      </c>
      <c r="E179" t="s">
        <v>92</v>
      </c>
      <c r="F179" t="s">
        <v>84</v>
      </c>
      <c r="G179">
        <v>8</v>
      </c>
      <c r="H179">
        <v>0</v>
      </c>
      <c r="I17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79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cm="1">
        <f t="array" ref="K179">IFERROR(AVERAGE(IF((OutputTable[GroupByKey]=OutputTable[[#This Row],[GroupByKey]]),(OutputTable[GroupByKey]=OutputTable[[#This Row],[GroupByKey]])*OutputTable[RecordedValue])),0)</f>
        <v>6.14</v>
      </c>
      <c r="L179" cm="1">
        <f t="array" ref="L179">IFERROR(_xlfn.STDEV.S(IF((OutputTable[GroupByKey]=OutputTable[[#This Row],[GroupByKey]]),(OutputTable[GroupByKey]=OutputTable[[#This Row],[GroupByKey]])*OutputTable[RecordedValue])),0)</f>
        <v>1.4984345572793558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79" cm="1">
        <f t="array" ref="O179">MIN(IF((OutputTable[GroupByKey]=OutputTable[[#This Row],[GroupByKey]]),(OutputTable[GroupByKey]=OutputTable[[#This Row],[GroupByKey]])*OutputTable[RecordedValue]))</f>
        <v>3</v>
      </c>
      <c r="P179" cm="1">
        <f t="array" ref="P179">MAX(IF((OutputTable[GroupByKey]=OutputTable[[#This Row],[GroupByKey]]),(OutputTable[GroupByKey]=OutputTable[[#This Row],[GroupByKey]])*OutputTable[RecordedValue]))</f>
        <v>9</v>
      </c>
    </row>
    <row r="180" spans="1:16" x14ac:dyDescent="0.35">
      <c r="A180" t="s">
        <v>66</v>
      </c>
      <c r="B180" t="s">
        <v>98</v>
      </c>
      <c r="C180">
        <v>36</v>
      </c>
      <c r="D180" t="s">
        <v>93</v>
      </c>
      <c r="E180" t="s">
        <v>94</v>
      </c>
      <c r="F180" t="s">
        <v>84</v>
      </c>
      <c r="G180">
        <v>0.76985635313895096</v>
      </c>
      <c r="H180">
        <v>0</v>
      </c>
      <c r="I18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80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cm="1">
        <f t="array" ref="K180">IFERROR(AVERAGE(IF((OutputTable[GroupByKey]=OutputTable[[#This Row],[GroupByKey]]),(OutputTable[GroupByKey]=OutputTable[[#This Row],[GroupByKey]])*OutputTable[RecordedValue])),0)</f>
        <v>0.63912553924181559</v>
      </c>
      <c r="L180" cm="1">
        <f t="array" ref="L180">IFERROR(_xlfn.STDEV.S(IF((OutputTable[GroupByKey]=OutputTable[[#This Row],[GroupByKey]]),(OutputTable[GroupByKey]=OutputTable[[#This Row],[GroupByKey]])*OutputTable[RecordedValue])),0)</f>
        <v>0.16841036655083153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80" cm="1">
        <f t="array" ref="O180">MIN(IF((OutputTable[GroupByKey]=OutputTable[[#This Row],[GroupByKey]]),(OutputTable[GroupByKey]=OutputTable[[#This Row],[GroupByKey]])*OutputTable[RecordedValue]))</f>
        <v>0.30856555337021802</v>
      </c>
      <c r="P180" cm="1">
        <f t="array" ref="P180">MAX(IF((OutputTable[GroupByKey]=OutputTable[[#This Row],[GroupByKey]]),(OutputTable[GroupByKey]=OutputTable[[#This Row],[GroupByKey]])*OutputTable[RecordedValue]))</f>
        <v>0.98721163888391195</v>
      </c>
    </row>
    <row r="181" spans="1:16" x14ac:dyDescent="0.35">
      <c r="A181" t="s">
        <v>66</v>
      </c>
      <c r="B181" t="s">
        <v>98</v>
      </c>
      <c r="C181">
        <v>36</v>
      </c>
      <c r="D181" t="s">
        <v>95</v>
      </c>
      <c r="E181" t="s">
        <v>90</v>
      </c>
      <c r="F181" t="s">
        <v>96</v>
      </c>
      <c r="G181">
        <v>8</v>
      </c>
      <c r="H181">
        <v>0</v>
      </c>
      <c r="I181" t="str">
        <f>OutputTable[[#This Row],[ProjectName]]&amp;OutputTable[[#This Row],[Name]]&amp;OutputTable[[#This Row],[Type]]&amp;OutputTable[[#This Row],[Source]]</f>
        <v>Unnamed ProjectSystem.NumberOutNumber OutSystem</v>
      </c>
      <c r="J181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cm="1">
        <f t="array" ref="K181">IFERROR(AVERAGE(IF((OutputTable[GroupByKey]=OutputTable[[#This Row],[GroupByKey]]),(OutputTable[GroupByKey]=OutputTable[[#This Row],[GroupByKey]])*OutputTable[RecordedValue])),0)</f>
        <v>4.8600000000000003</v>
      </c>
      <c r="L181" cm="1">
        <f t="array" ref="L181">IFERROR(_xlfn.STDEV.S(IF((OutputTable[GroupByKey]=OutputTable[[#This Row],[GroupByKey]]),(OutputTable[GroupByKey]=OutputTable[[#This Row],[GroupByKey]])*OutputTable[RecordedValue])),0)</f>
        <v>1.4287142785721427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81" cm="1">
        <f t="array" ref="O181">MIN(IF((OutputTable[GroupByKey]=OutputTable[[#This Row],[GroupByKey]]),(OutputTable[GroupByKey]=OutputTable[[#This Row],[GroupByKey]])*OutputTable[RecordedValue]))</f>
        <v>2</v>
      </c>
      <c r="P181" cm="1">
        <f t="array" ref="P181">MAX(IF((OutputTable[GroupByKey]=OutputTable[[#This Row],[GroupByKey]]),(OutputTable[GroupByKey]=OutputTable[[#This Row],[GroupByKey]])*OutputTable[RecordedValue]))</f>
        <v>8</v>
      </c>
    </row>
    <row r="182" spans="1:16" x14ac:dyDescent="0.35">
      <c r="A182" t="s">
        <v>66</v>
      </c>
      <c r="B182" t="s">
        <v>98</v>
      </c>
      <c r="C182">
        <v>37</v>
      </c>
      <c r="D182" t="s">
        <v>87</v>
      </c>
      <c r="E182" t="s">
        <v>88</v>
      </c>
      <c r="F182" t="s">
        <v>71</v>
      </c>
      <c r="G182">
        <v>5</v>
      </c>
      <c r="H182">
        <v>0</v>
      </c>
      <c r="I182" t="str">
        <f>OutputTable[[#This Row],[ProjectName]]&amp;OutputTable[[#This Row],[Name]]&amp;OutputTable[[#This Row],[Type]]&amp;OutputTable[[#This Row],[Source]]</f>
        <v>Unnamed ProjectArquivos.NumberInNumber InEntity</v>
      </c>
      <c r="J182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cm="1">
        <f t="array" ref="K182">IFERROR(AVERAGE(IF((OutputTable[GroupByKey]=OutputTable[[#This Row],[GroupByKey]]),(OutputTable[GroupByKey]=OutputTable[[#This Row],[GroupByKey]])*OutputTable[RecordedValue])),0)</f>
        <v>6.32</v>
      </c>
      <c r="L182" cm="1">
        <f t="array" ref="L182">IFERROR(_xlfn.STDEV.S(IF((OutputTable[GroupByKey]=OutputTable[[#This Row],[GroupByKey]]),(OutputTable[GroupByKey]=OutputTable[[#This Row],[GroupByKey]])*OutputTable[RecordedValue])),0)</f>
        <v>1.671367520252534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82" cm="1">
        <f t="array" ref="O182">MIN(IF((OutputTable[GroupByKey]=OutputTable[[#This Row],[GroupByKey]]),(OutputTable[GroupByKey]=OutputTable[[#This Row],[GroupByKey]])*OutputTable[RecordedValue]))</f>
        <v>3</v>
      </c>
      <c r="P182" cm="1">
        <f t="array" ref="P182">MAX(IF((OutputTable[GroupByKey]=OutputTable[[#This Row],[GroupByKey]]),(OutputTable[GroupByKey]=OutputTable[[#This Row],[GroupByKey]])*OutputTable[RecordedValue]))</f>
        <v>12</v>
      </c>
    </row>
    <row r="183" spans="1:16" x14ac:dyDescent="0.35">
      <c r="A183" t="s">
        <v>66</v>
      </c>
      <c r="B183" t="s">
        <v>98</v>
      </c>
      <c r="C183">
        <v>37</v>
      </c>
      <c r="D183" t="s">
        <v>89</v>
      </c>
      <c r="E183" t="s">
        <v>90</v>
      </c>
      <c r="F183" t="s">
        <v>71</v>
      </c>
      <c r="G183">
        <v>4</v>
      </c>
      <c r="H183">
        <v>0</v>
      </c>
      <c r="I183" t="str">
        <f>OutputTable[[#This Row],[ProjectName]]&amp;OutputTable[[#This Row],[Name]]&amp;OutputTable[[#This Row],[Type]]&amp;OutputTable[[#This Row],[Source]]</f>
        <v>Unnamed ProjectArquivos.NumberOutNumber OutEntity</v>
      </c>
      <c r="J183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cm="1">
        <f t="array" ref="K183">IFERROR(AVERAGE(IF((OutputTable[GroupByKey]=OutputTable[[#This Row],[GroupByKey]]),(OutputTable[GroupByKey]=OutputTable[[#This Row],[GroupByKey]])*OutputTable[RecordedValue])),0)</f>
        <v>4.8600000000000003</v>
      </c>
      <c r="L183" cm="1">
        <f t="array" ref="L183">IFERROR(_xlfn.STDEV.S(IF((OutputTable[GroupByKey]=OutputTable[[#This Row],[GroupByKey]]),(OutputTable[GroupByKey]=OutputTable[[#This Row],[GroupByKey]])*OutputTable[RecordedValue])),0)</f>
        <v>1.4287142785721427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83" cm="1">
        <f t="array" ref="O183">MIN(IF((OutputTable[GroupByKey]=OutputTable[[#This Row],[GroupByKey]]),(OutputTable[GroupByKey]=OutputTable[[#This Row],[GroupByKey]])*OutputTable[RecordedValue]))</f>
        <v>2</v>
      </c>
      <c r="P183" cm="1">
        <f t="array" ref="P183">MAX(IF((OutputTable[GroupByKey]=OutputTable[[#This Row],[GroupByKey]]),(OutputTable[GroupByKey]=OutputTable[[#This Row],[GroupByKey]])*OutputTable[RecordedValue]))</f>
        <v>8</v>
      </c>
    </row>
    <row r="184" spans="1:16" x14ac:dyDescent="0.35">
      <c r="A184" t="s">
        <v>66</v>
      </c>
      <c r="B184" t="s">
        <v>98</v>
      </c>
      <c r="C184">
        <v>37</v>
      </c>
      <c r="D184" t="s">
        <v>91</v>
      </c>
      <c r="E184" t="s">
        <v>92</v>
      </c>
      <c r="F184" t="s">
        <v>84</v>
      </c>
      <c r="G184">
        <v>5</v>
      </c>
      <c r="H184">
        <v>0</v>
      </c>
      <c r="I18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84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cm="1">
        <f t="array" ref="K184">IFERROR(AVERAGE(IF((OutputTable[GroupByKey]=OutputTable[[#This Row],[GroupByKey]]),(OutputTable[GroupByKey]=OutputTable[[#This Row],[GroupByKey]])*OutputTable[RecordedValue])),0)</f>
        <v>6.14</v>
      </c>
      <c r="L184" cm="1">
        <f t="array" ref="L184">IFERROR(_xlfn.STDEV.S(IF((OutputTable[GroupByKey]=OutputTable[[#This Row],[GroupByKey]]),(OutputTable[GroupByKey]=OutputTable[[#This Row],[GroupByKey]])*OutputTable[RecordedValue])),0)</f>
        <v>1.4984345572793558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84" cm="1">
        <f t="array" ref="O184">MIN(IF((OutputTable[GroupByKey]=OutputTable[[#This Row],[GroupByKey]]),(OutputTable[GroupByKey]=OutputTable[[#This Row],[GroupByKey]])*OutputTable[RecordedValue]))</f>
        <v>3</v>
      </c>
      <c r="P184" cm="1">
        <f t="array" ref="P184">MAX(IF((OutputTable[GroupByKey]=OutputTable[[#This Row],[GroupByKey]]),(OutputTable[GroupByKey]=OutputTable[[#This Row],[GroupByKey]])*OutputTable[RecordedValue]))</f>
        <v>9</v>
      </c>
    </row>
    <row r="185" spans="1:16" x14ac:dyDescent="0.35">
      <c r="A185" t="s">
        <v>66</v>
      </c>
      <c r="B185" t="s">
        <v>98</v>
      </c>
      <c r="C185">
        <v>37</v>
      </c>
      <c r="D185" t="s">
        <v>93</v>
      </c>
      <c r="E185" t="s">
        <v>94</v>
      </c>
      <c r="F185" t="s">
        <v>84</v>
      </c>
      <c r="G185">
        <v>0.47023092185828202</v>
      </c>
      <c r="H185">
        <v>0</v>
      </c>
      <c r="I18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8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cm="1">
        <f t="array" ref="K185">IFERROR(AVERAGE(IF((OutputTable[GroupByKey]=OutputTable[[#This Row],[GroupByKey]]),(OutputTable[GroupByKey]=OutputTable[[#This Row],[GroupByKey]])*OutputTable[RecordedValue])),0)</f>
        <v>0.63912553924181559</v>
      </c>
      <c r="L185" cm="1">
        <f t="array" ref="L185">IFERROR(_xlfn.STDEV.S(IF((OutputTable[GroupByKey]=OutputTable[[#This Row],[GroupByKey]]),(OutputTable[GroupByKey]=OutputTable[[#This Row],[GroupByKey]])*OutputTable[RecordedValue])),0)</f>
        <v>0.16841036655083153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85" cm="1">
        <f t="array" ref="O185">MIN(IF((OutputTable[GroupByKey]=OutputTable[[#This Row],[GroupByKey]]),(OutputTable[GroupByKey]=OutputTable[[#This Row],[GroupByKey]])*OutputTable[RecordedValue]))</f>
        <v>0.30856555337021802</v>
      </c>
      <c r="P185" cm="1">
        <f t="array" ref="P185">MAX(IF((OutputTable[GroupByKey]=OutputTable[[#This Row],[GroupByKey]]),(OutputTable[GroupByKey]=OutputTable[[#This Row],[GroupByKey]])*OutputTable[RecordedValue]))</f>
        <v>0.98721163888391195</v>
      </c>
    </row>
    <row r="186" spans="1:16" x14ac:dyDescent="0.35">
      <c r="A186" t="s">
        <v>66</v>
      </c>
      <c r="B186" t="s">
        <v>98</v>
      </c>
      <c r="C186">
        <v>37</v>
      </c>
      <c r="D186" t="s">
        <v>95</v>
      </c>
      <c r="E186" t="s">
        <v>90</v>
      </c>
      <c r="F186" t="s">
        <v>96</v>
      </c>
      <c r="G186">
        <v>4</v>
      </c>
      <c r="H186">
        <v>0</v>
      </c>
      <c r="I186" t="str">
        <f>OutputTable[[#This Row],[ProjectName]]&amp;OutputTable[[#This Row],[Name]]&amp;OutputTable[[#This Row],[Type]]&amp;OutputTable[[#This Row],[Source]]</f>
        <v>Unnamed ProjectSystem.NumberOutNumber OutSystem</v>
      </c>
      <c r="J186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cm="1">
        <f t="array" ref="K186">IFERROR(AVERAGE(IF((OutputTable[GroupByKey]=OutputTable[[#This Row],[GroupByKey]]),(OutputTable[GroupByKey]=OutputTable[[#This Row],[GroupByKey]])*OutputTable[RecordedValue])),0)</f>
        <v>4.8600000000000003</v>
      </c>
      <c r="L186" cm="1">
        <f t="array" ref="L186">IFERROR(_xlfn.STDEV.S(IF((OutputTable[GroupByKey]=OutputTable[[#This Row],[GroupByKey]]),(OutputTable[GroupByKey]=OutputTable[[#This Row],[GroupByKey]])*OutputTable[RecordedValue])),0)</f>
        <v>1.4287142785721427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86" cm="1">
        <f t="array" ref="O186">MIN(IF((OutputTable[GroupByKey]=OutputTable[[#This Row],[GroupByKey]]),(OutputTable[GroupByKey]=OutputTable[[#This Row],[GroupByKey]])*OutputTable[RecordedValue]))</f>
        <v>2</v>
      </c>
      <c r="P186" cm="1">
        <f t="array" ref="P186">MAX(IF((OutputTable[GroupByKey]=OutputTable[[#This Row],[GroupByKey]]),(OutputTable[GroupByKey]=OutputTable[[#This Row],[GroupByKey]])*OutputTable[RecordedValue]))</f>
        <v>8</v>
      </c>
    </row>
    <row r="187" spans="1:16" x14ac:dyDescent="0.35">
      <c r="A187" t="s">
        <v>66</v>
      </c>
      <c r="B187" t="s">
        <v>98</v>
      </c>
      <c r="C187">
        <v>38</v>
      </c>
      <c r="D187" t="s">
        <v>87</v>
      </c>
      <c r="E187" t="s">
        <v>88</v>
      </c>
      <c r="F187" t="s">
        <v>71</v>
      </c>
      <c r="G187">
        <v>9</v>
      </c>
      <c r="H187">
        <v>0</v>
      </c>
      <c r="I187" t="str">
        <f>OutputTable[[#This Row],[ProjectName]]&amp;OutputTable[[#This Row],[Name]]&amp;OutputTable[[#This Row],[Type]]&amp;OutputTable[[#This Row],[Source]]</f>
        <v>Unnamed ProjectArquivos.NumberInNumber InEntity</v>
      </c>
      <c r="J187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cm="1">
        <f t="array" ref="K187">IFERROR(AVERAGE(IF((OutputTable[GroupByKey]=OutputTable[[#This Row],[GroupByKey]]),(OutputTable[GroupByKey]=OutputTable[[#This Row],[GroupByKey]])*OutputTable[RecordedValue])),0)</f>
        <v>6.32</v>
      </c>
      <c r="L187" cm="1">
        <f t="array" ref="L187">IFERROR(_xlfn.STDEV.S(IF((OutputTable[GroupByKey]=OutputTable[[#This Row],[GroupByKey]]),(OutputTable[GroupByKey]=OutputTable[[#This Row],[GroupByKey]])*OutputTable[RecordedValue])),0)</f>
        <v>1.671367520252534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87" cm="1">
        <f t="array" ref="O187">MIN(IF((OutputTable[GroupByKey]=OutputTable[[#This Row],[GroupByKey]]),(OutputTable[GroupByKey]=OutputTable[[#This Row],[GroupByKey]])*OutputTable[RecordedValue]))</f>
        <v>3</v>
      </c>
      <c r="P187" cm="1">
        <f t="array" ref="P187">MAX(IF((OutputTable[GroupByKey]=OutputTable[[#This Row],[GroupByKey]]),(OutputTable[GroupByKey]=OutputTable[[#This Row],[GroupByKey]])*OutputTable[RecordedValue]))</f>
        <v>12</v>
      </c>
    </row>
    <row r="188" spans="1:16" x14ac:dyDescent="0.35">
      <c r="A188" t="s">
        <v>66</v>
      </c>
      <c r="B188" t="s">
        <v>98</v>
      </c>
      <c r="C188">
        <v>38</v>
      </c>
      <c r="D188" t="s">
        <v>89</v>
      </c>
      <c r="E188" t="s">
        <v>90</v>
      </c>
      <c r="F188" t="s">
        <v>71</v>
      </c>
      <c r="G188">
        <v>8</v>
      </c>
      <c r="H188">
        <v>0</v>
      </c>
      <c r="I188" t="str">
        <f>OutputTable[[#This Row],[ProjectName]]&amp;OutputTable[[#This Row],[Name]]&amp;OutputTable[[#This Row],[Type]]&amp;OutputTable[[#This Row],[Source]]</f>
        <v>Unnamed ProjectArquivos.NumberOutNumber OutEntity</v>
      </c>
      <c r="J188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cm="1">
        <f t="array" ref="K188">IFERROR(AVERAGE(IF((OutputTable[GroupByKey]=OutputTable[[#This Row],[GroupByKey]]),(OutputTable[GroupByKey]=OutputTable[[#This Row],[GroupByKey]])*OutputTable[RecordedValue])),0)</f>
        <v>4.8600000000000003</v>
      </c>
      <c r="L188" cm="1">
        <f t="array" ref="L188">IFERROR(_xlfn.STDEV.S(IF((OutputTable[GroupByKey]=OutputTable[[#This Row],[GroupByKey]]),(OutputTable[GroupByKey]=OutputTable[[#This Row],[GroupByKey]])*OutputTable[RecordedValue])),0)</f>
        <v>1.4287142785721427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88" cm="1">
        <f t="array" ref="O188">MIN(IF((OutputTable[GroupByKey]=OutputTable[[#This Row],[GroupByKey]]),(OutputTable[GroupByKey]=OutputTable[[#This Row],[GroupByKey]])*OutputTable[RecordedValue]))</f>
        <v>2</v>
      </c>
      <c r="P188" cm="1">
        <f t="array" ref="P188">MAX(IF((OutputTable[GroupByKey]=OutputTable[[#This Row],[GroupByKey]]),(OutputTable[GroupByKey]=OutputTable[[#This Row],[GroupByKey]])*OutputTable[RecordedValue]))</f>
        <v>8</v>
      </c>
    </row>
    <row r="189" spans="1:16" x14ac:dyDescent="0.35">
      <c r="A189" t="s">
        <v>66</v>
      </c>
      <c r="B189" t="s">
        <v>98</v>
      </c>
      <c r="C189">
        <v>38</v>
      </c>
      <c r="D189" t="s">
        <v>91</v>
      </c>
      <c r="E189" t="s">
        <v>92</v>
      </c>
      <c r="F189" t="s">
        <v>84</v>
      </c>
      <c r="G189">
        <v>9</v>
      </c>
      <c r="H189">
        <v>0</v>
      </c>
      <c r="I18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89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cm="1">
        <f t="array" ref="K189">IFERROR(AVERAGE(IF((OutputTable[GroupByKey]=OutputTable[[#This Row],[GroupByKey]]),(OutputTable[GroupByKey]=OutputTable[[#This Row],[GroupByKey]])*OutputTable[RecordedValue])),0)</f>
        <v>6.14</v>
      </c>
      <c r="L189" cm="1">
        <f t="array" ref="L189">IFERROR(_xlfn.STDEV.S(IF((OutputTable[GroupByKey]=OutputTable[[#This Row],[GroupByKey]]),(OutputTable[GroupByKey]=OutputTable[[#This Row],[GroupByKey]])*OutputTable[RecordedValue])),0)</f>
        <v>1.4984345572793558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89" cm="1">
        <f t="array" ref="O189">MIN(IF((OutputTable[GroupByKey]=OutputTable[[#This Row],[GroupByKey]]),(OutputTable[GroupByKey]=OutputTable[[#This Row],[GroupByKey]])*OutputTable[RecordedValue]))</f>
        <v>3</v>
      </c>
      <c r="P189" cm="1">
        <f t="array" ref="P189">MAX(IF((OutputTable[GroupByKey]=OutputTable[[#This Row],[GroupByKey]]),(OutputTable[GroupByKey]=OutputTable[[#This Row],[GroupByKey]])*OutputTable[RecordedValue]))</f>
        <v>9</v>
      </c>
    </row>
    <row r="190" spans="1:16" x14ac:dyDescent="0.35">
      <c r="A190" t="s">
        <v>66</v>
      </c>
      <c r="B190" t="s">
        <v>98</v>
      </c>
      <c r="C190">
        <v>38</v>
      </c>
      <c r="D190" t="s">
        <v>93</v>
      </c>
      <c r="E190" t="s">
        <v>94</v>
      </c>
      <c r="F190" t="s">
        <v>84</v>
      </c>
      <c r="G190">
        <v>0.80508944551189299</v>
      </c>
      <c r="H190">
        <v>0</v>
      </c>
      <c r="I19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90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cm="1">
        <f t="array" ref="K190">IFERROR(AVERAGE(IF((OutputTable[GroupByKey]=OutputTable[[#This Row],[GroupByKey]]),(OutputTable[GroupByKey]=OutputTable[[#This Row],[GroupByKey]])*OutputTable[RecordedValue])),0)</f>
        <v>0.63912553924181559</v>
      </c>
      <c r="L190" cm="1">
        <f t="array" ref="L190">IFERROR(_xlfn.STDEV.S(IF((OutputTable[GroupByKey]=OutputTable[[#This Row],[GroupByKey]]),(OutputTable[GroupByKey]=OutputTable[[#This Row],[GroupByKey]])*OutputTable[RecordedValue])),0)</f>
        <v>0.16841036655083153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90" cm="1">
        <f t="array" ref="O190">MIN(IF((OutputTable[GroupByKey]=OutputTable[[#This Row],[GroupByKey]]),(OutputTable[GroupByKey]=OutputTable[[#This Row],[GroupByKey]])*OutputTable[RecordedValue]))</f>
        <v>0.30856555337021802</v>
      </c>
      <c r="P190" cm="1">
        <f t="array" ref="P190">MAX(IF((OutputTable[GroupByKey]=OutputTable[[#This Row],[GroupByKey]]),(OutputTable[GroupByKey]=OutputTable[[#This Row],[GroupByKey]])*OutputTable[RecordedValue]))</f>
        <v>0.98721163888391195</v>
      </c>
    </row>
    <row r="191" spans="1:16" x14ac:dyDescent="0.35">
      <c r="A191" t="s">
        <v>66</v>
      </c>
      <c r="B191" t="s">
        <v>98</v>
      </c>
      <c r="C191">
        <v>38</v>
      </c>
      <c r="D191" t="s">
        <v>95</v>
      </c>
      <c r="E191" t="s">
        <v>90</v>
      </c>
      <c r="F191" t="s">
        <v>96</v>
      </c>
      <c r="G191">
        <v>8</v>
      </c>
      <c r="H191">
        <v>0</v>
      </c>
      <c r="I191" t="str">
        <f>OutputTable[[#This Row],[ProjectName]]&amp;OutputTable[[#This Row],[Name]]&amp;OutputTable[[#This Row],[Type]]&amp;OutputTable[[#This Row],[Source]]</f>
        <v>Unnamed ProjectSystem.NumberOutNumber OutSystem</v>
      </c>
      <c r="J191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cm="1">
        <f t="array" ref="K191">IFERROR(AVERAGE(IF((OutputTable[GroupByKey]=OutputTable[[#This Row],[GroupByKey]]),(OutputTable[GroupByKey]=OutputTable[[#This Row],[GroupByKey]])*OutputTable[RecordedValue])),0)</f>
        <v>4.8600000000000003</v>
      </c>
      <c r="L191" cm="1">
        <f t="array" ref="L191">IFERROR(_xlfn.STDEV.S(IF((OutputTable[GroupByKey]=OutputTable[[#This Row],[GroupByKey]]),(OutputTable[GroupByKey]=OutputTable[[#This Row],[GroupByKey]])*OutputTable[RecordedValue])),0)</f>
        <v>1.4287142785721427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91" cm="1">
        <f t="array" ref="O191">MIN(IF((OutputTable[GroupByKey]=OutputTable[[#This Row],[GroupByKey]]),(OutputTable[GroupByKey]=OutputTable[[#This Row],[GroupByKey]])*OutputTable[RecordedValue]))</f>
        <v>2</v>
      </c>
      <c r="P191" cm="1">
        <f t="array" ref="P191">MAX(IF((OutputTable[GroupByKey]=OutputTable[[#This Row],[GroupByKey]]),(OutputTable[GroupByKey]=OutputTable[[#This Row],[GroupByKey]])*OutputTable[RecordedValue]))</f>
        <v>8</v>
      </c>
    </row>
    <row r="192" spans="1:16" x14ac:dyDescent="0.35">
      <c r="A192" t="s">
        <v>66</v>
      </c>
      <c r="B192" t="s">
        <v>98</v>
      </c>
      <c r="C192">
        <v>39</v>
      </c>
      <c r="D192" t="s">
        <v>87</v>
      </c>
      <c r="E192" t="s">
        <v>88</v>
      </c>
      <c r="F192" t="s">
        <v>71</v>
      </c>
      <c r="G192">
        <v>5</v>
      </c>
      <c r="H192">
        <v>0</v>
      </c>
      <c r="I192" t="str">
        <f>OutputTable[[#This Row],[ProjectName]]&amp;OutputTable[[#This Row],[Name]]&amp;OutputTable[[#This Row],[Type]]&amp;OutputTable[[#This Row],[Source]]</f>
        <v>Unnamed ProjectArquivos.NumberInNumber InEntity</v>
      </c>
      <c r="J192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cm="1">
        <f t="array" ref="K192">IFERROR(AVERAGE(IF((OutputTable[GroupByKey]=OutputTable[[#This Row],[GroupByKey]]),(OutputTable[GroupByKey]=OutputTable[[#This Row],[GroupByKey]])*OutputTable[RecordedValue])),0)</f>
        <v>6.32</v>
      </c>
      <c r="L192" cm="1">
        <f t="array" ref="L192">IFERROR(_xlfn.STDEV.S(IF((OutputTable[GroupByKey]=OutputTable[[#This Row],[GroupByKey]]),(OutputTable[GroupByKey]=OutputTable[[#This Row],[GroupByKey]])*OutputTable[RecordedValue])),0)</f>
        <v>1.671367520252534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92" cm="1">
        <f t="array" ref="O192">MIN(IF((OutputTable[GroupByKey]=OutputTable[[#This Row],[GroupByKey]]),(OutputTable[GroupByKey]=OutputTable[[#This Row],[GroupByKey]])*OutputTable[RecordedValue]))</f>
        <v>3</v>
      </c>
      <c r="P192" cm="1">
        <f t="array" ref="P192">MAX(IF((OutputTable[GroupByKey]=OutputTable[[#This Row],[GroupByKey]]),(OutputTable[GroupByKey]=OutputTable[[#This Row],[GroupByKey]])*OutputTable[RecordedValue]))</f>
        <v>12</v>
      </c>
    </row>
    <row r="193" spans="1:16" x14ac:dyDescent="0.35">
      <c r="A193" t="s">
        <v>66</v>
      </c>
      <c r="B193" t="s">
        <v>98</v>
      </c>
      <c r="C193">
        <v>39</v>
      </c>
      <c r="D193" t="s">
        <v>89</v>
      </c>
      <c r="E193" t="s">
        <v>90</v>
      </c>
      <c r="F193" t="s">
        <v>71</v>
      </c>
      <c r="G193">
        <v>4</v>
      </c>
      <c r="H193">
        <v>0</v>
      </c>
      <c r="I193" t="str">
        <f>OutputTable[[#This Row],[ProjectName]]&amp;OutputTable[[#This Row],[Name]]&amp;OutputTable[[#This Row],[Type]]&amp;OutputTable[[#This Row],[Source]]</f>
        <v>Unnamed ProjectArquivos.NumberOutNumber OutEntity</v>
      </c>
      <c r="J193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cm="1">
        <f t="array" ref="K193">IFERROR(AVERAGE(IF((OutputTable[GroupByKey]=OutputTable[[#This Row],[GroupByKey]]),(OutputTable[GroupByKey]=OutputTable[[#This Row],[GroupByKey]])*OutputTable[RecordedValue])),0)</f>
        <v>4.8600000000000003</v>
      </c>
      <c r="L193" cm="1">
        <f t="array" ref="L193">IFERROR(_xlfn.STDEV.S(IF((OutputTable[GroupByKey]=OutputTable[[#This Row],[GroupByKey]]),(OutputTable[GroupByKey]=OutputTable[[#This Row],[GroupByKey]])*OutputTable[RecordedValue])),0)</f>
        <v>1.4287142785721427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93" cm="1">
        <f t="array" ref="O193">MIN(IF((OutputTable[GroupByKey]=OutputTable[[#This Row],[GroupByKey]]),(OutputTable[GroupByKey]=OutputTable[[#This Row],[GroupByKey]])*OutputTable[RecordedValue]))</f>
        <v>2</v>
      </c>
      <c r="P193" cm="1">
        <f t="array" ref="P193">MAX(IF((OutputTable[GroupByKey]=OutputTable[[#This Row],[GroupByKey]]),(OutputTable[GroupByKey]=OutputTable[[#This Row],[GroupByKey]])*OutputTable[RecordedValue]))</f>
        <v>8</v>
      </c>
    </row>
    <row r="194" spans="1:16" x14ac:dyDescent="0.35">
      <c r="A194" t="s">
        <v>66</v>
      </c>
      <c r="B194" t="s">
        <v>98</v>
      </c>
      <c r="C194">
        <v>39</v>
      </c>
      <c r="D194" t="s">
        <v>91</v>
      </c>
      <c r="E194" t="s">
        <v>92</v>
      </c>
      <c r="F194" t="s">
        <v>84</v>
      </c>
      <c r="G194">
        <v>5</v>
      </c>
      <c r="H194">
        <v>0</v>
      </c>
      <c r="I19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94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cm="1">
        <f t="array" ref="K194">IFERROR(AVERAGE(IF((OutputTable[GroupByKey]=OutputTable[[#This Row],[GroupByKey]]),(OutputTable[GroupByKey]=OutputTable[[#This Row],[GroupByKey]])*OutputTable[RecordedValue])),0)</f>
        <v>6.14</v>
      </c>
      <c r="L194" cm="1">
        <f t="array" ref="L194">IFERROR(_xlfn.STDEV.S(IF((OutputTable[GroupByKey]=OutputTable[[#This Row],[GroupByKey]]),(OutputTable[GroupByKey]=OutputTable[[#This Row],[GroupByKey]])*OutputTable[RecordedValue])),0)</f>
        <v>1.4984345572793558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94" cm="1">
        <f t="array" ref="O194">MIN(IF((OutputTable[GroupByKey]=OutputTable[[#This Row],[GroupByKey]]),(OutputTable[GroupByKey]=OutputTable[[#This Row],[GroupByKey]])*OutputTable[RecordedValue]))</f>
        <v>3</v>
      </c>
      <c r="P194" cm="1">
        <f t="array" ref="P194">MAX(IF((OutputTable[GroupByKey]=OutputTable[[#This Row],[GroupByKey]]),(OutputTable[GroupByKey]=OutputTable[[#This Row],[GroupByKey]])*OutputTable[RecordedValue]))</f>
        <v>9</v>
      </c>
    </row>
    <row r="195" spans="1:16" x14ac:dyDescent="0.35">
      <c r="A195" t="s">
        <v>66</v>
      </c>
      <c r="B195" t="s">
        <v>98</v>
      </c>
      <c r="C195">
        <v>39</v>
      </c>
      <c r="D195" t="s">
        <v>93</v>
      </c>
      <c r="E195" t="s">
        <v>94</v>
      </c>
      <c r="F195" t="s">
        <v>84</v>
      </c>
      <c r="G195">
        <v>0.60814388693182797</v>
      </c>
      <c r="H195">
        <v>0</v>
      </c>
      <c r="I19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9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cm="1">
        <f t="array" ref="K195">IFERROR(AVERAGE(IF((OutputTable[GroupByKey]=OutputTable[[#This Row],[GroupByKey]]),(OutputTable[GroupByKey]=OutputTable[[#This Row],[GroupByKey]])*OutputTable[RecordedValue])),0)</f>
        <v>0.63912553924181559</v>
      </c>
      <c r="L195" cm="1">
        <f t="array" ref="L195">IFERROR(_xlfn.STDEV.S(IF((OutputTable[GroupByKey]=OutputTable[[#This Row],[GroupByKey]]),(OutputTable[GroupByKey]=OutputTable[[#This Row],[GroupByKey]])*OutputTable[RecordedValue])),0)</f>
        <v>0.16841036655083153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195" cm="1">
        <f t="array" ref="O195">MIN(IF((OutputTable[GroupByKey]=OutputTable[[#This Row],[GroupByKey]]),(OutputTable[GroupByKey]=OutputTable[[#This Row],[GroupByKey]])*OutputTable[RecordedValue]))</f>
        <v>0.30856555337021802</v>
      </c>
      <c r="P195" cm="1">
        <f t="array" ref="P195">MAX(IF((OutputTable[GroupByKey]=OutputTable[[#This Row],[GroupByKey]]),(OutputTable[GroupByKey]=OutputTable[[#This Row],[GroupByKey]])*OutputTable[RecordedValue]))</f>
        <v>0.98721163888391195</v>
      </c>
    </row>
    <row r="196" spans="1:16" x14ac:dyDescent="0.35">
      <c r="A196" t="s">
        <v>66</v>
      </c>
      <c r="B196" t="s">
        <v>98</v>
      </c>
      <c r="C196">
        <v>39</v>
      </c>
      <c r="D196" t="s">
        <v>95</v>
      </c>
      <c r="E196" t="s">
        <v>90</v>
      </c>
      <c r="F196" t="s">
        <v>96</v>
      </c>
      <c r="G196">
        <v>4</v>
      </c>
      <c r="H196">
        <v>0</v>
      </c>
      <c r="I196" t="str">
        <f>OutputTable[[#This Row],[ProjectName]]&amp;OutputTable[[#This Row],[Name]]&amp;OutputTable[[#This Row],[Type]]&amp;OutputTable[[#This Row],[Source]]</f>
        <v>Unnamed ProjectSystem.NumberOutNumber OutSystem</v>
      </c>
      <c r="J196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cm="1">
        <f t="array" ref="K196">IFERROR(AVERAGE(IF((OutputTable[GroupByKey]=OutputTable[[#This Row],[GroupByKey]]),(OutputTable[GroupByKey]=OutputTable[[#This Row],[GroupByKey]])*OutputTable[RecordedValue])),0)</f>
        <v>4.8600000000000003</v>
      </c>
      <c r="L196" cm="1">
        <f t="array" ref="L196">IFERROR(_xlfn.STDEV.S(IF((OutputTable[GroupByKey]=OutputTable[[#This Row],[GroupByKey]]),(OutputTable[GroupByKey]=OutputTable[[#This Row],[GroupByKey]])*OutputTable[RecordedValue])),0)</f>
        <v>1.4287142785721427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96" cm="1">
        <f t="array" ref="O196">MIN(IF((OutputTable[GroupByKey]=OutputTable[[#This Row],[GroupByKey]]),(OutputTable[GroupByKey]=OutputTable[[#This Row],[GroupByKey]])*OutputTable[RecordedValue]))</f>
        <v>2</v>
      </c>
      <c r="P196" cm="1">
        <f t="array" ref="P196">MAX(IF((OutputTable[GroupByKey]=OutputTable[[#This Row],[GroupByKey]]),(OutputTable[GroupByKey]=OutputTable[[#This Row],[GroupByKey]])*OutputTable[RecordedValue]))</f>
        <v>8</v>
      </c>
    </row>
    <row r="197" spans="1:16" x14ac:dyDescent="0.35">
      <c r="A197" t="s">
        <v>66</v>
      </c>
      <c r="B197" t="s">
        <v>98</v>
      </c>
      <c r="C197">
        <v>40</v>
      </c>
      <c r="D197" t="s">
        <v>87</v>
      </c>
      <c r="E197" t="s">
        <v>88</v>
      </c>
      <c r="F197" t="s">
        <v>71</v>
      </c>
      <c r="G197">
        <v>5</v>
      </c>
      <c r="H197">
        <v>0</v>
      </c>
      <c r="I197" t="str">
        <f>OutputTable[[#This Row],[ProjectName]]&amp;OutputTable[[#This Row],[Name]]&amp;OutputTable[[#This Row],[Type]]&amp;OutputTable[[#This Row],[Source]]</f>
        <v>Unnamed ProjectArquivos.NumberInNumber InEntity</v>
      </c>
      <c r="J197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cm="1">
        <f t="array" ref="K197">IFERROR(AVERAGE(IF((OutputTable[GroupByKey]=OutputTable[[#This Row],[GroupByKey]]),(OutputTable[GroupByKey]=OutputTable[[#This Row],[GroupByKey]])*OutputTable[RecordedValue])),0)</f>
        <v>6.32</v>
      </c>
      <c r="L197" cm="1">
        <f t="array" ref="L197">IFERROR(_xlfn.STDEV.S(IF((OutputTable[GroupByKey]=OutputTable[[#This Row],[GroupByKey]]),(OutputTable[GroupByKey]=OutputTable[[#This Row],[GroupByKey]])*OutputTable[RecordedValue])),0)</f>
        <v>1.671367520252534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197" cm="1">
        <f t="array" ref="O197">MIN(IF((OutputTable[GroupByKey]=OutputTable[[#This Row],[GroupByKey]]),(OutputTable[GroupByKey]=OutputTable[[#This Row],[GroupByKey]])*OutputTable[RecordedValue]))</f>
        <v>3</v>
      </c>
      <c r="P197" cm="1">
        <f t="array" ref="P197">MAX(IF((OutputTable[GroupByKey]=OutputTable[[#This Row],[GroupByKey]]),(OutputTable[GroupByKey]=OutputTable[[#This Row],[GroupByKey]])*OutputTable[RecordedValue]))</f>
        <v>12</v>
      </c>
    </row>
    <row r="198" spans="1:16" x14ac:dyDescent="0.35">
      <c r="A198" t="s">
        <v>66</v>
      </c>
      <c r="B198" t="s">
        <v>98</v>
      </c>
      <c r="C198">
        <v>40</v>
      </c>
      <c r="D198" t="s">
        <v>89</v>
      </c>
      <c r="E198" t="s">
        <v>90</v>
      </c>
      <c r="F198" t="s">
        <v>71</v>
      </c>
      <c r="G198">
        <v>5</v>
      </c>
      <c r="H198">
        <v>0</v>
      </c>
      <c r="I198" t="str">
        <f>OutputTable[[#This Row],[ProjectName]]&amp;OutputTable[[#This Row],[Name]]&amp;OutputTable[[#This Row],[Type]]&amp;OutputTable[[#This Row],[Source]]</f>
        <v>Unnamed ProjectArquivos.NumberOutNumber OutEntity</v>
      </c>
      <c r="J198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cm="1">
        <f t="array" ref="K198">IFERROR(AVERAGE(IF((OutputTable[GroupByKey]=OutputTable[[#This Row],[GroupByKey]]),(OutputTable[GroupByKey]=OutputTable[[#This Row],[GroupByKey]])*OutputTable[RecordedValue])),0)</f>
        <v>4.8600000000000003</v>
      </c>
      <c r="L198" cm="1">
        <f t="array" ref="L198">IFERROR(_xlfn.STDEV.S(IF((OutputTable[GroupByKey]=OutputTable[[#This Row],[GroupByKey]]),(OutputTable[GroupByKey]=OutputTable[[#This Row],[GroupByKey]])*OutputTable[RecordedValue])),0)</f>
        <v>1.4287142785721427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198" cm="1">
        <f t="array" ref="O198">MIN(IF((OutputTable[GroupByKey]=OutputTable[[#This Row],[GroupByKey]]),(OutputTable[GroupByKey]=OutputTable[[#This Row],[GroupByKey]])*OutputTable[RecordedValue]))</f>
        <v>2</v>
      </c>
      <c r="P198" cm="1">
        <f t="array" ref="P198">MAX(IF((OutputTable[GroupByKey]=OutputTable[[#This Row],[GroupByKey]]),(OutputTable[GroupByKey]=OutputTable[[#This Row],[GroupByKey]])*OutputTable[RecordedValue]))</f>
        <v>8</v>
      </c>
    </row>
    <row r="199" spans="1:16" x14ac:dyDescent="0.35">
      <c r="A199" t="s">
        <v>66</v>
      </c>
      <c r="B199" t="s">
        <v>98</v>
      </c>
      <c r="C199">
        <v>40</v>
      </c>
      <c r="D199" t="s">
        <v>91</v>
      </c>
      <c r="E199" t="s">
        <v>92</v>
      </c>
      <c r="F199" t="s">
        <v>84</v>
      </c>
      <c r="G199">
        <v>5</v>
      </c>
      <c r="H199">
        <v>0</v>
      </c>
      <c r="I19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99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cm="1">
        <f t="array" ref="K199">IFERROR(AVERAGE(IF((OutputTable[GroupByKey]=OutputTable[[#This Row],[GroupByKey]]),(OutputTable[GroupByKey]=OutputTable[[#This Row],[GroupByKey]])*OutputTable[RecordedValue])),0)</f>
        <v>6.14</v>
      </c>
      <c r="L199" cm="1">
        <f t="array" ref="L199">IFERROR(_xlfn.STDEV.S(IF((OutputTable[GroupByKey]=OutputTable[[#This Row],[GroupByKey]]),(OutputTable[GroupByKey]=OutputTable[[#This Row],[GroupByKey]])*OutputTable[RecordedValue])),0)</f>
        <v>1.4984345572793558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199" cm="1">
        <f t="array" ref="O199">MIN(IF((OutputTable[GroupByKey]=OutputTable[[#This Row],[GroupByKey]]),(OutputTable[GroupByKey]=OutputTable[[#This Row],[GroupByKey]])*OutputTable[RecordedValue]))</f>
        <v>3</v>
      </c>
      <c r="P199" cm="1">
        <f t="array" ref="P199">MAX(IF((OutputTable[GroupByKey]=OutputTable[[#This Row],[GroupByKey]]),(OutputTable[GroupByKey]=OutputTable[[#This Row],[GroupByKey]])*OutputTable[RecordedValue]))</f>
        <v>9</v>
      </c>
    </row>
    <row r="200" spans="1:16" x14ac:dyDescent="0.35">
      <c r="A200" t="s">
        <v>66</v>
      </c>
      <c r="B200" t="s">
        <v>98</v>
      </c>
      <c r="C200">
        <v>40</v>
      </c>
      <c r="D200" t="s">
        <v>93</v>
      </c>
      <c r="E200" t="s">
        <v>94</v>
      </c>
      <c r="F200" t="s">
        <v>84</v>
      </c>
      <c r="G200">
        <v>0.54088541102469201</v>
      </c>
      <c r="H200">
        <v>0</v>
      </c>
      <c r="I20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cm="1">
        <f t="array" ref="K200">IFERROR(AVERAGE(IF((OutputTable[GroupByKey]=OutputTable[[#This Row],[GroupByKey]]),(OutputTable[GroupByKey]=OutputTable[[#This Row],[GroupByKey]])*OutputTable[RecordedValue])),0)</f>
        <v>0.63912553924181559</v>
      </c>
      <c r="L200" cm="1">
        <f t="array" ref="L200">IFERROR(_xlfn.STDEV.S(IF((OutputTable[GroupByKey]=OutputTable[[#This Row],[GroupByKey]]),(OutputTable[GroupByKey]=OutputTable[[#This Row],[GroupByKey]])*OutputTable[RecordedValue])),0)</f>
        <v>0.16841036655083153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00" cm="1">
        <f t="array" ref="O200">MIN(IF((OutputTable[GroupByKey]=OutputTable[[#This Row],[GroupByKey]]),(OutputTable[GroupByKey]=OutputTable[[#This Row],[GroupByKey]])*OutputTable[RecordedValue]))</f>
        <v>0.30856555337021802</v>
      </c>
      <c r="P200" cm="1">
        <f t="array" ref="P200">MAX(IF((OutputTable[GroupByKey]=OutputTable[[#This Row],[GroupByKey]]),(OutputTable[GroupByKey]=OutputTable[[#This Row],[GroupByKey]])*OutputTable[RecordedValue]))</f>
        <v>0.98721163888391195</v>
      </c>
    </row>
    <row r="201" spans="1:16" x14ac:dyDescent="0.35">
      <c r="A201" t="s">
        <v>66</v>
      </c>
      <c r="B201" t="s">
        <v>98</v>
      </c>
      <c r="C201">
        <v>40</v>
      </c>
      <c r="D201" t="s">
        <v>95</v>
      </c>
      <c r="E201" t="s">
        <v>90</v>
      </c>
      <c r="F201" t="s">
        <v>96</v>
      </c>
      <c r="G201">
        <v>5</v>
      </c>
      <c r="H201">
        <v>0</v>
      </c>
      <c r="I201" t="str">
        <f>OutputTable[[#This Row],[ProjectName]]&amp;OutputTable[[#This Row],[Name]]&amp;OutputTable[[#This Row],[Type]]&amp;OutputTable[[#This Row],[Source]]</f>
        <v>Unnamed ProjectSystem.NumberOutNumber OutSystem</v>
      </c>
      <c r="J201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cm="1">
        <f t="array" ref="K201">IFERROR(AVERAGE(IF((OutputTable[GroupByKey]=OutputTable[[#This Row],[GroupByKey]]),(OutputTable[GroupByKey]=OutputTable[[#This Row],[GroupByKey]])*OutputTable[RecordedValue])),0)</f>
        <v>4.8600000000000003</v>
      </c>
      <c r="L201" cm="1">
        <f t="array" ref="L201">IFERROR(_xlfn.STDEV.S(IF((OutputTable[GroupByKey]=OutputTable[[#This Row],[GroupByKey]]),(OutputTable[GroupByKey]=OutputTable[[#This Row],[GroupByKey]])*OutputTable[RecordedValue])),0)</f>
        <v>1.4287142785721427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01" cm="1">
        <f t="array" ref="O201">MIN(IF((OutputTable[GroupByKey]=OutputTable[[#This Row],[GroupByKey]]),(OutputTable[GroupByKey]=OutputTable[[#This Row],[GroupByKey]])*OutputTable[RecordedValue]))</f>
        <v>2</v>
      </c>
      <c r="P201" cm="1">
        <f t="array" ref="P201">MAX(IF((OutputTable[GroupByKey]=OutputTable[[#This Row],[GroupByKey]]),(OutputTable[GroupByKey]=OutputTable[[#This Row],[GroupByKey]])*OutputTable[RecordedValue]))</f>
        <v>8</v>
      </c>
    </row>
    <row r="202" spans="1:16" x14ac:dyDescent="0.35">
      <c r="A202" t="s">
        <v>66</v>
      </c>
      <c r="B202" t="s">
        <v>98</v>
      </c>
      <c r="C202">
        <v>41</v>
      </c>
      <c r="D202" t="s">
        <v>87</v>
      </c>
      <c r="E202" t="s">
        <v>88</v>
      </c>
      <c r="F202" t="s">
        <v>71</v>
      </c>
      <c r="G202">
        <v>5</v>
      </c>
      <c r="H202">
        <v>0</v>
      </c>
      <c r="I202" t="str">
        <f>OutputTable[[#This Row],[ProjectName]]&amp;OutputTable[[#This Row],[Name]]&amp;OutputTable[[#This Row],[Type]]&amp;OutputTable[[#This Row],[Source]]</f>
        <v>Unnamed ProjectArquivos.NumberInNumber InEntity</v>
      </c>
      <c r="J202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cm="1">
        <f t="array" ref="K202">IFERROR(AVERAGE(IF((OutputTable[GroupByKey]=OutputTable[[#This Row],[GroupByKey]]),(OutputTable[GroupByKey]=OutputTable[[#This Row],[GroupByKey]])*OutputTable[RecordedValue])),0)</f>
        <v>6.32</v>
      </c>
      <c r="L202" cm="1">
        <f t="array" ref="L202">IFERROR(_xlfn.STDEV.S(IF((OutputTable[GroupByKey]=OutputTable[[#This Row],[GroupByKey]]),(OutputTable[GroupByKey]=OutputTable[[#This Row],[GroupByKey]])*OutputTable[RecordedValue])),0)</f>
        <v>1.671367520252534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02" cm="1">
        <f t="array" ref="O202">MIN(IF((OutputTable[GroupByKey]=OutputTable[[#This Row],[GroupByKey]]),(OutputTable[GroupByKey]=OutputTable[[#This Row],[GroupByKey]])*OutputTable[RecordedValue]))</f>
        <v>3</v>
      </c>
      <c r="P202" cm="1">
        <f t="array" ref="P202">MAX(IF((OutputTable[GroupByKey]=OutputTable[[#This Row],[GroupByKey]]),(OutputTable[GroupByKey]=OutputTable[[#This Row],[GroupByKey]])*OutputTable[RecordedValue]))</f>
        <v>12</v>
      </c>
    </row>
    <row r="203" spans="1:16" x14ac:dyDescent="0.35">
      <c r="A203" t="s">
        <v>66</v>
      </c>
      <c r="B203" t="s">
        <v>98</v>
      </c>
      <c r="C203">
        <v>41</v>
      </c>
      <c r="D203" t="s">
        <v>89</v>
      </c>
      <c r="E203" t="s">
        <v>90</v>
      </c>
      <c r="F203" t="s">
        <v>71</v>
      </c>
      <c r="G203">
        <v>3</v>
      </c>
      <c r="H203">
        <v>0</v>
      </c>
      <c r="I203" t="str">
        <f>OutputTable[[#This Row],[ProjectName]]&amp;OutputTable[[#This Row],[Name]]&amp;OutputTable[[#This Row],[Type]]&amp;OutputTable[[#This Row],[Source]]</f>
        <v>Unnamed ProjectArquivos.NumberOutNumber OutEntity</v>
      </c>
      <c r="J203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cm="1">
        <f t="array" ref="K203">IFERROR(AVERAGE(IF((OutputTable[GroupByKey]=OutputTable[[#This Row],[GroupByKey]]),(OutputTable[GroupByKey]=OutputTable[[#This Row],[GroupByKey]])*OutputTable[RecordedValue])),0)</f>
        <v>4.8600000000000003</v>
      </c>
      <c r="L203" cm="1">
        <f t="array" ref="L203">IFERROR(_xlfn.STDEV.S(IF((OutputTable[GroupByKey]=OutputTable[[#This Row],[GroupByKey]]),(OutputTable[GroupByKey]=OutputTable[[#This Row],[GroupByKey]])*OutputTable[RecordedValue])),0)</f>
        <v>1.4287142785721427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03" cm="1">
        <f t="array" ref="O203">MIN(IF((OutputTable[GroupByKey]=OutputTable[[#This Row],[GroupByKey]]),(OutputTable[GroupByKey]=OutputTable[[#This Row],[GroupByKey]])*OutputTable[RecordedValue]))</f>
        <v>2</v>
      </c>
      <c r="P203" cm="1">
        <f t="array" ref="P203">MAX(IF((OutputTable[GroupByKey]=OutputTable[[#This Row],[GroupByKey]]),(OutputTable[GroupByKey]=OutputTable[[#This Row],[GroupByKey]])*OutputTable[RecordedValue]))</f>
        <v>8</v>
      </c>
    </row>
    <row r="204" spans="1:16" x14ac:dyDescent="0.35">
      <c r="A204" t="s">
        <v>66</v>
      </c>
      <c r="B204" t="s">
        <v>98</v>
      </c>
      <c r="C204">
        <v>41</v>
      </c>
      <c r="D204" t="s">
        <v>91</v>
      </c>
      <c r="E204" t="s">
        <v>92</v>
      </c>
      <c r="F204" t="s">
        <v>84</v>
      </c>
      <c r="G204">
        <v>5</v>
      </c>
      <c r="H204">
        <v>0</v>
      </c>
      <c r="I20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04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cm="1">
        <f t="array" ref="K204">IFERROR(AVERAGE(IF((OutputTable[GroupByKey]=OutputTable[[#This Row],[GroupByKey]]),(OutputTable[GroupByKey]=OutputTable[[#This Row],[GroupByKey]])*OutputTable[RecordedValue])),0)</f>
        <v>6.14</v>
      </c>
      <c r="L204" cm="1">
        <f t="array" ref="L204">IFERROR(_xlfn.STDEV.S(IF((OutputTable[GroupByKey]=OutputTable[[#This Row],[GroupByKey]]),(OutputTable[GroupByKey]=OutputTable[[#This Row],[GroupByKey]])*OutputTable[RecordedValue])),0)</f>
        <v>1.4984345572793558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04" cm="1">
        <f t="array" ref="O204">MIN(IF((OutputTable[GroupByKey]=OutputTable[[#This Row],[GroupByKey]]),(OutputTable[GroupByKey]=OutputTable[[#This Row],[GroupByKey]])*OutputTable[RecordedValue]))</f>
        <v>3</v>
      </c>
      <c r="P204" cm="1">
        <f t="array" ref="P204">MAX(IF((OutputTable[GroupByKey]=OutputTable[[#This Row],[GroupByKey]]),(OutputTable[GroupByKey]=OutputTable[[#This Row],[GroupByKey]])*OutputTable[RecordedValue]))</f>
        <v>9</v>
      </c>
    </row>
    <row r="205" spans="1:16" x14ac:dyDescent="0.35">
      <c r="A205" t="s">
        <v>66</v>
      </c>
      <c r="B205" t="s">
        <v>98</v>
      </c>
      <c r="C205">
        <v>41</v>
      </c>
      <c r="D205" t="s">
        <v>93</v>
      </c>
      <c r="E205" t="s">
        <v>94</v>
      </c>
      <c r="F205" t="s">
        <v>84</v>
      </c>
      <c r="G205">
        <v>0.51758322773398502</v>
      </c>
      <c r="H205">
        <v>0</v>
      </c>
      <c r="I20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0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cm="1">
        <f t="array" ref="K205">IFERROR(AVERAGE(IF((OutputTable[GroupByKey]=OutputTable[[#This Row],[GroupByKey]]),(OutputTable[GroupByKey]=OutputTable[[#This Row],[GroupByKey]])*OutputTable[RecordedValue])),0)</f>
        <v>0.63912553924181559</v>
      </c>
      <c r="L205" cm="1">
        <f t="array" ref="L205">IFERROR(_xlfn.STDEV.S(IF((OutputTable[GroupByKey]=OutputTable[[#This Row],[GroupByKey]]),(OutputTable[GroupByKey]=OutputTable[[#This Row],[GroupByKey]])*OutputTable[RecordedValue])),0)</f>
        <v>0.16841036655083153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05" cm="1">
        <f t="array" ref="O205">MIN(IF((OutputTable[GroupByKey]=OutputTable[[#This Row],[GroupByKey]]),(OutputTable[GroupByKey]=OutputTable[[#This Row],[GroupByKey]])*OutputTable[RecordedValue]))</f>
        <v>0.30856555337021802</v>
      </c>
      <c r="P205" cm="1">
        <f t="array" ref="P205">MAX(IF((OutputTable[GroupByKey]=OutputTable[[#This Row],[GroupByKey]]),(OutputTable[GroupByKey]=OutputTable[[#This Row],[GroupByKey]])*OutputTable[RecordedValue]))</f>
        <v>0.98721163888391195</v>
      </c>
    </row>
    <row r="206" spans="1:16" x14ac:dyDescent="0.35">
      <c r="A206" t="s">
        <v>66</v>
      </c>
      <c r="B206" t="s">
        <v>98</v>
      </c>
      <c r="C206">
        <v>41</v>
      </c>
      <c r="D206" t="s">
        <v>95</v>
      </c>
      <c r="E206" t="s">
        <v>90</v>
      </c>
      <c r="F206" t="s">
        <v>96</v>
      </c>
      <c r="G206">
        <v>3</v>
      </c>
      <c r="H206">
        <v>0</v>
      </c>
      <c r="I206" t="str">
        <f>OutputTable[[#This Row],[ProjectName]]&amp;OutputTable[[#This Row],[Name]]&amp;OutputTable[[#This Row],[Type]]&amp;OutputTable[[#This Row],[Source]]</f>
        <v>Unnamed ProjectSystem.NumberOutNumber OutSystem</v>
      </c>
      <c r="J206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cm="1">
        <f t="array" ref="K206">IFERROR(AVERAGE(IF((OutputTable[GroupByKey]=OutputTable[[#This Row],[GroupByKey]]),(OutputTable[GroupByKey]=OutputTable[[#This Row],[GroupByKey]])*OutputTable[RecordedValue])),0)</f>
        <v>4.8600000000000003</v>
      </c>
      <c r="L206" cm="1">
        <f t="array" ref="L206">IFERROR(_xlfn.STDEV.S(IF((OutputTable[GroupByKey]=OutputTable[[#This Row],[GroupByKey]]),(OutputTable[GroupByKey]=OutputTable[[#This Row],[GroupByKey]])*OutputTable[RecordedValue])),0)</f>
        <v>1.4287142785721427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06" cm="1">
        <f t="array" ref="O206">MIN(IF((OutputTable[GroupByKey]=OutputTable[[#This Row],[GroupByKey]]),(OutputTable[GroupByKey]=OutputTable[[#This Row],[GroupByKey]])*OutputTable[RecordedValue]))</f>
        <v>2</v>
      </c>
      <c r="P206" cm="1">
        <f t="array" ref="P206">MAX(IF((OutputTable[GroupByKey]=OutputTable[[#This Row],[GroupByKey]]),(OutputTable[GroupByKey]=OutputTable[[#This Row],[GroupByKey]])*OutputTable[RecordedValue]))</f>
        <v>8</v>
      </c>
    </row>
    <row r="207" spans="1:16" x14ac:dyDescent="0.35">
      <c r="A207" t="s">
        <v>66</v>
      </c>
      <c r="B207" t="s">
        <v>98</v>
      </c>
      <c r="C207">
        <v>42</v>
      </c>
      <c r="D207" t="s">
        <v>87</v>
      </c>
      <c r="E207" t="s">
        <v>88</v>
      </c>
      <c r="F207" t="s">
        <v>71</v>
      </c>
      <c r="G207">
        <v>6</v>
      </c>
      <c r="H207">
        <v>0</v>
      </c>
      <c r="I207" t="str">
        <f>OutputTable[[#This Row],[ProjectName]]&amp;OutputTable[[#This Row],[Name]]&amp;OutputTable[[#This Row],[Type]]&amp;OutputTable[[#This Row],[Source]]</f>
        <v>Unnamed ProjectArquivos.NumberInNumber InEntity</v>
      </c>
      <c r="J207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cm="1">
        <f t="array" ref="K207">IFERROR(AVERAGE(IF((OutputTable[GroupByKey]=OutputTable[[#This Row],[GroupByKey]]),(OutputTable[GroupByKey]=OutputTable[[#This Row],[GroupByKey]])*OutputTable[RecordedValue])),0)</f>
        <v>6.32</v>
      </c>
      <c r="L207" cm="1">
        <f t="array" ref="L207">IFERROR(_xlfn.STDEV.S(IF((OutputTable[GroupByKey]=OutputTable[[#This Row],[GroupByKey]]),(OutputTable[GroupByKey]=OutputTable[[#This Row],[GroupByKey]])*OutputTable[RecordedValue])),0)</f>
        <v>1.671367520252534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07" cm="1">
        <f t="array" ref="O207">MIN(IF((OutputTable[GroupByKey]=OutputTable[[#This Row],[GroupByKey]]),(OutputTable[GroupByKey]=OutputTable[[#This Row],[GroupByKey]])*OutputTable[RecordedValue]))</f>
        <v>3</v>
      </c>
      <c r="P207" cm="1">
        <f t="array" ref="P207">MAX(IF((OutputTable[GroupByKey]=OutputTable[[#This Row],[GroupByKey]]),(OutputTable[GroupByKey]=OutputTable[[#This Row],[GroupByKey]])*OutputTable[RecordedValue]))</f>
        <v>12</v>
      </c>
    </row>
    <row r="208" spans="1:16" x14ac:dyDescent="0.35">
      <c r="A208" t="s">
        <v>66</v>
      </c>
      <c r="B208" t="s">
        <v>98</v>
      </c>
      <c r="C208">
        <v>42</v>
      </c>
      <c r="D208" t="s">
        <v>89</v>
      </c>
      <c r="E208" t="s">
        <v>90</v>
      </c>
      <c r="F208" t="s">
        <v>71</v>
      </c>
      <c r="G208">
        <v>4</v>
      </c>
      <c r="H208">
        <v>0</v>
      </c>
      <c r="I208" t="str">
        <f>OutputTable[[#This Row],[ProjectName]]&amp;OutputTable[[#This Row],[Name]]&amp;OutputTable[[#This Row],[Type]]&amp;OutputTable[[#This Row],[Source]]</f>
        <v>Unnamed ProjectArquivos.NumberOutNumber OutEntity</v>
      </c>
      <c r="J208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cm="1">
        <f t="array" ref="K208">IFERROR(AVERAGE(IF((OutputTable[GroupByKey]=OutputTable[[#This Row],[GroupByKey]]),(OutputTable[GroupByKey]=OutputTable[[#This Row],[GroupByKey]])*OutputTable[RecordedValue])),0)</f>
        <v>4.8600000000000003</v>
      </c>
      <c r="L208" cm="1">
        <f t="array" ref="L208">IFERROR(_xlfn.STDEV.S(IF((OutputTable[GroupByKey]=OutputTable[[#This Row],[GroupByKey]]),(OutputTable[GroupByKey]=OutputTable[[#This Row],[GroupByKey]])*OutputTable[RecordedValue])),0)</f>
        <v>1.4287142785721427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08" cm="1">
        <f t="array" ref="O208">MIN(IF((OutputTable[GroupByKey]=OutputTable[[#This Row],[GroupByKey]]),(OutputTable[GroupByKey]=OutputTable[[#This Row],[GroupByKey]])*OutputTable[RecordedValue]))</f>
        <v>2</v>
      </c>
      <c r="P208" cm="1">
        <f t="array" ref="P208">MAX(IF((OutputTable[GroupByKey]=OutputTable[[#This Row],[GroupByKey]]),(OutputTable[GroupByKey]=OutputTable[[#This Row],[GroupByKey]])*OutputTable[RecordedValue]))</f>
        <v>8</v>
      </c>
    </row>
    <row r="209" spans="1:16" x14ac:dyDescent="0.35">
      <c r="A209" t="s">
        <v>66</v>
      </c>
      <c r="B209" t="s">
        <v>98</v>
      </c>
      <c r="C209">
        <v>42</v>
      </c>
      <c r="D209" t="s">
        <v>91</v>
      </c>
      <c r="E209" t="s">
        <v>92</v>
      </c>
      <c r="F209" t="s">
        <v>84</v>
      </c>
      <c r="G209">
        <v>6</v>
      </c>
      <c r="H209">
        <v>0</v>
      </c>
      <c r="I20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cm="1">
        <f t="array" ref="K209">IFERROR(AVERAGE(IF((OutputTable[GroupByKey]=OutputTable[[#This Row],[GroupByKey]]),(OutputTable[GroupByKey]=OutputTable[[#This Row],[GroupByKey]])*OutputTable[RecordedValue])),0)</f>
        <v>6.14</v>
      </c>
      <c r="L209" cm="1">
        <f t="array" ref="L209">IFERROR(_xlfn.STDEV.S(IF((OutputTable[GroupByKey]=OutputTable[[#This Row],[GroupByKey]]),(OutputTable[GroupByKey]=OutputTable[[#This Row],[GroupByKey]])*OutputTable[RecordedValue])),0)</f>
        <v>1.4984345572793558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09" cm="1">
        <f t="array" ref="O209">MIN(IF((OutputTable[GroupByKey]=OutputTable[[#This Row],[GroupByKey]]),(OutputTable[GroupByKey]=OutputTable[[#This Row],[GroupByKey]])*OutputTable[RecordedValue]))</f>
        <v>3</v>
      </c>
      <c r="P209" cm="1">
        <f t="array" ref="P209">MAX(IF((OutputTable[GroupByKey]=OutputTable[[#This Row],[GroupByKey]]),(OutputTable[GroupByKey]=OutputTable[[#This Row],[GroupByKey]])*OutputTable[RecordedValue]))</f>
        <v>9</v>
      </c>
    </row>
    <row r="210" spans="1:16" x14ac:dyDescent="0.35">
      <c r="A210" t="s">
        <v>66</v>
      </c>
      <c r="B210" t="s">
        <v>98</v>
      </c>
      <c r="C210">
        <v>42</v>
      </c>
      <c r="D210" t="s">
        <v>93</v>
      </c>
      <c r="E210" t="s">
        <v>94</v>
      </c>
      <c r="F210" t="s">
        <v>84</v>
      </c>
      <c r="G210">
        <v>0.48732692057655203</v>
      </c>
      <c r="H210">
        <v>0</v>
      </c>
      <c r="I21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cm="1">
        <f t="array" ref="K210">IFERROR(AVERAGE(IF((OutputTable[GroupByKey]=OutputTable[[#This Row],[GroupByKey]]),(OutputTable[GroupByKey]=OutputTable[[#This Row],[GroupByKey]])*OutputTable[RecordedValue])),0)</f>
        <v>0.63912553924181559</v>
      </c>
      <c r="L210" cm="1">
        <f t="array" ref="L210">IFERROR(_xlfn.STDEV.S(IF((OutputTable[GroupByKey]=OutputTable[[#This Row],[GroupByKey]]),(OutputTable[GroupByKey]=OutputTable[[#This Row],[GroupByKey]])*OutputTable[RecordedValue])),0)</f>
        <v>0.16841036655083153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10" cm="1">
        <f t="array" ref="O210">MIN(IF((OutputTable[GroupByKey]=OutputTable[[#This Row],[GroupByKey]]),(OutputTable[GroupByKey]=OutputTable[[#This Row],[GroupByKey]])*OutputTable[RecordedValue]))</f>
        <v>0.30856555337021802</v>
      </c>
      <c r="P210" cm="1">
        <f t="array" ref="P210">MAX(IF((OutputTable[GroupByKey]=OutputTable[[#This Row],[GroupByKey]]),(OutputTable[GroupByKey]=OutputTable[[#This Row],[GroupByKey]])*OutputTable[RecordedValue]))</f>
        <v>0.98721163888391195</v>
      </c>
    </row>
    <row r="211" spans="1:16" x14ac:dyDescent="0.35">
      <c r="A211" t="s">
        <v>66</v>
      </c>
      <c r="B211" t="s">
        <v>98</v>
      </c>
      <c r="C211">
        <v>42</v>
      </c>
      <c r="D211" t="s">
        <v>95</v>
      </c>
      <c r="E211" t="s">
        <v>90</v>
      </c>
      <c r="F211" t="s">
        <v>96</v>
      </c>
      <c r="G211">
        <v>4</v>
      </c>
      <c r="H211">
        <v>0</v>
      </c>
      <c r="I211" t="str">
        <f>OutputTable[[#This Row],[ProjectName]]&amp;OutputTable[[#This Row],[Name]]&amp;OutputTable[[#This Row],[Type]]&amp;OutputTable[[#This Row],[Source]]</f>
        <v>Unnamed ProjectSystem.NumberOutNumber OutSystem</v>
      </c>
      <c r="J211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cm="1">
        <f t="array" ref="K211">IFERROR(AVERAGE(IF((OutputTable[GroupByKey]=OutputTable[[#This Row],[GroupByKey]]),(OutputTable[GroupByKey]=OutputTable[[#This Row],[GroupByKey]])*OutputTable[RecordedValue])),0)</f>
        <v>4.8600000000000003</v>
      </c>
      <c r="L211" cm="1">
        <f t="array" ref="L211">IFERROR(_xlfn.STDEV.S(IF((OutputTable[GroupByKey]=OutputTable[[#This Row],[GroupByKey]]),(OutputTable[GroupByKey]=OutputTable[[#This Row],[GroupByKey]])*OutputTable[RecordedValue])),0)</f>
        <v>1.4287142785721427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11" cm="1">
        <f t="array" ref="O211">MIN(IF((OutputTable[GroupByKey]=OutputTable[[#This Row],[GroupByKey]]),(OutputTable[GroupByKey]=OutputTable[[#This Row],[GroupByKey]])*OutputTable[RecordedValue]))</f>
        <v>2</v>
      </c>
      <c r="P211" cm="1">
        <f t="array" ref="P211">MAX(IF((OutputTable[GroupByKey]=OutputTable[[#This Row],[GroupByKey]]),(OutputTable[GroupByKey]=OutputTable[[#This Row],[GroupByKey]])*OutputTable[RecordedValue]))</f>
        <v>8</v>
      </c>
    </row>
    <row r="212" spans="1:16" x14ac:dyDescent="0.35">
      <c r="A212" t="s">
        <v>66</v>
      </c>
      <c r="B212" t="s">
        <v>98</v>
      </c>
      <c r="C212">
        <v>43</v>
      </c>
      <c r="D212" t="s">
        <v>87</v>
      </c>
      <c r="E212" t="s">
        <v>88</v>
      </c>
      <c r="F212" t="s">
        <v>71</v>
      </c>
      <c r="G212">
        <v>9</v>
      </c>
      <c r="H212">
        <v>0</v>
      </c>
      <c r="I212" t="str">
        <f>OutputTable[[#This Row],[ProjectName]]&amp;OutputTable[[#This Row],[Name]]&amp;OutputTable[[#This Row],[Type]]&amp;OutputTable[[#This Row],[Source]]</f>
        <v>Unnamed ProjectArquivos.NumberInNumber InEntity</v>
      </c>
      <c r="J212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cm="1">
        <f t="array" ref="K212">IFERROR(AVERAGE(IF((OutputTable[GroupByKey]=OutputTable[[#This Row],[GroupByKey]]),(OutputTable[GroupByKey]=OutputTable[[#This Row],[GroupByKey]])*OutputTable[RecordedValue])),0)</f>
        <v>6.32</v>
      </c>
      <c r="L212" cm="1">
        <f t="array" ref="L212">IFERROR(_xlfn.STDEV.S(IF((OutputTable[GroupByKey]=OutputTable[[#This Row],[GroupByKey]]),(OutputTable[GroupByKey]=OutputTable[[#This Row],[GroupByKey]])*OutputTable[RecordedValue])),0)</f>
        <v>1.671367520252534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12" cm="1">
        <f t="array" ref="O212">MIN(IF((OutputTable[GroupByKey]=OutputTable[[#This Row],[GroupByKey]]),(OutputTable[GroupByKey]=OutputTable[[#This Row],[GroupByKey]])*OutputTable[RecordedValue]))</f>
        <v>3</v>
      </c>
      <c r="P212" cm="1">
        <f t="array" ref="P212">MAX(IF((OutputTable[GroupByKey]=OutputTable[[#This Row],[GroupByKey]]),(OutputTable[GroupByKey]=OutputTable[[#This Row],[GroupByKey]])*OutputTable[RecordedValue]))</f>
        <v>12</v>
      </c>
    </row>
    <row r="213" spans="1:16" x14ac:dyDescent="0.35">
      <c r="A213" t="s">
        <v>66</v>
      </c>
      <c r="B213" t="s">
        <v>98</v>
      </c>
      <c r="C213">
        <v>43</v>
      </c>
      <c r="D213" t="s">
        <v>89</v>
      </c>
      <c r="E213" t="s">
        <v>90</v>
      </c>
      <c r="F213" t="s">
        <v>71</v>
      </c>
      <c r="G213">
        <v>7</v>
      </c>
      <c r="H213">
        <v>0</v>
      </c>
      <c r="I213" t="str">
        <f>OutputTable[[#This Row],[ProjectName]]&amp;OutputTable[[#This Row],[Name]]&amp;OutputTable[[#This Row],[Type]]&amp;OutputTable[[#This Row],[Source]]</f>
        <v>Unnamed ProjectArquivos.NumberOutNumber OutEntity</v>
      </c>
      <c r="J213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cm="1">
        <f t="array" ref="K213">IFERROR(AVERAGE(IF((OutputTable[GroupByKey]=OutputTable[[#This Row],[GroupByKey]]),(OutputTable[GroupByKey]=OutputTable[[#This Row],[GroupByKey]])*OutputTable[RecordedValue])),0)</f>
        <v>4.8600000000000003</v>
      </c>
      <c r="L213" cm="1">
        <f t="array" ref="L213">IFERROR(_xlfn.STDEV.S(IF((OutputTable[GroupByKey]=OutputTable[[#This Row],[GroupByKey]]),(OutputTable[GroupByKey]=OutputTable[[#This Row],[GroupByKey]])*OutputTable[RecordedValue])),0)</f>
        <v>1.4287142785721427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13" cm="1">
        <f t="array" ref="O213">MIN(IF((OutputTable[GroupByKey]=OutputTable[[#This Row],[GroupByKey]]),(OutputTable[GroupByKey]=OutputTable[[#This Row],[GroupByKey]])*OutputTable[RecordedValue]))</f>
        <v>2</v>
      </c>
      <c r="P213" cm="1">
        <f t="array" ref="P213">MAX(IF((OutputTable[GroupByKey]=OutputTable[[#This Row],[GroupByKey]]),(OutputTable[GroupByKey]=OutputTable[[#This Row],[GroupByKey]])*OutputTable[RecordedValue]))</f>
        <v>8</v>
      </c>
    </row>
    <row r="214" spans="1:16" x14ac:dyDescent="0.35">
      <c r="A214" t="s">
        <v>66</v>
      </c>
      <c r="B214" t="s">
        <v>98</v>
      </c>
      <c r="C214">
        <v>43</v>
      </c>
      <c r="D214" t="s">
        <v>91</v>
      </c>
      <c r="E214" t="s">
        <v>92</v>
      </c>
      <c r="F214" t="s">
        <v>84</v>
      </c>
      <c r="G214">
        <v>9</v>
      </c>
      <c r="H214">
        <v>0</v>
      </c>
      <c r="I21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14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cm="1">
        <f t="array" ref="K214">IFERROR(AVERAGE(IF((OutputTable[GroupByKey]=OutputTable[[#This Row],[GroupByKey]]),(OutputTable[GroupByKey]=OutputTable[[#This Row],[GroupByKey]])*OutputTable[RecordedValue])),0)</f>
        <v>6.14</v>
      </c>
      <c r="L214" cm="1">
        <f t="array" ref="L214">IFERROR(_xlfn.STDEV.S(IF((OutputTable[GroupByKey]=OutputTable[[#This Row],[GroupByKey]]),(OutputTable[GroupByKey]=OutputTable[[#This Row],[GroupByKey]])*OutputTable[RecordedValue])),0)</f>
        <v>1.4984345572793558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14" cm="1">
        <f t="array" ref="O214">MIN(IF((OutputTable[GroupByKey]=OutputTable[[#This Row],[GroupByKey]]),(OutputTable[GroupByKey]=OutputTable[[#This Row],[GroupByKey]])*OutputTable[RecordedValue]))</f>
        <v>3</v>
      </c>
      <c r="P214" cm="1">
        <f t="array" ref="P214">MAX(IF((OutputTable[GroupByKey]=OutputTable[[#This Row],[GroupByKey]]),(OutputTable[GroupByKey]=OutputTable[[#This Row],[GroupByKey]])*OutputTable[RecordedValue]))</f>
        <v>9</v>
      </c>
    </row>
    <row r="215" spans="1:16" x14ac:dyDescent="0.35">
      <c r="A215" t="s">
        <v>66</v>
      </c>
      <c r="B215" t="s">
        <v>98</v>
      </c>
      <c r="C215">
        <v>43</v>
      </c>
      <c r="D215" t="s">
        <v>93</v>
      </c>
      <c r="E215" t="s">
        <v>94</v>
      </c>
      <c r="F215" t="s">
        <v>84</v>
      </c>
      <c r="G215">
        <v>0.87146446308362102</v>
      </c>
      <c r="H215">
        <v>0</v>
      </c>
      <c r="I21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1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cm="1">
        <f t="array" ref="K215">IFERROR(AVERAGE(IF((OutputTable[GroupByKey]=OutputTable[[#This Row],[GroupByKey]]),(OutputTable[GroupByKey]=OutputTable[[#This Row],[GroupByKey]])*OutputTable[RecordedValue])),0)</f>
        <v>0.63912553924181559</v>
      </c>
      <c r="L215" cm="1">
        <f t="array" ref="L215">IFERROR(_xlfn.STDEV.S(IF((OutputTable[GroupByKey]=OutputTable[[#This Row],[GroupByKey]]),(OutputTable[GroupByKey]=OutputTable[[#This Row],[GroupByKey]])*OutputTable[RecordedValue])),0)</f>
        <v>0.16841036655083153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15" cm="1">
        <f t="array" ref="O215">MIN(IF((OutputTable[GroupByKey]=OutputTable[[#This Row],[GroupByKey]]),(OutputTable[GroupByKey]=OutputTable[[#This Row],[GroupByKey]])*OutputTable[RecordedValue]))</f>
        <v>0.30856555337021802</v>
      </c>
      <c r="P215" cm="1">
        <f t="array" ref="P215">MAX(IF((OutputTable[GroupByKey]=OutputTable[[#This Row],[GroupByKey]]),(OutputTable[GroupByKey]=OutputTable[[#This Row],[GroupByKey]])*OutputTable[RecordedValue]))</f>
        <v>0.98721163888391195</v>
      </c>
    </row>
    <row r="216" spans="1:16" x14ac:dyDescent="0.35">
      <c r="A216" t="s">
        <v>66</v>
      </c>
      <c r="B216" t="s">
        <v>98</v>
      </c>
      <c r="C216">
        <v>43</v>
      </c>
      <c r="D216" t="s">
        <v>95</v>
      </c>
      <c r="E216" t="s">
        <v>90</v>
      </c>
      <c r="F216" t="s">
        <v>96</v>
      </c>
      <c r="G216">
        <v>7</v>
      </c>
      <c r="H216">
        <v>0</v>
      </c>
      <c r="I216" t="str">
        <f>OutputTable[[#This Row],[ProjectName]]&amp;OutputTable[[#This Row],[Name]]&amp;OutputTable[[#This Row],[Type]]&amp;OutputTable[[#This Row],[Source]]</f>
        <v>Unnamed ProjectSystem.NumberOutNumber OutSystem</v>
      </c>
      <c r="J216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cm="1">
        <f t="array" ref="K216">IFERROR(AVERAGE(IF((OutputTable[GroupByKey]=OutputTable[[#This Row],[GroupByKey]]),(OutputTable[GroupByKey]=OutputTable[[#This Row],[GroupByKey]])*OutputTable[RecordedValue])),0)</f>
        <v>4.8600000000000003</v>
      </c>
      <c r="L216" cm="1">
        <f t="array" ref="L216">IFERROR(_xlfn.STDEV.S(IF((OutputTable[GroupByKey]=OutputTable[[#This Row],[GroupByKey]]),(OutputTable[GroupByKey]=OutputTable[[#This Row],[GroupByKey]])*OutputTable[RecordedValue])),0)</f>
        <v>1.4287142785721427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16" cm="1">
        <f t="array" ref="O216">MIN(IF((OutputTable[GroupByKey]=OutputTable[[#This Row],[GroupByKey]]),(OutputTable[GroupByKey]=OutputTable[[#This Row],[GroupByKey]])*OutputTable[RecordedValue]))</f>
        <v>2</v>
      </c>
      <c r="P216" cm="1">
        <f t="array" ref="P216">MAX(IF((OutputTable[GroupByKey]=OutputTable[[#This Row],[GroupByKey]]),(OutputTable[GroupByKey]=OutputTable[[#This Row],[GroupByKey]])*OutputTable[RecordedValue]))</f>
        <v>8</v>
      </c>
    </row>
    <row r="217" spans="1:16" x14ac:dyDescent="0.35">
      <c r="A217" t="s">
        <v>66</v>
      </c>
      <c r="B217" t="s">
        <v>98</v>
      </c>
      <c r="C217">
        <v>44</v>
      </c>
      <c r="D217" t="s">
        <v>87</v>
      </c>
      <c r="E217" t="s">
        <v>88</v>
      </c>
      <c r="F217" t="s">
        <v>71</v>
      </c>
      <c r="G217">
        <v>5</v>
      </c>
      <c r="H217">
        <v>0</v>
      </c>
      <c r="I217" t="str">
        <f>OutputTable[[#This Row],[ProjectName]]&amp;OutputTable[[#This Row],[Name]]&amp;OutputTable[[#This Row],[Type]]&amp;OutputTable[[#This Row],[Source]]</f>
        <v>Unnamed ProjectArquivos.NumberInNumber InEntity</v>
      </c>
      <c r="J217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cm="1">
        <f t="array" ref="K217">IFERROR(AVERAGE(IF((OutputTable[GroupByKey]=OutputTable[[#This Row],[GroupByKey]]),(OutputTable[GroupByKey]=OutputTable[[#This Row],[GroupByKey]])*OutputTable[RecordedValue])),0)</f>
        <v>6.32</v>
      </c>
      <c r="L217" cm="1">
        <f t="array" ref="L217">IFERROR(_xlfn.STDEV.S(IF((OutputTable[GroupByKey]=OutputTable[[#This Row],[GroupByKey]]),(OutputTable[GroupByKey]=OutputTable[[#This Row],[GroupByKey]])*OutputTable[RecordedValue])),0)</f>
        <v>1.671367520252534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17" cm="1">
        <f t="array" ref="O217">MIN(IF((OutputTable[GroupByKey]=OutputTable[[#This Row],[GroupByKey]]),(OutputTable[GroupByKey]=OutputTable[[#This Row],[GroupByKey]])*OutputTable[RecordedValue]))</f>
        <v>3</v>
      </c>
      <c r="P217" cm="1">
        <f t="array" ref="P217">MAX(IF((OutputTable[GroupByKey]=OutputTable[[#This Row],[GroupByKey]]),(OutputTable[GroupByKey]=OutputTable[[#This Row],[GroupByKey]])*OutputTable[RecordedValue]))</f>
        <v>12</v>
      </c>
    </row>
    <row r="218" spans="1:16" x14ac:dyDescent="0.35">
      <c r="A218" t="s">
        <v>66</v>
      </c>
      <c r="B218" t="s">
        <v>98</v>
      </c>
      <c r="C218">
        <v>44</v>
      </c>
      <c r="D218" t="s">
        <v>89</v>
      </c>
      <c r="E218" t="s">
        <v>90</v>
      </c>
      <c r="F218" t="s">
        <v>71</v>
      </c>
      <c r="G218">
        <v>5</v>
      </c>
      <c r="H218">
        <v>0</v>
      </c>
      <c r="I218" t="str">
        <f>OutputTable[[#This Row],[ProjectName]]&amp;OutputTable[[#This Row],[Name]]&amp;OutputTable[[#This Row],[Type]]&amp;OutputTable[[#This Row],[Source]]</f>
        <v>Unnamed ProjectArquivos.NumberOutNumber OutEntity</v>
      </c>
      <c r="J218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cm="1">
        <f t="array" ref="K218">IFERROR(AVERAGE(IF((OutputTable[GroupByKey]=OutputTable[[#This Row],[GroupByKey]]),(OutputTable[GroupByKey]=OutputTable[[#This Row],[GroupByKey]])*OutputTable[RecordedValue])),0)</f>
        <v>4.8600000000000003</v>
      </c>
      <c r="L218" cm="1">
        <f t="array" ref="L218">IFERROR(_xlfn.STDEV.S(IF((OutputTable[GroupByKey]=OutputTable[[#This Row],[GroupByKey]]),(OutputTable[GroupByKey]=OutputTable[[#This Row],[GroupByKey]])*OutputTable[RecordedValue])),0)</f>
        <v>1.4287142785721427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18" cm="1">
        <f t="array" ref="O218">MIN(IF((OutputTable[GroupByKey]=OutputTable[[#This Row],[GroupByKey]]),(OutputTable[GroupByKey]=OutputTable[[#This Row],[GroupByKey]])*OutputTable[RecordedValue]))</f>
        <v>2</v>
      </c>
      <c r="P218" cm="1">
        <f t="array" ref="P218">MAX(IF((OutputTable[GroupByKey]=OutputTable[[#This Row],[GroupByKey]]),(OutputTable[GroupByKey]=OutputTable[[#This Row],[GroupByKey]])*OutputTable[RecordedValue]))</f>
        <v>8</v>
      </c>
    </row>
    <row r="219" spans="1:16" x14ac:dyDescent="0.35">
      <c r="A219" t="s">
        <v>66</v>
      </c>
      <c r="B219" t="s">
        <v>98</v>
      </c>
      <c r="C219">
        <v>44</v>
      </c>
      <c r="D219" t="s">
        <v>91</v>
      </c>
      <c r="E219" t="s">
        <v>92</v>
      </c>
      <c r="F219" t="s">
        <v>84</v>
      </c>
      <c r="G219">
        <v>5</v>
      </c>
      <c r="H219">
        <v>0</v>
      </c>
      <c r="I21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19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cm="1">
        <f t="array" ref="K219">IFERROR(AVERAGE(IF((OutputTable[GroupByKey]=OutputTable[[#This Row],[GroupByKey]]),(OutputTable[GroupByKey]=OutputTable[[#This Row],[GroupByKey]])*OutputTable[RecordedValue])),0)</f>
        <v>6.14</v>
      </c>
      <c r="L219" cm="1">
        <f t="array" ref="L219">IFERROR(_xlfn.STDEV.S(IF((OutputTable[GroupByKey]=OutputTable[[#This Row],[GroupByKey]]),(OutputTable[GroupByKey]=OutputTable[[#This Row],[GroupByKey]])*OutputTable[RecordedValue])),0)</f>
        <v>1.4984345572793558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19" cm="1">
        <f t="array" ref="O219">MIN(IF((OutputTable[GroupByKey]=OutputTable[[#This Row],[GroupByKey]]),(OutputTable[GroupByKey]=OutputTable[[#This Row],[GroupByKey]])*OutputTable[RecordedValue]))</f>
        <v>3</v>
      </c>
      <c r="P219" cm="1">
        <f t="array" ref="P219">MAX(IF((OutputTable[GroupByKey]=OutputTable[[#This Row],[GroupByKey]]),(OutputTable[GroupByKey]=OutputTable[[#This Row],[GroupByKey]])*OutputTable[RecordedValue]))</f>
        <v>9</v>
      </c>
    </row>
    <row r="220" spans="1:16" x14ac:dyDescent="0.35">
      <c r="A220" t="s">
        <v>66</v>
      </c>
      <c r="B220" t="s">
        <v>98</v>
      </c>
      <c r="C220">
        <v>44</v>
      </c>
      <c r="D220" t="s">
        <v>93</v>
      </c>
      <c r="E220" t="s">
        <v>94</v>
      </c>
      <c r="F220" t="s">
        <v>84</v>
      </c>
      <c r="G220">
        <v>0.608328655469348</v>
      </c>
      <c r="H220">
        <v>0</v>
      </c>
      <c r="I22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20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cm="1">
        <f t="array" ref="K220">IFERROR(AVERAGE(IF((OutputTable[GroupByKey]=OutputTable[[#This Row],[GroupByKey]]),(OutputTable[GroupByKey]=OutputTable[[#This Row],[GroupByKey]])*OutputTable[RecordedValue])),0)</f>
        <v>0.63912553924181559</v>
      </c>
      <c r="L220" cm="1">
        <f t="array" ref="L220">IFERROR(_xlfn.STDEV.S(IF((OutputTable[GroupByKey]=OutputTable[[#This Row],[GroupByKey]]),(OutputTable[GroupByKey]=OutputTable[[#This Row],[GroupByKey]])*OutputTable[RecordedValue])),0)</f>
        <v>0.16841036655083153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20" cm="1">
        <f t="array" ref="O220">MIN(IF((OutputTable[GroupByKey]=OutputTable[[#This Row],[GroupByKey]]),(OutputTable[GroupByKey]=OutputTable[[#This Row],[GroupByKey]])*OutputTable[RecordedValue]))</f>
        <v>0.30856555337021802</v>
      </c>
      <c r="P220" cm="1">
        <f t="array" ref="P220">MAX(IF((OutputTable[GroupByKey]=OutputTable[[#This Row],[GroupByKey]]),(OutputTable[GroupByKey]=OutputTable[[#This Row],[GroupByKey]])*OutputTable[RecordedValue]))</f>
        <v>0.98721163888391195</v>
      </c>
    </row>
    <row r="221" spans="1:16" x14ac:dyDescent="0.35">
      <c r="A221" t="s">
        <v>66</v>
      </c>
      <c r="B221" t="s">
        <v>98</v>
      </c>
      <c r="C221">
        <v>44</v>
      </c>
      <c r="D221" t="s">
        <v>95</v>
      </c>
      <c r="E221" t="s">
        <v>90</v>
      </c>
      <c r="F221" t="s">
        <v>96</v>
      </c>
      <c r="G221">
        <v>5</v>
      </c>
      <c r="H221">
        <v>0</v>
      </c>
      <c r="I221" t="str">
        <f>OutputTable[[#This Row],[ProjectName]]&amp;OutputTable[[#This Row],[Name]]&amp;OutputTable[[#This Row],[Type]]&amp;OutputTable[[#This Row],[Source]]</f>
        <v>Unnamed ProjectSystem.NumberOutNumber OutSystem</v>
      </c>
      <c r="J221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cm="1">
        <f t="array" ref="K221">IFERROR(AVERAGE(IF((OutputTable[GroupByKey]=OutputTable[[#This Row],[GroupByKey]]),(OutputTable[GroupByKey]=OutputTable[[#This Row],[GroupByKey]])*OutputTable[RecordedValue])),0)</f>
        <v>4.8600000000000003</v>
      </c>
      <c r="L221" cm="1">
        <f t="array" ref="L221">IFERROR(_xlfn.STDEV.S(IF((OutputTable[GroupByKey]=OutputTable[[#This Row],[GroupByKey]]),(OutputTable[GroupByKey]=OutputTable[[#This Row],[GroupByKey]])*OutputTable[RecordedValue])),0)</f>
        <v>1.4287142785721427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21" cm="1">
        <f t="array" ref="O221">MIN(IF((OutputTable[GroupByKey]=OutputTable[[#This Row],[GroupByKey]]),(OutputTable[GroupByKey]=OutputTable[[#This Row],[GroupByKey]])*OutputTable[RecordedValue]))</f>
        <v>2</v>
      </c>
      <c r="P221" cm="1">
        <f t="array" ref="P221">MAX(IF((OutputTable[GroupByKey]=OutputTable[[#This Row],[GroupByKey]]),(OutputTable[GroupByKey]=OutputTable[[#This Row],[GroupByKey]])*OutputTable[RecordedValue]))</f>
        <v>8</v>
      </c>
    </row>
    <row r="222" spans="1:16" x14ac:dyDescent="0.35">
      <c r="A222" t="s">
        <v>66</v>
      </c>
      <c r="B222" t="s">
        <v>98</v>
      </c>
      <c r="C222">
        <v>45</v>
      </c>
      <c r="D222" t="s">
        <v>87</v>
      </c>
      <c r="E222" t="s">
        <v>88</v>
      </c>
      <c r="F222" t="s">
        <v>71</v>
      </c>
      <c r="G222">
        <v>4</v>
      </c>
      <c r="H222">
        <v>0</v>
      </c>
      <c r="I222" t="str">
        <f>OutputTable[[#This Row],[ProjectName]]&amp;OutputTable[[#This Row],[Name]]&amp;OutputTable[[#This Row],[Type]]&amp;OutputTable[[#This Row],[Source]]</f>
        <v>Unnamed ProjectArquivos.NumberInNumber InEntity</v>
      </c>
      <c r="J222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cm="1">
        <f t="array" ref="K222">IFERROR(AVERAGE(IF((OutputTable[GroupByKey]=OutputTable[[#This Row],[GroupByKey]]),(OutputTable[GroupByKey]=OutputTable[[#This Row],[GroupByKey]])*OutputTable[RecordedValue])),0)</f>
        <v>6.32</v>
      </c>
      <c r="L222" cm="1">
        <f t="array" ref="L222">IFERROR(_xlfn.STDEV.S(IF((OutputTable[GroupByKey]=OutputTable[[#This Row],[GroupByKey]]),(OutputTable[GroupByKey]=OutputTable[[#This Row],[GroupByKey]])*OutputTable[RecordedValue])),0)</f>
        <v>1.671367520252534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22" cm="1">
        <f t="array" ref="O222">MIN(IF((OutputTable[GroupByKey]=OutputTable[[#This Row],[GroupByKey]]),(OutputTable[GroupByKey]=OutputTable[[#This Row],[GroupByKey]])*OutputTable[RecordedValue]))</f>
        <v>3</v>
      </c>
      <c r="P222" cm="1">
        <f t="array" ref="P222">MAX(IF((OutputTable[GroupByKey]=OutputTable[[#This Row],[GroupByKey]]),(OutputTable[GroupByKey]=OutputTable[[#This Row],[GroupByKey]])*OutputTable[RecordedValue]))</f>
        <v>12</v>
      </c>
    </row>
    <row r="223" spans="1:16" x14ac:dyDescent="0.35">
      <c r="A223" t="s">
        <v>66</v>
      </c>
      <c r="B223" t="s">
        <v>98</v>
      </c>
      <c r="C223">
        <v>45</v>
      </c>
      <c r="D223" t="s">
        <v>89</v>
      </c>
      <c r="E223" t="s">
        <v>90</v>
      </c>
      <c r="F223" t="s">
        <v>71</v>
      </c>
      <c r="G223">
        <v>4</v>
      </c>
      <c r="H223">
        <v>0</v>
      </c>
      <c r="I223" t="str">
        <f>OutputTable[[#This Row],[ProjectName]]&amp;OutputTable[[#This Row],[Name]]&amp;OutputTable[[#This Row],[Type]]&amp;OutputTable[[#This Row],[Source]]</f>
        <v>Unnamed ProjectArquivos.NumberOutNumber OutEntity</v>
      </c>
      <c r="J223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cm="1">
        <f t="array" ref="K223">IFERROR(AVERAGE(IF((OutputTable[GroupByKey]=OutputTable[[#This Row],[GroupByKey]]),(OutputTable[GroupByKey]=OutputTable[[#This Row],[GroupByKey]])*OutputTable[RecordedValue])),0)</f>
        <v>4.8600000000000003</v>
      </c>
      <c r="L223" cm="1">
        <f t="array" ref="L223">IFERROR(_xlfn.STDEV.S(IF((OutputTable[GroupByKey]=OutputTable[[#This Row],[GroupByKey]]),(OutputTable[GroupByKey]=OutputTable[[#This Row],[GroupByKey]])*OutputTable[RecordedValue])),0)</f>
        <v>1.4287142785721427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23" cm="1">
        <f t="array" ref="O223">MIN(IF((OutputTable[GroupByKey]=OutputTable[[#This Row],[GroupByKey]]),(OutputTable[GroupByKey]=OutputTable[[#This Row],[GroupByKey]])*OutputTable[RecordedValue]))</f>
        <v>2</v>
      </c>
      <c r="P223" cm="1">
        <f t="array" ref="P223">MAX(IF((OutputTable[GroupByKey]=OutputTable[[#This Row],[GroupByKey]]),(OutputTable[GroupByKey]=OutputTable[[#This Row],[GroupByKey]])*OutputTable[RecordedValue]))</f>
        <v>8</v>
      </c>
    </row>
    <row r="224" spans="1:16" x14ac:dyDescent="0.35">
      <c r="A224" t="s">
        <v>66</v>
      </c>
      <c r="B224" t="s">
        <v>98</v>
      </c>
      <c r="C224">
        <v>45</v>
      </c>
      <c r="D224" t="s">
        <v>91</v>
      </c>
      <c r="E224" t="s">
        <v>92</v>
      </c>
      <c r="F224" t="s">
        <v>84</v>
      </c>
      <c r="G224">
        <v>4</v>
      </c>
      <c r="H224">
        <v>0</v>
      </c>
      <c r="I22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24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cm="1">
        <f t="array" ref="K224">IFERROR(AVERAGE(IF((OutputTable[GroupByKey]=OutputTable[[#This Row],[GroupByKey]]),(OutputTable[GroupByKey]=OutputTable[[#This Row],[GroupByKey]])*OutputTable[RecordedValue])),0)</f>
        <v>6.14</v>
      </c>
      <c r="L224" cm="1">
        <f t="array" ref="L224">IFERROR(_xlfn.STDEV.S(IF((OutputTable[GroupByKey]=OutputTable[[#This Row],[GroupByKey]]),(OutputTable[GroupByKey]=OutputTable[[#This Row],[GroupByKey]])*OutputTable[RecordedValue])),0)</f>
        <v>1.4984345572793558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24" cm="1">
        <f t="array" ref="O224">MIN(IF((OutputTable[GroupByKey]=OutputTable[[#This Row],[GroupByKey]]),(OutputTable[GroupByKey]=OutputTable[[#This Row],[GroupByKey]])*OutputTable[RecordedValue]))</f>
        <v>3</v>
      </c>
      <c r="P224" cm="1">
        <f t="array" ref="P224">MAX(IF((OutputTable[GroupByKey]=OutputTable[[#This Row],[GroupByKey]]),(OutputTable[GroupByKey]=OutputTable[[#This Row],[GroupByKey]])*OutputTable[RecordedValue]))</f>
        <v>9</v>
      </c>
    </row>
    <row r="225" spans="1:16" x14ac:dyDescent="0.35">
      <c r="A225" t="s">
        <v>66</v>
      </c>
      <c r="B225" t="s">
        <v>98</v>
      </c>
      <c r="C225">
        <v>45</v>
      </c>
      <c r="D225" t="s">
        <v>93</v>
      </c>
      <c r="E225" t="s">
        <v>94</v>
      </c>
      <c r="F225" t="s">
        <v>84</v>
      </c>
      <c r="G225">
        <v>0.30856555337021802</v>
      </c>
      <c r="H225">
        <v>0</v>
      </c>
      <c r="I22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2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cm="1">
        <f t="array" ref="K225">IFERROR(AVERAGE(IF((OutputTable[GroupByKey]=OutputTable[[#This Row],[GroupByKey]]),(OutputTable[GroupByKey]=OutputTable[[#This Row],[GroupByKey]])*OutputTable[RecordedValue])),0)</f>
        <v>0.63912553924181559</v>
      </c>
      <c r="L225" cm="1">
        <f t="array" ref="L225">IFERROR(_xlfn.STDEV.S(IF((OutputTable[GroupByKey]=OutputTable[[#This Row],[GroupByKey]]),(OutputTable[GroupByKey]=OutputTable[[#This Row],[GroupByKey]])*OutputTable[RecordedValue])),0)</f>
        <v>0.16841036655083153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25" cm="1">
        <f t="array" ref="O225">MIN(IF((OutputTable[GroupByKey]=OutputTable[[#This Row],[GroupByKey]]),(OutputTable[GroupByKey]=OutputTable[[#This Row],[GroupByKey]])*OutputTable[RecordedValue]))</f>
        <v>0.30856555337021802</v>
      </c>
      <c r="P225" cm="1">
        <f t="array" ref="P225">MAX(IF((OutputTable[GroupByKey]=OutputTable[[#This Row],[GroupByKey]]),(OutputTable[GroupByKey]=OutputTable[[#This Row],[GroupByKey]])*OutputTable[RecordedValue]))</f>
        <v>0.98721163888391195</v>
      </c>
    </row>
    <row r="226" spans="1:16" x14ac:dyDescent="0.35">
      <c r="A226" t="s">
        <v>66</v>
      </c>
      <c r="B226" t="s">
        <v>98</v>
      </c>
      <c r="C226">
        <v>45</v>
      </c>
      <c r="D226" t="s">
        <v>95</v>
      </c>
      <c r="E226" t="s">
        <v>90</v>
      </c>
      <c r="F226" t="s">
        <v>96</v>
      </c>
      <c r="G226">
        <v>4</v>
      </c>
      <c r="H226">
        <v>0</v>
      </c>
      <c r="I226" t="str">
        <f>OutputTable[[#This Row],[ProjectName]]&amp;OutputTable[[#This Row],[Name]]&amp;OutputTable[[#This Row],[Type]]&amp;OutputTable[[#This Row],[Source]]</f>
        <v>Unnamed ProjectSystem.NumberOutNumber OutSystem</v>
      </c>
      <c r="J226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cm="1">
        <f t="array" ref="K226">IFERROR(AVERAGE(IF((OutputTable[GroupByKey]=OutputTable[[#This Row],[GroupByKey]]),(OutputTable[GroupByKey]=OutputTable[[#This Row],[GroupByKey]])*OutputTable[RecordedValue])),0)</f>
        <v>4.8600000000000003</v>
      </c>
      <c r="L226" cm="1">
        <f t="array" ref="L226">IFERROR(_xlfn.STDEV.S(IF((OutputTable[GroupByKey]=OutputTable[[#This Row],[GroupByKey]]),(OutputTable[GroupByKey]=OutputTable[[#This Row],[GroupByKey]])*OutputTable[RecordedValue])),0)</f>
        <v>1.4287142785721427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26" cm="1">
        <f t="array" ref="O226">MIN(IF((OutputTable[GroupByKey]=OutputTable[[#This Row],[GroupByKey]]),(OutputTable[GroupByKey]=OutputTable[[#This Row],[GroupByKey]])*OutputTable[RecordedValue]))</f>
        <v>2</v>
      </c>
      <c r="P226" cm="1">
        <f t="array" ref="P226">MAX(IF((OutputTable[GroupByKey]=OutputTable[[#This Row],[GroupByKey]]),(OutputTable[GroupByKey]=OutputTable[[#This Row],[GroupByKey]])*OutputTable[RecordedValue]))</f>
        <v>8</v>
      </c>
    </row>
    <row r="227" spans="1:16" x14ac:dyDescent="0.35">
      <c r="A227" t="s">
        <v>66</v>
      </c>
      <c r="B227" t="s">
        <v>98</v>
      </c>
      <c r="C227">
        <v>46</v>
      </c>
      <c r="D227" t="s">
        <v>87</v>
      </c>
      <c r="E227" t="s">
        <v>88</v>
      </c>
      <c r="F227" t="s">
        <v>71</v>
      </c>
      <c r="G227">
        <v>6</v>
      </c>
      <c r="H227">
        <v>0</v>
      </c>
      <c r="I227" t="str">
        <f>OutputTable[[#This Row],[ProjectName]]&amp;OutputTable[[#This Row],[Name]]&amp;OutputTable[[#This Row],[Type]]&amp;OutputTable[[#This Row],[Source]]</f>
        <v>Unnamed ProjectArquivos.NumberInNumber InEntity</v>
      </c>
      <c r="J227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cm="1">
        <f t="array" ref="K227">IFERROR(AVERAGE(IF((OutputTable[GroupByKey]=OutputTable[[#This Row],[GroupByKey]]),(OutputTable[GroupByKey]=OutputTable[[#This Row],[GroupByKey]])*OutputTable[RecordedValue])),0)</f>
        <v>6.32</v>
      </c>
      <c r="L227" cm="1">
        <f t="array" ref="L227">IFERROR(_xlfn.STDEV.S(IF((OutputTable[GroupByKey]=OutputTable[[#This Row],[GroupByKey]]),(OutputTable[GroupByKey]=OutputTable[[#This Row],[GroupByKey]])*OutputTable[RecordedValue])),0)</f>
        <v>1.671367520252534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27" cm="1">
        <f t="array" ref="O227">MIN(IF((OutputTable[GroupByKey]=OutputTable[[#This Row],[GroupByKey]]),(OutputTable[GroupByKey]=OutputTable[[#This Row],[GroupByKey]])*OutputTable[RecordedValue]))</f>
        <v>3</v>
      </c>
      <c r="P227" cm="1">
        <f t="array" ref="P227">MAX(IF((OutputTable[GroupByKey]=OutputTable[[#This Row],[GroupByKey]]),(OutputTable[GroupByKey]=OutputTable[[#This Row],[GroupByKey]])*OutputTable[RecordedValue]))</f>
        <v>12</v>
      </c>
    </row>
    <row r="228" spans="1:16" x14ac:dyDescent="0.35">
      <c r="A228" t="s">
        <v>66</v>
      </c>
      <c r="B228" t="s">
        <v>98</v>
      </c>
      <c r="C228">
        <v>46</v>
      </c>
      <c r="D228" t="s">
        <v>89</v>
      </c>
      <c r="E228" t="s">
        <v>90</v>
      </c>
      <c r="F228" t="s">
        <v>71</v>
      </c>
      <c r="G228">
        <v>3</v>
      </c>
      <c r="H228">
        <v>0</v>
      </c>
      <c r="I228" t="str">
        <f>OutputTable[[#This Row],[ProjectName]]&amp;OutputTable[[#This Row],[Name]]&amp;OutputTable[[#This Row],[Type]]&amp;OutputTable[[#This Row],[Source]]</f>
        <v>Unnamed ProjectArquivos.NumberOutNumber OutEntity</v>
      </c>
      <c r="J228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cm="1">
        <f t="array" ref="K228">IFERROR(AVERAGE(IF((OutputTable[GroupByKey]=OutputTable[[#This Row],[GroupByKey]]),(OutputTable[GroupByKey]=OutputTable[[#This Row],[GroupByKey]])*OutputTable[RecordedValue])),0)</f>
        <v>4.8600000000000003</v>
      </c>
      <c r="L228" cm="1">
        <f t="array" ref="L228">IFERROR(_xlfn.STDEV.S(IF((OutputTable[GroupByKey]=OutputTable[[#This Row],[GroupByKey]]),(OutputTable[GroupByKey]=OutputTable[[#This Row],[GroupByKey]])*OutputTable[RecordedValue])),0)</f>
        <v>1.4287142785721427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28" cm="1">
        <f t="array" ref="O228">MIN(IF((OutputTable[GroupByKey]=OutputTable[[#This Row],[GroupByKey]]),(OutputTable[GroupByKey]=OutputTable[[#This Row],[GroupByKey]])*OutputTable[RecordedValue]))</f>
        <v>2</v>
      </c>
      <c r="P228" cm="1">
        <f t="array" ref="P228">MAX(IF((OutputTable[GroupByKey]=OutputTable[[#This Row],[GroupByKey]]),(OutputTable[GroupByKey]=OutputTable[[#This Row],[GroupByKey]])*OutputTable[RecordedValue]))</f>
        <v>8</v>
      </c>
    </row>
    <row r="229" spans="1:16" x14ac:dyDescent="0.35">
      <c r="A229" t="s">
        <v>66</v>
      </c>
      <c r="B229" t="s">
        <v>98</v>
      </c>
      <c r="C229">
        <v>46</v>
      </c>
      <c r="D229" t="s">
        <v>91</v>
      </c>
      <c r="E229" t="s">
        <v>92</v>
      </c>
      <c r="F229" t="s">
        <v>84</v>
      </c>
      <c r="G229">
        <v>5</v>
      </c>
      <c r="H229">
        <v>0</v>
      </c>
      <c r="I22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29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cm="1">
        <f t="array" ref="K229">IFERROR(AVERAGE(IF((OutputTable[GroupByKey]=OutputTable[[#This Row],[GroupByKey]]),(OutputTable[GroupByKey]=OutputTable[[#This Row],[GroupByKey]])*OutputTable[RecordedValue])),0)</f>
        <v>6.14</v>
      </c>
      <c r="L229" cm="1">
        <f t="array" ref="L229">IFERROR(_xlfn.STDEV.S(IF((OutputTable[GroupByKey]=OutputTable[[#This Row],[GroupByKey]]),(OutputTable[GroupByKey]=OutputTable[[#This Row],[GroupByKey]])*OutputTable[RecordedValue])),0)</f>
        <v>1.4984345572793558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29" cm="1">
        <f t="array" ref="O229">MIN(IF((OutputTable[GroupByKey]=OutputTable[[#This Row],[GroupByKey]]),(OutputTable[GroupByKey]=OutputTable[[#This Row],[GroupByKey]])*OutputTable[RecordedValue]))</f>
        <v>3</v>
      </c>
      <c r="P229" cm="1">
        <f t="array" ref="P229">MAX(IF((OutputTable[GroupByKey]=OutputTable[[#This Row],[GroupByKey]]),(OutputTable[GroupByKey]=OutputTable[[#This Row],[GroupByKey]])*OutputTable[RecordedValue]))</f>
        <v>9</v>
      </c>
    </row>
    <row r="230" spans="1:16" x14ac:dyDescent="0.35">
      <c r="A230" t="s">
        <v>66</v>
      </c>
      <c r="B230" t="s">
        <v>98</v>
      </c>
      <c r="C230">
        <v>46</v>
      </c>
      <c r="D230" t="s">
        <v>93</v>
      </c>
      <c r="E230" t="s">
        <v>94</v>
      </c>
      <c r="F230" t="s">
        <v>84</v>
      </c>
      <c r="G230">
        <v>0.38567171455584798</v>
      </c>
      <c r="H230">
        <v>0</v>
      </c>
      <c r="I23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30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cm="1">
        <f t="array" ref="K230">IFERROR(AVERAGE(IF((OutputTable[GroupByKey]=OutputTable[[#This Row],[GroupByKey]]),(OutputTable[GroupByKey]=OutputTable[[#This Row],[GroupByKey]])*OutputTable[RecordedValue])),0)</f>
        <v>0.63912553924181559</v>
      </c>
      <c r="L230" cm="1">
        <f t="array" ref="L230">IFERROR(_xlfn.STDEV.S(IF((OutputTable[GroupByKey]=OutputTable[[#This Row],[GroupByKey]]),(OutputTable[GroupByKey]=OutputTable[[#This Row],[GroupByKey]])*OutputTable[RecordedValue])),0)</f>
        <v>0.16841036655083153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30" cm="1">
        <f t="array" ref="O230">MIN(IF((OutputTable[GroupByKey]=OutputTable[[#This Row],[GroupByKey]]),(OutputTable[GroupByKey]=OutputTable[[#This Row],[GroupByKey]])*OutputTable[RecordedValue]))</f>
        <v>0.30856555337021802</v>
      </c>
      <c r="P230" cm="1">
        <f t="array" ref="P230">MAX(IF((OutputTable[GroupByKey]=OutputTable[[#This Row],[GroupByKey]]),(OutputTable[GroupByKey]=OutputTable[[#This Row],[GroupByKey]])*OutputTable[RecordedValue]))</f>
        <v>0.98721163888391195</v>
      </c>
    </row>
    <row r="231" spans="1:16" x14ac:dyDescent="0.35">
      <c r="A231" t="s">
        <v>66</v>
      </c>
      <c r="B231" t="s">
        <v>98</v>
      </c>
      <c r="C231">
        <v>46</v>
      </c>
      <c r="D231" t="s">
        <v>95</v>
      </c>
      <c r="E231" t="s">
        <v>90</v>
      </c>
      <c r="F231" t="s">
        <v>96</v>
      </c>
      <c r="G231">
        <v>3</v>
      </c>
      <c r="H231">
        <v>0</v>
      </c>
      <c r="I231" t="str">
        <f>OutputTable[[#This Row],[ProjectName]]&amp;OutputTable[[#This Row],[Name]]&amp;OutputTable[[#This Row],[Type]]&amp;OutputTable[[#This Row],[Source]]</f>
        <v>Unnamed ProjectSystem.NumberOutNumber OutSystem</v>
      </c>
      <c r="J231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cm="1">
        <f t="array" ref="K231">IFERROR(AVERAGE(IF((OutputTable[GroupByKey]=OutputTable[[#This Row],[GroupByKey]]),(OutputTable[GroupByKey]=OutputTable[[#This Row],[GroupByKey]])*OutputTable[RecordedValue])),0)</f>
        <v>4.8600000000000003</v>
      </c>
      <c r="L231" cm="1">
        <f t="array" ref="L231">IFERROR(_xlfn.STDEV.S(IF((OutputTable[GroupByKey]=OutputTable[[#This Row],[GroupByKey]]),(OutputTable[GroupByKey]=OutputTable[[#This Row],[GroupByKey]])*OutputTable[RecordedValue])),0)</f>
        <v>1.4287142785721427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31" cm="1">
        <f t="array" ref="O231">MIN(IF((OutputTable[GroupByKey]=OutputTable[[#This Row],[GroupByKey]]),(OutputTable[GroupByKey]=OutputTable[[#This Row],[GroupByKey]])*OutputTable[RecordedValue]))</f>
        <v>2</v>
      </c>
      <c r="P231" cm="1">
        <f t="array" ref="P231">MAX(IF((OutputTable[GroupByKey]=OutputTable[[#This Row],[GroupByKey]]),(OutputTable[GroupByKey]=OutputTable[[#This Row],[GroupByKey]])*OutputTable[RecordedValue]))</f>
        <v>8</v>
      </c>
    </row>
    <row r="232" spans="1:16" x14ac:dyDescent="0.35">
      <c r="A232" t="s">
        <v>66</v>
      </c>
      <c r="B232" t="s">
        <v>98</v>
      </c>
      <c r="C232">
        <v>47</v>
      </c>
      <c r="D232" t="s">
        <v>87</v>
      </c>
      <c r="E232" t="s">
        <v>88</v>
      </c>
      <c r="F232" t="s">
        <v>71</v>
      </c>
      <c r="G232">
        <v>7</v>
      </c>
      <c r="H232">
        <v>0</v>
      </c>
      <c r="I232" t="str">
        <f>OutputTable[[#This Row],[ProjectName]]&amp;OutputTable[[#This Row],[Name]]&amp;OutputTable[[#This Row],[Type]]&amp;OutputTable[[#This Row],[Source]]</f>
        <v>Unnamed ProjectArquivos.NumberInNumber InEntity</v>
      </c>
      <c r="J232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cm="1">
        <f t="array" ref="K232">IFERROR(AVERAGE(IF((OutputTable[GroupByKey]=OutputTable[[#This Row],[GroupByKey]]),(OutputTable[GroupByKey]=OutputTable[[#This Row],[GroupByKey]])*OutputTable[RecordedValue])),0)</f>
        <v>6.32</v>
      </c>
      <c r="L232" cm="1">
        <f t="array" ref="L232">IFERROR(_xlfn.STDEV.S(IF((OutputTable[GroupByKey]=OutputTable[[#This Row],[GroupByKey]]),(OutputTable[GroupByKey]=OutputTable[[#This Row],[GroupByKey]])*OutputTable[RecordedValue])),0)</f>
        <v>1.671367520252534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32" cm="1">
        <f t="array" ref="O232">MIN(IF((OutputTable[GroupByKey]=OutputTable[[#This Row],[GroupByKey]]),(OutputTable[GroupByKey]=OutputTable[[#This Row],[GroupByKey]])*OutputTable[RecordedValue]))</f>
        <v>3</v>
      </c>
      <c r="P232" cm="1">
        <f t="array" ref="P232">MAX(IF((OutputTable[GroupByKey]=OutputTable[[#This Row],[GroupByKey]]),(OutputTable[GroupByKey]=OutputTable[[#This Row],[GroupByKey]])*OutputTable[RecordedValue]))</f>
        <v>12</v>
      </c>
    </row>
    <row r="233" spans="1:16" x14ac:dyDescent="0.35">
      <c r="A233" t="s">
        <v>66</v>
      </c>
      <c r="B233" t="s">
        <v>98</v>
      </c>
      <c r="C233">
        <v>47</v>
      </c>
      <c r="D233" t="s">
        <v>89</v>
      </c>
      <c r="E233" t="s">
        <v>90</v>
      </c>
      <c r="F233" t="s">
        <v>71</v>
      </c>
      <c r="G233">
        <v>5</v>
      </c>
      <c r="H233">
        <v>0</v>
      </c>
      <c r="I233" t="str">
        <f>OutputTable[[#This Row],[ProjectName]]&amp;OutputTable[[#This Row],[Name]]&amp;OutputTable[[#This Row],[Type]]&amp;OutputTable[[#This Row],[Source]]</f>
        <v>Unnamed ProjectArquivos.NumberOutNumber OutEntity</v>
      </c>
      <c r="J233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cm="1">
        <f t="array" ref="K233">IFERROR(AVERAGE(IF((OutputTable[GroupByKey]=OutputTable[[#This Row],[GroupByKey]]),(OutputTable[GroupByKey]=OutputTable[[#This Row],[GroupByKey]])*OutputTable[RecordedValue])),0)</f>
        <v>4.8600000000000003</v>
      </c>
      <c r="L233" cm="1">
        <f t="array" ref="L233">IFERROR(_xlfn.STDEV.S(IF((OutputTable[GroupByKey]=OutputTable[[#This Row],[GroupByKey]]),(OutputTable[GroupByKey]=OutputTable[[#This Row],[GroupByKey]])*OutputTable[RecordedValue])),0)</f>
        <v>1.4287142785721427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33" cm="1">
        <f t="array" ref="O233">MIN(IF((OutputTable[GroupByKey]=OutputTable[[#This Row],[GroupByKey]]),(OutputTable[GroupByKey]=OutputTable[[#This Row],[GroupByKey]])*OutputTable[RecordedValue]))</f>
        <v>2</v>
      </c>
      <c r="P233" cm="1">
        <f t="array" ref="P233">MAX(IF((OutputTable[GroupByKey]=OutputTable[[#This Row],[GroupByKey]]),(OutputTable[GroupByKey]=OutputTable[[#This Row],[GroupByKey]])*OutputTable[RecordedValue]))</f>
        <v>8</v>
      </c>
    </row>
    <row r="234" spans="1:16" x14ac:dyDescent="0.35">
      <c r="A234" t="s">
        <v>66</v>
      </c>
      <c r="B234" t="s">
        <v>98</v>
      </c>
      <c r="C234">
        <v>47</v>
      </c>
      <c r="D234" t="s">
        <v>91</v>
      </c>
      <c r="E234" t="s">
        <v>92</v>
      </c>
      <c r="F234" t="s">
        <v>84</v>
      </c>
      <c r="G234">
        <v>7</v>
      </c>
      <c r="H234">
        <v>0</v>
      </c>
      <c r="I23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34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cm="1">
        <f t="array" ref="K234">IFERROR(AVERAGE(IF((OutputTable[GroupByKey]=OutputTable[[#This Row],[GroupByKey]]),(OutputTable[GroupByKey]=OutputTable[[#This Row],[GroupByKey]])*OutputTable[RecordedValue])),0)</f>
        <v>6.14</v>
      </c>
      <c r="L234" cm="1">
        <f t="array" ref="L234">IFERROR(_xlfn.STDEV.S(IF((OutputTable[GroupByKey]=OutputTable[[#This Row],[GroupByKey]]),(OutputTable[GroupByKey]=OutputTable[[#This Row],[GroupByKey]])*OutputTable[RecordedValue])),0)</f>
        <v>1.4984345572793558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34" cm="1">
        <f t="array" ref="O234">MIN(IF((OutputTable[GroupByKey]=OutputTable[[#This Row],[GroupByKey]]),(OutputTable[GroupByKey]=OutputTable[[#This Row],[GroupByKey]])*OutputTable[RecordedValue]))</f>
        <v>3</v>
      </c>
      <c r="P234" cm="1">
        <f t="array" ref="P234">MAX(IF((OutputTable[GroupByKey]=OutputTable[[#This Row],[GroupByKey]]),(OutputTable[GroupByKey]=OutputTable[[#This Row],[GroupByKey]])*OutputTable[RecordedValue]))</f>
        <v>9</v>
      </c>
    </row>
    <row r="235" spans="1:16" x14ac:dyDescent="0.35">
      <c r="A235" t="s">
        <v>66</v>
      </c>
      <c r="B235" t="s">
        <v>98</v>
      </c>
      <c r="C235">
        <v>47</v>
      </c>
      <c r="D235" t="s">
        <v>93</v>
      </c>
      <c r="E235" t="s">
        <v>94</v>
      </c>
      <c r="F235" t="s">
        <v>84</v>
      </c>
      <c r="G235">
        <v>0.85513343442023504</v>
      </c>
      <c r="H235">
        <v>0</v>
      </c>
      <c r="I23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3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cm="1">
        <f t="array" ref="K235">IFERROR(AVERAGE(IF((OutputTable[GroupByKey]=OutputTable[[#This Row],[GroupByKey]]),(OutputTable[GroupByKey]=OutputTable[[#This Row],[GroupByKey]])*OutputTable[RecordedValue])),0)</f>
        <v>0.63912553924181559</v>
      </c>
      <c r="L235" cm="1">
        <f t="array" ref="L235">IFERROR(_xlfn.STDEV.S(IF((OutputTable[GroupByKey]=OutputTable[[#This Row],[GroupByKey]]),(OutputTable[GroupByKey]=OutputTable[[#This Row],[GroupByKey]])*OutputTable[RecordedValue])),0)</f>
        <v>0.16841036655083153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35" cm="1">
        <f t="array" ref="O235">MIN(IF((OutputTable[GroupByKey]=OutputTable[[#This Row],[GroupByKey]]),(OutputTable[GroupByKey]=OutputTable[[#This Row],[GroupByKey]])*OutputTable[RecordedValue]))</f>
        <v>0.30856555337021802</v>
      </c>
      <c r="P235" cm="1">
        <f t="array" ref="P235">MAX(IF((OutputTable[GroupByKey]=OutputTable[[#This Row],[GroupByKey]]),(OutputTable[GroupByKey]=OutputTable[[#This Row],[GroupByKey]])*OutputTable[RecordedValue]))</f>
        <v>0.98721163888391195</v>
      </c>
    </row>
    <row r="236" spans="1:16" x14ac:dyDescent="0.35">
      <c r="A236" t="s">
        <v>66</v>
      </c>
      <c r="B236" t="s">
        <v>98</v>
      </c>
      <c r="C236">
        <v>47</v>
      </c>
      <c r="D236" t="s">
        <v>95</v>
      </c>
      <c r="E236" t="s">
        <v>90</v>
      </c>
      <c r="F236" t="s">
        <v>96</v>
      </c>
      <c r="G236">
        <v>5</v>
      </c>
      <c r="H236">
        <v>0</v>
      </c>
      <c r="I236" t="str">
        <f>OutputTable[[#This Row],[ProjectName]]&amp;OutputTable[[#This Row],[Name]]&amp;OutputTable[[#This Row],[Type]]&amp;OutputTable[[#This Row],[Source]]</f>
        <v>Unnamed ProjectSystem.NumberOutNumber OutSystem</v>
      </c>
      <c r="J236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cm="1">
        <f t="array" ref="K236">IFERROR(AVERAGE(IF((OutputTable[GroupByKey]=OutputTable[[#This Row],[GroupByKey]]),(OutputTable[GroupByKey]=OutputTable[[#This Row],[GroupByKey]])*OutputTable[RecordedValue])),0)</f>
        <v>4.8600000000000003</v>
      </c>
      <c r="L236" cm="1">
        <f t="array" ref="L236">IFERROR(_xlfn.STDEV.S(IF((OutputTable[GroupByKey]=OutputTable[[#This Row],[GroupByKey]]),(OutputTable[GroupByKey]=OutputTable[[#This Row],[GroupByKey]])*OutputTable[RecordedValue])),0)</f>
        <v>1.4287142785721427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36" cm="1">
        <f t="array" ref="O236">MIN(IF((OutputTable[GroupByKey]=OutputTable[[#This Row],[GroupByKey]]),(OutputTable[GroupByKey]=OutputTable[[#This Row],[GroupByKey]])*OutputTable[RecordedValue]))</f>
        <v>2</v>
      </c>
      <c r="P236" cm="1">
        <f t="array" ref="P236">MAX(IF((OutputTable[GroupByKey]=OutputTable[[#This Row],[GroupByKey]]),(OutputTable[GroupByKey]=OutputTable[[#This Row],[GroupByKey]])*OutputTable[RecordedValue]))</f>
        <v>8</v>
      </c>
    </row>
    <row r="237" spans="1:16" x14ac:dyDescent="0.35">
      <c r="A237" t="s">
        <v>66</v>
      </c>
      <c r="B237" t="s">
        <v>98</v>
      </c>
      <c r="C237">
        <v>48</v>
      </c>
      <c r="D237" t="s">
        <v>87</v>
      </c>
      <c r="E237" t="s">
        <v>88</v>
      </c>
      <c r="F237" t="s">
        <v>71</v>
      </c>
      <c r="G237">
        <v>4</v>
      </c>
      <c r="H237">
        <v>0</v>
      </c>
      <c r="I237" t="str">
        <f>OutputTable[[#This Row],[ProjectName]]&amp;OutputTable[[#This Row],[Name]]&amp;OutputTable[[#This Row],[Type]]&amp;OutputTable[[#This Row],[Source]]</f>
        <v>Unnamed ProjectArquivos.NumberInNumber InEntity</v>
      </c>
      <c r="J237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cm="1">
        <f t="array" ref="K237">IFERROR(AVERAGE(IF((OutputTable[GroupByKey]=OutputTable[[#This Row],[GroupByKey]]),(OutputTable[GroupByKey]=OutputTable[[#This Row],[GroupByKey]])*OutputTable[RecordedValue])),0)</f>
        <v>6.32</v>
      </c>
      <c r="L237" cm="1">
        <f t="array" ref="L237">IFERROR(_xlfn.STDEV.S(IF((OutputTable[GroupByKey]=OutputTable[[#This Row],[GroupByKey]]),(OutputTable[GroupByKey]=OutputTable[[#This Row],[GroupByKey]])*OutputTable[RecordedValue])),0)</f>
        <v>1.671367520252534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37" cm="1">
        <f t="array" ref="O237">MIN(IF((OutputTable[GroupByKey]=OutputTable[[#This Row],[GroupByKey]]),(OutputTable[GroupByKey]=OutputTable[[#This Row],[GroupByKey]])*OutputTable[RecordedValue]))</f>
        <v>3</v>
      </c>
      <c r="P237" cm="1">
        <f t="array" ref="P237">MAX(IF((OutputTable[GroupByKey]=OutputTable[[#This Row],[GroupByKey]]),(OutputTable[GroupByKey]=OutputTable[[#This Row],[GroupByKey]])*OutputTable[RecordedValue]))</f>
        <v>12</v>
      </c>
    </row>
    <row r="238" spans="1:16" x14ac:dyDescent="0.35">
      <c r="A238" t="s">
        <v>66</v>
      </c>
      <c r="B238" t="s">
        <v>98</v>
      </c>
      <c r="C238">
        <v>48</v>
      </c>
      <c r="D238" t="s">
        <v>89</v>
      </c>
      <c r="E238" t="s">
        <v>90</v>
      </c>
      <c r="F238" t="s">
        <v>71</v>
      </c>
      <c r="G238">
        <v>4</v>
      </c>
      <c r="H238">
        <v>0</v>
      </c>
      <c r="I238" t="str">
        <f>OutputTable[[#This Row],[ProjectName]]&amp;OutputTable[[#This Row],[Name]]&amp;OutputTable[[#This Row],[Type]]&amp;OutputTable[[#This Row],[Source]]</f>
        <v>Unnamed ProjectArquivos.NumberOutNumber OutEntity</v>
      </c>
      <c r="J238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cm="1">
        <f t="array" ref="K238">IFERROR(AVERAGE(IF((OutputTable[GroupByKey]=OutputTable[[#This Row],[GroupByKey]]),(OutputTable[GroupByKey]=OutputTable[[#This Row],[GroupByKey]])*OutputTable[RecordedValue])),0)</f>
        <v>4.8600000000000003</v>
      </c>
      <c r="L238" cm="1">
        <f t="array" ref="L238">IFERROR(_xlfn.STDEV.S(IF((OutputTable[GroupByKey]=OutputTable[[#This Row],[GroupByKey]]),(OutputTable[GroupByKey]=OutputTable[[#This Row],[GroupByKey]])*OutputTable[RecordedValue])),0)</f>
        <v>1.4287142785721427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38" cm="1">
        <f t="array" ref="O238">MIN(IF((OutputTable[GroupByKey]=OutputTable[[#This Row],[GroupByKey]]),(OutputTable[GroupByKey]=OutputTable[[#This Row],[GroupByKey]])*OutputTable[RecordedValue]))</f>
        <v>2</v>
      </c>
      <c r="P238" cm="1">
        <f t="array" ref="P238">MAX(IF((OutputTable[GroupByKey]=OutputTable[[#This Row],[GroupByKey]]),(OutputTable[GroupByKey]=OutputTable[[#This Row],[GroupByKey]])*OutputTable[RecordedValue]))</f>
        <v>8</v>
      </c>
    </row>
    <row r="239" spans="1:16" x14ac:dyDescent="0.35">
      <c r="A239" t="s">
        <v>66</v>
      </c>
      <c r="B239" t="s">
        <v>98</v>
      </c>
      <c r="C239">
        <v>48</v>
      </c>
      <c r="D239" t="s">
        <v>91</v>
      </c>
      <c r="E239" t="s">
        <v>92</v>
      </c>
      <c r="F239" t="s">
        <v>84</v>
      </c>
      <c r="G239">
        <v>4</v>
      </c>
      <c r="H239">
        <v>0</v>
      </c>
      <c r="I23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39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cm="1">
        <f t="array" ref="K239">IFERROR(AVERAGE(IF((OutputTable[GroupByKey]=OutputTable[[#This Row],[GroupByKey]]),(OutputTable[GroupByKey]=OutputTable[[#This Row],[GroupByKey]])*OutputTable[RecordedValue])),0)</f>
        <v>6.14</v>
      </c>
      <c r="L239" cm="1">
        <f t="array" ref="L239">IFERROR(_xlfn.STDEV.S(IF((OutputTable[GroupByKey]=OutputTable[[#This Row],[GroupByKey]]),(OutputTable[GroupByKey]=OutputTable[[#This Row],[GroupByKey]])*OutputTable[RecordedValue])),0)</f>
        <v>1.4984345572793558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39" cm="1">
        <f t="array" ref="O239">MIN(IF((OutputTable[GroupByKey]=OutputTable[[#This Row],[GroupByKey]]),(OutputTable[GroupByKey]=OutputTable[[#This Row],[GroupByKey]])*OutputTable[RecordedValue]))</f>
        <v>3</v>
      </c>
      <c r="P239" cm="1">
        <f t="array" ref="P239">MAX(IF((OutputTable[GroupByKey]=OutputTable[[#This Row],[GroupByKey]]),(OutputTable[GroupByKey]=OutputTable[[#This Row],[GroupByKey]])*OutputTable[RecordedValue]))</f>
        <v>9</v>
      </c>
    </row>
    <row r="240" spans="1:16" x14ac:dyDescent="0.35">
      <c r="A240" t="s">
        <v>66</v>
      </c>
      <c r="B240" t="s">
        <v>98</v>
      </c>
      <c r="C240">
        <v>48</v>
      </c>
      <c r="D240" t="s">
        <v>93</v>
      </c>
      <c r="E240" t="s">
        <v>94</v>
      </c>
      <c r="F240" t="s">
        <v>84</v>
      </c>
      <c r="G240">
        <v>0.47799519527937401</v>
      </c>
      <c r="H240">
        <v>0</v>
      </c>
      <c r="I24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40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cm="1">
        <f t="array" ref="K240">IFERROR(AVERAGE(IF((OutputTable[GroupByKey]=OutputTable[[#This Row],[GroupByKey]]),(OutputTable[GroupByKey]=OutputTable[[#This Row],[GroupByKey]])*OutputTable[RecordedValue])),0)</f>
        <v>0.63912553924181559</v>
      </c>
      <c r="L240" cm="1">
        <f t="array" ref="L240">IFERROR(_xlfn.STDEV.S(IF((OutputTable[GroupByKey]=OutputTable[[#This Row],[GroupByKey]]),(OutputTable[GroupByKey]=OutputTable[[#This Row],[GroupByKey]])*OutputTable[RecordedValue])),0)</f>
        <v>0.16841036655083153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40" cm="1">
        <f t="array" ref="O240">MIN(IF((OutputTable[GroupByKey]=OutputTable[[#This Row],[GroupByKey]]),(OutputTable[GroupByKey]=OutputTable[[#This Row],[GroupByKey]])*OutputTable[RecordedValue]))</f>
        <v>0.30856555337021802</v>
      </c>
      <c r="P240" cm="1">
        <f t="array" ref="P240">MAX(IF((OutputTable[GroupByKey]=OutputTable[[#This Row],[GroupByKey]]),(OutputTable[GroupByKey]=OutputTable[[#This Row],[GroupByKey]])*OutputTable[RecordedValue]))</f>
        <v>0.98721163888391195</v>
      </c>
    </row>
    <row r="241" spans="1:16" x14ac:dyDescent="0.35">
      <c r="A241" t="s">
        <v>66</v>
      </c>
      <c r="B241" t="s">
        <v>98</v>
      </c>
      <c r="C241">
        <v>48</v>
      </c>
      <c r="D241" t="s">
        <v>95</v>
      </c>
      <c r="E241" t="s">
        <v>90</v>
      </c>
      <c r="F241" t="s">
        <v>96</v>
      </c>
      <c r="G241">
        <v>4</v>
      </c>
      <c r="H241">
        <v>0</v>
      </c>
      <c r="I241" t="str">
        <f>OutputTable[[#This Row],[ProjectName]]&amp;OutputTable[[#This Row],[Name]]&amp;OutputTable[[#This Row],[Type]]&amp;OutputTable[[#This Row],[Source]]</f>
        <v>Unnamed ProjectSystem.NumberOutNumber OutSystem</v>
      </c>
      <c r="J241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cm="1">
        <f t="array" ref="K241">IFERROR(AVERAGE(IF((OutputTable[GroupByKey]=OutputTable[[#This Row],[GroupByKey]]),(OutputTable[GroupByKey]=OutputTable[[#This Row],[GroupByKey]])*OutputTable[RecordedValue])),0)</f>
        <v>4.8600000000000003</v>
      </c>
      <c r="L241" cm="1">
        <f t="array" ref="L241">IFERROR(_xlfn.STDEV.S(IF((OutputTable[GroupByKey]=OutputTable[[#This Row],[GroupByKey]]),(OutputTable[GroupByKey]=OutputTable[[#This Row],[GroupByKey]])*OutputTable[RecordedValue])),0)</f>
        <v>1.4287142785721427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41" cm="1">
        <f t="array" ref="O241">MIN(IF((OutputTable[GroupByKey]=OutputTable[[#This Row],[GroupByKey]]),(OutputTable[GroupByKey]=OutputTable[[#This Row],[GroupByKey]])*OutputTable[RecordedValue]))</f>
        <v>2</v>
      </c>
      <c r="P241" cm="1">
        <f t="array" ref="P241">MAX(IF((OutputTable[GroupByKey]=OutputTable[[#This Row],[GroupByKey]]),(OutputTable[GroupByKey]=OutputTable[[#This Row],[GroupByKey]])*OutputTable[RecordedValue]))</f>
        <v>8</v>
      </c>
    </row>
    <row r="242" spans="1:16" x14ac:dyDescent="0.35">
      <c r="A242" t="s">
        <v>66</v>
      </c>
      <c r="B242" t="s">
        <v>98</v>
      </c>
      <c r="C242">
        <v>49</v>
      </c>
      <c r="D242" t="s">
        <v>87</v>
      </c>
      <c r="E242" t="s">
        <v>88</v>
      </c>
      <c r="F242" t="s">
        <v>71</v>
      </c>
      <c r="G242">
        <v>5</v>
      </c>
      <c r="H242">
        <v>0</v>
      </c>
      <c r="I242" t="str">
        <f>OutputTable[[#This Row],[ProjectName]]&amp;OutputTable[[#This Row],[Name]]&amp;OutputTable[[#This Row],[Type]]&amp;OutputTable[[#This Row],[Source]]</f>
        <v>Unnamed ProjectArquivos.NumberInNumber InEntity</v>
      </c>
      <c r="J242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cm="1">
        <f t="array" ref="K242">IFERROR(AVERAGE(IF((OutputTable[GroupByKey]=OutputTable[[#This Row],[GroupByKey]]),(OutputTable[GroupByKey]=OutputTable[[#This Row],[GroupByKey]])*OutputTable[RecordedValue])),0)</f>
        <v>6.32</v>
      </c>
      <c r="L242" cm="1">
        <f t="array" ref="L242">IFERROR(_xlfn.STDEV.S(IF((OutputTable[GroupByKey]=OutputTable[[#This Row],[GroupByKey]]),(OutputTable[GroupByKey]=OutputTable[[#This Row],[GroupByKey]])*OutputTable[RecordedValue])),0)</f>
        <v>1.671367520252534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42" cm="1">
        <f t="array" ref="O242">MIN(IF((OutputTable[GroupByKey]=OutputTable[[#This Row],[GroupByKey]]),(OutputTable[GroupByKey]=OutputTable[[#This Row],[GroupByKey]])*OutputTable[RecordedValue]))</f>
        <v>3</v>
      </c>
      <c r="P242" cm="1">
        <f t="array" ref="P242">MAX(IF((OutputTable[GroupByKey]=OutputTable[[#This Row],[GroupByKey]]),(OutputTable[GroupByKey]=OutputTable[[#This Row],[GroupByKey]])*OutputTable[RecordedValue]))</f>
        <v>12</v>
      </c>
    </row>
    <row r="243" spans="1:16" x14ac:dyDescent="0.35">
      <c r="A243" t="s">
        <v>66</v>
      </c>
      <c r="B243" t="s">
        <v>98</v>
      </c>
      <c r="C243">
        <v>49</v>
      </c>
      <c r="D243" t="s">
        <v>89</v>
      </c>
      <c r="E243" t="s">
        <v>90</v>
      </c>
      <c r="F243" t="s">
        <v>71</v>
      </c>
      <c r="G243">
        <v>4</v>
      </c>
      <c r="H243">
        <v>0</v>
      </c>
      <c r="I243" t="str">
        <f>OutputTable[[#This Row],[ProjectName]]&amp;OutputTable[[#This Row],[Name]]&amp;OutputTable[[#This Row],[Type]]&amp;OutputTable[[#This Row],[Source]]</f>
        <v>Unnamed ProjectArquivos.NumberOutNumber OutEntity</v>
      </c>
      <c r="J243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cm="1">
        <f t="array" ref="K243">IFERROR(AVERAGE(IF((OutputTable[GroupByKey]=OutputTable[[#This Row],[GroupByKey]]),(OutputTable[GroupByKey]=OutputTable[[#This Row],[GroupByKey]])*OutputTable[RecordedValue])),0)</f>
        <v>4.8600000000000003</v>
      </c>
      <c r="L243" cm="1">
        <f t="array" ref="L243">IFERROR(_xlfn.STDEV.S(IF((OutputTable[GroupByKey]=OutputTable[[#This Row],[GroupByKey]]),(OutputTable[GroupByKey]=OutputTable[[#This Row],[GroupByKey]])*OutputTable[RecordedValue])),0)</f>
        <v>1.4287142785721427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43" cm="1">
        <f t="array" ref="O243">MIN(IF((OutputTable[GroupByKey]=OutputTable[[#This Row],[GroupByKey]]),(OutputTable[GroupByKey]=OutputTable[[#This Row],[GroupByKey]])*OutputTable[RecordedValue]))</f>
        <v>2</v>
      </c>
      <c r="P243" cm="1">
        <f t="array" ref="P243">MAX(IF((OutputTable[GroupByKey]=OutputTable[[#This Row],[GroupByKey]]),(OutputTable[GroupByKey]=OutputTable[[#This Row],[GroupByKey]])*OutputTable[RecordedValue]))</f>
        <v>8</v>
      </c>
    </row>
    <row r="244" spans="1:16" x14ac:dyDescent="0.35">
      <c r="A244" t="s">
        <v>66</v>
      </c>
      <c r="B244" t="s">
        <v>98</v>
      </c>
      <c r="C244">
        <v>49</v>
      </c>
      <c r="D244" t="s">
        <v>91</v>
      </c>
      <c r="E244" t="s">
        <v>92</v>
      </c>
      <c r="F244" t="s">
        <v>84</v>
      </c>
      <c r="G244">
        <v>5</v>
      </c>
      <c r="H244">
        <v>0</v>
      </c>
      <c r="I24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44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cm="1">
        <f t="array" ref="K244">IFERROR(AVERAGE(IF((OutputTable[GroupByKey]=OutputTable[[#This Row],[GroupByKey]]),(OutputTable[GroupByKey]=OutputTable[[#This Row],[GroupByKey]])*OutputTable[RecordedValue])),0)</f>
        <v>6.14</v>
      </c>
      <c r="L244" cm="1">
        <f t="array" ref="L244">IFERROR(_xlfn.STDEV.S(IF((OutputTable[GroupByKey]=OutputTable[[#This Row],[GroupByKey]]),(OutputTable[GroupByKey]=OutputTable[[#This Row],[GroupByKey]])*OutputTable[RecordedValue])),0)</f>
        <v>1.4984345572793558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44" cm="1">
        <f t="array" ref="O244">MIN(IF((OutputTable[GroupByKey]=OutputTable[[#This Row],[GroupByKey]]),(OutputTable[GroupByKey]=OutputTable[[#This Row],[GroupByKey]])*OutputTable[RecordedValue]))</f>
        <v>3</v>
      </c>
      <c r="P244" cm="1">
        <f t="array" ref="P244">MAX(IF((OutputTable[GroupByKey]=OutputTable[[#This Row],[GroupByKey]]),(OutputTable[GroupByKey]=OutputTable[[#This Row],[GroupByKey]])*OutputTable[RecordedValue]))</f>
        <v>9</v>
      </c>
    </row>
    <row r="245" spans="1:16" x14ac:dyDescent="0.35">
      <c r="A245" t="s">
        <v>66</v>
      </c>
      <c r="B245" t="s">
        <v>98</v>
      </c>
      <c r="C245">
        <v>49</v>
      </c>
      <c r="D245" t="s">
        <v>93</v>
      </c>
      <c r="E245" t="s">
        <v>94</v>
      </c>
      <c r="F245" t="s">
        <v>84</v>
      </c>
      <c r="G245">
        <v>0.52657309942423702</v>
      </c>
      <c r="H245">
        <v>0</v>
      </c>
      <c r="I24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4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cm="1">
        <f t="array" ref="K245">IFERROR(AVERAGE(IF((OutputTable[GroupByKey]=OutputTable[[#This Row],[GroupByKey]]),(OutputTable[GroupByKey]=OutputTable[[#This Row],[GroupByKey]])*OutputTable[RecordedValue])),0)</f>
        <v>0.63912553924181559</v>
      </c>
      <c r="L245" cm="1">
        <f t="array" ref="L245">IFERROR(_xlfn.STDEV.S(IF((OutputTable[GroupByKey]=OutputTable[[#This Row],[GroupByKey]]),(OutputTable[GroupByKey]=OutputTable[[#This Row],[GroupByKey]])*OutputTable[RecordedValue])),0)</f>
        <v>0.16841036655083153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45" cm="1">
        <f t="array" ref="O245">MIN(IF((OutputTable[GroupByKey]=OutputTable[[#This Row],[GroupByKey]]),(OutputTable[GroupByKey]=OutputTable[[#This Row],[GroupByKey]])*OutputTable[RecordedValue]))</f>
        <v>0.30856555337021802</v>
      </c>
      <c r="P245" cm="1">
        <f t="array" ref="P245">MAX(IF((OutputTable[GroupByKey]=OutputTable[[#This Row],[GroupByKey]]),(OutputTable[GroupByKey]=OutputTable[[#This Row],[GroupByKey]])*OutputTable[RecordedValue]))</f>
        <v>0.98721163888391195</v>
      </c>
    </row>
    <row r="246" spans="1:16" x14ac:dyDescent="0.35">
      <c r="A246" t="s">
        <v>66</v>
      </c>
      <c r="B246" t="s">
        <v>98</v>
      </c>
      <c r="C246">
        <v>49</v>
      </c>
      <c r="D246" t="s">
        <v>95</v>
      </c>
      <c r="E246" t="s">
        <v>90</v>
      </c>
      <c r="F246" t="s">
        <v>96</v>
      </c>
      <c r="G246">
        <v>4</v>
      </c>
      <c r="H246">
        <v>0</v>
      </c>
      <c r="I246" t="str">
        <f>OutputTable[[#This Row],[ProjectName]]&amp;OutputTable[[#This Row],[Name]]&amp;OutputTable[[#This Row],[Type]]&amp;OutputTable[[#This Row],[Source]]</f>
        <v>Unnamed ProjectSystem.NumberOutNumber OutSystem</v>
      </c>
      <c r="J246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cm="1">
        <f t="array" ref="K246">IFERROR(AVERAGE(IF((OutputTable[GroupByKey]=OutputTable[[#This Row],[GroupByKey]]),(OutputTable[GroupByKey]=OutputTable[[#This Row],[GroupByKey]])*OutputTable[RecordedValue])),0)</f>
        <v>4.8600000000000003</v>
      </c>
      <c r="L246" cm="1">
        <f t="array" ref="L246">IFERROR(_xlfn.STDEV.S(IF((OutputTable[GroupByKey]=OutputTable[[#This Row],[GroupByKey]]),(OutputTable[GroupByKey]=OutputTable[[#This Row],[GroupByKey]])*OutputTable[RecordedValue])),0)</f>
        <v>1.4287142785721427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46" cm="1">
        <f t="array" ref="O246">MIN(IF((OutputTable[GroupByKey]=OutputTable[[#This Row],[GroupByKey]]),(OutputTable[GroupByKey]=OutputTable[[#This Row],[GroupByKey]])*OutputTable[RecordedValue]))</f>
        <v>2</v>
      </c>
      <c r="P246" cm="1">
        <f t="array" ref="P246">MAX(IF((OutputTable[GroupByKey]=OutputTable[[#This Row],[GroupByKey]]),(OutputTable[GroupByKey]=OutputTable[[#This Row],[GroupByKey]])*OutputTable[RecordedValue]))</f>
        <v>8</v>
      </c>
    </row>
    <row r="247" spans="1:16" x14ac:dyDescent="0.35">
      <c r="A247" t="s">
        <v>66</v>
      </c>
      <c r="B247" t="s">
        <v>98</v>
      </c>
      <c r="C247">
        <v>50</v>
      </c>
      <c r="D247" t="s">
        <v>87</v>
      </c>
      <c r="E247" t="s">
        <v>88</v>
      </c>
      <c r="F247" t="s">
        <v>71</v>
      </c>
      <c r="G247">
        <v>6</v>
      </c>
      <c r="H247">
        <v>0</v>
      </c>
      <c r="I247" t="str">
        <f>OutputTable[[#This Row],[ProjectName]]&amp;OutputTable[[#This Row],[Name]]&amp;OutputTable[[#This Row],[Type]]&amp;OutputTable[[#This Row],[Source]]</f>
        <v>Unnamed ProjectArquivos.NumberInNumber InEntity</v>
      </c>
      <c r="J247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cm="1">
        <f t="array" ref="K247">IFERROR(AVERAGE(IF((OutputTable[GroupByKey]=OutputTable[[#This Row],[GroupByKey]]),(OutputTable[GroupByKey]=OutputTable[[#This Row],[GroupByKey]])*OutputTable[RecordedValue])),0)</f>
        <v>6.32</v>
      </c>
      <c r="L247" cm="1">
        <f t="array" ref="L247">IFERROR(_xlfn.STDEV.S(IF((OutputTable[GroupByKey]=OutputTable[[#This Row],[GroupByKey]]),(OutputTable[GroupByKey]=OutputTable[[#This Row],[GroupByKey]])*OutputTable[RecordedValue])),0)</f>
        <v>1.671367520252534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0.47499739363346566</v>
      </c>
      <c r="O247" cm="1">
        <f t="array" ref="O247">MIN(IF((OutputTable[GroupByKey]=OutputTable[[#This Row],[GroupByKey]]),(OutputTable[GroupByKey]=OutputTable[[#This Row],[GroupByKey]])*OutputTable[RecordedValue]))</f>
        <v>3</v>
      </c>
      <c r="P247" cm="1">
        <f t="array" ref="P247">MAX(IF((OutputTable[GroupByKey]=OutputTable[[#This Row],[GroupByKey]]),(OutputTable[GroupByKey]=OutputTable[[#This Row],[GroupByKey]])*OutputTable[RecordedValue]))</f>
        <v>12</v>
      </c>
    </row>
    <row r="248" spans="1:16" x14ac:dyDescent="0.35">
      <c r="A248" t="s">
        <v>66</v>
      </c>
      <c r="B248" t="s">
        <v>98</v>
      </c>
      <c r="C248">
        <v>50</v>
      </c>
      <c r="D248" t="s">
        <v>89</v>
      </c>
      <c r="E248" t="s">
        <v>90</v>
      </c>
      <c r="F248" t="s">
        <v>71</v>
      </c>
      <c r="G248">
        <v>5</v>
      </c>
      <c r="H248">
        <v>0</v>
      </c>
      <c r="I248" t="str">
        <f>OutputTable[[#This Row],[ProjectName]]&amp;OutputTable[[#This Row],[Name]]&amp;OutputTable[[#This Row],[Type]]&amp;OutputTable[[#This Row],[Source]]</f>
        <v>Unnamed ProjectArquivos.NumberOutNumber OutEntity</v>
      </c>
      <c r="J248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cm="1">
        <f t="array" ref="K248">IFERROR(AVERAGE(IF((OutputTable[GroupByKey]=OutputTable[[#This Row],[GroupByKey]]),(OutputTable[GroupByKey]=OutputTable[[#This Row],[GroupByKey]])*OutputTable[RecordedValue])),0)</f>
        <v>4.8600000000000003</v>
      </c>
      <c r="L248" cm="1">
        <f t="array" ref="L248">IFERROR(_xlfn.STDEV.S(IF((OutputTable[GroupByKey]=OutputTable[[#This Row],[GroupByKey]]),(OutputTable[GroupByKey]=OutputTable[[#This Row],[GroupByKey]])*OutputTable[RecordedValue])),0)</f>
        <v>1.4287142785721427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48" cm="1">
        <f t="array" ref="O248">MIN(IF((OutputTable[GroupByKey]=OutputTable[[#This Row],[GroupByKey]]),(OutputTable[GroupByKey]=OutputTable[[#This Row],[GroupByKey]])*OutputTable[RecordedValue]))</f>
        <v>2</v>
      </c>
      <c r="P248" cm="1">
        <f t="array" ref="P248">MAX(IF((OutputTable[GroupByKey]=OutputTable[[#This Row],[GroupByKey]]),(OutputTable[GroupByKey]=OutputTable[[#This Row],[GroupByKey]])*OutputTable[RecordedValue]))</f>
        <v>8</v>
      </c>
    </row>
    <row r="249" spans="1:16" x14ac:dyDescent="0.35">
      <c r="A249" t="s">
        <v>66</v>
      </c>
      <c r="B249" t="s">
        <v>98</v>
      </c>
      <c r="C249">
        <v>50</v>
      </c>
      <c r="D249" t="s">
        <v>91</v>
      </c>
      <c r="E249" t="s">
        <v>92</v>
      </c>
      <c r="F249" t="s">
        <v>84</v>
      </c>
      <c r="G249">
        <v>6</v>
      </c>
      <c r="H249">
        <v>0</v>
      </c>
      <c r="I24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49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cm="1">
        <f t="array" ref="K249">IFERROR(AVERAGE(IF((OutputTable[GroupByKey]=OutputTable[[#This Row],[GroupByKey]]),(OutputTable[GroupByKey]=OutputTable[[#This Row],[GroupByKey]])*OutputTable[RecordedValue])),0)</f>
        <v>6.14</v>
      </c>
      <c r="L249" cm="1">
        <f t="array" ref="L249">IFERROR(_xlfn.STDEV.S(IF((OutputTable[GroupByKey]=OutputTable[[#This Row],[GroupByKey]]),(OutputTable[GroupByKey]=OutputTable[[#This Row],[GroupByKey]])*OutputTable[RecordedValue])),0)</f>
        <v>1.4984345572793558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0.42585038934492891</v>
      </c>
      <c r="O249" cm="1">
        <f t="array" ref="O249">MIN(IF((OutputTable[GroupByKey]=OutputTable[[#This Row],[GroupByKey]]),(OutputTable[GroupByKey]=OutputTable[[#This Row],[GroupByKey]])*OutputTable[RecordedValue]))</f>
        <v>3</v>
      </c>
      <c r="P249" cm="1">
        <f t="array" ref="P249">MAX(IF((OutputTable[GroupByKey]=OutputTable[[#This Row],[GroupByKey]]),(OutputTable[GroupByKey]=OutputTable[[#This Row],[GroupByKey]])*OutputTable[RecordedValue]))</f>
        <v>9</v>
      </c>
    </row>
    <row r="250" spans="1:16" x14ac:dyDescent="0.35">
      <c r="A250" t="s">
        <v>66</v>
      </c>
      <c r="B250" t="s">
        <v>98</v>
      </c>
      <c r="C250">
        <v>50</v>
      </c>
      <c r="D250" t="s">
        <v>93</v>
      </c>
      <c r="E250" t="s">
        <v>94</v>
      </c>
      <c r="F250" t="s">
        <v>84</v>
      </c>
      <c r="G250">
        <v>0.52194002565377995</v>
      </c>
      <c r="H250">
        <v>0</v>
      </c>
      <c r="I25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cm="1">
        <f t="array" ref="K250">IFERROR(AVERAGE(IF((OutputTable[GroupByKey]=OutputTable[[#This Row],[GroupByKey]]),(OutputTable[GroupByKey]=OutputTable[[#This Row],[GroupByKey]])*OutputTable[RecordedValue])),0)</f>
        <v>0.63912553924181559</v>
      </c>
      <c r="L250" cm="1">
        <f t="array" ref="L250">IFERROR(_xlfn.STDEV.S(IF((OutputTable[GroupByKey]=OutputTable[[#This Row],[GroupByKey]]),(OutputTable[GroupByKey]=OutputTable[[#This Row],[GroupByKey]])*OutputTable[RecordedValue])),0)</f>
        <v>0.16841036655083153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4.7861696606629554E-2</v>
      </c>
      <c r="O250" cm="1">
        <f t="array" ref="O250">MIN(IF((OutputTable[GroupByKey]=OutputTable[[#This Row],[GroupByKey]]),(OutputTable[GroupByKey]=OutputTable[[#This Row],[GroupByKey]])*OutputTable[RecordedValue]))</f>
        <v>0.30856555337021802</v>
      </c>
      <c r="P250" cm="1">
        <f t="array" ref="P250">MAX(IF((OutputTable[GroupByKey]=OutputTable[[#This Row],[GroupByKey]]),(OutputTable[GroupByKey]=OutputTable[[#This Row],[GroupByKey]])*OutputTable[RecordedValue]))</f>
        <v>0.98721163888391195</v>
      </c>
    </row>
    <row r="251" spans="1:16" x14ac:dyDescent="0.35">
      <c r="A251" t="s">
        <v>66</v>
      </c>
      <c r="B251" t="s">
        <v>98</v>
      </c>
      <c r="C251">
        <v>50</v>
      </c>
      <c r="D251" t="s">
        <v>95</v>
      </c>
      <c r="E251" t="s">
        <v>90</v>
      </c>
      <c r="F251" t="s">
        <v>96</v>
      </c>
      <c r="G251">
        <v>5</v>
      </c>
      <c r="H251">
        <v>0</v>
      </c>
      <c r="I251" t="str">
        <f>OutputTable[[#This Row],[ProjectName]]&amp;OutputTable[[#This Row],[Name]]&amp;OutputTable[[#This Row],[Type]]&amp;OutputTable[[#This Row],[Source]]</f>
        <v>Unnamed ProjectSystem.NumberOutNumber OutSystem</v>
      </c>
      <c r="J251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cm="1">
        <f t="array" ref="K251">IFERROR(AVERAGE(IF((OutputTable[GroupByKey]=OutputTable[[#This Row],[GroupByKey]]),(OutputTable[GroupByKey]=OutputTable[[#This Row],[GroupByKey]])*OutputTable[RecordedValue])),0)</f>
        <v>4.8600000000000003</v>
      </c>
      <c r="L251" cm="1">
        <f t="array" ref="L251">IFERROR(_xlfn.STDEV.S(IF((OutputTable[GroupByKey]=OutputTable[[#This Row],[GroupByKey]]),(OutputTable[GroupByKey]=OutputTable[[#This Row],[GroupByKey]])*OutputTable[RecordedValue])),0)</f>
        <v>1.4287142785721427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0.40603610537205309</v>
      </c>
      <c r="O251" cm="1">
        <f t="array" ref="O251">MIN(IF((OutputTable[GroupByKey]=OutputTable[[#This Row],[GroupByKey]]),(OutputTable[GroupByKey]=OutputTable[[#This Row],[GroupByKey]])*OutputTable[RecordedValue]))</f>
        <v>2</v>
      </c>
      <c r="P251" cm="1">
        <f t="array" ref="P251">MAX(IF((OutputTable[GroupByKey]=OutputTable[[#This Row],[GroupByKey]]),(OutputTable[GroupByKey]=OutputTable[[#This Row],[GroupByKey]])*OutputTable[RecordedValue]))</f>
        <v>8</v>
      </c>
    </row>
  </sheetData>
  <phoneticPr fontId="2" type="noConversion"/>
  <conditionalFormatting sqref="I2:P251">
    <cfRule type="expression" dxfId="11" priority="2">
      <formula>MOD(ROW(),2)=0</formula>
    </cfRule>
  </conditionalFormatting>
  <conditionalFormatting sqref="N2:N251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2023-12-03T00:42:13Z</dcterms:modified>
</cp:coreProperties>
</file>