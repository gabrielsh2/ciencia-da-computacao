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abriel.hoffmann\workspace\unisinos\Simulação e Modelagem de Sistemas\M5\"/>
    </mc:Choice>
  </mc:AlternateContent>
  <xr:revisionPtr revIDLastSave="0" documentId="13_ncr:1_{39A302BF-8915-49B3-B7AA-047A362AAED0}" xr6:coauthVersionLast="47" xr6:coauthVersionMax="47" xr10:uidLastSave="{00000000-0000-0000-0000-000000000000}"/>
  <bookViews>
    <workbookView xWindow="-110" yWindow="-110" windowWidth="19420" windowHeight="10420" tabRatio="790" firstSheet="1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ContinuousTimeStatsByRep!$A$1:$L$251</definedName>
    <definedName name="ExternalData_1" localSheetId="4" hidden="1">CounterStatsByRep!$A$1:$G$2</definedName>
    <definedName name="ExternalData_1" localSheetId="2" hidden="1">DiscreteTimeStatsByRep!$A$1:$K$351</definedName>
    <definedName name="ExternalData_1" localSheetId="6" hidden="1">FrequencyStatsByRep!$A$1:$K$2</definedName>
    <definedName name="ExternalData_1" localSheetId="5" hidden="1">OutputStatsByRep!$A$1:$H$251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0" r:id="rId8"/>
    <pivotCache cacheId="46" r:id="rId9"/>
    <pivotCache cacheId="52" r:id="rId10"/>
    <pivotCache cacheId="58" r:id="rId11"/>
    <pivotCache cacheId="6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K6" i="20" s="1" a="1"/>
  <c r="K6" i="20" s="1"/>
  <c r="I9" i="20"/>
  <c r="I10" i="20"/>
  <c r="I11" i="20"/>
  <c r="I12" i="20"/>
  <c r="I13" i="20"/>
  <c r="I14" i="20"/>
  <c r="I15" i="20"/>
  <c r="I16" i="20"/>
  <c r="K16" i="20" s="1" a="1"/>
  <c r="K16" i="20" s="1"/>
  <c r="I17" i="20"/>
  <c r="I18" i="20"/>
  <c r="I19" i="20"/>
  <c r="I20" i="20"/>
  <c r="I21" i="20"/>
  <c r="I22" i="20"/>
  <c r="I23" i="20"/>
  <c r="I24" i="20"/>
  <c r="K24" i="20" s="1" a="1"/>
  <c r="K24" i="20" s="1"/>
  <c r="I25" i="20"/>
  <c r="I26" i="20"/>
  <c r="I27" i="20"/>
  <c r="I28" i="20"/>
  <c r="I29" i="20"/>
  <c r="I30" i="20"/>
  <c r="I31" i="20"/>
  <c r="I32" i="20"/>
  <c r="K32" i="20" s="1" a="1"/>
  <c r="K32" i="20" s="1"/>
  <c r="I33" i="20"/>
  <c r="I34" i="20"/>
  <c r="I35" i="20"/>
  <c r="I36" i="20"/>
  <c r="I37" i="20"/>
  <c r="I38" i="20"/>
  <c r="I39" i="20"/>
  <c r="I40" i="20"/>
  <c r="K40" i="20" s="1" a="1"/>
  <c r="K40" i="20" s="1"/>
  <c r="I41" i="20"/>
  <c r="I42" i="20"/>
  <c r="I43" i="20"/>
  <c r="I44" i="20"/>
  <c r="I45" i="20"/>
  <c r="I46" i="20"/>
  <c r="I47" i="20"/>
  <c r="I48" i="20"/>
  <c r="K48" i="20" s="1" a="1"/>
  <c r="K48" i="20" s="1"/>
  <c r="I49" i="20"/>
  <c r="I50" i="20"/>
  <c r="I51" i="20"/>
  <c r="I52" i="20"/>
  <c r="I53" i="20"/>
  <c r="I54" i="20"/>
  <c r="I55" i="20"/>
  <c r="I56" i="20"/>
  <c r="K56" i="20" s="1" a="1"/>
  <c r="K56" i="20" s="1"/>
  <c r="I57" i="20"/>
  <c r="I58" i="20"/>
  <c r="I59" i="20"/>
  <c r="I60" i="20"/>
  <c r="I61" i="20"/>
  <c r="I62" i="20"/>
  <c r="I63" i="20"/>
  <c r="I64" i="20"/>
  <c r="K64" i="20" s="1" a="1"/>
  <c r="K64" i="20" s="1"/>
  <c r="I65" i="20"/>
  <c r="I66" i="20"/>
  <c r="I67" i="20"/>
  <c r="I68" i="20"/>
  <c r="I69" i="20"/>
  <c r="I70" i="20"/>
  <c r="I71" i="20"/>
  <c r="I72" i="20"/>
  <c r="K72" i="20" s="1" a="1"/>
  <c r="K72" i="20" s="1"/>
  <c r="I73" i="20"/>
  <c r="I74" i="20"/>
  <c r="I75" i="20"/>
  <c r="I76" i="20"/>
  <c r="I77" i="20"/>
  <c r="I78" i="20"/>
  <c r="I79" i="20"/>
  <c r="I80" i="20"/>
  <c r="K80" i="20" s="1" a="1"/>
  <c r="K80" i="20" s="1"/>
  <c r="I81" i="20"/>
  <c r="I82" i="20"/>
  <c r="I83" i="20"/>
  <c r="I84" i="20"/>
  <c r="I85" i="20"/>
  <c r="I86" i="20"/>
  <c r="I87" i="20"/>
  <c r="I88" i="20"/>
  <c r="K88" i="20" s="1" a="1"/>
  <c r="K88" i="20" s="1"/>
  <c r="I89" i="20"/>
  <c r="I90" i="20"/>
  <c r="I91" i="20"/>
  <c r="I92" i="20"/>
  <c r="I93" i="20"/>
  <c r="I94" i="20"/>
  <c r="I95" i="20"/>
  <c r="I96" i="20"/>
  <c r="K96" i="20" s="1" a="1"/>
  <c r="K96" i="20" s="1"/>
  <c r="I97" i="20"/>
  <c r="I98" i="20"/>
  <c r="I99" i="20"/>
  <c r="I100" i="20"/>
  <c r="I101" i="20"/>
  <c r="I102" i="20"/>
  <c r="I103" i="20"/>
  <c r="I104" i="20"/>
  <c r="K104" i="20" s="1" a="1"/>
  <c r="K104" i="20" s="1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I124" i="20"/>
  <c r="I125" i="20"/>
  <c r="I126" i="20"/>
  <c r="I127" i="20"/>
  <c r="I128" i="20"/>
  <c r="K71" i="20" s="1" a="1"/>
  <c r="K71" i="20" s="1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I152" i="20"/>
  <c r="I153" i="20"/>
  <c r="I154" i="20"/>
  <c r="I155" i="20"/>
  <c r="I156" i="20"/>
  <c r="I157" i="20"/>
  <c r="I158" i="20"/>
  <c r="I159" i="20"/>
  <c r="I160" i="20"/>
  <c r="I161" i="20"/>
  <c r="I162" i="20"/>
  <c r="I163" i="20"/>
  <c r="I164" i="20"/>
  <c r="I165" i="20"/>
  <c r="I166" i="20"/>
  <c r="I167" i="20"/>
  <c r="I168" i="20"/>
  <c r="I169" i="20"/>
  <c r="I170" i="20"/>
  <c r="I171" i="20"/>
  <c r="I172" i="20"/>
  <c r="I173" i="20"/>
  <c r="I174" i="20"/>
  <c r="I175" i="20"/>
  <c r="I176" i="20"/>
  <c r="I177" i="20"/>
  <c r="I178" i="20"/>
  <c r="I179" i="20"/>
  <c r="I180" i="20"/>
  <c r="I181" i="20"/>
  <c r="I182" i="20"/>
  <c r="I183" i="20"/>
  <c r="I184" i="20"/>
  <c r="I185" i="20"/>
  <c r="I186" i="20"/>
  <c r="I187" i="20"/>
  <c r="I188" i="20"/>
  <c r="I189" i="20"/>
  <c r="I190" i="20"/>
  <c r="I191" i="20"/>
  <c r="I192" i="20"/>
  <c r="I193" i="20"/>
  <c r="I194" i="20"/>
  <c r="I195" i="20"/>
  <c r="I196" i="20"/>
  <c r="I197" i="20"/>
  <c r="I198" i="20"/>
  <c r="I199" i="20"/>
  <c r="I200" i="20"/>
  <c r="K61" i="20" s="1" a="1"/>
  <c r="K61" i="20" s="1"/>
  <c r="I201" i="20"/>
  <c r="I202" i="20"/>
  <c r="I203" i="20"/>
  <c r="I204" i="20"/>
  <c r="I205" i="20"/>
  <c r="I206" i="20"/>
  <c r="I207" i="20"/>
  <c r="I208" i="20"/>
  <c r="I209" i="20"/>
  <c r="I210" i="20"/>
  <c r="I211" i="20"/>
  <c r="I212" i="20"/>
  <c r="I213" i="20"/>
  <c r="I214" i="20"/>
  <c r="I215" i="20"/>
  <c r="I216" i="20"/>
  <c r="I217" i="20"/>
  <c r="I218" i="20"/>
  <c r="I219" i="20"/>
  <c r="I220" i="20"/>
  <c r="I221" i="20"/>
  <c r="I222" i="20"/>
  <c r="I223" i="20"/>
  <c r="I224" i="20"/>
  <c r="I225" i="20"/>
  <c r="I226" i="20"/>
  <c r="I227" i="20"/>
  <c r="I228" i="20"/>
  <c r="I229" i="20"/>
  <c r="I230" i="20"/>
  <c r="I231" i="20"/>
  <c r="I232" i="20"/>
  <c r="I233" i="20"/>
  <c r="I234" i="20"/>
  <c r="I235" i="20"/>
  <c r="I236" i="20"/>
  <c r="I237" i="20"/>
  <c r="I238" i="20"/>
  <c r="I239" i="20"/>
  <c r="I240" i="20"/>
  <c r="I241" i="20"/>
  <c r="I242" i="20"/>
  <c r="I243" i="20"/>
  <c r="I244" i="20"/>
  <c r="I245" i="20"/>
  <c r="I246" i="20"/>
  <c r="I247" i="20"/>
  <c r="I248" i="20"/>
  <c r="I249" i="20"/>
  <c r="I250" i="20"/>
  <c r="I251" i="20"/>
  <c r="J2" i="20" a="1"/>
  <c r="J2" i="20" s="1"/>
  <c r="J3" i="20" a="1"/>
  <c r="J3" i="20" s="1"/>
  <c r="J4" i="20" a="1"/>
  <c r="J4" i="20" s="1"/>
  <c r="J5" i="20" a="1"/>
  <c r="J5" i="20" s="1"/>
  <c r="J6" i="20" a="1"/>
  <c r="J6" i="20" s="1"/>
  <c r="J7" i="20" a="1"/>
  <c r="J7" i="20" s="1"/>
  <c r="J8" i="20" a="1"/>
  <c r="J8" i="20" s="1"/>
  <c r="J9" i="20" a="1"/>
  <c r="J9" i="20" s="1"/>
  <c r="J10" i="20" a="1"/>
  <c r="J10" i="20" s="1"/>
  <c r="J11" i="20" a="1"/>
  <c r="J11" i="20" s="1"/>
  <c r="J12" i="20" a="1"/>
  <c r="J12" i="20" s="1"/>
  <c r="J13" i="20" a="1"/>
  <c r="J13" i="20" s="1"/>
  <c r="J14" i="20" a="1"/>
  <c r="J14" i="20" s="1"/>
  <c r="J15" i="20" a="1"/>
  <c r="J15" i="20" s="1"/>
  <c r="J16" i="20" a="1"/>
  <c r="J16" i="20" s="1"/>
  <c r="J17" i="20" a="1"/>
  <c r="J17" i="20" s="1"/>
  <c r="J18" i="20" a="1"/>
  <c r="J18" i="20" s="1"/>
  <c r="J19" i="20" a="1"/>
  <c r="J19" i="20" s="1"/>
  <c r="J20" i="20" a="1"/>
  <c r="J20" i="20" s="1"/>
  <c r="J21" i="20" a="1"/>
  <c r="J21" i="20" s="1"/>
  <c r="J22" i="20" a="1"/>
  <c r="J22" i="20" s="1"/>
  <c r="J23" i="20" a="1"/>
  <c r="J23" i="20" s="1"/>
  <c r="J24" i="20" a="1"/>
  <c r="J24" i="20" s="1"/>
  <c r="J25" i="20" a="1"/>
  <c r="J25" i="20" s="1"/>
  <c r="J26" i="20" a="1"/>
  <c r="J26" i="20" s="1"/>
  <c r="J27" i="20" a="1"/>
  <c r="J27" i="20" s="1"/>
  <c r="J28" i="20" a="1"/>
  <c r="J28" i="20" s="1"/>
  <c r="J29" i="20" a="1"/>
  <c r="J29" i="20" s="1"/>
  <c r="J30" i="20" a="1"/>
  <c r="J30" i="20" s="1"/>
  <c r="J31" i="20" a="1"/>
  <c r="J31" i="20" s="1"/>
  <c r="J32" i="20" a="1"/>
  <c r="J32" i="20" s="1"/>
  <c r="J33" i="20" a="1"/>
  <c r="J33" i="20" s="1"/>
  <c r="J34" i="20" a="1"/>
  <c r="J34" i="20" s="1"/>
  <c r="J35" i="20" a="1"/>
  <c r="J35" i="20" s="1"/>
  <c r="J36" i="20" a="1"/>
  <c r="J36" i="20" s="1"/>
  <c r="J37" i="20" a="1"/>
  <c r="J37" i="20" s="1"/>
  <c r="J38" i="20" a="1"/>
  <c r="J38" i="20" s="1"/>
  <c r="J39" i="20" a="1"/>
  <c r="J39" i="20" s="1"/>
  <c r="J40" i="20" a="1"/>
  <c r="J40" i="20" s="1"/>
  <c r="J41" i="20" a="1"/>
  <c r="J41" i="20" s="1"/>
  <c r="J42" i="20" a="1"/>
  <c r="J42" i="20" s="1"/>
  <c r="J43" i="20" a="1"/>
  <c r="J43" i="20" s="1"/>
  <c r="J44" i="20" a="1"/>
  <c r="J44" i="20" s="1"/>
  <c r="J45" i="20" a="1"/>
  <c r="J45" i="20" s="1"/>
  <c r="J46" i="20" a="1"/>
  <c r="J46" i="20" s="1"/>
  <c r="J47" i="20" a="1"/>
  <c r="J47" i="20" s="1"/>
  <c r="J48" i="20" a="1"/>
  <c r="J48" i="20" s="1"/>
  <c r="J49" i="20" a="1"/>
  <c r="J49" i="20" s="1"/>
  <c r="J50" i="20" a="1"/>
  <c r="J50" i="20" s="1"/>
  <c r="J51" i="20" a="1"/>
  <c r="J51" i="20" s="1"/>
  <c r="J52" i="20" a="1"/>
  <c r="J52" i="20" s="1"/>
  <c r="J53" i="20" a="1"/>
  <c r="J53" i="20" s="1"/>
  <c r="J54" i="20" a="1"/>
  <c r="J54" i="20" s="1"/>
  <c r="J55" i="20" a="1"/>
  <c r="J55" i="20" s="1"/>
  <c r="J56" i="20" a="1"/>
  <c r="J56" i="20" s="1"/>
  <c r="J57" i="20" a="1"/>
  <c r="J57" i="20" s="1"/>
  <c r="J58" i="20" a="1"/>
  <c r="J58" i="20" s="1"/>
  <c r="J59" i="20" a="1"/>
  <c r="J59" i="20" s="1"/>
  <c r="J60" i="20" a="1"/>
  <c r="J60" i="20" s="1"/>
  <c r="J61" i="20" a="1"/>
  <c r="J61" i="20" s="1"/>
  <c r="J62" i="20" a="1"/>
  <c r="J62" i="20" s="1"/>
  <c r="J63" i="20" a="1"/>
  <c r="J63" i="20" s="1"/>
  <c r="J64" i="20" a="1"/>
  <c r="J64" i="20" s="1"/>
  <c r="J65" i="20" a="1"/>
  <c r="J65" i="20" s="1"/>
  <c r="J66" i="20" a="1"/>
  <c r="J66" i="20" s="1"/>
  <c r="J67" i="20" a="1"/>
  <c r="J67" i="20" s="1"/>
  <c r="J68" i="20" a="1"/>
  <c r="J68" i="20" s="1"/>
  <c r="J69" i="20" a="1"/>
  <c r="J69" i="20" s="1"/>
  <c r="J70" i="20" a="1"/>
  <c r="J70" i="20" s="1"/>
  <c r="J71" i="20" a="1"/>
  <c r="J71" i="20" s="1"/>
  <c r="J72" i="20" a="1"/>
  <c r="J72" i="20" s="1"/>
  <c r="J73" i="20" a="1"/>
  <c r="J73" i="20" s="1"/>
  <c r="J74" i="20" a="1"/>
  <c r="J74" i="20" s="1"/>
  <c r="J75" i="20" a="1"/>
  <c r="J75" i="20" s="1"/>
  <c r="J76" i="20" a="1"/>
  <c r="J76" i="20" s="1"/>
  <c r="J77" i="20" a="1"/>
  <c r="J77" i="20" s="1"/>
  <c r="J78" i="20" a="1"/>
  <c r="J78" i="20" s="1"/>
  <c r="J79" i="20" a="1"/>
  <c r="J79" i="20" s="1"/>
  <c r="J80" i="20" a="1"/>
  <c r="J80" i="20" s="1"/>
  <c r="J81" i="20" a="1"/>
  <c r="J81" i="20" s="1"/>
  <c r="J82" i="20" a="1"/>
  <c r="J82" i="20" s="1"/>
  <c r="J83" i="20" a="1"/>
  <c r="J83" i="20" s="1"/>
  <c r="J84" i="20" a="1"/>
  <c r="J84" i="20" s="1"/>
  <c r="J85" i="20" a="1"/>
  <c r="J85" i="20" s="1"/>
  <c r="J86" i="20" a="1"/>
  <c r="J86" i="20" s="1"/>
  <c r="J87" i="20" a="1"/>
  <c r="J87" i="20" s="1"/>
  <c r="J88" i="20" a="1"/>
  <c r="J88" i="20" s="1"/>
  <c r="J89" i="20" a="1"/>
  <c r="J89" i="20" s="1"/>
  <c r="J90" i="20" a="1"/>
  <c r="J90" i="20" s="1"/>
  <c r="J91" i="20" a="1"/>
  <c r="J91" i="20" s="1"/>
  <c r="J92" i="20" a="1"/>
  <c r="J92" i="20" s="1"/>
  <c r="J93" i="20" a="1"/>
  <c r="J93" i="20" s="1"/>
  <c r="J94" i="20" a="1"/>
  <c r="J94" i="20" s="1"/>
  <c r="J95" i="20" a="1"/>
  <c r="J95" i="20" s="1"/>
  <c r="J96" i="20" a="1"/>
  <c r="J96" i="20" s="1"/>
  <c r="J97" i="20" a="1"/>
  <c r="J97" i="20" s="1"/>
  <c r="J98" i="20" a="1"/>
  <c r="J98" i="20" s="1"/>
  <c r="J99" i="20" a="1"/>
  <c r="J99" i="20" s="1"/>
  <c r="J100" i="20" a="1"/>
  <c r="J100" i="20" s="1"/>
  <c r="J101" i="20" a="1"/>
  <c r="J101" i="20" s="1"/>
  <c r="J102" i="20" a="1"/>
  <c r="J102" i="20" s="1"/>
  <c r="J103" i="20" a="1"/>
  <c r="J103" i="20" s="1"/>
  <c r="J104" i="20" a="1"/>
  <c r="J104" i="20" s="1"/>
  <c r="J105" i="20" a="1"/>
  <c r="J105" i="20" s="1"/>
  <c r="J106" i="20" a="1"/>
  <c r="J106" i="20" s="1"/>
  <c r="J107" i="20" a="1"/>
  <c r="J107" i="20" s="1"/>
  <c r="J108" i="20" a="1"/>
  <c r="J108" i="20" s="1"/>
  <c r="J109" i="20" a="1"/>
  <c r="J109" i="20" s="1"/>
  <c r="J110" i="20" a="1"/>
  <c r="J110" i="20" s="1"/>
  <c r="J111" i="20" a="1"/>
  <c r="J111" i="20" s="1"/>
  <c r="J112" i="20" a="1"/>
  <c r="J112" i="20" s="1"/>
  <c r="J113" i="20" a="1"/>
  <c r="J113" i="20" s="1"/>
  <c r="J114" i="20" a="1"/>
  <c r="J114" i="20" s="1"/>
  <c r="J115" i="20" a="1"/>
  <c r="J115" i="20" s="1"/>
  <c r="J116" i="20" a="1"/>
  <c r="J116" i="20" s="1"/>
  <c r="J117" i="20" a="1"/>
  <c r="J117" i="20" s="1"/>
  <c r="J118" i="20" a="1"/>
  <c r="J118" i="20" s="1"/>
  <c r="J119" i="20" a="1"/>
  <c r="J119" i="20" s="1"/>
  <c r="J120" i="20" a="1"/>
  <c r="J120" i="20" s="1"/>
  <c r="J121" i="20" a="1"/>
  <c r="J121" i="20" s="1"/>
  <c r="J122" i="20" a="1"/>
  <c r="J122" i="20" s="1"/>
  <c r="J123" i="20" a="1"/>
  <c r="J123" i="20" s="1"/>
  <c r="J124" i="20" a="1"/>
  <c r="J124" i="20" s="1"/>
  <c r="J125" i="20" a="1"/>
  <c r="J125" i="20" s="1"/>
  <c r="J126" i="20" a="1"/>
  <c r="J126" i="20" s="1"/>
  <c r="J127" i="20" a="1"/>
  <c r="J127" i="20" s="1"/>
  <c r="J128" i="20" a="1"/>
  <c r="J128" i="20" s="1"/>
  <c r="J129" i="20" a="1"/>
  <c r="J129" i="20" s="1"/>
  <c r="J130" i="20" a="1"/>
  <c r="J130" i="20" s="1"/>
  <c r="J131" i="20" a="1"/>
  <c r="J131" i="20" s="1"/>
  <c r="J132" i="20" a="1"/>
  <c r="J132" i="20" s="1"/>
  <c r="J133" i="20" a="1"/>
  <c r="J133" i="20" s="1"/>
  <c r="J134" i="20" a="1"/>
  <c r="J134" i="20" s="1"/>
  <c r="J135" i="20" a="1"/>
  <c r="J135" i="20" s="1"/>
  <c r="J136" i="20" a="1"/>
  <c r="J136" i="20" s="1"/>
  <c r="J137" i="20" a="1"/>
  <c r="J137" i="20" s="1"/>
  <c r="J138" i="20" a="1"/>
  <c r="J138" i="20" s="1"/>
  <c r="J139" i="20" a="1"/>
  <c r="J139" i="20" s="1"/>
  <c r="J140" i="20" a="1"/>
  <c r="J140" i="20" s="1"/>
  <c r="J141" i="20" a="1"/>
  <c r="J141" i="20" s="1"/>
  <c r="J142" i="20" a="1"/>
  <c r="J142" i="20" s="1"/>
  <c r="J143" i="20" a="1"/>
  <c r="J143" i="20" s="1"/>
  <c r="J144" i="20" a="1"/>
  <c r="J144" i="20" s="1"/>
  <c r="J145" i="20" a="1"/>
  <c r="J145" i="20" s="1"/>
  <c r="J146" i="20" a="1"/>
  <c r="J146" i="20" s="1"/>
  <c r="J147" i="20" a="1"/>
  <c r="J147" i="20" s="1"/>
  <c r="J148" i="20" a="1"/>
  <c r="J148" i="20" s="1"/>
  <c r="J149" i="20" a="1"/>
  <c r="J149" i="20" s="1"/>
  <c r="J150" i="20" a="1"/>
  <c r="J150" i="20" s="1"/>
  <c r="J151" i="20" a="1"/>
  <c r="J151" i="20" s="1"/>
  <c r="J152" i="20" a="1"/>
  <c r="J152" i="20" s="1"/>
  <c r="J153" i="20" a="1"/>
  <c r="J153" i="20" s="1"/>
  <c r="J154" i="20" a="1"/>
  <c r="J154" i="20" s="1"/>
  <c r="J155" i="20" a="1"/>
  <c r="J155" i="20" s="1"/>
  <c r="J156" i="20" a="1"/>
  <c r="J156" i="20" s="1"/>
  <c r="J157" i="20" a="1"/>
  <c r="J157" i="20" s="1"/>
  <c r="J158" i="20" a="1"/>
  <c r="J158" i="20" s="1"/>
  <c r="J159" i="20" a="1"/>
  <c r="J159" i="20" s="1"/>
  <c r="J160" i="20" a="1"/>
  <c r="J160" i="20" s="1"/>
  <c r="J161" i="20" a="1"/>
  <c r="J161" i="20" s="1"/>
  <c r="J162" i="20" a="1"/>
  <c r="J162" i="20" s="1"/>
  <c r="J163" i="20" a="1"/>
  <c r="J163" i="20" s="1"/>
  <c r="J164" i="20" a="1"/>
  <c r="J164" i="20" s="1"/>
  <c r="J165" i="20" a="1"/>
  <c r="J165" i="20" s="1"/>
  <c r="J166" i="20" a="1"/>
  <c r="J166" i="20" s="1"/>
  <c r="J167" i="20" a="1"/>
  <c r="J167" i="20" s="1"/>
  <c r="J168" i="20" a="1"/>
  <c r="J168" i="20" s="1"/>
  <c r="J169" i="20" a="1"/>
  <c r="J169" i="20" s="1"/>
  <c r="J170" i="20" a="1"/>
  <c r="J170" i="20" s="1"/>
  <c r="J171" i="20" a="1"/>
  <c r="J171" i="20" s="1"/>
  <c r="J172" i="20" a="1"/>
  <c r="J172" i="20" s="1"/>
  <c r="J173" i="20" a="1"/>
  <c r="J173" i="20" s="1"/>
  <c r="J174" i="20" a="1"/>
  <c r="J174" i="20" s="1"/>
  <c r="J175" i="20" a="1"/>
  <c r="J175" i="20" s="1"/>
  <c r="J176" i="20" a="1"/>
  <c r="J176" i="20" s="1"/>
  <c r="J177" i="20" a="1"/>
  <c r="J177" i="20" s="1"/>
  <c r="J178" i="20" a="1"/>
  <c r="J178" i="20" s="1"/>
  <c r="J179" i="20" a="1"/>
  <c r="J179" i="20" s="1"/>
  <c r="J180" i="20" a="1"/>
  <c r="J180" i="20" s="1"/>
  <c r="J181" i="20" a="1"/>
  <c r="J181" i="20" s="1"/>
  <c r="J182" i="20" a="1"/>
  <c r="J182" i="20" s="1"/>
  <c r="J183" i="20" a="1"/>
  <c r="J183" i="20" s="1"/>
  <c r="J184" i="20" a="1"/>
  <c r="J184" i="20" s="1"/>
  <c r="J185" i="20" a="1"/>
  <c r="J185" i="20" s="1"/>
  <c r="J186" i="20" a="1"/>
  <c r="J186" i="20" s="1"/>
  <c r="J187" i="20" a="1"/>
  <c r="J187" i="20" s="1"/>
  <c r="J188" i="20" a="1"/>
  <c r="J188" i="20" s="1"/>
  <c r="J189" i="20" a="1"/>
  <c r="J189" i="20" s="1"/>
  <c r="J190" i="20" a="1"/>
  <c r="J190" i="20" s="1"/>
  <c r="J191" i="20" a="1"/>
  <c r="J191" i="20" s="1"/>
  <c r="J192" i="20" a="1"/>
  <c r="J192" i="20" s="1"/>
  <c r="J193" i="20" a="1"/>
  <c r="J193" i="20" s="1"/>
  <c r="J194" i="20" a="1"/>
  <c r="J194" i="20" s="1"/>
  <c r="J195" i="20" a="1"/>
  <c r="J195" i="20" s="1"/>
  <c r="J196" i="20" a="1"/>
  <c r="J196" i="20" s="1"/>
  <c r="J197" i="20" a="1"/>
  <c r="J197" i="20" s="1"/>
  <c r="J198" i="20" a="1"/>
  <c r="J198" i="20" s="1"/>
  <c r="J199" i="20" a="1"/>
  <c r="J199" i="20" s="1"/>
  <c r="J200" i="20" a="1"/>
  <c r="J200" i="20" s="1"/>
  <c r="J201" i="20" a="1"/>
  <c r="J201" i="20" s="1"/>
  <c r="J202" i="20" a="1"/>
  <c r="J202" i="20" s="1"/>
  <c r="J203" i="20" a="1"/>
  <c r="J203" i="20" s="1"/>
  <c r="J204" i="20" a="1"/>
  <c r="J204" i="20" s="1"/>
  <c r="J205" i="20" a="1"/>
  <c r="J205" i="20" s="1"/>
  <c r="J206" i="20" a="1"/>
  <c r="J206" i="20" s="1"/>
  <c r="J207" i="20" a="1"/>
  <c r="J207" i="20" s="1"/>
  <c r="J208" i="20" a="1"/>
  <c r="J208" i="20" s="1"/>
  <c r="J209" i="20" a="1"/>
  <c r="J209" i="20" s="1"/>
  <c r="J210" i="20" a="1"/>
  <c r="J210" i="20" s="1"/>
  <c r="J211" i="20" a="1"/>
  <c r="J211" i="20" s="1"/>
  <c r="J212" i="20" a="1"/>
  <c r="J212" i="20" s="1"/>
  <c r="J213" i="20" a="1"/>
  <c r="J213" i="20" s="1"/>
  <c r="J214" i="20" a="1"/>
  <c r="J214" i="20" s="1"/>
  <c r="J215" i="20" a="1"/>
  <c r="J215" i="20" s="1"/>
  <c r="J216" i="20" a="1"/>
  <c r="J216" i="20" s="1"/>
  <c r="J217" i="20" a="1"/>
  <c r="J217" i="20" s="1"/>
  <c r="J218" i="20" a="1"/>
  <c r="J218" i="20" s="1"/>
  <c r="J219" i="20" a="1"/>
  <c r="J219" i="20" s="1"/>
  <c r="J220" i="20" a="1"/>
  <c r="J220" i="20" s="1"/>
  <c r="J221" i="20" a="1"/>
  <c r="J221" i="20" s="1"/>
  <c r="J222" i="20" a="1"/>
  <c r="J222" i="20" s="1"/>
  <c r="J223" i="20" a="1"/>
  <c r="J223" i="20" s="1"/>
  <c r="J224" i="20" a="1"/>
  <c r="J224" i="20" s="1"/>
  <c r="J225" i="20" a="1"/>
  <c r="J225" i="20" s="1"/>
  <c r="J226" i="20" a="1"/>
  <c r="J226" i="20" s="1"/>
  <c r="J227" i="20" a="1"/>
  <c r="J227" i="20" s="1"/>
  <c r="J228" i="20" a="1"/>
  <c r="J228" i="20" s="1"/>
  <c r="J229" i="20" a="1"/>
  <c r="J229" i="20" s="1"/>
  <c r="J230" i="20" a="1"/>
  <c r="J230" i="20" s="1"/>
  <c r="J231" i="20" a="1"/>
  <c r="J231" i="20" s="1"/>
  <c r="J232" i="20" a="1"/>
  <c r="J232" i="20" s="1"/>
  <c r="J233" i="20" a="1"/>
  <c r="J233" i="20" s="1"/>
  <c r="J234" i="20" a="1"/>
  <c r="J234" i="20" s="1"/>
  <c r="J235" i="20" a="1"/>
  <c r="J235" i="20" s="1"/>
  <c r="J236" i="20" a="1"/>
  <c r="J236" i="20" s="1"/>
  <c r="J237" i="20" a="1"/>
  <c r="J237" i="20" s="1"/>
  <c r="J238" i="20" a="1"/>
  <c r="J238" i="20" s="1"/>
  <c r="J239" i="20" a="1"/>
  <c r="J239" i="20" s="1"/>
  <c r="J240" i="20" a="1"/>
  <c r="J240" i="20" s="1"/>
  <c r="J241" i="20" a="1"/>
  <c r="J241" i="20" s="1"/>
  <c r="J242" i="20" a="1"/>
  <c r="J242" i="20" s="1"/>
  <c r="J243" i="20" a="1"/>
  <c r="J243" i="20" s="1"/>
  <c r="J244" i="20" a="1"/>
  <c r="J244" i="20" s="1"/>
  <c r="J245" i="20" a="1"/>
  <c r="J245" i="20" s="1"/>
  <c r="J246" i="20" a="1"/>
  <c r="J246" i="20" s="1"/>
  <c r="J247" i="20" a="1"/>
  <c r="J247" i="20" s="1"/>
  <c r="J248" i="20" a="1"/>
  <c r="J248" i="20" s="1"/>
  <c r="J249" i="20" a="1"/>
  <c r="J249" i="20" s="1"/>
  <c r="J250" i="20" a="1"/>
  <c r="J250" i="20" s="1"/>
  <c r="J251" i="20" a="1"/>
  <c r="J251" i="20" s="1"/>
  <c r="K4" i="20" a="1"/>
  <c r="K4" i="20" s="1"/>
  <c r="K12" i="20" a="1"/>
  <c r="K12" i="20" s="1"/>
  <c r="K20" i="20" a="1"/>
  <c r="K20" i="20" s="1"/>
  <c r="K28" i="20" a="1"/>
  <c r="K28" i="20" s="1"/>
  <c r="K36" i="20" a="1"/>
  <c r="K36" i="20" s="1"/>
  <c r="K44" i="20" a="1"/>
  <c r="K44" i="20" s="1"/>
  <c r="K52" i="20" a="1"/>
  <c r="K52" i="20" s="1"/>
  <c r="K58" i="20" a="1"/>
  <c r="K58" i="20" s="1"/>
  <c r="K59" i="20" a="1"/>
  <c r="K59" i="20" s="1"/>
  <c r="K60" i="20" a="1"/>
  <c r="K60" i="20" s="1"/>
  <c r="K66" i="20" a="1"/>
  <c r="K66" i="20" s="1"/>
  <c r="K67" i="20" a="1"/>
  <c r="K67" i="20" s="1"/>
  <c r="K68" i="20" a="1"/>
  <c r="K68" i="20" s="1"/>
  <c r="K69" i="20" a="1"/>
  <c r="K69" i="20" s="1"/>
  <c r="K70" i="20" a="1"/>
  <c r="K70" i="20" s="1"/>
  <c r="K73" i="20" a="1"/>
  <c r="K73" i="20" s="1"/>
  <c r="K74" i="20" a="1"/>
  <c r="K74" i="20" s="1"/>
  <c r="K75" i="20" a="1"/>
  <c r="K75" i="20" s="1"/>
  <c r="K76" i="20" a="1"/>
  <c r="K76" i="20" s="1"/>
  <c r="K77" i="20" a="1"/>
  <c r="K77" i="20" s="1"/>
  <c r="K78" i="20" a="1"/>
  <c r="K78" i="20" s="1"/>
  <c r="K79" i="20" a="1"/>
  <c r="K79" i="20" s="1"/>
  <c r="K81" i="20" a="1"/>
  <c r="K81" i="20" s="1"/>
  <c r="K82" i="20" a="1"/>
  <c r="K82" i="20" s="1"/>
  <c r="K83" i="20" a="1"/>
  <c r="K83" i="20" s="1"/>
  <c r="K84" i="20" a="1"/>
  <c r="K84" i="20" s="1"/>
  <c r="K85" i="20" a="1"/>
  <c r="K85" i="20" s="1"/>
  <c r="K86" i="20" a="1"/>
  <c r="K86" i="20" s="1"/>
  <c r="K87" i="20" a="1"/>
  <c r="K87" i="20" s="1"/>
  <c r="K89" i="20" a="1"/>
  <c r="K89" i="20" s="1"/>
  <c r="K90" i="20" a="1"/>
  <c r="K90" i="20" s="1"/>
  <c r="K91" i="20" a="1"/>
  <c r="K91" i="20" s="1"/>
  <c r="K92" i="20" a="1"/>
  <c r="K92" i="20" s="1"/>
  <c r="K93" i="20" a="1"/>
  <c r="K93" i="20" s="1"/>
  <c r="K94" i="20" a="1"/>
  <c r="K94" i="20" s="1"/>
  <c r="K95" i="20" a="1"/>
  <c r="K95" i="20" s="1"/>
  <c r="K97" i="20" a="1"/>
  <c r="K97" i="20" s="1"/>
  <c r="K98" i="20" a="1"/>
  <c r="K98" i="20" s="1"/>
  <c r="K99" i="20" a="1"/>
  <c r="K99" i="20" s="1"/>
  <c r="K100" i="20" a="1"/>
  <c r="K100" i="20" s="1"/>
  <c r="K101" i="20" a="1"/>
  <c r="K101" i="20" s="1"/>
  <c r="K102" i="20" a="1"/>
  <c r="K102" i="20" s="1"/>
  <c r="K103" i="20" a="1"/>
  <c r="K103" i="20" s="1"/>
  <c r="K105" i="20" a="1"/>
  <c r="K105" i="20" s="1"/>
  <c r="K106" i="20" a="1"/>
  <c r="K106" i="20" s="1"/>
  <c r="K107" i="20" a="1"/>
  <c r="K107" i="20"/>
  <c r="K108" i="20" a="1"/>
  <c r="K108" i="20" s="1"/>
  <c r="K109" i="20" a="1"/>
  <c r="K109" i="20" s="1"/>
  <c r="K110" i="20" a="1"/>
  <c r="K110" i="20" s="1"/>
  <c r="K112" i="20" a="1"/>
  <c r="K112" i="20" s="1"/>
  <c r="K113" i="20" a="1"/>
  <c r="K113" i="20" s="1"/>
  <c r="K114" i="20" a="1"/>
  <c r="K114" i="20" s="1"/>
  <c r="K115" i="20" a="1"/>
  <c r="K115" i="20" s="1"/>
  <c r="K116" i="20" a="1"/>
  <c r="K116" i="20" s="1"/>
  <c r="K118" i="20" a="1"/>
  <c r="K118" i="20" s="1"/>
  <c r="K119" i="20" a="1"/>
  <c r="K119" i="20" s="1"/>
  <c r="K120" i="20" a="1"/>
  <c r="K120" i="20" s="1"/>
  <c r="K121" i="20" a="1"/>
  <c r="K121" i="20" s="1"/>
  <c r="K122" i="20" a="1"/>
  <c r="K122" i="20" s="1"/>
  <c r="K123" i="20" a="1"/>
  <c r="K123" i="20" s="1"/>
  <c r="K125" i="20" a="1"/>
  <c r="K125" i="20" s="1"/>
  <c r="K126" i="20" a="1"/>
  <c r="K126" i="20" s="1"/>
  <c r="K127" i="20" a="1"/>
  <c r="K127" i="20" s="1"/>
  <c r="K128" i="20" a="1"/>
  <c r="K128" i="20" s="1"/>
  <c r="K129" i="20" a="1"/>
  <c r="K129" i="20"/>
  <c r="K130" i="20" a="1"/>
  <c r="K130" i="20" s="1"/>
  <c r="K132" i="20" a="1"/>
  <c r="K132" i="20" s="1"/>
  <c r="K133" i="20" a="1"/>
  <c r="K133" i="20"/>
  <c r="K134" i="20" a="1"/>
  <c r="K134" i="20" s="1"/>
  <c r="K135" i="20" a="1"/>
  <c r="K135" i="20" s="1"/>
  <c r="K136" i="20" a="1"/>
  <c r="K136" i="20" s="1"/>
  <c r="K138" i="20" a="1"/>
  <c r="K138" i="20" s="1"/>
  <c r="K139" i="20" a="1"/>
  <c r="K139" i="20" s="1"/>
  <c r="K140" i="20" a="1"/>
  <c r="K140" i="20" s="1"/>
  <c r="K141" i="20" a="1"/>
  <c r="K141" i="20" s="1"/>
  <c r="K142" i="20" a="1"/>
  <c r="K142" i="20" s="1"/>
  <c r="K143" i="20" a="1"/>
  <c r="K143" i="20" s="1"/>
  <c r="K144" i="20" a="1"/>
  <c r="K144" i="20" s="1"/>
  <c r="K146" i="20" a="1"/>
  <c r="K146" i="20" s="1"/>
  <c r="K147" i="20" a="1"/>
  <c r="K147" i="20"/>
  <c r="K148" i="20" a="1"/>
  <c r="K148" i="20" s="1"/>
  <c r="K149" i="20" a="1"/>
  <c r="K149" i="20" s="1"/>
  <c r="K151" i="20" a="1"/>
  <c r="K151" i="20" s="1"/>
  <c r="K152" i="20" a="1"/>
  <c r="K152" i="20" s="1"/>
  <c r="K153" i="20" a="1"/>
  <c r="K153" i="20" s="1"/>
  <c r="K154" i="20" a="1"/>
  <c r="K154" i="20" s="1"/>
  <c r="K155" i="20" a="1"/>
  <c r="K155" i="20" s="1"/>
  <c r="K156" i="20" a="1"/>
  <c r="K156" i="20" s="1"/>
  <c r="K157" i="20" a="1"/>
  <c r="K157" i="20" s="1"/>
  <c r="K158" i="20" a="1"/>
  <c r="K158" i="20" s="1"/>
  <c r="K159" i="20" a="1"/>
  <c r="K159" i="20" s="1"/>
  <c r="K160" i="20" a="1"/>
  <c r="K160" i="20" s="1"/>
  <c r="K161" i="20" a="1"/>
  <c r="K161" i="20"/>
  <c r="K162" i="20" a="1"/>
  <c r="K162" i="20" s="1"/>
  <c r="K163" i="20" a="1"/>
  <c r="K163" i="20" s="1"/>
  <c r="K164" i="20" a="1"/>
  <c r="K164" i="20" s="1"/>
  <c r="K165" i="20" a="1"/>
  <c r="K165" i="20"/>
  <c r="K166" i="20" a="1"/>
  <c r="K166" i="20" s="1"/>
  <c r="K167" i="20" a="1"/>
  <c r="K167" i="20" s="1"/>
  <c r="K168" i="20" a="1"/>
  <c r="K168" i="20" s="1"/>
  <c r="K169" i="20" a="1"/>
  <c r="K169" i="20" s="1"/>
  <c r="K170" i="20" a="1"/>
  <c r="K170" i="20" s="1"/>
  <c r="K171" i="20" a="1"/>
  <c r="K171" i="20" s="1"/>
  <c r="K172" i="20" a="1"/>
  <c r="K172" i="20" s="1"/>
  <c r="K173" i="20" a="1"/>
  <c r="K173" i="20" s="1"/>
  <c r="K174" i="20" a="1"/>
  <c r="K174" i="20" s="1"/>
  <c r="K175" i="20" a="1"/>
  <c r="K175" i="20" s="1"/>
  <c r="K176" i="20" a="1"/>
  <c r="K176" i="20" s="1"/>
  <c r="K177" i="20" a="1"/>
  <c r="K177" i="20" s="1"/>
  <c r="K178" i="20" a="1"/>
  <c r="K178" i="20" s="1"/>
  <c r="K179" i="20" a="1"/>
  <c r="K179" i="20"/>
  <c r="K180" i="20" a="1"/>
  <c r="K180" i="20" s="1"/>
  <c r="K181" i="20" a="1"/>
  <c r="K181" i="20" s="1"/>
  <c r="K182" i="20" a="1"/>
  <c r="K182" i="20" s="1"/>
  <c r="K183" i="20" a="1"/>
  <c r="K183" i="20" s="1"/>
  <c r="K184" i="20" a="1"/>
  <c r="K184" i="20" s="1"/>
  <c r="K185" i="20" a="1"/>
  <c r="K185" i="20" s="1"/>
  <c r="K186" i="20" a="1"/>
  <c r="K186" i="20" s="1"/>
  <c r="K187" i="20" a="1"/>
  <c r="K187" i="20" s="1"/>
  <c r="K188" i="20" a="1"/>
  <c r="K188" i="20" s="1"/>
  <c r="K189" i="20" a="1"/>
  <c r="K189" i="20"/>
  <c r="K190" i="20" a="1"/>
  <c r="K190" i="20" s="1"/>
  <c r="K191" i="20" a="1"/>
  <c r="K191" i="20" s="1"/>
  <c r="K192" i="20" a="1"/>
  <c r="K192" i="20" s="1"/>
  <c r="K193" i="20" a="1"/>
  <c r="K193" i="20"/>
  <c r="K194" i="20" a="1"/>
  <c r="K194" i="20" s="1"/>
  <c r="K195" i="20" a="1"/>
  <c r="K195" i="20" s="1"/>
  <c r="K196" i="20" a="1"/>
  <c r="K196" i="20" s="1"/>
  <c r="K197" i="20" a="1"/>
  <c r="K197" i="20"/>
  <c r="K198" i="20" a="1"/>
  <c r="K198" i="20" s="1"/>
  <c r="K199" i="20" a="1"/>
  <c r="K199" i="20" s="1"/>
  <c r="K200" i="20" a="1"/>
  <c r="K200" i="20" s="1"/>
  <c r="K201" i="20" a="1"/>
  <c r="K201" i="20" s="1"/>
  <c r="K202" i="20" a="1"/>
  <c r="K202" i="20" s="1"/>
  <c r="K203" i="20" a="1"/>
  <c r="K203" i="20" s="1"/>
  <c r="K204" i="20" a="1"/>
  <c r="K204" i="20" s="1"/>
  <c r="K205" i="20" a="1"/>
  <c r="K205" i="20"/>
  <c r="K206" i="20" a="1"/>
  <c r="K206" i="20" s="1"/>
  <c r="K207" i="20" a="1"/>
  <c r="K207" i="20" s="1"/>
  <c r="K208" i="20" a="1"/>
  <c r="K208" i="20" s="1"/>
  <c r="K209" i="20" a="1"/>
  <c r="K209" i="20" s="1"/>
  <c r="K210" i="20" a="1"/>
  <c r="K210" i="20" s="1"/>
  <c r="K211" i="20" a="1"/>
  <c r="K211" i="20"/>
  <c r="K212" i="20" a="1"/>
  <c r="K212" i="20" s="1"/>
  <c r="K213" i="20" a="1"/>
  <c r="K213" i="20" s="1"/>
  <c r="K214" i="20" a="1"/>
  <c r="K214" i="20" s="1"/>
  <c r="K215" i="20" a="1"/>
  <c r="K215" i="20" s="1"/>
  <c r="K216" i="20" a="1"/>
  <c r="K216" i="20" s="1"/>
  <c r="K217" i="20" a="1"/>
  <c r="K217" i="20" s="1"/>
  <c r="K218" i="20" a="1"/>
  <c r="K218" i="20" s="1"/>
  <c r="K219" i="20" a="1"/>
  <c r="K219" i="20" s="1"/>
  <c r="K220" i="20" a="1"/>
  <c r="K220" i="20" s="1"/>
  <c r="K221" i="20" a="1"/>
  <c r="K221" i="20" s="1"/>
  <c r="K222" i="20" a="1"/>
  <c r="K222" i="20" s="1"/>
  <c r="K223" i="20" a="1"/>
  <c r="K223" i="20" s="1"/>
  <c r="K224" i="20" a="1"/>
  <c r="K224" i="20" s="1"/>
  <c r="K225" i="20" a="1"/>
  <c r="K225" i="20"/>
  <c r="K226" i="20" a="1"/>
  <c r="K226" i="20" s="1"/>
  <c r="K227" i="20" a="1"/>
  <c r="K227" i="20" s="1"/>
  <c r="K228" i="20" a="1"/>
  <c r="K228" i="20" s="1"/>
  <c r="K229" i="20" a="1"/>
  <c r="K229" i="20"/>
  <c r="K230" i="20" a="1"/>
  <c r="K230" i="20" s="1"/>
  <c r="K231" i="20" a="1"/>
  <c r="K231" i="20" s="1"/>
  <c r="K232" i="20" a="1"/>
  <c r="K232" i="20" s="1"/>
  <c r="K233" i="20" a="1"/>
  <c r="K233" i="20" s="1"/>
  <c r="K234" i="20" a="1"/>
  <c r="K234" i="20" s="1"/>
  <c r="K235" i="20" a="1"/>
  <c r="K235" i="20" s="1"/>
  <c r="K236" i="20" a="1"/>
  <c r="K236" i="20" s="1"/>
  <c r="K237" i="20" a="1"/>
  <c r="K237" i="20"/>
  <c r="K238" i="20" a="1"/>
  <c r="K238" i="20" s="1"/>
  <c r="K239" i="20" a="1"/>
  <c r="K239" i="20" s="1"/>
  <c r="K240" i="20" a="1"/>
  <c r="K240" i="20" s="1"/>
  <c r="K241" i="20" a="1"/>
  <c r="K241" i="20" s="1"/>
  <c r="K242" i="20" a="1"/>
  <c r="K242" i="20" s="1"/>
  <c r="K243" i="20" a="1"/>
  <c r="K243" i="20" s="1"/>
  <c r="K244" i="20" a="1"/>
  <c r="K244" i="20" s="1"/>
  <c r="K245" i="20" a="1"/>
  <c r="K245" i="20" s="1"/>
  <c r="K246" i="20" a="1"/>
  <c r="K246" i="20" s="1"/>
  <c r="K247" i="20" a="1"/>
  <c r="K247" i="20" s="1"/>
  <c r="K248" i="20" a="1"/>
  <c r="K248" i="20" s="1"/>
  <c r="K249" i="20" a="1"/>
  <c r="K249" i="20" s="1"/>
  <c r="K250" i="20" a="1"/>
  <c r="K250" i="20" s="1"/>
  <c r="K251" i="20" a="1"/>
  <c r="K251" i="20" s="1"/>
  <c r="L2" i="20" a="1"/>
  <c r="L2" i="20" s="1"/>
  <c r="L3" i="20" a="1"/>
  <c r="L3" i="20" s="1"/>
  <c r="N3" i="20" s="1"/>
  <c r="L4" i="20" a="1"/>
  <c r="L4" i="20" s="1"/>
  <c r="L5" i="20" a="1"/>
  <c r="L5" i="20" s="1"/>
  <c r="L6" i="20" a="1"/>
  <c r="L6" i="20" s="1"/>
  <c r="L7" i="20" a="1"/>
  <c r="L7" i="20"/>
  <c r="L8" i="20" a="1"/>
  <c r="L8" i="20" s="1"/>
  <c r="L9" i="20" a="1"/>
  <c r="L9" i="20" s="1"/>
  <c r="N9" i="20" s="1"/>
  <c r="L10" i="20" a="1"/>
  <c r="L10" i="20" s="1"/>
  <c r="L11" i="20" a="1"/>
  <c r="L11" i="20"/>
  <c r="L12" i="20" a="1"/>
  <c r="L12" i="20" s="1"/>
  <c r="L13" i="20" a="1"/>
  <c r="L13" i="20" s="1"/>
  <c r="L14" i="20" a="1"/>
  <c r="L14" i="20" s="1"/>
  <c r="L15" i="20" a="1"/>
  <c r="L15" i="20" s="1"/>
  <c r="L16" i="20" a="1"/>
  <c r="L16" i="20" s="1"/>
  <c r="L17" i="20" a="1"/>
  <c r="L17" i="20" s="1"/>
  <c r="L18" i="20" a="1"/>
  <c r="L18" i="20" s="1"/>
  <c r="L19" i="20" a="1"/>
  <c r="L19" i="20" s="1"/>
  <c r="L20" i="20" a="1"/>
  <c r="L20" i="20" s="1"/>
  <c r="L21" i="20" a="1"/>
  <c r="L21" i="20" s="1"/>
  <c r="N21" i="20" s="1"/>
  <c r="L22" i="20" a="1"/>
  <c r="L22" i="20" s="1"/>
  <c r="L23" i="20" a="1"/>
  <c r="L23" i="20" s="1"/>
  <c r="L24" i="20" a="1"/>
  <c r="L24" i="20" s="1"/>
  <c r="L25" i="20" a="1"/>
  <c r="L25" i="20"/>
  <c r="L26" i="20" a="1"/>
  <c r="L26" i="20" s="1"/>
  <c r="L27" i="20" a="1"/>
  <c r="L27" i="20" s="1"/>
  <c r="N27" i="20" s="1"/>
  <c r="L28" i="20" a="1"/>
  <c r="L28" i="20" s="1"/>
  <c r="L29" i="20" a="1"/>
  <c r="L29" i="20" s="1"/>
  <c r="L30" i="20" a="1"/>
  <c r="L30" i="20" s="1"/>
  <c r="L31" i="20" a="1"/>
  <c r="L31" i="20" s="1"/>
  <c r="L32" i="20" a="1"/>
  <c r="L32" i="20" s="1"/>
  <c r="L33" i="20" a="1"/>
  <c r="L33" i="20" s="1"/>
  <c r="L34" i="20" a="1"/>
  <c r="L34" i="20" s="1"/>
  <c r="L35" i="20" a="1"/>
  <c r="L35" i="20" s="1"/>
  <c r="N35" i="20" s="1"/>
  <c r="L36" i="20" a="1"/>
  <c r="L36" i="20" s="1"/>
  <c r="L37" i="20" a="1"/>
  <c r="L37" i="20" s="1"/>
  <c r="N37" i="20" s="1"/>
  <c r="L38" i="20" a="1"/>
  <c r="L38" i="20" s="1"/>
  <c r="L39" i="20" a="1"/>
  <c r="L39" i="20" s="1"/>
  <c r="L40" i="20" a="1"/>
  <c r="L40" i="20" s="1"/>
  <c r="L41" i="20" a="1"/>
  <c r="L41" i="20" s="1"/>
  <c r="L42" i="20" a="1"/>
  <c r="L42" i="20" s="1"/>
  <c r="L43" i="20" a="1"/>
  <c r="L43" i="20"/>
  <c r="L44" i="20" a="1"/>
  <c r="L44" i="20" s="1"/>
  <c r="L45" i="20" a="1"/>
  <c r="L45" i="20" s="1"/>
  <c r="L46" i="20" a="1"/>
  <c r="L46" i="20" s="1"/>
  <c r="L47" i="20" a="1"/>
  <c r="L47" i="20" s="1"/>
  <c r="L48" i="20" a="1"/>
  <c r="L48" i="20" s="1"/>
  <c r="L49" i="20" a="1"/>
  <c r="L49" i="20" s="1"/>
  <c r="L50" i="20" a="1"/>
  <c r="L50" i="20" s="1"/>
  <c r="L51" i="20" a="1"/>
  <c r="L51" i="20"/>
  <c r="L52" i="20" a="1"/>
  <c r="L52" i="20" s="1"/>
  <c r="L53" i="20" a="1"/>
  <c r="L53" i="20" s="1"/>
  <c r="L54" i="20" a="1"/>
  <c r="L54" i="20" s="1"/>
  <c r="L55" i="20" a="1"/>
  <c r="L55" i="20" s="1"/>
  <c r="N55" i="20" s="1"/>
  <c r="L56" i="20" a="1"/>
  <c r="L56" i="20" s="1"/>
  <c r="L57" i="20" a="1"/>
  <c r="L57" i="20" s="1"/>
  <c r="L58" i="20" a="1"/>
  <c r="L58" i="20" s="1"/>
  <c r="L59" i="20" a="1"/>
  <c r="L59" i="20" s="1"/>
  <c r="L60" i="20" a="1"/>
  <c r="L60" i="20" s="1"/>
  <c r="L61" i="20" a="1"/>
  <c r="L61" i="20" s="1"/>
  <c r="L62" i="20" a="1"/>
  <c r="L62" i="20" s="1"/>
  <c r="L63" i="20" a="1"/>
  <c r="L63" i="20" s="1"/>
  <c r="L64" i="20" a="1"/>
  <c r="L64" i="20" s="1"/>
  <c r="L65" i="20" a="1"/>
  <c r="L65" i="20" s="1"/>
  <c r="L66" i="20" a="1"/>
  <c r="L66" i="20" s="1"/>
  <c r="L67" i="20" a="1"/>
  <c r="L67" i="20"/>
  <c r="L68" i="20" a="1"/>
  <c r="L68" i="20" s="1"/>
  <c r="L69" i="20" a="1"/>
  <c r="L69" i="20"/>
  <c r="L70" i="20" a="1"/>
  <c r="L70" i="20" s="1"/>
  <c r="L71" i="20" a="1"/>
  <c r="L71" i="20" s="1"/>
  <c r="L72" i="20" a="1"/>
  <c r="L72" i="20" s="1"/>
  <c r="L73" i="20" a="1"/>
  <c r="L73" i="20" s="1"/>
  <c r="L74" i="20" a="1"/>
  <c r="L74" i="20" s="1"/>
  <c r="L75" i="20" a="1"/>
  <c r="L75" i="20" s="1"/>
  <c r="L76" i="20" a="1"/>
  <c r="L76" i="20" s="1"/>
  <c r="L77" i="20" a="1"/>
  <c r="L77" i="20" s="1"/>
  <c r="L78" i="20" a="1"/>
  <c r="L78" i="20" s="1"/>
  <c r="L79" i="20" a="1"/>
  <c r="L79" i="20" s="1"/>
  <c r="L80" i="20" a="1"/>
  <c r="L80" i="20" s="1"/>
  <c r="L81" i="20" a="1"/>
  <c r="L81" i="20" s="1"/>
  <c r="L82" i="20" a="1"/>
  <c r="L82" i="20" s="1"/>
  <c r="L83" i="20" a="1"/>
  <c r="L83" i="20"/>
  <c r="L84" i="20" a="1"/>
  <c r="L84" i="20" s="1"/>
  <c r="L85" i="20" a="1"/>
  <c r="L85" i="20"/>
  <c r="L86" i="20" a="1"/>
  <c r="L86" i="20" s="1"/>
  <c r="L87" i="20" a="1"/>
  <c r="L87" i="20"/>
  <c r="L88" i="20" a="1"/>
  <c r="L88" i="20" s="1"/>
  <c r="L89" i="20" a="1"/>
  <c r="L89" i="20" s="1"/>
  <c r="L90" i="20" a="1"/>
  <c r="L90" i="20" s="1"/>
  <c r="L91" i="20" a="1"/>
  <c r="L91" i="20" s="1"/>
  <c r="L92" i="20" a="1"/>
  <c r="L92" i="20" s="1"/>
  <c r="L93" i="20" a="1"/>
  <c r="L93" i="20" s="1"/>
  <c r="L94" i="20" a="1"/>
  <c r="L94" i="20" s="1"/>
  <c r="L95" i="20" a="1"/>
  <c r="L95" i="20" s="1"/>
  <c r="L96" i="20" a="1"/>
  <c r="L96" i="20" s="1"/>
  <c r="L97" i="20" a="1"/>
  <c r="L97" i="20" s="1"/>
  <c r="L98" i="20" a="1"/>
  <c r="L98" i="20" s="1"/>
  <c r="L99" i="20" a="1"/>
  <c r="L99" i="20"/>
  <c r="L100" i="20" a="1"/>
  <c r="L100" i="20" s="1"/>
  <c r="L101" i="20" a="1"/>
  <c r="L101" i="20"/>
  <c r="L102" i="20" a="1"/>
  <c r="L102" i="20" s="1"/>
  <c r="L103" i="20" a="1"/>
  <c r="L103" i="20"/>
  <c r="L104" i="20" a="1"/>
  <c r="L104" i="20" s="1"/>
  <c r="L105" i="20" a="1"/>
  <c r="L105" i="20"/>
  <c r="L106" i="20" a="1"/>
  <c r="L106" i="20" s="1"/>
  <c r="L107" i="20" a="1"/>
  <c r="L107" i="20" s="1"/>
  <c r="L108" i="20" a="1"/>
  <c r="L108" i="20" s="1"/>
  <c r="L109" i="20" a="1"/>
  <c r="L109" i="20" s="1"/>
  <c r="L110" i="20" a="1"/>
  <c r="L110" i="20" s="1"/>
  <c r="L111" i="20" a="1"/>
  <c r="L111" i="20" s="1"/>
  <c r="L112" i="20" a="1"/>
  <c r="L112" i="20" s="1"/>
  <c r="L113" i="20" a="1"/>
  <c r="L113" i="20" s="1"/>
  <c r="L114" i="20" a="1"/>
  <c r="L114" i="20" s="1"/>
  <c r="L115" i="20" a="1"/>
  <c r="L115" i="20" s="1"/>
  <c r="L116" i="20" a="1"/>
  <c r="L116" i="20" s="1"/>
  <c r="L117" i="20" a="1"/>
  <c r="L117" i="20"/>
  <c r="L118" i="20" a="1"/>
  <c r="L118" i="20" s="1"/>
  <c r="L119" i="20" a="1"/>
  <c r="L119" i="20" s="1"/>
  <c r="L120" i="20" a="1"/>
  <c r="L120" i="20" s="1"/>
  <c r="L121" i="20" a="1"/>
  <c r="L121" i="20"/>
  <c r="L122" i="20" a="1"/>
  <c r="L122" i="20" s="1"/>
  <c r="L123" i="20" a="1"/>
  <c r="L123" i="20"/>
  <c r="L124" i="20" a="1"/>
  <c r="L124" i="20" s="1"/>
  <c r="L125" i="20" a="1"/>
  <c r="L125" i="20" s="1"/>
  <c r="L126" i="20" a="1"/>
  <c r="L126" i="20" s="1"/>
  <c r="L127" i="20" a="1"/>
  <c r="L127" i="20" s="1"/>
  <c r="L128" i="20" a="1"/>
  <c r="L128" i="20" s="1"/>
  <c r="L129" i="20" a="1"/>
  <c r="L129" i="20" s="1"/>
  <c r="L130" i="20" a="1"/>
  <c r="L130" i="20" s="1"/>
  <c r="L131" i="20" a="1"/>
  <c r="L131" i="20" s="1"/>
  <c r="L132" i="20" a="1"/>
  <c r="L132" i="20" s="1"/>
  <c r="L133" i="20" a="1"/>
  <c r="L133" i="20" s="1"/>
  <c r="L134" i="20" a="1"/>
  <c r="L134" i="20" s="1"/>
  <c r="L135" i="20" a="1"/>
  <c r="L135" i="20"/>
  <c r="L136" i="20" a="1"/>
  <c r="L136" i="20" s="1"/>
  <c r="N136" i="20" s="1"/>
  <c r="L137" i="20" a="1"/>
  <c r="L137" i="20" s="1"/>
  <c r="L138" i="20" a="1"/>
  <c r="L138" i="20" s="1"/>
  <c r="L139" i="20" a="1"/>
  <c r="L139" i="20"/>
  <c r="L140" i="20" a="1"/>
  <c r="L140" i="20" s="1"/>
  <c r="L141" i="20" a="1"/>
  <c r="L141" i="20" s="1"/>
  <c r="L142" i="20" a="1"/>
  <c r="L142" i="20" s="1"/>
  <c r="N142" i="20" s="1"/>
  <c r="L143" i="20" a="1"/>
  <c r="L143" i="20" s="1"/>
  <c r="L144" i="20" a="1"/>
  <c r="L144" i="20" s="1"/>
  <c r="L145" i="20" a="1"/>
  <c r="L145" i="20" s="1"/>
  <c r="L146" i="20" a="1"/>
  <c r="L146" i="20" s="1"/>
  <c r="L147" i="20" a="1"/>
  <c r="L147" i="20" s="1"/>
  <c r="L148" i="20" a="1"/>
  <c r="L148" i="20" s="1"/>
  <c r="L149" i="20" a="1"/>
  <c r="L149" i="20" s="1"/>
  <c r="L150" i="20" a="1"/>
  <c r="L150" i="20" s="1"/>
  <c r="L151" i="20" a="1"/>
  <c r="L151" i="20" s="1"/>
  <c r="L152" i="20" a="1"/>
  <c r="L152" i="20" s="1"/>
  <c r="L153" i="20" a="1"/>
  <c r="L153" i="20"/>
  <c r="L154" i="20" a="1"/>
  <c r="L154" i="20" s="1"/>
  <c r="L155" i="20" a="1"/>
  <c r="L155" i="20" s="1"/>
  <c r="L156" i="20" a="1"/>
  <c r="L156" i="20" s="1"/>
  <c r="L157" i="20" a="1"/>
  <c r="L157" i="20" s="1"/>
  <c r="L158" i="20" a="1"/>
  <c r="L158" i="20" s="1"/>
  <c r="L159" i="20" a="1"/>
  <c r="L159" i="20" s="1"/>
  <c r="L160" i="20" a="1"/>
  <c r="L160" i="20" s="1"/>
  <c r="L161" i="20" a="1"/>
  <c r="L161" i="20" s="1"/>
  <c r="L162" i="20" a="1"/>
  <c r="L162" i="20" s="1"/>
  <c r="L163" i="20" a="1"/>
  <c r="L163" i="20" s="1"/>
  <c r="L164" i="20" a="1"/>
  <c r="L164" i="20" s="1"/>
  <c r="L165" i="20" a="1"/>
  <c r="L165" i="20" s="1"/>
  <c r="L166" i="20" a="1"/>
  <c r="L166" i="20" s="1"/>
  <c r="L167" i="20" a="1"/>
  <c r="L167" i="20" s="1"/>
  <c r="N167" i="20" s="1"/>
  <c r="L168" i="20" a="1"/>
  <c r="L168" i="20" s="1"/>
  <c r="L169" i="20" a="1"/>
  <c r="L169" i="20" s="1"/>
  <c r="L170" i="20" a="1"/>
  <c r="L170" i="20" s="1"/>
  <c r="L171" i="20" a="1"/>
  <c r="L171" i="20"/>
  <c r="L172" i="20" a="1"/>
  <c r="L172" i="20" s="1"/>
  <c r="L173" i="20" a="1"/>
  <c r="L173" i="20" s="1"/>
  <c r="L174" i="20" a="1"/>
  <c r="L174" i="20" s="1"/>
  <c r="L175" i="20" a="1"/>
  <c r="L175" i="20" s="1"/>
  <c r="L176" i="20" a="1"/>
  <c r="L176" i="20" s="1"/>
  <c r="L177" i="20" a="1"/>
  <c r="L177" i="20" s="1"/>
  <c r="L178" i="20" a="1"/>
  <c r="L178" i="20" s="1"/>
  <c r="L179" i="20" a="1"/>
  <c r="L179" i="20"/>
  <c r="L180" i="20" a="1"/>
  <c r="L180" i="20" s="1"/>
  <c r="L181" i="20" a="1"/>
  <c r="L181" i="20" s="1"/>
  <c r="L182" i="20" a="1"/>
  <c r="L182" i="20" s="1"/>
  <c r="L183" i="20" a="1"/>
  <c r="L183" i="20" s="1"/>
  <c r="L184" i="20" a="1"/>
  <c r="L184" i="20" s="1"/>
  <c r="L185" i="20" a="1"/>
  <c r="L185" i="20" s="1"/>
  <c r="L186" i="20" a="1"/>
  <c r="L186" i="20" s="1"/>
  <c r="L187" i="20" a="1"/>
  <c r="L187" i="20" s="1"/>
  <c r="L188" i="20" a="1"/>
  <c r="L188" i="20" s="1"/>
  <c r="L189" i="20" a="1"/>
  <c r="L189" i="20" s="1"/>
  <c r="L190" i="20" a="1"/>
  <c r="L190" i="20" s="1"/>
  <c r="L191" i="20" a="1"/>
  <c r="L191" i="20" s="1"/>
  <c r="L192" i="20" a="1"/>
  <c r="L192" i="20" s="1"/>
  <c r="L193" i="20" a="1"/>
  <c r="L193" i="20" s="1"/>
  <c r="L194" i="20" a="1"/>
  <c r="L194" i="20" s="1"/>
  <c r="L195" i="20" a="1"/>
  <c r="L195" i="20"/>
  <c r="L196" i="20" a="1"/>
  <c r="L196" i="20" s="1"/>
  <c r="L197" i="20" a="1"/>
  <c r="L197" i="20"/>
  <c r="L198" i="20" a="1"/>
  <c r="L198" i="20" s="1"/>
  <c r="L199" i="20" a="1"/>
  <c r="L199" i="20" s="1"/>
  <c r="N199" i="20" s="1"/>
  <c r="L200" i="20" a="1"/>
  <c r="L200" i="20" s="1"/>
  <c r="L201" i="20" a="1"/>
  <c r="L201" i="20" s="1"/>
  <c r="L202" i="20" a="1"/>
  <c r="L202" i="20" s="1"/>
  <c r="L203" i="20" a="1"/>
  <c r="L203" i="20" s="1"/>
  <c r="L204" i="20" a="1"/>
  <c r="L204" i="20" s="1"/>
  <c r="L205" i="20" a="1"/>
  <c r="L205" i="20" s="1"/>
  <c r="L206" i="20" a="1"/>
  <c r="L206" i="20" s="1"/>
  <c r="L207" i="20" a="1"/>
  <c r="L207" i="20" s="1"/>
  <c r="L208" i="20" a="1"/>
  <c r="L208" i="20" s="1"/>
  <c r="L209" i="20" a="1"/>
  <c r="L209" i="20" s="1"/>
  <c r="L210" i="20" a="1"/>
  <c r="L210" i="20" s="1"/>
  <c r="N210" i="20" s="1"/>
  <c r="L211" i="20" a="1"/>
  <c r="L211" i="20"/>
  <c r="L212" i="20" a="1"/>
  <c r="L212" i="20" s="1"/>
  <c r="L213" i="20" a="1"/>
  <c r="L213" i="20"/>
  <c r="L214" i="20" a="1"/>
  <c r="L214" i="20" s="1"/>
  <c r="L215" i="20" a="1"/>
  <c r="L215" i="20"/>
  <c r="L216" i="20" a="1"/>
  <c r="L216" i="20" s="1"/>
  <c r="L217" i="20" a="1"/>
  <c r="L217" i="20" s="1"/>
  <c r="L218" i="20" a="1"/>
  <c r="L218" i="20" s="1"/>
  <c r="L219" i="20" a="1"/>
  <c r="L219" i="20" s="1"/>
  <c r="L220" i="20" a="1"/>
  <c r="L220" i="20" s="1"/>
  <c r="L221" i="20" a="1"/>
  <c r="L221" i="20" s="1"/>
  <c r="L222" i="20" a="1"/>
  <c r="L222" i="20" s="1"/>
  <c r="L223" i="20" a="1"/>
  <c r="L223" i="20" s="1"/>
  <c r="L224" i="20" a="1"/>
  <c r="L224" i="20" s="1"/>
  <c r="L225" i="20" a="1"/>
  <c r="L225" i="20" s="1"/>
  <c r="L226" i="20" a="1"/>
  <c r="L226" i="20" s="1"/>
  <c r="L227" i="20" a="1"/>
  <c r="L227" i="20"/>
  <c r="L228" i="20" a="1"/>
  <c r="L228" i="20" s="1"/>
  <c r="L229" i="20" a="1"/>
  <c r="L229" i="20"/>
  <c r="L230" i="20" a="1"/>
  <c r="L230" i="20" s="1"/>
  <c r="L231" i="20" a="1"/>
  <c r="L231" i="20"/>
  <c r="L232" i="20" a="1"/>
  <c r="L232" i="20" s="1"/>
  <c r="L233" i="20" a="1"/>
  <c r="L233" i="20"/>
  <c r="L234" i="20" a="1"/>
  <c r="L234" i="20" s="1"/>
  <c r="L235" i="20" a="1"/>
  <c r="L235" i="20" s="1"/>
  <c r="N235" i="20" s="1"/>
  <c r="L236" i="20" a="1"/>
  <c r="L236" i="20" s="1"/>
  <c r="L237" i="20" a="1"/>
  <c r="L237" i="20" s="1"/>
  <c r="L238" i="20" a="1"/>
  <c r="L238" i="20" s="1"/>
  <c r="L239" i="20" a="1"/>
  <c r="L239" i="20" s="1"/>
  <c r="N239" i="20" s="1"/>
  <c r="L240" i="20" a="1"/>
  <c r="L240" i="20" s="1"/>
  <c r="L241" i="20" a="1"/>
  <c r="L241" i="20" s="1"/>
  <c r="L242" i="20" a="1"/>
  <c r="L242" i="20" s="1"/>
  <c r="L243" i="20" a="1"/>
  <c r="L243" i="20" s="1"/>
  <c r="L244" i="20" a="1"/>
  <c r="L244" i="20" s="1"/>
  <c r="L245" i="20" a="1"/>
  <c r="L245" i="20"/>
  <c r="L246" i="20" a="1"/>
  <c r="L246" i="20" s="1"/>
  <c r="L247" i="20" a="1"/>
  <c r="L247" i="20"/>
  <c r="L248" i="20" a="1"/>
  <c r="L248" i="20" s="1"/>
  <c r="L249" i="20" a="1"/>
  <c r="L249" i="20"/>
  <c r="L250" i="20" a="1"/>
  <c r="L250" i="20" s="1"/>
  <c r="L251" i="20" a="1"/>
  <c r="L251" i="20"/>
  <c r="M2" i="20" a="1"/>
  <c r="M2" i="20" s="1"/>
  <c r="N2" i="20" s="1"/>
  <c r="M3" i="20" a="1"/>
  <c r="M3" i="20" s="1"/>
  <c r="M4" i="20" a="1"/>
  <c r="M4" i="20" s="1"/>
  <c r="N4" i="20" s="1"/>
  <c r="M5" i="20" a="1"/>
  <c r="M5" i="20"/>
  <c r="M6" i="20" a="1"/>
  <c r="M6" i="20" s="1"/>
  <c r="N6" i="20" s="1"/>
  <c r="M7" i="20" a="1"/>
  <c r="M7" i="20" s="1"/>
  <c r="N7" i="20" s="1"/>
  <c r="M8" i="20" a="1"/>
  <c r="M8" i="20" s="1"/>
  <c r="N8" i="20" s="1"/>
  <c r="M9" i="20" a="1"/>
  <c r="M9" i="20"/>
  <c r="M10" i="20" a="1"/>
  <c r="M10" i="20" s="1"/>
  <c r="M11" i="20" a="1"/>
  <c r="M11" i="20"/>
  <c r="M12" i="20" a="1"/>
  <c r="M12" i="20" s="1"/>
  <c r="N12" i="20" s="1"/>
  <c r="M13" i="20" a="1"/>
  <c r="M13" i="20"/>
  <c r="N13" i="20" s="1"/>
  <c r="M14" i="20" a="1"/>
  <c r="M14" i="20" s="1"/>
  <c r="N14" i="20" s="1"/>
  <c r="M15" i="20" a="1"/>
  <c r="M15" i="20" s="1"/>
  <c r="N15" i="20" s="1"/>
  <c r="M16" i="20" a="1"/>
  <c r="M16" i="20" s="1"/>
  <c r="N16" i="20" s="1"/>
  <c r="M17" i="20" a="1"/>
  <c r="M17" i="20" s="1"/>
  <c r="N17" i="20" s="1"/>
  <c r="M18" i="20" a="1"/>
  <c r="M18" i="20" s="1"/>
  <c r="M19" i="20" a="1"/>
  <c r="M19" i="20" s="1"/>
  <c r="N19" i="20" s="1"/>
  <c r="M20" i="20" a="1"/>
  <c r="M20" i="20" s="1"/>
  <c r="N20" i="20" s="1"/>
  <c r="M21" i="20" a="1"/>
  <c r="M21" i="20"/>
  <c r="M22" i="20" a="1"/>
  <c r="M22" i="20" s="1"/>
  <c r="N22" i="20" s="1"/>
  <c r="M23" i="20" a="1"/>
  <c r="M23" i="20" s="1"/>
  <c r="M24" i="20" a="1"/>
  <c r="M24" i="20" s="1"/>
  <c r="M25" i="20" a="1"/>
  <c r="M25" i="20"/>
  <c r="N25" i="20" s="1"/>
  <c r="M26" i="20" a="1"/>
  <c r="M26" i="20" s="1"/>
  <c r="N26" i="20" s="1"/>
  <c r="M27" i="20" a="1"/>
  <c r="M27" i="20"/>
  <c r="M28" i="20" a="1"/>
  <c r="M28" i="20" s="1"/>
  <c r="M29" i="20" a="1"/>
  <c r="M29" i="20"/>
  <c r="N29" i="20" s="1"/>
  <c r="M30" i="20" a="1"/>
  <c r="M30" i="20" s="1"/>
  <c r="N30" i="20" s="1"/>
  <c r="M31" i="20" a="1"/>
  <c r="M31" i="20"/>
  <c r="N31" i="20" s="1"/>
  <c r="M32" i="20" a="1"/>
  <c r="M32" i="20" s="1"/>
  <c r="N32" i="20" s="1"/>
  <c r="M33" i="20" a="1"/>
  <c r="M33" i="20" s="1"/>
  <c r="N33" i="20" s="1"/>
  <c r="M34" i="20" a="1"/>
  <c r="M34" i="20" s="1"/>
  <c r="M35" i="20" a="1"/>
  <c r="M35" i="20" s="1"/>
  <c r="M36" i="20" a="1"/>
  <c r="M36" i="20" s="1"/>
  <c r="M37" i="20" a="1"/>
  <c r="M37" i="20"/>
  <c r="M38" i="20" a="1"/>
  <c r="M38" i="20" s="1"/>
  <c r="N38" i="20" s="1"/>
  <c r="M39" i="20" a="1"/>
  <c r="M39" i="20" s="1"/>
  <c r="M40" i="20" a="1"/>
  <c r="M40" i="20" s="1"/>
  <c r="M41" i="20" a="1"/>
  <c r="M41" i="20" s="1"/>
  <c r="N41" i="20" s="1"/>
  <c r="M42" i="20" a="1"/>
  <c r="M42" i="20" s="1"/>
  <c r="N42" i="20" s="1"/>
  <c r="M43" i="20" a="1"/>
  <c r="M43" i="20"/>
  <c r="N43" i="20" s="1"/>
  <c r="M44" i="20" a="1"/>
  <c r="M44" i="20" s="1"/>
  <c r="N44" i="20" s="1"/>
  <c r="M45" i="20" a="1"/>
  <c r="M45" i="20"/>
  <c r="M46" i="20" a="1"/>
  <c r="M46" i="20" s="1"/>
  <c r="M47" i="20" a="1"/>
  <c r="M47" i="20" s="1"/>
  <c r="N47" i="20" s="1"/>
  <c r="M48" i="20" a="1"/>
  <c r="M48" i="20" s="1"/>
  <c r="M49" i="20" a="1"/>
  <c r="M49" i="20" s="1"/>
  <c r="N49" i="20" s="1"/>
  <c r="M50" i="20" a="1"/>
  <c r="M50" i="20" s="1"/>
  <c r="M51" i="20" a="1"/>
  <c r="M51" i="20" s="1"/>
  <c r="N51" i="20" s="1"/>
  <c r="M52" i="20" a="1"/>
  <c r="M52" i="20" s="1"/>
  <c r="M53" i="20" a="1"/>
  <c r="M53" i="20" s="1"/>
  <c r="M54" i="20" a="1"/>
  <c r="M54" i="20" s="1"/>
  <c r="N54" i="20" s="1"/>
  <c r="M55" i="20" a="1"/>
  <c r="M55" i="20" s="1"/>
  <c r="M56" i="20" a="1"/>
  <c r="M56" i="20" s="1"/>
  <c r="N56" i="20" s="1"/>
  <c r="M57" i="20" a="1"/>
  <c r="M57" i="20"/>
  <c r="M58" i="20" a="1"/>
  <c r="M58" i="20" s="1"/>
  <c r="N58" i="20" s="1"/>
  <c r="M59" i="20" a="1"/>
  <c r="M59" i="20" s="1"/>
  <c r="M60" i="20" a="1"/>
  <c r="M60" i="20" s="1"/>
  <c r="N60" i="20" s="1"/>
  <c r="M61" i="20" a="1"/>
  <c r="M61" i="20" s="1"/>
  <c r="N61" i="20" s="1"/>
  <c r="M62" i="20" a="1"/>
  <c r="M62" i="20" s="1"/>
  <c r="M63" i="20" a="1"/>
  <c r="M63" i="20"/>
  <c r="M64" i="20" a="1"/>
  <c r="M64" i="20" s="1"/>
  <c r="M65" i="20" a="1"/>
  <c r="M65" i="20"/>
  <c r="N65" i="20" s="1"/>
  <c r="M66" i="20" a="1"/>
  <c r="M66" i="20" s="1"/>
  <c r="M67" i="20" a="1"/>
  <c r="M67" i="20" s="1"/>
  <c r="N67" i="20" s="1"/>
  <c r="M68" i="20" a="1"/>
  <c r="M68" i="20" s="1"/>
  <c r="M69" i="20" a="1"/>
  <c r="M69" i="20"/>
  <c r="N69" i="20" s="1"/>
  <c r="M70" i="20" a="1"/>
  <c r="M70" i="20" s="1"/>
  <c r="N70" i="20" s="1"/>
  <c r="M71" i="20" a="1"/>
  <c r="M71" i="20" s="1"/>
  <c r="M72" i="20" a="1"/>
  <c r="M72" i="20" s="1"/>
  <c r="M73" i="20" a="1"/>
  <c r="M73" i="20" s="1"/>
  <c r="N73" i="20" s="1"/>
  <c r="M74" i="20" a="1"/>
  <c r="M74" i="20" s="1"/>
  <c r="M75" i="20" a="1"/>
  <c r="M75" i="20"/>
  <c r="M76" i="20" a="1"/>
  <c r="M76" i="20" s="1"/>
  <c r="N76" i="20" s="1"/>
  <c r="M77" i="20" a="1"/>
  <c r="M77" i="20"/>
  <c r="M78" i="20" a="1"/>
  <c r="M78" i="20" s="1"/>
  <c r="M79" i="20" a="1"/>
  <c r="M79" i="20"/>
  <c r="N79" i="20" s="1"/>
  <c r="M80" i="20" a="1"/>
  <c r="M80" i="20" s="1"/>
  <c r="M81" i="20" a="1"/>
  <c r="M81" i="20" s="1"/>
  <c r="N81" i="20" s="1"/>
  <c r="M82" i="20" a="1"/>
  <c r="M82" i="20" s="1"/>
  <c r="N82" i="20" s="1"/>
  <c r="M83" i="20" a="1"/>
  <c r="M83" i="20" s="1"/>
  <c r="N83" i="20" s="1"/>
  <c r="M84" i="20" a="1"/>
  <c r="M84" i="20" s="1"/>
  <c r="N84" i="20" s="1"/>
  <c r="M85" i="20" a="1"/>
  <c r="M85" i="20" s="1"/>
  <c r="N85" i="20" s="1"/>
  <c r="M86" i="20" a="1"/>
  <c r="M86" i="20" s="1"/>
  <c r="N86" i="20" s="1"/>
  <c r="M87" i="20" a="1"/>
  <c r="M87" i="20" s="1"/>
  <c r="M88" i="20" a="1"/>
  <c r="M88" i="20" s="1"/>
  <c r="M89" i="20" a="1"/>
  <c r="M89" i="20" s="1"/>
  <c r="N89" i="20" s="1"/>
  <c r="M90" i="20" a="1"/>
  <c r="M90" i="20" s="1"/>
  <c r="N90" i="20" s="1"/>
  <c r="M91" i="20" a="1"/>
  <c r="M91" i="20" s="1"/>
  <c r="N91" i="20" s="1"/>
  <c r="M92" i="20" a="1"/>
  <c r="M92" i="20" s="1"/>
  <c r="M93" i="20" a="1"/>
  <c r="M93" i="20"/>
  <c r="N93" i="20" s="1"/>
  <c r="M94" i="20" a="1"/>
  <c r="M94" i="20" s="1"/>
  <c r="N94" i="20" s="1"/>
  <c r="M95" i="20" a="1"/>
  <c r="M95" i="20"/>
  <c r="N95" i="20" s="1"/>
  <c r="M96" i="20" a="1"/>
  <c r="M96" i="20" s="1"/>
  <c r="N96" i="20" s="1"/>
  <c r="M97" i="20" a="1"/>
  <c r="M97" i="20"/>
  <c r="N97" i="20" s="1"/>
  <c r="M98" i="20" a="1"/>
  <c r="M98" i="20" s="1"/>
  <c r="M99" i="20" a="1"/>
  <c r="M99" i="20" s="1"/>
  <c r="N99" i="20" s="1"/>
  <c r="M100" i="20" a="1"/>
  <c r="M100" i="20" s="1"/>
  <c r="N100" i="20" s="1"/>
  <c r="M101" i="20" a="1"/>
  <c r="M101" i="20"/>
  <c r="N101" i="20" s="1"/>
  <c r="M102" i="20" a="1"/>
  <c r="M102" i="20" s="1"/>
  <c r="M103" i="20" a="1"/>
  <c r="M103" i="20" s="1"/>
  <c r="M104" i="20" a="1"/>
  <c r="M104" i="20" s="1"/>
  <c r="M105" i="20" a="1"/>
  <c r="M105" i="20"/>
  <c r="N105" i="20" s="1"/>
  <c r="M106" i="20" a="1"/>
  <c r="M106" i="20" s="1"/>
  <c r="N106" i="20" s="1"/>
  <c r="M107" i="20" a="1"/>
  <c r="M107" i="20"/>
  <c r="M108" i="20" a="1"/>
  <c r="M108" i="20" s="1"/>
  <c r="M109" i="20" a="1"/>
  <c r="M109" i="20"/>
  <c r="N109" i="20" s="1"/>
  <c r="M110" i="20" a="1"/>
  <c r="M110" i="20" s="1"/>
  <c r="M111" i="20" a="1"/>
  <c r="M111" i="20" s="1"/>
  <c r="N111" i="20" s="1"/>
  <c r="M112" i="20" a="1"/>
  <c r="M112" i="20" s="1"/>
  <c r="N112" i="20" s="1"/>
  <c r="M113" i="20" a="1"/>
  <c r="M113" i="20" s="1"/>
  <c r="N113" i="20" s="1"/>
  <c r="M114" i="20" a="1"/>
  <c r="M114" i="20" s="1"/>
  <c r="M115" i="20" a="1"/>
  <c r="M115" i="20" s="1"/>
  <c r="M116" i="20" a="1"/>
  <c r="M116" i="20" s="1"/>
  <c r="M117" i="20" a="1"/>
  <c r="M117" i="20" s="1"/>
  <c r="N117" i="20" s="1"/>
  <c r="M118" i="20" a="1"/>
  <c r="M118" i="20" s="1"/>
  <c r="M119" i="20" a="1"/>
  <c r="M119" i="20" s="1"/>
  <c r="N119" i="20" s="1"/>
  <c r="M120" i="20" a="1"/>
  <c r="M120" i="20" s="1"/>
  <c r="N120" i="20" s="1"/>
  <c r="M121" i="20" a="1"/>
  <c r="M121" i="20"/>
  <c r="N121" i="20" s="1"/>
  <c r="M122" i="20" a="1"/>
  <c r="M122" i="20" s="1"/>
  <c r="N122" i="20" s="1"/>
  <c r="M123" i="20" a="1"/>
  <c r="M123" i="20" s="1"/>
  <c r="M124" i="20" a="1"/>
  <c r="M124" i="20" s="1"/>
  <c r="N124" i="20" s="1"/>
  <c r="M125" i="20" a="1"/>
  <c r="M125" i="20"/>
  <c r="N125" i="20" s="1"/>
  <c r="M126" i="20" a="1"/>
  <c r="M126" i="20" s="1"/>
  <c r="N126" i="20" s="1"/>
  <c r="M127" i="20" a="1"/>
  <c r="M127" i="20" s="1"/>
  <c r="N127" i="20" s="1"/>
  <c r="M128" i="20" a="1"/>
  <c r="M128" i="20" s="1"/>
  <c r="M129" i="20" a="1"/>
  <c r="M129" i="20" s="1"/>
  <c r="N129" i="20" s="1"/>
  <c r="M130" i="20" a="1"/>
  <c r="M130" i="20" s="1"/>
  <c r="M131" i="20" a="1"/>
  <c r="M131" i="20" s="1"/>
  <c r="M132" i="20" a="1"/>
  <c r="M132" i="20" s="1"/>
  <c r="M133" i="20" a="1"/>
  <c r="M133" i="20" s="1"/>
  <c r="M134" i="20" a="1"/>
  <c r="M134" i="20" s="1"/>
  <c r="M135" i="20" a="1"/>
  <c r="M135" i="20" s="1"/>
  <c r="M136" i="20" a="1"/>
  <c r="M136" i="20" s="1"/>
  <c r="M137" i="20" a="1"/>
  <c r="M137" i="20"/>
  <c r="M138" i="20" a="1"/>
  <c r="M138" i="20" s="1"/>
  <c r="N138" i="20" s="1"/>
  <c r="M139" i="20" a="1"/>
  <c r="M139" i="20" s="1"/>
  <c r="N139" i="20" s="1"/>
  <c r="M140" i="20" a="1"/>
  <c r="M140" i="20" s="1"/>
  <c r="N140" i="20" s="1"/>
  <c r="M141" i="20" a="1"/>
  <c r="M141" i="20"/>
  <c r="M142" i="20" a="1"/>
  <c r="M142" i="20" s="1"/>
  <c r="M143" i="20" a="1"/>
  <c r="M143" i="20"/>
  <c r="N143" i="20" s="1"/>
  <c r="M144" i="20" a="1"/>
  <c r="M144" i="20" s="1"/>
  <c r="M145" i="20" a="1"/>
  <c r="M145" i="20" s="1"/>
  <c r="N145" i="20" s="1"/>
  <c r="M146" i="20" a="1"/>
  <c r="M146" i="20" s="1"/>
  <c r="N146" i="20" s="1"/>
  <c r="M147" i="20" a="1"/>
  <c r="M147" i="20" s="1"/>
  <c r="M148" i="20" a="1"/>
  <c r="M148" i="20" s="1"/>
  <c r="M149" i="20" a="1"/>
  <c r="M149" i="20" s="1"/>
  <c r="N149" i="20" s="1"/>
  <c r="M150" i="20" a="1"/>
  <c r="M150" i="20" s="1"/>
  <c r="N150" i="20" s="1"/>
  <c r="M151" i="20" a="1"/>
  <c r="M151" i="20" s="1"/>
  <c r="N151" i="20" s="1"/>
  <c r="M152" i="20" a="1"/>
  <c r="M152" i="20" s="1"/>
  <c r="N152" i="20" s="1"/>
  <c r="M153" i="20" a="1"/>
  <c r="M153" i="20" s="1"/>
  <c r="N153" i="20" s="1"/>
  <c r="M154" i="20" a="1"/>
  <c r="M154" i="20" s="1"/>
  <c r="M155" i="20" a="1"/>
  <c r="M155" i="20" s="1"/>
  <c r="N155" i="20" s="1"/>
  <c r="M156" i="20" a="1"/>
  <c r="M156" i="20" s="1"/>
  <c r="M157" i="20" a="1"/>
  <c r="M157" i="20"/>
  <c r="M158" i="20" a="1"/>
  <c r="M158" i="20" s="1"/>
  <c r="M159" i="20" a="1"/>
  <c r="M159" i="20" s="1"/>
  <c r="N159" i="20" s="1"/>
  <c r="M160" i="20" a="1"/>
  <c r="M160" i="20" s="1"/>
  <c r="M161" i="20" a="1"/>
  <c r="M161" i="20" s="1"/>
  <c r="N161" i="20" s="1"/>
  <c r="M162" i="20" a="1"/>
  <c r="M162" i="20" s="1"/>
  <c r="M163" i="20" a="1"/>
  <c r="M163" i="20" s="1"/>
  <c r="M164" i="20" a="1"/>
  <c r="M164" i="20" s="1"/>
  <c r="N164" i="20" s="1"/>
  <c r="M165" i="20" a="1"/>
  <c r="M165" i="20" s="1"/>
  <c r="M166" i="20" a="1"/>
  <c r="M166" i="20" s="1"/>
  <c r="N166" i="20" s="1"/>
  <c r="M167" i="20" a="1"/>
  <c r="M167" i="20" s="1"/>
  <c r="M168" i="20" a="1"/>
  <c r="M168" i="20" s="1"/>
  <c r="M169" i="20" a="1"/>
  <c r="M169" i="20"/>
  <c r="M170" i="20" a="1"/>
  <c r="M170" i="20" s="1"/>
  <c r="M171" i="20" a="1"/>
  <c r="M171" i="20" s="1"/>
  <c r="N171" i="20" s="1"/>
  <c r="M172" i="20" a="1"/>
  <c r="M172" i="20" s="1"/>
  <c r="M173" i="20" a="1"/>
  <c r="M173" i="20"/>
  <c r="M174" i="20" a="1"/>
  <c r="M174" i="20" s="1"/>
  <c r="M175" i="20" a="1"/>
  <c r="M175" i="20" s="1"/>
  <c r="N175" i="20" s="1"/>
  <c r="M176" i="20" a="1"/>
  <c r="M176" i="20" s="1"/>
  <c r="N176" i="20" s="1"/>
  <c r="M177" i="20" a="1"/>
  <c r="M177" i="20" s="1"/>
  <c r="N177" i="20" s="1"/>
  <c r="M178" i="20" a="1"/>
  <c r="M178" i="20" s="1"/>
  <c r="N178" i="20" s="1"/>
  <c r="M179" i="20" a="1"/>
  <c r="M179" i="20" s="1"/>
  <c r="N179" i="20" s="1"/>
  <c r="M180" i="20" a="1"/>
  <c r="M180" i="20" s="1"/>
  <c r="M181" i="20" a="1"/>
  <c r="M181" i="20" s="1"/>
  <c r="M182" i="20" a="1"/>
  <c r="M182" i="20" s="1"/>
  <c r="M183" i="20" a="1"/>
  <c r="M183" i="20" s="1"/>
  <c r="M184" i="20" a="1"/>
  <c r="M184" i="20" s="1"/>
  <c r="M185" i="20" a="1"/>
  <c r="M185" i="20"/>
  <c r="M186" i="20" a="1"/>
  <c r="M186" i="20" s="1"/>
  <c r="N186" i="20" s="1"/>
  <c r="M187" i="20" a="1"/>
  <c r="M187" i="20" s="1"/>
  <c r="M188" i="20" a="1"/>
  <c r="M188" i="20" s="1"/>
  <c r="M189" i="20" a="1"/>
  <c r="M189" i="20" s="1"/>
  <c r="N189" i="20" s="1"/>
  <c r="M190" i="20" a="1"/>
  <c r="M190" i="20" s="1"/>
  <c r="N190" i="20" s="1"/>
  <c r="M191" i="20" a="1"/>
  <c r="M191" i="20" s="1"/>
  <c r="M192" i="20" a="1"/>
  <c r="M192" i="20" s="1"/>
  <c r="N192" i="20" s="1"/>
  <c r="M193" i="20" a="1"/>
  <c r="M193" i="20" s="1"/>
  <c r="N193" i="20" s="1"/>
  <c r="M194" i="20" a="1"/>
  <c r="M194" i="20" s="1"/>
  <c r="M195" i="20" a="1"/>
  <c r="M195" i="20" s="1"/>
  <c r="N195" i="20" s="1"/>
  <c r="M196" i="20" a="1"/>
  <c r="M196" i="20" s="1"/>
  <c r="M197" i="20" a="1"/>
  <c r="M197" i="20" s="1"/>
  <c r="M198" i="20" a="1"/>
  <c r="M198" i="20" s="1"/>
  <c r="M199" i="20" a="1"/>
  <c r="M199" i="20" s="1"/>
  <c r="M200" i="20" a="1"/>
  <c r="M200" i="20" s="1"/>
  <c r="N200" i="20" s="1"/>
  <c r="M201" i="20" a="1"/>
  <c r="M201" i="20" s="1"/>
  <c r="M202" i="20" a="1"/>
  <c r="M202" i="20" s="1"/>
  <c r="M203" i="20" a="1"/>
  <c r="M203" i="20"/>
  <c r="N203" i="20" s="1"/>
  <c r="M204" i="20" a="1"/>
  <c r="M204" i="20"/>
  <c r="N204" i="20" s="1"/>
  <c r="M205" i="20" a="1"/>
  <c r="M205" i="20" s="1"/>
  <c r="N205" i="20" s="1"/>
  <c r="M206" i="20" a="1"/>
  <c r="M206" i="20" s="1"/>
  <c r="M207" i="20" a="1"/>
  <c r="M207" i="20" s="1"/>
  <c r="M208" i="20" a="1"/>
  <c r="M208" i="20" s="1"/>
  <c r="M209" i="20" a="1"/>
  <c r="M209" i="20" s="1"/>
  <c r="N209" i="20" s="1"/>
  <c r="M210" i="20" a="1"/>
  <c r="M210" i="20" s="1"/>
  <c r="M211" i="20" a="1"/>
  <c r="M211" i="20"/>
  <c r="N211" i="20" s="1"/>
  <c r="M212" i="20" a="1"/>
  <c r="M212" i="20"/>
  <c r="M213" i="20" a="1"/>
  <c r="M213" i="20" s="1"/>
  <c r="N213" i="20" s="1"/>
  <c r="M214" i="20" a="1"/>
  <c r="M214" i="20" s="1"/>
  <c r="N214" i="20" s="1"/>
  <c r="M215" i="20" a="1"/>
  <c r="M215" i="20"/>
  <c r="N215" i="20" s="1"/>
  <c r="M216" i="20" a="1"/>
  <c r="M216" i="20" s="1"/>
  <c r="N216" i="20" s="1"/>
  <c r="M217" i="20" a="1"/>
  <c r="M217" i="20" s="1"/>
  <c r="M218" i="20" a="1"/>
  <c r="M218" i="20" s="1"/>
  <c r="M219" i="20" a="1"/>
  <c r="M219" i="20" s="1"/>
  <c r="M220" i="20" a="1"/>
  <c r="M220" i="20" s="1"/>
  <c r="N220" i="20" s="1"/>
  <c r="M221" i="20" a="1"/>
  <c r="M221" i="20"/>
  <c r="N221" i="20" s="1"/>
  <c r="M222" i="20" a="1"/>
  <c r="M222" i="20" s="1"/>
  <c r="N222" i="20" s="1"/>
  <c r="M223" i="20" a="1"/>
  <c r="M223" i="20" s="1"/>
  <c r="N223" i="20" s="1"/>
  <c r="M224" i="20" a="1"/>
  <c r="M224" i="20" s="1"/>
  <c r="N224" i="20" s="1"/>
  <c r="M225" i="20" a="1"/>
  <c r="M225" i="20" s="1"/>
  <c r="N225" i="20" s="1"/>
  <c r="M226" i="20" a="1"/>
  <c r="M226" i="20" s="1"/>
  <c r="M227" i="20" a="1"/>
  <c r="M227" i="20" s="1"/>
  <c r="N227" i="20" s="1"/>
  <c r="M228" i="20" a="1"/>
  <c r="M228" i="20" s="1"/>
  <c r="M229" i="20" a="1"/>
  <c r="M229" i="20" s="1"/>
  <c r="N229" i="20" s="1"/>
  <c r="M230" i="20" a="1"/>
  <c r="M230" i="20" s="1"/>
  <c r="M231" i="20" a="1"/>
  <c r="M231" i="20" s="1"/>
  <c r="M232" i="20" a="1"/>
  <c r="M232" i="20" s="1"/>
  <c r="M233" i="20" a="1"/>
  <c r="M233" i="20" s="1"/>
  <c r="M234" i="20" a="1"/>
  <c r="M234" i="20" s="1"/>
  <c r="M235" i="20" a="1"/>
  <c r="M235" i="20"/>
  <c r="M236" i="20" a="1"/>
  <c r="M236" i="20" s="1"/>
  <c r="N236" i="20" s="1"/>
  <c r="M237" i="20" a="1"/>
  <c r="M237" i="20" s="1"/>
  <c r="N237" i="20" s="1"/>
  <c r="M238" i="20" a="1"/>
  <c r="M238" i="20" s="1"/>
  <c r="M239" i="20" a="1"/>
  <c r="M239" i="20" s="1"/>
  <c r="M240" i="20" a="1"/>
  <c r="M240" i="20" s="1"/>
  <c r="N240" i="20" s="1"/>
  <c r="M241" i="20" a="1"/>
  <c r="M241" i="20"/>
  <c r="N241" i="20" s="1"/>
  <c r="M242" i="20" a="1"/>
  <c r="M242" i="20" s="1"/>
  <c r="N242" i="20" s="1"/>
  <c r="M243" i="20" a="1"/>
  <c r="M243" i="20" s="1"/>
  <c r="M244" i="20" a="1"/>
  <c r="M244" i="20" s="1"/>
  <c r="N244" i="20" s="1"/>
  <c r="M245" i="20" a="1"/>
  <c r="M245" i="20"/>
  <c r="M246" i="20" a="1"/>
  <c r="M246" i="20" s="1"/>
  <c r="M247" i="20" a="1"/>
  <c r="M247" i="20" s="1"/>
  <c r="N247" i="20" s="1"/>
  <c r="M248" i="20" a="1"/>
  <c r="M248" i="20" s="1"/>
  <c r="N248" i="20" s="1"/>
  <c r="M249" i="20" a="1"/>
  <c r="M249" i="20" s="1"/>
  <c r="M250" i="20" a="1"/>
  <c r="M250" i="20" s="1"/>
  <c r="M251" i="20" a="1"/>
  <c r="M251" i="20" s="1"/>
  <c r="N5" i="20"/>
  <c r="N10" i="20"/>
  <c r="N11" i="20"/>
  <c r="N18" i="20"/>
  <c r="N24" i="20"/>
  <c r="N28" i="20"/>
  <c r="N34" i="20"/>
  <c r="N36" i="20"/>
  <c r="N40" i="20"/>
  <c r="N45" i="20"/>
  <c r="N46" i="20"/>
  <c r="N48" i="20"/>
  <c r="N50" i="20"/>
  <c r="N52" i="20"/>
  <c r="N62" i="20"/>
  <c r="N63" i="20"/>
  <c r="N64" i="20"/>
  <c r="N66" i="20"/>
  <c r="N68" i="20"/>
  <c r="N72" i="20"/>
  <c r="N74" i="20"/>
  <c r="N77" i="20"/>
  <c r="N78" i="20"/>
  <c r="N80" i="20"/>
  <c r="N87" i="20"/>
  <c r="N88" i="20"/>
  <c r="N92" i="20"/>
  <c r="N98" i="20"/>
  <c r="N102" i="20"/>
  <c r="N103" i="20"/>
  <c r="N104" i="20"/>
  <c r="N108" i="20"/>
  <c r="N110" i="20"/>
  <c r="N114" i="20"/>
  <c r="N116" i="20"/>
  <c r="N128" i="20"/>
  <c r="N130" i="20"/>
  <c r="N132" i="20"/>
  <c r="N134" i="20"/>
  <c r="N135" i="20"/>
  <c r="N141" i="20"/>
  <c r="N144" i="20"/>
  <c r="N148" i="20"/>
  <c r="N156" i="20"/>
  <c r="N157" i="20"/>
  <c r="N158" i="20"/>
  <c r="N160" i="20"/>
  <c r="N162" i="20"/>
  <c r="N168" i="20"/>
  <c r="N170" i="20"/>
  <c r="N172" i="20"/>
  <c r="N173" i="20"/>
  <c r="N174" i="20"/>
  <c r="N180" i="20"/>
  <c r="N182" i="20"/>
  <c r="N184" i="20"/>
  <c r="N188" i="20"/>
  <c r="N194" i="20"/>
  <c r="N198" i="20"/>
  <c r="N202" i="20"/>
  <c r="N206" i="20"/>
  <c r="N207" i="20"/>
  <c r="N208" i="20"/>
  <c r="N212" i="20"/>
  <c r="N218" i="20"/>
  <c r="N226" i="20"/>
  <c r="N230" i="20"/>
  <c r="N231" i="20"/>
  <c r="N234" i="20"/>
  <c r="N238" i="20"/>
  <c r="N245" i="20"/>
  <c r="N246" i="20"/>
  <c r="N250" i="20"/>
  <c r="O2" i="20" a="1"/>
  <c r="O2" i="20" s="1"/>
  <c r="O3" i="20" a="1"/>
  <c r="O3" i="20" s="1"/>
  <c r="O4" i="20" a="1"/>
  <c r="O4" i="20" s="1"/>
  <c r="O5" i="20" a="1"/>
  <c r="O5" i="20"/>
  <c r="O6" i="20" a="1"/>
  <c r="O6" i="20" s="1"/>
  <c r="O7" i="20" a="1"/>
  <c r="O7" i="20"/>
  <c r="O8" i="20" a="1"/>
  <c r="O8" i="20" s="1"/>
  <c r="O9" i="20" a="1"/>
  <c r="O9" i="20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/>
  <c r="O19" i="20" a="1"/>
  <c r="O19" i="20" s="1"/>
  <c r="O20" i="20" a="1"/>
  <c r="O20" i="20" s="1"/>
  <c r="O21" i="20" a="1"/>
  <c r="O21" i="20" s="1"/>
  <c r="O22" i="20" a="1"/>
  <c r="O22" i="20" s="1"/>
  <c r="O23" i="20" a="1"/>
  <c r="O23" i="20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/>
  <c r="O31" i="20" a="1"/>
  <c r="O31" i="20" s="1"/>
  <c r="O32" i="20" a="1"/>
  <c r="O32" i="20" s="1"/>
  <c r="O33" i="20" a="1"/>
  <c r="O33" i="20" s="1"/>
  <c r="O34" i="20" a="1"/>
  <c r="O34" i="20" s="1"/>
  <c r="O35" i="20" a="1"/>
  <c r="O35" i="20" s="1"/>
  <c r="O36" i="20" a="1"/>
  <c r="O36" i="20" s="1"/>
  <c r="O37" i="20" a="1"/>
  <c r="O37" i="20"/>
  <c r="O38" i="20" a="1"/>
  <c r="O38" i="20" s="1"/>
  <c r="O39" i="20" a="1"/>
  <c r="O39" i="20" s="1"/>
  <c r="O40" i="20" a="1"/>
  <c r="O40" i="20" s="1"/>
  <c r="O41" i="20" a="1"/>
  <c r="O41" i="20"/>
  <c r="O42" i="20" a="1"/>
  <c r="O42" i="20" s="1"/>
  <c r="O43" i="20" a="1"/>
  <c r="O43" i="20" s="1"/>
  <c r="O44" i="20" a="1"/>
  <c r="O44" i="20" s="1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/>
  <c r="O54" i="20" a="1"/>
  <c r="O54" i="20" s="1"/>
  <c r="O55" i="20" a="1"/>
  <c r="O55" i="20"/>
  <c r="O56" i="20" a="1"/>
  <c r="O56" i="20" s="1"/>
  <c r="O57" i="20" a="1"/>
  <c r="O57" i="20" s="1"/>
  <c r="O58" i="20" a="1"/>
  <c r="O58" i="20" s="1"/>
  <c r="O59" i="20" a="1"/>
  <c r="O59" i="20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 s="1"/>
  <c r="O67" i="20" a="1"/>
  <c r="O67" i="20" s="1"/>
  <c r="O68" i="20" a="1"/>
  <c r="O68" i="20" s="1"/>
  <c r="O69" i="20" a="1"/>
  <c r="O69" i="20" s="1"/>
  <c r="O70" i="20" a="1"/>
  <c r="O70" i="20" s="1"/>
  <c r="O71" i="20" a="1"/>
  <c r="O71" i="20" s="1"/>
  <c r="O72" i="20" a="1"/>
  <c r="O72" i="20" s="1"/>
  <c r="O73" i="20" a="1"/>
  <c r="O73" i="20"/>
  <c r="O74" i="20" a="1"/>
  <c r="O74" i="20" s="1"/>
  <c r="O75" i="20" a="1"/>
  <c r="O75" i="20" s="1"/>
  <c r="O76" i="20" a="1"/>
  <c r="O76" i="20" s="1"/>
  <c r="O77" i="20" a="1"/>
  <c r="O77" i="20" s="1"/>
  <c r="O78" i="20" a="1"/>
  <c r="O78" i="20"/>
  <c r="O79" i="20" a="1"/>
  <c r="O79" i="20" s="1"/>
  <c r="O80" i="20" a="1"/>
  <c r="O80" i="20" s="1"/>
  <c r="O81" i="20" a="1"/>
  <c r="O81" i="20" s="1"/>
  <c r="O82" i="20" a="1"/>
  <c r="O82" i="20"/>
  <c r="O83" i="20" a="1"/>
  <c r="O83" i="20" s="1"/>
  <c r="O84" i="20" a="1"/>
  <c r="O84" i="20" s="1"/>
  <c r="O85" i="20" a="1"/>
  <c r="O85" i="20"/>
  <c r="O86" i="20" a="1"/>
  <c r="O86" i="20" s="1"/>
  <c r="O87" i="20" a="1"/>
  <c r="O87" i="20" s="1"/>
  <c r="O88" i="20" a="1"/>
  <c r="O88" i="20" s="1"/>
  <c r="O89" i="20" a="1"/>
  <c r="O89" i="20" s="1"/>
  <c r="O90" i="20" a="1"/>
  <c r="O90" i="20" s="1"/>
  <c r="O91" i="20" a="1"/>
  <c r="O91" i="20" s="1"/>
  <c r="O92" i="20" a="1"/>
  <c r="O92" i="20" s="1"/>
  <c r="O93" i="20" a="1"/>
  <c r="O93" i="20" s="1"/>
  <c r="O94" i="20" a="1"/>
  <c r="O94" i="20"/>
  <c r="O95" i="20" a="1"/>
  <c r="O95" i="20" s="1"/>
  <c r="O96" i="20" a="1"/>
  <c r="O96" i="20" s="1"/>
  <c r="O97" i="20" a="1"/>
  <c r="O97" i="20" s="1"/>
  <c r="O98" i="20" a="1"/>
  <c r="O98" i="20" s="1"/>
  <c r="O99" i="20" a="1"/>
  <c r="O99" i="20" s="1"/>
  <c r="O100" i="20" a="1"/>
  <c r="O100" i="20" s="1"/>
  <c r="O101" i="20" a="1"/>
  <c r="O101" i="20"/>
  <c r="O102" i="20" a="1"/>
  <c r="O102" i="20" s="1"/>
  <c r="O103" i="20" a="1"/>
  <c r="O103" i="20"/>
  <c r="O104" i="20" a="1"/>
  <c r="O104" i="20" s="1"/>
  <c r="O105" i="20" a="1"/>
  <c r="O105" i="20"/>
  <c r="O106" i="20" a="1"/>
  <c r="O106" i="20" s="1"/>
  <c r="O107" i="20" a="1"/>
  <c r="O107" i="20" s="1"/>
  <c r="O108" i="20" a="1"/>
  <c r="O108" i="20" s="1"/>
  <c r="O109" i="20" a="1"/>
  <c r="O109" i="20" s="1"/>
  <c r="O110" i="20" a="1"/>
  <c r="O110" i="20" s="1"/>
  <c r="O111" i="20" a="1"/>
  <c r="O111" i="20" s="1"/>
  <c r="O112" i="20" a="1"/>
  <c r="O112" i="20" s="1"/>
  <c r="O113" i="20" a="1"/>
  <c r="O113" i="20" s="1"/>
  <c r="O114" i="20" a="1"/>
  <c r="O114" i="20" s="1"/>
  <c r="O115" i="20" a="1"/>
  <c r="O115" i="20" s="1"/>
  <c r="O116" i="20" a="1"/>
  <c r="O116" i="20" s="1"/>
  <c r="O117" i="20" a="1"/>
  <c r="O117" i="20"/>
  <c r="O118" i="20" a="1"/>
  <c r="O118" i="20" s="1"/>
  <c r="O119" i="20" a="1"/>
  <c r="O119" i="20"/>
  <c r="O120" i="20" a="1"/>
  <c r="O120" i="20" s="1"/>
  <c r="O121" i="20" a="1"/>
  <c r="O121" i="20" s="1"/>
  <c r="O122" i="20" a="1"/>
  <c r="O122" i="20" s="1"/>
  <c r="O123" i="20" a="1"/>
  <c r="O123" i="20"/>
  <c r="O124" i="20" a="1"/>
  <c r="O124" i="20" s="1"/>
  <c r="O125" i="20" a="1"/>
  <c r="O125" i="20" s="1"/>
  <c r="O126" i="20" a="1"/>
  <c r="O126" i="20" s="1"/>
  <c r="O127" i="20" a="1"/>
  <c r="O127" i="20" s="1"/>
  <c r="O128" i="20" a="1"/>
  <c r="O128" i="20" s="1"/>
  <c r="O129" i="20" a="1"/>
  <c r="O129" i="20" s="1"/>
  <c r="O130" i="20" a="1"/>
  <c r="O130" i="20" s="1"/>
  <c r="O131" i="20" a="1"/>
  <c r="O131" i="20" s="1"/>
  <c r="O132" i="20" a="1"/>
  <c r="O132" i="20" s="1"/>
  <c r="O133" i="20" a="1"/>
  <c r="O133" i="20" s="1"/>
  <c r="O134" i="20" a="1"/>
  <c r="O134" i="20" s="1"/>
  <c r="O135" i="20" a="1"/>
  <c r="O135" i="20"/>
  <c r="O136" i="20" a="1"/>
  <c r="O136" i="20" s="1"/>
  <c r="O137" i="20" a="1"/>
  <c r="O137" i="20" s="1"/>
  <c r="O138" i="20" a="1"/>
  <c r="O138" i="20" s="1"/>
  <c r="O139" i="20" a="1"/>
  <c r="O139" i="20" s="1"/>
  <c r="O140" i="20" a="1"/>
  <c r="O140" i="20" s="1"/>
  <c r="O141" i="20" a="1"/>
  <c r="O141" i="20" s="1"/>
  <c r="O142" i="20" a="1"/>
  <c r="O142" i="20"/>
  <c r="O143" i="20" a="1"/>
  <c r="O143" i="20" s="1"/>
  <c r="O144" i="20" a="1"/>
  <c r="O144" i="20" s="1"/>
  <c r="O145" i="20" a="1"/>
  <c r="O145" i="20" s="1"/>
  <c r="O146" i="20" a="1"/>
  <c r="O146" i="20" s="1"/>
  <c r="O147" i="20" a="1"/>
  <c r="O147" i="20" s="1"/>
  <c r="O148" i="20" a="1"/>
  <c r="O148" i="20" s="1"/>
  <c r="O149" i="20" a="1"/>
  <c r="O149" i="20"/>
  <c r="O150" i="20" a="1"/>
  <c r="O150" i="20" s="1"/>
  <c r="O151" i="20" a="1"/>
  <c r="O151" i="20" s="1"/>
  <c r="O152" i="20" a="1"/>
  <c r="O152" i="20" s="1"/>
  <c r="O153" i="20" a="1"/>
  <c r="O153" i="20" s="1"/>
  <c r="O154" i="20" a="1"/>
  <c r="O154" i="20" s="1"/>
  <c r="O155" i="20" a="1"/>
  <c r="O155" i="20"/>
  <c r="O156" i="20" a="1"/>
  <c r="O156" i="20" s="1"/>
  <c r="O157" i="20" a="1"/>
  <c r="O157" i="20" s="1"/>
  <c r="O158" i="20" a="1"/>
  <c r="O158" i="20" s="1"/>
  <c r="O159" i="20" a="1"/>
  <c r="O159" i="20" s="1"/>
  <c r="O160" i="20" a="1"/>
  <c r="O160" i="20" s="1"/>
  <c r="O161" i="20" a="1"/>
  <c r="O161" i="20" s="1"/>
  <c r="O162" i="20" a="1"/>
  <c r="O162" i="20" s="1"/>
  <c r="O163" i="20" a="1"/>
  <c r="O163" i="20" s="1"/>
  <c r="O164" i="20" a="1"/>
  <c r="O164" i="20" s="1"/>
  <c r="O165" i="20" a="1"/>
  <c r="O165" i="20" s="1"/>
  <c r="O166" i="20" a="1"/>
  <c r="O166" i="20" s="1"/>
  <c r="O167" i="20" a="1"/>
  <c r="O167" i="20"/>
  <c r="O168" i="20" a="1"/>
  <c r="O168" i="20" s="1"/>
  <c r="O169" i="20" a="1"/>
  <c r="O169" i="20"/>
  <c r="O170" i="20" a="1"/>
  <c r="O170" i="20" s="1"/>
  <c r="O171" i="20" a="1"/>
  <c r="O171" i="20" s="1"/>
  <c r="O172" i="20" a="1"/>
  <c r="O172" i="20" s="1"/>
  <c r="O173" i="20" a="1"/>
  <c r="O173" i="20" s="1"/>
  <c r="O174" i="20" a="1"/>
  <c r="O174" i="20"/>
  <c r="O175" i="20" a="1"/>
  <c r="O175" i="20" s="1"/>
  <c r="O176" i="20" a="1"/>
  <c r="O176" i="20" s="1"/>
  <c r="O177" i="20" a="1"/>
  <c r="O177" i="20" s="1"/>
  <c r="O178" i="20" a="1"/>
  <c r="O178" i="20"/>
  <c r="O179" i="20" a="1"/>
  <c r="O179" i="20" s="1"/>
  <c r="O180" i="20" a="1"/>
  <c r="O180" i="20" s="1"/>
  <c r="O181" i="20" a="1"/>
  <c r="O181" i="20" s="1"/>
  <c r="O182" i="20" a="1"/>
  <c r="O182" i="20" s="1"/>
  <c r="O183" i="20" a="1"/>
  <c r="O183" i="20" s="1"/>
  <c r="O184" i="20" a="1"/>
  <c r="O184" i="20" s="1"/>
  <c r="O185" i="20" a="1"/>
  <c r="O185" i="20" s="1"/>
  <c r="O186" i="20" a="1"/>
  <c r="O186" i="20" s="1"/>
  <c r="O187" i="20" a="1"/>
  <c r="O187" i="20" s="1"/>
  <c r="O188" i="20" a="1"/>
  <c r="O188" i="20" s="1"/>
  <c r="O189" i="20" a="1"/>
  <c r="O189" i="20" s="1"/>
  <c r="O190" i="20" a="1"/>
  <c r="O190" i="20"/>
  <c r="O191" i="20" a="1"/>
  <c r="O191" i="20" s="1"/>
  <c r="O192" i="20" a="1"/>
  <c r="O192" i="20" s="1"/>
  <c r="O193" i="20" a="1"/>
  <c r="O193" i="20" s="1"/>
  <c r="O194" i="20" a="1"/>
  <c r="O194" i="20" s="1"/>
  <c r="O195" i="20" a="1"/>
  <c r="O195" i="20" s="1"/>
  <c r="O196" i="20" a="1"/>
  <c r="O196" i="20" s="1"/>
  <c r="O197" i="20" a="1"/>
  <c r="O197" i="20"/>
  <c r="O198" i="20" a="1"/>
  <c r="O198" i="20" s="1"/>
  <c r="O199" i="20" a="1"/>
  <c r="O199" i="20"/>
  <c r="O200" i="20" a="1"/>
  <c r="O200" i="20" s="1"/>
  <c r="O201" i="20" a="1"/>
  <c r="O201" i="20" s="1"/>
  <c r="O202" i="20" a="1"/>
  <c r="O202" i="20" s="1"/>
  <c r="O203" i="20" a="1"/>
  <c r="O203" i="20" s="1"/>
  <c r="O204" i="20" a="1"/>
  <c r="O204" i="20" s="1"/>
  <c r="O205" i="20" a="1"/>
  <c r="O205" i="20" s="1"/>
  <c r="O206" i="20" a="1"/>
  <c r="O206" i="20" s="1"/>
  <c r="O207" i="20" a="1"/>
  <c r="O207" i="20" s="1"/>
  <c r="O208" i="20" a="1"/>
  <c r="O208" i="20" s="1"/>
  <c r="O209" i="20" a="1"/>
  <c r="O209" i="20" s="1"/>
  <c r="O210" i="20" a="1"/>
  <c r="O210" i="20"/>
  <c r="O211" i="20" a="1"/>
  <c r="O211" i="20" s="1"/>
  <c r="O212" i="20" a="1"/>
  <c r="O212" i="20" s="1"/>
  <c r="O213" i="20" a="1"/>
  <c r="O213" i="20"/>
  <c r="O214" i="20" a="1"/>
  <c r="O214" i="20" s="1"/>
  <c r="O215" i="20" a="1"/>
  <c r="O215" i="20"/>
  <c r="O216" i="20" a="1"/>
  <c r="O216" i="20" s="1"/>
  <c r="O217" i="20" a="1"/>
  <c r="O217" i="20" s="1"/>
  <c r="O218" i="20" a="1"/>
  <c r="O218" i="20" s="1"/>
  <c r="O219" i="20" a="1"/>
  <c r="O219" i="20"/>
  <c r="O220" i="20" a="1"/>
  <c r="O220" i="20" s="1"/>
  <c r="O221" i="20" a="1"/>
  <c r="O221" i="20" s="1"/>
  <c r="O222" i="20" a="1"/>
  <c r="O222" i="20"/>
  <c r="O223" i="20" a="1"/>
  <c r="O223" i="20" s="1"/>
  <c r="O224" i="20" a="1"/>
  <c r="O224" i="20" s="1"/>
  <c r="O225" i="20" a="1"/>
  <c r="O225" i="20" s="1"/>
  <c r="O226" i="20" a="1"/>
  <c r="O226" i="20" s="1"/>
  <c r="O227" i="20" a="1"/>
  <c r="O227" i="20" s="1"/>
  <c r="O228" i="20" a="1"/>
  <c r="O228" i="20" s="1"/>
  <c r="O229" i="20" a="1"/>
  <c r="O229" i="20"/>
  <c r="O230" i="20" a="1"/>
  <c r="O230" i="20" s="1"/>
  <c r="O231" i="20" a="1"/>
  <c r="O231" i="20" s="1"/>
  <c r="O232" i="20" a="1"/>
  <c r="O232" i="20" s="1"/>
  <c r="O233" i="20" a="1"/>
  <c r="O233" i="20" s="1"/>
  <c r="O234" i="20" a="1"/>
  <c r="O234" i="20" s="1"/>
  <c r="O235" i="20" a="1"/>
  <c r="O235" i="20" s="1"/>
  <c r="O236" i="20" a="1"/>
  <c r="O236" i="20" s="1"/>
  <c r="O237" i="20" a="1"/>
  <c r="O237" i="20" s="1"/>
  <c r="O238" i="20" a="1"/>
  <c r="O238" i="20"/>
  <c r="O239" i="20" a="1"/>
  <c r="O239" i="20" s="1"/>
  <c r="O240" i="20" a="1"/>
  <c r="O240" i="20" s="1"/>
  <c r="O241" i="20" a="1"/>
  <c r="O241" i="20" s="1"/>
  <c r="O242" i="20" a="1"/>
  <c r="O242" i="20"/>
  <c r="O243" i="20" a="1"/>
  <c r="O243" i="20" s="1"/>
  <c r="O244" i="20" a="1"/>
  <c r="O244" i="20" s="1"/>
  <c r="O245" i="20" a="1"/>
  <c r="O245" i="20" s="1"/>
  <c r="O246" i="20" a="1"/>
  <c r="O246" i="20" s="1"/>
  <c r="O247" i="20" a="1"/>
  <c r="O247" i="20"/>
  <c r="O248" i="20" a="1"/>
  <c r="O248" i="20" s="1"/>
  <c r="O249" i="20" a="1"/>
  <c r="O249" i="20" s="1"/>
  <c r="O250" i="20" a="1"/>
  <c r="O250" i="20" s="1"/>
  <c r="O251" i="20" a="1"/>
  <c r="O251" i="20" s="1"/>
  <c r="P2" i="20" a="1"/>
  <c r="P2" i="20" s="1"/>
  <c r="P3" i="20" a="1"/>
  <c r="P3" i="20" s="1"/>
  <c r="P4" i="20" a="1"/>
  <c r="P4" i="20"/>
  <c r="P5" i="20" a="1"/>
  <c r="P5" i="20" s="1"/>
  <c r="P6" i="20" a="1"/>
  <c r="P6" i="20" s="1"/>
  <c r="P7" i="20" a="1"/>
  <c r="P7" i="20" s="1"/>
  <c r="P8" i="20" a="1"/>
  <c r="P8" i="20" s="1"/>
  <c r="P9" i="20" a="1"/>
  <c r="P9" i="20" s="1"/>
  <c r="P10" i="20" a="1"/>
  <c r="P10" i="20" s="1"/>
  <c r="P11" i="20" a="1"/>
  <c r="P11" i="20"/>
  <c r="P12" i="20" a="1"/>
  <c r="P12" i="20" s="1"/>
  <c r="P13" i="20" a="1"/>
  <c r="P13" i="20"/>
  <c r="P14" i="20" a="1"/>
  <c r="P14" i="20" s="1"/>
  <c r="P15" i="20" a="1"/>
  <c r="P15" i="20"/>
  <c r="P16" i="20" a="1"/>
  <c r="P16" i="20" s="1"/>
  <c r="P17" i="20" a="1"/>
  <c r="P17" i="20" s="1"/>
  <c r="P18" i="20" a="1"/>
  <c r="P18" i="20" s="1"/>
  <c r="P19" i="20" a="1"/>
  <c r="P19" i="20" s="1"/>
  <c r="P20" i="20" a="1"/>
  <c r="P20" i="20" s="1"/>
  <c r="P21" i="20" a="1"/>
  <c r="P21" i="20" s="1"/>
  <c r="P22" i="20" a="1"/>
  <c r="P22" i="20" s="1"/>
  <c r="P23" i="20" a="1"/>
  <c r="P23" i="20" s="1"/>
  <c r="P24" i="20" a="1"/>
  <c r="P24" i="20"/>
  <c r="P25" i="20" a="1"/>
  <c r="P25" i="20" s="1"/>
  <c r="P26" i="20" a="1"/>
  <c r="P26" i="20" s="1"/>
  <c r="P27" i="20" a="1"/>
  <c r="P27" i="20" s="1"/>
  <c r="P28" i="20" a="1"/>
  <c r="P28" i="20" s="1"/>
  <c r="P29" i="20" a="1"/>
  <c r="P29" i="20" s="1"/>
  <c r="P30" i="20" a="1"/>
  <c r="P30" i="20" s="1"/>
  <c r="P31" i="20" a="1"/>
  <c r="P31" i="20" s="1"/>
  <c r="P32" i="20" a="1"/>
  <c r="P32" i="20" s="1"/>
  <c r="P33" i="20" a="1"/>
  <c r="P33" i="20" s="1"/>
  <c r="P34" i="20" a="1"/>
  <c r="P34" i="20" s="1"/>
  <c r="P35" i="20" a="1"/>
  <c r="P35" i="20" s="1"/>
  <c r="P36" i="20" a="1"/>
  <c r="P36" i="20"/>
  <c r="P37" i="20" a="1"/>
  <c r="P37" i="20" s="1"/>
  <c r="P38" i="20" a="1"/>
  <c r="P38" i="20" s="1"/>
  <c r="P39" i="20" a="1"/>
  <c r="P39" i="20" s="1"/>
  <c r="P40" i="20" a="1"/>
  <c r="P40" i="20" s="1"/>
  <c r="P41" i="20" a="1"/>
  <c r="P41" i="20" s="1"/>
  <c r="P42" i="20" a="1"/>
  <c r="P42" i="20" s="1"/>
  <c r="P43" i="20" a="1"/>
  <c r="P43" i="20"/>
  <c r="P44" i="20" a="1"/>
  <c r="P44" i="20" s="1"/>
  <c r="P45" i="20" a="1"/>
  <c r="P45" i="20" s="1"/>
  <c r="P46" i="20" a="1"/>
  <c r="P46" i="20" s="1"/>
  <c r="P47" i="20" a="1"/>
  <c r="P47" i="20" s="1"/>
  <c r="P48" i="20" a="1"/>
  <c r="P48" i="20" s="1"/>
  <c r="P49" i="20" a="1"/>
  <c r="P49" i="20" s="1"/>
  <c r="P50" i="20" a="1"/>
  <c r="P50" i="20" s="1"/>
  <c r="P51" i="20" a="1"/>
  <c r="P51" i="20" s="1"/>
  <c r="P52" i="20" a="1"/>
  <c r="P52" i="20" s="1"/>
  <c r="P53" i="20" a="1"/>
  <c r="P53" i="20" s="1"/>
  <c r="P54" i="20" a="1"/>
  <c r="P54" i="20" s="1"/>
  <c r="P55" i="20" a="1"/>
  <c r="P55" i="20" s="1"/>
  <c r="P56" i="20" a="1"/>
  <c r="P56" i="20" s="1"/>
  <c r="P57" i="20" a="1"/>
  <c r="P57" i="20" s="1"/>
  <c r="P58" i="20" a="1"/>
  <c r="P58" i="20" s="1"/>
  <c r="P59" i="20" a="1"/>
  <c r="P59" i="20"/>
  <c r="P60" i="20" a="1"/>
  <c r="P60" i="20" s="1"/>
  <c r="P61" i="20" a="1"/>
  <c r="P61" i="20"/>
  <c r="P62" i="20" a="1"/>
  <c r="P62" i="20" s="1"/>
  <c r="P63" i="20" a="1"/>
  <c r="P63" i="20" s="1"/>
  <c r="P64" i="20" a="1"/>
  <c r="P64" i="20" s="1"/>
  <c r="P65" i="20" a="1"/>
  <c r="P65" i="20"/>
  <c r="P66" i="20" a="1"/>
  <c r="P66" i="20" s="1"/>
  <c r="P67" i="20" a="1"/>
  <c r="P67" i="20" s="1"/>
  <c r="P68" i="20" a="1"/>
  <c r="P68" i="20" s="1"/>
  <c r="P69" i="20" a="1"/>
  <c r="P69" i="20" s="1"/>
  <c r="P70" i="20" a="1"/>
  <c r="P70" i="20" s="1"/>
  <c r="P71" i="20" a="1"/>
  <c r="P71" i="20"/>
  <c r="P72" i="20" a="1"/>
  <c r="P72" i="20" s="1"/>
  <c r="P73" i="20" a="1"/>
  <c r="P73" i="20" s="1"/>
  <c r="P74" i="20" a="1"/>
  <c r="P74" i="20" s="1"/>
  <c r="P75" i="20" a="1"/>
  <c r="P75" i="20"/>
  <c r="P76" i="20" a="1"/>
  <c r="P76" i="20" s="1"/>
  <c r="P77" i="20" a="1"/>
  <c r="P77" i="20"/>
  <c r="P78" i="20" a="1"/>
  <c r="P78" i="20" s="1"/>
  <c r="P79" i="20" a="1"/>
  <c r="P79" i="20"/>
  <c r="P80" i="20" a="1"/>
  <c r="P80" i="20" s="1"/>
  <c r="P81" i="20" a="1"/>
  <c r="P81" i="20" s="1"/>
  <c r="P82" i="20" a="1"/>
  <c r="P82" i="20" s="1"/>
  <c r="P83" i="20" a="1"/>
  <c r="P83" i="20" s="1"/>
  <c r="P84" i="20" a="1"/>
  <c r="P84" i="20" s="1"/>
  <c r="P85" i="20" a="1"/>
  <c r="P85" i="20" s="1"/>
  <c r="P86" i="20" a="1"/>
  <c r="P86" i="20" s="1"/>
  <c r="P87" i="20" a="1"/>
  <c r="P87" i="20" s="1"/>
  <c r="P88" i="20" a="1"/>
  <c r="P88" i="20" s="1"/>
  <c r="P89" i="20" a="1"/>
  <c r="P89" i="20" s="1"/>
  <c r="P90" i="20" a="1"/>
  <c r="P90" i="20" s="1"/>
  <c r="P91" i="20" a="1"/>
  <c r="P91" i="20"/>
  <c r="P92" i="20" a="1"/>
  <c r="P92" i="20" s="1"/>
  <c r="P93" i="20" a="1"/>
  <c r="P93" i="20" s="1"/>
  <c r="P94" i="20" a="1"/>
  <c r="P94" i="20" s="1"/>
  <c r="P95" i="20" a="1"/>
  <c r="P95" i="20"/>
  <c r="P96" i="20" a="1"/>
  <c r="P96" i="20" s="1"/>
  <c r="P97" i="20" a="1"/>
  <c r="P97" i="20" s="1"/>
  <c r="P98" i="20" a="1"/>
  <c r="P98" i="20" s="1"/>
  <c r="P99" i="20" a="1"/>
  <c r="P99" i="20" s="1"/>
  <c r="P100" i="20" a="1"/>
  <c r="P100" i="20"/>
  <c r="P101" i="20" a="1"/>
  <c r="P101" i="20" s="1"/>
  <c r="P102" i="20" a="1"/>
  <c r="P102" i="20" s="1"/>
  <c r="P103" i="20" a="1"/>
  <c r="P103" i="20" s="1"/>
  <c r="P104" i="20" a="1"/>
  <c r="P104" i="20" s="1"/>
  <c r="P105" i="20" a="1"/>
  <c r="P105" i="20"/>
  <c r="P106" i="20" a="1"/>
  <c r="P106" i="20" s="1"/>
  <c r="P107" i="20" a="1"/>
  <c r="P107" i="20" s="1"/>
  <c r="P108" i="20" a="1"/>
  <c r="P108" i="20" s="1"/>
  <c r="P109" i="20" a="1"/>
  <c r="P109" i="20" s="1"/>
  <c r="P110" i="20" a="1"/>
  <c r="P110" i="20" s="1"/>
  <c r="P111" i="20" a="1"/>
  <c r="P111" i="20" s="1"/>
  <c r="P112" i="20" a="1"/>
  <c r="P112" i="20"/>
  <c r="P113" i="20" a="1"/>
  <c r="P113" i="20"/>
  <c r="P114" i="20" a="1"/>
  <c r="P114" i="20" s="1"/>
  <c r="P115" i="20" a="1"/>
  <c r="P115" i="20" s="1"/>
  <c r="P116" i="20" a="1"/>
  <c r="P116" i="20" s="1"/>
  <c r="P117" i="20" a="1"/>
  <c r="P117" i="20"/>
  <c r="P118" i="20" a="1"/>
  <c r="P118" i="20" s="1"/>
  <c r="P119" i="20" a="1"/>
  <c r="P119" i="20" s="1"/>
  <c r="P120" i="20" a="1"/>
  <c r="P120" i="20"/>
  <c r="P121" i="20" a="1"/>
  <c r="P121" i="20" s="1"/>
  <c r="P122" i="20" a="1"/>
  <c r="P122" i="20" s="1"/>
  <c r="P123" i="20" a="1"/>
  <c r="P123" i="20"/>
  <c r="P124" i="20" a="1"/>
  <c r="P124" i="20" s="1"/>
  <c r="P125" i="20" a="1"/>
  <c r="P125" i="20" s="1"/>
  <c r="P126" i="20" a="1"/>
  <c r="P126" i="20" s="1"/>
  <c r="P127" i="20" a="1"/>
  <c r="P127" i="20" s="1"/>
  <c r="P128" i="20" a="1"/>
  <c r="P128" i="20" s="1"/>
  <c r="P129" i="20" a="1"/>
  <c r="P129" i="20"/>
  <c r="P130" i="20" a="1"/>
  <c r="P130" i="20" s="1"/>
  <c r="P131" i="20" a="1"/>
  <c r="P131" i="20" s="1"/>
  <c r="P132" i="20" a="1"/>
  <c r="P132" i="20" s="1"/>
  <c r="P133" i="20" a="1"/>
  <c r="P133" i="20" s="1"/>
  <c r="P134" i="20" a="1"/>
  <c r="P134" i="20" s="1"/>
  <c r="P135" i="20" a="1"/>
  <c r="P135" i="20" s="1"/>
  <c r="P136" i="20" a="1"/>
  <c r="P136" i="20" s="1"/>
  <c r="P137" i="20" a="1"/>
  <c r="P137" i="20" s="1"/>
  <c r="P138" i="20" a="1"/>
  <c r="P138" i="20" s="1"/>
  <c r="P139" i="20" a="1"/>
  <c r="P139" i="20" s="1"/>
  <c r="P140" i="20" a="1"/>
  <c r="P140" i="20" s="1"/>
  <c r="P141" i="20" a="1"/>
  <c r="P141" i="20"/>
  <c r="P142" i="20" a="1"/>
  <c r="P142" i="20" s="1"/>
  <c r="P143" i="20" a="1"/>
  <c r="P143" i="20" s="1"/>
  <c r="P144" i="20" a="1"/>
  <c r="P144" i="20" s="1"/>
  <c r="P145" i="20" a="1"/>
  <c r="P145" i="20" s="1"/>
  <c r="P146" i="20" a="1"/>
  <c r="P146" i="20" s="1"/>
  <c r="P147" i="20" a="1"/>
  <c r="P147" i="20" s="1"/>
  <c r="P148" i="20" a="1"/>
  <c r="P148" i="20"/>
  <c r="P149" i="20" a="1"/>
  <c r="P149" i="20"/>
  <c r="P150" i="20" a="1"/>
  <c r="P150" i="20" s="1"/>
  <c r="P151" i="20" a="1"/>
  <c r="P151" i="20" s="1"/>
  <c r="P152" i="20" a="1"/>
  <c r="P152" i="20" s="1"/>
  <c r="P153" i="20" a="1"/>
  <c r="P153" i="20" s="1"/>
  <c r="P154" i="20" a="1"/>
  <c r="P154" i="20" s="1"/>
  <c r="P155" i="20" a="1"/>
  <c r="P155" i="20"/>
  <c r="P156" i="20" a="1"/>
  <c r="P156" i="20" s="1"/>
  <c r="P157" i="20" a="1"/>
  <c r="P157" i="20" s="1"/>
  <c r="P158" i="20" a="1"/>
  <c r="P158" i="20" s="1"/>
  <c r="P159" i="20" a="1"/>
  <c r="P159" i="20" s="1"/>
  <c r="P160" i="20" a="1"/>
  <c r="P160" i="20" s="1"/>
  <c r="P161" i="20" a="1"/>
  <c r="P161" i="20" s="1"/>
  <c r="P162" i="20" a="1"/>
  <c r="P162" i="20" s="1"/>
  <c r="P163" i="20" a="1"/>
  <c r="P163" i="20"/>
  <c r="P164" i="20" a="1"/>
  <c r="P164" i="20"/>
  <c r="P165" i="20" a="1"/>
  <c r="P165" i="20" s="1"/>
  <c r="P166" i="20" a="1"/>
  <c r="P166" i="20" s="1"/>
  <c r="P167" i="20" a="1"/>
  <c r="P167" i="20" s="1"/>
  <c r="P168" i="20" a="1"/>
  <c r="P168" i="20" s="1"/>
  <c r="P169" i="20" a="1"/>
  <c r="P169" i="20" s="1"/>
  <c r="P170" i="20" a="1"/>
  <c r="P170" i="20" s="1"/>
  <c r="P171" i="20" a="1"/>
  <c r="P171" i="20"/>
  <c r="P172" i="20" a="1"/>
  <c r="P172" i="20" s="1"/>
  <c r="P173" i="20" a="1"/>
  <c r="P173" i="20"/>
  <c r="P174" i="20" a="1"/>
  <c r="P174" i="20" s="1"/>
  <c r="P175" i="20" a="1"/>
  <c r="P175" i="20" s="1"/>
  <c r="P176" i="20" a="1"/>
  <c r="P176" i="20" s="1"/>
  <c r="P177" i="20" a="1"/>
  <c r="P177" i="20" s="1"/>
  <c r="P178" i="20" a="1"/>
  <c r="P178" i="20" s="1"/>
  <c r="P179" i="20" a="1"/>
  <c r="P179" i="20" s="1"/>
  <c r="P180" i="20" a="1"/>
  <c r="P180" i="20"/>
  <c r="P181" i="20" a="1"/>
  <c r="P181" i="20"/>
  <c r="P182" i="20" a="1"/>
  <c r="P182" i="20" s="1"/>
  <c r="P183" i="20" a="1"/>
  <c r="P183" i="20" s="1"/>
  <c r="P184" i="20" a="1"/>
  <c r="P184" i="20" s="1"/>
  <c r="P185" i="20" a="1"/>
  <c r="P185" i="20" s="1"/>
  <c r="P186" i="20" a="1"/>
  <c r="P186" i="20" s="1"/>
  <c r="P187" i="20" a="1"/>
  <c r="P187" i="20"/>
  <c r="P188" i="20" a="1"/>
  <c r="P188" i="20" s="1"/>
  <c r="P189" i="20" a="1"/>
  <c r="P189" i="20"/>
  <c r="P190" i="20" a="1"/>
  <c r="P190" i="20" s="1"/>
  <c r="P191" i="20" a="1"/>
  <c r="P191" i="20" s="1"/>
  <c r="P192" i="20" a="1"/>
  <c r="P192" i="20" s="1"/>
  <c r="P193" i="20" a="1"/>
  <c r="P193" i="20" s="1"/>
  <c r="P194" i="20" a="1"/>
  <c r="P194" i="20" s="1"/>
  <c r="P195" i="20" a="1"/>
  <c r="P195" i="20" s="1"/>
  <c r="P196" i="20" a="1"/>
  <c r="P196" i="20" s="1"/>
  <c r="P197" i="20" a="1"/>
  <c r="P197" i="20" s="1"/>
  <c r="P198" i="20" a="1"/>
  <c r="P198" i="20" s="1"/>
  <c r="P199" i="20" a="1"/>
  <c r="P199" i="20" s="1"/>
  <c r="P200" i="20" a="1"/>
  <c r="P200" i="20" s="1"/>
  <c r="P201" i="20" a="1"/>
  <c r="P201" i="20" s="1"/>
  <c r="P202" i="20" a="1"/>
  <c r="P202" i="20" s="1"/>
  <c r="P203" i="20" a="1"/>
  <c r="P203" i="20" s="1"/>
  <c r="P204" i="20" a="1"/>
  <c r="P204" i="20" s="1"/>
  <c r="P205" i="20" a="1"/>
  <c r="P205" i="20"/>
  <c r="P206" i="20" a="1"/>
  <c r="P206" i="20" s="1"/>
  <c r="P207" i="20" a="1"/>
  <c r="P207" i="20" s="1"/>
  <c r="P208" i="20" a="1"/>
  <c r="P208" i="20" s="1"/>
  <c r="P209" i="20" a="1"/>
  <c r="P209" i="20" s="1"/>
  <c r="P210" i="20" a="1"/>
  <c r="P210" i="20" s="1"/>
  <c r="P211" i="20" a="1"/>
  <c r="P211" i="20" s="1"/>
  <c r="P212" i="20" a="1"/>
  <c r="P212" i="20" s="1"/>
  <c r="P213" i="20" a="1"/>
  <c r="P213" i="20"/>
  <c r="P214" i="20" a="1"/>
  <c r="P214" i="20" s="1"/>
  <c r="P215" i="20" a="1"/>
  <c r="P215" i="20" s="1"/>
  <c r="P216" i="20" a="1"/>
  <c r="P216" i="20" s="1"/>
  <c r="P217" i="20" a="1"/>
  <c r="P217" i="20" s="1"/>
  <c r="P218" i="20" a="1"/>
  <c r="P218" i="20" s="1"/>
  <c r="P219" i="20" a="1"/>
  <c r="P219" i="20"/>
  <c r="P220" i="20" a="1"/>
  <c r="P220" i="20" s="1"/>
  <c r="P221" i="20" a="1"/>
  <c r="P221" i="20" s="1"/>
  <c r="P222" i="20" a="1"/>
  <c r="P222" i="20" s="1"/>
  <c r="P223" i="20" a="1"/>
  <c r="P223" i="20" s="1"/>
  <c r="P224" i="20" a="1"/>
  <c r="P224" i="20" s="1"/>
  <c r="P225" i="20" a="1"/>
  <c r="P225" i="20" s="1"/>
  <c r="P226" i="20" a="1"/>
  <c r="P226" i="20" s="1"/>
  <c r="P227" i="20" a="1"/>
  <c r="P227" i="20"/>
  <c r="P228" i="20" a="1"/>
  <c r="P228" i="20" s="1"/>
  <c r="P229" i="20" a="1"/>
  <c r="P229" i="20" s="1"/>
  <c r="P230" i="20" a="1"/>
  <c r="P230" i="20" s="1"/>
  <c r="P231" i="20" a="1"/>
  <c r="P231" i="20" s="1"/>
  <c r="P232" i="20" a="1"/>
  <c r="P232" i="20" s="1"/>
  <c r="P233" i="20" a="1"/>
  <c r="P233" i="20" s="1"/>
  <c r="P234" i="20" a="1"/>
  <c r="P234" i="20" s="1"/>
  <c r="P235" i="20" a="1"/>
  <c r="P235" i="20" s="1"/>
  <c r="P236" i="20" a="1"/>
  <c r="P236" i="20"/>
  <c r="P237" i="20" a="1"/>
  <c r="P237" i="20" s="1"/>
  <c r="P238" i="20" a="1"/>
  <c r="P238" i="20" s="1"/>
  <c r="P239" i="20" a="1"/>
  <c r="P239" i="20" s="1"/>
  <c r="P240" i="20" a="1"/>
  <c r="P240" i="20" s="1"/>
  <c r="P241" i="20" a="1"/>
  <c r="P241" i="20" s="1"/>
  <c r="P242" i="20" a="1"/>
  <c r="P242" i="20" s="1"/>
  <c r="P243" i="20" a="1"/>
  <c r="P243" i="20" s="1"/>
  <c r="P244" i="20" a="1"/>
  <c r="P244" i="20" s="1"/>
  <c r="P245" i="20" a="1"/>
  <c r="P245" i="20" s="1"/>
  <c r="P246" i="20" a="1"/>
  <c r="P246" i="20" s="1"/>
  <c r="P247" i="20" a="1"/>
  <c r="P247" i="20" s="1"/>
  <c r="P248" i="20" a="1"/>
  <c r="P248" i="20" s="1"/>
  <c r="P249" i="20" a="1"/>
  <c r="P249" i="20" s="1"/>
  <c r="P250" i="20" a="1"/>
  <c r="P250" i="20" s="1"/>
  <c r="P251" i="20" a="1"/>
  <c r="P251" i="20" s="1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1" i="18"/>
  <c r="M92" i="18"/>
  <c r="M93" i="18"/>
  <c r="M94" i="18"/>
  <c r="M95" i="18"/>
  <c r="M96" i="18"/>
  <c r="M97" i="18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M114" i="18"/>
  <c r="M115" i="18"/>
  <c r="M116" i="18"/>
  <c r="M117" i="18"/>
  <c r="M118" i="18"/>
  <c r="M119" i="18"/>
  <c r="M120" i="18"/>
  <c r="M121" i="18"/>
  <c r="M122" i="18"/>
  <c r="M123" i="18"/>
  <c r="M124" i="18"/>
  <c r="M125" i="18"/>
  <c r="M126" i="18"/>
  <c r="M127" i="18"/>
  <c r="M128" i="18"/>
  <c r="M129" i="18"/>
  <c r="M130" i="18"/>
  <c r="M131" i="18"/>
  <c r="M132" i="18"/>
  <c r="M133" i="18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M146" i="18"/>
  <c r="M147" i="18"/>
  <c r="M148" i="18"/>
  <c r="M149" i="18"/>
  <c r="M150" i="18"/>
  <c r="M151" i="18"/>
  <c r="M152" i="18"/>
  <c r="M153" i="18"/>
  <c r="M154" i="18"/>
  <c r="M155" i="18"/>
  <c r="M156" i="18"/>
  <c r="M157" i="18"/>
  <c r="M158" i="18"/>
  <c r="M159" i="18"/>
  <c r="M160" i="18"/>
  <c r="M161" i="18"/>
  <c r="M162" i="18"/>
  <c r="M163" i="18"/>
  <c r="M164" i="18"/>
  <c r="M165" i="18"/>
  <c r="M166" i="18"/>
  <c r="M167" i="18"/>
  <c r="M168" i="18"/>
  <c r="M169" i="18"/>
  <c r="M170" i="18"/>
  <c r="M171" i="18"/>
  <c r="M172" i="18"/>
  <c r="M173" i="18"/>
  <c r="M174" i="18"/>
  <c r="M175" i="18"/>
  <c r="M176" i="18"/>
  <c r="M177" i="18"/>
  <c r="M178" i="18"/>
  <c r="M179" i="18"/>
  <c r="M180" i="18"/>
  <c r="M181" i="18"/>
  <c r="M182" i="18"/>
  <c r="M183" i="18"/>
  <c r="M184" i="18"/>
  <c r="M185" i="18"/>
  <c r="M186" i="18"/>
  <c r="M187" i="18"/>
  <c r="M188" i="18"/>
  <c r="M189" i="18"/>
  <c r="M190" i="18"/>
  <c r="M191" i="18"/>
  <c r="M192" i="18"/>
  <c r="M193" i="18"/>
  <c r="M194" i="18"/>
  <c r="M195" i="18"/>
  <c r="M196" i="18"/>
  <c r="M197" i="18"/>
  <c r="M198" i="18"/>
  <c r="M199" i="18"/>
  <c r="M200" i="18"/>
  <c r="M201" i="18"/>
  <c r="M202" i="18"/>
  <c r="M203" i="18"/>
  <c r="M204" i="18"/>
  <c r="M205" i="18"/>
  <c r="M206" i="18"/>
  <c r="M207" i="18"/>
  <c r="M208" i="18"/>
  <c r="M209" i="18"/>
  <c r="M210" i="18"/>
  <c r="M211" i="18"/>
  <c r="M212" i="18"/>
  <c r="M213" i="18"/>
  <c r="M214" i="18"/>
  <c r="M215" i="18"/>
  <c r="M216" i="18"/>
  <c r="M217" i="18"/>
  <c r="M218" i="18"/>
  <c r="M219" i="18"/>
  <c r="M220" i="18"/>
  <c r="M221" i="18"/>
  <c r="M222" i="18"/>
  <c r="M223" i="18"/>
  <c r="M224" i="18"/>
  <c r="M225" i="18"/>
  <c r="M226" i="18"/>
  <c r="M227" i="18"/>
  <c r="M228" i="18"/>
  <c r="M229" i="18"/>
  <c r="M230" i="18"/>
  <c r="M231" i="18"/>
  <c r="M232" i="18"/>
  <c r="M233" i="18"/>
  <c r="M234" i="18"/>
  <c r="M235" i="18"/>
  <c r="M236" i="18"/>
  <c r="M237" i="18"/>
  <c r="M238" i="18"/>
  <c r="M239" i="18"/>
  <c r="M240" i="18"/>
  <c r="M241" i="18"/>
  <c r="M242" i="18"/>
  <c r="M243" i="18"/>
  <c r="M244" i="18"/>
  <c r="M245" i="18"/>
  <c r="M246" i="18"/>
  <c r="M247" i="18"/>
  <c r="M248" i="18"/>
  <c r="M249" i="18"/>
  <c r="M250" i="18"/>
  <c r="M251" i="18"/>
  <c r="N2" i="18" a="1"/>
  <c r="N2" i="18" s="1"/>
  <c r="N3" i="18" a="1"/>
  <c r="N3" i="18" s="1"/>
  <c r="N4" i="18" a="1"/>
  <c r="N4" i="18" s="1"/>
  <c r="N5" i="18" a="1"/>
  <c r="N5" i="18" s="1"/>
  <c r="N6" i="18" a="1"/>
  <c r="N6" i="18" s="1"/>
  <c r="N7" i="18" a="1"/>
  <c r="N7" i="18" s="1"/>
  <c r="N8" i="18" a="1"/>
  <c r="N8" i="18" s="1"/>
  <c r="N9" i="18" a="1"/>
  <c r="N9" i="18" s="1"/>
  <c r="N10" i="18" a="1"/>
  <c r="N10" i="18" s="1"/>
  <c r="N11" i="18" a="1"/>
  <c r="N11" i="18" s="1"/>
  <c r="N12" i="18" a="1"/>
  <c r="N12" i="18" s="1"/>
  <c r="N13" i="18" a="1"/>
  <c r="N13" i="18" s="1"/>
  <c r="N14" i="18" a="1"/>
  <c r="N14" i="18"/>
  <c r="N15" i="18" a="1"/>
  <c r="N15" i="18" s="1"/>
  <c r="N16" i="18" a="1"/>
  <c r="N16" i="18" s="1"/>
  <c r="N17" i="18" a="1"/>
  <c r="N17" i="18" s="1"/>
  <c r="N18" i="18" a="1"/>
  <c r="N18" i="18" s="1"/>
  <c r="N19" i="18" a="1"/>
  <c r="N19" i="18" s="1"/>
  <c r="N20" i="18" a="1"/>
  <c r="N20" i="18" s="1"/>
  <c r="N21" i="18" a="1"/>
  <c r="N21" i="18" s="1"/>
  <c r="N22" i="18" a="1"/>
  <c r="N22" i="18" s="1"/>
  <c r="N23" i="18" a="1"/>
  <c r="N23" i="18" s="1"/>
  <c r="N24" i="18" a="1"/>
  <c r="N24" i="18" s="1"/>
  <c r="N25" i="18" a="1"/>
  <c r="N25" i="18" s="1"/>
  <c r="N26" i="18" a="1"/>
  <c r="N26" i="18" s="1"/>
  <c r="N27" i="18" a="1"/>
  <c r="N27" i="18" s="1"/>
  <c r="N28" i="18" a="1"/>
  <c r="N28" i="18" s="1"/>
  <c r="N29" i="18" a="1"/>
  <c r="N29" i="18" s="1"/>
  <c r="N30" i="18" a="1"/>
  <c r="N30" i="18" s="1"/>
  <c r="N31" i="18" a="1"/>
  <c r="N31" i="18" s="1"/>
  <c r="N32" i="18" a="1"/>
  <c r="N32" i="18" s="1"/>
  <c r="N33" i="18" a="1"/>
  <c r="N33" i="18" s="1"/>
  <c r="N34" i="18" a="1"/>
  <c r="N34" i="18"/>
  <c r="N35" i="18" a="1"/>
  <c r="N35" i="18" s="1"/>
  <c r="N36" i="18" a="1"/>
  <c r="N36" i="18" s="1"/>
  <c r="N37" i="18" a="1"/>
  <c r="N37" i="18" s="1"/>
  <c r="N38" i="18" a="1"/>
  <c r="N38" i="18" s="1"/>
  <c r="N39" i="18" a="1"/>
  <c r="N39" i="18" s="1"/>
  <c r="N40" i="18" a="1"/>
  <c r="N40" i="18" s="1"/>
  <c r="N41" i="18" a="1"/>
  <c r="N41" i="18" s="1"/>
  <c r="N42" i="18" a="1"/>
  <c r="N42" i="18" s="1"/>
  <c r="N43" i="18" a="1"/>
  <c r="N43" i="18" s="1"/>
  <c r="N44" i="18" a="1"/>
  <c r="N44" i="18" s="1"/>
  <c r="N45" i="18" a="1"/>
  <c r="N45" i="18" s="1"/>
  <c r="N46" i="18" a="1"/>
  <c r="N46" i="18" s="1"/>
  <c r="N47" i="18" a="1"/>
  <c r="N47" i="18" s="1"/>
  <c r="N48" i="18" a="1"/>
  <c r="N48" i="18" s="1"/>
  <c r="N49" i="18" a="1"/>
  <c r="N49" i="18" s="1"/>
  <c r="N50" i="18" a="1"/>
  <c r="N50" i="18" s="1"/>
  <c r="N51" i="18" a="1"/>
  <c r="N51" i="18" s="1"/>
  <c r="N52" i="18" a="1"/>
  <c r="N52" i="18" s="1"/>
  <c r="N53" i="18" a="1"/>
  <c r="N53" i="18" s="1"/>
  <c r="N54" i="18" a="1"/>
  <c r="N54" i="18" s="1"/>
  <c r="N55" i="18" a="1"/>
  <c r="N55" i="18" s="1"/>
  <c r="N56" i="18" a="1"/>
  <c r="N56" i="18" s="1"/>
  <c r="N57" i="18" a="1"/>
  <c r="N57" i="18" s="1"/>
  <c r="N58" i="18" a="1"/>
  <c r="N58" i="18" s="1"/>
  <c r="N59" i="18" a="1"/>
  <c r="N59" i="18" s="1"/>
  <c r="N60" i="18" a="1"/>
  <c r="N60" i="18" s="1"/>
  <c r="N61" i="18" a="1"/>
  <c r="N61" i="18" s="1"/>
  <c r="N62" i="18" a="1"/>
  <c r="N62" i="18" s="1"/>
  <c r="N63" i="18" a="1"/>
  <c r="N63" i="18" s="1"/>
  <c r="N64" i="18" a="1"/>
  <c r="N64" i="18" s="1"/>
  <c r="N65" i="18" a="1"/>
  <c r="N65" i="18" s="1"/>
  <c r="N66" i="18" a="1"/>
  <c r="N66" i="18" s="1"/>
  <c r="N67" i="18" a="1"/>
  <c r="N67" i="18" s="1"/>
  <c r="N68" i="18" a="1"/>
  <c r="N68" i="18" s="1"/>
  <c r="N69" i="18" a="1"/>
  <c r="N69" i="18" s="1"/>
  <c r="N70" i="18" a="1"/>
  <c r="N70" i="18" s="1"/>
  <c r="N71" i="18" a="1"/>
  <c r="N71" i="18" s="1"/>
  <c r="N72" i="18" a="1"/>
  <c r="N72" i="18" s="1"/>
  <c r="N73" i="18" a="1"/>
  <c r="N73" i="18" s="1"/>
  <c r="N74" i="18" a="1"/>
  <c r="N74" i="18" s="1"/>
  <c r="N75" i="18" a="1"/>
  <c r="N75" i="18" s="1"/>
  <c r="N76" i="18" a="1"/>
  <c r="N76" i="18" s="1"/>
  <c r="N77" i="18" a="1"/>
  <c r="N77" i="18" s="1"/>
  <c r="N78" i="18" a="1"/>
  <c r="N78" i="18" s="1"/>
  <c r="N79" i="18" a="1"/>
  <c r="N79" i="18" s="1"/>
  <c r="N80" i="18" a="1"/>
  <c r="N80" i="18" s="1"/>
  <c r="N81" i="18" a="1"/>
  <c r="N81" i="18" s="1"/>
  <c r="N82" i="18" a="1"/>
  <c r="N82" i="18" s="1"/>
  <c r="N83" i="18" a="1"/>
  <c r="N83" i="18" s="1"/>
  <c r="N84" i="18" a="1"/>
  <c r="N84" i="18" s="1"/>
  <c r="N85" i="18" a="1"/>
  <c r="N85" i="18" s="1"/>
  <c r="N86" i="18" a="1"/>
  <c r="N86" i="18" s="1"/>
  <c r="N87" i="18" a="1"/>
  <c r="N87" i="18" s="1"/>
  <c r="N88" i="18" a="1"/>
  <c r="N88" i="18" s="1"/>
  <c r="N89" i="18" a="1"/>
  <c r="N89" i="18" s="1"/>
  <c r="N90" i="18" a="1"/>
  <c r="N90" i="18" s="1"/>
  <c r="N91" i="18" a="1"/>
  <c r="N91" i="18" s="1"/>
  <c r="N92" i="18" a="1"/>
  <c r="N92" i="18" s="1"/>
  <c r="N93" i="18" a="1"/>
  <c r="N93" i="18" s="1"/>
  <c r="N94" i="18" a="1"/>
  <c r="N94" i="18" s="1"/>
  <c r="N95" i="18" a="1"/>
  <c r="N95" i="18" s="1"/>
  <c r="N96" i="18" a="1"/>
  <c r="N96" i="18" s="1"/>
  <c r="N97" i="18" a="1"/>
  <c r="N97" i="18" s="1"/>
  <c r="N98" i="18" a="1"/>
  <c r="N98" i="18" s="1"/>
  <c r="N99" i="18" a="1"/>
  <c r="N99" i="18" s="1"/>
  <c r="N100" i="18" a="1"/>
  <c r="N100" i="18" s="1"/>
  <c r="N101" i="18" a="1"/>
  <c r="N101" i="18" s="1"/>
  <c r="N102" i="18" a="1"/>
  <c r="N102" i="18" s="1"/>
  <c r="N103" i="18" a="1"/>
  <c r="N103" i="18" s="1"/>
  <c r="N104" i="18" a="1"/>
  <c r="N104" i="18" s="1"/>
  <c r="N105" i="18" a="1"/>
  <c r="N105" i="18" s="1"/>
  <c r="N106" i="18" a="1"/>
  <c r="N106" i="18" s="1"/>
  <c r="N107" i="18" a="1"/>
  <c r="N107" i="18" s="1"/>
  <c r="N108" i="18" a="1"/>
  <c r="N108" i="18" s="1"/>
  <c r="N109" i="18" a="1"/>
  <c r="N109" i="18" s="1"/>
  <c r="N110" i="18" a="1"/>
  <c r="N110" i="18" s="1"/>
  <c r="N111" i="18" a="1"/>
  <c r="N111" i="18" s="1"/>
  <c r="N112" i="18" a="1"/>
  <c r="N112" i="18" s="1"/>
  <c r="N113" i="18" a="1"/>
  <c r="N113" i="18" s="1"/>
  <c r="N114" i="18" a="1"/>
  <c r="N114" i="18" s="1"/>
  <c r="N115" i="18" a="1"/>
  <c r="N115" i="18" s="1"/>
  <c r="N116" i="18" a="1"/>
  <c r="N116" i="18" s="1"/>
  <c r="N117" i="18" a="1"/>
  <c r="N117" i="18" s="1"/>
  <c r="N118" i="18" a="1"/>
  <c r="N118" i="18" s="1"/>
  <c r="N119" i="18" a="1"/>
  <c r="N119" i="18" s="1"/>
  <c r="N120" i="18" a="1"/>
  <c r="N120" i="18" s="1"/>
  <c r="N121" i="18" a="1"/>
  <c r="N121" i="18" s="1"/>
  <c r="N122" i="18" a="1"/>
  <c r="N122" i="18" s="1"/>
  <c r="N123" i="18" a="1"/>
  <c r="N123" i="18" s="1"/>
  <c r="N124" i="18" a="1"/>
  <c r="N124" i="18" s="1"/>
  <c r="N125" i="18" a="1"/>
  <c r="N125" i="18" s="1"/>
  <c r="N126" i="18" a="1"/>
  <c r="N126" i="18" s="1"/>
  <c r="N127" i="18" a="1"/>
  <c r="N127" i="18" s="1"/>
  <c r="N128" i="18" a="1"/>
  <c r="N128" i="18" s="1"/>
  <c r="N129" i="18" a="1"/>
  <c r="N129" i="18" s="1"/>
  <c r="N130" i="18" a="1"/>
  <c r="N130" i="18" s="1"/>
  <c r="N131" i="18" a="1"/>
  <c r="N131" i="18" s="1"/>
  <c r="N132" i="18" a="1"/>
  <c r="N132" i="18" s="1"/>
  <c r="N133" i="18" a="1"/>
  <c r="N133" i="18" s="1"/>
  <c r="N134" i="18" a="1"/>
  <c r="N134" i="18" s="1"/>
  <c r="N135" i="18" a="1"/>
  <c r="N135" i="18" s="1"/>
  <c r="N136" i="18" a="1"/>
  <c r="N136" i="18" s="1"/>
  <c r="N137" i="18" a="1"/>
  <c r="N137" i="18" s="1"/>
  <c r="N138" i="18" a="1"/>
  <c r="N138" i="18" s="1"/>
  <c r="N139" i="18" a="1"/>
  <c r="N139" i="18" s="1"/>
  <c r="N140" i="18" a="1"/>
  <c r="N140" i="18" s="1"/>
  <c r="N141" i="18" a="1"/>
  <c r="N141" i="18" s="1"/>
  <c r="N142" i="18" a="1"/>
  <c r="N142" i="18" s="1"/>
  <c r="N143" i="18" a="1"/>
  <c r="N143" i="18" s="1"/>
  <c r="N144" i="18" a="1"/>
  <c r="N144" i="18" s="1"/>
  <c r="N145" i="18" a="1"/>
  <c r="N145" i="18" s="1"/>
  <c r="N146" i="18" a="1"/>
  <c r="N146" i="18" s="1"/>
  <c r="N147" i="18" a="1"/>
  <c r="N147" i="18" s="1"/>
  <c r="N148" i="18" a="1"/>
  <c r="N148" i="18" s="1"/>
  <c r="N149" i="18" a="1"/>
  <c r="N149" i="18" s="1"/>
  <c r="N150" i="18" a="1"/>
  <c r="N150" i="18" s="1"/>
  <c r="N151" i="18" a="1"/>
  <c r="N151" i="18" s="1"/>
  <c r="N152" i="18" a="1"/>
  <c r="N152" i="18" s="1"/>
  <c r="N153" i="18" a="1"/>
  <c r="N153" i="18" s="1"/>
  <c r="N154" i="18" a="1"/>
  <c r="N154" i="18" s="1"/>
  <c r="N155" i="18" a="1"/>
  <c r="N155" i="18" s="1"/>
  <c r="N156" i="18" a="1"/>
  <c r="N156" i="18" s="1"/>
  <c r="N157" i="18" a="1"/>
  <c r="N157" i="18" s="1"/>
  <c r="N158" i="18" a="1"/>
  <c r="N158" i="18" s="1"/>
  <c r="N159" i="18" a="1"/>
  <c r="N159" i="18" s="1"/>
  <c r="N160" i="18" a="1"/>
  <c r="N160" i="18" s="1"/>
  <c r="N161" i="18" a="1"/>
  <c r="N161" i="18" s="1"/>
  <c r="N162" i="18" a="1"/>
  <c r="N162" i="18" s="1"/>
  <c r="N163" i="18" a="1"/>
  <c r="N163" i="18" s="1"/>
  <c r="N164" i="18" a="1"/>
  <c r="N164" i="18" s="1"/>
  <c r="N165" i="18" a="1"/>
  <c r="N165" i="18" s="1"/>
  <c r="N166" i="18" a="1"/>
  <c r="N166" i="18" s="1"/>
  <c r="N167" i="18" a="1"/>
  <c r="N167" i="18" s="1"/>
  <c r="N168" i="18" a="1"/>
  <c r="N168" i="18" s="1"/>
  <c r="N169" i="18" a="1"/>
  <c r="N169" i="18" s="1"/>
  <c r="N170" i="18" a="1"/>
  <c r="N170" i="18" s="1"/>
  <c r="N171" i="18" a="1"/>
  <c r="N171" i="18" s="1"/>
  <c r="N172" i="18" a="1"/>
  <c r="N172" i="18" s="1"/>
  <c r="N173" i="18" a="1"/>
  <c r="N173" i="18" s="1"/>
  <c r="N174" i="18" a="1"/>
  <c r="N174" i="18" s="1"/>
  <c r="N175" i="18" a="1"/>
  <c r="N175" i="18" s="1"/>
  <c r="N176" i="18" a="1"/>
  <c r="N176" i="18" s="1"/>
  <c r="N177" i="18" a="1"/>
  <c r="N177" i="18" s="1"/>
  <c r="N178" i="18" a="1"/>
  <c r="N178" i="18" s="1"/>
  <c r="N179" i="18" a="1"/>
  <c r="N179" i="18" s="1"/>
  <c r="N180" i="18" a="1"/>
  <c r="N180" i="18" s="1"/>
  <c r="N181" i="18" a="1"/>
  <c r="N181" i="18" s="1"/>
  <c r="N182" i="18" a="1"/>
  <c r="N182" i="18" s="1"/>
  <c r="N183" i="18" a="1"/>
  <c r="N183" i="18" s="1"/>
  <c r="N184" i="18" a="1"/>
  <c r="N184" i="18" s="1"/>
  <c r="N185" i="18" a="1"/>
  <c r="N185" i="18" s="1"/>
  <c r="N186" i="18" a="1"/>
  <c r="N186" i="18" s="1"/>
  <c r="N187" i="18" a="1"/>
  <c r="N187" i="18" s="1"/>
  <c r="N188" i="18" a="1"/>
  <c r="N188" i="18" s="1"/>
  <c r="N189" i="18" a="1"/>
  <c r="N189" i="18" s="1"/>
  <c r="N190" i="18" a="1"/>
  <c r="N190" i="18" s="1"/>
  <c r="N191" i="18" a="1"/>
  <c r="N191" i="18" s="1"/>
  <c r="N192" i="18" a="1"/>
  <c r="N192" i="18" s="1"/>
  <c r="N193" i="18" a="1"/>
  <c r="N193" i="18" s="1"/>
  <c r="N194" i="18" a="1"/>
  <c r="N194" i="18" s="1"/>
  <c r="N195" i="18" a="1"/>
  <c r="N195" i="18" s="1"/>
  <c r="N196" i="18" a="1"/>
  <c r="N196" i="18" s="1"/>
  <c r="N197" i="18" a="1"/>
  <c r="N197" i="18" s="1"/>
  <c r="N198" i="18" a="1"/>
  <c r="N198" i="18" s="1"/>
  <c r="N199" i="18" a="1"/>
  <c r="N199" i="18" s="1"/>
  <c r="N200" i="18" a="1"/>
  <c r="N200" i="18" s="1"/>
  <c r="N201" i="18" a="1"/>
  <c r="N201" i="18" s="1"/>
  <c r="N202" i="18" a="1"/>
  <c r="N202" i="18" s="1"/>
  <c r="N203" i="18" a="1"/>
  <c r="N203" i="18" s="1"/>
  <c r="N204" i="18" a="1"/>
  <c r="N204" i="18" s="1"/>
  <c r="N205" i="18" a="1"/>
  <c r="N205" i="18" s="1"/>
  <c r="N206" i="18" a="1"/>
  <c r="N206" i="18"/>
  <c r="N207" i="18" a="1"/>
  <c r="N207" i="18" s="1"/>
  <c r="N208" i="18" a="1"/>
  <c r="N208" i="18" s="1"/>
  <c r="N209" i="18" a="1"/>
  <c r="N209" i="18" s="1"/>
  <c r="N210" i="18" a="1"/>
  <c r="N210" i="18" s="1"/>
  <c r="N211" i="18" a="1"/>
  <c r="N211" i="18" s="1"/>
  <c r="N212" i="18" a="1"/>
  <c r="N212" i="18" s="1"/>
  <c r="N213" i="18" a="1"/>
  <c r="N213" i="18" s="1"/>
  <c r="N214" i="18" a="1"/>
  <c r="N214" i="18" s="1"/>
  <c r="N215" i="18" a="1"/>
  <c r="N215" i="18" s="1"/>
  <c r="N216" i="18" a="1"/>
  <c r="N216" i="18" s="1"/>
  <c r="N217" i="18" a="1"/>
  <c r="N217" i="18" s="1"/>
  <c r="N218" i="18" a="1"/>
  <c r="N218" i="18" s="1"/>
  <c r="N219" i="18" a="1"/>
  <c r="N219" i="18" s="1"/>
  <c r="N220" i="18" a="1"/>
  <c r="N220" i="18" s="1"/>
  <c r="N221" i="18" a="1"/>
  <c r="N221" i="18" s="1"/>
  <c r="N222" i="18" a="1"/>
  <c r="N222" i="18"/>
  <c r="N223" i="18" a="1"/>
  <c r="N223" i="18"/>
  <c r="N224" i="18" a="1"/>
  <c r="N224" i="18" s="1"/>
  <c r="N225" i="18" a="1"/>
  <c r="N225" i="18" s="1"/>
  <c r="N226" i="18" a="1"/>
  <c r="N226" i="18" s="1"/>
  <c r="N227" i="18" a="1"/>
  <c r="N227" i="18" s="1"/>
  <c r="N228" i="18" a="1"/>
  <c r="N228" i="18" s="1"/>
  <c r="N229" i="18" a="1"/>
  <c r="N229" i="18" s="1"/>
  <c r="N230" i="18" a="1"/>
  <c r="N230" i="18" s="1"/>
  <c r="N231" i="18" a="1"/>
  <c r="N231" i="18" s="1"/>
  <c r="N232" i="18" a="1"/>
  <c r="N232" i="18" s="1"/>
  <c r="N233" i="18" a="1"/>
  <c r="N233" i="18" s="1"/>
  <c r="N234" i="18" a="1"/>
  <c r="N234" i="18" s="1"/>
  <c r="N235" i="18" a="1"/>
  <c r="N235" i="18" s="1"/>
  <c r="N236" i="18" a="1"/>
  <c r="N236" i="18" s="1"/>
  <c r="N237" i="18" a="1"/>
  <c r="N237" i="18" s="1"/>
  <c r="N238" i="18" a="1"/>
  <c r="N238" i="18" s="1"/>
  <c r="N239" i="18" a="1"/>
  <c r="N239" i="18"/>
  <c r="N240" i="18" a="1"/>
  <c r="N240" i="18"/>
  <c r="N241" i="18" a="1"/>
  <c r="N241" i="18" s="1"/>
  <c r="N242" i="18" a="1"/>
  <c r="N242" i="18" s="1"/>
  <c r="N243" i="18" a="1"/>
  <c r="N243" i="18" s="1"/>
  <c r="N244" i="18" a="1"/>
  <c r="N244" i="18" s="1"/>
  <c r="N245" i="18" a="1"/>
  <c r="N245" i="18" s="1"/>
  <c r="N246" i="18" a="1"/>
  <c r="N246" i="18" s="1"/>
  <c r="N247" i="18" a="1"/>
  <c r="N247" i="18" s="1"/>
  <c r="N248" i="18" a="1"/>
  <c r="N248" i="18" s="1"/>
  <c r="N249" i="18" a="1"/>
  <c r="N249" i="18" s="1"/>
  <c r="N250" i="18" a="1"/>
  <c r="N250" i="18" s="1"/>
  <c r="N251" i="18" a="1"/>
  <c r="N251" i="18" s="1"/>
  <c r="O2" i="18" a="1"/>
  <c r="O2" i="18" s="1"/>
  <c r="O3" i="18" a="1"/>
  <c r="O3" i="18" s="1"/>
  <c r="O4" i="18" a="1"/>
  <c r="O4" i="18" s="1"/>
  <c r="O5" i="18" a="1"/>
  <c r="O5" i="18" s="1"/>
  <c r="O6" i="18" a="1"/>
  <c r="O6" i="18" s="1"/>
  <c r="O7" i="18" a="1"/>
  <c r="O7" i="18" s="1"/>
  <c r="O8" i="18" a="1"/>
  <c r="O8" i="18" s="1"/>
  <c r="O9" i="18" a="1"/>
  <c r="O9" i="18" s="1"/>
  <c r="O10" i="18" a="1"/>
  <c r="O10" i="18" s="1"/>
  <c r="O11" i="18" a="1"/>
  <c r="O11" i="18" s="1"/>
  <c r="O12" i="18" a="1"/>
  <c r="O12" i="18" s="1"/>
  <c r="O13" i="18" a="1"/>
  <c r="O13" i="18" s="1"/>
  <c r="O14" i="18" a="1"/>
  <c r="O14" i="18" s="1"/>
  <c r="O15" i="18" a="1"/>
  <c r="O15" i="18" s="1"/>
  <c r="O16" i="18" a="1"/>
  <c r="O16" i="18" s="1"/>
  <c r="O17" i="18" a="1"/>
  <c r="O17" i="18" s="1"/>
  <c r="O18" i="18" a="1"/>
  <c r="O18" i="18" s="1"/>
  <c r="O19" i="18" a="1"/>
  <c r="O19" i="18" s="1"/>
  <c r="O20" i="18" a="1"/>
  <c r="O20" i="18" s="1"/>
  <c r="O21" i="18" a="1"/>
  <c r="O21" i="18" s="1"/>
  <c r="O22" i="18" a="1"/>
  <c r="O22" i="18" s="1"/>
  <c r="O23" i="18" a="1"/>
  <c r="O23" i="18" s="1"/>
  <c r="O24" i="18" a="1"/>
  <c r="O24" i="18" s="1"/>
  <c r="O25" i="18" a="1"/>
  <c r="O25" i="18" s="1"/>
  <c r="O26" i="18" a="1"/>
  <c r="O26" i="18" s="1"/>
  <c r="O27" i="18" a="1"/>
  <c r="O27" i="18" s="1"/>
  <c r="O28" i="18" a="1"/>
  <c r="O28" i="18" s="1"/>
  <c r="O29" i="18" a="1"/>
  <c r="O29" i="18"/>
  <c r="O30" i="18" a="1"/>
  <c r="O30" i="18" s="1"/>
  <c r="O31" i="18" a="1"/>
  <c r="O31" i="18" s="1"/>
  <c r="O32" i="18" a="1"/>
  <c r="O32" i="18" s="1"/>
  <c r="O33" i="18" a="1"/>
  <c r="O33" i="18" s="1"/>
  <c r="O34" i="18" a="1"/>
  <c r="O34" i="18" s="1"/>
  <c r="O35" i="18" a="1"/>
  <c r="O35" i="18" s="1"/>
  <c r="O36" i="18" a="1"/>
  <c r="O36" i="18" s="1"/>
  <c r="O37" i="18" a="1"/>
  <c r="O37" i="18" s="1"/>
  <c r="O38" i="18" a="1"/>
  <c r="O38" i="18" s="1"/>
  <c r="O39" i="18" a="1"/>
  <c r="O39" i="18" s="1"/>
  <c r="O40" i="18" a="1"/>
  <c r="O40" i="18" s="1"/>
  <c r="O41" i="18" a="1"/>
  <c r="O41" i="18" s="1"/>
  <c r="O42" i="18" a="1"/>
  <c r="O42" i="18" s="1"/>
  <c r="O43" i="18" a="1"/>
  <c r="O43" i="18" s="1"/>
  <c r="O44" i="18" a="1"/>
  <c r="O44" i="18" s="1"/>
  <c r="O45" i="18" a="1"/>
  <c r="O45" i="18" s="1"/>
  <c r="O46" i="18" a="1"/>
  <c r="O46" i="18" s="1"/>
  <c r="O47" i="18" a="1"/>
  <c r="O47" i="18" s="1"/>
  <c r="O48" i="18" a="1"/>
  <c r="O48" i="18" s="1"/>
  <c r="O49" i="18" a="1"/>
  <c r="O49" i="18" s="1"/>
  <c r="O50" i="18" a="1"/>
  <c r="O50" i="18" s="1"/>
  <c r="O51" i="18" a="1"/>
  <c r="O51" i="18" s="1"/>
  <c r="O52" i="18" a="1"/>
  <c r="O52" i="18" s="1"/>
  <c r="O53" i="18" a="1"/>
  <c r="O53" i="18" s="1"/>
  <c r="O54" i="18" a="1"/>
  <c r="O54" i="18" s="1"/>
  <c r="O55" i="18" a="1"/>
  <c r="O55" i="18" s="1"/>
  <c r="O56" i="18" a="1"/>
  <c r="O56" i="18" s="1"/>
  <c r="O57" i="18" a="1"/>
  <c r="O57" i="18" s="1"/>
  <c r="O58" i="18" a="1"/>
  <c r="O58" i="18" s="1"/>
  <c r="O59" i="18" a="1"/>
  <c r="O59" i="18" s="1"/>
  <c r="O60" i="18" a="1"/>
  <c r="O60" i="18" s="1"/>
  <c r="O61" i="18" a="1"/>
  <c r="O61" i="18"/>
  <c r="O62" i="18" a="1"/>
  <c r="O62" i="18" s="1"/>
  <c r="O63" i="18" a="1"/>
  <c r="O63" i="18" s="1"/>
  <c r="O64" i="18" a="1"/>
  <c r="O64" i="18" s="1"/>
  <c r="O65" i="18" a="1"/>
  <c r="O65" i="18" s="1"/>
  <c r="O66" i="18" a="1"/>
  <c r="O66" i="18" s="1"/>
  <c r="O67" i="18" a="1"/>
  <c r="O67" i="18" s="1"/>
  <c r="O68" i="18" a="1"/>
  <c r="O68" i="18" s="1"/>
  <c r="O69" i="18" a="1"/>
  <c r="O69" i="18" s="1"/>
  <c r="O70" i="18" a="1"/>
  <c r="O70" i="18"/>
  <c r="O71" i="18" a="1"/>
  <c r="O71" i="18" s="1"/>
  <c r="O72" i="18" a="1"/>
  <c r="O72" i="18" s="1"/>
  <c r="O73" i="18" a="1"/>
  <c r="O73" i="18" s="1"/>
  <c r="O74" i="18" a="1"/>
  <c r="O74" i="18" s="1"/>
  <c r="O75" i="18" a="1"/>
  <c r="O75" i="18" s="1"/>
  <c r="O76" i="18" a="1"/>
  <c r="O76" i="18" s="1"/>
  <c r="O77" i="18" a="1"/>
  <c r="O77" i="18" s="1"/>
  <c r="O78" i="18" a="1"/>
  <c r="O78" i="18" s="1"/>
  <c r="O79" i="18" a="1"/>
  <c r="O79" i="18" s="1"/>
  <c r="O80" i="18" a="1"/>
  <c r="O80" i="18" s="1"/>
  <c r="O81" i="18" a="1"/>
  <c r="O81" i="18" s="1"/>
  <c r="O82" i="18" a="1"/>
  <c r="O82" i="18" s="1"/>
  <c r="O83" i="18" a="1"/>
  <c r="O83" i="18" s="1"/>
  <c r="O84" i="18" a="1"/>
  <c r="O84" i="18"/>
  <c r="O85" i="18" a="1"/>
  <c r="O85" i="18" s="1"/>
  <c r="O86" i="18" a="1"/>
  <c r="O86" i="18" s="1"/>
  <c r="O87" i="18" a="1"/>
  <c r="O87" i="18" s="1"/>
  <c r="O88" i="18" a="1"/>
  <c r="O88" i="18" s="1"/>
  <c r="O89" i="18" a="1"/>
  <c r="O89" i="18" s="1"/>
  <c r="O90" i="18" a="1"/>
  <c r="O90" i="18" s="1"/>
  <c r="O91" i="18" a="1"/>
  <c r="O91" i="18" s="1"/>
  <c r="O92" i="18" a="1"/>
  <c r="O92" i="18" s="1"/>
  <c r="O93" i="18" a="1"/>
  <c r="O93" i="18"/>
  <c r="O94" i="18" a="1"/>
  <c r="O94" i="18"/>
  <c r="O95" i="18" a="1"/>
  <c r="O95" i="18" s="1"/>
  <c r="O96" i="18" a="1"/>
  <c r="O96" i="18" s="1"/>
  <c r="O97" i="18" a="1"/>
  <c r="O97" i="18" s="1"/>
  <c r="O98" i="18" a="1"/>
  <c r="O98" i="18" s="1"/>
  <c r="O99" i="18" a="1"/>
  <c r="O99" i="18" s="1"/>
  <c r="O100" i="18" a="1"/>
  <c r="O100" i="18" s="1"/>
  <c r="O101" i="18" a="1"/>
  <c r="O101" i="18" s="1"/>
  <c r="O102" i="18" a="1"/>
  <c r="O102" i="18" s="1"/>
  <c r="O103" i="18" a="1"/>
  <c r="O103" i="18" s="1"/>
  <c r="O104" i="18" a="1"/>
  <c r="O104" i="18" s="1"/>
  <c r="O105" i="18" a="1"/>
  <c r="O105" i="18" s="1"/>
  <c r="O106" i="18" a="1"/>
  <c r="O106" i="18" s="1"/>
  <c r="O107" i="18" a="1"/>
  <c r="O107" i="18" s="1"/>
  <c r="O108" i="18" a="1"/>
  <c r="O108" i="18" s="1"/>
  <c r="O109" i="18" a="1"/>
  <c r="O109" i="18" s="1"/>
  <c r="O110" i="18" a="1"/>
  <c r="O110" i="18" s="1"/>
  <c r="O111" i="18" a="1"/>
  <c r="O111" i="18" s="1"/>
  <c r="O112" i="18" a="1"/>
  <c r="O112" i="18" s="1"/>
  <c r="O113" i="18" a="1"/>
  <c r="O113" i="18" s="1"/>
  <c r="O114" i="18" a="1"/>
  <c r="O114" i="18" s="1"/>
  <c r="O115" i="18" a="1"/>
  <c r="O115" i="18" s="1"/>
  <c r="O116" i="18" a="1"/>
  <c r="O116" i="18" s="1"/>
  <c r="O117" i="18" a="1"/>
  <c r="O117" i="18" s="1"/>
  <c r="O118" i="18" a="1"/>
  <c r="O118" i="18" s="1"/>
  <c r="O119" i="18" a="1"/>
  <c r="O119" i="18" s="1"/>
  <c r="O120" i="18" a="1"/>
  <c r="O120" i="18" s="1"/>
  <c r="O121" i="18" a="1"/>
  <c r="O121" i="18" s="1"/>
  <c r="O122" i="18" a="1"/>
  <c r="O122" i="18" s="1"/>
  <c r="O123" i="18" a="1"/>
  <c r="O123" i="18" s="1"/>
  <c r="O124" i="18" a="1"/>
  <c r="O124" i="18" s="1"/>
  <c r="O125" i="18" a="1"/>
  <c r="O125" i="18" s="1"/>
  <c r="O126" i="18" a="1"/>
  <c r="O126" i="18" s="1"/>
  <c r="O127" i="18" a="1"/>
  <c r="O127" i="18" s="1"/>
  <c r="O128" i="18" a="1"/>
  <c r="O128" i="18" s="1"/>
  <c r="O129" i="18" a="1"/>
  <c r="O129" i="18" s="1"/>
  <c r="O130" i="18" a="1"/>
  <c r="O130" i="18" s="1"/>
  <c r="O131" i="18" a="1"/>
  <c r="O131" i="18" s="1"/>
  <c r="O132" i="18" a="1"/>
  <c r="O132" i="18" s="1"/>
  <c r="O133" i="18" a="1"/>
  <c r="O133" i="18" s="1"/>
  <c r="O134" i="18" a="1"/>
  <c r="O134" i="18" s="1"/>
  <c r="O135" i="18" a="1"/>
  <c r="O135" i="18" s="1"/>
  <c r="O136" i="18" a="1"/>
  <c r="O136" i="18" s="1"/>
  <c r="O137" i="18" a="1"/>
  <c r="O137" i="18" s="1"/>
  <c r="O138" i="18" a="1"/>
  <c r="O138" i="18" s="1"/>
  <c r="O139" i="18" a="1"/>
  <c r="O139" i="18" s="1"/>
  <c r="O140" i="18" a="1"/>
  <c r="O140" i="18" s="1"/>
  <c r="O141" i="18" a="1"/>
  <c r="O141" i="18" s="1"/>
  <c r="O142" i="18" a="1"/>
  <c r="O142" i="18" s="1"/>
  <c r="O143" i="18" a="1"/>
  <c r="O143" i="18" s="1"/>
  <c r="O144" i="18" a="1"/>
  <c r="O144" i="18" s="1"/>
  <c r="O145" i="18" a="1"/>
  <c r="O145" i="18" s="1"/>
  <c r="O146" i="18" a="1"/>
  <c r="O146" i="18" s="1"/>
  <c r="O147" i="18" a="1"/>
  <c r="O147" i="18" s="1"/>
  <c r="O148" i="18" a="1"/>
  <c r="O148" i="18" s="1"/>
  <c r="O149" i="18" a="1"/>
  <c r="O149" i="18" s="1"/>
  <c r="O150" i="18" a="1"/>
  <c r="O150" i="18" s="1"/>
  <c r="O151" i="18" a="1"/>
  <c r="O151" i="18" s="1"/>
  <c r="O152" i="18" a="1"/>
  <c r="O152" i="18" s="1"/>
  <c r="O153" i="18" a="1"/>
  <c r="O153" i="18" s="1"/>
  <c r="O154" i="18" a="1"/>
  <c r="O154" i="18" s="1"/>
  <c r="O155" i="18" a="1"/>
  <c r="O155" i="18" s="1"/>
  <c r="O156" i="18" a="1"/>
  <c r="O156" i="18" s="1"/>
  <c r="O157" i="18" a="1"/>
  <c r="O157" i="18" s="1"/>
  <c r="O158" i="18" a="1"/>
  <c r="O158" i="18" s="1"/>
  <c r="O159" i="18" a="1"/>
  <c r="O159" i="18" s="1"/>
  <c r="O160" i="18" a="1"/>
  <c r="O160" i="18" s="1"/>
  <c r="O161" i="18" a="1"/>
  <c r="O161" i="18" s="1"/>
  <c r="O162" i="18" a="1"/>
  <c r="O162" i="18" s="1"/>
  <c r="O163" i="18" a="1"/>
  <c r="O163" i="18" s="1"/>
  <c r="O164" i="18" a="1"/>
  <c r="O164" i="18" s="1"/>
  <c r="O165" i="18" a="1"/>
  <c r="O165" i="18" s="1"/>
  <c r="O166" i="18" a="1"/>
  <c r="O166" i="18" s="1"/>
  <c r="O167" i="18" a="1"/>
  <c r="O167" i="18" s="1"/>
  <c r="O168" i="18" a="1"/>
  <c r="O168" i="18" s="1"/>
  <c r="O169" i="18" a="1"/>
  <c r="O169" i="18" s="1"/>
  <c r="O170" i="18" a="1"/>
  <c r="O170" i="18" s="1"/>
  <c r="O171" i="18" a="1"/>
  <c r="O171" i="18" s="1"/>
  <c r="O172" i="18" a="1"/>
  <c r="O172" i="18" s="1"/>
  <c r="O173" i="18" a="1"/>
  <c r="O173" i="18" s="1"/>
  <c r="O174" i="18" a="1"/>
  <c r="O174" i="18" s="1"/>
  <c r="O175" i="18" a="1"/>
  <c r="O175" i="18" s="1"/>
  <c r="O176" i="18" a="1"/>
  <c r="O176" i="18" s="1"/>
  <c r="O177" i="18" a="1"/>
  <c r="O177" i="18" s="1"/>
  <c r="O178" i="18" a="1"/>
  <c r="O178" i="18" s="1"/>
  <c r="O179" i="18" a="1"/>
  <c r="O179" i="18" s="1"/>
  <c r="O180" i="18" a="1"/>
  <c r="O180" i="18" s="1"/>
  <c r="O181" i="18" a="1"/>
  <c r="O181" i="18" s="1"/>
  <c r="O182" i="18" a="1"/>
  <c r="O182" i="18" s="1"/>
  <c r="O183" i="18" a="1"/>
  <c r="O183" i="18" s="1"/>
  <c r="O184" i="18" a="1"/>
  <c r="O184" i="18" s="1"/>
  <c r="O185" i="18" a="1"/>
  <c r="O185" i="18" s="1"/>
  <c r="O186" i="18" a="1"/>
  <c r="O186" i="18" s="1"/>
  <c r="O187" i="18" a="1"/>
  <c r="O187" i="18" s="1"/>
  <c r="O188" i="18" a="1"/>
  <c r="O188" i="18" s="1"/>
  <c r="O189" i="18" a="1"/>
  <c r="O189" i="18" s="1"/>
  <c r="O190" i="18" a="1"/>
  <c r="O190" i="18" s="1"/>
  <c r="O191" i="18" a="1"/>
  <c r="O191" i="18" s="1"/>
  <c r="O192" i="18" a="1"/>
  <c r="O192" i="18" s="1"/>
  <c r="O193" i="18" a="1"/>
  <c r="O193" i="18" s="1"/>
  <c r="O194" i="18" a="1"/>
  <c r="O194" i="18" s="1"/>
  <c r="O195" i="18" a="1"/>
  <c r="O195" i="18" s="1"/>
  <c r="O196" i="18" a="1"/>
  <c r="O196" i="18" s="1"/>
  <c r="O197" i="18" a="1"/>
  <c r="O197" i="18" s="1"/>
  <c r="O198" i="18" a="1"/>
  <c r="O198" i="18" s="1"/>
  <c r="O199" i="18" a="1"/>
  <c r="O199" i="18" s="1"/>
  <c r="O200" i="18" a="1"/>
  <c r="O200" i="18" s="1"/>
  <c r="O201" i="18" a="1"/>
  <c r="O201" i="18" s="1"/>
  <c r="O202" i="18" a="1"/>
  <c r="O202" i="18" s="1"/>
  <c r="O203" i="18" a="1"/>
  <c r="O203" i="18" s="1"/>
  <c r="O204" i="18" a="1"/>
  <c r="O204" i="18" s="1"/>
  <c r="O205" i="18" a="1"/>
  <c r="O205" i="18" s="1"/>
  <c r="O206" i="18" a="1"/>
  <c r="O206" i="18" s="1"/>
  <c r="O207" i="18" a="1"/>
  <c r="O207" i="18" s="1"/>
  <c r="O208" i="18" a="1"/>
  <c r="O208" i="18" s="1"/>
  <c r="O209" i="18" a="1"/>
  <c r="O209" i="18" s="1"/>
  <c r="O210" i="18" a="1"/>
  <c r="O210" i="18" s="1"/>
  <c r="O211" i="18" a="1"/>
  <c r="O211" i="18" s="1"/>
  <c r="O212" i="18" a="1"/>
  <c r="O212" i="18" s="1"/>
  <c r="O213" i="18" a="1"/>
  <c r="O213" i="18" s="1"/>
  <c r="O214" i="18" a="1"/>
  <c r="O214" i="18" s="1"/>
  <c r="O215" i="18" a="1"/>
  <c r="O215" i="18" s="1"/>
  <c r="O216" i="18" a="1"/>
  <c r="O216" i="18" s="1"/>
  <c r="O217" i="18" a="1"/>
  <c r="O217" i="18" s="1"/>
  <c r="O218" i="18" a="1"/>
  <c r="O218" i="18" s="1"/>
  <c r="O219" i="18" a="1"/>
  <c r="O219" i="18" s="1"/>
  <c r="O220" i="18" a="1"/>
  <c r="O220" i="18" s="1"/>
  <c r="O221" i="18" a="1"/>
  <c r="O221" i="18" s="1"/>
  <c r="O222" i="18" a="1"/>
  <c r="O222" i="18" s="1"/>
  <c r="O223" i="18" a="1"/>
  <c r="O223" i="18" s="1"/>
  <c r="O224" i="18" a="1"/>
  <c r="O224" i="18" s="1"/>
  <c r="O225" i="18" a="1"/>
  <c r="O225" i="18" s="1"/>
  <c r="O226" i="18" a="1"/>
  <c r="O226" i="18" s="1"/>
  <c r="O227" i="18" a="1"/>
  <c r="O227" i="18" s="1"/>
  <c r="O228" i="18" a="1"/>
  <c r="O228" i="18" s="1"/>
  <c r="O229" i="18" a="1"/>
  <c r="O229" i="18" s="1"/>
  <c r="O230" i="18" a="1"/>
  <c r="O230" i="18" s="1"/>
  <c r="O231" i="18" a="1"/>
  <c r="O231" i="18" s="1"/>
  <c r="O232" i="18" a="1"/>
  <c r="O232" i="18" s="1"/>
  <c r="O233" i="18" a="1"/>
  <c r="O233" i="18" s="1"/>
  <c r="O234" i="18" a="1"/>
  <c r="O234" i="18" s="1"/>
  <c r="O235" i="18" a="1"/>
  <c r="O235" i="18" s="1"/>
  <c r="O236" i="18" a="1"/>
  <c r="O236" i="18" s="1"/>
  <c r="O237" i="18" a="1"/>
  <c r="O237" i="18" s="1"/>
  <c r="O238" i="18" a="1"/>
  <c r="O238" i="18" s="1"/>
  <c r="O239" i="18" a="1"/>
  <c r="O239" i="18" s="1"/>
  <c r="O240" i="18" a="1"/>
  <c r="O240" i="18" s="1"/>
  <c r="O241" i="18" a="1"/>
  <c r="O241" i="18" s="1"/>
  <c r="O242" i="18" a="1"/>
  <c r="O242" i="18" s="1"/>
  <c r="O243" i="18" a="1"/>
  <c r="O243" i="18" s="1"/>
  <c r="O244" i="18" a="1"/>
  <c r="O244" i="18" s="1"/>
  <c r="O245" i="18" a="1"/>
  <c r="O245" i="18" s="1"/>
  <c r="O246" i="18" a="1"/>
  <c r="O246" i="18" s="1"/>
  <c r="O247" i="18" a="1"/>
  <c r="O247" i="18" s="1"/>
  <c r="O248" i="18" a="1"/>
  <c r="O248" i="18" s="1"/>
  <c r="O249" i="18" a="1"/>
  <c r="O249" i="18" s="1"/>
  <c r="O250" i="18" a="1"/>
  <c r="O250" i="18" s="1"/>
  <c r="O251" i="18" a="1"/>
  <c r="O251" i="18" s="1"/>
  <c r="P2" i="18" a="1"/>
  <c r="P2" i="18" s="1"/>
  <c r="P3" i="18" a="1"/>
  <c r="P3" i="18" s="1"/>
  <c r="P4" i="18" a="1"/>
  <c r="P4" i="18" s="1"/>
  <c r="P5" i="18" a="1"/>
  <c r="P5" i="18" s="1"/>
  <c r="P6" i="18" a="1"/>
  <c r="P6" i="18" s="1"/>
  <c r="P7" i="18" a="1"/>
  <c r="P7" i="18" s="1"/>
  <c r="P8" i="18" a="1"/>
  <c r="P8" i="18" s="1"/>
  <c r="P9" i="18" a="1"/>
  <c r="P9" i="18" s="1"/>
  <c r="P10" i="18" a="1"/>
  <c r="P10" i="18" s="1"/>
  <c r="P11" i="18" a="1"/>
  <c r="P11" i="18" s="1"/>
  <c r="P12" i="18" a="1"/>
  <c r="P12" i="18" s="1"/>
  <c r="P13" i="18" a="1"/>
  <c r="P13" i="18" s="1"/>
  <c r="P14" i="18" a="1"/>
  <c r="P14" i="18" s="1"/>
  <c r="P15" i="18" a="1"/>
  <c r="P15" i="18" s="1"/>
  <c r="P16" i="18" a="1"/>
  <c r="P16" i="18" s="1"/>
  <c r="P17" i="18" a="1"/>
  <c r="P17" i="18" s="1"/>
  <c r="P18" i="18" a="1"/>
  <c r="P18" i="18" s="1"/>
  <c r="P19" i="18" a="1"/>
  <c r="P19" i="18" s="1"/>
  <c r="P20" i="18" a="1"/>
  <c r="P20" i="18" s="1"/>
  <c r="P21" i="18" a="1"/>
  <c r="P21" i="18" s="1"/>
  <c r="P22" i="18" a="1"/>
  <c r="P22" i="18" s="1"/>
  <c r="P23" i="18" a="1"/>
  <c r="P23" i="18" s="1"/>
  <c r="P24" i="18" a="1"/>
  <c r="P24" i="18" s="1"/>
  <c r="P25" i="18" a="1"/>
  <c r="P25" i="18" s="1"/>
  <c r="P26" i="18" a="1"/>
  <c r="P26" i="18" s="1"/>
  <c r="P27" i="18" a="1"/>
  <c r="P27" i="18" s="1"/>
  <c r="P28" i="18" a="1"/>
  <c r="P28" i="18" s="1"/>
  <c r="P29" i="18" a="1"/>
  <c r="P29" i="18" s="1"/>
  <c r="P30" i="18" a="1"/>
  <c r="P30" i="18" s="1"/>
  <c r="P31" i="18" a="1"/>
  <c r="P31" i="18" s="1"/>
  <c r="P32" i="18" a="1"/>
  <c r="P32" i="18" s="1"/>
  <c r="P33" i="18" a="1"/>
  <c r="P33" i="18" s="1"/>
  <c r="P34" i="18" a="1"/>
  <c r="P34" i="18" s="1"/>
  <c r="P35" i="18" a="1"/>
  <c r="P35" i="18" s="1"/>
  <c r="P36" i="18" a="1"/>
  <c r="P36" i="18" s="1"/>
  <c r="P37" i="18" a="1"/>
  <c r="P37" i="18" s="1"/>
  <c r="P38" i="18" a="1"/>
  <c r="P38" i="18" s="1"/>
  <c r="P39" i="18" a="1"/>
  <c r="P39" i="18" s="1"/>
  <c r="P40" i="18" a="1"/>
  <c r="P40" i="18" s="1"/>
  <c r="P41" i="18" a="1"/>
  <c r="P41" i="18" s="1"/>
  <c r="P42" i="18" a="1"/>
  <c r="P42" i="18" s="1"/>
  <c r="P43" i="18" a="1"/>
  <c r="P43" i="18" s="1"/>
  <c r="P44" i="18" a="1"/>
  <c r="P44" i="18" s="1"/>
  <c r="P45" i="18" a="1"/>
  <c r="P45" i="18" s="1"/>
  <c r="P46" i="18" a="1"/>
  <c r="P46" i="18" s="1"/>
  <c r="P47" i="18" a="1"/>
  <c r="P47" i="18" s="1"/>
  <c r="P48" i="18" a="1"/>
  <c r="P48" i="18" s="1"/>
  <c r="P49" i="18" a="1"/>
  <c r="P49" i="18" s="1"/>
  <c r="P50" i="18" a="1"/>
  <c r="P50" i="18" s="1"/>
  <c r="P51" i="18" a="1"/>
  <c r="P51" i="18" s="1"/>
  <c r="P52" i="18" a="1"/>
  <c r="P52" i="18" s="1"/>
  <c r="P53" i="18" a="1"/>
  <c r="P53" i="18" s="1"/>
  <c r="P54" i="18" a="1"/>
  <c r="P54" i="18" s="1"/>
  <c r="P55" i="18" a="1"/>
  <c r="P55" i="18" s="1"/>
  <c r="P56" i="18" a="1"/>
  <c r="P56" i="18" s="1"/>
  <c r="P57" i="18" a="1"/>
  <c r="P57" i="18" s="1"/>
  <c r="P58" i="18" a="1"/>
  <c r="P58" i="18" s="1"/>
  <c r="P59" i="18" a="1"/>
  <c r="P59" i="18" s="1"/>
  <c r="P60" i="18" a="1"/>
  <c r="P60" i="18" s="1"/>
  <c r="P61" i="18" a="1"/>
  <c r="P61" i="18" s="1"/>
  <c r="P62" i="18" a="1"/>
  <c r="P62" i="18" s="1"/>
  <c r="P63" i="18" a="1"/>
  <c r="P63" i="18" s="1"/>
  <c r="P64" i="18" a="1"/>
  <c r="P64" i="18" s="1"/>
  <c r="P65" i="18" a="1"/>
  <c r="P65" i="18" s="1"/>
  <c r="P66" i="18" a="1"/>
  <c r="P66" i="18" s="1"/>
  <c r="P67" i="18" a="1"/>
  <c r="P67" i="18" s="1"/>
  <c r="P68" i="18" a="1"/>
  <c r="P68" i="18" s="1"/>
  <c r="P69" i="18" a="1"/>
  <c r="P69" i="18" s="1"/>
  <c r="P70" i="18" a="1"/>
  <c r="P70" i="18" s="1"/>
  <c r="P71" i="18" a="1"/>
  <c r="P71" i="18" s="1"/>
  <c r="P72" i="18" a="1"/>
  <c r="P72" i="18" s="1"/>
  <c r="P73" i="18" a="1"/>
  <c r="P73" i="18" s="1"/>
  <c r="P74" i="18" a="1"/>
  <c r="P74" i="18" s="1"/>
  <c r="P75" i="18" a="1"/>
  <c r="P75" i="18" s="1"/>
  <c r="P76" i="18" a="1"/>
  <c r="P76" i="18" s="1"/>
  <c r="P77" i="18" a="1"/>
  <c r="P77" i="18" s="1"/>
  <c r="P78" i="18" a="1"/>
  <c r="P78" i="18" s="1"/>
  <c r="P79" i="18" a="1"/>
  <c r="P79" i="18" s="1"/>
  <c r="P80" i="18" a="1"/>
  <c r="P80" i="18" s="1"/>
  <c r="P81" i="18" a="1"/>
  <c r="P81" i="18" s="1"/>
  <c r="P82" i="18" a="1"/>
  <c r="P82" i="18" s="1"/>
  <c r="P83" i="18" a="1"/>
  <c r="P83" i="18" s="1"/>
  <c r="P84" i="18" a="1"/>
  <c r="P84" i="18" s="1"/>
  <c r="P85" i="18" a="1"/>
  <c r="P85" i="18" s="1"/>
  <c r="P86" i="18" a="1"/>
  <c r="P86" i="18" s="1"/>
  <c r="P87" i="18" a="1"/>
  <c r="P87" i="18" s="1"/>
  <c r="P88" i="18" a="1"/>
  <c r="P88" i="18" s="1"/>
  <c r="P89" i="18" a="1"/>
  <c r="P89" i="18" s="1"/>
  <c r="P90" i="18" a="1"/>
  <c r="P90" i="18" s="1"/>
  <c r="P91" i="18" a="1"/>
  <c r="P91" i="18" s="1"/>
  <c r="P92" i="18" a="1"/>
  <c r="P92" i="18" s="1"/>
  <c r="P93" i="18" a="1"/>
  <c r="P93" i="18" s="1"/>
  <c r="P94" i="18" a="1"/>
  <c r="P94" i="18" s="1"/>
  <c r="P95" i="18" a="1"/>
  <c r="P95" i="18" s="1"/>
  <c r="P96" i="18" a="1"/>
  <c r="P96" i="18" s="1"/>
  <c r="P97" i="18" a="1"/>
  <c r="P97" i="18" s="1"/>
  <c r="P98" i="18" a="1"/>
  <c r="P98" i="18" s="1"/>
  <c r="P99" i="18" a="1"/>
  <c r="P99" i="18" s="1"/>
  <c r="P100" i="18" a="1"/>
  <c r="P100" i="18" s="1"/>
  <c r="P101" i="18" a="1"/>
  <c r="P101" i="18" s="1"/>
  <c r="P102" i="18" a="1"/>
  <c r="P102" i="18" s="1"/>
  <c r="P103" i="18" a="1"/>
  <c r="P103" i="18" s="1"/>
  <c r="P104" i="18" a="1"/>
  <c r="P104" i="18" s="1"/>
  <c r="P105" i="18" a="1"/>
  <c r="P105" i="18" s="1"/>
  <c r="P106" i="18" a="1"/>
  <c r="P106" i="18" s="1"/>
  <c r="P107" i="18" a="1"/>
  <c r="P107" i="18" s="1"/>
  <c r="P108" i="18" a="1"/>
  <c r="P108" i="18" s="1"/>
  <c r="P109" i="18" a="1"/>
  <c r="P109" i="18" s="1"/>
  <c r="P110" i="18" a="1"/>
  <c r="P110" i="18" s="1"/>
  <c r="P111" i="18" a="1"/>
  <c r="P111" i="18" s="1"/>
  <c r="P112" i="18" a="1"/>
  <c r="P112" i="18" s="1"/>
  <c r="P113" i="18" a="1"/>
  <c r="P113" i="18" s="1"/>
  <c r="P114" i="18" a="1"/>
  <c r="P114" i="18" s="1"/>
  <c r="P115" i="18" a="1"/>
  <c r="P115" i="18" s="1"/>
  <c r="P116" i="18" a="1"/>
  <c r="P116" i="18" s="1"/>
  <c r="P117" i="18" a="1"/>
  <c r="P117" i="18" s="1"/>
  <c r="P118" i="18" a="1"/>
  <c r="P118" i="18" s="1"/>
  <c r="P119" i="18" a="1"/>
  <c r="P119" i="18" s="1"/>
  <c r="P120" i="18" a="1"/>
  <c r="P120" i="18" s="1"/>
  <c r="P121" i="18" a="1"/>
  <c r="P121" i="18" s="1"/>
  <c r="P122" i="18" a="1"/>
  <c r="P122" i="18" s="1"/>
  <c r="P123" i="18" a="1"/>
  <c r="P123" i="18" s="1"/>
  <c r="P124" i="18" a="1"/>
  <c r="P124" i="18" s="1"/>
  <c r="P125" i="18" a="1"/>
  <c r="P125" i="18" s="1"/>
  <c r="P126" i="18" a="1"/>
  <c r="P126" i="18" s="1"/>
  <c r="P127" i="18" a="1"/>
  <c r="P127" i="18" s="1"/>
  <c r="P128" i="18" a="1"/>
  <c r="P128" i="18" s="1"/>
  <c r="P129" i="18" a="1"/>
  <c r="P129" i="18" s="1"/>
  <c r="P130" i="18" a="1"/>
  <c r="P130" i="18" s="1"/>
  <c r="P131" i="18" a="1"/>
  <c r="P131" i="18" s="1"/>
  <c r="P132" i="18" a="1"/>
  <c r="P132" i="18" s="1"/>
  <c r="P133" i="18" a="1"/>
  <c r="P133" i="18" s="1"/>
  <c r="P134" i="18" a="1"/>
  <c r="P134" i="18" s="1"/>
  <c r="P135" i="18" a="1"/>
  <c r="P135" i="18" s="1"/>
  <c r="P136" i="18" a="1"/>
  <c r="P136" i="18" s="1"/>
  <c r="P137" i="18" a="1"/>
  <c r="P137" i="18" s="1"/>
  <c r="P138" i="18" a="1"/>
  <c r="P138" i="18" s="1"/>
  <c r="P139" i="18" a="1"/>
  <c r="P139" i="18" s="1"/>
  <c r="P140" i="18" a="1"/>
  <c r="P140" i="18" s="1"/>
  <c r="P141" i="18" a="1"/>
  <c r="P141" i="18" s="1"/>
  <c r="P142" i="18" a="1"/>
  <c r="P142" i="18" s="1"/>
  <c r="P143" i="18" a="1"/>
  <c r="P143" i="18" s="1"/>
  <c r="P144" i="18" a="1"/>
  <c r="P144" i="18" s="1"/>
  <c r="P145" i="18" a="1"/>
  <c r="P145" i="18" s="1"/>
  <c r="P146" i="18" a="1"/>
  <c r="P146" i="18" s="1"/>
  <c r="P147" i="18" a="1"/>
  <c r="P147" i="18"/>
  <c r="P148" i="18" a="1"/>
  <c r="P148" i="18"/>
  <c r="P149" i="18" a="1"/>
  <c r="P149" i="18" s="1"/>
  <c r="P150" i="18" a="1"/>
  <c r="P150" i="18"/>
  <c r="P151" i="18" a="1"/>
  <c r="P151" i="18" s="1"/>
  <c r="P152" i="18" a="1"/>
  <c r="P152" i="18" s="1"/>
  <c r="P153" i="18" a="1"/>
  <c r="P153" i="18" s="1"/>
  <c r="P154" i="18" a="1"/>
  <c r="P154" i="18" s="1"/>
  <c r="P155" i="18" a="1"/>
  <c r="P155" i="18" s="1"/>
  <c r="R155" i="18" s="1"/>
  <c r="P156" i="18" a="1"/>
  <c r="P156" i="18"/>
  <c r="P157" i="18" a="1"/>
  <c r="P157" i="18" s="1"/>
  <c r="P158" i="18" a="1"/>
  <c r="P158" i="18" s="1"/>
  <c r="P159" i="18" a="1"/>
  <c r="P159" i="18"/>
  <c r="P160" i="18" a="1"/>
  <c r="P160" i="18" s="1"/>
  <c r="P161" i="18" a="1"/>
  <c r="P161" i="18" s="1"/>
  <c r="P162" i="18" a="1"/>
  <c r="P162" i="18"/>
  <c r="P163" i="18" a="1"/>
  <c r="P163" i="18" s="1"/>
  <c r="P164" i="18" a="1"/>
  <c r="P164" i="18" s="1"/>
  <c r="P165" i="18" a="1"/>
  <c r="P165" i="18" s="1"/>
  <c r="P166" i="18" a="1"/>
  <c r="P166" i="18" s="1"/>
  <c r="P167" i="18" a="1"/>
  <c r="P167" i="18" s="1"/>
  <c r="P168" i="18" a="1"/>
  <c r="P168" i="18"/>
  <c r="P169" i="18" a="1"/>
  <c r="P169" i="18" s="1"/>
  <c r="P170" i="18" a="1"/>
  <c r="P170" i="18"/>
  <c r="P171" i="18" a="1"/>
  <c r="P171" i="18"/>
  <c r="P172" i="18" a="1"/>
  <c r="P172" i="18" s="1"/>
  <c r="P173" i="18" a="1"/>
  <c r="P173" i="18" s="1"/>
  <c r="P174" i="18" a="1"/>
  <c r="P174" i="18" s="1"/>
  <c r="P175" i="18" a="1"/>
  <c r="P175" i="18" s="1"/>
  <c r="P176" i="18" a="1"/>
  <c r="P176" i="18" s="1"/>
  <c r="P177" i="18" a="1"/>
  <c r="P177" i="18" s="1"/>
  <c r="P178" i="18" a="1"/>
  <c r="P178" i="18" s="1"/>
  <c r="P179" i="18" a="1"/>
  <c r="P179" i="18"/>
  <c r="P180" i="18" a="1"/>
  <c r="P180" i="18"/>
  <c r="P181" i="18" a="1"/>
  <c r="P181" i="18" s="1"/>
  <c r="P182" i="18" a="1"/>
  <c r="P182" i="18"/>
  <c r="P183" i="18" a="1"/>
  <c r="P183" i="18" s="1"/>
  <c r="P184" i="18" a="1"/>
  <c r="P184" i="18" s="1"/>
  <c r="P185" i="18" a="1"/>
  <c r="P185" i="18" s="1"/>
  <c r="P186" i="18" a="1"/>
  <c r="P186" i="18" s="1"/>
  <c r="P187" i="18" a="1"/>
  <c r="P187" i="18" s="1"/>
  <c r="R187" i="18" s="1"/>
  <c r="P188" i="18" a="1"/>
  <c r="P188" i="18"/>
  <c r="P189" i="18" a="1"/>
  <c r="P189" i="18" s="1"/>
  <c r="P190" i="18" a="1"/>
  <c r="P190" i="18" s="1"/>
  <c r="P191" i="18" a="1"/>
  <c r="P191" i="18"/>
  <c r="P192" i="18" a="1"/>
  <c r="P192" i="18" s="1"/>
  <c r="P193" i="18" a="1"/>
  <c r="P193" i="18" s="1"/>
  <c r="P194" i="18" a="1"/>
  <c r="P194" i="18"/>
  <c r="P195" i="18" a="1"/>
  <c r="P195" i="18" s="1"/>
  <c r="P196" i="18" a="1"/>
  <c r="P196" i="18" s="1"/>
  <c r="P197" i="18" a="1"/>
  <c r="P197" i="18" s="1"/>
  <c r="P198" i="18" a="1"/>
  <c r="P198" i="18" s="1"/>
  <c r="P199" i="18" a="1"/>
  <c r="P199" i="18" s="1"/>
  <c r="P200" i="18" a="1"/>
  <c r="P200" i="18"/>
  <c r="P201" i="18" a="1"/>
  <c r="P201" i="18" s="1"/>
  <c r="P202" i="18" a="1"/>
  <c r="P202" i="18"/>
  <c r="P203" i="18" a="1"/>
  <c r="P203" i="18"/>
  <c r="P204" i="18" a="1"/>
  <c r="P204" i="18" s="1"/>
  <c r="P205" i="18" a="1"/>
  <c r="P205" i="18" s="1"/>
  <c r="P206" i="18" a="1"/>
  <c r="P206" i="18" s="1"/>
  <c r="P207" i="18" a="1"/>
  <c r="P207" i="18" s="1"/>
  <c r="P208" i="18" a="1"/>
  <c r="P208" i="18" s="1"/>
  <c r="P209" i="18" a="1"/>
  <c r="P209" i="18" s="1"/>
  <c r="P210" i="18" a="1"/>
  <c r="P210" i="18" s="1"/>
  <c r="P211" i="18" a="1"/>
  <c r="P211" i="18"/>
  <c r="P212" i="18" a="1"/>
  <c r="P212" i="18"/>
  <c r="P213" i="18" a="1"/>
  <c r="P213" i="18" s="1"/>
  <c r="P214" i="18" a="1"/>
  <c r="P214" i="18"/>
  <c r="P215" i="18" a="1"/>
  <c r="P215" i="18" s="1"/>
  <c r="P216" i="18" a="1"/>
  <c r="P216" i="18" s="1"/>
  <c r="P217" i="18" a="1"/>
  <c r="P217" i="18" s="1"/>
  <c r="P218" i="18" a="1"/>
  <c r="P218" i="18" s="1"/>
  <c r="P219" i="18" a="1"/>
  <c r="P219" i="18" s="1"/>
  <c r="R219" i="18" s="1"/>
  <c r="U219" i="18" s="1"/>
  <c r="P220" i="18" a="1"/>
  <c r="P220" i="18"/>
  <c r="P221" i="18" a="1"/>
  <c r="P221" i="18" s="1"/>
  <c r="P222" i="18" a="1"/>
  <c r="P222" i="18" s="1"/>
  <c r="P223" i="18" a="1"/>
  <c r="P223" i="18"/>
  <c r="P224" i="18" a="1"/>
  <c r="P224" i="18" s="1"/>
  <c r="P225" i="18" a="1"/>
  <c r="P225" i="18" s="1"/>
  <c r="P226" i="18" a="1"/>
  <c r="P226" i="18"/>
  <c r="P227" i="18" a="1"/>
  <c r="P227" i="18" s="1"/>
  <c r="P228" i="18" a="1"/>
  <c r="P228" i="18" s="1"/>
  <c r="P229" i="18" a="1"/>
  <c r="P229" i="18" s="1"/>
  <c r="P230" i="18" a="1"/>
  <c r="P230" i="18" s="1"/>
  <c r="P231" i="18" a="1"/>
  <c r="P231" i="18" s="1"/>
  <c r="P232" i="18" a="1"/>
  <c r="P232" i="18"/>
  <c r="P233" i="18" a="1"/>
  <c r="P233" i="18" s="1"/>
  <c r="P234" i="18" a="1"/>
  <c r="P234" i="18"/>
  <c r="P235" i="18" a="1"/>
  <c r="P235" i="18"/>
  <c r="P236" i="18" a="1"/>
  <c r="P236" i="18" s="1"/>
  <c r="P237" i="18" a="1"/>
  <c r="P237" i="18" s="1"/>
  <c r="P238" i="18" a="1"/>
  <c r="P238" i="18" s="1"/>
  <c r="P239" i="18" a="1"/>
  <c r="P239" i="18" s="1"/>
  <c r="P240" i="18" a="1"/>
  <c r="P240" i="18" s="1"/>
  <c r="P241" i="18" a="1"/>
  <c r="P241" i="18" s="1"/>
  <c r="P242" i="18" a="1"/>
  <c r="P242" i="18" s="1"/>
  <c r="P243" i="18" a="1"/>
  <c r="P243" i="18"/>
  <c r="P244" i="18" a="1"/>
  <c r="P244" i="18"/>
  <c r="P245" i="18" a="1"/>
  <c r="P245" i="18" s="1"/>
  <c r="P246" i="18" a="1"/>
  <c r="P246" i="18"/>
  <c r="P247" i="18" a="1"/>
  <c r="P247" i="18" s="1"/>
  <c r="P248" i="18" a="1"/>
  <c r="P248" i="18" s="1"/>
  <c r="P249" i="18" a="1"/>
  <c r="P249" i="18" s="1"/>
  <c r="P250" i="18" a="1"/>
  <c r="P250" i="18" s="1"/>
  <c r="P251" i="18" a="1"/>
  <c r="P251" i="18" s="1"/>
  <c r="Q2" i="18" a="1"/>
  <c r="Q2" i="18"/>
  <c r="R2" i="18" s="1"/>
  <c r="Q3" i="18" a="1"/>
  <c r="Q3" i="18" s="1"/>
  <c r="Q4" i="18" a="1"/>
  <c r="Q4" i="18" s="1"/>
  <c r="R4" i="18" s="1"/>
  <c r="U4" i="18" s="1"/>
  <c r="Q5" i="18" a="1"/>
  <c r="Q5" i="18"/>
  <c r="R5" i="18" s="1"/>
  <c r="Q6" i="18" a="1"/>
  <c r="Q6" i="18" s="1"/>
  <c r="R6" i="18" s="1"/>
  <c r="Q7" i="18" a="1"/>
  <c r="Q7" i="18" s="1"/>
  <c r="R7" i="18" s="1"/>
  <c r="Q8" i="18" a="1"/>
  <c r="Q8" i="18"/>
  <c r="R8" i="18" s="1"/>
  <c r="Q9" i="18" a="1"/>
  <c r="Q9" i="18" s="1"/>
  <c r="R9" i="18" s="1"/>
  <c r="Q10" i="18" a="1"/>
  <c r="Q10" i="18" s="1"/>
  <c r="R10" i="18" s="1"/>
  <c r="U10" i="18" s="1"/>
  <c r="Q11" i="18" a="1"/>
  <c r="Q11" i="18" s="1"/>
  <c r="R11" i="18" s="1"/>
  <c r="U11" i="18" s="1"/>
  <c r="Q12" i="18" a="1"/>
  <c r="Q12" i="18" s="1"/>
  <c r="R12" i="18" s="1"/>
  <c r="Q13" i="18" a="1"/>
  <c r="Q13" i="18" s="1"/>
  <c r="R13" i="18" s="1"/>
  <c r="U13" i="18" s="1"/>
  <c r="Q14" i="18" a="1"/>
  <c r="Q14" i="18"/>
  <c r="R14" i="18" s="1"/>
  <c r="Q15" i="18" a="1"/>
  <c r="Q15" i="18" s="1"/>
  <c r="R15" i="18" s="1"/>
  <c r="Q16" i="18" a="1"/>
  <c r="Q16" i="18"/>
  <c r="R16" i="18" s="1"/>
  <c r="Q17" i="18" a="1"/>
  <c r="Q17" i="18"/>
  <c r="R17" i="18" s="1"/>
  <c r="Q18" i="18" a="1"/>
  <c r="Q18" i="18" s="1"/>
  <c r="R18" i="18" s="1"/>
  <c r="Q19" i="18" a="1"/>
  <c r="Q19" i="18" s="1"/>
  <c r="R19" i="18" s="1"/>
  <c r="U19" i="18" s="1"/>
  <c r="Q20" i="18" a="1"/>
  <c r="Q20" i="18" s="1"/>
  <c r="R20" i="18" s="1"/>
  <c r="U20" i="18" s="1"/>
  <c r="Q21" i="18" a="1"/>
  <c r="Q21" i="18" s="1"/>
  <c r="R21" i="18" s="1"/>
  <c r="Q22" i="18" a="1"/>
  <c r="Q22" i="18" s="1"/>
  <c r="R22" i="18" s="1"/>
  <c r="U22" i="18" s="1"/>
  <c r="Q23" i="18" a="1"/>
  <c r="Q23" i="18" s="1"/>
  <c r="R23" i="18" s="1"/>
  <c r="Q24" i="18" a="1"/>
  <c r="Q24" i="18" s="1"/>
  <c r="R24" i="18" s="1"/>
  <c r="Q25" i="18" a="1"/>
  <c r="Q25" i="18"/>
  <c r="R25" i="18" s="1"/>
  <c r="Q26" i="18" a="1"/>
  <c r="Q26" i="18"/>
  <c r="R26" i="18" s="1"/>
  <c r="Q27" i="18" a="1"/>
  <c r="Q27" i="18" s="1"/>
  <c r="Q28" i="18" a="1"/>
  <c r="Q28" i="18"/>
  <c r="R28" i="18" s="1"/>
  <c r="Q29" i="18" a="1"/>
  <c r="Q29" i="18" s="1"/>
  <c r="R29" i="18" s="1"/>
  <c r="Q30" i="18" a="1"/>
  <c r="Q30" i="18" s="1"/>
  <c r="R30" i="18" s="1"/>
  <c r="U30" i="18" s="1"/>
  <c r="Q31" i="18" a="1"/>
  <c r="Q31" i="18" s="1"/>
  <c r="R31" i="18" s="1"/>
  <c r="Q32" i="18" a="1"/>
  <c r="Q32" i="18" s="1"/>
  <c r="R32" i="18" s="1"/>
  <c r="Q33" i="18" a="1"/>
  <c r="Q33" i="18" s="1"/>
  <c r="R33" i="18" s="1"/>
  <c r="Q34" i="18" a="1"/>
  <c r="Q34" i="18"/>
  <c r="R34" i="18" s="1"/>
  <c r="Q35" i="18" a="1"/>
  <c r="Q35" i="18" s="1"/>
  <c r="R35" i="18" s="1"/>
  <c r="U35" i="18" s="1"/>
  <c r="Q36" i="18" a="1"/>
  <c r="Q36" i="18" s="1"/>
  <c r="R36" i="18" s="1"/>
  <c r="Q37" i="18" a="1"/>
  <c r="Q37" i="18"/>
  <c r="R37" i="18" s="1"/>
  <c r="U37" i="18" s="1"/>
  <c r="Q38" i="18" a="1"/>
  <c r="Q38" i="18" s="1"/>
  <c r="R38" i="18" s="1"/>
  <c r="Q39" i="18" a="1"/>
  <c r="Q39" i="18" s="1"/>
  <c r="R39" i="18" s="1"/>
  <c r="Q40" i="18" a="1"/>
  <c r="Q40" i="18"/>
  <c r="R40" i="18" s="1"/>
  <c r="Q41" i="18" a="1"/>
  <c r="Q41" i="18" s="1"/>
  <c r="R41" i="18" s="1"/>
  <c r="Q42" i="18" a="1"/>
  <c r="Q42" i="18" s="1"/>
  <c r="R42" i="18" s="1"/>
  <c r="Q43" i="18" a="1"/>
  <c r="Q43" i="18" s="1"/>
  <c r="Q44" i="18" a="1"/>
  <c r="Q44" i="18" s="1"/>
  <c r="R44" i="18" s="1"/>
  <c r="Q45" i="18" a="1"/>
  <c r="Q45" i="18" s="1"/>
  <c r="R45" i="18" s="1"/>
  <c r="U45" i="18" s="1"/>
  <c r="Q46" i="18" a="1"/>
  <c r="Q46" i="18"/>
  <c r="R46" i="18" s="1"/>
  <c r="Q47" i="18" a="1"/>
  <c r="Q47" i="18" s="1"/>
  <c r="R47" i="18" s="1"/>
  <c r="Q48" i="18" a="1"/>
  <c r="Q48" i="18"/>
  <c r="R48" i="18" s="1"/>
  <c r="Q49" i="18" a="1"/>
  <c r="Q49" i="18"/>
  <c r="R49" i="18" s="1"/>
  <c r="Q50" i="18" a="1"/>
  <c r="Q50" i="18" s="1"/>
  <c r="R50" i="18" s="1"/>
  <c r="Q51" i="18" a="1"/>
  <c r="Q51" i="18" s="1"/>
  <c r="R51" i="18" s="1"/>
  <c r="U51" i="18" s="1"/>
  <c r="Q52" i="18" a="1"/>
  <c r="Q52" i="18" s="1"/>
  <c r="R52" i="18" s="1"/>
  <c r="Q53" i="18" a="1"/>
  <c r="Q53" i="18" s="1"/>
  <c r="R53" i="18" s="1"/>
  <c r="Q54" i="18" a="1"/>
  <c r="Q54" i="18" s="1"/>
  <c r="R54" i="18" s="1"/>
  <c r="U54" i="18" s="1"/>
  <c r="Q55" i="18" a="1"/>
  <c r="Q55" i="18" s="1"/>
  <c r="R55" i="18" s="1"/>
  <c r="Q56" i="18" a="1"/>
  <c r="Q56" i="18" s="1"/>
  <c r="R56" i="18" s="1"/>
  <c r="U56" i="18" s="1"/>
  <c r="Q57" i="18" a="1"/>
  <c r="Q57" i="18"/>
  <c r="Q58" i="18" a="1"/>
  <c r="Q58" i="18"/>
  <c r="R58" i="18" s="1"/>
  <c r="Q59" i="18" a="1"/>
  <c r="Q59" i="18" s="1"/>
  <c r="Q60" i="18" a="1"/>
  <c r="Q60" i="18"/>
  <c r="R60" i="18" s="1"/>
  <c r="Q61" i="18" a="1"/>
  <c r="Q61" i="18" s="1"/>
  <c r="R61" i="18" s="1"/>
  <c r="Q62" i="18" a="1"/>
  <c r="Q62" i="18" s="1"/>
  <c r="R62" i="18" s="1"/>
  <c r="U62" i="18" s="1"/>
  <c r="Q63" i="18" a="1"/>
  <c r="Q63" i="18" s="1"/>
  <c r="R63" i="18" s="1"/>
  <c r="Q64" i="18" a="1"/>
  <c r="Q64" i="18" s="1"/>
  <c r="R64" i="18" s="1"/>
  <c r="U64" i="18" s="1"/>
  <c r="Q65" i="18" a="1"/>
  <c r="Q65" i="18" s="1"/>
  <c r="R65" i="18" s="1"/>
  <c r="Q66" i="18" a="1"/>
  <c r="Q66" i="18"/>
  <c r="R66" i="18" s="1"/>
  <c r="Q67" i="18" a="1"/>
  <c r="Q67" i="18" s="1"/>
  <c r="R67" i="18" s="1"/>
  <c r="U67" i="18" s="1"/>
  <c r="Q68" i="18" a="1"/>
  <c r="Q68" i="18" s="1"/>
  <c r="R68" i="18" s="1"/>
  <c r="Q69" i="18" a="1"/>
  <c r="Q69" i="18"/>
  <c r="R69" i="18" s="1"/>
  <c r="Q70" i="18" a="1"/>
  <c r="Q70" i="18" s="1"/>
  <c r="R70" i="18" s="1"/>
  <c r="Q71" i="18" a="1"/>
  <c r="Q71" i="18" s="1"/>
  <c r="R71" i="18" s="1"/>
  <c r="Q72" i="18" a="1"/>
  <c r="Q72" i="18"/>
  <c r="R72" i="18" s="1"/>
  <c r="Q73" i="18" a="1"/>
  <c r="Q73" i="18" s="1"/>
  <c r="R73" i="18" s="1"/>
  <c r="U73" i="18" s="1"/>
  <c r="Q74" i="18" a="1"/>
  <c r="Q74" i="18" s="1"/>
  <c r="R74" i="18" s="1"/>
  <c r="Q75" i="18" a="1"/>
  <c r="Q75" i="18" s="1"/>
  <c r="R75" i="18" s="1"/>
  <c r="U75" i="18" s="1"/>
  <c r="Q76" i="18" a="1"/>
  <c r="Q76" i="18" s="1"/>
  <c r="R76" i="18" s="1"/>
  <c r="Q77" i="18" a="1"/>
  <c r="Q77" i="18" s="1"/>
  <c r="R77" i="18" s="1"/>
  <c r="Q78" i="18" a="1"/>
  <c r="Q78" i="18"/>
  <c r="R78" i="18" s="1"/>
  <c r="Q79" i="18" a="1"/>
  <c r="Q79" i="18" s="1"/>
  <c r="R79" i="18" s="1"/>
  <c r="Q80" i="18" a="1"/>
  <c r="Q80" i="18"/>
  <c r="R80" i="18" s="1"/>
  <c r="Q81" i="18" a="1"/>
  <c r="Q81" i="18"/>
  <c r="R81" i="18" s="1"/>
  <c r="Q82" i="18" a="1"/>
  <c r="Q82" i="18" s="1"/>
  <c r="R82" i="18" s="1"/>
  <c r="U82" i="18" s="1"/>
  <c r="Q83" i="18" a="1"/>
  <c r="Q83" i="18" s="1"/>
  <c r="R83" i="18" s="1"/>
  <c r="U83" i="18" s="1"/>
  <c r="Q84" i="18" a="1"/>
  <c r="Q84" i="18" s="1"/>
  <c r="R84" i="18" s="1"/>
  <c r="Q85" i="18" a="1"/>
  <c r="Q85" i="18" s="1"/>
  <c r="R85" i="18" s="1"/>
  <c r="Q86" i="18" a="1"/>
  <c r="Q86" i="18" s="1"/>
  <c r="R86" i="18" s="1"/>
  <c r="Q87" i="18" a="1"/>
  <c r="Q87" i="18" s="1"/>
  <c r="R87" i="18" s="1"/>
  <c r="Q88" i="18" a="1"/>
  <c r="Q88" i="18" s="1"/>
  <c r="R88" i="18" s="1"/>
  <c r="Q89" i="18" a="1"/>
  <c r="Q89" i="18"/>
  <c r="R89" i="18" s="1"/>
  <c r="U89" i="18" s="1"/>
  <c r="Q90" i="18" a="1"/>
  <c r="Q90" i="18"/>
  <c r="R90" i="18" s="1"/>
  <c r="Q91" i="18" a="1"/>
  <c r="Q91" i="18" s="1"/>
  <c r="R91" i="18" s="1"/>
  <c r="U91" i="18" s="1"/>
  <c r="Q92" i="18" a="1"/>
  <c r="Q92" i="18"/>
  <c r="R92" i="18" s="1"/>
  <c r="Q93" i="18" a="1"/>
  <c r="Q93" i="18" s="1"/>
  <c r="R93" i="18" s="1"/>
  <c r="Q94" i="18" a="1"/>
  <c r="Q94" i="18" s="1"/>
  <c r="R94" i="18" s="1"/>
  <c r="Q95" i="18" a="1"/>
  <c r="Q95" i="18" s="1"/>
  <c r="R95" i="18" s="1"/>
  <c r="Q96" i="18" a="1"/>
  <c r="Q96" i="18" s="1"/>
  <c r="R96" i="18" s="1"/>
  <c r="Q97" i="18" a="1"/>
  <c r="Q97" i="18" s="1"/>
  <c r="R97" i="18" s="1"/>
  <c r="U97" i="18" s="1"/>
  <c r="Q98" i="18" a="1"/>
  <c r="Q98" i="18"/>
  <c r="R98" i="18" s="1"/>
  <c r="Q99" i="18" a="1"/>
  <c r="Q99" i="18" s="1"/>
  <c r="R99" i="18" s="1"/>
  <c r="U99" i="18" s="1"/>
  <c r="Q100" i="18" a="1"/>
  <c r="Q100" i="18" s="1"/>
  <c r="R100" i="18" s="1"/>
  <c r="Q101" i="18" a="1"/>
  <c r="Q101" i="18"/>
  <c r="R101" i="18" s="1"/>
  <c r="Q102" i="18" a="1"/>
  <c r="Q102" i="18" s="1"/>
  <c r="R102" i="18" s="1"/>
  <c r="Q103" i="18" a="1"/>
  <c r="Q103" i="18" s="1"/>
  <c r="R103" i="18" s="1"/>
  <c r="Q104" i="18" a="1"/>
  <c r="Q104" i="18"/>
  <c r="R104" i="18" s="1"/>
  <c r="Q105" i="18" a="1"/>
  <c r="Q105" i="18" s="1"/>
  <c r="R105" i="18" s="1"/>
  <c r="Q106" i="18" a="1"/>
  <c r="Q106" i="18" s="1"/>
  <c r="R106" i="18" s="1"/>
  <c r="U106" i="18" s="1"/>
  <c r="Q107" i="18" a="1"/>
  <c r="Q107" i="18" s="1"/>
  <c r="Q108" i="18" a="1"/>
  <c r="Q108" i="18" s="1"/>
  <c r="R108" i="18" s="1"/>
  <c r="Q109" i="18" a="1"/>
  <c r="Q109" i="18" s="1"/>
  <c r="R109" i="18" s="1"/>
  <c r="Q110" i="18" a="1"/>
  <c r="Q110" i="18"/>
  <c r="R110" i="18" s="1"/>
  <c r="Q111" i="18" a="1"/>
  <c r="Q111" i="18" s="1"/>
  <c r="R111" i="18" s="1"/>
  <c r="Q112" i="18" a="1"/>
  <c r="Q112" i="18"/>
  <c r="R112" i="18" s="1"/>
  <c r="Q113" i="18" a="1"/>
  <c r="Q113" i="18"/>
  <c r="R113" i="18" s="1"/>
  <c r="Q114" i="18" a="1"/>
  <c r="Q114" i="18" s="1"/>
  <c r="R114" i="18" s="1"/>
  <c r="U114" i="18" s="1"/>
  <c r="Q115" i="18" a="1"/>
  <c r="Q115" i="18" s="1"/>
  <c r="R115" i="18" s="1"/>
  <c r="U115" i="18" s="1"/>
  <c r="Q116" i="18" a="1"/>
  <c r="Q116" i="18" s="1"/>
  <c r="R116" i="18" s="1"/>
  <c r="Q117" i="18" a="1"/>
  <c r="Q117" i="18" s="1"/>
  <c r="R117" i="18" s="1"/>
  <c r="Q118" i="18" a="1"/>
  <c r="Q118" i="18" s="1"/>
  <c r="R118" i="18" s="1"/>
  <c r="Q119" i="18" a="1"/>
  <c r="Q119" i="18" s="1"/>
  <c r="R119" i="18" s="1"/>
  <c r="Q120" i="18" a="1"/>
  <c r="Q120" i="18" s="1"/>
  <c r="R120" i="18" s="1"/>
  <c r="Q121" i="18" a="1"/>
  <c r="Q121" i="18"/>
  <c r="Q122" i="18" a="1"/>
  <c r="Q122" i="18"/>
  <c r="R122" i="18" s="1"/>
  <c r="Q123" i="18" a="1"/>
  <c r="Q123" i="18" s="1"/>
  <c r="Q124" i="18" a="1"/>
  <c r="Q124" i="18"/>
  <c r="R124" i="18" s="1"/>
  <c r="Q125" i="18" a="1"/>
  <c r="Q125" i="18" s="1"/>
  <c r="R125" i="18" s="1"/>
  <c r="Q126" i="18" a="1"/>
  <c r="Q126" i="18" s="1"/>
  <c r="R126" i="18" s="1"/>
  <c r="Q127" i="18" a="1"/>
  <c r="Q127" i="18" s="1"/>
  <c r="R127" i="18" s="1"/>
  <c r="Q128" i="18" a="1"/>
  <c r="Q128" i="18" s="1"/>
  <c r="R128" i="18" s="1"/>
  <c r="Q129" i="18" a="1"/>
  <c r="Q129" i="18" s="1"/>
  <c r="R129" i="18" s="1"/>
  <c r="Q130" i="18" a="1"/>
  <c r="Q130" i="18"/>
  <c r="R130" i="18" s="1"/>
  <c r="Q131" i="18" a="1"/>
  <c r="Q131" i="18" s="1"/>
  <c r="R131" i="18" s="1"/>
  <c r="U131" i="18" s="1"/>
  <c r="Q132" i="18" a="1"/>
  <c r="Q132" i="18" s="1"/>
  <c r="R132" i="18" s="1"/>
  <c r="U132" i="18" s="1"/>
  <c r="Q133" i="18" a="1"/>
  <c r="Q133" i="18"/>
  <c r="R133" i="18" s="1"/>
  <c r="Q134" i="18" a="1"/>
  <c r="Q134" i="18" s="1"/>
  <c r="R134" i="18" s="1"/>
  <c r="Q135" i="18" a="1"/>
  <c r="Q135" i="18" s="1"/>
  <c r="R135" i="18" s="1"/>
  <c r="Q136" i="18" a="1"/>
  <c r="Q136" i="18"/>
  <c r="R136" i="18" s="1"/>
  <c r="Q137" i="18" a="1"/>
  <c r="Q137" i="18" s="1"/>
  <c r="R137" i="18" s="1"/>
  <c r="Q138" i="18" a="1"/>
  <c r="Q138" i="18" s="1"/>
  <c r="R138" i="18" s="1"/>
  <c r="Q139" i="18" a="1"/>
  <c r="Q139" i="18" s="1"/>
  <c r="R139" i="18" s="1"/>
  <c r="U139" i="18" s="1"/>
  <c r="Q140" i="18" a="1"/>
  <c r="Q140" i="18" s="1"/>
  <c r="R140" i="18" s="1"/>
  <c r="Q141" i="18" a="1"/>
  <c r="Q141" i="18" s="1"/>
  <c r="R141" i="18" s="1"/>
  <c r="U141" i="18" s="1"/>
  <c r="Q142" i="18" a="1"/>
  <c r="Q142" i="18"/>
  <c r="R142" i="18" s="1"/>
  <c r="Q143" i="18" a="1"/>
  <c r="Q143" i="18" s="1"/>
  <c r="R143" i="18" s="1"/>
  <c r="Q144" i="18" a="1"/>
  <c r="Q144" i="18"/>
  <c r="R144" i="18" s="1"/>
  <c r="Q145" i="18" a="1"/>
  <c r="Q145" i="18"/>
  <c r="R145" i="18" s="1"/>
  <c r="Q146" i="18" a="1"/>
  <c r="Q146" i="18" s="1"/>
  <c r="R146" i="18" s="1"/>
  <c r="Q147" i="18" a="1"/>
  <c r="Q147" i="18" s="1"/>
  <c r="R147" i="18" s="1"/>
  <c r="U147" i="18" s="1"/>
  <c r="Q148" i="18" a="1"/>
  <c r="Q148" i="18" s="1"/>
  <c r="R148" i="18" s="1"/>
  <c r="Q149" i="18" a="1"/>
  <c r="Q149" i="18" s="1"/>
  <c r="R149" i="18" s="1"/>
  <c r="Q150" i="18" a="1"/>
  <c r="Q150" i="18" s="1"/>
  <c r="R150" i="18" s="1"/>
  <c r="U150" i="18" s="1"/>
  <c r="Q151" i="18" a="1"/>
  <c r="Q151" i="18" s="1"/>
  <c r="Q152" i="18" a="1"/>
  <c r="Q152" i="18" s="1"/>
  <c r="R152" i="18" s="1"/>
  <c r="Q153" i="18" a="1"/>
  <c r="Q153" i="18"/>
  <c r="R153" i="18" s="1"/>
  <c r="Q154" i="18" a="1"/>
  <c r="Q154" i="18"/>
  <c r="Q155" i="18" a="1"/>
  <c r="Q155" i="18" s="1"/>
  <c r="Q156" i="18" a="1"/>
  <c r="Q156" i="18"/>
  <c r="R156" i="18" s="1"/>
  <c r="Q157" i="18" a="1"/>
  <c r="Q157" i="18" s="1"/>
  <c r="R157" i="18" s="1"/>
  <c r="Q158" i="18" a="1"/>
  <c r="Q158" i="18" s="1"/>
  <c r="R158" i="18" s="1"/>
  <c r="U158" i="18" s="1"/>
  <c r="Q159" i="18" a="1"/>
  <c r="Q159" i="18" s="1"/>
  <c r="R159" i="18" s="1"/>
  <c r="Q160" i="18" a="1"/>
  <c r="Q160" i="18"/>
  <c r="Q161" i="18" a="1"/>
  <c r="Q161" i="18" s="1"/>
  <c r="R161" i="18" s="1"/>
  <c r="Q162" i="18" a="1"/>
  <c r="Q162" i="18"/>
  <c r="R162" i="18" s="1"/>
  <c r="Q163" i="18" a="1"/>
  <c r="Q163" i="18" s="1"/>
  <c r="Q164" i="18" a="1"/>
  <c r="Q164" i="18" s="1"/>
  <c r="R164" i="18" s="1"/>
  <c r="Q165" i="18" a="1"/>
  <c r="Q165" i="18"/>
  <c r="Q166" i="18" a="1"/>
  <c r="Q166" i="18" s="1"/>
  <c r="R166" i="18" s="1"/>
  <c r="Q167" i="18" a="1"/>
  <c r="Q167" i="18" s="1"/>
  <c r="Q168" i="18" a="1"/>
  <c r="Q168" i="18"/>
  <c r="R168" i="18" s="1"/>
  <c r="Q169" i="18" a="1"/>
  <c r="Q169" i="18"/>
  <c r="Q170" i="18" a="1"/>
  <c r="Q170" i="18" s="1"/>
  <c r="R170" i="18" s="1"/>
  <c r="Q171" i="18" a="1"/>
  <c r="Q171" i="18" s="1"/>
  <c r="Q172" i="18" a="1"/>
  <c r="Q172" i="18" s="1"/>
  <c r="Q173" i="18" a="1"/>
  <c r="Q173" i="18" s="1"/>
  <c r="R173" i="18" s="1"/>
  <c r="Q174" i="18" a="1"/>
  <c r="Q174" i="18"/>
  <c r="Q175" i="18" a="1"/>
  <c r="Q175" i="18" s="1"/>
  <c r="Q176" i="18" a="1"/>
  <c r="Q176" i="18"/>
  <c r="Q177" i="18" a="1"/>
  <c r="Q177" i="18"/>
  <c r="R177" i="18" s="1"/>
  <c r="Q178" i="18" a="1"/>
  <c r="Q178" i="18"/>
  <c r="Q179" i="18" a="1"/>
  <c r="Q179" i="18" s="1"/>
  <c r="R179" i="18" s="1"/>
  <c r="U179" i="18" s="1"/>
  <c r="Q180" i="18" a="1"/>
  <c r="Q180" i="18" s="1"/>
  <c r="R180" i="18" s="1"/>
  <c r="Q181" i="18" a="1"/>
  <c r="Q181" i="18" s="1"/>
  <c r="R181" i="18" s="1"/>
  <c r="Q182" i="18" a="1"/>
  <c r="Q182" i="18" s="1"/>
  <c r="R182" i="18" s="1"/>
  <c r="Q183" i="18" a="1"/>
  <c r="Q183" i="18" s="1"/>
  <c r="Q184" i="18" a="1"/>
  <c r="Q184" i="18" s="1"/>
  <c r="R184" i="18" s="1"/>
  <c r="U184" i="18" s="1"/>
  <c r="Q185" i="18" a="1"/>
  <c r="Q185" i="18"/>
  <c r="R185" i="18" s="1"/>
  <c r="Q186" i="18" a="1"/>
  <c r="Q186" i="18"/>
  <c r="Q187" i="18" a="1"/>
  <c r="Q187" i="18" s="1"/>
  <c r="Q188" i="18" a="1"/>
  <c r="Q188" i="18"/>
  <c r="R188" i="18" s="1"/>
  <c r="Q189" i="18" a="1"/>
  <c r="Q189" i="18" s="1"/>
  <c r="R189" i="18" s="1"/>
  <c r="Q190" i="18" a="1"/>
  <c r="Q190" i="18" s="1"/>
  <c r="R190" i="18" s="1"/>
  <c r="Q191" i="18" a="1"/>
  <c r="Q191" i="18" s="1"/>
  <c r="R191" i="18" s="1"/>
  <c r="Q192" i="18" a="1"/>
  <c r="Q192" i="18"/>
  <c r="Q193" i="18" a="1"/>
  <c r="Q193" i="18" s="1"/>
  <c r="R193" i="18" s="1"/>
  <c r="Q194" i="18" a="1"/>
  <c r="Q194" i="18"/>
  <c r="R194" i="18" s="1"/>
  <c r="Q195" i="18" a="1"/>
  <c r="Q195" i="18" s="1"/>
  <c r="Q196" i="18" a="1"/>
  <c r="Q196" i="18" s="1"/>
  <c r="R196" i="18" s="1"/>
  <c r="Q197" i="18" a="1"/>
  <c r="Q197" i="18"/>
  <c r="R197" i="18" s="1"/>
  <c r="Q198" i="18" a="1"/>
  <c r="Q198" i="18" s="1"/>
  <c r="Q199" i="18" a="1"/>
  <c r="Q199" i="18" s="1"/>
  <c r="Q200" i="18" a="1"/>
  <c r="Q200" i="18"/>
  <c r="R200" i="18" s="1"/>
  <c r="Q201" i="18" a="1"/>
  <c r="Q201" i="18"/>
  <c r="Q202" i="18" a="1"/>
  <c r="Q202" i="18" s="1"/>
  <c r="R202" i="18" s="1"/>
  <c r="Q203" i="18" a="1"/>
  <c r="Q203" i="18" s="1"/>
  <c r="R203" i="18" s="1"/>
  <c r="U203" i="18" s="1"/>
  <c r="Q204" i="18" a="1"/>
  <c r="Q204" i="18" s="1"/>
  <c r="R204" i="18" s="1"/>
  <c r="Q205" i="18" a="1"/>
  <c r="Q205" i="18" s="1"/>
  <c r="R205" i="18" s="1"/>
  <c r="Q206" i="18" a="1"/>
  <c r="Q206" i="18"/>
  <c r="Q207" i="18" a="1"/>
  <c r="Q207" i="18" s="1"/>
  <c r="Q208" i="18" a="1"/>
  <c r="Q208" i="18"/>
  <c r="Q209" i="18" a="1"/>
  <c r="Q209" i="18"/>
  <c r="Q210" i="18" a="1"/>
  <c r="Q210" i="18"/>
  <c r="Q211" i="18" a="1"/>
  <c r="Q211" i="18" s="1"/>
  <c r="R211" i="18" s="1"/>
  <c r="U211" i="18" s="1"/>
  <c r="Q212" i="18" a="1"/>
  <c r="Q212" i="18" s="1"/>
  <c r="R212" i="18" s="1"/>
  <c r="Q213" i="18" a="1"/>
  <c r="Q213" i="18" s="1"/>
  <c r="R213" i="18" s="1"/>
  <c r="Q214" i="18" a="1"/>
  <c r="Q214" i="18" s="1"/>
  <c r="R214" i="18" s="1"/>
  <c r="Q215" i="18" a="1"/>
  <c r="Q215" i="18" s="1"/>
  <c r="Q216" i="18" a="1"/>
  <c r="Q216" i="18" s="1"/>
  <c r="Q217" i="18" a="1"/>
  <c r="Q217" i="18"/>
  <c r="R217" i="18" s="1"/>
  <c r="Q218" i="18" a="1"/>
  <c r="Q218" i="18"/>
  <c r="Q219" i="18" a="1"/>
  <c r="Q219" i="18"/>
  <c r="Q220" i="18" a="1"/>
  <c r="Q220" i="18" s="1"/>
  <c r="R220" i="18" s="1"/>
  <c r="Q221" i="18" a="1"/>
  <c r="Q221" i="18"/>
  <c r="R221" i="18" s="1"/>
  <c r="Q222" i="18" a="1"/>
  <c r="Q222" i="18"/>
  <c r="Q223" i="18" a="1"/>
  <c r="Q223" i="18"/>
  <c r="Q224" i="18" a="1"/>
  <c r="Q224" i="18" s="1"/>
  <c r="R224" i="18" s="1"/>
  <c r="Q225" i="18" a="1"/>
  <c r="Q225" i="18"/>
  <c r="R225" i="18" s="1"/>
  <c r="Q226" i="18" a="1"/>
  <c r="Q226" i="18"/>
  <c r="R226" i="18" s="1"/>
  <c r="Q227" i="18" a="1"/>
  <c r="Q227" i="18"/>
  <c r="Q228" i="18" a="1"/>
  <c r="Q228" i="18" s="1"/>
  <c r="R228" i="18" s="1"/>
  <c r="U228" i="18" s="1"/>
  <c r="Q229" i="18" a="1"/>
  <c r="Q229" i="18"/>
  <c r="Q230" i="18" a="1"/>
  <c r="Q230" i="18"/>
  <c r="Q231" i="18" a="1"/>
  <c r="Q231" i="18"/>
  <c r="Q232" i="18" a="1"/>
  <c r="Q232" i="18" s="1"/>
  <c r="R232" i="18" s="1"/>
  <c r="Q233" i="18" a="1"/>
  <c r="Q233" i="18"/>
  <c r="R233" i="18" s="1"/>
  <c r="Q234" i="18" a="1"/>
  <c r="Q234" i="18"/>
  <c r="R234" i="18" s="1"/>
  <c r="Q235" i="18" a="1"/>
  <c r="Q235" i="18"/>
  <c r="Q236" i="18" a="1"/>
  <c r="Q236" i="18" s="1"/>
  <c r="R236" i="18" s="1"/>
  <c r="U236" i="18" s="1"/>
  <c r="Q237" i="18" a="1"/>
  <c r="Q237" i="18"/>
  <c r="R237" i="18" s="1"/>
  <c r="Q238" i="18" a="1"/>
  <c r="Q238" i="18"/>
  <c r="Q239" i="18" a="1"/>
  <c r="Q239" i="18"/>
  <c r="Q240" i="18" a="1"/>
  <c r="Q240" i="18" s="1"/>
  <c r="R240" i="18" s="1"/>
  <c r="Q241" i="18" a="1"/>
  <c r="Q241" i="18"/>
  <c r="R241" i="18" s="1"/>
  <c r="Q242" i="18" a="1"/>
  <c r="Q242" i="18"/>
  <c r="Q243" i="18" a="1"/>
  <c r="Q243" i="18"/>
  <c r="Q244" i="18" a="1"/>
  <c r="Q244" i="18" s="1"/>
  <c r="R244" i="18" s="1"/>
  <c r="Q245" i="18" a="1"/>
  <c r="Q245" i="18"/>
  <c r="Q246" i="18" a="1"/>
  <c r="Q246" i="18"/>
  <c r="Q247" i="18" a="1"/>
  <c r="Q247" i="18"/>
  <c r="Q248" i="18" a="1"/>
  <c r="Q248" i="18" s="1"/>
  <c r="R248" i="18" s="1"/>
  <c r="Q249" i="18" a="1"/>
  <c r="Q249" i="18"/>
  <c r="R249" i="18" s="1"/>
  <c r="Q250" i="18" a="1"/>
  <c r="Q250" i="18"/>
  <c r="Q251" i="18" a="1"/>
  <c r="Q251" i="18"/>
  <c r="R251" i="18" s="1"/>
  <c r="R3" i="18"/>
  <c r="R27" i="18"/>
  <c r="R43" i="18"/>
  <c r="R57" i="18"/>
  <c r="R59" i="18"/>
  <c r="R107" i="18"/>
  <c r="R121" i="18"/>
  <c r="R123" i="18"/>
  <c r="R165" i="18"/>
  <c r="R169" i="18"/>
  <c r="R171" i="18"/>
  <c r="R201" i="18"/>
  <c r="R209" i="18"/>
  <c r="R229" i="18"/>
  <c r="R235" i="18"/>
  <c r="R245" i="18"/>
  <c r="S2" i="18" a="1"/>
  <c r="S2" i="18" s="1"/>
  <c r="S3" i="18" a="1"/>
  <c r="S3" i="18" s="1"/>
  <c r="S4" i="18" a="1"/>
  <c r="S4" i="18"/>
  <c r="S5" i="18" a="1"/>
  <c r="S5" i="18" s="1"/>
  <c r="S6" i="18" a="1"/>
  <c r="S6" i="18" s="1"/>
  <c r="S7" i="18" a="1"/>
  <c r="S7" i="18" s="1"/>
  <c r="S8" i="18" a="1"/>
  <c r="S8" i="18"/>
  <c r="S9" i="18" a="1"/>
  <c r="S9" i="18" s="1"/>
  <c r="S10" i="18" a="1"/>
  <c r="S10" i="18" s="1"/>
  <c r="S11" i="18" a="1"/>
  <c r="S11" i="18" s="1"/>
  <c r="S12" i="18" a="1"/>
  <c r="S12" i="18"/>
  <c r="S13" i="18" a="1"/>
  <c r="S13" i="18" s="1"/>
  <c r="S14" i="18" a="1"/>
  <c r="S14" i="18" s="1"/>
  <c r="S15" i="18" a="1"/>
  <c r="S15" i="18" s="1"/>
  <c r="S16" i="18" a="1"/>
  <c r="S16" i="18"/>
  <c r="S17" i="18" a="1"/>
  <c r="S17" i="18" s="1"/>
  <c r="S18" i="18" a="1"/>
  <c r="S18" i="18" s="1"/>
  <c r="S19" i="18" a="1"/>
  <c r="S19" i="18" s="1"/>
  <c r="S20" i="18" a="1"/>
  <c r="S20" i="18"/>
  <c r="S21" i="18" a="1"/>
  <c r="S21" i="18" s="1"/>
  <c r="S22" i="18" a="1"/>
  <c r="S22" i="18" s="1"/>
  <c r="S23" i="18" a="1"/>
  <c r="S23" i="18" s="1"/>
  <c r="S24" i="18" a="1"/>
  <c r="S24" i="18"/>
  <c r="S25" i="18" a="1"/>
  <c r="S25" i="18" s="1"/>
  <c r="S26" i="18" a="1"/>
  <c r="S26" i="18" s="1"/>
  <c r="S27" i="18" a="1"/>
  <c r="S27" i="18" s="1"/>
  <c r="S28" i="18" a="1"/>
  <c r="S28" i="18"/>
  <c r="S29" i="18" a="1"/>
  <c r="S29" i="18" s="1"/>
  <c r="S30" i="18" a="1"/>
  <c r="S30" i="18" s="1"/>
  <c r="S31" i="18" a="1"/>
  <c r="S31" i="18" s="1"/>
  <c r="S32" i="18" a="1"/>
  <c r="S32" i="18"/>
  <c r="S33" i="18" a="1"/>
  <c r="S33" i="18" s="1"/>
  <c r="S34" i="18" a="1"/>
  <c r="S34" i="18" s="1"/>
  <c r="S35" i="18" a="1"/>
  <c r="S35" i="18" s="1"/>
  <c r="S36" i="18" a="1"/>
  <c r="S36" i="18"/>
  <c r="S37" i="18" a="1"/>
  <c r="S37" i="18" s="1"/>
  <c r="S38" i="18" a="1"/>
  <c r="S38" i="18" s="1"/>
  <c r="S39" i="18" a="1"/>
  <c r="S39" i="18" s="1"/>
  <c r="S40" i="18" a="1"/>
  <c r="S40" i="18"/>
  <c r="S41" i="18" a="1"/>
  <c r="S41" i="18" s="1"/>
  <c r="S42" i="18" a="1"/>
  <c r="S42" i="18" s="1"/>
  <c r="S43" i="18" a="1"/>
  <c r="S43" i="18" s="1"/>
  <c r="S44" i="18" a="1"/>
  <c r="S44" i="18"/>
  <c r="S45" i="18" a="1"/>
  <c r="S45" i="18"/>
  <c r="S46" i="18" a="1"/>
  <c r="S46" i="18" s="1"/>
  <c r="S47" i="18" a="1"/>
  <c r="S47" i="18" s="1"/>
  <c r="S48" i="18" a="1"/>
  <c r="S48" i="18" s="1"/>
  <c r="S49" i="18" a="1"/>
  <c r="S49" i="18" s="1"/>
  <c r="S50" i="18" a="1"/>
  <c r="S50" i="18" s="1"/>
  <c r="S51" i="18" a="1"/>
  <c r="S51" i="18" s="1"/>
  <c r="S52" i="18" a="1"/>
  <c r="S52" i="18"/>
  <c r="S53" i="18" a="1"/>
  <c r="S53" i="18" s="1"/>
  <c r="S54" i="18" a="1"/>
  <c r="S54" i="18" s="1"/>
  <c r="S55" i="18" a="1"/>
  <c r="S55" i="18" s="1"/>
  <c r="S56" i="18" a="1"/>
  <c r="S56" i="18" s="1"/>
  <c r="S57" i="18" a="1"/>
  <c r="S57" i="18" s="1"/>
  <c r="S58" i="18" a="1"/>
  <c r="S58" i="18" s="1"/>
  <c r="S59" i="18" a="1"/>
  <c r="S59" i="18" s="1"/>
  <c r="S60" i="18" a="1"/>
  <c r="S60" i="18"/>
  <c r="S61" i="18" a="1"/>
  <c r="S61" i="18"/>
  <c r="S62" i="18" a="1"/>
  <c r="S62" i="18"/>
  <c r="S63" i="18" a="1"/>
  <c r="S63" i="18" s="1"/>
  <c r="S64" i="18" a="1"/>
  <c r="S64" i="18" s="1"/>
  <c r="S65" i="18" a="1"/>
  <c r="S65" i="18" s="1"/>
  <c r="S66" i="18" a="1"/>
  <c r="S66" i="18" s="1"/>
  <c r="S67" i="18" a="1"/>
  <c r="S67" i="18" s="1"/>
  <c r="S68" i="18" a="1"/>
  <c r="S68" i="18" s="1"/>
  <c r="S69" i="18" a="1"/>
  <c r="S69" i="18"/>
  <c r="S70" i="18" a="1"/>
  <c r="S70" i="18" s="1"/>
  <c r="S71" i="18" a="1"/>
  <c r="S71" i="18" s="1"/>
  <c r="S72" i="18" a="1"/>
  <c r="S72" i="18" s="1"/>
  <c r="S73" i="18" a="1"/>
  <c r="S73" i="18" s="1"/>
  <c r="S74" i="18" a="1"/>
  <c r="S74" i="18" s="1"/>
  <c r="S75" i="18" a="1"/>
  <c r="S75" i="18" s="1"/>
  <c r="S76" i="18" a="1"/>
  <c r="S76" i="18" s="1"/>
  <c r="S77" i="18" a="1"/>
  <c r="S77" i="18"/>
  <c r="S78" i="18" a="1"/>
  <c r="S78" i="18"/>
  <c r="S79" i="18" a="1"/>
  <c r="S79" i="18" s="1"/>
  <c r="S80" i="18" a="1"/>
  <c r="S80" i="18" s="1"/>
  <c r="S81" i="18" a="1"/>
  <c r="S81" i="18" s="1"/>
  <c r="S82" i="18" a="1"/>
  <c r="S82" i="18" s="1"/>
  <c r="S83" i="18" a="1"/>
  <c r="S83" i="18" s="1"/>
  <c r="S84" i="18" a="1"/>
  <c r="S84" i="18" s="1"/>
  <c r="S85" i="18" a="1"/>
  <c r="S85" i="18" s="1"/>
  <c r="S86" i="18" a="1"/>
  <c r="S86" i="18"/>
  <c r="S87" i="18" a="1"/>
  <c r="S87" i="18" s="1"/>
  <c r="S88" i="18" a="1"/>
  <c r="S88" i="18" s="1"/>
  <c r="S89" i="18" a="1"/>
  <c r="S89" i="18" s="1"/>
  <c r="S90" i="18" a="1"/>
  <c r="S90" i="18" s="1"/>
  <c r="S91" i="18" a="1"/>
  <c r="S91" i="18" s="1"/>
  <c r="S92" i="18" a="1"/>
  <c r="S92" i="18"/>
  <c r="S93" i="18" a="1"/>
  <c r="S93" i="18" s="1"/>
  <c r="S94" i="18" a="1"/>
  <c r="S94" i="18"/>
  <c r="S95" i="18" a="1"/>
  <c r="S95" i="18" s="1"/>
  <c r="S96" i="18" a="1"/>
  <c r="S96" i="18" s="1"/>
  <c r="S97" i="18" a="1"/>
  <c r="S97" i="18" s="1"/>
  <c r="S98" i="18" a="1"/>
  <c r="S98" i="18" s="1"/>
  <c r="S99" i="18" a="1"/>
  <c r="S99" i="18" s="1"/>
  <c r="S100" i="18" a="1"/>
  <c r="S100" i="18" s="1"/>
  <c r="S101" i="18" a="1"/>
  <c r="S101" i="18" s="1"/>
  <c r="S102" i="18" a="1"/>
  <c r="S102" i="18" s="1"/>
  <c r="S103" i="18" a="1"/>
  <c r="S103" i="18" s="1"/>
  <c r="S104" i="18" a="1"/>
  <c r="S104" i="18" s="1"/>
  <c r="S105" i="18" a="1"/>
  <c r="S105" i="18" s="1"/>
  <c r="S106" i="18" a="1"/>
  <c r="S106" i="18" s="1"/>
  <c r="S107" i="18" a="1"/>
  <c r="S107" i="18" s="1"/>
  <c r="S108" i="18" a="1"/>
  <c r="S108" i="18"/>
  <c r="S109" i="18" a="1"/>
  <c r="S109" i="18"/>
  <c r="S110" i="18" a="1"/>
  <c r="S110" i="18" s="1"/>
  <c r="S111" i="18" a="1"/>
  <c r="S111" i="18" s="1"/>
  <c r="S112" i="18" a="1"/>
  <c r="S112" i="18" s="1"/>
  <c r="S113" i="18" a="1"/>
  <c r="S113" i="18" s="1"/>
  <c r="S114" i="18" a="1"/>
  <c r="S114" i="18" s="1"/>
  <c r="S115" i="18" a="1"/>
  <c r="S115" i="18" s="1"/>
  <c r="S116" i="18" a="1"/>
  <c r="S116" i="18"/>
  <c r="S117" i="18" a="1"/>
  <c r="S117" i="18" s="1"/>
  <c r="S118" i="18" a="1"/>
  <c r="S118" i="18" s="1"/>
  <c r="S119" i="18" a="1"/>
  <c r="S119" i="18" s="1"/>
  <c r="S120" i="18" a="1"/>
  <c r="S120" i="18" s="1"/>
  <c r="S121" i="18" a="1"/>
  <c r="S121" i="18" s="1"/>
  <c r="S122" i="18" a="1"/>
  <c r="S122" i="18" s="1"/>
  <c r="S123" i="18" a="1"/>
  <c r="S123" i="18" s="1"/>
  <c r="S124" i="18" a="1"/>
  <c r="S124" i="18"/>
  <c r="S125" i="18" a="1"/>
  <c r="S125" i="18"/>
  <c r="S126" i="18" a="1"/>
  <c r="S126" i="18"/>
  <c r="S127" i="18" a="1"/>
  <c r="S127" i="18" s="1"/>
  <c r="S128" i="18" a="1"/>
  <c r="S128" i="18" s="1"/>
  <c r="S129" i="18" a="1"/>
  <c r="S129" i="18" s="1"/>
  <c r="S130" i="18" a="1"/>
  <c r="S130" i="18" s="1"/>
  <c r="S131" i="18" a="1"/>
  <c r="S131" i="18" s="1"/>
  <c r="S132" i="18" a="1"/>
  <c r="S132" i="18" s="1"/>
  <c r="S133" i="18" a="1"/>
  <c r="S133" i="18"/>
  <c r="S134" i="18" a="1"/>
  <c r="S134" i="18" s="1"/>
  <c r="S135" i="18" a="1"/>
  <c r="S135" i="18" s="1"/>
  <c r="S136" i="18" a="1"/>
  <c r="S136" i="18" s="1"/>
  <c r="S137" i="18" a="1"/>
  <c r="S137" i="18" s="1"/>
  <c r="S138" i="18" a="1"/>
  <c r="S138" i="18" s="1"/>
  <c r="S139" i="18" a="1"/>
  <c r="S139" i="18" s="1"/>
  <c r="S140" i="18" a="1"/>
  <c r="S140" i="18" s="1"/>
  <c r="S141" i="18" a="1"/>
  <c r="S141" i="18"/>
  <c r="S142" i="18" a="1"/>
  <c r="S142" i="18"/>
  <c r="S143" i="18" a="1"/>
  <c r="S143" i="18" s="1"/>
  <c r="S144" i="18" a="1"/>
  <c r="S144" i="18" s="1"/>
  <c r="S145" i="18" a="1"/>
  <c r="S145" i="18" s="1"/>
  <c r="S146" i="18" a="1"/>
  <c r="S146" i="18" s="1"/>
  <c r="S147" i="18" a="1"/>
  <c r="S147" i="18" s="1"/>
  <c r="S148" i="18" a="1"/>
  <c r="S148" i="18" s="1"/>
  <c r="S149" i="18" a="1"/>
  <c r="S149" i="18" s="1"/>
  <c r="S150" i="18" a="1"/>
  <c r="S150" i="18"/>
  <c r="S151" i="18" a="1"/>
  <c r="S151" i="18" s="1"/>
  <c r="S152" i="18" a="1"/>
  <c r="S152" i="18" s="1"/>
  <c r="S153" i="18" a="1"/>
  <c r="S153" i="18" s="1"/>
  <c r="S154" i="18" a="1"/>
  <c r="S154" i="18" s="1"/>
  <c r="S155" i="18" a="1"/>
  <c r="S155" i="18" s="1"/>
  <c r="S156" i="18" a="1"/>
  <c r="S156" i="18"/>
  <c r="S157" i="18" a="1"/>
  <c r="S157" i="18" s="1"/>
  <c r="S158" i="18" a="1"/>
  <c r="S158" i="18"/>
  <c r="S159" i="18" a="1"/>
  <c r="S159" i="18" s="1"/>
  <c r="S160" i="18" a="1"/>
  <c r="S160" i="18" s="1"/>
  <c r="S161" i="18" a="1"/>
  <c r="S161" i="18" s="1"/>
  <c r="S162" i="18" a="1"/>
  <c r="S162" i="18" s="1"/>
  <c r="S163" i="18" a="1"/>
  <c r="S163" i="18" s="1"/>
  <c r="S164" i="18" a="1"/>
  <c r="S164" i="18" s="1"/>
  <c r="S165" i="18" a="1"/>
  <c r="S165" i="18" s="1"/>
  <c r="S166" i="18" a="1"/>
  <c r="S166" i="18" s="1"/>
  <c r="S167" i="18" a="1"/>
  <c r="S167" i="18" s="1"/>
  <c r="S168" i="18" a="1"/>
  <c r="S168" i="18" s="1"/>
  <c r="S169" i="18" a="1"/>
  <c r="S169" i="18" s="1"/>
  <c r="S170" i="18" a="1"/>
  <c r="S170" i="18" s="1"/>
  <c r="S171" i="18" a="1"/>
  <c r="S171" i="18" s="1"/>
  <c r="S172" i="18" a="1"/>
  <c r="S172" i="18"/>
  <c r="S173" i="18" a="1"/>
  <c r="S173" i="18"/>
  <c r="S174" i="18" a="1"/>
  <c r="S174" i="18" s="1"/>
  <c r="S175" i="18" a="1"/>
  <c r="S175" i="18" s="1"/>
  <c r="S176" i="18" a="1"/>
  <c r="S176" i="18" s="1"/>
  <c r="S177" i="18" a="1"/>
  <c r="S177" i="18" s="1"/>
  <c r="S178" i="18" a="1"/>
  <c r="S178" i="18" s="1"/>
  <c r="S179" i="18" a="1"/>
  <c r="S179" i="18" s="1"/>
  <c r="S180" i="18" a="1"/>
  <c r="S180" i="18"/>
  <c r="S181" i="18" a="1"/>
  <c r="S181" i="18" s="1"/>
  <c r="S182" i="18" a="1"/>
  <c r="S182" i="18" s="1"/>
  <c r="S183" i="18" a="1"/>
  <c r="S183" i="18" s="1"/>
  <c r="S184" i="18" a="1"/>
  <c r="S184" i="18" s="1"/>
  <c r="S185" i="18" a="1"/>
  <c r="S185" i="18" s="1"/>
  <c r="S186" i="18" a="1"/>
  <c r="S186" i="18" s="1"/>
  <c r="S187" i="18" a="1"/>
  <c r="S187" i="18" s="1"/>
  <c r="S188" i="18" a="1"/>
  <c r="S188" i="18"/>
  <c r="S189" i="18" a="1"/>
  <c r="S189" i="18"/>
  <c r="S190" i="18" a="1"/>
  <c r="S190" i="18"/>
  <c r="S191" i="18" a="1"/>
  <c r="S191" i="18" s="1"/>
  <c r="S192" i="18" a="1"/>
  <c r="S192" i="18" s="1"/>
  <c r="S193" i="18" a="1"/>
  <c r="S193" i="18" s="1"/>
  <c r="S194" i="18" a="1"/>
  <c r="S194" i="18" s="1"/>
  <c r="S195" i="18" a="1"/>
  <c r="S195" i="18" s="1"/>
  <c r="S196" i="18" a="1"/>
  <c r="S196" i="18" s="1"/>
  <c r="S197" i="18" a="1"/>
  <c r="S197" i="18"/>
  <c r="S198" i="18" a="1"/>
  <c r="S198" i="18" s="1"/>
  <c r="S199" i="18" a="1"/>
  <c r="S199" i="18" s="1"/>
  <c r="S200" i="18" a="1"/>
  <c r="S200" i="18" s="1"/>
  <c r="S201" i="18" a="1"/>
  <c r="S201" i="18" s="1"/>
  <c r="S202" i="18" a="1"/>
  <c r="S202" i="18" s="1"/>
  <c r="S203" i="18" a="1"/>
  <c r="S203" i="18" s="1"/>
  <c r="S204" i="18" a="1"/>
  <c r="S204" i="18" s="1"/>
  <c r="S205" i="18" a="1"/>
  <c r="S205" i="18"/>
  <c r="S206" i="18" a="1"/>
  <c r="S206" i="18"/>
  <c r="S207" i="18" a="1"/>
  <c r="S207" i="18" s="1"/>
  <c r="S208" i="18" a="1"/>
  <c r="S208" i="18" s="1"/>
  <c r="S209" i="18" a="1"/>
  <c r="S209" i="18" s="1"/>
  <c r="S210" i="18" a="1"/>
  <c r="S210" i="18" s="1"/>
  <c r="S211" i="18" a="1"/>
  <c r="S211" i="18" s="1"/>
  <c r="S212" i="18" a="1"/>
  <c r="S212" i="18" s="1"/>
  <c r="S213" i="18" a="1"/>
  <c r="S213" i="18" s="1"/>
  <c r="S214" i="18" a="1"/>
  <c r="S214" i="18"/>
  <c r="S215" i="18" a="1"/>
  <c r="S215" i="18" s="1"/>
  <c r="S216" i="18" a="1"/>
  <c r="S216" i="18" s="1"/>
  <c r="S217" i="18" a="1"/>
  <c r="S217" i="18" s="1"/>
  <c r="S218" i="18" a="1"/>
  <c r="S218" i="18" s="1"/>
  <c r="S219" i="18" a="1"/>
  <c r="S219" i="18" s="1"/>
  <c r="S220" i="18" a="1"/>
  <c r="S220" i="18"/>
  <c r="S221" i="18" a="1"/>
  <c r="S221" i="18" s="1"/>
  <c r="S222" i="18" a="1"/>
  <c r="S222" i="18"/>
  <c r="S223" i="18" a="1"/>
  <c r="S223" i="18" s="1"/>
  <c r="S224" i="18" a="1"/>
  <c r="S224" i="18" s="1"/>
  <c r="S225" i="18" a="1"/>
  <c r="S225" i="18" s="1"/>
  <c r="S226" i="18" a="1"/>
  <c r="S226" i="18" s="1"/>
  <c r="S227" i="18" a="1"/>
  <c r="S227" i="18" s="1"/>
  <c r="S228" i="18" a="1"/>
  <c r="S228" i="18" s="1"/>
  <c r="S229" i="18" a="1"/>
  <c r="S229" i="18" s="1"/>
  <c r="S230" i="18" a="1"/>
  <c r="S230" i="18" s="1"/>
  <c r="S231" i="18" a="1"/>
  <c r="S231" i="18" s="1"/>
  <c r="S232" i="18" a="1"/>
  <c r="S232" i="18" s="1"/>
  <c r="S233" i="18" a="1"/>
  <c r="S233" i="18" s="1"/>
  <c r="S234" i="18" a="1"/>
  <c r="S234" i="18" s="1"/>
  <c r="S235" i="18" a="1"/>
  <c r="S235" i="18" s="1"/>
  <c r="S236" i="18" a="1"/>
  <c r="S236" i="18"/>
  <c r="S237" i="18" a="1"/>
  <c r="S237" i="18"/>
  <c r="S238" i="18" a="1"/>
  <c r="S238" i="18" s="1"/>
  <c r="S239" i="18" a="1"/>
  <c r="S239" i="18" s="1"/>
  <c r="S240" i="18" a="1"/>
  <c r="S240" i="18" s="1"/>
  <c r="S241" i="18" a="1"/>
  <c r="S241" i="18" s="1"/>
  <c r="S242" i="18" a="1"/>
  <c r="S242" i="18" s="1"/>
  <c r="S243" i="18" a="1"/>
  <c r="S243" i="18" s="1"/>
  <c r="S244" i="18" a="1"/>
  <c r="S244" i="18"/>
  <c r="S245" i="18" a="1"/>
  <c r="S245" i="18" s="1"/>
  <c r="S246" i="18" a="1"/>
  <c r="S246" i="18" s="1"/>
  <c r="S247" i="18" a="1"/>
  <c r="S247" i="18" s="1"/>
  <c r="S248" i="18" a="1"/>
  <c r="S248" i="18" s="1"/>
  <c r="S249" i="18" a="1"/>
  <c r="S249" i="18" s="1"/>
  <c r="S250" i="18" a="1"/>
  <c r="S250" i="18" s="1"/>
  <c r="S251" i="18" a="1"/>
  <c r="S251" i="18" s="1"/>
  <c r="T2" i="18" a="1"/>
  <c r="T2" i="18"/>
  <c r="T3" i="18" a="1"/>
  <c r="T3" i="18"/>
  <c r="T4" i="18" a="1"/>
  <c r="T4" i="18"/>
  <c r="T5" i="18" a="1"/>
  <c r="T5" i="18" s="1"/>
  <c r="T6" i="18" a="1"/>
  <c r="T6" i="18"/>
  <c r="T7" i="18" a="1"/>
  <c r="T7" i="18"/>
  <c r="T8" i="18" a="1"/>
  <c r="T8" i="18"/>
  <c r="T9" i="18" a="1"/>
  <c r="T9" i="18" s="1"/>
  <c r="T10" i="18" a="1"/>
  <c r="T10" i="18"/>
  <c r="T11" i="18" a="1"/>
  <c r="T11" i="18"/>
  <c r="T12" i="18" a="1"/>
  <c r="T12" i="18"/>
  <c r="T13" i="18" a="1"/>
  <c r="T13" i="18" s="1"/>
  <c r="T14" i="18" a="1"/>
  <c r="T14" i="18"/>
  <c r="T15" i="18" a="1"/>
  <c r="T15" i="18"/>
  <c r="T16" i="18" a="1"/>
  <c r="T16" i="18"/>
  <c r="T17" i="18" a="1"/>
  <c r="T17" i="18" s="1"/>
  <c r="T18" i="18" a="1"/>
  <c r="T18" i="18"/>
  <c r="T19" i="18" a="1"/>
  <c r="T19" i="18"/>
  <c r="T20" i="18" a="1"/>
  <c r="T20" i="18"/>
  <c r="T21" i="18" a="1"/>
  <c r="T21" i="18" s="1"/>
  <c r="T22" i="18" a="1"/>
  <c r="T22" i="18"/>
  <c r="T23" i="18" a="1"/>
  <c r="T23" i="18" s="1"/>
  <c r="T24" i="18" a="1"/>
  <c r="T24" i="18" s="1"/>
  <c r="T25" i="18" a="1"/>
  <c r="T25" i="18"/>
  <c r="T26" i="18" a="1"/>
  <c r="T26" i="18" s="1"/>
  <c r="T27" i="18" a="1"/>
  <c r="T27" i="18" s="1"/>
  <c r="T28" i="18" a="1"/>
  <c r="T28" i="18"/>
  <c r="T29" i="18" a="1"/>
  <c r="T29" i="18"/>
  <c r="T30" i="18" a="1"/>
  <c r="T30" i="18" s="1"/>
  <c r="T31" i="18" a="1"/>
  <c r="T31" i="18" s="1"/>
  <c r="T32" i="18" a="1"/>
  <c r="T32" i="18" s="1"/>
  <c r="T33" i="18" a="1"/>
  <c r="T33" i="18" s="1"/>
  <c r="T34" i="18" a="1"/>
  <c r="T34" i="18"/>
  <c r="T35" i="18" a="1"/>
  <c r="T35" i="18" s="1"/>
  <c r="T36" i="18" a="1"/>
  <c r="T36" i="18"/>
  <c r="T37" i="18" a="1"/>
  <c r="T37" i="18"/>
  <c r="T38" i="18" a="1"/>
  <c r="T38" i="18"/>
  <c r="T39" i="18" a="1"/>
  <c r="T39" i="18" s="1"/>
  <c r="T40" i="18" a="1"/>
  <c r="T40" i="18" s="1"/>
  <c r="T41" i="18" a="1"/>
  <c r="T41" i="18" s="1"/>
  <c r="T42" i="18" a="1"/>
  <c r="T42" i="18" s="1"/>
  <c r="T43" i="18" a="1"/>
  <c r="T43" i="18" s="1"/>
  <c r="T44" i="18" a="1"/>
  <c r="T44" i="18" s="1"/>
  <c r="T45" i="18" a="1"/>
  <c r="T45" i="18"/>
  <c r="T46" i="18" a="1"/>
  <c r="T46" i="18"/>
  <c r="T47" i="18" a="1"/>
  <c r="T47" i="18" s="1"/>
  <c r="T48" i="18" a="1"/>
  <c r="T48" i="18"/>
  <c r="T49" i="18" a="1"/>
  <c r="T49" i="18" s="1"/>
  <c r="T50" i="18" a="1"/>
  <c r="T50" i="18" s="1"/>
  <c r="T51" i="18" a="1"/>
  <c r="T51" i="18" s="1"/>
  <c r="T52" i="18" a="1"/>
  <c r="T52" i="18"/>
  <c r="T53" i="18" a="1"/>
  <c r="T53" i="18" s="1"/>
  <c r="T54" i="18" a="1"/>
  <c r="T54" i="18"/>
  <c r="T55" i="18" a="1"/>
  <c r="T55" i="18" s="1"/>
  <c r="T56" i="18" a="1"/>
  <c r="T56" i="18" s="1"/>
  <c r="T57" i="18" a="1"/>
  <c r="T57" i="18"/>
  <c r="T58" i="18" a="1"/>
  <c r="T58" i="18" s="1"/>
  <c r="T59" i="18" a="1"/>
  <c r="T59" i="18" s="1"/>
  <c r="T60" i="18" a="1"/>
  <c r="T60" i="18"/>
  <c r="T61" i="18" a="1"/>
  <c r="T61" i="18"/>
  <c r="T62" i="18" a="1"/>
  <c r="T62" i="18" s="1"/>
  <c r="T63" i="18" a="1"/>
  <c r="T63" i="18" s="1"/>
  <c r="T64" i="18" a="1"/>
  <c r="T64" i="18" s="1"/>
  <c r="T65" i="18" a="1"/>
  <c r="T65" i="18" s="1"/>
  <c r="T66" i="18" a="1"/>
  <c r="T66" i="18"/>
  <c r="T67" i="18" a="1"/>
  <c r="T67" i="18" s="1"/>
  <c r="T68" i="18" a="1"/>
  <c r="T68" i="18"/>
  <c r="T69" i="18" a="1"/>
  <c r="T69" i="18"/>
  <c r="T70" i="18" a="1"/>
  <c r="T70" i="18"/>
  <c r="T71" i="18" a="1"/>
  <c r="T71" i="18" s="1"/>
  <c r="T72" i="18" a="1"/>
  <c r="T72" i="18" s="1"/>
  <c r="T73" i="18" a="1"/>
  <c r="T73" i="18" s="1"/>
  <c r="T74" i="18" a="1"/>
  <c r="T74" i="18" s="1"/>
  <c r="T75" i="18" a="1"/>
  <c r="T75" i="18" s="1"/>
  <c r="T76" i="18" a="1"/>
  <c r="T76" i="18" s="1"/>
  <c r="T77" i="18" a="1"/>
  <c r="T77" i="18"/>
  <c r="T78" i="18" a="1"/>
  <c r="T78" i="18"/>
  <c r="T79" i="18" a="1"/>
  <c r="T79" i="18" s="1"/>
  <c r="T80" i="18" a="1"/>
  <c r="T80" i="18"/>
  <c r="T81" i="18" a="1"/>
  <c r="T81" i="18" s="1"/>
  <c r="T82" i="18" a="1"/>
  <c r="T82" i="18" s="1"/>
  <c r="T83" i="18" a="1"/>
  <c r="T83" i="18" s="1"/>
  <c r="T84" i="18" a="1"/>
  <c r="T84" i="18" s="1"/>
  <c r="T85" i="18" a="1"/>
  <c r="T85" i="18"/>
  <c r="T86" i="18" a="1"/>
  <c r="T86" i="18" s="1"/>
  <c r="T87" i="18" a="1"/>
  <c r="T87" i="18" s="1"/>
  <c r="T88" i="18" a="1"/>
  <c r="T88" i="18" s="1"/>
  <c r="T89" i="18" a="1"/>
  <c r="T89" i="18" s="1"/>
  <c r="T90" i="18" a="1"/>
  <c r="T90" i="18" s="1"/>
  <c r="T91" i="18" a="1"/>
  <c r="T91" i="18" s="1"/>
  <c r="T92" i="18" a="1"/>
  <c r="T92" i="18" s="1"/>
  <c r="T93" i="18" a="1"/>
  <c r="T93" i="18" s="1"/>
  <c r="T94" i="18" a="1"/>
  <c r="T94" i="18" s="1"/>
  <c r="T95" i="18" a="1"/>
  <c r="T95" i="18" s="1"/>
  <c r="T96" i="18" a="1"/>
  <c r="T96" i="18"/>
  <c r="T97" i="18" a="1"/>
  <c r="T97" i="18" s="1"/>
  <c r="T98" i="18" a="1"/>
  <c r="T98" i="18" s="1"/>
  <c r="T99" i="18" a="1"/>
  <c r="T99" i="18" s="1"/>
  <c r="T100" i="18" a="1"/>
  <c r="T100" i="18" s="1"/>
  <c r="T101" i="18" a="1"/>
  <c r="T101" i="18"/>
  <c r="T102" i="18" a="1"/>
  <c r="T102" i="18" s="1"/>
  <c r="T103" i="18" a="1"/>
  <c r="T103" i="18" s="1"/>
  <c r="T104" i="18" a="1"/>
  <c r="T104" i="18" s="1"/>
  <c r="T105" i="18" a="1"/>
  <c r="T105" i="18" s="1"/>
  <c r="T106" i="18" a="1"/>
  <c r="T106" i="18" s="1"/>
  <c r="T107" i="18" a="1"/>
  <c r="T107" i="18" s="1"/>
  <c r="T108" i="18" a="1"/>
  <c r="T108" i="18" s="1"/>
  <c r="T109" i="18" a="1"/>
  <c r="T109" i="18" s="1"/>
  <c r="T110" i="18" a="1"/>
  <c r="T110" i="18" s="1"/>
  <c r="T111" i="18" a="1"/>
  <c r="T111" i="18" s="1"/>
  <c r="T112" i="18" a="1"/>
  <c r="T112" i="18" s="1"/>
  <c r="T113" i="18" a="1"/>
  <c r="T113" i="18" s="1"/>
  <c r="T114" i="18" a="1"/>
  <c r="T114" i="18" s="1"/>
  <c r="T115" i="18" a="1"/>
  <c r="T115" i="18" s="1"/>
  <c r="T116" i="18" a="1"/>
  <c r="T116" i="18" s="1"/>
  <c r="T117" i="18" a="1"/>
  <c r="T117" i="18" s="1"/>
  <c r="T118" i="18" a="1"/>
  <c r="T118" i="18" s="1"/>
  <c r="T119" i="18" a="1"/>
  <c r="T119" i="18" s="1"/>
  <c r="T120" i="18" a="1"/>
  <c r="T120" i="18" s="1"/>
  <c r="T121" i="18" a="1"/>
  <c r="T121" i="18" s="1"/>
  <c r="T122" i="18" a="1"/>
  <c r="T122" i="18" s="1"/>
  <c r="T123" i="18" a="1"/>
  <c r="T123" i="18" s="1"/>
  <c r="T124" i="18" a="1"/>
  <c r="T124" i="18" s="1"/>
  <c r="T125" i="18" a="1"/>
  <c r="T125" i="18" s="1"/>
  <c r="T126" i="18" a="1"/>
  <c r="T126" i="18" s="1"/>
  <c r="T127" i="18" a="1"/>
  <c r="T127" i="18" s="1"/>
  <c r="T128" i="18" a="1"/>
  <c r="T128" i="18" s="1"/>
  <c r="T129" i="18" a="1"/>
  <c r="T129" i="18" s="1"/>
  <c r="T130" i="18" a="1"/>
  <c r="T130" i="18" s="1"/>
  <c r="T131" i="18" a="1"/>
  <c r="T131" i="18" s="1"/>
  <c r="T132" i="18" a="1"/>
  <c r="T132" i="18" s="1"/>
  <c r="T133" i="18" a="1"/>
  <c r="T133" i="18" s="1"/>
  <c r="T134" i="18" a="1"/>
  <c r="T134" i="18" s="1"/>
  <c r="T135" i="18" a="1"/>
  <c r="T135" i="18" s="1"/>
  <c r="T136" i="18" a="1"/>
  <c r="T136" i="18" s="1"/>
  <c r="T137" i="18" a="1"/>
  <c r="T137" i="18" s="1"/>
  <c r="T138" i="18" a="1"/>
  <c r="T138" i="18" s="1"/>
  <c r="T139" i="18" a="1"/>
  <c r="T139" i="18" s="1"/>
  <c r="T140" i="18" a="1"/>
  <c r="T140" i="18" s="1"/>
  <c r="T141" i="18" a="1"/>
  <c r="T141" i="18" s="1"/>
  <c r="T142" i="18" a="1"/>
  <c r="T142" i="18" s="1"/>
  <c r="T143" i="18" a="1"/>
  <c r="T143" i="18" s="1"/>
  <c r="T144" i="18" a="1"/>
  <c r="T144" i="18"/>
  <c r="T145" i="18" a="1"/>
  <c r="T145" i="18" s="1"/>
  <c r="T146" i="18" a="1"/>
  <c r="T146" i="18" s="1"/>
  <c r="T147" i="18" a="1"/>
  <c r="T147" i="18" s="1"/>
  <c r="T148" i="18" a="1"/>
  <c r="T148" i="18" s="1"/>
  <c r="T149" i="18" a="1"/>
  <c r="T149" i="18" s="1"/>
  <c r="T150" i="18" a="1"/>
  <c r="T150" i="18" s="1"/>
  <c r="T151" i="18" a="1"/>
  <c r="T151" i="18" s="1"/>
  <c r="T152" i="18" a="1"/>
  <c r="T152" i="18" s="1"/>
  <c r="T153" i="18" a="1"/>
  <c r="T153" i="18" s="1"/>
  <c r="T154" i="18" a="1"/>
  <c r="T154" i="18" s="1"/>
  <c r="T155" i="18" a="1"/>
  <c r="T155" i="18" s="1"/>
  <c r="T156" i="18" a="1"/>
  <c r="T156" i="18" s="1"/>
  <c r="T157" i="18" a="1"/>
  <c r="T157" i="18" s="1"/>
  <c r="T158" i="18" a="1"/>
  <c r="T158" i="18" s="1"/>
  <c r="T159" i="18" a="1"/>
  <c r="T159" i="18" s="1"/>
  <c r="T160" i="18" a="1"/>
  <c r="T160" i="18" s="1"/>
  <c r="T161" i="18" a="1"/>
  <c r="T161" i="18" s="1"/>
  <c r="T162" i="18" a="1"/>
  <c r="T162" i="18" s="1"/>
  <c r="T163" i="18" a="1"/>
  <c r="T163" i="18" s="1"/>
  <c r="T164" i="18" a="1"/>
  <c r="T164" i="18" s="1"/>
  <c r="T165" i="18" a="1"/>
  <c r="T165" i="18" s="1"/>
  <c r="T166" i="18" a="1"/>
  <c r="T166" i="18" s="1"/>
  <c r="T167" i="18" a="1"/>
  <c r="T167" i="18" s="1"/>
  <c r="T168" i="18" a="1"/>
  <c r="T168" i="18" s="1"/>
  <c r="T169" i="18" a="1"/>
  <c r="T169" i="18"/>
  <c r="T170" i="18" a="1"/>
  <c r="T170" i="18" s="1"/>
  <c r="T171" i="18" a="1"/>
  <c r="T171" i="18" s="1"/>
  <c r="T172" i="18" a="1"/>
  <c r="T172" i="18" s="1"/>
  <c r="T173" i="18" a="1"/>
  <c r="T173" i="18"/>
  <c r="T174" i="18" a="1"/>
  <c r="T174" i="18" s="1"/>
  <c r="T175" i="18" a="1"/>
  <c r="T175" i="18" s="1"/>
  <c r="T176" i="18" a="1"/>
  <c r="T176" i="18" s="1"/>
  <c r="T177" i="18" a="1"/>
  <c r="T177" i="18"/>
  <c r="T178" i="18" a="1"/>
  <c r="T178" i="18" s="1"/>
  <c r="T179" i="18" a="1"/>
  <c r="T179" i="18" s="1"/>
  <c r="T180" i="18" a="1"/>
  <c r="T180" i="18" s="1"/>
  <c r="T181" i="18" a="1"/>
  <c r="T181" i="18" s="1"/>
  <c r="T182" i="18" a="1"/>
  <c r="T182" i="18" s="1"/>
  <c r="T183" i="18" a="1"/>
  <c r="T183" i="18" s="1"/>
  <c r="T184" i="18" a="1"/>
  <c r="T184" i="18" s="1"/>
  <c r="T185" i="18" a="1"/>
  <c r="T185" i="18"/>
  <c r="T186" i="18" a="1"/>
  <c r="T186" i="18" s="1"/>
  <c r="T187" i="18" a="1"/>
  <c r="T187" i="18" s="1"/>
  <c r="T188" i="18" a="1"/>
  <c r="T188" i="18" s="1"/>
  <c r="T189" i="18" a="1"/>
  <c r="T189" i="18" s="1"/>
  <c r="T190" i="18" a="1"/>
  <c r="T190" i="18" s="1"/>
  <c r="T191" i="18" a="1"/>
  <c r="T191" i="18" s="1"/>
  <c r="T192" i="18" a="1"/>
  <c r="T192" i="18" s="1"/>
  <c r="T193" i="18" a="1"/>
  <c r="T193" i="18"/>
  <c r="T194" i="18" a="1"/>
  <c r="T194" i="18" s="1"/>
  <c r="T195" i="18" a="1"/>
  <c r="T195" i="18" s="1"/>
  <c r="T196" i="18" a="1"/>
  <c r="T196" i="18" s="1"/>
  <c r="T197" i="18" a="1"/>
  <c r="T197" i="18" s="1"/>
  <c r="T198" i="18" a="1"/>
  <c r="T198" i="18" s="1"/>
  <c r="T199" i="18" a="1"/>
  <c r="T199" i="18" s="1"/>
  <c r="T200" i="18" a="1"/>
  <c r="T200" i="18" s="1"/>
  <c r="T201" i="18" a="1"/>
  <c r="T201" i="18"/>
  <c r="T202" i="18" a="1"/>
  <c r="T202" i="18" s="1"/>
  <c r="T203" i="18" a="1"/>
  <c r="T203" i="18" s="1"/>
  <c r="T204" i="18" a="1"/>
  <c r="T204" i="18" s="1"/>
  <c r="T205" i="18" a="1"/>
  <c r="T205" i="18" s="1"/>
  <c r="T206" i="18" a="1"/>
  <c r="T206" i="18" s="1"/>
  <c r="T207" i="18" a="1"/>
  <c r="T207" i="18" s="1"/>
  <c r="T208" i="18" a="1"/>
  <c r="T208" i="18" s="1"/>
  <c r="T209" i="18" a="1"/>
  <c r="T209" i="18"/>
  <c r="T210" i="18" a="1"/>
  <c r="T210" i="18" s="1"/>
  <c r="T211" i="18" a="1"/>
  <c r="T211" i="18" s="1"/>
  <c r="T212" i="18" a="1"/>
  <c r="T212" i="18" s="1"/>
  <c r="T213" i="18" a="1"/>
  <c r="T213" i="18" s="1"/>
  <c r="T214" i="18" a="1"/>
  <c r="T214" i="18" s="1"/>
  <c r="T215" i="18" a="1"/>
  <c r="T215" i="18" s="1"/>
  <c r="T216" i="18" a="1"/>
  <c r="T216" i="18" s="1"/>
  <c r="T217" i="18" a="1"/>
  <c r="T217" i="18"/>
  <c r="T218" i="18" a="1"/>
  <c r="T218" i="18" s="1"/>
  <c r="T219" i="18" a="1"/>
  <c r="T219" i="18" s="1"/>
  <c r="T220" i="18" a="1"/>
  <c r="T220" i="18" s="1"/>
  <c r="T221" i="18" a="1"/>
  <c r="T221" i="18" s="1"/>
  <c r="T222" i="18" a="1"/>
  <c r="T222" i="18" s="1"/>
  <c r="T223" i="18" a="1"/>
  <c r="T223" i="18" s="1"/>
  <c r="T224" i="18" a="1"/>
  <c r="T224" i="18" s="1"/>
  <c r="T225" i="18" a="1"/>
  <c r="T225" i="18"/>
  <c r="T226" i="18" a="1"/>
  <c r="T226" i="18" s="1"/>
  <c r="T227" i="18" a="1"/>
  <c r="T227" i="18" s="1"/>
  <c r="T228" i="18" a="1"/>
  <c r="T228" i="18" s="1"/>
  <c r="T229" i="18" a="1"/>
  <c r="T229" i="18" s="1"/>
  <c r="T230" i="18" a="1"/>
  <c r="T230" i="18" s="1"/>
  <c r="T231" i="18" a="1"/>
  <c r="T231" i="18" s="1"/>
  <c r="T232" i="18" a="1"/>
  <c r="T232" i="18" s="1"/>
  <c r="T233" i="18" a="1"/>
  <c r="T233" i="18"/>
  <c r="T234" i="18" a="1"/>
  <c r="T234" i="18" s="1"/>
  <c r="T235" i="18" a="1"/>
  <c r="T235" i="18" s="1"/>
  <c r="T236" i="18" a="1"/>
  <c r="T236" i="18" s="1"/>
  <c r="T237" i="18" a="1"/>
  <c r="T237" i="18" s="1"/>
  <c r="T238" i="18" a="1"/>
  <c r="T238" i="18" s="1"/>
  <c r="T239" i="18" a="1"/>
  <c r="T239" i="18" s="1"/>
  <c r="T240" i="18" a="1"/>
  <c r="T240" i="18" s="1"/>
  <c r="T241" i="18" a="1"/>
  <c r="T241" i="18"/>
  <c r="T242" i="18" a="1"/>
  <c r="T242" i="18" s="1"/>
  <c r="T243" i="18" a="1"/>
  <c r="T243" i="18" s="1"/>
  <c r="T244" i="18" a="1"/>
  <c r="T244" i="18" s="1"/>
  <c r="T245" i="18" a="1"/>
  <c r="T245" i="18" s="1"/>
  <c r="T246" i="18" a="1"/>
  <c r="T246" i="18" s="1"/>
  <c r="T247" i="18" a="1"/>
  <c r="T247" i="18" s="1"/>
  <c r="T248" i="18" a="1"/>
  <c r="T248" i="18" s="1"/>
  <c r="T249" i="18" a="1"/>
  <c r="T249" i="18"/>
  <c r="T250" i="18" a="1"/>
  <c r="T250" i="18" s="1"/>
  <c r="T251" i="18" a="1"/>
  <c r="T251" i="18" s="1"/>
  <c r="U2" i="18"/>
  <c r="U3" i="18"/>
  <c r="U5" i="18"/>
  <c r="U6" i="18"/>
  <c r="U7" i="18"/>
  <c r="U8" i="18"/>
  <c r="U9" i="18"/>
  <c r="U12" i="18"/>
  <c r="U14" i="18"/>
  <c r="U15" i="18"/>
  <c r="U16" i="18"/>
  <c r="U17" i="18"/>
  <c r="U18" i="18"/>
  <c r="U21" i="18"/>
  <c r="U23" i="18"/>
  <c r="U24" i="18"/>
  <c r="U25" i="18"/>
  <c r="U26" i="18"/>
  <c r="U27" i="18"/>
  <c r="U28" i="18"/>
  <c r="U29" i="18"/>
  <c r="U31" i="18"/>
  <c r="U32" i="18"/>
  <c r="U33" i="18"/>
  <c r="U34" i="18"/>
  <c r="U36" i="18"/>
  <c r="U38" i="18"/>
  <c r="U39" i="18"/>
  <c r="U40" i="18"/>
  <c r="U41" i="18"/>
  <c r="U42" i="18"/>
  <c r="U43" i="18"/>
  <c r="U44" i="18"/>
  <c r="U46" i="18"/>
  <c r="U47" i="18"/>
  <c r="U48" i="18"/>
  <c r="U49" i="18"/>
  <c r="U50" i="18"/>
  <c r="U52" i="18"/>
  <c r="U53" i="18"/>
  <c r="U55" i="18"/>
  <c r="U57" i="18"/>
  <c r="U58" i="18"/>
  <c r="U59" i="18"/>
  <c r="U60" i="18"/>
  <c r="U61" i="18"/>
  <c r="U63" i="18"/>
  <c r="U65" i="18"/>
  <c r="U66" i="18"/>
  <c r="U68" i="18"/>
  <c r="U69" i="18"/>
  <c r="U70" i="18"/>
  <c r="U71" i="18"/>
  <c r="U72" i="18"/>
  <c r="U74" i="18"/>
  <c r="U76" i="18"/>
  <c r="U77" i="18"/>
  <c r="U78" i="18"/>
  <c r="U79" i="18"/>
  <c r="U80" i="18"/>
  <c r="U81" i="18"/>
  <c r="U84" i="18"/>
  <c r="U85" i="18"/>
  <c r="U86" i="18"/>
  <c r="U87" i="18"/>
  <c r="U88" i="18"/>
  <c r="U90" i="18"/>
  <c r="U92" i="18"/>
  <c r="U93" i="18"/>
  <c r="U94" i="18"/>
  <c r="U95" i="18"/>
  <c r="U96" i="18"/>
  <c r="U98" i="18"/>
  <c r="U100" i="18"/>
  <c r="U101" i="18"/>
  <c r="U102" i="18"/>
  <c r="U103" i="18"/>
  <c r="U104" i="18"/>
  <c r="U105" i="18"/>
  <c r="U107" i="18"/>
  <c r="U108" i="18"/>
  <c r="U109" i="18"/>
  <c r="U110" i="18"/>
  <c r="U111" i="18"/>
  <c r="U112" i="18"/>
  <c r="U113" i="18"/>
  <c r="U116" i="18"/>
  <c r="U117" i="18"/>
  <c r="U118" i="18"/>
  <c r="U119" i="18"/>
  <c r="U120" i="18"/>
  <c r="U121" i="18"/>
  <c r="U122" i="18"/>
  <c r="U123" i="18"/>
  <c r="U124" i="18"/>
  <c r="U125" i="18"/>
  <c r="U126" i="18"/>
  <c r="U127" i="18"/>
  <c r="U128" i="18"/>
  <c r="U129" i="18"/>
  <c r="U130" i="18"/>
  <c r="U133" i="18"/>
  <c r="U134" i="18"/>
  <c r="U135" i="18"/>
  <c r="U136" i="18"/>
  <c r="U137" i="18"/>
  <c r="U138" i="18"/>
  <c r="U140" i="18"/>
  <c r="U142" i="18"/>
  <c r="U143" i="18"/>
  <c r="U144" i="18"/>
  <c r="U145" i="18"/>
  <c r="U146" i="18"/>
  <c r="U148" i="18"/>
  <c r="U149" i="18"/>
  <c r="U152" i="18"/>
  <c r="U153" i="18"/>
  <c r="U155" i="18"/>
  <c r="U156" i="18"/>
  <c r="U157" i="18"/>
  <c r="U159" i="18"/>
  <c r="U161" i="18"/>
  <c r="U162" i="18"/>
  <c r="U164" i="18"/>
  <c r="U165" i="18"/>
  <c r="U166" i="18"/>
  <c r="U168" i="18"/>
  <c r="U169" i="18"/>
  <c r="U170" i="18"/>
  <c r="U171" i="18"/>
  <c r="U173" i="18"/>
  <c r="U177" i="18"/>
  <c r="U180" i="18"/>
  <c r="U181" i="18"/>
  <c r="U182" i="18"/>
  <c r="U185" i="18"/>
  <c r="U187" i="18"/>
  <c r="U188" i="18"/>
  <c r="U189" i="18"/>
  <c r="U190" i="18"/>
  <c r="U191" i="18"/>
  <c r="U193" i="18"/>
  <c r="U194" i="18"/>
  <c r="U196" i="18"/>
  <c r="U197" i="18"/>
  <c r="U200" i="18"/>
  <c r="U201" i="18"/>
  <c r="U202" i="18"/>
  <c r="U204" i="18"/>
  <c r="U205" i="18"/>
  <c r="U209" i="18"/>
  <c r="U212" i="18"/>
  <c r="U213" i="18"/>
  <c r="U214" i="18"/>
  <c r="U217" i="18"/>
  <c r="U220" i="18"/>
  <c r="U221" i="18"/>
  <c r="U224" i="18"/>
  <c r="U225" i="18"/>
  <c r="U226" i="18"/>
  <c r="U229" i="18"/>
  <c r="U232" i="18"/>
  <c r="U233" i="18"/>
  <c r="U234" i="18"/>
  <c r="U235" i="18"/>
  <c r="U237" i="18"/>
  <c r="U240" i="18"/>
  <c r="U241" i="18"/>
  <c r="U244" i="18"/>
  <c r="U245" i="18"/>
  <c r="U248" i="18"/>
  <c r="U249" i="18"/>
  <c r="U251" i="18"/>
  <c r="L2" i="17"/>
  <c r="L3" i="17"/>
  <c r="L4" i="17"/>
  <c r="L5" i="17"/>
  <c r="L6" i="17"/>
  <c r="L7" i="17"/>
  <c r="L302" i="17"/>
  <c r="L8" i="17"/>
  <c r="L9" i="17"/>
  <c r="L10" i="17"/>
  <c r="L11" i="17"/>
  <c r="L12" i="17"/>
  <c r="L13" i="17"/>
  <c r="L303" i="17"/>
  <c r="L14" i="17"/>
  <c r="L15" i="17"/>
  <c r="L16" i="17"/>
  <c r="L17" i="17"/>
  <c r="L18" i="17"/>
  <c r="L19" i="17"/>
  <c r="L304" i="17"/>
  <c r="L20" i="17"/>
  <c r="L21" i="17"/>
  <c r="L22" i="17"/>
  <c r="L23" i="17"/>
  <c r="L24" i="17"/>
  <c r="L25" i="17"/>
  <c r="L305" i="17"/>
  <c r="L26" i="17"/>
  <c r="L27" i="17"/>
  <c r="L28" i="17"/>
  <c r="L29" i="17"/>
  <c r="L30" i="17"/>
  <c r="L31" i="17"/>
  <c r="L306" i="17"/>
  <c r="L32" i="17"/>
  <c r="L33" i="17"/>
  <c r="L34" i="17"/>
  <c r="L35" i="17"/>
  <c r="N31" i="17" s="1" a="1"/>
  <c r="N31" i="17" s="1"/>
  <c r="L36" i="17"/>
  <c r="L37" i="17"/>
  <c r="L307" i="17"/>
  <c r="L38" i="17"/>
  <c r="L39" i="17"/>
  <c r="L40" i="17"/>
  <c r="L41" i="17"/>
  <c r="L42" i="17"/>
  <c r="N74" i="17" s="1" a="1"/>
  <c r="N74" i="17" s="1"/>
  <c r="L43" i="17"/>
  <c r="L308" i="17"/>
  <c r="L44" i="17"/>
  <c r="L45" i="17"/>
  <c r="L46" i="17"/>
  <c r="L47" i="17"/>
  <c r="L48" i="17"/>
  <c r="L49" i="17"/>
  <c r="N82" i="17" s="1" a="1"/>
  <c r="N82" i="17" s="1"/>
  <c r="L309" i="17"/>
  <c r="L50" i="17"/>
  <c r="L51" i="17"/>
  <c r="L52" i="17"/>
  <c r="L53" i="17"/>
  <c r="L54" i="17"/>
  <c r="L55" i="17"/>
  <c r="L310" i="17"/>
  <c r="N310" i="17" s="1" a="1"/>
  <c r="N310" i="17" s="1"/>
  <c r="L56" i="17"/>
  <c r="L57" i="17"/>
  <c r="L58" i="17"/>
  <c r="L59" i="17"/>
  <c r="L60" i="17"/>
  <c r="L61" i="17"/>
  <c r="L311" i="17"/>
  <c r="L62" i="17"/>
  <c r="N91" i="17" s="1" a="1"/>
  <c r="N91" i="17" s="1"/>
  <c r="L63" i="17"/>
  <c r="L64" i="17"/>
  <c r="L65" i="17"/>
  <c r="L66" i="17"/>
  <c r="L67" i="17"/>
  <c r="L312" i="17"/>
  <c r="L68" i="17"/>
  <c r="L69" i="17"/>
  <c r="L70" i="17"/>
  <c r="L71" i="17"/>
  <c r="L72" i="17"/>
  <c r="L73" i="17"/>
  <c r="L313" i="17"/>
  <c r="L74" i="17"/>
  <c r="L75" i="17"/>
  <c r="L76" i="17"/>
  <c r="N76" i="17" s="1" a="1"/>
  <c r="N76" i="17" s="1"/>
  <c r="L77" i="17"/>
  <c r="L78" i="17"/>
  <c r="L79" i="17"/>
  <c r="L314" i="17"/>
  <c r="L80" i="17"/>
  <c r="L81" i="17"/>
  <c r="L82" i="17"/>
  <c r="L83" i="17"/>
  <c r="L84" i="17"/>
  <c r="L85" i="17"/>
  <c r="L315" i="17"/>
  <c r="L86" i="17"/>
  <c r="L87" i="17"/>
  <c r="L88" i="17"/>
  <c r="L89" i="17"/>
  <c r="L90" i="17"/>
  <c r="N90" i="17" s="1" a="1"/>
  <c r="N90" i="17" s="1"/>
  <c r="L91" i="17"/>
  <c r="L316" i="17"/>
  <c r="L92" i="17"/>
  <c r="L93" i="17"/>
  <c r="L94" i="17"/>
  <c r="L95" i="17"/>
  <c r="L96" i="17"/>
  <c r="L97" i="17"/>
  <c r="N130" i="17" s="1" a="1"/>
  <c r="N130" i="17" s="1"/>
  <c r="L317" i="17"/>
  <c r="L98" i="17"/>
  <c r="L99" i="17"/>
  <c r="L100" i="17"/>
  <c r="L101" i="17"/>
  <c r="L102" i="17"/>
  <c r="L103" i="17"/>
  <c r="L318" i="17"/>
  <c r="N318" i="17" s="1" a="1"/>
  <c r="N318" i="17" s="1"/>
  <c r="L104" i="17"/>
  <c r="L105" i="17"/>
  <c r="L106" i="17"/>
  <c r="L107" i="17"/>
  <c r="L108" i="17"/>
  <c r="L109" i="17"/>
  <c r="L319" i="17"/>
  <c r="L110" i="17"/>
  <c r="N110" i="17" s="1" a="1"/>
  <c r="N110" i="17" s="1"/>
  <c r="L111" i="17"/>
  <c r="L112" i="17"/>
  <c r="L113" i="17"/>
  <c r="L114" i="17"/>
  <c r="L115" i="17"/>
  <c r="L320" i="17"/>
  <c r="L116" i="17"/>
  <c r="L117" i="17"/>
  <c r="N117" i="17" s="1" a="1"/>
  <c r="N117" i="17" s="1"/>
  <c r="L118" i="17"/>
  <c r="L119" i="17"/>
  <c r="L120" i="17"/>
  <c r="L121" i="17"/>
  <c r="L321" i="17"/>
  <c r="L122" i="17"/>
  <c r="L123" i="17"/>
  <c r="L124" i="17"/>
  <c r="N124" i="17" s="1" a="1"/>
  <c r="N124" i="17" s="1"/>
  <c r="L125" i="17"/>
  <c r="L126" i="17"/>
  <c r="L127" i="17"/>
  <c r="L322" i="17"/>
  <c r="L128" i="17"/>
  <c r="L129" i="17"/>
  <c r="L130" i="17"/>
  <c r="L131" i="17"/>
  <c r="L132" i="17"/>
  <c r="L133" i="17"/>
  <c r="L323" i="17"/>
  <c r="L134" i="17"/>
  <c r="L135" i="17"/>
  <c r="L136" i="17"/>
  <c r="L137" i="17"/>
  <c r="L138" i="17"/>
  <c r="L139" i="17"/>
  <c r="L324" i="17"/>
  <c r="L140" i="17"/>
  <c r="L141" i="17"/>
  <c r="L142" i="17"/>
  <c r="L143" i="17"/>
  <c r="L144" i="17"/>
  <c r="L145" i="17"/>
  <c r="L325" i="17"/>
  <c r="L146" i="17"/>
  <c r="L147" i="17"/>
  <c r="L148" i="17"/>
  <c r="L149" i="17"/>
  <c r="L150" i="17"/>
  <c r="L151" i="17"/>
  <c r="L326" i="17"/>
  <c r="L152" i="17"/>
  <c r="L153" i="17"/>
  <c r="L154" i="17"/>
  <c r="L155" i="17"/>
  <c r="L156" i="17"/>
  <c r="L157" i="17"/>
  <c r="L327" i="17"/>
  <c r="L158" i="17"/>
  <c r="N101" i="17" s="1" a="1"/>
  <c r="N101" i="17" s="1"/>
  <c r="L159" i="17"/>
  <c r="L160" i="17"/>
  <c r="L161" i="17"/>
  <c r="L162" i="17"/>
  <c r="L163" i="17"/>
  <c r="L328" i="17"/>
  <c r="L164" i="17"/>
  <c r="L165" i="17"/>
  <c r="L166" i="17"/>
  <c r="L167" i="17"/>
  <c r="L168" i="17"/>
  <c r="L169" i="17"/>
  <c r="L329" i="17"/>
  <c r="L170" i="17"/>
  <c r="L171" i="17"/>
  <c r="L172" i="17"/>
  <c r="N137" i="17" s="1" a="1"/>
  <c r="N137" i="17" s="1"/>
  <c r="L173" i="17"/>
  <c r="L174" i="17"/>
  <c r="L175" i="17"/>
  <c r="L330" i="17"/>
  <c r="L176" i="17"/>
  <c r="L177" i="17"/>
  <c r="L178" i="17"/>
  <c r="L179" i="17"/>
  <c r="L180" i="17"/>
  <c r="L181" i="17"/>
  <c r="L331" i="17"/>
  <c r="L182" i="17"/>
  <c r="L183" i="17"/>
  <c r="L184" i="17"/>
  <c r="L185" i="17"/>
  <c r="L186" i="17"/>
  <c r="L187" i="17"/>
  <c r="L332" i="17"/>
  <c r="L188" i="17"/>
  <c r="L189" i="17"/>
  <c r="L190" i="17"/>
  <c r="L191" i="17"/>
  <c r="L192" i="17"/>
  <c r="L193" i="17"/>
  <c r="L333" i="17"/>
  <c r="L194" i="17"/>
  <c r="L195" i="17"/>
  <c r="L196" i="17"/>
  <c r="L197" i="17"/>
  <c r="L198" i="17"/>
  <c r="L199" i="17"/>
  <c r="L334" i="17"/>
  <c r="L200" i="17"/>
  <c r="L201" i="17"/>
  <c r="L202" i="17"/>
  <c r="L203" i="17"/>
  <c r="L204" i="17"/>
  <c r="L205" i="17"/>
  <c r="L335" i="17"/>
  <c r="L206" i="17"/>
  <c r="L207" i="17"/>
  <c r="L208" i="17"/>
  <c r="L209" i="17"/>
  <c r="L210" i="17"/>
  <c r="L211" i="17"/>
  <c r="L336" i="17"/>
  <c r="L212" i="17"/>
  <c r="L213" i="17"/>
  <c r="L214" i="17"/>
  <c r="L215" i="17"/>
  <c r="L216" i="17"/>
  <c r="L217" i="17"/>
  <c r="L337" i="17"/>
  <c r="L218" i="17"/>
  <c r="L219" i="17"/>
  <c r="L220" i="17"/>
  <c r="L221" i="17"/>
  <c r="L222" i="17"/>
  <c r="L223" i="17"/>
  <c r="L338" i="17"/>
  <c r="L224" i="17"/>
  <c r="L225" i="17"/>
  <c r="L226" i="17"/>
  <c r="L227" i="17"/>
  <c r="L228" i="17"/>
  <c r="L229" i="17"/>
  <c r="L339" i="17"/>
  <c r="L230" i="17"/>
  <c r="L231" i="17"/>
  <c r="L232" i="17"/>
  <c r="L233" i="17"/>
  <c r="L234" i="17"/>
  <c r="L235" i="17"/>
  <c r="L340" i="17"/>
  <c r="L236" i="17"/>
  <c r="L237" i="17"/>
  <c r="L238" i="17"/>
  <c r="L239" i="17"/>
  <c r="L240" i="17"/>
  <c r="L241" i="17"/>
  <c r="L341" i="17"/>
  <c r="L242" i="17"/>
  <c r="L243" i="17"/>
  <c r="L244" i="17"/>
  <c r="L245" i="17"/>
  <c r="L246" i="17"/>
  <c r="L247" i="17"/>
  <c r="L342" i="17"/>
  <c r="L248" i="17"/>
  <c r="L249" i="17"/>
  <c r="L250" i="17"/>
  <c r="L251" i="17"/>
  <c r="L252" i="17"/>
  <c r="L253" i="17"/>
  <c r="L343" i="17"/>
  <c r="L254" i="17"/>
  <c r="N119" i="17" s="1" a="1"/>
  <c r="N119" i="17" s="1"/>
  <c r="L255" i="17"/>
  <c r="L256" i="17"/>
  <c r="L257" i="17"/>
  <c r="L258" i="17"/>
  <c r="L259" i="17"/>
  <c r="L344" i="17"/>
  <c r="L260" i="17"/>
  <c r="L261" i="17"/>
  <c r="L262" i="17"/>
  <c r="L263" i="17"/>
  <c r="L264" i="17"/>
  <c r="L265" i="17"/>
  <c r="L345" i="17"/>
  <c r="L266" i="17"/>
  <c r="L267" i="17"/>
  <c r="L268" i="17"/>
  <c r="N143" i="17" s="1" a="1"/>
  <c r="N143" i="17" s="1"/>
  <c r="L269" i="17"/>
  <c r="L270" i="17"/>
  <c r="L271" i="17"/>
  <c r="L346" i="17"/>
  <c r="L272" i="17"/>
  <c r="L273" i="17"/>
  <c r="L274" i="17"/>
  <c r="L275" i="17"/>
  <c r="L276" i="17"/>
  <c r="L277" i="17"/>
  <c r="L347" i="17"/>
  <c r="L278" i="17"/>
  <c r="L279" i="17"/>
  <c r="L280" i="17"/>
  <c r="L281" i="17"/>
  <c r="L282" i="17"/>
  <c r="L283" i="17"/>
  <c r="L348" i="17"/>
  <c r="L284" i="17"/>
  <c r="L285" i="17"/>
  <c r="L286" i="17"/>
  <c r="L287" i="17"/>
  <c r="L288" i="17"/>
  <c r="L289" i="17"/>
  <c r="L349" i="17"/>
  <c r="L290" i="17"/>
  <c r="L291" i="17"/>
  <c r="L292" i="17"/>
  <c r="L293" i="17"/>
  <c r="L294" i="17"/>
  <c r="L295" i="17"/>
  <c r="L350" i="17"/>
  <c r="L296" i="17"/>
  <c r="L297" i="17"/>
  <c r="L298" i="17"/>
  <c r="L299" i="17"/>
  <c r="L300" i="17"/>
  <c r="L301" i="17"/>
  <c r="L351" i="17"/>
  <c r="M2" i="17" a="1"/>
  <c r="M2" i="17" s="1"/>
  <c r="M3" i="17" a="1"/>
  <c r="M3" i="17" s="1"/>
  <c r="M4" i="17" a="1"/>
  <c r="M4" i="17" s="1"/>
  <c r="M5" i="17" a="1"/>
  <c r="M5" i="17" s="1"/>
  <c r="M6" i="17" a="1"/>
  <c r="M6" i="17" s="1"/>
  <c r="M7" i="17" a="1"/>
  <c r="M7" i="17" s="1"/>
  <c r="M302" i="17" a="1"/>
  <c r="M302" i="17" s="1"/>
  <c r="M8" i="17" a="1"/>
  <c r="M8" i="17" s="1"/>
  <c r="Y8" i="17" s="1"/>
  <c r="Q8" i="17" s="1"/>
  <c r="W8" i="17" s="1"/>
  <c r="M9" i="17" a="1"/>
  <c r="M9" i="17" s="1"/>
  <c r="M10" i="17" a="1"/>
  <c r="M10" i="17"/>
  <c r="M11" i="17" a="1"/>
  <c r="M11" i="17" s="1"/>
  <c r="M12" i="17" a="1"/>
  <c r="M12" i="17" s="1"/>
  <c r="M13" i="17" a="1"/>
  <c r="M13" i="17" s="1"/>
  <c r="M303" i="17" a="1"/>
  <c r="M303" i="17" s="1"/>
  <c r="M14" i="17" a="1"/>
  <c r="M14" i="17" s="1"/>
  <c r="M15" i="17" a="1"/>
  <c r="M15" i="17"/>
  <c r="M16" i="17" a="1"/>
  <c r="M16" i="17" s="1"/>
  <c r="M17" i="17" a="1"/>
  <c r="M17" i="17" s="1"/>
  <c r="M18" i="17" a="1"/>
  <c r="M18" i="17" s="1"/>
  <c r="M19" i="17" a="1"/>
  <c r="M19" i="17" s="1"/>
  <c r="M304" i="17" a="1"/>
  <c r="M304" i="17" s="1"/>
  <c r="M20" i="17" a="1"/>
  <c r="M20" i="17" s="1"/>
  <c r="M21" i="17" a="1"/>
  <c r="M21" i="17" s="1"/>
  <c r="M22" i="17" a="1"/>
  <c r="M22" i="17" s="1"/>
  <c r="M23" i="17" a="1"/>
  <c r="M23" i="17" s="1"/>
  <c r="M24" i="17" a="1"/>
  <c r="M24" i="17" s="1"/>
  <c r="M25" i="17" a="1"/>
  <c r="M25" i="17" s="1"/>
  <c r="M305" i="17" a="1"/>
  <c r="M305" i="17" s="1"/>
  <c r="M26" i="17" a="1"/>
  <c r="M26" i="17" s="1"/>
  <c r="M27" i="17" a="1"/>
  <c r="M27" i="17" s="1"/>
  <c r="M28" i="17" a="1"/>
  <c r="M28" i="17" s="1"/>
  <c r="M29" i="17" a="1"/>
  <c r="M29" i="17" s="1"/>
  <c r="M30" i="17" a="1"/>
  <c r="M30" i="17" s="1"/>
  <c r="M31" i="17" a="1"/>
  <c r="M31" i="17" s="1"/>
  <c r="M306" i="17" a="1"/>
  <c r="M306" i="17" s="1"/>
  <c r="M32" i="17" a="1"/>
  <c r="M32" i="17" s="1"/>
  <c r="M33" i="17" a="1"/>
  <c r="M33" i="17" s="1"/>
  <c r="M34" i="17" a="1"/>
  <c r="M34" i="17" s="1"/>
  <c r="M35" i="17" a="1"/>
  <c r="M35" i="17" s="1"/>
  <c r="M36" i="17" a="1"/>
  <c r="M36" i="17" s="1"/>
  <c r="M37" i="17" a="1"/>
  <c r="M37" i="17" s="1"/>
  <c r="M307" i="17" a="1"/>
  <c r="M307" i="17" s="1"/>
  <c r="M38" i="17" a="1"/>
  <c r="M38" i="17" s="1"/>
  <c r="M39" i="17" a="1"/>
  <c r="M39" i="17" s="1"/>
  <c r="M40" i="17" a="1"/>
  <c r="M40" i="17" s="1"/>
  <c r="M41" i="17" a="1"/>
  <c r="M41" i="17" s="1"/>
  <c r="M42" i="17" a="1"/>
  <c r="M42" i="17" s="1"/>
  <c r="M43" i="17" a="1"/>
  <c r="M43" i="17" s="1"/>
  <c r="M308" i="17" a="1"/>
  <c r="M308" i="17" s="1"/>
  <c r="M44" i="17" a="1"/>
  <c r="M44" i="17" s="1"/>
  <c r="M45" i="17" a="1"/>
  <c r="M45" i="17" s="1"/>
  <c r="M46" i="17" a="1"/>
  <c r="M46" i="17" s="1"/>
  <c r="M47" i="17" a="1"/>
  <c r="M47" i="17" s="1"/>
  <c r="M48" i="17" a="1"/>
  <c r="M48" i="17" s="1"/>
  <c r="M49" i="17" a="1"/>
  <c r="M49" i="17" s="1"/>
  <c r="M309" i="17" a="1"/>
  <c r="M309" i="17" s="1"/>
  <c r="M50" i="17" a="1"/>
  <c r="M50" i="17" s="1"/>
  <c r="M51" i="17" a="1"/>
  <c r="M51" i="17" s="1"/>
  <c r="M52" i="17" a="1"/>
  <c r="M52" i="17" s="1"/>
  <c r="M53" i="17" a="1"/>
  <c r="M53" i="17" s="1"/>
  <c r="M54" i="17" a="1"/>
  <c r="M54" i="17" s="1"/>
  <c r="M55" i="17" a="1"/>
  <c r="M55" i="17" s="1"/>
  <c r="M310" i="17" a="1"/>
  <c r="M310" i="17" s="1"/>
  <c r="M56" i="17" a="1"/>
  <c r="M56" i="17" s="1"/>
  <c r="M57" i="17" a="1"/>
  <c r="M57" i="17" s="1"/>
  <c r="M58" i="17" a="1"/>
  <c r="M58" i="17" s="1"/>
  <c r="M59" i="17" a="1"/>
  <c r="M59" i="17" s="1"/>
  <c r="M60" i="17" a="1"/>
  <c r="M60" i="17" s="1"/>
  <c r="M61" i="17" a="1"/>
  <c r="M61" i="17" s="1"/>
  <c r="M311" i="17" a="1"/>
  <c r="M311" i="17"/>
  <c r="M62" i="17" a="1"/>
  <c r="M62" i="17" s="1"/>
  <c r="M63" i="17" a="1"/>
  <c r="M63" i="17" s="1"/>
  <c r="Y63" i="17" s="1"/>
  <c r="Q63" i="17" s="1"/>
  <c r="W63" i="17" s="1"/>
  <c r="M64" i="17" a="1"/>
  <c r="M64" i="17" s="1"/>
  <c r="M65" i="17" a="1"/>
  <c r="M65" i="17" s="1"/>
  <c r="M66" i="17" a="1"/>
  <c r="M66" i="17" s="1"/>
  <c r="M67" i="17" a="1"/>
  <c r="M67" i="17" s="1"/>
  <c r="M312" i="17" a="1"/>
  <c r="M312" i="17" s="1"/>
  <c r="M68" i="17" a="1"/>
  <c r="M68" i="17" s="1"/>
  <c r="M69" i="17" a="1"/>
  <c r="M69" i="17" s="1"/>
  <c r="M70" i="17" a="1"/>
  <c r="M70" i="17" s="1"/>
  <c r="M71" i="17" a="1"/>
  <c r="M71" i="17" s="1"/>
  <c r="M72" i="17" a="1"/>
  <c r="M72" i="17" s="1"/>
  <c r="M73" i="17" a="1"/>
  <c r="M73" i="17" s="1"/>
  <c r="M313" i="17" a="1"/>
  <c r="M313" i="17" s="1"/>
  <c r="M74" i="17" a="1"/>
  <c r="M74" i="17" s="1"/>
  <c r="M75" i="17" a="1"/>
  <c r="M75" i="17"/>
  <c r="M76" i="17" a="1"/>
  <c r="M76" i="17" s="1"/>
  <c r="M77" i="17" a="1"/>
  <c r="M77" i="17"/>
  <c r="M78" i="17" a="1"/>
  <c r="M78" i="17" s="1"/>
  <c r="M79" i="17" a="1"/>
  <c r="M79" i="17"/>
  <c r="M314" i="17" a="1"/>
  <c r="M314" i="17" s="1"/>
  <c r="M80" i="17" a="1"/>
  <c r="M80" i="17" s="1"/>
  <c r="M81" i="17" a="1"/>
  <c r="M81" i="17" s="1"/>
  <c r="M82" i="17" a="1"/>
  <c r="M82" i="17" s="1"/>
  <c r="M83" i="17" a="1"/>
  <c r="M83" i="17" s="1"/>
  <c r="M84" i="17" a="1"/>
  <c r="M84" i="17"/>
  <c r="M85" i="17" a="1"/>
  <c r="M85" i="17" s="1"/>
  <c r="M315" i="17" a="1"/>
  <c r="M315" i="17" s="1"/>
  <c r="M86" i="17" a="1"/>
  <c r="M86" i="17" s="1"/>
  <c r="M87" i="17" a="1"/>
  <c r="M87" i="17" s="1"/>
  <c r="M88" i="17" a="1"/>
  <c r="M88" i="17" s="1"/>
  <c r="M89" i="17" a="1"/>
  <c r="M89" i="17" s="1"/>
  <c r="Y89" i="17" s="1"/>
  <c r="Q89" i="17" s="1"/>
  <c r="W89" i="17" s="1"/>
  <c r="M90" i="17" a="1"/>
  <c r="M90" i="17" s="1"/>
  <c r="M91" i="17" a="1"/>
  <c r="M91" i="17" s="1"/>
  <c r="M316" i="17" a="1"/>
  <c r="M316" i="17" s="1"/>
  <c r="M92" i="17" a="1"/>
  <c r="M92" i="17" s="1"/>
  <c r="M93" i="17" a="1"/>
  <c r="M93" i="17" s="1"/>
  <c r="M94" i="17" a="1"/>
  <c r="M94" i="17" s="1"/>
  <c r="M95" i="17" a="1"/>
  <c r="M95" i="17" s="1"/>
  <c r="M96" i="17" a="1"/>
  <c r="M96" i="17"/>
  <c r="M97" i="17" a="1"/>
  <c r="M97" i="17" s="1"/>
  <c r="M317" i="17" a="1"/>
  <c r="M317" i="17" s="1"/>
  <c r="M98" i="17" a="1"/>
  <c r="M98" i="17" s="1"/>
  <c r="M99" i="17" a="1"/>
  <c r="M99" i="17" s="1"/>
  <c r="M100" i="17" a="1"/>
  <c r="M100" i="17" s="1"/>
  <c r="M101" i="17" a="1"/>
  <c r="M101" i="17" s="1"/>
  <c r="M102" i="17" a="1"/>
  <c r="M102" i="17" s="1"/>
  <c r="M103" i="17" a="1"/>
  <c r="M103" i="17" s="1"/>
  <c r="M318" i="17" a="1"/>
  <c r="M318" i="17" s="1"/>
  <c r="M104" i="17" a="1"/>
  <c r="M104" i="17"/>
  <c r="M105" i="17" a="1"/>
  <c r="M105" i="17" s="1"/>
  <c r="M106" i="17" a="1"/>
  <c r="M106" i="17" s="1"/>
  <c r="M107" i="17" a="1"/>
  <c r="M107" i="17" s="1"/>
  <c r="M108" i="17" a="1"/>
  <c r="M108" i="17" s="1"/>
  <c r="M109" i="17" a="1"/>
  <c r="M109" i="17" s="1"/>
  <c r="M319" i="17" a="1"/>
  <c r="M319" i="17"/>
  <c r="M110" i="17" a="1"/>
  <c r="M110" i="17" s="1"/>
  <c r="M111" i="17" a="1"/>
  <c r="M111" i="17" s="1"/>
  <c r="M112" i="17" a="1"/>
  <c r="M112" i="17" s="1"/>
  <c r="M113" i="17" a="1"/>
  <c r="M113" i="17" s="1"/>
  <c r="M114" i="17" a="1"/>
  <c r="M114" i="17" s="1"/>
  <c r="M115" i="17" a="1"/>
  <c r="M115" i="17" s="1"/>
  <c r="M320" i="17" a="1"/>
  <c r="M320" i="17" s="1"/>
  <c r="M116" i="17" a="1"/>
  <c r="M116" i="17" s="1"/>
  <c r="M117" i="17" a="1"/>
  <c r="M117" i="17" s="1"/>
  <c r="M118" i="17" a="1"/>
  <c r="M118" i="17" s="1"/>
  <c r="M119" i="17" a="1"/>
  <c r="M119" i="17" s="1"/>
  <c r="M120" i="17" a="1"/>
  <c r="M120" i="17"/>
  <c r="M121" i="17" a="1"/>
  <c r="M121" i="17" s="1"/>
  <c r="M321" i="17" a="1"/>
  <c r="M321" i="17" s="1"/>
  <c r="M122" i="17" a="1"/>
  <c r="M122" i="17" s="1"/>
  <c r="M123" i="17" a="1"/>
  <c r="M123" i="17" s="1"/>
  <c r="M124" i="17" a="1"/>
  <c r="M124" i="17" s="1"/>
  <c r="M125" i="17" a="1"/>
  <c r="M125" i="17" s="1"/>
  <c r="M126" i="17" a="1"/>
  <c r="M126" i="17" s="1"/>
  <c r="M127" i="17" a="1"/>
  <c r="M127" i="17" s="1"/>
  <c r="M322" i="17" a="1"/>
  <c r="M322" i="17" s="1"/>
  <c r="M128" i="17" a="1"/>
  <c r="M128" i="17" s="1"/>
  <c r="M129" i="17" a="1"/>
  <c r="M129" i="17" s="1"/>
  <c r="M130" i="17" a="1"/>
  <c r="M130" i="17" s="1"/>
  <c r="M131" i="17" a="1"/>
  <c r="M131" i="17" s="1"/>
  <c r="M132" i="17" a="1"/>
  <c r="M132" i="17" s="1"/>
  <c r="M133" i="17" a="1"/>
  <c r="M133" i="17" s="1"/>
  <c r="M323" i="17" a="1"/>
  <c r="M323" i="17" s="1"/>
  <c r="M134" i="17" a="1"/>
  <c r="M134" i="17" s="1"/>
  <c r="M135" i="17" a="1"/>
  <c r="M135" i="17" s="1"/>
  <c r="M136" i="17" a="1"/>
  <c r="M136" i="17" s="1"/>
  <c r="M137" i="17" a="1"/>
  <c r="M137" i="17" s="1"/>
  <c r="M138" i="17" a="1"/>
  <c r="M138" i="17" s="1"/>
  <c r="M139" i="17" a="1"/>
  <c r="M139" i="17" s="1"/>
  <c r="M324" i="17" a="1"/>
  <c r="M324" i="17" s="1"/>
  <c r="M140" i="17" a="1"/>
  <c r="M140" i="17" s="1"/>
  <c r="M141" i="17" a="1"/>
  <c r="M141" i="17" s="1"/>
  <c r="M142" i="17" a="1"/>
  <c r="M142" i="17" s="1"/>
  <c r="M143" i="17" a="1"/>
  <c r="M143" i="17" s="1"/>
  <c r="M144" i="17" a="1"/>
  <c r="M144" i="17" s="1"/>
  <c r="Y144" i="17" s="1"/>
  <c r="Q144" i="17" s="1"/>
  <c r="W144" i="17" s="1"/>
  <c r="M145" i="17" a="1"/>
  <c r="M145" i="17" s="1"/>
  <c r="M325" i="17" a="1"/>
  <c r="M325" i="17" s="1"/>
  <c r="M146" i="17" a="1"/>
  <c r="M146" i="17" s="1"/>
  <c r="M147" i="17" a="1"/>
  <c r="M147" i="17" s="1"/>
  <c r="M148" i="17" a="1"/>
  <c r="M148" i="17" s="1"/>
  <c r="M149" i="17" a="1"/>
  <c r="M149" i="17" s="1"/>
  <c r="M150" i="17" a="1"/>
  <c r="M150" i="17" s="1"/>
  <c r="M151" i="17" a="1"/>
  <c r="M151" i="17" s="1"/>
  <c r="M326" i="17" a="1"/>
  <c r="M326" i="17" s="1"/>
  <c r="M152" i="17" a="1"/>
  <c r="M152" i="17" s="1"/>
  <c r="M153" i="17" a="1"/>
  <c r="M153" i="17" s="1"/>
  <c r="M154" i="17" a="1"/>
  <c r="M154" i="17" s="1"/>
  <c r="M155" i="17" a="1"/>
  <c r="M155" i="17" s="1"/>
  <c r="M156" i="17" a="1"/>
  <c r="M156" i="17" s="1"/>
  <c r="M157" i="17" a="1"/>
  <c r="M157" i="17" s="1"/>
  <c r="M327" i="17" a="1"/>
  <c r="M327" i="17" s="1"/>
  <c r="Y327" i="17" s="1"/>
  <c r="Q327" i="17" s="1"/>
  <c r="W327" i="17" s="1"/>
  <c r="M158" i="17" a="1"/>
  <c r="M158" i="17" s="1"/>
  <c r="M159" i="17" a="1"/>
  <c r="M159" i="17" s="1"/>
  <c r="M160" i="17" a="1"/>
  <c r="M160" i="17" s="1"/>
  <c r="M161" i="17" a="1"/>
  <c r="M161" i="17" s="1"/>
  <c r="M162" i="17" a="1"/>
  <c r="M162" i="17" s="1"/>
  <c r="M163" i="17" a="1"/>
  <c r="M163" i="17" s="1"/>
  <c r="M328" i="17" a="1"/>
  <c r="M328" i="17" s="1"/>
  <c r="M164" i="17" a="1"/>
  <c r="M164" i="17" s="1"/>
  <c r="M165" i="17" a="1"/>
  <c r="M165" i="17" s="1"/>
  <c r="M166" i="17" a="1"/>
  <c r="M166" i="17" s="1"/>
  <c r="M167" i="17" a="1"/>
  <c r="M167" i="17" s="1"/>
  <c r="M168" i="17" a="1"/>
  <c r="M168" i="17" s="1"/>
  <c r="M169" i="17" a="1"/>
  <c r="M169" i="17" s="1"/>
  <c r="M329" i="17" a="1"/>
  <c r="M329" i="17" s="1"/>
  <c r="M170" i="17" a="1"/>
  <c r="M170" i="17" s="1"/>
  <c r="M171" i="17" a="1"/>
  <c r="M171" i="17"/>
  <c r="M172" i="17" a="1"/>
  <c r="M172" i="17" s="1"/>
  <c r="M173" i="17" a="1"/>
  <c r="M173" i="17"/>
  <c r="M174" i="17" a="1"/>
  <c r="M174" i="17" s="1"/>
  <c r="M175" i="17" a="1"/>
  <c r="M175" i="17" s="1"/>
  <c r="M330" i="17" a="1"/>
  <c r="M330" i="17" s="1"/>
  <c r="M176" i="17" a="1"/>
  <c r="M176" i="17" s="1"/>
  <c r="M177" i="17" a="1"/>
  <c r="M177" i="17" s="1"/>
  <c r="M178" i="17" a="1"/>
  <c r="M178" i="17"/>
  <c r="M179" i="17" a="1"/>
  <c r="M179" i="17" s="1"/>
  <c r="M180" i="17" a="1"/>
  <c r="M180" i="17" s="1"/>
  <c r="M181" i="17" a="1"/>
  <c r="M181" i="17" s="1"/>
  <c r="M331" i="17" a="1"/>
  <c r="M331" i="17" s="1"/>
  <c r="M182" i="17" a="1"/>
  <c r="M182" i="17" s="1"/>
  <c r="M183" i="17" a="1"/>
  <c r="M183" i="17" s="1"/>
  <c r="M184" i="17" a="1"/>
  <c r="M184" i="17" s="1"/>
  <c r="M185" i="17" a="1"/>
  <c r="M185" i="17"/>
  <c r="M186" i="17" a="1"/>
  <c r="M186" i="17" s="1"/>
  <c r="M187" i="17" a="1"/>
  <c r="M187" i="17" s="1"/>
  <c r="M332" i="17" a="1"/>
  <c r="M332" i="17" s="1"/>
  <c r="M188" i="17" a="1"/>
  <c r="M188" i="17" s="1"/>
  <c r="Y188" i="17" s="1"/>
  <c r="Q188" i="17" s="1"/>
  <c r="W188" i="17" s="1"/>
  <c r="M189" i="17" a="1"/>
  <c r="M189" i="17" s="1"/>
  <c r="M190" i="17" a="1"/>
  <c r="M190" i="17" s="1"/>
  <c r="M191" i="17" a="1"/>
  <c r="M191" i="17" s="1"/>
  <c r="M192" i="17" a="1"/>
  <c r="M192" i="17" s="1"/>
  <c r="M193" i="17" a="1"/>
  <c r="M193" i="17" s="1"/>
  <c r="M333" i="17" a="1"/>
  <c r="M333" i="17" s="1"/>
  <c r="M194" i="17" a="1"/>
  <c r="M194" i="17" s="1"/>
  <c r="M195" i="17" a="1"/>
  <c r="M195" i="17" s="1"/>
  <c r="M196" i="17" a="1"/>
  <c r="M196" i="17" s="1"/>
  <c r="M197" i="17" a="1"/>
  <c r="M197" i="17" s="1"/>
  <c r="M198" i="17" a="1"/>
  <c r="M198" i="17" s="1"/>
  <c r="M199" i="17" a="1"/>
  <c r="M199" i="17" s="1"/>
  <c r="M334" i="17" a="1"/>
  <c r="M334" i="17" s="1"/>
  <c r="M200" i="17" a="1"/>
  <c r="M200" i="17"/>
  <c r="M201" i="17" a="1"/>
  <c r="M201" i="17" s="1"/>
  <c r="M202" i="17" a="1"/>
  <c r="M202" i="17" s="1"/>
  <c r="M203" i="17" a="1"/>
  <c r="M203" i="17" s="1"/>
  <c r="M204" i="17" a="1"/>
  <c r="M204" i="17" s="1"/>
  <c r="M205" i="17" a="1"/>
  <c r="M205" i="17" s="1"/>
  <c r="M335" i="17" a="1"/>
  <c r="M335" i="17"/>
  <c r="M206" i="17" a="1"/>
  <c r="M206" i="17" s="1"/>
  <c r="M207" i="17" a="1"/>
  <c r="M207" i="17" s="1"/>
  <c r="M208" i="17" a="1"/>
  <c r="M208" i="17" s="1"/>
  <c r="M209" i="17" a="1"/>
  <c r="M209" i="17" s="1"/>
  <c r="M210" i="17" a="1"/>
  <c r="M210" i="17" s="1"/>
  <c r="M211" i="17" a="1"/>
  <c r="M211" i="17" s="1"/>
  <c r="M336" i="17" a="1"/>
  <c r="M336" i="17" s="1"/>
  <c r="M212" i="17" a="1"/>
  <c r="M212" i="17" s="1"/>
  <c r="M213" i="17" a="1"/>
  <c r="M213" i="17" s="1"/>
  <c r="M214" i="17" a="1"/>
  <c r="M214" i="17" s="1"/>
  <c r="Y214" i="17" s="1"/>
  <c r="Q214" i="17" s="1"/>
  <c r="W214" i="17" s="1"/>
  <c r="M215" i="17" a="1"/>
  <c r="M215" i="17" s="1"/>
  <c r="M216" i="17" a="1"/>
  <c r="M216" i="17" s="1"/>
  <c r="M217" i="17" a="1"/>
  <c r="M217" i="17" s="1"/>
  <c r="M337" i="17" a="1"/>
  <c r="M337" i="17" s="1"/>
  <c r="M218" i="17" a="1"/>
  <c r="M218" i="17" s="1"/>
  <c r="M219" i="17" a="1"/>
  <c r="M219" i="17" s="1"/>
  <c r="M220" i="17" a="1"/>
  <c r="M220" i="17" s="1"/>
  <c r="M221" i="17" a="1"/>
  <c r="M221" i="17" s="1"/>
  <c r="M222" i="17" a="1"/>
  <c r="M222" i="17" s="1"/>
  <c r="M223" i="17" a="1"/>
  <c r="M223" i="17" s="1"/>
  <c r="M338" i="17" a="1"/>
  <c r="M338" i="17" s="1"/>
  <c r="M224" i="17" a="1"/>
  <c r="M224" i="17" s="1"/>
  <c r="M225" i="17" a="1"/>
  <c r="M225" i="17" s="1"/>
  <c r="M226" i="17" a="1"/>
  <c r="M226" i="17" s="1"/>
  <c r="M227" i="17" a="1"/>
  <c r="M227" i="17" s="1"/>
  <c r="M228" i="17" a="1"/>
  <c r="M228" i="17" s="1"/>
  <c r="M229" i="17" a="1"/>
  <c r="M229" i="17" s="1"/>
  <c r="M339" i="17" a="1"/>
  <c r="M339" i="17"/>
  <c r="M230" i="17" a="1"/>
  <c r="M230" i="17" s="1"/>
  <c r="M231" i="17" a="1"/>
  <c r="M231" i="17" s="1"/>
  <c r="M232" i="17" a="1"/>
  <c r="M232" i="17" s="1"/>
  <c r="M233" i="17" a="1"/>
  <c r="M233" i="17" s="1"/>
  <c r="M234" i="17" a="1"/>
  <c r="M234" i="17" s="1"/>
  <c r="M235" i="17" a="1"/>
  <c r="M235" i="17" s="1"/>
  <c r="M340" i="17" a="1"/>
  <c r="M340" i="17" s="1"/>
  <c r="M236" i="17" a="1"/>
  <c r="M236" i="17" s="1"/>
  <c r="M237" i="17" a="1"/>
  <c r="M237" i="17" s="1"/>
  <c r="M238" i="17" a="1"/>
  <c r="M238" i="17" s="1"/>
  <c r="M239" i="17" a="1"/>
  <c r="M239" i="17" s="1"/>
  <c r="M240" i="17" a="1"/>
  <c r="M240" i="17" s="1"/>
  <c r="M241" i="17" a="1"/>
  <c r="M241" i="17" s="1"/>
  <c r="M341" i="17" a="1"/>
  <c r="M341" i="17" s="1"/>
  <c r="M242" i="17" a="1"/>
  <c r="M242" i="17" s="1"/>
  <c r="M243" i="17" a="1"/>
  <c r="M243" i="17" s="1"/>
  <c r="M244" i="17" a="1"/>
  <c r="M244" i="17" s="1"/>
  <c r="M245" i="17" a="1"/>
  <c r="M245" i="17" s="1"/>
  <c r="M246" i="17" a="1"/>
  <c r="M246" i="17" s="1"/>
  <c r="M247" i="17" a="1"/>
  <c r="M247" i="17" s="1"/>
  <c r="M342" i="17" a="1"/>
  <c r="M342" i="17" s="1"/>
  <c r="M248" i="17" a="1"/>
  <c r="M248" i="17" s="1"/>
  <c r="M249" i="17" a="1"/>
  <c r="M249" i="17" s="1"/>
  <c r="M250" i="17" a="1"/>
  <c r="M250" i="17" s="1"/>
  <c r="M251" i="17" a="1"/>
  <c r="M251" i="17" s="1"/>
  <c r="M252" i="17" a="1"/>
  <c r="M252" i="17" s="1"/>
  <c r="M253" i="17" a="1"/>
  <c r="M253" i="17" s="1"/>
  <c r="M343" i="17" a="1"/>
  <c r="M343" i="17" s="1"/>
  <c r="M254" i="17" a="1"/>
  <c r="M254" i="17" s="1"/>
  <c r="M255" i="17" a="1"/>
  <c r="M255" i="17" s="1"/>
  <c r="M256" i="17" a="1"/>
  <c r="M256" i="17" s="1"/>
  <c r="M257" i="17" a="1"/>
  <c r="M257" i="17" s="1"/>
  <c r="M258" i="17" a="1"/>
  <c r="M258" i="17" s="1"/>
  <c r="M259" i="17" a="1"/>
  <c r="M259" i="17" s="1"/>
  <c r="M344" i="17" a="1"/>
  <c r="M344" i="17" s="1"/>
  <c r="M260" i="17" a="1"/>
  <c r="M260" i="17" s="1"/>
  <c r="M261" i="17" a="1"/>
  <c r="M261" i="17" s="1"/>
  <c r="M262" i="17" a="1"/>
  <c r="M262" i="17" s="1"/>
  <c r="M263" i="17" a="1"/>
  <c r="M263" i="17" s="1"/>
  <c r="M264" i="17" a="1"/>
  <c r="M264" i="17" s="1"/>
  <c r="M265" i="17" a="1"/>
  <c r="M265" i="17" s="1"/>
  <c r="M345" i="17" a="1"/>
  <c r="M345" i="17" s="1"/>
  <c r="M266" i="17" a="1"/>
  <c r="M266" i="17" s="1"/>
  <c r="M267" i="17" a="1"/>
  <c r="M267" i="17" s="1"/>
  <c r="M268" i="17" a="1"/>
  <c r="M268" i="17" s="1"/>
  <c r="M269" i="17" a="1"/>
  <c r="M269" i="17" s="1"/>
  <c r="M270" i="17" a="1"/>
  <c r="M270" i="17" s="1"/>
  <c r="M271" i="17" a="1"/>
  <c r="M271" i="17" s="1"/>
  <c r="M346" i="17" a="1"/>
  <c r="M346" i="17" s="1"/>
  <c r="M272" i="17" a="1"/>
  <c r="M272" i="17" s="1"/>
  <c r="M273" i="17" a="1"/>
  <c r="M273" i="17" s="1"/>
  <c r="M274" i="17" a="1"/>
  <c r="M274" i="17" s="1"/>
  <c r="M275" i="17" a="1"/>
  <c r="M275" i="17" s="1"/>
  <c r="M276" i="17" a="1"/>
  <c r="M276" i="17" s="1"/>
  <c r="M277" i="17" a="1"/>
  <c r="M277" i="17" s="1"/>
  <c r="M347" i="17" a="1"/>
  <c r="M347" i="17" s="1"/>
  <c r="M278" i="17" a="1"/>
  <c r="M278" i="17" s="1"/>
  <c r="M279" i="17" a="1"/>
  <c r="M279" i="17" s="1"/>
  <c r="M280" i="17" a="1"/>
  <c r="M280" i="17" s="1"/>
  <c r="M281" i="17" a="1"/>
  <c r="M281" i="17"/>
  <c r="M282" i="17" a="1"/>
  <c r="M282" i="17" s="1"/>
  <c r="M283" i="17" a="1"/>
  <c r="M283" i="17" s="1"/>
  <c r="M348" i="17" a="1"/>
  <c r="M348" i="17" s="1"/>
  <c r="M284" i="17" a="1"/>
  <c r="M284" i="17" s="1"/>
  <c r="M285" i="17" a="1"/>
  <c r="M285" i="17" s="1"/>
  <c r="M286" i="17" a="1"/>
  <c r="M286" i="17" s="1"/>
  <c r="M287" i="17" a="1"/>
  <c r="M287" i="17" s="1"/>
  <c r="M288" i="17" a="1"/>
  <c r="M288" i="17" s="1"/>
  <c r="M289" i="17" a="1"/>
  <c r="M289" i="17" s="1"/>
  <c r="M349" i="17" a="1"/>
  <c r="M349" i="17" s="1"/>
  <c r="M290" i="17" a="1"/>
  <c r="M290" i="17" s="1"/>
  <c r="M291" i="17" a="1"/>
  <c r="M291" i="17" s="1"/>
  <c r="M292" i="17" a="1"/>
  <c r="M292" i="17" s="1"/>
  <c r="M293" i="17" a="1"/>
  <c r="M293" i="17" s="1"/>
  <c r="M294" i="17" a="1"/>
  <c r="M294" i="17" s="1"/>
  <c r="M295" i="17" a="1"/>
  <c r="M295" i="17" s="1"/>
  <c r="M350" i="17" a="1"/>
  <c r="M350" i="17" s="1"/>
  <c r="M296" i="17" a="1"/>
  <c r="M296" i="17" s="1"/>
  <c r="M297" i="17" a="1"/>
  <c r="M297" i="17" s="1"/>
  <c r="M298" i="17" a="1"/>
  <c r="M298" i="17" s="1"/>
  <c r="M299" i="17" a="1"/>
  <c r="M299" i="17" s="1"/>
  <c r="M300" i="17" a="1"/>
  <c r="M300" i="17" s="1"/>
  <c r="M301" i="17" a="1"/>
  <c r="M301" i="17"/>
  <c r="M351" i="17" a="1"/>
  <c r="M351" i="17" s="1"/>
  <c r="N25" i="17" a="1"/>
  <c r="N25" i="17" s="1"/>
  <c r="N313" i="17" a="1"/>
  <c r="N313" i="17" s="1"/>
  <c r="N81" i="17" a="1"/>
  <c r="N81" i="17" s="1"/>
  <c r="N89" i="17" a="1"/>
  <c r="N89" i="17" s="1"/>
  <c r="N96" i="17" a="1"/>
  <c r="N96" i="17" s="1"/>
  <c r="N102" i="17" a="1"/>
  <c r="N102" i="17" s="1"/>
  <c r="N109" i="17" a="1"/>
  <c r="N109" i="17" s="1"/>
  <c r="N320" i="17" a="1"/>
  <c r="N320" i="17" s="1"/>
  <c r="N120" i="17" a="1"/>
  <c r="N120" i="17" s="1"/>
  <c r="N121" i="17" a="1"/>
  <c r="N121" i="17" s="1"/>
  <c r="N321" i="17" a="1"/>
  <c r="N321" i="17" s="1"/>
  <c r="N122" i="17" a="1"/>
  <c r="N122" i="17" s="1"/>
  <c r="N125" i="17" a="1"/>
  <c r="N125" i="17" s="1"/>
  <c r="N126" i="17" a="1"/>
  <c r="N126" i="17" s="1"/>
  <c r="N127" i="17" a="1"/>
  <c r="N127" i="17" s="1"/>
  <c r="N322" i="17" a="1"/>
  <c r="N322" i="17" s="1"/>
  <c r="N128" i="17" a="1"/>
  <c r="N128" i="17" s="1"/>
  <c r="N132" i="17" a="1"/>
  <c r="N132" i="17" s="1"/>
  <c r="N133" i="17" a="1"/>
  <c r="N133" i="17" s="1"/>
  <c r="N323" i="17" a="1"/>
  <c r="N323" i="17" s="1"/>
  <c r="N134" i="17" a="1"/>
  <c r="N134" i="17" s="1"/>
  <c r="N135" i="17" a="1"/>
  <c r="N135" i="17" s="1"/>
  <c r="N136" i="17" a="1"/>
  <c r="N136" i="17" s="1"/>
  <c r="N138" i="17" a="1"/>
  <c r="N138" i="17"/>
  <c r="N139" i="17" a="1"/>
  <c r="N139" i="17" s="1"/>
  <c r="N324" i="17" a="1"/>
  <c r="N324" i="17" s="1"/>
  <c r="N140" i="17" a="1"/>
  <c r="N140" i="17" s="1"/>
  <c r="N141" i="17" a="1"/>
  <c r="N141" i="17" s="1"/>
  <c r="N142" i="17" a="1"/>
  <c r="N142" i="17" s="1"/>
  <c r="N144" i="17" a="1"/>
  <c r="N144" i="17" s="1"/>
  <c r="N145" i="17" a="1"/>
  <c r="N145" i="17" s="1"/>
  <c r="N325" i="17" a="1"/>
  <c r="N325" i="17" s="1"/>
  <c r="N146" i="17" a="1"/>
  <c r="N146" i="17" s="1"/>
  <c r="N147" i="17" a="1"/>
  <c r="N147" i="17" s="1"/>
  <c r="N148" i="17" a="1"/>
  <c r="N148" i="17" s="1"/>
  <c r="N149" i="17" a="1"/>
  <c r="N149" i="17" s="1"/>
  <c r="N150" i="17" a="1"/>
  <c r="N150" i="17" s="1"/>
  <c r="N151" i="17" a="1"/>
  <c r="N151" i="17" s="1"/>
  <c r="N326" i="17" a="1"/>
  <c r="N326" i="17" s="1"/>
  <c r="N152" i="17" a="1"/>
  <c r="N152" i="17" s="1"/>
  <c r="N153" i="17" a="1"/>
  <c r="N153" i="17" s="1"/>
  <c r="N154" i="17" a="1"/>
  <c r="N154" i="17" s="1"/>
  <c r="N155" i="17" a="1"/>
  <c r="N155" i="17" s="1"/>
  <c r="N156" i="17" a="1"/>
  <c r="N156" i="17" s="1"/>
  <c r="N157" i="17" a="1"/>
  <c r="N157" i="17" s="1"/>
  <c r="N327" i="17" a="1"/>
  <c r="N327" i="17" s="1"/>
  <c r="N158" i="17" a="1"/>
  <c r="N158" i="17"/>
  <c r="N159" i="17" a="1"/>
  <c r="N159" i="17" s="1"/>
  <c r="N160" i="17" a="1"/>
  <c r="N160" i="17" s="1"/>
  <c r="N161" i="17" a="1"/>
  <c r="N161" i="17" s="1"/>
  <c r="N162" i="17" a="1"/>
  <c r="N162" i="17" s="1"/>
  <c r="N163" i="17" a="1"/>
  <c r="N163" i="17" s="1"/>
  <c r="N328" i="17" a="1"/>
  <c r="N328" i="17" s="1"/>
  <c r="N164" i="17" a="1"/>
  <c r="N164" i="17" s="1"/>
  <c r="N165" i="17" a="1"/>
  <c r="N165" i="17" s="1"/>
  <c r="N166" i="17" a="1"/>
  <c r="N166" i="17" s="1"/>
  <c r="N167" i="17" a="1"/>
  <c r="N167" i="17" s="1"/>
  <c r="N168" i="17" a="1"/>
  <c r="N168" i="17" s="1"/>
  <c r="N169" i="17" a="1"/>
  <c r="N169" i="17" s="1"/>
  <c r="N329" i="17" a="1"/>
  <c r="N329" i="17" s="1"/>
  <c r="N170" i="17" a="1"/>
  <c r="N170" i="17" s="1"/>
  <c r="N171" i="17" a="1"/>
  <c r="N171" i="17" s="1"/>
  <c r="N172" i="17" a="1"/>
  <c r="N172" i="17" s="1"/>
  <c r="N173" i="17" a="1"/>
  <c r="N173" i="17" s="1"/>
  <c r="N174" i="17" a="1"/>
  <c r="N174" i="17" s="1"/>
  <c r="N175" i="17" a="1"/>
  <c r="N175" i="17" s="1"/>
  <c r="N330" i="17" a="1"/>
  <c r="N330" i="17" s="1"/>
  <c r="N176" i="17" a="1"/>
  <c r="N176" i="17" s="1"/>
  <c r="N177" i="17" a="1"/>
  <c r="N177" i="17" s="1"/>
  <c r="N178" i="17" a="1"/>
  <c r="N178" i="17" s="1"/>
  <c r="N179" i="17" a="1"/>
  <c r="N179" i="17" s="1"/>
  <c r="N180" i="17" a="1"/>
  <c r="N180" i="17" s="1"/>
  <c r="N181" i="17" a="1"/>
  <c r="N181" i="17" s="1"/>
  <c r="N331" i="17" a="1"/>
  <c r="N331" i="17" s="1"/>
  <c r="N182" i="17" a="1"/>
  <c r="N182" i="17" s="1"/>
  <c r="N183" i="17" a="1"/>
  <c r="N183" i="17" s="1"/>
  <c r="N184" i="17" a="1"/>
  <c r="N184" i="17" s="1"/>
  <c r="N185" i="17" a="1"/>
  <c r="N185" i="17" s="1"/>
  <c r="N186" i="17" a="1"/>
  <c r="N186" i="17"/>
  <c r="N187" i="17" a="1"/>
  <c r="N187" i="17" s="1"/>
  <c r="N332" i="17" a="1"/>
  <c r="N332" i="17" s="1"/>
  <c r="N188" i="17" a="1"/>
  <c r="N188" i="17" s="1"/>
  <c r="N189" i="17" a="1"/>
  <c r="N189" i="17" s="1"/>
  <c r="N190" i="17" a="1"/>
  <c r="N190" i="17" s="1"/>
  <c r="N191" i="17" a="1"/>
  <c r="N191" i="17" s="1"/>
  <c r="N192" i="17" a="1"/>
  <c r="N192" i="17" s="1"/>
  <c r="N193" i="17" a="1"/>
  <c r="N193" i="17" s="1"/>
  <c r="N333" i="17" a="1"/>
  <c r="N333" i="17" s="1"/>
  <c r="N194" i="17" a="1"/>
  <c r="N194" i="17" s="1"/>
  <c r="N195" i="17" a="1"/>
  <c r="N195" i="17" s="1"/>
  <c r="N196" i="17" a="1"/>
  <c r="N196" i="17" s="1"/>
  <c r="N197" i="17" a="1"/>
  <c r="N197" i="17" s="1"/>
  <c r="N198" i="17" a="1"/>
  <c r="N198" i="17" s="1"/>
  <c r="N199" i="17" a="1"/>
  <c r="N199" i="17" s="1"/>
  <c r="N334" i="17" a="1"/>
  <c r="N334" i="17" s="1"/>
  <c r="N200" i="17" a="1"/>
  <c r="N200" i="17" s="1"/>
  <c r="N201" i="17" a="1"/>
  <c r="N201" i="17" s="1"/>
  <c r="N202" i="17" a="1"/>
  <c r="N202" i="17" s="1"/>
  <c r="N203" i="17" a="1"/>
  <c r="N203" i="17" s="1"/>
  <c r="N204" i="17" a="1"/>
  <c r="N204" i="17" s="1"/>
  <c r="N205" i="17" a="1"/>
  <c r="N205" i="17" s="1"/>
  <c r="N335" i="17" a="1"/>
  <c r="N335" i="17" s="1"/>
  <c r="N206" i="17" a="1"/>
  <c r="N206" i="17" s="1"/>
  <c r="N207" i="17" a="1"/>
  <c r="N207" i="17" s="1"/>
  <c r="N208" i="17" a="1"/>
  <c r="N208" i="17" s="1"/>
  <c r="N209" i="17" a="1"/>
  <c r="N209" i="17" s="1"/>
  <c r="N210" i="17" a="1"/>
  <c r="N210" i="17" s="1"/>
  <c r="N211" i="17" a="1"/>
  <c r="N211" i="17" s="1"/>
  <c r="N336" i="17" a="1"/>
  <c r="N336" i="17" s="1"/>
  <c r="N212" i="17" a="1"/>
  <c r="N212" i="17" s="1"/>
  <c r="N213" i="17" a="1"/>
  <c r="N213" i="17" s="1"/>
  <c r="N214" i="17" a="1"/>
  <c r="N214" i="17" s="1"/>
  <c r="N215" i="17" a="1"/>
  <c r="N215" i="17" s="1"/>
  <c r="N216" i="17" a="1"/>
  <c r="N216" i="17" s="1"/>
  <c r="N217" i="17" a="1"/>
  <c r="N217" i="17" s="1"/>
  <c r="N337" i="17" a="1"/>
  <c r="N337" i="17" s="1"/>
  <c r="N218" i="17" a="1"/>
  <c r="N218" i="17" s="1"/>
  <c r="N219" i="17" a="1"/>
  <c r="N219" i="17" s="1"/>
  <c r="N220" i="17" a="1"/>
  <c r="N220" i="17" s="1"/>
  <c r="N221" i="17" a="1"/>
  <c r="N221" i="17" s="1"/>
  <c r="N222" i="17" a="1"/>
  <c r="N222" i="17" s="1"/>
  <c r="N223" i="17" a="1"/>
  <c r="N223" i="17" s="1"/>
  <c r="N338" i="17" a="1"/>
  <c r="N338" i="17" s="1"/>
  <c r="N224" i="17" a="1"/>
  <c r="N224" i="17" s="1"/>
  <c r="N225" i="17" a="1"/>
  <c r="N225" i="17" s="1"/>
  <c r="N226" i="17" a="1"/>
  <c r="N226" i="17" s="1"/>
  <c r="N227" i="17" a="1"/>
  <c r="N227" i="17" s="1"/>
  <c r="N228" i="17" a="1"/>
  <c r="N228" i="17" s="1"/>
  <c r="N229" i="17" a="1"/>
  <c r="N229" i="17" s="1"/>
  <c r="N339" i="17" a="1"/>
  <c r="N339" i="17" s="1"/>
  <c r="N230" i="17" a="1"/>
  <c r="N230" i="17" s="1"/>
  <c r="N231" i="17" a="1"/>
  <c r="N231" i="17" s="1"/>
  <c r="N232" i="17" a="1"/>
  <c r="N232" i="17" s="1"/>
  <c r="N233" i="17" a="1"/>
  <c r="N233" i="17" s="1"/>
  <c r="N234" i="17" a="1"/>
  <c r="N234" i="17"/>
  <c r="N235" i="17" a="1"/>
  <c r="N235" i="17" s="1"/>
  <c r="N340" i="17" a="1"/>
  <c r="N340" i="17" s="1"/>
  <c r="N236" i="17" a="1"/>
  <c r="N236" i="17" s="1"/>
  <c r="N237" i="17" a="1"/>
  <c r="N237" i="17" s="1"/>
  <c r="N238" i="17" a="1"/>
  <c r="N238" i="17" s="1"/>
  <c r="N239" i="17" a="1"/>
  <c r="N239" i="17" s="1"/>
  <c r="N240" i="17" a="1"/>
  <c r="N240" i="17" s="1"/>
  <c r="N241" i="17" a="1"/>
  <c r="N241" i="17" s="1"/>
  <c r="N341" i="17" a="1"/>
  <c r="N341" i="17" s="1"/>
  <c r="N242" i="17" a="1"/>
  <c r="N242" i="17" s="1"/>
  <c r="N243" i="17" a="1"/>
  <c r="N243" i="17" s="1"/>
  <c r="N244" i="17" a="1"/>
  <c r="N244" i="17" s="1"/>
  <c r="N245" i="17" a="1"/>
  <c r="N245" i="17" s="1"/>
  <c r="N246" i="17" a="1"/>
  <c r="N246" i="17" s="1"/>
  <c r="N247" i="17" a="1"/>
  <c r="N247" i="17" s="1"/>
  <c r="N342" i="17" a="1"/>
  <c r="N342" i="17" s="1"/>
  <c r="N248" i="17" a="1"/>
  <c r="N248" i="17" s="1"/>
  <c r="N249" i="17" a="1"/>
  <c r="N249" i="17" s="1"/>
  <c r="N250" i="17" a="1"/>
  <c r="N250" i="17" s="1"/>
  <c r="N251" i="17" a="1"/>
  <c r="N251" i="17" s="1"/>
  <c r="N252" i="17" a="1"/>
  <c r="N252" i="17" s="1"/>
  <c r="N253" i="17" a="1"/>
  <c r="N253" i="17" s="1"/>
  <c r="N343" i="17" a="1"/>
  <c r="N343" i="17" s="1"/>
  <c r="N254" i="17" a="1"/>
  <c r="N254" i="17" s="1"/>
  <c r="N255" i="17" a="1"/>
  <c r="N255" i="17" s="1"/>
  <c r="N256" i="17" a="1"/>
  <c r="N256" i="17" s="1"/>
  <c r="N257" i="17" a="1"/>
  <c r="N257" i="17" s="1"/>
  <c r="N258" i="17" a="1"/>
  <c r="N258" i="17" s="1"/>
  <c r="N259" i="17" a="1"/>
  <c r="N259" i="17" s="1"/>
  <c r="N344" i="17" a="1"/>
  <c r="N344" i="17" s="1"/>
  <c r="N260" i="17" a="1"/>
  <c r="N260" i="17" s="1"/>
  <c r="N261" i="17" a="1"/>
  <c r="N261" i="17" s="1"/>
  <c r="N262" i="17" a="1"/>
  <c r="N262" i="17" s="1"/>
  <c r="N263" i="17" a="1"/>
  <c r="N263" i="17" s="1"/>
  <c r="N264" i="17" a="1"/>
  <c r="N264" i="17" s="1"/>
  <c r="N265" i="17" a="1"/>
  <c r="N265" i="17" s="1"/>
  <c r="N345" i="17" a="1"/>
  <c r="N345" i="17" s="1"/>
  <c r="N266" i="17" a="1"/>
  <c r="N266" i="17" s="1"/>
  <c r="N267" i="17" a="1"/>
  <c r="N267" i="17" s="1"/>
  <c r="N268" i="17" a="1"/>
  <c r="N268" i="17" s="1"/>
  <c r="N269" i="17" a="1"/>
  <c r="N269" i="17" s="1"/>
  <c r="N270" i="17" a="1"/>
  <c r="N270" i="17" s="1"/>
  <c r="N271" i="17" a="1"/>
  <c r="N271" i="17" s="1"/>
  <c r="N346" i="17" a="1"/>
  <c r="N346" i="17" s="1"/>
  <c r="N272" i="17" a="1"/>
  <c r="N272" i="17" s="1"/>
  <c r="N273" i="17" a="1"/>
  <c r="N273" i="17" s="1"/>
  <c r="N274" i="17" a="1"/>
  <c r="N274" i="17" s="1"/>
  <c r="N275" i="17" a="1"/>
  <c r="N275" i="17" s="1"/>
  <c r="N276" i="17" a="1"/>
  <c r="N276" i="17" s="1"/>
  <c r="N277" i="17" a="1"/>
  <c r="N277" i="17" s="1"/>
  <c r="N347" i="17" a="1"/>
  <c r="N347" i="17" s="1"/>
  <c r="N278" i="17" a="1"/>
  <c r="N278" i="17" s="1"/>
  <c r="N279" i="17" a="1"/>
  <c r="N279" i="17" s="1"/>
  <c r="N280" i="17" a="1"/>
  <c r="N280" i="17" s="1"/>
  <c r="N281" i="17" a="1"/>
  <c r="N281" i="17" s="1"/>
  <c r="N282" i="17" a="1"/>
  <c r="N282" i="17" s="1"/>
  <c r="N283" i="17" a="1"/>
  <c r="N283" i="17" s="1"/>
  <c r="N348" i="17" a="1"/>
  <c r="N348" i="17" s="1"/>
  <c r="N284" i="17" a="1"/>
  <c r="N284" i="17" s="1"/>
  <c r="N285" i="17" a="1"/>
  <c r="N285" i="17" s="1"/>
  <c r="N286" i="17" a="1"/>
  <c r="N286" i="17" s="1"/>
  <c r="N287" i="17" a="1"/>
  <c r="N287" i="17" s="1"/>
  <c r="N288" i="17" a="1"/>
  <c r="N288" i="17" s="1"/>
  <c r="N289" i="17" a="1"/>
  <c r="N289" i="17"/>
  <c r="N349" i="17" a="1"/>
  <c r="N349" i="17" s="1"/>
  <c r="N290" i="17" a="1"/>
  <c r="N290" i="17" s="1"/>
  <c r="N291" i="17" a="1"/>
  <c r="N291" i="17" s="1"/>
  <c r="N292" i="17" a="1"/>
  <c r="N292" i="17" s="1"/>
  <c r="N293" i="17" a="1"/>
  <c r="N293" i="17" s="1"/>
  <c r="N294" i="17" a="1"/>
  <c r="N294" i="17" s="1"/>
  <c r="N295" i="17" a="1"/>
  <c r="N295" i="17" s="1"/>
  <c r="N350" i="17" a="1"/>
  <c r="N350" i="17" s="1"/>
  <c r="N296" i="17" a="1"/>
  <c r="N296" i="17" s="1"/>
  <c r="N297" i="17" a="1"/>
  <c r="N297" i="17" s="1"/>
  <c r="N298" i="17" a="1"/>
  <c r="N298" i="17" s="1"/>
  <c r="N299" i="17" a="1"/>
  <c r="N299" i="17" s="1"/>
  <c r="N300" i="17" a="1"/>
  <c r="N300" i="17" s="1"/>
  <c r="N301" i="17" a="1"/>
  <c r="N301" i="17" s="1"/>
  <c r="N351" i="17" a="1"/>
  <c r="N351" i="17" s="1"/>
  <c r="O2" i="17" a="1"/>
  <c r="O2" i="17" s="1"/>
  <c r="O3" i="17" a="1"/>
  <c r="O3" i="17" s="1"/>
  <c r="O4" i="17" a="1"/>
  <c r="O4" i="17" s="1"/>
  <c r="O5" i="17" a="1"/>
  <c r="O5" i="17" s="1"/>
  <c r="O6" i="17" a="1"/>
  <c r="O6" i="17" s="1"/>
  <c r="O7" i="17" a="1"/>
  <c r="O7" i="17" s="1"/>
  <c r="O302" i="17" a="1"/>
  <c r="O302" i="17" s="1"/>
  <c r="O8" i="17" a="1"/>
  <c r="O8" i="17" s="1"/>
  <c r="O9" i="17" a="1"/>
  <c r="O9" i="17" s="1"/>
  <c r="O10" i="17" a="1"/>
  <c r="O10" i="17" s="1"/>
  <c r="O11" i="17" a="1"/>
  <c r="O11" i="17" s="1"/>
  <c r="O12" i="17" a="1"/>
  <c r="O12" i="17" s="1"/>
  <c r="O13" i="17" a="1"/>
  <c r="O13" i="17" s="1"/>
  <c r="O303" i="17" a="1"/>
  <c r="O303" i="17" s="1"/>
  <c r="O14" i="17" a="1"/>
  <c r="O14" i="17" s="1"/>
  <c r="O15" i="17" a="1"/>
  <c r="O15" i="17" s="1"/>
  <c r="O16" i="17" a="1"/>
  <c r="O16" i="17" s="1"/>
  <c r="O17" i="17" a="1"/>
  <c r="O17" i="17" s="1"/>
  <c r="O18" i="17" a="1"/>
  <c r="O18" i="17" s="1"/>
  <c r="O19" i="17" a="1"/>
  <c r="O19" i="17" s="1"/>
  <c r="O304" i="17" a="1"/>
  <c r="O304" i="17"/>
  <c r="O20" i="17" a="1"/>
  <c r="O20" i="17" s="1"/>
  <c r="O21" i="17" a="1"/>
  <c r="O21" i="17" s="1"/>
  <c r="O22" i="17" a="1"/>
  <c r="O22" i="17" s="1"/>
  <c r="O23" i="17" a="1"/>
  <c r="O23" i="17" s="1"/>
  <c r="O24" i="17" a="1"/>
  <c r="O24" i="17" s="1"/>
  <c r="O25" i="17" a="1"/>
  <c r="O25" i="17" s="1"/>
  <c r="O305" i="17" a="1"/>
  <c r="O305" i="17" s="1"/>
  <c r="O26" i="17" a="1"/>
  <c r="O26" i="17" s="1"/>
  <c r="O27" i="17" a="1"/>
  <c r="O27" i="17"/>
  <c r="O28" i="17" a="1"/>
  <c r="O28" i="17" s="1"/>
  <c r="O29" i="17" a="1"/>
  <c r="O29" i="17" s="1"/>
  <c r="O30" i="17" a="1"/>
  <c r="O30" i="17" s="1"/>
  <c r="O31" i="17" a="1"/>
  <c r="O31" i="17" s="1"/>
  <c r="O306" i="17" a="1"/>
  <c r="O306" i="17" s="1"/>
  <c r="O32" i="17" a="1"/>
  <c r="O32" i="17" s="1"/>
  <c r="O33" i="17" a="1"/>
  <c r="O33" i="17" s="1"/>
  <c r="O34" i="17" a="1"/>
  <c r="O34" i="17" s="1"/>
  <c r="O35" i="17" a="1"/>
  <c r="O35" i="17"/>
  <c r="O36" i="17" a="1"/>
  <c r="O36" i="17" s="1"/>
  <c r="O37" i="17" a="1"/>
  <c r="O37" i="17" s="1"/>
  <c r="O307" i="17" a="1"/>
  <c r="O307" i="17" s="1"/>
  <c r="O38" i="17" a="1"/>
  <c r="O38" i="17" s="1"/>
  <c r="O39" i="17" a="1"/>
  <c r="O39" i="17" s="1"/>
  <c r="O40" i="17" a="1"/>
  <c r="O40" i="17" s="1"/>
  <c r="O41" i="17" a="1"/>
  <c r="O41" i="17" s="1"/>
  <c r="O42" i="17" a="1"/>
  <c r="O42" i="17" s="1"/>
  <c r="O43" i="17" a="1"/>
  <c r="O43" i="17" s="1"/>
  <c r="O308" i="17" a="1"/>
  <c r="O308" i="17" s="1"/>
  <c r="O44" i="17" a="1"/>
  <c r="O44" i="17" s="1"/>
  <c r="O45" i="17" a="1"/>
  <c r="O45" i="17" s="1"/>
  <c r="O46" i="17" a="1"/>
  <c r="O46" i="17" s="1"/>
  <c r="O47" i="17" a="1"/>
  <c r="O47" i="17" s="1"/>
  <c r="O48" i="17" a="1"/>
  <c r="O48" i="17" s="1"/>
  <c r="O49" i="17" a="1"/>
  <c r="O49" i="17" s="1"/>
  <c r="O309" i="17" a="1"/>
  <c r="O309" i="17" s="1"/>
  <c r="O50" i="17" a="1"/>
  <c r="O50" i="17" s="1"/>
  <c r="O51" i="17" a="1"/>
  <c r="O51" i="17"/>
  <c r="O52" i="17" a="1"/>
  <c r="O52" i="17" s="1"/>
  <c r="O53" i="17" a="1"/>
  <c r="O53" i="17" s="1"/>
  <c r="O54" i="17" a="1"/>
  <c r="O54" i="17" s="1"/>
  <c r="O55" i="17" a="1"/>
  <c r="O55" i="17" s="1"/>
  <c r="O310" i="17" a="1"/>
  <c r="O310" i="17" s="1"/>
  <c r="O56" i="17" a="1"/>
  <c r="O56" i="17" s="1"/>
  <c r="O57" i="17" a="1"/>
  <c r="O57" i="17" s="1"/>
  <c r="O58" i="17" a="1"/>
  <c r="O58" i="17" s="1"/>
  <c r="O59" i="17" a="1"/>
  <c r="O59" i="17" s="1"/>
  <c r="O60" i="17" a="1"/>
  <c r="O60" i="17" s="1"/>
  <c r="O61" i="17" a="1"/>
  <c r="O61" i="17" s="1"/>
  <c r="O311" i="17" a="1"/>
  <c r="O311" i="17" s="1"/>
  <c r="O62" i="17" a="1"/>
  <c r="O62" i="17"/>
  <c r="O63" i="17" a="1"/>
  <c r="O63" i="17" s="1"/>
  <c r="O64" i="17" a="1"/>
  <c r="O64" i="17" s="1"/>
  <c r="O65" i="17" a="1"/>
  <c r="O65" i="17" s="1"/>
  <c r="O66" i="17" a="1"/>
  <c r="O66" i="17" s="1"/>
  <c r="O67" i="17" a="1"/>
  <c r="O67" i="17" s="1"/>
  <c r="O312" i="17" a="1"/>
  <c r="O312" i="17" s="1"/>
  <c r="O68" i="17" a="1"/>
  <c r="O68" i="17" s="1"/>
  <c r="O69" i="17" a="1"/>
  <c r="O69" i="17" s="1"/>
  <c r="O70" i="17" a="1"/>
  <c r="O70" i="17" s="1"/>
  <c r="O71" i="17" a="1"/>
  <c r="O71" i="17"/>
  <c r="O72" i="17" a="1"/>
  <c r="O72" i="17" s="1"/>
  <c r="O73" i="17" a="1"/>
  <c r="O73" i="17" s="1"/>
  <c r="O313" i="17" a="1"/>
  <c r="O313" i="17" s="1"/>
  <c r="O74" i="17" a="1"/>
  <c r="O74" i="17"/>
  <c r="O75" i="17" a="1"/>
  <c r="O75" i="17" s="1"/>
  <c r="O76" i="17" a="1"/>
  <c r="O76" i="17" s="1"/>
  <c r="O77" i="17" a="1"/>
  <c r="O77" i="17" s="1"/>
  <c r="O78" i="17" a="1"/>
  <c r="O78" i="17" s="1"/>
  <c r="O79" i="17" a="1"/>
  <c r="O79" i="17" s="1"/>
  <c r="O314" i="17" a="1"/>
  <c r="O314" i="17"/>
  <c r="O80" i="17" a="1"/>
  <c r="O80" i="17" s="1"/>
  <c r="O81" i="17" a="1"/>
  <c r="O81" i="17" s="1"/>
  <c r="O82" i="17" a="1"/>
  <c r="O82" i="17" s="1"/>
  <c r="O83" i="17" a="1"/>
  <c r="O83" i="17" s="1"/>
  <c r="O84" i="17" a="1"/>
  <c r="O84" i="17" s="1"/>
  <c r="O85" i="17" a="1"/>
  <c r="O85" i="17" s="1"/>
  <c r="O315" i="17" a="1"/>
  <c r="O315" i="17" s="1"/>
  <c r="O86" i="17" a="1"/>
  <c r="O86" i="17" s="1"/>
  <c r="O87" i="17" a="1"/>
  <c r="O87" i="17" s="1"/>
  <c r="O88" i="17" a="1"/>
  <c r="O88" i="17" s="1"/>
  <c r="O89" i="17" a="1"/>
  <c r="O89" i="17" s="1"/>
  <c r="O90" i="17" a="1"/>
  <c r="O90" i="17" s="1"/>
  <c r="O91" i="17" a="1"/>
  <c r="O91" i="17" s="1"/>
  <c r="O316" i="17" a="1"/>
  <c r="O316" i="17" s="1"/>
  <c r="O92" i="17" a="1"/>
  <c r="O92" i="17" s="1"/>
  <c r="O93" i="17" a="1"/>
  <c r="O93" i="17" s="1"/>
  <c r="O94" i="17" a="1"/>
  <c r="O94" i="17" s="1"/>
  <c r="O95" i="17" a="1"/>
  <c r="O95" i="17" s="1"/>
  <c r="O96" i="17" a="1"/>
  <c r="O96" i="17" s="1"/>
  <c r="O97" i="17" a="1"/>
  <c r="O97" i="17" s="1"/>
  <c r="O317" i="17" a="1"/>
  <c r="O317" i="17" s="1"/>
  <c r="O98" i="17" a="1"/>
  <c r="O98" i="17"/>
  <c r="O99" i="17" a="1"/>
  <c r="O99" i="17" s="1"/>
  <c r="O100" i="17" a="1"/>
  <c r="O100" i="17" s="1"/>
  <c r="O101" i="17" a="1"/>
  <c r="O101" i="17" s="1"/>
  <c r="O102" i="17" a="1"/>
  <c r="O102" i="17" s="1"/>
  <c r="O103" i="17" a="1"/>
  <c r="O103" i="17" s="1"/>
  <c r="O318" i="17" a="1"/>
  <c r="O318" i="17" s="1"/>
  <c r="O104" i="17" a="1"/>
  <c r="O104" i="17" s="1"/>
  <c r="O105" i="17" a="1"/>
  <c r="O105" i="17" s="1"/>
  <c r="O106" i="17" a="1"/>
  <c r="O106" i="17" s="1"/>
  <c r="O107" i="17" a="1"/>
  <c r="O107" i="17" s="1"/>
  <c r="O108" i="17" a="1"/>
  <c r="O108" i="17" s="1"/>
  <c r="O109" i="17" a="1"/>
  <c r="O109" i="17" s="1"/>
  <c r="O319" i="17" a="1"/>
  <c r="O319" i="17"/>
  <c r="O110" i="17" a="1"/>
  <c r="O110" i="17" s="1"/>
  <c r="O111" i="17" a="1"/>
  <c r="O111" i="17" s="1"/>
  <c r="O112" i="17" a="1"/>
  <c r="O112" i="17" s="1"/>
  <c r="O113" i="17" a="1"/>
  <c r="O113" i="17" s="1"/>
  <c r="O114" i="17" a="1"/>
  <c r="O114" i="17" s="1"/>
  <c r="O115" i="17" a="1"/>
  <c r="O115" i="17" s="1"/>
  <c r="O320" i="17" a="1"/>
  <c r="O320" i="17" s="1"/>
  <c r="O116" i="17" a="1"/>
  <c r="O116" i="17" s="1"/>
  <c r="O117" i="17" a="1"/>
  <c r="O117" i="17" s="1"/>
  <c r="O118" i="17" a="1"/>
  <c r="O118" i="17" s="1"/>
  <c r="O119" i="17" a="1"/>
  <c r="O119" i="17" s="1"/>
  <c r="O120" i="17" a="1"/>
  <c r="O120" i="17" s="1"/>
  <c r="O121" i="17" a="1"/>
  <c r="O121" i="17" s="1"/>
  <c r="O321" i="17" a="1"/>
  <c r="O321" i="17" s="1"/>
  <c r="O122" i="17" a="1"/>
  <c r="O122" i="17" s="1"/>
  <c r="O123" i="17" a="1"/>
  <c r="O123" i="17" s="1"/>
  <c r="O124" i="17" a="1"/>
  <c r="O124" i="17" s="1"/>
  <c r="O125" i="17" a="1"/>
  <c r="O125" i="17" s="1"/>
  <c r="O126" i="17" a="1"/>
  <c r="O126" i="17"/>
  <c r="O127" i="17" a="1"/>
  <c r="O127" i="17" s="1"/>
  <c r="O322" i="17" a="1"/>
  <c r="O322" i="17" s="1"/>
  <c r="O128" i="17" a="1"/>
  <c r="O128" i="17" s="1"/>
  <c r="O129" i="17" a="1"/>
  <c r="O129" i="17" s="1"/>
  <c r="O130" i="17" a="1"/>
  <c r="O130" i="17" s="1"/>
  <c r="O131" i="17" a="1"/>
  <c r="O131" i="17" s="1"/>
  <c r="O132" i="17" a="1"/>
  <c r="O132" i="17" s="1"/>
  <c r="O133" i="17" a="1"/>
  <c r="O133" i="17" s="1"/>
  <c r="O323" i="17" a="1"/>
  <c r="O323" i="17"/>
  <c r="O134" i="17" a="1"/>
  <c r="O134" i="17" s="1"/>
  <c r="O135" i="17" a="1"/>
  <c r="O135" i="17" s="1"/>
  <c r="O136" i="17" a="1"/>
  <c r="O136" i="17" s="1"/>
  <c r="O137" i="17" a="1"/>
  <c r="O137" i="17" s="1"/>
  <c r="O138" i="17" a="1"/>
  <c r="O138" i="17" s="1"/>
  <c r="O139" i="17" a="1"/>
  <c r="O139" i="17" s="1"/>
  <c r="O324" i="17" a="1"/>
  <c r="O324" i="17" s="1"/>
  <c r="O140" i="17" a="1"/>
  <c r="O140" i="17" s="1"/>
  <c r="O141" i="17" a="1"/>
  <c r="O141" i="17" s="1"/>
  <c r="O142" i="17" a="1"/>
  <c r="O142" i="17" s="1"/>
  <c r="O143" i="17" a="1"/>
  <c r="O143" i="17" s="1"/>
  <c r="O144" i="17" a="1"/>
  <c r="O144" i="17" s="1"/>
  <c r="O145" i="17" a="1"/>
  <c r="O145" i="17"/>
  <c r="O325" i="17" a="1"/>
  <c r="O325" i="17" s="1"/>
  <c r="O146" i="17" a="1"/>
  <c r="O146" i="17" s="1"/>
  <c r="O147" i="17" a="1"/>
  <c r="O147" i="17" s="1"/>
  <c r="O148" i="17" a="1"/>
  <c r="O148" i="17" s="1"/>
  <c r="O149" i="17" a="1"/>
  <c r="O149" i="17" s="1"/>
  <c r="O150" i="17" a="1"/>
  <c r="O150" i="17" s="1"/>
  <c r="O151" i="17" a="1"/>
  <c r="O151" i="17" s="1"/>
  <c r="O326" i="17" a="1"/>
  <c r="O326" i="17" s="1"/>
  <c r="O152" i="17" a="1"/>
  <c r="O152" i="17" s="1"/>
  <c r="O153" i="17" a="1"/>
  <c r="O153" i="17" s="1"/>
  <c r="O154" i="17" a="1"/>
  <c r="O154" i="17" s="1"/>
  <c r="O155" i="17" a="1"/>
  <c r="O155" i="17" s="1"/>
  <c r="O156" i="17" a="1"/>
  <c r="O156" i="17" s="1"/>
  <c r="O157" i="17" a="1"/>
  <c r="O157" i="17" s="1"/>
  <c r="O327" i="17" a="1"/>
  <c r="O327" i="17" s="1"/>
  <c r="O158" i="17" a="1"/>
  <c r="O158" i="17" s="1"/>
  <c r="O159" i="17" a="1"/>
  <c r="O159" i="17" s="1"/>
  <c r="O160" i="17" a="1"/>
  <c r="O160" i="17" s="1"/>
  <c r="O161" i="17" a="1"/>
  <c r="O161" i="17"/>
  <c r="O162" i="17" a="1"/>
  <c r="O162" i="17" s="1"/>
  <c r="O163" i="17" a="1"/>
  <c r="O163" i="17" s="1"/>
  <c r="O328" i="17" a="1"/>
  <c r="O328" i="17" s="1"/>
  <c r="O164" i="17" a="1"/>
  <c r="O164" i="17" s="1"/>
  <c r="O165" i="17" a="1"/>
  <c r="O165" i="17" s="1"/>
  <c r="O166" i="17" a="1"/>
  <c r="O166" i="17" s="1"/>
  <c r="O167" i="17" a="1"/>
  <c r="O167" i="17" s="1"/>
  <c r="O168" i="17" a="1"/>
  <c r="O168" i="17" s="1"/>
  <c r="O169" i="17" a="1"/>
  <c r="O169" i="17" s="1"/>
  <c r="O329" i="17" a="1"/>
  <c r="O329" i="17" s="1"/>
  <c r="O170" i="17" a="1"/>
  <c r="O170" i="17" s="1"/>
  <c r="O171" i="17" a="1"/>
  <c r="O171" i="17" s="1"/>
  <c r="O172" i="17" a="1"/>
  <c r="O172" i="17" s="1"/>
  <c r="O173" i="17" a="1"/>
  <c r="O173" i="17" s="1"/>
  <c r="O174" i="17" a="1"/>
  <c r="O174" i="17"/>
  <c r="O175" i="17" a="1"/>
  <c r="O175" i="17" s="1"/>
  <c r="O330" i="17" a="1"/>
  <c r="O330" i="17" s="1"/>
  <c r="O176" i="17" a="1"/>
  <c r="O176" i="17" s="1"/>
  <c r="O177" i="17" a="1"/>
  <c r="O177" i="17" s="1"/>
  <c r="O178" i="17" a="1"/>
  <c r="O178" i="17" s="1"/>
  <c r="O179" i="17" a="1"/>
  <c r="O179" i="17" s="1"/>
  <c r="O180" i="17" a="1"/>
  <c r="O180" i="17" s="1"/>
  <c r="O181" i="17" a="1"/>
  <c r="O181" i="17"/>
  <c r="O331" i="17" a="1"/>
  <c r="O331" i="17" s="1"/>
  <c r="O182" i="17" a="1"/>
  <c r="O182" i="17" s="1"/>
  <c r="O183" i="17" a="1"/>
  <c r="O183" i="17" s="1"/>
  <c r="O184" i="17" a="1"/>
  <c r="O184" i="17" s="1"/>
  <c r="O185" i="17" a="1"/>
  <c r="O185" i="17" s="1"/>
  <c r="O186" i="17" a="1"/>
  <c r="O186" i="17" s="1"/>
  <c r="O187" i="17" a="1"/>
  <c r="O187" i="17" s="1"/>
  <c r="O332" i="17" a="1"/>
  <c r="O332" i="17" s="1"/>
  <c r="O188" i="17" a="1"/>
  <c r="O188" i="17" s="1"/>
  <c r="O189" i="17" a="1"/>
  <c r="O189" i="17"/>
  <c r="O190" i="17" a="1"/>
  <c r="O190" i="17" s="1"/>
  <c r="O191" i="17" a="1"/>
  <c r="O191" i="17" s="1"/>
  <c r="O192" i="17" a="1"/>
  <c r="O192" i="17" s="1"/>
  <c r="O193" i="17" a="1"/>
  <c r="O193" i="17" s="1"/>
  <c r="O333" i="17" a="1"/>
  <c r="O333" i="17" s="1"/>
  <c r="O194" i="17" a="1"/>
  <c r="O194" i="17" s="1"/>
  <c r="O195" i="17" a="1"/>
  <c r="O195" i="17" s="1"/>
  <c r="O196" i="17" a="1"/>
  <c r="O196" i="17" s="1"/>
  <c r="O197" i="17" a="1"/>
  <c r="O197" i="17" s="1"/>
  <c r="O198" i="17" a="1"/>
  <c r="O198" i="17" s="1"/>
  <c r="O199" i="17" a="1"/>
  <c r="O199" i="17" s="1"/>
  <c r="O334" i="17" a="1"/>
  <c r="O334" i="17" s="1"/>
  <c r="O200" i="17" a="1"/>
  <c r="O200" i="17" s="1"/>
  <c r="O201" i="17" a="1"/>
  <c r="O201" i="17"/>
  <c r="O202" i="17" a="1"/>
  <c r="O202" i="17" s="1"/>
  <c r="O203" i="17" a="1"/>
  <c r="O203" i="17" s="1"/>
  <c r="O204" i="17" a="1"/>
  <c r="O204" i="17" s="1"/>
  <c r="O205" i="17" a="1"/>
  <c r="O205" i="17" s="1"/>
  <c r="O335" i="17" a="1"/>
  <c r="O335" i="17" s="1"/>
  <c r="O206" i="17" a="1"/>
  <c r="O206" i="17" s="1"/>
  <c r="O207" i="17" a="1"/>
  <c r="O207" i="17" s="1"/>
  <c r="O208" i="17" a="1"/>
  <c r="O208" i="17" s="1"/>
  <c r="O209" i="17" a="1"/>
  <c r="O209" i="17" s="1"/>
  <c r="O210" i="17" a="1"/>
  <c r="O210" i="17" s="1"/>
  <c r="O211" i="17" a="1"/>
  <c r="O211" i="17" s="1"/>
  <c r="O336" i="17" a="1"/>
  <c r="O336" i="17"/>
  <c r="O212" i="17" a="1"/>
  <c r="O212" i="17" s="1"/>
  <c r="O213" i="17" a="1"/>
  <c r="O213" i="17" s="1"/>
  <c r="O214" i="17" a="1"/>
  <c r="O214" i="17" s="1"/>
  <c r="O215" i="17" a="1"/>
  <c r="O215" i="17" s="1"/>
  <c r="O216" i="17" a="1"/>
  <c r="O216" i="17" s="1"/>
  <c r="O217" i="17" a="1"/>
  <c r="O217" i="17" s="1"/>
  <c r="O337" i="17" a="1"/>
  <c r="O337" i="17" s="1"/>
  <c r="O218" i="17" a="1"/>
  <c r="O218" i="17"/>
  <c r="O219" i="17" a="1"/>
  <c r="O219" i="17" s="1"/>
  <c r="O220" i="17" a="1"/>
  <c r="O220" i="17" s="1"/>
  <c r="O221" i="17" a="1"/>
  <c r="O221" i="17" s="1"/>
  <c r="O222" i="17" a="1"/>
  <c r="O222" i="17" s="1"/>
  <c r="O223" i="17" a="1"/>
  <c r="O223" i="17" s="1"/>
  <c r="O338" i="17" a="1"/>
  <c r="O338" i="17" s="1"/>
  <c r="O224" i="17" a="1"/>
  <c r="O224" i="17" s="1"/>
  <c r="O225" i="17" a="1"/>
  <c r="O225" i="17" s="1"/>
  <c r="O226" i="17" a="1"/>
  <c r="O226" i="17" s="1"/>
  <c r="O227" i="17" a="1"/>
  <c r="O227" i="17" s="1"/>
  <c r="O228" i="17" a="1"/>
  <c r="O228" i="17" s="1"/>
  <c r="O229" i="17" a="1"/>
  <c r="O229" i="17" s="1"/>
  <c r="O339" i="17" a="1"/>
  <c r="O339" i="17" s="1"/>
  <c r="O230" i="17" a="1"/>
  <c r="O230" i="17" s="1"/>
  <c r="O231" i="17" a="1"/>
  <c r="O231" i="17" s="1"/>
  <c r="O232" i="17" a="1"/>
  <c r="O232" i="17" s="1"/>
  <c r="O233" i="17" a="1"/>
  <c r="O233" i="17" s="1"/>
  <c r="O234" i="17" a="1"/>
  <c r="O234" i="17" s="1"/>
  <c r="O235" i="17" a="1"/>
  <c r="O235" i="17" s="1"/>
  <c r="O340" i="17" a="1"/>
  <c r="O340" i="17" s="1"/>
  <c r="O236" i="17" a="1"/>
  <c r="O236" i="17" s="1"/>
  <c r="O237" i="17" a="1"/>
  <c r="O237" i="17" s="1"/>
  <c r="O238" i="17" a="1"/>
  <c r="O238" i="17" s="1"/>
  <c r="O239" i="17" a="1"/>
  <c r="O239" i="17" s="1"/>
  <c r="O240" i="17" a="1"/>
  <c r="O240" i="17" s="1"/>
  <c r="O241" i="17" a="1"/>
  <c r="O241" i="17" s="1"/>
  <c r="O341" i="17" a="1"/>
  <c r="O341" i="17" s="1"/>
  <c r="O242" i="17" a="1"/>
  <c r="O242" i="17" s="1"/>
  <c r="O243" i="17" a="1"/>
  <c r="O243" i="17"/>
  <c r="O244" i="17" a="1"/>
  <c r="O244" i="17" s="1"/>
  <c r="O245" i="17" a="1"/>
  <c r="O245" i="17" s="1"/>
  <c r="O246" i="17" a="1"/>
  <c r="O246" i="17" s="1"/>
  <c r="O247" i="17" a="1"/>
  <c r="O247" i="17" s="1"/>
  <c r="O342" i="17" a="1"/>
  <c r="O342" i="17" s="1"/>
  <c r="O248" i="17" a="1"/>
  <c r="O248" i="17" s="1"/>
  <c r="O249" i="17" a="1"/>
  <c r="O249" i="17" s="1"/>
  <c r="O250" i="17" a="1"/>
  <c r="O250" i="17" s="1"/>
  <c r="O251" i="17" a="1"/>
  <c r="O251" i="17" s="1"/>
  <c r="O252" i="17" a="1"/>
  <c r="O252" i="17" s="1"/>
  <c r="O253" i="17" a="1"/>
  <c r="O253" i="17" s="1"/>
  <c r="O343" i="17" a="1"/>
  <c r="O343" i="17" s="1"/>
  <c r="O254" i="17" a="1"/>
  <c r="O254" i="17" s="1"/>
  <c r="O255" i="17" a="1"/>
  <c r="O255" i="17" s="1"/>
  <c r="O256" i="17" a="1"/>
  <c r="O256" i="17" s="1"/>
  <c r="O257" i="17" a="1"/>
  <c r="O257" i="17" s="1"/>
  <c r="O258" i="17" a="1"/>
  <c r="O258" i="17" s="1"/>
  <c r="O259" i="17" a="1"/>
  <c r="O259" i="17" s="1"/>
  <c r="O344" i="17" a="1"/>
  <c r="O344" i="17" s="1"/>
  <c r="O260" i="17" a="1"/>
  <c r="O260" i="17" s="1"/>
  <c r="O261" i="17" a="1"/>
  <c r="O261" i="17" s="1"/>
  <c r="O262" i="17" a="1"/>
  <c r="O262" i="17" s="1"/>
  <c r="O263" i="17" a="1"/>
  <c r="O263" i="17"/>
  <c r="O264" i="17" a="1"/>
  <c r="O264" i="17" s="1"/>
  <c r="O265" i="17" a="1"/>
  <c r="O265" i="17" s="1"/>
  <c r="O345" i="17" a="1"/>
  <c r="O345" i="17" s="1"/>
  <c r="O266" i="17" a="1"/>
  <c r="O266" i="17" s="1"/>
  <c r="O267" i="17" a="1"/>
  <c r="O267" i="17" s="1"/>
  <c r="O268" i="17" a="1"/>
  <c r="O268" i="17" s="1"/>
  <c r="O269" i="17" a="1"/>
  <c r="O269" i="17" s="1"/>
  <c r="O270" i="17" a="1"/>
  <c r="O270" i="17" s="1"/>
  <c r="O271" i="17" a="1"/>
  <c r="O271" i="17" s="1"/>
  <c r="O346" i="17" a="1"/>
  <c r="O346" i="17" s="1"/>
  <c r="O272" i="17" a="1"/>
  <c r="O272" i="17" s="1"/>
  <c r="O273" i="17" a="1"/>
  <c r="O273" i="17" s="1"/>
  <c r="O274" i="17" a="1"/>
  <c r="O274" i="17" s="1"/>
  <c r="O275" i="17" a="1"/>
  <c r="O275" i="17" s="1"/>
  <c r="O276" i="17" a="1"/>
  <c r="O276" i="17" s="1"/>
  <c r="O277" i="17" a="1"/>
  <c r="O277" i="17"/>
  <c r="O347" i="17" a="1"/>
  <c r="O347" i="17" s="1"/>
  <c r="O278" i="17" a="1"/>
  <c r="O278" i="17" s="1"/>
  <c r="O279" i="17" a="1"/>
  <c r="O279" i="17" s="1"/>
  <c r="O280" i="17" a="1"/>
  <c r="O280" i="17" s="1"/>
  <c r="O281" i="17" a="1"/>
  <c r="O281" i="17" s="1"/>
  <c r="O282" i="17" a="1"/>
  <c r="O282" i="17" s="1"/>
  <c r="O283" i="17" a="1"/>
  <c r="O283" i="17" s="1"/>
  <c r="O348" i="17" a="1"/>
  <c r="O348" i="17" s="1"/>
  <c r="O284" i="17" a="1"/>
  <c r="O284" i="17" s="1"/>
  <c r="O285" i="17" a="1"/>
  <c r="O285" i="17" s="1"/>
  <c r="O286" i="17" a="1"/>
  <c r="O286" i="17" s="1"/>
  <c r="O287" i="17" a="1"/>
  <c r="O287" i="17" s="1"/>
  <c r="O288" i="17" a="1"/>
  <c r="O288" i="17" s="1"/>
  <c r="O289" i="17" a="1"/>
  <c r="O289" i="17" s="1"/>
  <c r="O349" i="17" a="1"/>
  <c r="O349" i="17" s="1"/>
  <c r="O290" i="17" a="1"/>
  <c r="O290" i="17" s="1"/>
  <c r="O291" i="17" a="1"/>
  <c r="O291" i="17" s="1"/>
  <c r="O292" i="17" a="1"/>
  <c r="O292" i="17"/>
  <c r="O293" i="17" a="1"/>
  <c r="O293" i="17" s="1"/>
  <c r="O294" i="17" a="1"/>
  <c r="O294" i="17" s="1"/>
  <c r="O295" i="17" a="1"/>
  <c r="O295" i="17" s="1"/>
  <c r="O350" i="17" a="1"/>
  <c r="O350" i="17" s="1"/>
  <c r="O296" i="17" a="1"/>
  <c r="O296" i="17" s="1"/>
  <c r="O297" i="17" a="1"/>
  <c r="O297" i="17" s="1"/>
  <c r="O298" i="17" a="1"/>
  <c r="O298" i="17" s="1"/>
  <c r="O299" i="17" a="1"/>
  <c r="O299" i="17" s="1"/>
  <c r="O300" i="17" a="1"/>
  <c r="O300" i="17" s="1"/>
  <c r="O301" i="17" a="1"/>
  <c r="O301" i="17"/>
  <c r="O351" i="17" a="1"/>
  <c r="O351" i="17" s="1"/>
  <c r="P2" i="17" a="1"/>
  <c r="P2" i="17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302" i="17" a="1"/>
  <c r="P302" i="17" s="1"/>
  <c r="P8" i="17" a="1"/>
  <c r="P8" i="17" s="1"/>
  <c r="P9" i="17" a="1"/>
  <c r="P9" i="17" s="1"/>
  <c r="P10" i="17" a="1"/>
  <c r="P10" i="17" s="1"/>
  <c r="P11" i="17" a="1"/>
  <c r="P11" i="17" s="1"/>
  <c r="P12" i="17" a="1"/>
  <c r="P12" i="17" s="1"/>
  <c r="P13" i="17" a="1"/>
  <c r="P13" i="17" s="1"/>
  <c r="P303" i="17" a="1"/>
  <c r="P303" i="17" s="1"/>
  <c r="P14" i="17" a="1"/>
  <c r="P14" i="17" s="1"/>
  <c r="P15" i="17" a="1"/>
  <c r="P15" i="17" s="1"/>
  <c r="P16" i="17" a="1"/>
  <c r="P16" i="17"/>
  <c r="P17" i="17" a="1"/>
  <c r="P17" i="17" s="1"/>
  <c r="P18" i="17" a="1"/>
  <c r="P18" i="17" s="1"/>
  <c r="P19" i="17" a="1"/>
  <c r="P19" i="17" s="1"/>
  <c r="P304" i="17" a="1"/>
  <c r="P304" i="17" s="1"/>
  <c r="P20" i="17" a="1"/>
  <c r="P20" i="17" s="1"/>
  <c r="P21" i="17" a="1"/>
  <c r="P21" i="17"/>
  <c r="P22" i="17" a="1"/>
  <c r="P22" i="17" s="1"/>
  <c r="P23" i="17" a="1"/>
  <c r="P23" i="17" s="1"/>
  <c r="P24" i="17" a="1"/>
  <c r="P24" i="17" s="1"/>
  <c r="P25" i="17" a="1"/>
  <c r="P25" i="17" s="1"/>
  <c r="P305" i="17" a="1"/>
  <c r="P305" i="17"/>
  <c r="P26" i="17" a="1"/>
  <c r="P26" i="17" s="1"/>
  <c r="P27" i="17" a="1"/>
  <c r="P27" i="17" s="1"/>
  <c r="P28" i="17" a="1"/>
  <c r="P28" i="17" s="1"/>
  <c r="P29" i="17" a="1"/>
  <c r="P29" i="17" s="1"/>
  <c r="P30" i="17" a="1"/>
  <c r="P30" i="17" s="1"/>
  <c r="P31" i="17" a="1"/>
  <c r="P31" i="17" s="1"/>
  <c r="P306" i="17" a="1"/>
  <c r="P306" i="17"/>
  <c r="P32" i="17" a="1"/>
  <c r="P32" i="17" s="1"/>
  <c r="P33" i="17" a="1"/>
  <c r="P33" i="17" s="1"/>
  <c r="P34" i="17" a="1"/>
  <c r="P34" i="17" s="1"/>
  <c r="P35" i="17" a="1"/>
  <c r="P35" i="17" s="1"/>
  <c r="P36" i="17" a="1"/>
  <c r="P36" i="17" s="1"/>
  <c r="P37" i="17" a="1"/>
  <c r="P37" i="17"/>
  <c r="P307" i="17" a="1"/>
  <c r="P307" i="17" s="1"/>
  <c r="P38" i="17" a="1"/>
  <c r="P38" i="17"/>
  <c r="P39" i="17" a="1"/>
  <c r="P39" i="17" s="1"/>
  <c r="P40" i="17" a="1"/>
  <c r="P40" i="17" s="1"/>
  <c r="P41" i="17" a="1"/>
  <c r="P41" i="17" s="1"/>
  <c r="P42" i="17" a="1"/>
  <c r="P42" i="17" s="1"/>
  <c r="P43" i="17" a="1"/>
  <c r="P43" i="17" s="1"/>
  <c r="P308" i="17" a="1"/>
  <c r="P308" i="17" s="1"/>
  <c r="P44" i="17" a="1"/>
  <c r="P44" i="17" s="1"/>
  <c r="P45" i="17" a="1"/>
  <c r="P45" i="17" s="1"/>
  <c r="P46" i="17" a="1"/>
  <c r="P46" i="17" s="1"/>
  <c r="P47" i="17" a="1"/>
  <c r="P47" i="17" s="1"/>
  <c r="P48" i="17" a="1"/>
  <c r="P48" i="17" s="1"/>
  <c r="P49" i="17" a="1"/>
  <c r="P49" i="17" s="1"/>
  <c r="P309" i="17" a="1"/>
  <c r="P309" i="17" s="1"/>
  <c r="P50" i="17" a="1"/>
  <c r="P50" i="17" s="1"/>
  <c r="P51" i="17" a="1"/>
  <c r="P51" i="17" s="1"/>
  <c r="P52" i="17" a="1"/>
  <c r="P52" i="17" s="1"/>
  <c r="P53" i="17" a="1"/>
  <c r="P53" i="17" s="1"/>
  <c r="P54" i="17" a="1"/>
  <c r="P54" i="17" s="1"/>
  <c r="P55" i="17" a="1"/>
  <c r="P55" i="17" s="1"/>
  <c r="P310" i="17" a="1"/>
  <c r="P310" i="17" s="1"/>
  <c r="P56" i="17" a="1"/>
  <c r="P56" i="17" s="1"/>
  <c r="P57" i="17" a="1"/>
  <c r="P57" i="17"/>
  <c r="P58" i="17" a="1"/>
  <c r="P58" i="17" s="1"/>
  <c r="P59" i="17" a="1"/>
  <c r="P59" i="17" s="1"/>
  <c r="P60" i="17" a="1"/>
  <c r="P60" i="17" s="1"/>
  <c r="P61" i="17" a="1"/>
  <c r="P61" i="17" s="1"/>
  <c r="P311" i="17" a="1"/>
  <c r="P311" i="17" s="1"/>
  <c r="P62" i="17" a="1"/>
  <c r="P62" i="17" s="1"/>
  <c r="P63" i="17" a="1"/>
  <c r="P63" i="17" s="1"/>
  <c r="P64" i="17" a="1"/>
  <c r="P64" i="17" s="1"/>
  <c r="P65" i="17" a="1"/>
  <c r="P65" i="17" s="1"/>
  <c r="P66" i="17" a="1"/>
  <c r="P66" i="17" s="1"/>
  <c r="P67" i="17" a="1"/>
  <c r="P67" i="17"/>
  <c r="P312" i="17" a="1"/>
  <c r="P312" i="17" s="1"/>
  <c r="P68" i="17" a="1"/>
  <c r="P68" i="17" s="1"/>
  <c r="P69" i="17" a="1"/>
  <c r="P69" i="17" s="1"/>
  <c r="P70" i="17" a="1"/>
  <c r="P70" i="17" s="1"/>
  <c r="P71" i="17" a="1"/>
  <c r="P71" i="17" s="1"/>
  <c r="P72" i="17" a="1"/>
  <c r="P72" i="17" s="1"/>
  <c r="P73" i="17" a="1"/>
  <c r="P73" i="17" s="1"/>
  <c r="P313" i="17" a="1"/>
  <c r="P313" i="17" s="1"/>
  <c r="P74" i="17" a="1"/>
  <c r="P74" i="17" s="1"/>
  <c r="P75" i="17" a="1"/>
  <c r="P75" i="17" s="1"/>
  <c r="P76" i="17" a="1"/>
  <c r="P76" i="17"/>
  <c r="P77" i="17" a="1"/>
  <c r="P77" i="17" s="1"/>
  <c r="P78" i="17" a="1"/>
  <c r="P78" i="17"/>
  <c r="P79" i="17" a="1"/>
  <c r="P79" i="17" s="1"/>
  <c r="P314" i="17" a="1"/>
  <c r="P314" i="17" s="1"/>
  <c r="P80" i="17" a="1"/>
  <c r="P80" i="17" s="1"/>
  <c r="P81" i="17" a="1"/>
  <c r="P81" i="17"/>
  <c r="P82" i="17" a="1"/>
  <c r="P82" i="17" s="1"/>
  <c r="P83" i="17" a="1"/>
  <c r="P83" i="17" s="1"/>
  <c r="P84" i="17" a="1"/>
  <c r="P84" i="17" s="1"/>
  <c r="P85" i="17" a="1"/>
  <c r="P85" i="17" s="1"/>
  <c r="P315" i="17" a="1"/>
  <c r="P315" i="17" s="1"/>
  <c r="P86" i="17" a="1"/>
  <c r="P86" i="17"/>
  <c r="P87" i="17" a="1"/>
  <c r="P87" i="17" s="1"/>
  <c r="P88" i="17" a="1"/>
  <c r="P88" i="17" s="1"/>
  <c r="P89" i="17" a="1"/>
  <c r="P89" i="17" s="1"/>
  <c r="P90" i="17" a="1"/>
  <c r="P90" i="17" s="1"/>
  <c r="P91" i="17" a="1"/>
  <c r="P91" i="17" s="1"/>
  <c r="P316" i="17" a="1"/>
  <c r="P316" i="17" s="1"/>
  <c r="P92" i="17" a="1"/>
  <c r="P92" i="17" s="1"/>
  <c r="P93" i="17" a="1"/>
  <c r="P93" i="17" s="1"/>
  <c r="P94" i="17" a="1"/>
  <c r="P94" i="17" s="1"/>
  <c r="P95" i="17" a="1"/>
  <c r="P95" i="17" s="1"/>
  <c r="P96" i="17" a="1"/>
  <c r="P96" i="17" s="1"/>
  <c r="P97" i="17" a="1"/>
  <c r="P97" i="17" s="1"/>
  <c r="P317" i="17" a="1"/>
  <c r="P317" i="17" s="1"/>
  <c r="P98" i="17" a="1"/>
  <c r="P98" i="17" s="1"/>
  <c r="P99" i="17" a="1"/>
  <c r="P99" i="17" s="1"/>
  <c r="P100" i="17" a="1"/>
  <c r="P100" i="17" s="1"/>
  <c r="P101" i="17" a="1"/>
  <c r="P101" i="17" s="1"/>
  <c r="P102" i="17" a="1"/>
  <c r="P102" i="17"/>
  <c r="P103" i="17" a="1"/>
  <c r="P103" i="17" s="1"/>
  <c r="P318" i="17" a="1"/>
  <c r="P318" i="17"/>
  <c r="P104" i="17" a="1"/>
  <c r="P104" i="17" s="1"/>
  <c r="P105" i="17" a="1"/>
  <c r="P105" i="17" s="1"/>
  <c r="P106" i="17" a="1"/>
  <c r="P106" i="17" s="1"/>
  <c r="P107" i="17" a="1"/>
  <c r="P107" i="17" s="1"/>
  <c r="P108" i="17" a="1"/>
  <c r="P108" i="17" s="1"/>
  <c r="P109" i="17" a="1"/>
  <c r="P109" i="17" s="1"/>
  <c r="P319" i="17" a="1"/>
  <c r="P319" i="17" s="1"/>
  <c r="P110" i="17" a="1"/>
  <c r="P110" i="17" s="1"/>
  <c r="P111" i="17" a="1"/>
  <c r="P111" i="17" s="1"/>
  <c r="P112" i="17" a="1"/>
  <c r="P112" i="17" s="1"/>
  <c r="P113" i="17" a="1"/>
  <c r="P113" i="17" s="1"/>
  <c r="P114" i="17" a="1"/>
  <c r="P114" i="17" s="1"/>
  <c r="P115" i="17" a="1"/>
  <c r="P115" i="17" s="1"/>
  <c r="P320" i="17" a="1"/>
  <c r="P320" i="17" s="1"/>
  <c r="P116" i="17" a="1"/>
  <c r="P116" i="17" s="1"/>
  <c r="P117" i="17" a="1"/>
  <c r="P117" i="17" s="1"/>
  <c r="P118" i="17" a="1"/>
  <c r="P118" i="17" s="1"/>
  <c r="P119" i="17" a="1"/>
  <c r="P119" i="17" s="1"/>
  <c r="P120" i="17" a="1"/>
  <c r="P120" i="17" s="1"/>
  <c r="P121" i="17" a="1"/>
  <c r="P121" i="17" s="1"/>
  <c r="P321" i="17" a="1"/>
  <c r="P321" i="17" s="1"/>
  <c r="P122" i="17" a="1"/>
  <c r="P122" i="17" s="1"/>
  <c r="P123" i="17" a="1"/>
  <c r="P123" i="17" s="1"/>
  <c r="P124" i="17" a="1"/>
  <c r="P124" i="17" s="1"/>
  <c r="P125" i="17" a="1"/>
  <c r="P125" i="17" s="1"/>
  <c r="P126" i="17" a="1"/>
  <c r="P126" i="17" s="1"/>
  <c r="P127" i="17" a="1"/>
  <c r="P127" i="17" s="1"/>
  <c r="P322" i="17" a="1"/>
  <c r="P322" i="17" s="1"/>
  <c r="P128" i="17" a="1"/>
  <c r="P128" i="17" s="1"/>
  <c r="P129" i="17" a="1"/>
  <c r="P129" i="17" s="1"/>
  <c r="P130" i="17" a="1"/>
  <c r="P130" i="17" s="1"/>
  <c r="P131" i="17" a="1"/>
  <c r="P131" i="17" s="1"/>
  <c r="P132" i="17" a="1"/>
  <c r="P132" i="17" s="1"/>
  <c r="P133" i="17" a="1"/>
  <c r="P133" i="17" s="1"/>
  <c r="P323" i="17" a="1"/>
  <c r="P323" i="17" s="1"/>
  <c r="P134" i="17" a="1"/>
  <c r="P134" i="17" s="1"/>
  <c r="P135" i="17" a="1"/>
  <c r="P135" i="17"/>
  <c r="P136" i="17" a="1"/>
  <c r="P136" i="17" s="1"/>
  <c r="P137" i="17" a="1"/>
  <c r="P137" i="17" s="1"/>
  <c r="P138" i="17" a="1"/>
  <c r="P138" i="17" s="1"/>
  <c r="P139" i="17" a="1"/>
  <c r="P139" i="17" s="1"/>
  <c r="P324" i="17" a="1"/>
  <c r="P324" i="17" s="1"/>
  <c r="P140" i="17" a="1"/>
  <c r="P140" i="17" s="1"/>
  <c r="P141" i="17" a="1"/>
  <c r="P141" i="17" s="1"/>
  <c r="P142" i="17" a="1"/>
  <c r="P142" i="17" s="1"/>
  <c r="P143" i="17" a="1"/>
  <c r="P143" i="17" s="1"/>
  <c r="P144" i="17" a="1"/>
  <c r="P144" i="17" s="1"/>
  <c r="P145" i="17" a="1"/>
  <c r="P145" i="17" s="1"/>
  <c r="P325" i="17" a="1"/>
  <c r="P325" i="17" s="1"/>
  <c r="P146" i="17" a="1"/>
  <c r="P146" i="17"/>
  <c r="P147" i="17" a="1"/>
  <c r="P147" i="17" s="1"/>
  <c r="P148" i="17" a="1"/>
  <c r="P148" i="17" s="1"/>
  <c r="P149" i="17" a="1"/>
  <c r="P149" i="17" s="1"/>
  <c r="P150" i="17" a="1"/>
  <c r="P150" i="17" s="1"/>
  <c r="P151" i="17" a="1"/>
  <c r="P151" i="17" s="1"/>
  <c r="P326" i="17" a="1"/>
  <c r="P326" i="17" s="1"/>
  <c r="P152" i="17" a="1"/>
  <c r="P152" i="17" s="1"/>
  <c r="P153" i="17" a="1"/>
  <c r="P153" i="17" s="1"/>
  <c r="P154" i="17" a="1"/>
  <c r="P154" i="17" s="1"/>
  <c r="P155" i="17" a="1"/>
  <c r="P155" i="17" s="1"/>
  <c r="P156" i="17" a="1"/>
  <c r="P156" i="17" s="1"/>
  <c r="P157" i="17" a="1"/>
  <c r="P157" i="17" s="1"/>
  <c r="P327" i="17" a="1"/>
  <c r="P327" i="17" s="1"/>
  <c r="P158" i="17" a="1"/>
  <c r="P158" i="17"/>
  <c r="P159" i="17" a="1"/>
  <c r="P159" i="17" s="1"/>
  <c r="P160" i="17" a="1"/>
  <c r="P160" i="17" s="1"/>
  <c r="P161" i="17" a="1"/>
  <c r="P161" i="17" s="1"/>
  <c r="P162" i="17" a="1"/>
  <c r="P162" i="17" s="1"/>
  <c r="P163" i="17" a="1"/>
  <c r="P163" i="17" s="1"/>
  <c r="P328" i="17" a="1"/>
  <c r="P328" i="17" s="1"/>
  <c r="P164" i="17" a="1"/>
  <c r="P164" i="17" s="1"/>
  <c r="P165" i="17" a="1"/>
  <c r="P165" i="17" s="1"/>
  <c r="P166" i="17" a="1"/>
  <c r="P166" i="17" s="1"/>
  <c r="P167" i="17" a="1"/>
  <c r="P167" i="17" s="1"/>
  <c r="P168" i="17" a="1"/>
  <c r="P168" i="17" s="1"/>
  <c r="P169" i="17" a="1"/>
  <c r="P169" i="17" s="1"/>
  <c r="P329" i="17" a="1"/>
  <c r="P329" i="17" s="1"/>
  <c r="P170" i="17" a="1"/>
  <c r="P170" i="17" s="1"/>
  <c r="P171" i="17" a="1"/>
  <c r="P171" i="17" s="1"/>
  <c r="P172" i="17" a="1"/>
  <c r="P172" i="17" s="1"/>
  <c r="P173" i="17" a="1"/>
  <c r="P173" i="17" s="1"/>
  <c r="P174" i="17" a="1"/>
  <c r="P174" i="17" s="1"/>
  <c r="P175" i="17" a="1"/>
  <c r="P175" i="17" s="1"/>
  <c r="P330" i="17" a="1"/>
  <c r="P330" i="17" s="1"/>
  <c r="P176" i="17" a="1"/>
  <c r="P176" i="17" s="1"/>
  <c r="P177" i="17" a="1"/>
  <c r="P177" i="17" s="1"/>
  <c r="P178" i="17" a="1"/>
  <c r="P178" i="17" s="1"/>
  <c r="P179" i="17" a="1"/>
  <c r="P179" i="17" s="1"/>
  <c r="P180" i="17" a="1"/>
  <c r="P180" i="17" s="1"/>
  <c r="P181" i="17" a="1"/>
  <c r="P181" i="17" s="1"/>
  <c r="P331" i="17" a="1"/>
  <c r="P331" i="17" s="1"/>
  <c r="P182" i="17" a="1"/>
  <c r="P182" i="17" s="1"/>
  <c r="P183" i="17" a="1"/>
  <c r="P183" i="17" s="1"/>
  <c r="P184" i="17" a="1"/>
  <c r="P184" i="17" s="1"/>
  <c r="P185" i="17" a="1"/>
  <c r="P185" i="17" s="1"/>
  <c r="P186" i="17" a="1"/>
  <c r="P186" i="17" s="1"/>
  <c r="P187" i="17" a="1"/>
  <c r="P187" i="17" s="1"/>
  <c r="P332" i="17" a="1"/>
  <c r="P332" i="17" s="1"/>
  <c r="P188" i="17" a="1"/>
  <c r="P188" i="17" s="1"/>
  <c r="P189" i="17" a="1"/>
  <c r="P189" i="17" s="1"/>
  <c r="P190" i="17" a="1"/>
  <c r="P190" i="17"/>
  <c r="P191" i="17" a="1"/>
  <c r="P191" i="17" s="1"/>
  <c r="P192" i="17" a="1"/>
  <c r="P192" i="17" s="1"/>
  <c r="P193" i="17" a="1"/>
  <c r="P193" i="17" s="1"/>
  <c r="P333" i="17" a="1"/>
  <c r="P333" i="17" s="1"/>
  <c r="P194" i="17" a="1"/>
  <c r="P194" i="17" s="1"/>
  <c r="P195" i="17" a="1"/>
  <c r="P195" i="17" s="1"/>
  <c r="P196" i="17" a="1"/>
  <c r="P196" i="17" s="1"/>
  <c r="P197" i="17" a="1"/>
  <c r="P197" i="17" s="1"/>
  <c r="P198" i="17" a="1"/>
  <c r="P198" i="17" s="1"/>
  <c r="P199" i="17" a="1"/>
  <c r="P199" i="17" s="1"/>
  <c r="P334" i="17" a="1"/>
  <c r="P334" i="17" s="1"/>
  <c r="P200" i="17" a="1"/>
  <c r="P200" i="17" s="1"/>
  <c r="P201" i="17" a="1"/>
  <c r="P201" i="17"/>
  <c r="P202" i="17" a="1"/>
  <c r="P202" i="17" s="1"/>
  <c r="P203" i="17" a="1"/>
  <c r="P203" i="17" s="1"/>
  <c r="P204" i="17" a="1"/>
  <c r="P204" i="17" s="1"/>
  <c r="P205" i="17" a="1"/>
  <c r="P205" i="17" s="1"/>
  <c r="P335" i="17" a="1"/>
  <c r="P335" i="17" s="1"/>
  <c r="P206" i="17" a="1"/>
  <c r="P206" i="17" s="1"/>
  <c r="P207" i="17" a="1"/>
  <c r="P207" i="17" s="1"/>
  <c r="P208" i="17" a="1"/>
  <c r="P208" i="17" s="1"/>
  <c r="P209" i="17" a="1"/>
  <c r="P209" i="17" s="1"/>
  <c r="P210" i="17" a="1"/>
  <c r="P210" i="17"/>
  <c r="P211" i="17" a="1"/>
  <c r="P211" i="17" s="1"/>
  <c r="P336" i="17" a="1"/>
  <c r="P336" i="17" s="1"/>
  <c r="P212" i="17" a="1"/>
  <c r="P212" i="17" s="1"/>
  <c r="P213" i="17" a="1"/>
  <c r="P213" i="17" s="1"/>
  <c r="P214" i="17" a="1"/>
  <c r="P214" i="17" s="1"/>
  <c r="P215" i="17" a="1"/>
  <c r="P215" i="17" s="1"/>
  <c r="P216" i="17" a="1"/>
  <c r="P216" i="17" s="1"/>
  <c r="P217" i="17" a="1"/>
  <c r="P217" i="17" s="1"/>
  <c r="P337" i="17" a="1"/>
  <c r="P337" i="17" s="1"/>
  <c r="P218" i="17" a="1"/>
  <c r="P218" i="17" s="1"/>
  <c r="P219" i="17" a="1"/>
  <c r="P219" i="17" s="1"/>
  <c r="P220" i="17" a="1"/>
  <c r="P220" i="17"/>
  <c r="P221" i="17" a="1"/>
  <c r="P221" i="17" s="1"/>
  <c r="P222" i="17" a="1"/>
  <c r="P222" i="17"/>
  <c r="P223" i="17" a="1"/>
  <c r="P223" i="17" s="1"/>
  <c r="P338" i="17" a="1"/>
  <c r="P338" i="17" s="1"/>
  <c r="P224" i="17" a="1"/>
  <c r="P224" i="17" s="1"/>
  <c r="P225" i="17" a="1"/>
  <c r="P225" i="17" s="1"/>
  <c r="P226" i="17" a="1"/>
  <c r="P226" i="17" s="1"/>
  <c r="P227" i="17" a="1"/>
  <c r="P227" i="17" s="1"/>
  <c r="P228" i="17" a="1"/>
  <c r="P228" i="17" s="1"/>
  <c r="P229" i="17" a="1"/>
  <c r="P229" i="17" s="1"/>
  <c r="P339" i="17" a="1"/>
  <c r="P339" i="17" s="1"/>
  <c r="P230" i="17" a="1"/>
  <c r="P230" i="17"/>
  <c r="P231" i="17" a="1"/>
  <c r="P231" i="17" s="1"/>
  <c r="P232" i="17" a="1"/>
  <c r="P232" i="17" s="1"/>
  <c r="P233" i="17" a="1"/>
  <c r="P233" i="17" s="1"/>
  <c r="P234" i="17" a="1"/>
  <c r="P234" i="17" s="1"/>
  <c r="P235" i="17" a="1"/>
  <c r="P235" i="17" s="1"/>
  <c r="P340" i="17" a="1"/>
  <c r="P340" i="17" s="1"/>
  <c r="P236" i="17" a="1"/>
  <c r="P236" i="17" s="1"/>
  <c r="P237" i="17" a="1"/>
  <c r="P237" i="17"/>
  <c r="P238" i="17" a="1"/>
  <c r="P238" i="17" s="1"/>
  <c r="P239" i="17" a="1"/>
  <c r="P239" i="17" s="1"/>
  <c r="P240" i="17" a="1"/>
  <c r="P240" i="17" s="1"/>
  <c r="P241" i="17" a="1"/>
  <c r="P241" i="17" s="1"/>
  <c r="P341" i="17" a="1"/>
  <c r="P341" i="17" s="1"/>
  <c r="P242" i="17" a="1"/>
  <c r="P242" i="17" s="1"/>
  <c r="P243" i="17" a="1"/>
  <c r="P243" i="17" s="1"/>
  <c r="P244" i="17" a="1"/>
  <c r="P244" i="17" s="1"/>
  <c r="P245" i="17" a="1"/>
  <c r="P245" i="17"/>
  <c r="P246" i="17" a="1"/>
  <c r="P246" i="17" s="1"/>
  <c r="P247" i="17" a="1"/>
  <c r="P247" i="17" s="1"/>
  <c r="P342" i="17" a="1"/>
  <c r="P342" i="17" s="1"/>
  <c r="P248" i="17" a="1"/>
  <c r="P248" i="17" s="1"/>
  <c r="P249" i="17" a="1"/>
  <c r="P249" i="17" s="1"/>
  <c r="P250" i="17" a="1"/>
  <c r="P250" i="17" s="1"/>
  <c r="P251" i="17" a="1"/>
  <c r="P251" i="17" s="1"/>
  <c r="P252" i="17" a="1"/>
  <c r="P252" i="17" s="1"/>
  <c r="P253" i="17" a="1"/>
  <c r="P253" i="17" s="1"/>
  <c r="P343" i="17" a="1"/>
  <c r="P343" i="17" s="1"/>
  <c r="P254" i="17" a="1"/>
  <c r="P254" i="17" s="1"/>
  <c r="P255" i="17" a="1"/>
  <c r="P255" i="17"/>
  <c r="P256" i="17" a="1"/>
  <c r="P256" i="17" s="1"/>
  <c r="P257" i="17" a="1"/>
  <c r="P257" i="17" s="1"/>
  <c r="P258" i="17" a="1"/>
  <c r="P258" i="17" s="1"/>
  <c r="P259" i="17" a="1"/>
  <c r="P259" i="17" s="1"/>
  <c r="P344" i="17" a="1"/>
  <c r="P344" i="17" s="1"/>
  <c r="P260" i="17" a="1"/>
  <c r="P260" i="17" s="1"/>
  <c r="P261" i="17" a="1"/>
  <c r="P261" i="17" s="1"/>
  <c r="P262" i="17" a="1"/>
  <c r="P262" i="17" s="1"/>
  <c r="P263" i="17" a="1"/>
  <c r="P263" i="17"/>
  <c r="P264" i="17" a="1"/>
  <c r="P264" i="17" s="1"/>
  <c r="P265" i="17" a="1"/>
  <c r="P265" i="17"/>
  <c r="P345" i="17" a="1"/>
  <c r="P345" i="17" s="1"/>
  <c r="P266" i="17" a="1"/>
  <c r="P266" i="17" s="1"/>
  <c r="P267" i="17" a="1"/>
  <c r="P267" i="17" s="1"/>
  <c r="P268" i="17" a="1"/>
  <c r="P268" i="17"/>
  <c r="P269" i="17" a="1"/>
  <c r="P269" i="17" s="1"/>
  <c r="P270" i="17" a="1"/>
  <c r="P270" i="17"/>
  <c r="P271" i="17" a="1"/>
  <c r="P271" i="17" s="1"/>
  <c r="P346" i="17" a="1"/>
  <c r="P346" i="17" s="1"/>
  <c r="P272" i="17" a="1"/>
  <c r="P272" i="17" s="1"/>
  <c r="P273" i="17" a="1"/>
  <c r="P273" i="17" s="1"/>
  <c r="P274" i="17" a="1"/>
  <c r="P274" i="17" s="1"/>
  <c r="P275" i="17" a="1"/>
  <c r="P275" i="17" s="1"/>
  <c r="P276" i="17" a="1"/>
  <c r="P276" i="17"/>
  <c r="P277" i="17" a="1"/>
  <c r="P277" i="17" s="1"/>
  <c r="P347" i="17" a="1"/>
  <c r="P347" i="17" s="1"/>
  <c r="P278" i="17" a="1"/>
  <c r="P278" i="17" s="1"/>
  <c r="P279" i="17" a="1"/>
  <c r="P279" i="17" s="1"/>
  <c r="P280" i="17" a="1"/>
  <c r="P280" i="17" s="1"/>
  <c r="P281" i="17" a="1"/>
  <c r="P281" i="17" s="1"/>
  <c r="P282" i="17" a="1"/>
  <c r="P282" i="17" s="1"/>
  <c r="P283" i="17" a="1"/>
  <c r="P283" i="17" s="1"/>
  <c r="P348" i="17" a="1"/>
  <c r="P348" i="17" s="1"/>
  <c r="P284" i="17" a="1"/>
  <c r="P284" i="17" s="1"/>
  <c r="P285" i="17" a="1"/>
  <c r="P285" i="17" s="1"/>
  <c r="P286" i="17" a="1"/>
  <c r="P286" i="17" s="1"/>
  <c r="P287" i="17" a="1"/>
  <c r="P287" i="17" s="1"/>
  <c r="P288" i="17" a="1"/>
  <c r="P288" i="17" s="1"/>
  <c r="P289" i="17" a="1"/>
  <c r="P289" i="17" s="1"/>
  <c r="P349" i="17" a="1"/>
  <c r="P349" i="17" s="1"/>
  <c r="P290" i="17" a="1"/>
  <c r="P290" i="17"/>
  <c r="P291" i="17" a="1"/>
  <c r="P291" i="17" s="1"/>
  <c r="P292" i="17" a="1"/>
  <c r="P292" i="17" s="1"/>
  <c r="P293" i="17" a="1"/>
  <c r="P293" i="17" s="1"/>
  <c r="P294" i="17" a="1"/>
  <c r="P294" i="17" s="1"/>
  <c r="P295" i="17" a="1"/>
  <c r="P295" i="17" s="1"/>
  <c r="P350" i="17" a="1"/>
  <c r="P350" i="17" s="1"/>
  <c r="P296" i="17" a="1"/>
  <c r="P296" i="17" s="1"/>
  <c r="P297" i="17" a="1"/>
  <c r="P297" i="17" s="1"/>
  <c r="P298" i="17" a="1"/>
  <c r="P298" i="17" s="1"/>
  <c r="P299" i="17" a="1"/>
  <c r="P299" i="17" s="1"/>
  <c r="P300" i="17" a="1"/>
  <c r="P300" i="17" s="1"/>
  <c r="P301" i="17" a="1"/>
  <c r="P301" i="17" s="1"/>
  <c r="P351" i="17" a="1"/>
  <c r="P351" i="17" s="1"/>
  <c r="R2" i="17" a="1"/>
  <c r="R2" i="17" s="1"/>
  <c r="R3" i="17" a="1"/>
  <c r="R3" i="17"/>
  <c r="R4" i="17" a="1"/>
  <c r="R4" i="17" s="1"/>
  <c r="R5" i="17" a="1"/>
  <c r="R5" i="17" s="1"/>
  <c r="R6" i="17" a="1"/>
  <c r="R6" i="17" s="1"/>
  <c r="R7" i="17" a="1"/>
  <c r="R7" i="17" s="1"/>
  <c r="R302" i="17" a="1"/>
  <c r="R302" i="17" s="1"/>
  <c r="R8" i="17" a="1"/>
  <c r="R8" i="17"/>
  <c r="R9" i="17" a="1"/>
  <c r="R9" i="17" s="1"/>
  <c r="R10" i="17" a="1"/>
  <c r="R10" i="17" s="1"/>
  <c r="R11" i="17" a="1"/>
  <c r="R11" i="17" s="1"/>
  <c r="R12" i="17" a="1"/>
  <c r="R12" i="17" s="1"/>
  <c r="R13" i="17" a="1"/>
  <c r="R13" i="17"/>
  <c r="R303" i="17" a="1"/>
  <c r="R303" i="17" s="1"/>
  <c r="R14" i="17" a="1"/>
  <c r="R14" i="17" s="1"/>
  <c r="R15" i="17" a="1"/>
  <c r="R15" i="17" s="1"/>
  <c r="R16" i="17" a="1"/>
  <c r="R16" i="17" s="1"/>
  <c r="R17" i="17" a="1"/>
  <c r="R17" i="17" s="1"/>
  <c r="R18" i="17" a="1"/>
  <c r="R18" i="17" s="1"/>
  <c r="R19" i="17" a="1"/>
  <c r="R19" i="17" s="1"/>
  <c r="R304" i="17" a="1"/>
  <c r="R304" i="17" s="1"/>
  <c r="R20" i="17" a="1"/>
  <c r="R20" i="17" s="1"/>
  <c r="R21" i="17" a="1"/>
  <c r="R21" i="17" s="1"/>
  <c r="R22" i="17" a="1"/>
  <c r="R22" i="17" s="1"/>
  <c r="R23" i="17" a="1"/>
  <c r="R23" i="17" s="1"/>
  <c r="R24" i="17" a="1"/>
  <c r="R24" i="17" s="1"/>
  <c r="R25" i="17" a="1"/>
  <c r="R25" i="17" s="1"/>
  <c r="R305" i="17" a="1"/>
  <c r="R305" i="17" s="1"/>
  <c r="R26" i="17" a="1"/>
  <c r="R26" i="17" s="1"/>
  <c r="R27" i="17" a="1"/>
  <c r="R27" i="17" s="1"/>
  <c r="R28" i="17" a="1"/>
  <c r="R28" i="17" s="1"/>
  <c r="R29" i="17" a="1"/>
  <c r="R29" i="17" s="1"/>
  <c r="R30" i="17" a="1"/>
  <c r="R30" i="17" s="1"/>
  <c r="R31" i="17" a="1"/>
  <c r="R31" i="17" s="1"/>
  <c r="R306" i="17" a="1"/>
  <c r="R306" i="17" s="1"/>
  <c r="R32" i="17" a="1"/>
  <c r="R32" i="17" s="1"/>
  <c r="R33" i="17" a="1"/>
  <c r="R33" i="17" s="1"/>
  <c r="R34" i="17" a="1"/>
  <c r="R34" i="17" s="1"/>
  <c r="R35" i="17" a="1"/>
  <c r="R35" i="17" s="1"/>
  <c r="R36" i="17" a="1"/>
  <c r="R36" i="17" s="1"/>
  <c r="R37" i="17" a="1"/>
  <c r="R37" i="17" s="1"/>
  <c r="R307" i="17" a="1"/>
  <c r="R307" i="17" s="1"/>
  <c r="R38" i="17" a="1"/>
  <c r="R38" i="17" s="1"/>
  <c r="R39" i="17" a="1"/>
  <c r="R39" i="17" s="1"/>
  <c r="R40" i="17" a="1"/>
  <c r="R40" i="17" s="1"/>
  <c r="R41" i="17" a="1"/>
  <c r="R41" i="17" s="1"/>
  <c r="R42" i="17" a="1"/>
  <c r="R42" i="17" s="1"/>
  <c r="R43" i="17" a="1"/>
  <c r="R43" i="17" s="1"/>
  <c r="R308" i="17" a="1"/>
  <c r="R308" i="17" s="1"/>
  <c r="R44" i="17" a="1"/>
  <c r="R44" i="17" s="1"/>
  <c r="R45" i="17" a="1"/>
  <c r="R45" i="17" s="1"/>
  <c r="R46" i="17" a="1"/>
  <c r="R46" i="17"/>
  <c r="R47" i="17" a="1"/>
  <c r="R47" i="17" s="1"/>
  <c r="R48" i="17" a="1"/>
  <c r="R48" i="17"/>
  <c r="R49" i="17" a="1"/>
  <c r="R49" i="17" s="1"/>
  <c r="R309" i="17" a="1"/>
  <c r="R309" i="17" s="1"/>
  <c r="R50" i="17" a="1"/>
  <c r="R50" i="17" s="1"/>
  <c r="R51" i="17" a="1"/>
  <c r="R51" i="17" s="1"/>
  <c r="R52" i="17" a="1"/>
  <c r="R52" i="17" s="1"/>
  <c r="R53" i="17" a="1"/>
  <c r="R53" i="17" s="1"/>
  <c r="R54" i="17" a="1"/>
  <c r="R54" i="17" s="1"/>
  <c r="R55" i="17" a="1"/>
  <c r="R55" i="17" s="1"/>
  <c r="R310" i="17" a="1"/>
  <c r="R310" i="17" s="1"/>
  <c r="R56" i="17" a="1"/>
  <c r="R56" i="17" s="1"/>
  <c r="R57" i="17" a="1"/>
  <c r="R57" i="17" s="1"/>
  <c r="R58" i="17" a="1"/>
  <c r="R58" i="17" s="1"/>
  <c r="R59" i="17" a="1"/>
  <c r="R59" i="17" s="1"/>
  <c r="R60" i="17" a="1"/>
  <c r="R60" i="17" s="1"/>
  <c r="R61" i="17" a="1"/>
  <c r="R61" i="17"/>
  <c r="R311" i="17" a="1"/>
  <c r="R311" i="17" s="1"/>
  <c r="R62" i="17" a="1"/>
  <c r="R62" i="17" s="1"/>
  <c r="R63" i="17" a="1"/>
  <c r="R63" i="17" s="1"/>
  <c r="R64" i="17" a="1"/>
  <c r="R64" i="17" s="1"/>
  <c r="R65" i="17" a="1"/>
  <c r="R65" i="17" s="1"/>
  <c r="R66" i="17" a="1"/>
  <c r="R66" i="17" s="1"/>
  <c r="R67" i="17" a="1"/>
  <c r="R67" i="17" s="1"/>
  <c r="R312" i="17" a="1"/>
  <c r="R312" i="17" s="1"/>
  <c r="R68" i="17" a="1"/>
  <c r="R68" i="17"/>
  <c r="R69" i="17" a="1"/>
  <c r="R69" i="17" s="1"/>
  <c r="R70" i="17" a="1"/>
  <c r="R70" i="17" s="1"/>
  <c r="R71" i="17" a="1"/>
  <c r="R71" i="17" s="1"/>
  <c r="R72" i="17" a="1"/>
  <c r="R72" i="17" s="1"/>
  <c r="R73" i="17" a="1"/>
  <c r="R73" i="17" s="1"/>
  <c r="R313" i="17" a="1"/>
  <c r="R313" i="17" s="1"/>
  <c r="R74" i="17" a="1"/>
  <c r="R74" i="17" s="1"/>
  <c r="R75" i="17" a="1"/>
  <c r="R75" i="17" s="1"/>
  <c r="R76" i="17" a="1"/>
  <c r="R76" i="17" s="1"/>
  <c r="R77" i="17" a="1"/>
  <c r="R77" i="17" s="1"/>
  <c r="R78" i="17" a="1"/>
  <c r="R78" i="17" s="1"/>
  <c r="R79" i="17" a="1"/>
  <c r="R79" i="17" s="1"/>
  <c r="R314" i="17" a="1"/>
  <c r="R314" i="17" s="1"/>
  <c r="R80" i="17" a="1"/>
  <c r="R80" i="17" s="1"/>
  <c r="R81" i="17" a="1"/>
  <c r="R81" i="17" s="1"/>
  <c r="R82" i="17" a="1"/>
  <c r="R82" i="17" s="1"/>
  <c r="R83" i="17" a="1"/>
  <c r="R83" i="17" s="1"/>
  <c r="R84" i="17" a="1"/>
  <c r="R84" i="17" s="1"/>
  <c r="R85" i="17" a="1"/>
  <c r="R85" i="17" s="1"/>
  <c r="R315" i="17" a="1"/>
  <c r="R315" i="17"/>
  <c r="R86" i="17" a="1"/>
  <c r="R86" i="17" s="1"/>
  <c r="R87" i="17" a="1"/>
  <c r="R87" i="17" s="1"/>
  <c r="R88" i="17" a="1"/>
  <c r="R88" i="17" s="1"/>
  <c r="R89" i="17" a="1"/>
  <c r="R89" i="17" s="1"/>
  <c r="R90" i="17" a="1"/>
  <c r="R90" i="17" s="1"/>
  <c r="R91" i="17" a="1"/>
  <c r="R91" i="17" s="1"/>
  <c r="R316" i="17" a="1"/>
  <c r="R316" i="17" s="1"/>
  <c r="R92" i="17" a="1"/>
  <c r="R92" i="17" s="1"/>
  <c r="R93" i="17" a="1"/>
  <c r="R93" i="17" s="1"/>
  <c r="R94" i="17" a="1"/>
  <c r="R94" i="17" s="1"/>
  <c r="R95" i="17" a="1"/>
  <c r="R95" i="17"/>
  <c r="R96" i="17" a="1"/>
  <c r="R96" i="17" s="1"/>
  <c r="R97" i="17" a="1"/>
  <c r="R97" i="17" s="1"/>
  <c r="R317" i="17" a="1"/>
  <c r="R317" i="17" s="1"/>
  <c r="R98" i="17" a="1"/>
  <c r="R98" i="17"/>
  <c r="R99" i="17" a="1"/>
  <c r="R99" i="17" s="1"/>
  <c r="R100" i="17" a="1"/>
  <c r="R100" i="17" s="1"/>
  <c r="R101" i="17" a="1"/>
  <c r="R101" i="17" s="1"/>
  <c r="R102" i="17" a="1"/>
  <c r="R102" i="17" s="1"/>
  <c r="R103" i="17" a="1"/>
  <c r="R103" i="17" s="1"/>
  <c r="R318" i="17" a="1"/>
  <c r="R318" i="17" s="1"/>
  <c r="R104" i="17" a="1"/>
  <c r="R104" i="17" s="1"/>
  <c r="R105" i="17" a="1"/>
  <c r="R105" i="17" s="1"/>
  <c r="R106" i="17" a="1"/>
  <c r="R106" i="17"/>
  <c r="R107" i="17" a="1"/>
  <c r="R107" i="17" s="1"/>
  <c r="R108" i="17" a="1"/>
  <c r="R108" i="17" s="1"/>
  <c r="R109" i="17" a="1"/>
  <c r="R109" i="17" s="1"/>
  <c r="R319" i="17" a="1"/>
  <c r="R319" i="17" s="1"/>
  <c r="R110" i="17" a="1"/>
  <c r="R110" i="17" s="1"/>
  <c r="R111" i="17" a="1"/>
  <c r="R111" i="17" s="1"/>
  <c r="R112" i="17" a="1"/>
  <c r="R112" i="17" s="1"/>
  <c r="R113" i="17" a="1"/>
  <c r="R113" i="17" s="1"/>
  <c r="R114" i="17" a="1"/>
  <c r="R114" i="17" s="1"/>
  <c r="R115" i="17" a="1"/>
  <c r="R115" i="17" s="1"/>
  <c r="R320" i="17" a="1"/>
  <c r="R320" i="17" s="1"/>
  <c r="R116" i="17" a="1"/>
  <c r="R116" i="17" s="1"/>
  <c r="R117" i="17" a="1"/>
  <c r="R117" i="17" s="1"/>
  <c r="R118" i="17" a="1"/>
  <c r="R118" i="17" s="1"/>
  <c r="R119" i="17" a="1"/>
  <c r="R119" i="17" s="1"/>
  <c r="R120" i="17" a="1"/>
  <c r="R120" i="17"/>
  <c r="R121" i="17" a="1"/>
  <c r="R121" i="17" s="1"/>
  <c r="R321" i="17" a="1"/>
  <c r="R321" i="17" s="1"/>
  <c r="R122" i="17" a="1"/>
  <c r="R122" i="17" s="1"/>
  <c r="R123" i="17" a="1"/>
  <c r="R123" i="17" s="1"/>
  <c r="R124" i="17" a="1"/>
  <c r="R124" i="17" s="1"/>
  <c r="R125" i="17" a="1"/>
  <c r="R125" i="17" s="1"/>
  <c r="R126" i="17" a="1"/>
  <c r="R126" i="17" s="1"/>
  <c r="R127" i="17" a="1"/>
  <c r="R127" i="17" s="1"/>
  <c r="R322" i="17" a="1"/>
  <c r="R322" i="17" s="1"/>
  <c r="R128" i="17" a="1"/>
  <c r="R128" i="17" s="1"/>
  <c r="R129" i="17" a="1"/>
  <c r="R129" i="17" s="1"/>
  <c r="R130" i="17" a="1"/>
  <c r="R130" i="17" s="1"/>
  <c r="R131" i="17" a="1"/>
  <c r="R131" i="17" s="1"/>
  <c r="R132" i="17" a="1"/>
  <c r="R132" i="17" s="1"/>
  <c r="R133" i="17" a="1"/>
  <c r="R133" i="17"/>
  <c r="R323" i="17" a="1"/>
  <c r="R323" i="17"/>
  <c r="R134" i="17" a="1"/>
  <c r="R134" i="17" s="1"/>
  <c r="R135" i="17" a="1"/>
  <c r="R135" i="17" s="1"/>
  <c r="R136" i="17" a="1"/>
  <c r="R136" i="17" s="1"/>
  <c r="R137" i="17" a="1"/>
  <c r="R137" i="17" s="1"/>
  <c r="R138" i="17" a="1"/>
  <c r="R138" i="17" s="1"/>
  <c r="R139" i="17" a="1"/>
  <c r="R139" i="17" s="1"/>
  <c r="R324" i="17" a="1"/>
  <c r="R324" i="17"/>
  <c r="R140" i="17" a="1"/>
  <c r="R140" i="17" s="1"/>
  <c r="R141" i="17" a="1"/>
  <c r="R141" i="17" s="1"/>
  <c r="R142" i="17" a="1"/>
  <c r="R142" i="17" s="1"/>
  <c r="R143" i="17" a="1"/>
  <c r="R143" i="17" s="1"/>
  <c r="R144" i="17" a="1"/>
  <c r="R144" i="17" s="1"/>
  <c r="R145" i="17" a="1"/>
  <c r="R145" i="17" s="1"/>
  <c r="R325" i="17" a="1"/>
  <c r="R325" i="17" s="1"/>
  <c r="R146" i="17" a="1"/>
  <c r="R146" i="17" s="1"/>
  <c r="R147" i="17" a="1"/>
  <c r="R147" i="17"/>
  <c r="R148" i="17" a="1"/>
  <c r="R148" i="17" s="1"/>
  <c r="R149" i="17" a="1"/>
  <c r="R149" i="17" s="1"/>
  <c r="R150" i="17" a="1"/>
  <c r="R150" i="17" s="1"/>
  <c r="R151" i="17" a="1"/>
  <c r="R151" i="17" s="1"/>
  <c r="R326" i="17" a="1"/>
  <c r="R326" i="17" s="1"/>
  <c r="R152" i="17" a="1"/>
  <c r="R152" i="17" s="1"/>
  <c r="R153" i="17" a="1"/>
  <c r="R153" i="17" s="1"/>
  <c r="R154" i="17" a="1"/>
  <c r="R154" i="17" s="1"/>
  <c r="R155" i="17" a="1"/>
  <c r="R155" i="17"/>
  <c r="R156" i="17" a="1"/>
  <c r="R156" i="17" s="1"/>
  <c r="R157" i="17" a="1"/>
  <c r="R157" i="17" s="1"/>
  <c r="R327" i="17" a="1"/>
  <c r="R327" i="17" s="1"/>
  <c r="R158" i="17" a="1"/>
  <c r="R158" i="17" s="1"/>
  <c r="R159" i="17" a="1"/>
  <c r="R159" i="17" s="1"/>
  <c r="R160" i="17" a="1"/>
  <c r="R160" i="17" s="1"/>
  <c r="R161" i="17" a="1"/>
  <c r="R161" i="17" s="1"/>
  <c r="R162" i="17" a="1"/>
  <c r="R162" i="17" s="1"/>
  <c r="R163" i="17" a="1"/>
  <c r="R163" i="17" s="1"/>
  <c r="R328" i="17" a="1"/>
  <c r="R328" i="17" s="1"/>
  <c r="R164" i="17" a="1"/>
  <c r="R164" i="17" s="1"/>
  <c r="R165" i="17" a="1"/>
  <c r="R165" i="17" s="1"/>
  <c r="R166" i="17" a="1"/>
  <c r="R166" i="17" s="1"/>
  <c r="R167" i="17" a="1"/>
  <c r="R167" i="17" s="1"/>
  <c r="R168" i="17" a="1"/>
  <c r="R168" i="17"/>
  <c r="R169" i="17" a="1"/>
  <c r="R169" i="17" s="1"/>
  <c r="R329" i="17" a="1"/>
  <c r="R329" i="17" s="1"/>
  <c r="R170" i="17" a="1"/>
  <c r="R170" i="17" s="1"/>
  <c r="R171" i="17" a="1"/>
  <c r="R171" i="17" s="1"/>
  <c r="R172" i="17" a="1"/>
  <c r="R172" i="17" s="1"/>
  <c r="R173" i="17" a="1"/>
  <c r="R173" i="17" s="1"/>
  <c r="R174" i="17" a="1"/>
  <c r="R174" i="17" s="1"/>
  <c r="R175" i="17" a="1"/>
  <c r="R175" i="17" s="1"/>
  <c r="R330" i="17" a="1"/>
  <c r="R330" i="17" s="1"/>
  <c r="R176" i="17" a="1"/>
  <c r="R176" i="17" s="1"/>
  <c r="R177" i="17" a="1"/>
  <c r="R177" i="17" s="1"/>
  <c r="R178" i="17" a="1"/>
  <c r="R178" i="17"/>
  <c r="R179" i="17" a="1"/>
  <c r="R179" i="17" s="1"/>
  <c r="R180" i="17" a="1"/>
  <c r="R180" i="17" s="1"/>
  <c r="R181" i="17" a="1"/>
  <c r="R181" i="17" s="1"/>
  <c r="R331" i="17" a="1"/>
  <c r="R331" i="17" s="1"/>
  <c r="R182" i="17" a="1"/>
  <c r="R182" i="17" s="1"/>
  <c r="R183" i="17" a="1"/>
  <c r="R183" i="17" s="1"/>
  <c r="R184" i="17" a="1"/>
  <c r="R184" i="17" s="1"/>
  <c r="R185" i="17" a="1"/>
  <c r="R185" i="17" s="1"/>
  <c r="R186" i="17" a="1"/>
  <c r="R186" i="17" s="1"/>
  <c r="R187" i="17" a="1"/>
  <c r="R187" i="17" s="1"/>
  <c r="R332" i="17" a="1"/>
  <c r="R332" i="17" s="1"/>
  <c r="R188" i="17" a="1"/>
  <c r="R188" i="17"/>
  <c r="R189" i="17" a="1"/>
  <c r="R189" i="17" s="1"/>
  <c r="R190" i="17" a="1"/>
  <c r="R190" i="17" s="1"/>
  <c r="R191" i="17" a="1"/>
  <c r="R191" i="17" s="1"/>
  <c r="R192" i="17" a="1"/>
  <c r="R192" i="17" s="1"/>
  <c r="R193" i="17" a="1"/>
  <c r="R193" i="17" s="1"/>
  <c r="R333" i="17" a="1"/>
  <c r="R333" i="17" s="1"/>
  <c r="R194" i="17" a="1"/>
  <c r="R194" i="17" s="1"/>
  <c r="R195" i="17" a="1"/>
  <c r="R195" i="17" s="1"/>
  <c r="R196" i="17" a="1"/>
  <c r="R196" i="17"/>
  <c r="R197" i="17" a="1"/>
  <c r="R197" i="17" s="1"/>
  <c r="R198" i="17" a="1"/>
  <c r="R198" i="17" s="1"/>
  <c r="R199" i="17" a="1"/>
  <c r="R199" i="17" s="1"/>
  <c r="R334" i="17" a="1"/>
  <c r="R334" i="17" s="1"/>
  <c r="R200" i="17" a="1"/>
  <c r="R200" i="17" s="1"/>
  <c r="R201" i="17" a="1"/>
  <c r="R201" i="17" s="1"/>
  <c r="R202" i="17" a="1"/>
  <c r="R202" i="17"/>
  <c r="R203" i="17" a="1"/>
  <c r="R203" i="17" s="1"/>
  <c r="R204" i="17" a="1"/>
  <c r="R204" i="17" s="1"/>
  <c r="R205" i="17" a="1"/>
  <c r="R205" i="17" s="1"/>
  <c r="R335" i="17" a="1"/>
  <c r="R335" i="17" s="1"/>
  <c r="R206" i="17" a="1"/>
  <c r="R206" i="17" s="1"/>
  <c r="R207" i="17" a="1"/>
  <c r="R207" i="17" s="1"/>
  <c r="R208" i="17" a="1"/>
  <c r="R208" i="17" s="1"/>
  <c r="R209" i="17" a="1"/>
  <c r="R209" i="17" s="1"/>
  <c r="R210" i="17" a="1"/>
  <c r="R210" i="17" s="1"/>
  <c r="R211" i="17" a="1"/>
  <c r="R211" i="17" s="1"/>
  <c r="R336" i="17" a="1"/>
  <c r="R336" i="17" s="1"/>
  <c r="R212" i="17" a="1"/>
  <c r="R212" i="17" s="1"/>
  <c r="R213" i="17" a="1"/>
  <c r="R213" i="17" s="1"/>
  <c r="R214" i="17" a="1"/>
  <c r="R214" i="17" s="1"/>
  <c r="R215" i="17" a="1"/>
  <c r="R215" i="17" s="1"/>
  <c r="R216" i="17" a="1"/>
  <c r="R216" i="17" s="1"/>
  <c r="R217" i="17" a="1"/>
  <c r="R217" i="17" s="1"/>
  <c r="R337" i="17" a="1"/>
  <c r="R337" i="17" s="1"/>
  <c r="R218" i="17" a="1"/>
  <c r="R218" i="17" s="1"/>
  <c r="R219" i="17" a="1"/>
  <c r="R219" i="17" s="1"/>
  <c r="R220" i="17" a="1"/>
  <c r="R220" i="17" s="1"/>
  <c r="R221" i="17" a="1"/>
  <c r="R221" i="17" s="1"/>
  <c r="R222" i="17" a="1"/>
  <c r="R222" i="17" s="1"/>
  <c r="R223" i="17" a="1"/>
  <c r="R223" i="17" s="1"/>
  <c r="R338" i="17" a="1"/>
  <c r="R338" i="17" s="1"/>
  <c r="R224" i="17" a="1"/>
  <c r="R224" i="17" s="1"/>
  <c r="R225" i="17" a="1"/>
  <c r="R225" i="17" s="1"/>
  <c r="R226" i="17" a="1"/>
  <c r="R226" i="17" s="1"/>
  <c r="R227" i="17" a="1"/>
  <c r="R227" i="17" s="1"/>
  <c r="R228" i="17" a="1"/>
  <c r="R228" i="17" s="1"/>
  <c r="R229" i="17" a="1"/>
  <c r="R229" i="17" s="1"/>
  <c r="R339" i="17" a="1"/>
  <c r="R339" i="17" s="1"/>
  <c r="R230" i="17" a="1"/>
  <c r="R230" i="17" s="1"/>
  <c r="R231" i="17" a="1"/>
  <c r="R231" i="17" s="1"/>
  <c r="R232" i="17" a="1"/>
  <c r="R232" i="17" s="1"/>
  <c r="R233" i="17" a="1"/>
  <c r="R233" i="17" s="1"/>
  <c r="R234" i="17" a="1"/>
  <c r="R234" i="17" s="1"/>
  <c r="R235" i="17" a="1"/>
  <c r="R235" i="17" s="1"/>
  <c r="R340" i="17" a="1"/>
  <c r="R340" i="17" s="1"/>
  <c r="R236" i="17" a="1"/>
  <c r="R236" i="17" s="1"/>
  <c r="R237" i="17" a="1"/>
  <c r="R237" i="17" s="1"/>
  <c r="R238" i="17" a="1"/>
  <c r="R238" i="17" s="1"/>
  <c r="R239" i="17" a="1"/>
  <c r="R239" i="17" s="1"/>
  <c r="R240" i="17" a="1"/>
  <c r="R240" i="17" s="1"/>
  <c r="R241" i="17" a="1"/>
  <c r="R241" i="17" s="1"/>
  <c r="R341" i="17" a="1"/>
  <c r="R341" i="17" s="1"/>
  <c r="R242" i="17" a="1"/>
  <c r="R242" i="17" s="1"/>
  <c r="R243" i="17" a="1"/>
  <c r="R243" i="17" s="1"/>
  <c r="R244" i="17" a="1"/>
  <c r="R244" i="17" s="1"/>
  <c r="R245" i="17" a="1"/>
  <c r="R245" i="17" s="1"/>
  <c r="R246" i="17" a="1"/>
  <c r="R246" i="17" s="1"/>
  <c r="R247" i="17" a="1"/>
  <c r="R247" i="17" s="1"/>
  <c r="R342" i="17" a="1"/>
  <c r="R342" i="17" s="1"/>
  <c r="R248" i="17" a="1"/>
  <c r="R248" i="17" s="1"/>
  <c r="R249" i="17" a="1"/>
  <c r="R249" i="17" s="1"/>
  <c r="R250" i="17" a="1"/>
  <c r="R250" i="17"/>
  <c r="R251" i="17" a="1"/>
  <c r="R251" i="17" s="1"/>
  <c r="R252" i="17" a="1"/>
  <c r="R252" i="17" s="1"/>
  <c r="R253" i="17" a="1"/>
  <c r="R253" i="17" s="1"/>
  <c r="R343" i="17" a="1"/>
  <c r="R343" i="17" s="1"/>
  <c r="R254" i="17" a="1"/>
  <c r="R254" i="17" s="1"/>
  <c r="R255" i="17" a="1"/>
  <c r="R255" i="17"/>
  <c r="R256" i="17" a="1"/>
  <c r="R256" i="17" s="1"/>
  <c r="R257" i="17" a="1"/>
  <c r="R257" i="17" s="1"/>
  <c r="R258" i="17" a="1"/>
  <c r="R258" i="17" s="1"/>
  <c r="R259" i="17" a="1"/>
  <c r="R259" i="17" s="1"/>
  <c r="R344" i="17" a="1"/>
  <c r="R344" i="17" s="1"/>
  <c r="R260" i="17" a="1"/>
  <c r="R260" i="17" s="1"/>
  <c r="R261" i="17" a="1"/>
  <c r="R261" i="17" s="1"/>
  <c r="R262" i="17" a="1"/>
  <c r="R262" i="17" s="1"/>
  <c r="R263" i="17" a="1"/>
  <c r="R263" i="17"/>
  <c r="R264" i="17" a="1"/>
  <c r="R264" i="17" s="1"/>
  <c r="R265" i="17" a="1"/>
  <c r="R265" i="17" s="1"/>
  <c r="R345" i="17" a="1"/>
  <c r="R345" i="17" s="1"/>
  <c r="R266" i="17" a="1"/>
  <c r="R266" i="17" s="1"/>
  <c r="R267" i="17" a="1"/>
  <c r="R267" i="17" s="1"/>
  <c r="R268" i="17" a="1"/>
  <c r="R268" i="17" s="1"/>
  <c r="R269" i="17" a="1"/>
  <c r="R269" i="17" s="1"/>
  <c r="R270" i="17" a="1"/>
  <c r="R270" i="17" s="1"/>
  <c r="R271" i="17" a="1"/>
  <c r="R271" i="17" s="1"/>
  <c r="R346" i="17" a="1"/>
  <c r="R346" i="17" s="1"/>
  <c r="R272" i="17" a="1"/>
  <c r="R272" i="17" s="1"/>
  <c r="R273" i="17" a="1"/>
  <c r="R273" i="17" s="1"/>
  <c r="R274" i="17" a="1"/>
  <c r="R274" i="17" s="1"/>
  <c r="R275" i="17" a="1"/>
  <c r="R275" i="17" s="1"/>
  <c r="R276" i="17" a="1"/>
  <c r="R276" i="17" s="1"/>
  <c r="R277" i="17" a="1"/>
  <c r="R277" i="17" s="1"/>
  <c r="R347" i="17" a="1"/>
  <c r="R347" i="17" s="1"/>
  <c r="R278" i="17" a="1"/>
  <c r="R278" i="17" s="1"/>
  <c r="R279" i="17" a="1"/>
  <c r="R279" i="17" s="1"/>
  <c r="R280" i="17" a="1"/>
  <c r="R280" i="17" s="1"/>
  <c r="R281" i="17" a="1"/>
  <c r="R281" i="17" s="1"/>
  <c r="R282" i="17" a="1"/>
  <c r="R282" i="17" s="1"/>
  <c r="R283" i="17" a="1"/>
  <c r="R283" i="17" s="1"/>
  <c r="R348" i="17" a="1"/>
  <c r="R348" i="17" s="1"/>
  <c r="R284" i="17" a="1"/>
  <c r="R284" i="17" s="1"/>
  <c r="R285" i="17" a="1"/>
  <c r="R285" i="17" s="1"/>
  <c r="R286" i="17" a="1"/>
  <c r="R286" i="17"/>
  <c r="R287" i="17" a="1"/>
  <c r="R287" i="17" s="1"/>
  <c r="R288" i="17" a="1"/>
  <c r="R288" i="17" s="1"/>
  <c r="R289" i="17" a="1"/>
  <c r="R289" i="17" s="1"/>
  <c r="R349" i="17" a="1"/>
  <c r="R349" i="17" s="1"/>
  <c r="R290" i="17" a="1"/>
  <c r="R290" i="17" s="1"/>
  <c r="R291" i="17" a="1"/>
  <c r="R291" i="17" s="1"/>
  <c r="R292" i="17" a="1"/>
  <c r="R292" i="17" s="1"/>
  <c r="R293" i="17" a="1"/>
  <c r="R293" i="17" s="1"/>
  <c r="R294" i="17" a="1"/>
  <c r="R294" i="17" s="1"/>
  <c r="R295" i="17" a="1"/>
  <c r="R295" i="17" s="1"/>
  <c r="R350" i="17" a="1"/>
  <c r="R350" i="17" s="1"/>
  <c r="R296" i="17" a="1"/>
  <c r="R296" i="17" s="1"/>
  <c r="R297" i="17" a="1"/>
  <c r="R297" i="17" s="1"/>
  <c r="R298" i="17" a="1"/>
  <c r="R298" i="17" s="1"/>
  <c r="R299" i="17" a="1"/>
  <c r="R299" i="17" s="1"/>
  <c r="R300" i="17" a="1"/>
  <c r="R300" i="17" s="1"/>
  <c r="R301" i="17" a="1"/>
  <c r="R301" i="17" s="1"/>
  <c r="R351" i="17" a="1"/>
  <c r="R351" i="17" s="1"/>
  <c r="S2" i="17" a="1"/>
  <c r="S2" i="17" s="1"/>
  <c r="S3" i="17" a="1"/>
  <c r="S3" i="17" s="1"/>
  <c r="S4" i="17" a="1"/>
  <c r="S4" i="17" s="1"/>
  <c r="S5" i="17" a="1"/>
  <c r="S5" i="17" s="1"/>
  <c r="S6" i="17" a="1"/>
  <c r="S6" i="17" s="1"/>
  <c r="S7" i="17" a="1"/>
  <c r="S7" i="17" s="1"/>
  <c r="S302" i="17" a="1"/>
  <c r="S302" i="17" s="1"/>
  <c r="S8" i="17" a="1"/>
  <c r="S8" i="17" s="1"/>
  <c r="S9" i="17" a="1"/>
  <c r="S9" i="17" s="1"/>
  <c r="S10" i="17" a="1"/>
  <c r="S10" i="17" s="1"/>
  <c r="S11" i="17" a="1"/>
  <c r="S11" i="17" s="1"/>
  <c r="S12" i="17" a="1"/>
  <c r="S12" i="17" s="1"/>
  <c r="S13" i="17" a="1"/>
  <c r="S13" i="17" s="1"/>
  <c r="S303" i="17" a="1"/>
  <c r="S303" i="17" s="1"/>
  <c r="S14" i="17" a="1"/>
  <c r="S14" i="17" s="1"/>
  <c r="S15" i="17" a="1"/>
  <c r="S15" i="17" s="1"/>
  <c r="S16" i="17" a="1"/>
  <c r="S16" i="17" s="1"/>
  <c r="S17" i="17" a="1"/>
  <c r="S17" i="17" s="1"/>
  <c r="S18" i="17" a="1"/>
  <c r="S18" i="17" s="1"/>
  <c r="S19" i="17" a="1"/>
  <c r="S19" i="17" s="1"/>
  <c r="S304" i="17" a="1"/>
  <c r="S304" i="17" s="1"/>
  <c r="S20" i="17" a="1"/>
  <c r="S20" i="17" s="1"/>
  <c r="S21" i="17" a="1"/>
  <c r="S21" i="17" s="1"/>
  <c r="S22" i="17" a="1"/>
  <c r="S22" i="17" s="1"/>
  <c r="S23" i="17" a="1"/>
  <c r="S23" i="17" s="1"/>
  <c r="S24" i="17" a="1"/>
  <c r="S24" i="17" s="1"/>
  <c r="S25" i="17" a="1"/>
  <c r="S25" i="17" s="1"/>
  <c r="S305" i="17" a="1"/>
  <c r="S305" i="17" s="1"/>
  <c r="S26" i="17" a="1"/>
  <c r="S26" i="17" s="1"/>
  <c r="S27" i="17" a="1"/>
  <c r="S27" i="17" s="1"/>
  <c r="S28" i="17" a="1"/>
  <c r="S28" i="17" s="1"/>
  <c r="S29" i="17" a="1"/>
  <c r="S29" i="17" s="1"/>
  <c r="S30" i="17" a="1"/>
  <c r="S30" i="17" s="1"/>
  <c r="S31" i="17" a="1"/>
  <c r="S31" i="17" s="1"/>
  <c r="S306" i="17" a="1"/>
  <c r="S306" i="17" s="1"/>
  <c r="S32" i="17" a="1"/>
  <c r="S32" i="17" s="1"/>
  <c r="S33" i="17" a="1"/>
  <c r="S33" i="17" s="1"/>
  <c r="S34" i="17" a="1"/>
  <c r="S34" i="17" s="1"/>
  <c r="S35" i="17" a="1"/>
  <c r="S35" i="17" s="1"/>
  <c r="S36" i="17" a="1"/>
  <c r="S36" i="17" s="1"/>
  <c r="S37" i="17" a="1"/>
  <c r="S37" i="17" s="1"/>
  <c r="S307" i="17" a="1"/>
  <c r="S307" i="17" s="1"/>
  <c r="S38" i="17" a="1"/>
  <c r="S38" i="17" s="1"/>
  <c r="S39" i="17" a="1"/>
  <c r="S39" i="17" s="1"/>
  <c r="S40" i="17" a="1"/>
  <c r="S40" i="17" s="1"/>
  <c r="S41" i="17" a="1"/>
  <c r="S41" i="17" s="1"/>
  <c r="S42" i="17" a="1"/>
  <c r="S42" i="17" s="1"/>
  <c r="S43" i="17" a="1"/>
  <c r="S43" i="17" s="1"/>
  <c r="S308" i="17" a="1"/>
  <c r="S308" i="17" s="1"/>
  <c r="S44" i="17" a="1"/>
  <c r="S44" i="17" s="1"/>
  <c r="S45" i="17" a="1"/>
  <c r="S45" i="17" s="1"/>
  <c r="S46" i="17" a="1"/>
  <c r="S46" i="17" s="1"/>
  <c r="S47" i="17" a="1"/>
  <c r="S47" i="17" s="1"/>
  <c r="S48" i="17" a="1"/>
  <c r="S48" i="17" s="1"/>
  <c r="S49" i="17" a="1"/>
  <c r="S49" i="17" s="1"/>
  <c r="S309" i="17" a="1"/>
  <c r="S309" i="17" s="1"/>
  <c r="S50" i="17" a="1"/>
  <c r="S50" i="17" s="1"/>
  <c r="S51" i="17" a="1"/>
  <c r="S51" i="17" s="1"/>
  <c r="S52" i="17" a="1"/>
  <c r="S52" i="17" s="1"/>
  <c r="S53" i="17" a="1"/>
  <c r="S53" i="17" s="1"/>
  <c r="S54" i="17" a="1"/>
  <c r="S54" i="17" s="1"/>
  <c r="S55" i="17" a="1"/>
  <c r="S55" i="17" s="1"/>
  <c r="S310" i="17" a="1"/>
  <c r="S310" i="17" s="1"/>
  <c r="S56" i="17" a="1"/>
  <c r="S56" i="17" s="1"/>
  <c r="S57" i="17" a="1"/>
  <c r="S57" i="17" s="1"/>
  <c r="S58" i="17" a="1"/>
  <c r="S58" i="17" s="1"/>
  <c r="S59" i="17" a="1"/>
  <c r="S59" i="17" s="1"/>
  <c r="S60" i="17" a="1"/>
  <c r="S60" i="17" s="1"/>
  <c r="S61" i="17" a="1"/>
  <c r="S61" i="17" s="1"/>
  <c r="S311" i="17" a="1"/>
  <c r="S311" i="17" s="1"/>
  <c r="S62" i="17" a="1"/>
  <c r="S62" i="17" s="1"/>
  <c r="S63" i="17" a="1"/>
  <c r="S63" i="17" s="1"/>
  <c r="S64" i="17" a="1"/>
  <c r="S64" i="17" s="1"/>
  <c r="S65" i="17" a="1"/>
  <c r="S65" i="17" s="1"/>
  <c r="S66" i="17" a="1"/>
  <c r="S66" i="17" s="1"/>
  <c r="S67" i="17" a="1"/>
  <c r="S67" i="17" s="1"/>
  <c r="S312" i="17" a="1"/>
  <c r="S312" i="17" s="1"/>
  <c r="S68" i="17" a="1"/>
  <c r="S68" i="17" s="1"/>
  <c r="S69" i="17" a="1"/>
  <c r="S69" i="17" s="1"/>
  <c r="S70" i="17" a="1"/>
  <c r="S70" i="17" s="1"/>
  <c r="S71" i="17" a="1"/>
  <c r="S71" i="17" s="1"/>
  <c r="S72" i="17" a="1"/>
  <c r="S72" i="17" s="1"/>
  <c r="S73" i="17" a="1"/>
  <c r="S73" i="17" s="1"/>
  <c r="S313" i="17" a="1"/>
  <c r="S313" i="17" s="1"/>
  <c r="S74" i="17" a="1"/>
  <c r="S74" i="17" s="1"/>
  <c r="S75" i="17" a="1"/>
  <c r="S75" i="17" s="1"/>
  <c r="S76" i="17" a="1"/>
  <c r="S76" i="17" s="1"/>
  <c r="S77" i="17" a="1"/>
  <c r="S77" i="17" s="1"/>
  <c r="S78" i="17" a="1"/>
  <c r="S78" i="17" s="1"/>
  <c r="S79" i="17" a="1"/>
  <c r="S79" i="17" s="1"/>
  <c r="S314" i="17" a="1"/>
  <c r="S314" i="17" s="1"/>
  <c r="S80" i="17" a="1"/>
  <c r="S80" i="17" s="1"/>
  <c r="S81" i="17" a="1"/>
  <c r="S81" i="17" s="1"/>
  <c r="S82" i="17" a="1"/>
  <c r="S82" i="17" s="1"/>
  <c r="S83" i="17" a="1"/>
  <c r="S83" i="17" s="1"/>
  <c r="S84" i="17" a="1"/>
  <c r="S84" i="17" s="1"/>
  <c r="S85" i="17" a="1"/>
  <c r="S85" i="17" s="1"/>
  <c r="S315" i="17" a="1"/>
  <c r="S315" i="17" s="1"/>
  <c r="S86" i="17" a="1"/>
  <c r="S86" i="17" s="1"/>
  <c r="S87" i="17" a="1"/>
  <c r="S87" i="17" s="1"/>
  <c r="S88" i="17" a="1"/>
  <c r="S88" i="17" s="1"/>
  <c r="S89" i="17" a="1"/>
  <c r="S89" i="17" s="1"/>
  <c r="S90" i="17" a="1"/>
  <c r="S90" i="17" s="1"/>
  <c r="S91" i="17" a="1"/>
  <c r="S91" i="17" s="1"/>
  <c r="S316" i="17" a="1"/>
  <c r="S316" i="17" s="1"/>
  <c r="S92" i="17" a="1"/>
  <c r="S92" i="17" s="1"/>
  <c r="S93" i="17" a="1"/>
  <c r="S93" i="17" s="1"/>
  <c r="S94" i="17" a="1"/>
  <c r="S94" i="17" s="1"/>
  <c r="S95" i="17" a="1"/>
  <c r="S95" i="17" s="1"/>
  <c r="S96" i="17" a="1"/>
  <c r="S96" i="17" s="1"/>
  <c r="S97" i="17" a="1"/>
  <c r="S97" i="17" s="1"/>
  <c r="S317" i="17" a="1"/>
  <c r="S317" i="17" s="1"/>
  <c r="S98" i="17" a="1"/>
  <c r="S98" i="17" s="1"/>
  <c r="S99" i="17" a="1"/>
  <c r="S99" i="17" s="1"/>
  <c r="S100" i="17" a="1"/>
  <c r="S100" i="17" s="1"/>
  <c r="S101" i="17" a="1"/>
  <c r="S101" i="17" s="1"/>
  <c r="S102" i="17" a="1"/>
  <c r="S102" i="17" s="1"/>
  <c r="S103" i="17" a="1"/>
  <c r="S103" i="17" s="1"/>
  <c r="S318" i="17" a="1"/>
  <c r="S318" i="17" s="1"/>
  <c r="S104" i="17" a="1"/>
  <c r="S104" i="17" s="1"/>
  <c r="S105" i="17" a="1"/>
  <c r="S105" i="17" s="1"/>
  <c r="S106" i="17" a="1"/>
  <c r="S106" i="17" s="1"/>
  <c r="S107" i="17" a="1"/>
  <c r="S107" i="17" s="1"/>
  <c r="S108" i="17" a="1"/>
  <c r="S108" i="17" s="1"/>
  <c r="S109" i="17" a="1"/>
  <c r="S109" i="17" s="1"/>
  <c r="S319" i="17" a="1"/>
  <c r="S319" i="17" s="1"/>
  <c r="S110" i="17" a="1"/>
  <c r="S110" i="17" s="1"/>
  <c r="S111" i="17" a="1"/>
  <c r="S111" i="17" s="1"/>
  <c r="S112" i="17" a="1"/>
  <c r="S112" i="17" s="1"/>
  <c r="S113" i="17" a="1"/>
  <c r="S113" i="17" s="1"/>
  <c r="S114" i="17" a="1"/>
  <c r="S114" i="17" s="1"/>
  <c r="S115" i="17" a="1"/>
  <c r="S115" i="17" s="1"/>
  <c r="S320" i="17" a="1"/>
  <c r="S320" i="17" s="1"/>
  <c r="S116" i="17" a="1"/>
  <c r="S116" i="17" s="1"/>
  <c r="S117" i="17" a="1"/>
  <c r="S117" i="17" s="1"/>
  <c r="S118" i="17" a="1"/>
  <c r="S118" i="17" s="1"/>
  <c r="S119" i="17" a="1"/>
  <c r="S119" i="17" s="1"/>
  <c r="S120" i="17" a="1"/>
  <c r="S120" i="17" s="1"/>
  <c r="S121" i="17" a="1"/>
  <c r="S121" i="17" s="1"/>
  <c r="S321" i="17" a="1"/>
  <c r="S321" i="17" s="1"/>
  <c r="S122" i="17" a="1"/>
  <c r="S122" i="17" s="1"/>
  <c r="S123" i="17" a="1"/>
  <c r="S123" i="17" s="1"/>
  <c r="S124" i="17" a="1"/>
  <c r="S124" i="17" s="1"/>
  <c r="S125" i="17" a="1"/>
  <c r="S125" i="17" s="1"/>
  <c r="S126" i="17" a="1"/>
  <c r="S126" i="17" s="1"/>
  <c r="S127" i="17" a="1"/>
  <c r="S127" i="17" s="1"/>
  <c r="S322" i="17" a="1"/>
  <c r="S322" i="17" s="1"/>
  <c r="S128" i="17" a="1"/>
  <c r="S128" i="17" s="1"/>
  <c r="S129" i="17" a="1"/>
  <c r="S129" i="17" s="1"/>
  <c r="S130" i="17" a="1"/>
  <c r="S130" i="17" s="1"/>
  <c r="S131" i="17" a="1"/>
  <c r="S131" i="17" s="1"/>
  <c r="S132" i="17" a="1"/>
  <c r="S132" i="17" s="1"/>
  <c r="S133" i="17" a="1"/>
  <c r="S133" i="17" s="1"/>
  <c r="S323" i="17" a="1"/>
  <c r="S323" i="17" s="1"/>
  <c r="S134" i="17" a="1"/>
  <c r="S134" i="17" s="1"/>
  <c r="S135" i="17" a="1"/>
  <c r="S135" i="17" s="1"/>
  <c r="S136" i="17" a="1"/>
  <c r="S136" i="17" s="1"/>
  <c r="S137" i="17" a="1"/>
  <c r="S137" i="17" s="1"/>
  <c r="S138" i="17" a="1"/>
  <c r="S138" i="17" s="1"/>
  <c r="S139" i="17" a="1"/>
  <c r="S139" i="17" s="1"/>
  <c r="S324" i="17" a="1"/>
  <c r="S324" i="17" s="1"/>
  <c r="S140" i="17" a="1"/>
  <c r="S140" i="17" s="1"/>
  <c r="S141" i="17" a="1"/>
  <c r="S141" i="17" s="1"/>
  <c r="S142" i="17" a="1"/>
  <c r="S142" i="17" s="1"/>
  <c r="S143" i="17" a="1"/>
  <c r="S143" i="17" s="1"/>
  <c r="S144" i="17" a="1"/>
  <c r="S144" i="17" s="1"/>
  <c r="S145" i="17" a="1"/>
  <c r="S145" i="17" s="1"/>
  <c r="S325" i="17" a="1"/>
  <c r="S325" i="17" s="1"/>
  <c r="S146" i="17" a="1"/>
  <c r="S146" i="17" s="1"/>
  <c r="S147" i="17" a="1"/>
  <c r="S147" i="17" s="1"/>
  <c r="S148" i="17" a="1"/>
  <c r="S148" i="17" s="1"/>
  <c r="S149" i="17" a="1"/>
  <c r="S149" i="17" s="1"/>
  <c r="S150" i="17" a="1"/>
  <c r="S150" i="17" s="1"/>
  <c r="S151" i="17" a="1"/>
  <c r="S151" i="17" s="1"/>
  <c r="S326" i="17" a="1"/>
  <c r="S326" i="17" s="1"/>
  <c r="S152" i="17" a="1"/>
  <c r="S152" i="17" s="1"/>
  <c r="S153" i="17" a="1"/>
  <c r="S153" i="17" s="1"/>
  <c r="S154" i="17" a="1"/>
  <c r="S154" i="17" s="1"/>
  <c r="S155" i="17" a="1"/>
  <c r="S155" i="17" s="1"/>
  <c r="S156" i="17" a="1"/>
  <c r="S156" i="17" s="1"/>
  <c r="S157" i="17" a="1"/>
  <c r="S157" i="17" s="1"/>
  <c r="S327" i="17" a="1"/>
  <c r="S327" i="17" s="1"/>
  <c r="S158" i="17" a="1"/>
  <c r="S158" i="17" s="1"/>
  <c r="S159" i="17" a="1"/>
  <c r="S159" i="17" s="1"/>
  <c r="S160" i="17" a="1"/>
  <c r="S160" i="17" s="1"/>
  <c r="S161" i="17" a="1"/>
  <c r="S161" i="17" s="1"/>
  <c r="S162" i="17" a="1"/>
  <c r="S162" i="17" s="1"/>
  <c r="S163" i="17" a="1"/>
  <c r="S163" i="17" s="1"/>
  <c r="S328" i="17" a="1"/>
  <c r="S328" i="17" s="1"/>
  <c r="S164" i="17" a="1"/>
  <c r="S164" i="17" s="1"/>
  <c r="S165" i="17" a="1"/>
  <c r="S165" i="17" s="1"/>
  <c r="S166" i="17" a="1"/>
  <c r="S166" i="17" s="1"/>
  <c r="S167" i="17" a="1"/>
  <c r="S167" i="17" s="1"/>
  <c r="S168" i="17" a="1"/>
  <c r="S168" i="17" s="1"/>
  <c r="S169" i="17" a="1"/>
  <c r="S169" i="17" s="1"/>
  <c r="S329" i="17" a="1"/>
  <c r="S329" i="17" s="1"/>
  <c r="S170" i="17" a="1"/>
  <c r="S170" i="17" s="1"/>
  <c r="S171" i="17" a="1"/>
  <c r="S171" i="17" s="1"/>
  <c r="S172" i="17" a="1"/>
  <c r="S172" i="17" s="1"/>
  <c r="S173" i="17" a="1"/>
  <c r="S173" i="17" s="1"/>
  <c r="S174" i="17" a="1"/>
  <c r="S174" i="17" s="1"/>
  <c r="S175" i="17" a="1"/>
  <c r="S175" i="17" s="1"/>
  <c r="S330" i="17" a="1"/>
  <c r="S330" i="17" s="1"/>
  <c r="S176" i="17" a="1"/>
  <c r="S176" i="17" s="1"/>
  <c r="S177" i="17" a="1"/>
  <c r="S177" i="17" s="1"/>
  <c r="S178" i="17" a="1"/>
  <c r="S178" i="17" s="1"/>
  <c r="S179" i="17" a="1"/>
  <c r="S179" i="17" s="1"/>
  <c r="S180" i="17" a="1"/>
  <c r="S180" i="17" s="1"/>
  <c r="S181" i="17" a="1"/>
  <c r="S181" i="17" s="1"/>
  <c r="S331" i="17" a="1"/>
  <c r="S331" i="17" s="1"/>
  <c r="S182" i="17" a="1"/>
  <c r="S182" i="17"/>
  <c r="S183" i="17" a="1"/>
  <c r="S183" i="17" s="1"/>
  <c r="S184" i="17" a="1"/>
  <c r="S184" i="17" s="1"/>
  <c r="S185" i="17" a="1"/>
  <c r="S185" i="17" s="1"/>
  <c r="S186" i="17" a="1"/>
  <c r="S186" i="17" s="1"/>
  <c r="S187" i="17" a="1"/>
  <c r="S187" i="17" s="1"/>
  <c r="S332" i="17" a="1"/>
  <c r="S332" i="17" s="1"/>
  <c r="S188" i="17" a="1"/>
  <c r="S188" i="17"/>
  <c r="S189" i="17" a="1"/>
  <c r="S189" i="17" s="1"/>
  <c r="S190" i="17" a="1"/>
  <c r="S190" i="17" s="1"/>
  <c r="S191" i="17" a="1"/>
  <c r="S191" i="17" s="1"/>
  <c r="S192" i="17" a="1"/>
  <c r="S192" i="17" s="1"/>
  <c r="S193" i="17" a="1"/>
  <c r="S193" i="17" s="1"/>
  <c r="S333" i="17" a="1"/>
  <c r="S333" i="17" s="1"/>
  <c r="S194" i="17" a="1"/>
  <c r="S194" i="17" s="1"/>
  <c r="S195" i="17" a="1"/>
  <c r="S195" i="17" s="1"/>
  <c r="S196" i="17" a="1"/>
  <c r="S196" i="17" s="1"/>
  <c r="S197" i="17" a="1"/>
  <c r="S197" i="17" s="1"/>
  <c r="S198" i="17" a="1"/>
  <c r="S198" i="17" s="1"/>
  <c r="S199" i="17" a="1"/>
  <c r="S199" i="17" s="1"/>
  <c r="S334" i="17" a="1"/>
  <c r="S334" i="17" s="1"/>
  <c r="S200" i="17" a="1"/>
  <c r="S200" i="17" s="1"/>
  <c r="S201" i="17" a="1"/>
  <c r="S201" i="17" s="1"/>
  <c r="S202" i="17" a="1"/>
  <c r="S202" i="17" s="1"/>
  <c r="S203" i="17" a="1"/>
  <c r="S203" i="17" s="1"/>
  <c r="S204" i="17" a="1"/>
  <c r="S204" i="17"/>
  <c r="S205" i="17" a="1"/>
  <c r="S205" i="17" s="1"/>
  <c r="S335" i="17" a="1"/>
  <c r="S335" i="17" s="1"/>
  <c r="S206" i="17" a="1"/>
  <c r="S206" i="17" s="1"/>
  <c r="S207" i="17" a="1"/>
  <c r="S207" i="17" s="1"/>
  <c r="S208" i="17" a="1"/>
  <c r="S208" i="17" s="1"/>
  <c r="S209" i="17" a="1"/>
  <c r="S209" i="17"/>
  <c r="S210" i="17" a="1"/>
  <c r="S210" i="17" s="1"/>
  <c r="S211" i="17" a="1"/>
  <c r="S211" i="17" s="1"/>
  <c r="S336" i="17" a="1"/>
  <c r="S336" i="17" s="1"/>
  <c r="S212" i="17" a="1"/>
  <c r="S212" i="17" s="1"/>
  <c r="S213" i="17" a="1"/>
  <c r="S213" i="17" s="1"/>
  <c r="S214" i="17" a="1"/>
  <c r="S214" i="17" s="1"/>
  <c r="S215" i="17" a="1"/>
  <c r="S215" i="17" s="1"/>
  <c r="S216" i="17" a="1"/>
  <c r="S216" i="17" s="1"/>
  <c r="S217" i="17" a="1"/>
  <c r="S217" i="17" s="1"/>
  <c r="S337" i="17" a="1"/>
  <c r="S337" i="17" s="1"/>
  <c r="S218" i="17" a="1"/>
  <c r="S218" i="17" s="1"/>
  <c r="S219" i="17" a="1"/>
  <c r="S219" i="17" s="1"/>
  <c r="S220" i="17" a="1"/>
  <c r="S220" i="17" s="1"/>
  <c r="S221" i="17" a="1"/>
  <c r="S221" i="17" s="1"/>
  <c r="S222" i="17" a="1"/>
  <c r="S222" i="17" s="1"/>
  <c r="S223" i="17" a="1"/>
  <c r="S223" i="17" s="1"/>
  <c r="S338" i="17" a="1"/>
  <c r="S338" i="17" s="1"/>
  <c r="S224" i="17" a="1"/>
  <c r="S224" i="17" s="1"/>
  <c r="S225" i="17" a="1"/>
  <c r="S225" i="17" s="1"/>
  <c r="S226" i="17" a="1"/>
  <c r="S226" i="17" s="1"/>
  <c r="S227" i="17" a="1"/>
  <c r="S227" i="17" s="1"/>
  <c r="S228" i="17" a="1"/>
  <c r="S228" i="17" s="1"/>
  <c r="S229" i="17" a="1"/>
  <c r="S229" i="17" s="1"/>
  <c r="S339" i="17" a="1"/>
  <c r="S339" i="17"/>
  <c r="S230" i="17" a="1"/>
  <c r="S230" i="17" s="1"/>
  <c r="S231" i="17" a="1"/>
  <c r="S231" i="17" s="1"/>
  <c r="S232" i="17" a="1"/>
  <c r="S232" i="17" s="1"/>
  <c r="S233" i="17" a="1"/>
  <c r="S233" i="17" s="1"/>
  <c r="S234" i="17" a="1"/>
  <c r="S234" i="17" s="1"/>
  <c r="S235" i="17" a="1"/>
  <c r="S235" i="17" s="1"/>
  <c r="S340" i="17" a="1"/>
  <c r="S340" i="17" s="1"/>
  <c r="S236" i="17" a="1"/>
  <c r="S236" i="17" s="1"/>
  <c r="S237" i="17" a="1"/>
  <c r="S237" i="17" s="1"/>
  <c r="S238" i="17" a="1"/>
  <c r="S238" i="17" s="1"/>
  <c r="S239" i="17" a="1"/>
  <c r="S239" i="17" s="1"/>
  <c r="S240" i="17" a="1"/>
  <c r="S240" i="17" s="1"/>
  <c r="S241" i="17" a="1"/>
  <c r="S241" i="17" s="1"/>
  <c r="S341" i="17" a="1"/>
  <c r="S341" i="17" s="1"/>
  <c r="S242" i="17" a="1"/>
  <c r="S242" i="17" s="1"/>
  <c r="S243" i="17" a="1"/>
  <c r="S243" i="17" s="1"/>
  <c r="S244" i="17" a="1"/>
  <c r="S244" i="17" s="1"/>
  <c r="S245" i="17" a="1"/>
  <c r="S245" i="17" s="1"/>
  <c r="S246" i="17" a="1"/>
  <c r="S246" i="17" s="1"/>
  <c r="S247" i="17" a="1"/>
  <c r="S247" i="17" s="1"/>
  <c r="S342" i="17" a="1"/>
  <c r="S342" i="17" s="1"/>
  <c r="S248" i="17" a="1"/>
  <c r="S248" i="17" s="1"/>
  <c r="S249" i="17" a="1"/>
  <c r="S249" i="17" s="1"/>
  <c r="S250" i="17" a="1"/>
  <c r="S250" i="17" s="1"/>
  <c r="S251" i="17" a="1"/>
  <c r="S251" i="17" s="1"/>
  <c r="S252" i="17" a="1"/>
  <c r="S252" i="17" s="1"/>
  <c r="S253" i="17" a="1"/>
  <c r="S253" i="17" s="1"/>
  <c r="S343" i="17" a="1"/>
  <c r="S343" i="17" s="1"/>
  <c r="S254" i="17" a="1"/>
  <c r="S254" i="17" s="1"/>
  <c r="S255" i="17" a="1"/>
  <c r="S255" i="17" s="1"/>
  <c r="S256" i="17" a="1"/>
  <c r="S256" i="17" s="1"/>
  <c r="S257" i="17" a="1"/>
  <c r="S257" i="17"/>
  <c r="S258" i="17" a="1"/>
  <c r="S258" i="17" s="1"/>
  <c r="S259" i="17" a="1"/>
  <c r="S259" i="17"/>
  <c r="S344" i="17" a="1"/>
  <c r="S344" i="17" s="1"/>
  <c r="S260" i="17" a="1"/>
  <c r="S260" i="17" s="1"/>
  <c r="S261" i="17" a="1"/>
  <c r="S261" i="17" s="1"/>
  <c r="S262" i="17" a="1"/>
  <c r="S262" i="17" s="1"/>
  <c r="S263" i="17" a="1"/>
  <c r="S263" i="17" s="1"/>
  <c r="S264" i="17" a="1"/>
  <c r="S264" i="17" s="1"/>
  <c r="S265" i="17" a="1"/>
  <c r="S265" i="17" s="1"/>
  <c r="S345" i="17" a="1"/>
  <c r="S345" i="17" s="1"/>
  <c r="S266" i="17" a="1"/>
  <c r="S266" i="17" s="1"/>
  <c r="S267" i="17" a="1"/>
  <c r="S267" i="17" s="1"/>
  <c r="S268" i="17" a="1"/>
  <c r="S268" i="17" s="1"/>
  <c r="S269" i="17" a="1"/>
  <c r="S269" i="17" s="1"/>
  <c r="S270" i="17" a="1"/>
  <c r="S270" i="17" s="1"/>
  <c r="S271" i="17" a="1"/>
  <c r="S271" i="17" s="1"/>
  <c r="S346" i="17" a="1"/>
  <c r="S346" i="17" s="1"/>
  <c r="S272" i="17" a="1"/>
  <c r="S272" i="17" s="1"/>
  <c r="S273" i="17" a="1"/>
  <c r="S273" i="17" s="1"/>
  <c r="S274" i="17" a="1"/>
  <c r="S274" i="17" s="1"/>
  <c r="S275" i="17" a="1"/>
  <c r="S275" i="17" s="1"/>
  <c r="S276" i="17" a="1"/>
  <c r="S276" i="17" s="1"/>
  <c r="S277" i="17" a="1"/>
  <c r="S277" i="17" s="1"/>
  <c r="S347" i="17" a="1"/>
  <c r="S347" i="17" s="1"/>
  <c r="S278" i="17" a="1"/>
  <c r="S278" i="17" s="1"/>
  <c r="S279" i="17" a="1"/>
  <c r="S279" i="17"/>
  <c r="S280" i="17" a="1"/>
  <c r="S280" i="17" s="1"/>
  <c r="S281" i="17" a="1"/>
  <c r="S281" i="17" s="1"/>
  <c r="S282" i="17" a="1"/>
  <c r="S282" i="17" s="1"/>
  <c r="S283" i="17" a="1"/>
  <c r="S283" i="17" s="1"/>
  <c r="S348" i="17" a="1"/>
  <c r="S348" i="17" s="1"/>
  <c r="S284" i="17" a="1"/>
  <c r="S284" i="17" s="1"/>
  <c r="S285" i="17" a="1"/>
  <c r="S285" i="17" s="1"/>
  <c r="S286" i="17" a="1"/>
  <c r="S286" i="17" s="1"/>
  <c r="S287" i="17" a="1"/>
  <c r="S287" i="17" s="1"/>
  <c r="S288" i="17" a="1"/>
  <c r="S288" i="17" s="1"/>
  <c r="S289" i="17" a="1"/>
  <c r="S289" i="17" s="1"/>
  <c r="S349" i="17" a="1"/>
  <c r="S349" i="17" s="1"/>
  <c r="S290" i="17" a="1"/>
  <c r="S290" i="17" s="1"/>
  <c r="S291" i="17" a="1"/>
  <c r="S291" i="17" s="1"/>
  <c r="S292" i="17" a="1"/>
  <c r="S292" i="17" s="1"/>
  <c r="S293" i="17" a="1"/>
  <c r="S293" i="17"/>
  <c r="S294" i="17" a="1"/>
  <c r="S294" i="17" s="1"/>
  <c r="S295" i="17" a="1"/>
  <c r="S295" i="17" s="1"/>
  <c r="S350" i="17" a="1"/>
  <c r="S350" i="17" s="1"/>
  <c r="S296" i="17" a="1"/>
  <c r="S296" i="17" s="1"/>
  <c r="S297" i="17" a="1"/>
  <c r="S297" i="17" s="1"/>
  <c r="S298" i="17" a="1"/>
  <c r="S298" i="17" s="1"/>
  <c r="S299" i="17" a="1"/>
  <c r="S299" i="17"/>
  <c r="S300" i="17" a="1"/>
  <c r="S300" i="17" s="1"/>
  <c r="S301" i="17" a="1"/>
  <c r="S301" i="17" s="1"/>
  <c r="S351" i="17" a="1"/>
  <c r="S351" i="17" s="1"/>
  <c r="T2" i="17" a="1"/>
  <c r="T2" i="17" s="1"/>
  <c r="T3" i="17" a="1"/>
  <c r="T3" i="17" s="1"/>
  <c r="T4" i="17" a="1"/>
  <c r="T4" i="17" s="1"/>
  <c r="T5" i="17" a="1"/>
  <c r="T5" i="17"/>
  <c r="T6" i="17" a="1"/>
  <c r="T6" i="17" s="1"/>
  <c r="T7" i="17" a="1"/>
  <c r="T7" i="17" s="1"/>
  <c r="T302" i="17" a="1"/>
  <c r="T302" i="17" s="1"/>
  <c r="T8" i="17" a="1"/>
  <c r="T8" i="17" s="1"/>
  <c r="T9" i="17" a="1"/>
  <c r="T9" i="17" s="1"/>
  <c r="T10" i="17" a="1"/>
  <c r="T10" i="17" s="1"/>
  <c r="T11" i="17" a="1"/>
  <c r="T11" i="17" s="1"/>
  <c r="T12" i="17" a="1"/>
  <c r="T12" i="17" s="1"/>
  <c r="T13" i="17" a="1"/>
  <c r="T13" i="17" s="1"/>
  <c r="T303" i="17" a="1"/>
  <c r="T303" i="17" s="1"/>
  <c r="T14" i="17" a="1"/>
  <c r="T14" i="17" s="1"/>
  <c r="T15" i="17" a="1"/>
  <c r="T15" i="17" s="1"/>
  <c r="T16" i="17" a="1"/>
  <c r="T16" i="17" s="1"/>
  <c r="T17" i="17" a="1"/>
  <c r="T17" i="17" s="1"/>
  <c r="T18" i="17" a="1"/>
  <c r="T18" i="17" s="1"/>
  <c r="T19" i="17" a="1"/>
  <c r="T19" i="17" s="1"/>
  <c r="T304" i="17" a="1"/>
  <c r="T304" i="17"/>
  <c r="T20" i="17" a="1"/>
  <c r="T20" i="17" s="1"/>
  <c r="T21" i="17" a="1"/>
  <c r="T21" i="17" s="1"/>
  <c r="T22" i="17" a="1"/>
  <c r="T22" i="17" s="1"/>
  <c r="T23" i="17" a="1"/>
  <c r="T23" i="17" s="1"/>
  <c r="T24" i="17" a="1"/>
  <c r="T24" i="17" s="1"/>
  <c r="T25" i="17" a="1"/>
  <c r="T25" i="17" s="1"/>
  <c r="T305" i="17" a="1"/>
  <c r="T305" i="17" s="1"/>
  <c r="T26" i="17" a="1"/>
  <c r="T26" i="17"/>
  <c r="T27" i="17" a="1"/>
  <c r="T27" i="17" s="1"/>
  <c r="T28" i="17" a="1"/>
  <c r="T28" i="17" s="1"/>
  <c r="T29" i="17" a="1"/>
  <c r="T29" i="17" s="1"/>
  <c r="T30" i="17" a="1"/>
  <c r="T30" i="17" s="1"/>
  <c r="T31" i="17" a="1"/>
  <c r="T31" i="17" s="1"/>
  <c r="T306" i="17" a="1"/>
  <c r="T306" i="17" s="1"/>
  <c r="T32" i="17" a="1"/>
  <c r="T32" i="17" s="1"/>
  <c r="T33" i="17" a="1"/>
  <c r="T33" i="17" s="1"/>
  <c r="T34" i="17" a="1"/>
  <c r="T34" i="17" s="1"/>
  <c r="T35" i="17" a="1"/>
  <c r="T35" i="17" s="1"/>
  <c r="T36" i="17" a="1"/>
  <c r="T36" i="17" s="1"/>
  <c r="T37" i="17" a="1"/>
  <c r="T37" i="17" s="1"/>
  <c r="T307" i="17" a="1"/>
  <c r="T307" i="17" s="1"/>
  <c r="T38" i="17" a="1"/>
  <c r="T38" i="17" s="1"/>
  <c r="T39" i="17" a="1"/>
  <c r="T39" i="17"/>
  <c r="T40" i="17" a="1"/>
  <c r="T40" i="17" s="1"/>
  <c r="T41" i="17" a="1"/>
  <c r="T41" i="17" s="1"/>
  <c r="T42" i="17" a="1"/>
  <c r="T42" i="17" s="1"/>
  <c r="T43" i="17" a="1"/>
  <c r="T43" i="17" s="1"/>
  <c r="T308" i="17" a="1"/>
  <c r="T308" i="17" s="1"/>
  <c r="T44" i="17" a="1"/>
  <c r="T44" i="17" s="1"/>
  <c r="T45" i="17" a="1"/>
  <c r="T45" i="17" s="1"/>
  <c r="T46" i="17" a="1"/>
  <c r="T46" i="17" s="1"/>
  <c r="T47" i="17" a="1"/>
  <c r="T47" i="17" s="1"/>
  <c r="T48" i="17" a="1"/>
  <c r="T48" i="17" s="1"/>
  <c r="T49" i="17" a="1"/>
  <c r="T49" i="17" s="1"/>
  <c r="T309" i="17" a="1"/>
  <c r="T309" i="17" s="1"/>
  <c r="T50" i="17" a="1"/>
  <c r="T50" i="17" s="1"/>
  <c r="T51" i="17" a="1"/>
  <c r="T51" i="17" s="1"/>
  <c r="T52" i="17" a="1"/>
  <c r="T52" i="17" s="1"/>
  <c r="T53" i="17" a="1"/>
  <c r="T53" i="17" s="1"/>
  <c r="T54" i="17" a="1"/>
  <c r="T54" i="17" s="1"/>
  <c r="T55" i="17" a="1"/>
  <c r="T55" i="17" s="1"/>
  <c r="T310" i="17" a="1"/>
  <c r="T310" i="17" s="1"/>
  <c r="T56" i="17" a="1"/>
  <c r="T56" i="17" s="1"/>
  <c r="T57" i="17" a="1"/>
  <c r="T57" i="17" s="1"/>
  <c r="T58" i="17" a="1"/>
  <c r="T58" i="17" s="1"/>
  <c r="T59" i="17" a="1"/>
  <c r="T59" i="17" s="1"/>
  <c r="T60" i="17" a="1"/>
  <c r="T60" i="17" s="1"/>
  <c r="T61" i="17" a="1"/>
  <c r="T61" i="17" s="1"/>
  <c r="T311" i="17" a="1"/>
  <c r="T311" i="17" s="1"/>
  <c r="T62" i="17" a="1"/>
  <c r="T62" i="17" s="1"/>
  <c r="T63" i="17" a="1"/>
  <c r="T63" i="17" s="1"/>
  <c r="T64" i="17" a="1"/>
  <c r="T64" i="17" s="1"/>
  <c r="T65" i="17" a="1"/>
  <c r="T65" i="17" s="1"/>
  <c r="T66" i="17" a="1"/>
  <c r="T66" i="17" s="1"/>
  <c r="T67" i="17" a="1"/>
  <c r="T67" i="17"/>
  <c r="T312" i="17" a="1"/>
  <c r="T312" i="17" s="1"/>
  <c r="T68" i="17" a="1"/>
  <c r="T68" i="17"/>
  <c r="T69" i="17" a="1"/>
  <c r="T69" i="17" s="1"/>
  <c r="T70" i="17" a="1"/>
  <c r="T70" i="17" s="1"/>
  <c r="T71" i="17" a="1"/>
  <c r="T71" i="17" s="1"/>
  <c r="T72" i="17" a="1"/>
  <c r="T72" i="17" s="1"/>
  <c r="T73" i="17" a="1"/>
  <c r="T73" i="17" s="1"/>
  <c r="T313" i="17" a="1"/>
  <c r="T313" i="17" s="1"/>
  <c r="T74" i="17" a="1"/>
  <c r="T74" i="17" s="1"/>
  <c r="T75" i="17" a="1"/>
  <c r="T75" i="17" s="1"/>
  <c r="T76" i="17" a="1"/>
  <c r="T76" i="17" s="1"/>
  <c r="T77" i="17" a="1"/>
  <c r="T77" i="17" s="1"/>
  <c r="T78" i="17" a="1"/>
  <c r="T78" i="17" s="1"/>
  <c r="T79" i="17" a="1"/>
  <c r="T79" i="17" s="1"/>
  <c r="T314" i="17" a="1"/>
  <c r="T314" i="17" s="1"/>
  <c r="T80" i="17" a="1"/>
  <c r="T80" i="17" s="1"/>
  <c r="T81" i="17" a="1"/>
  <c r="T81" i="17" s="1"/>
  <c r="T82" i="17" a="1"/>
  <c r="T82" i="17" s="1"/>
  <c r="T83" i="17" a="1"/>
  <c r="T83" i="17" s="1"/>
  <c r="T84" i="17" a="1"/>
  <c r="T84" i="17" s="1"/>
  <c r="T85" i="17" a="1"/>
  <c r="T85" i="17" s="1"/>
  <c r="T315" i="17" a="1"/>
  <c r="T315" i="17" s="1"/>
  <c r="T86" i="17" a="1"/>
  <c r="T86" i="17" s="1"/>
  <c r="T87" i="17" a="1"/>
  <c r="T87" i="17" s="1"/>
  <c r="T88" i="17" a="1"/>
  <c r="T88" i="17" s="1"/>
  <c r="T89" i="17" a="1"/>
  <c r="T89" i="17" s="1"/>
  <c r="T90" i="17" a="1"/>
  <c r="T90" i="17" s="1"/>
  <c r="T91" i="17" a="1"/>
  <c r="T91" i="17" s="1"/>
  <c r="T316" i="17" a="1"/>
  <c r="T316" i="17" s="1"/>
  <c r="T92" i="17" a="1"/>
  <c r="T92" i="17" s="1"/>
  <c r="T93" i="17" a="1"/>
  <c r="T93" i="17" s="1"/>
  <c r="T94" i="17" a="1"/>
  <c r="T94" i="17" s="1"/>
  <c r="T95" i="17" a="1"/>
  <c r="T95" i="17"/>
  <c r="T96" i="17" a="1"/>
  <c r="T96" i="17" s="1"/>
  <c r="T97" i="17" a="1"/>
  <c r="T97" i="17" s="1"/>
  <c r="T317" i="17" a="1"/>
  <c r="T317" i="17" s="1"/>
  <c r="T98" i="17" a="1"/>
  <c r="T98" i="17" s="1"/>
  <c r="T99" i="17" a="1"/>
  <c r="T99" i="17" s="1"/>
  <c r="T100" i="17" a="1"/>
  <c r="T100" i="17" s="1"/>
  <c r="T101" i="17" a="1"/>
  <c r="T101" i="17"/>
  <c r="T102" i="17" a="1"/>
  <c r="T102" i="17" s="1"/>
  <c r="T103" i="17" a="1"/>
  <c r="T103" i="17" s="1"/>
  <c r="T318" i="17" a="1"/>
  <c r="T318" i="17" s="1"/>
  <c r="T104" i="17" a="1"/>
  <c r="T104" i="17" s="1"/>
  <c r="T105" i="17" a="1"/>
  <c r="T105" i="17" s="1"/>
  <c r="T106" i="17" a="1"/>
  <c r="T106" i="17" s="1"/>
  <c r="T107" i="17" a="1"/>
  <c r="T107" i="17" s="1"/>
  <c r="T108" i="17" a="1"/>
  <c r="T108" i="17" s="1"/>
  <c r="T109" i="17" a="1"/>
  <c r="T109" i="17" s="1"/>
  <c r="T319" i="17" a="1"/>
  <c r="T319" i="17"/>
  <c r="T110" i="17" a="1"/>
  <c r="T110" i="17" s="1"/>
  <c r="T111" i="17" a="1"/>
  <c r="T111" i="17" s="1"/>
  <c r="T112" i="17" a="1"/>
  <c r="T112" i="17" s="1"/>
  <c r="T113" i="17" a="1"/>
  <c r="T113" i="17" s="1"/>
  <c r="T114" i="17" a="1"/>
  <c r="T114" i="17" s="1"/>
  <c r="T115" i="17" a="1"/>
  <c r="T115" i="17" s="1"/>
  <c r="T320" i="17" a="1"/>
  <c r="T320" i="17"/>
  <c r="T116" i="17" a="1"/>
  <c r="T116" i="17" s="1"/>
  <c r="T117" i="17" a="1"/>
  <c r="T117" i="17" s="1"/>
  <c r="T118" i="17" a="1"/>
  <c r="T118" i="17" s="1"/>
  <c r="T119" i="17" a="1"/>
  <c r="T119" i="17" s="1"/>
  <c r="T120" i="17" a="1"/>
  <c r="T120" i="17"/>
  <c r="T121" i="17" a="1"/>
  <c r="T121" i="17" s="1"/>
  <c r="T321" i="17" a="1"/>
  <c r="T321" i="17" s="1"/>
  <c r="T122" i="17" a="1"/>
  <c r="T122" i="17" s="1"/>
  <c r="T123" i="17" a="1"/>
  <c r="T123" i="17" s="1"/>
  <c r="T124" i="17" a="1"/>
  <c r="T124" i="17" s="1"/>
  <c r="T125" i="17" a="1"/>
  <c r="T125" i="17" s="1"/>
  <c r="T126" i="17" a="1"/>
  <c r="T126" i="17" s="1"/>
  <c r="T127" i="17" a="1"/>
  <c r="T127" i="17" s="1"/>
  <c r="T322" i="17" a="1"/>
  <c r="T322" i="17" s="1"/>
  <c r="T128" i="17" a="1"/>
  <c r="T128" i="17" s="1"/>
  <c r="T129" i="17" a="1"/>
  <c r="T129" i="17" s="1"/>
  <c r="T130" i="17" a="1"/>
  <c r="T130" i="17" s="1"/>
  <c r="T131" i="17" a="1"/>
  <c r="T131" i="17" s="1"/>
  <c r="T132" i="17" a="1"/>
  <c r="T132" i="17" s="1"/>
  <c r="T133" i="17" a="1"/>
  <c r="T133" i="17" s="1"/>
  <c r="T323" i="17" a="1"/>
  <c r="T323" i="17" s="1"/>
  <c r="T134" i="17" a="1"/>
  <c r="T134" i="17" s="1"/>
  <c r="T135" i="17" a="1"/>
  <c r="T135" i="17" s="1"/>
  <c r="T136" i="17" a="1"/>
  <c r="T136" i="17" s="1"/>
  <c r="T137" i="17" a="1"/>
  <c r="T137" i="17" s="1"/>
  <c r="T138" i="17" a="1"/>
  <c r="T138" i="17" s="1"/>
  <c r="T139" i="17" a="1"/>
  <c r="T139" i="17" s="1"/>
  <c r="T324" i="17" a="1"/>
  <c r="T324" i="17" s="1"/>
  <c r="T140" i="17" a="1"/>
  <c r="T140" i="17" s="1"/>
  <c r="T141" i="17" a="1"/>
  <c r="T141" i="17" s="1"/>
  <c r="T142" i="17" a="1"/>
  <c r="T142" i="17" s="1"/>
  <c r="T143" i="17" a="1"/>
  <c r="T143" i="17" s="1"/>
  <c r="T144" i="17" a="1"/>
  <c r="T144" i="17" s="1"/>
  <c r="T145" i="17" a="1"/>
  <c r="T145" i="17" s="1"/>
  <c r="T325" i="17" a="1"/>
  <c r="T325" i="17" s="1"/>
  <c r="T146" i="17" a="1"/>
  <c r="T146" i="17" s="1"/>
  <c r="T147" i="17" a="1"/>
  <c r="T147" i="17" s="1"/>
  <c r="T148" i="17" a="1"/>
  <c r="T148" i="17" s="1"/>
  <c r="T149" i="17" a="1"/>
  <c r="T149" i="17" s="1"/>
  <c r="T150" i="17" a="1"/>
  <c r="T150" i="17" s="1"/>
  <c r="T151" i="17" a="1"/>
  <c r="T151" i="17" s="1"/>
  <c r="T326" i="17" a="1"/>
  <c r="T326" i="17" s="1"/>
  <c r="T152" i="17" a="1"/>
  <c r="T152" i="17" s="1"/>
  <c r="T153" i="17" a="1"/>
  <c r="T153" i="17" s="1"/>
  <c r="T154" i="17" a="1"/>
  <c r="T154" i="17" s="1"/>
  <c r="T155" i="17" a="1"/>
  <c r="T155" i="17" s="1"/>
  <c r="T156" i="17" a="1"/>
  <c r="T156" i="17" s="1"/>
  <c r="T157" i="17" a="1"/>
  <c r="T157" i="17" s="1"/>
  <c r="T327" i="17" a="1"/>
  <c r="T327" i="17" s="1"/>
  <c r="T158" i="17" a="1"/>
  <c r="T158" i="17" s="1"/>
  <c r="T159" i="17" a="1"/>
  <c r="T159" i="17" s="1"/>
  <c r="T160" i="17" a="1"/>
  <c r="T160" i="17" s="1"/>
  <c r="T161" i="17" a="1"/>
  <c r="T161" i="17" s="1"/>
  <c r="T162" i="17" a="1"/>
  <c r="T162" i="17" s="1"/>
  <c r="T163" i="17" a="1"/>
  <c r="T163" i="17" s="1"/>
  <c r="T328" i="17" a="1"/>
  <c r="T328" i="17" s="1"/>
  <c r="T164" i="17" a="1"/>
  <c r="T164" i="17" s="1"/>
  <c r="T165" i="17" a="1"/>
  <c r="T165" i="17" s="1"/>
  <c r="T166" i="17" a="1"/>
  <c r="T166" i="17" s="1"/>
  <c r="T167" i="17" a="1"/>
  <c r="T167" i="17" s="1"/>
  <c r="T168" i="17" a="1"/>
  <c r="T168" i="17" s="1"/>
  <c r="T169" i="17" a="1"/>
  <c r="T169" i="17" s="1"/>
  <c r="T329" i="17" a="1"/>
  <c r="T329" i="17" s="1"/>
  <c r="T170" i="17" a="1"/>
  <c r="T170" i="17" s="1"/>
  <c r="T171" i="17" a="1"/>
  <c r="T171" i="17" s="1"/>
  <c r="T172" i="17" a="1"/>
  <c r="T172" i="17" s="1"/>
  <c r="T173" i="17" a="1"/>
  <c r="T173" i="17" s="1"/>
  <c r="T174" i="17" a="1"/>
  <c r="T174" i="17" s="1"/>
  <c r="T175" i="17" a="1"/>
  <c r="T175" i="17" s="1"/>
  <c r="T330" i="17" a="1"/>
  <c r="T330" i="17" s="1"/>
  <c r="T176" i="17" a="1"/>
  <c r="T176" i="17" s="1"/>
  <c r="T177" i="17" a="1"/>
  <c r="T177" i="17" s="1"/>
  <c r="T178" i="17" a="1"/>
  <c r="T178" i="17" s="1"/>
  <c r="T179" i="17" a="1"/>
  <c r="T179" i="17" s="1"/>
  <c r="T180" i="17" a="1"/>
  <c r="T180" i="17" s="1"/>
  <c r="T181" i="17" a="1"/>
  <c r="T181" i="17" s="1"/>
  <c r="T331" i="17" a="1"/>
  <c r="T331" i="17" s="1"/>
  <c r="T182" i="17" a="1"/>
  <c r="T182" i="17" s="1"/>
  <c r="T183" i="17" a="1"/>
  <c r="T183" i="17" s="1"/>
  <c r="T184" i="17" a="1"/>
  <c r="T184" i="17" s="1"/>
  <c r="T185" i="17" a="1"/>
  <c r="T185" i="17" s="1"/>
  <c r="T186" i="17" a="1"/>
  <c r="T186" i="17" s="1"/>
  <c r="T187" i="17" a="1"/>
  <c r="T187" i="17" s="1"/>
  <c r="T332" i="17" a="1"/>
  <c r="T332" i="17" s="1"/>
  <c r="T188" i="17" a="1"/>
  <c r="T188" i="17" s="1"/>
  <c r="T189" i="17" a="1"/>
  <c r="T189" i="17" s="1"/>
  <c r="T190" i="17" a="1"/>
  <c r="T190" i="17"/>
  <c r="T191" i="17" a="1"/>
  <c r="T191" i="17" s="1"/>
  <c r="T192" i="17" a="1"/>
  <c r="T192" i="17" s="1"/>
  <c r="T193" i="17" a="1"/>
  <c r="T193" i="17" s="1"/>
  <c r="T333" i="17" a="1"/>
  <c r="T333" i="17" s="1"/>
  <c r="T194" i="17" a="1"/>
  <c r="T194" i="17" s="1"/>
  <c r="T195" i="17" a="1"/>
  <c r="T195" i="17" s="1"/>
  <c r="T196" i="17" a="1"/>
  <c r="T196" i="17" s="1"/>
  <c r="T197" i="17" a="1"/>
  <c r="T197" i="17" s="1"/>
  <c r="T198" i="17" a="1"/>
  <c r="T198" i="17" s="1"/>
  <c r="T199" i="17" a="1"/>
  <c r="T199" i="17" s="1"/>
  <c r="T334" i="17" a="1"/>
  <c r="T334" i="17" s="1"/>
  <c r="T200" i="17" a="1"/>
  <c r="T200" i="17" s="1"/>
  <c r="T201" i="17" a="1"/>
  <c r="T201" i="17" s="1"/>
  <c r="T202" i="17" a="1"/>
  <c r="T202" i="17" s="1"/>
  <c r="T203" i="17" a="1"/>
  <c r="T203" i="17" s="1"/>
  <c r="T204" i="17" a="1"/>
  <c r="T204" i="17" s="1"/>
  <c r="T205" i="17" a="1"/>
  <c r="T205" i="17" s="1"/>
  <c r="T335" i="17" a="1"/>
  <c r="T335" i="17" s="1"/>
  <c r="T206" i="17" a="1"/>
  <c r="T206" i="17" s="1"/>
  <c r="T207" i="17" a="1"/>
  <c r="T207" i="17" s="1"/>
  <c r="T208" i="17" a="1"/>
  <c r="T208" i="17"/>
  <c r="T209" i="17" a="1"/>
  <c r="T209" i="17" s="1"/>
  <c r="T210" i="17" a="1"/>
  <c r="T210" i="17" s="1"/>
  <c r="T211" i="17" a="1"/>
  <c r="T211" i="17" s="1"/>
  <c r="T336" i="17" a="1"/>
  <c r="T336" i="17" s="1"/>
  <c r="T212" i="17" a="1"/>
  <c r="T212" i="17" s="1"/>
  <c r="T213" i="17" a="1"/>
  <c r="T213" i="17" s="1"/>
  <c r="T214" i="17" a="1"/>
  <c r="T214" i="17"/>
  <c r="T215" i="17" a="1"/>
  <c r="T215" i="17" s="1"/>
  <c r="T216" i="17" a="1"/>
  <c r="T216" i="17" s="1"/>
  <c r="T217" i="17" a="1"/>
  <c r="T217" i="17" s="1"/>
  <c r="T337" i="17" a="1"/>
  <c r="T337" i="17" s="1"/>
  <c r="T218" i="17" a="1"/>
  <c r="T218" i="17" s="1"/>
  <c r="T219" i="17" a="1"/>
  <c r="T219" i="17" s="1"/>
  <c r="T220" i="17" a="1"/>
  <c r="T220" i="17" s="1"/>
  <c r="T221" i="17" a="1"/>
  <c r="T221" i="17" s="1"/>
  <c r="T222" i="17" a="1"/>
  <c r="T222" i="17" s="1"/>
  <c r="T223" i="17" a="1"/>
  <c r="T223" i="17" s="1"/>
  <c r="T338" i="17" a="1"/>
  <c r="T338" i="17" s="1"/>
  <c r="T224" i="17" a="1"/>
  <c r="T224" i="17" s="1"/>
  <c r="T225" i="17" a="1"/>
  <c r="T225" i="17" s="1"/>
  <c r="T226" i="17" a="1"/>
  <c r="T226" i="17" s="1"/>
  <c r="T227" i="17" a="1"/>
  <c r="T227" i="17" s="1"/>
  <c r="T228" i="17" a="1"/>
  <c r="T228" i="17" s="1"/>
  <c r="T229" i="17" a="1"/>
  <c r="T229" i="17" s="1"/>
  <c r="T339" i="17" a="1"/>
  <c r="T339" i="17" s="1"/>
  <c r="T230" i="17" a="1"/>
  <c r="T230" i="17" s="1"/>
  <c r="T231" i="17" a="1"/>
  <c r="T231" i="17" s="1"/>
  <c r="T232" i="17" a="1"/>
  <c r="T232" i="17" s="1"/>
  <c r="T233" i="17" a="1"/>
  <c r="T233" i="17" s="1"/>
  <c r="T234" i="17" a="1"/>
  <c r="T234" i="17" s="1"/>
  <c r="T235" i="17" a="1"/>
  <c r="T235" i="17" s="1"/>
  <c r="T340" i="17" a="1"/>
  <c r="T340" i="17" s="1"/>
  <c r="T236" i="17" a="1"/>
  <c r="T236" i="17" s="1"/>
  <c r="T237" i="17" a="1"/>
  <c r="T237" i="17"/>
  <c r="T238" i="17" a="1"/>
  <c r="T238" i="17"/>
  <c r="T239" i="17" a="1"/>
  <c r="T239" i="17" s="1"/>
  <c r="T240" i="17" a="1"/>
  <c r="T240" i="17" s="1"/>
  <c r="T241" i="17" a="1"/>
  <c r="T241" i="17" s="1"/>
  <c r="T341" i="17" a="1"/>
  <c r="T341" i="17" s="1"/>
  <c r="T242" i="17" a="1"/>
  <c r="T242" i="17" s="1"/>
  <c r="T243" i="17" a="1"/>
  <c r="T243" i="17" s="1"/>
  <c r="T244" i="17" a="1"/>
  <c r="T244" i="17" s="1"/>
  <c r="T245" i="17" a="1"/>
  <c r="T245" i="17" s="1"/>
  <c r="T246" i="17" a="1"/>
  <c r="T246" i="17" s="1"/>
  <c r="T247" i="17" a="1"/>
  <c r="T247" i="17" s="1"/>
  <c r="T342" i="17" a="1"/>
  <c r="T342" i="17" s="1"/>
  <c r="T248" i="17" a="1"/>
  <c r="T248" i="17" s="1"/>
  <c r="T249" i="17" a="1"/>
  <c r="T249" i="17" s="1"/>
  <c r="T250" i="17" a="1"/>
  <c r="T250" i="17" s="1"/>
  <c r="T251" i="17" a="1"/>
  <c r="T251" i="17" s="1"/>
  <c r="T252" i="17" a="1"/>
  <c r="T252" i="17" s="1"/>
  <c r="T253" i="17" a="1"/>
  <c r="T253" i="17" s="1"/>
  <c r="T343" i="17" a="1"/>
  <c r="T343" i="17" s="1"/>
  <c r="T254" i="17" a="1"/>
  <c r="T254" i="17" s="1"/>
  <c r="T255" i="17" a="1"/>
  <c r="T255" i="17" s="1"/>
  <c r="T256" i="17" a="1"/>
  <c r="T256" i="17" s="1"/>
  <c r="T257" i="17" a="1"/>
  <c r="T257" i="17" s="1"/>
  <c r="T258" i="17" a="1"/>
  <c r="T258" i="17" s="1"/>
  <c r="T259" i="17" a="1"/>
  <c r="T259" i="17" s="1"/>
  <c r="T344" i="17" a="1"/>
  <c r="T344" i="17" s="1"/>
  <c r="T260" i="17" a="1"/>
  <c r="T260" i="17" s="1"/>
  <c r="T261" i="17" a="1"/>
  <c r="T261" i="17" s="1"/>
  <c r="T262" i="17" a="1"/>
  <c r="T262" i="17" s="1"/>
  <c r="T263" i="17" a="1"/>
  <c r="T263" i="17" s="1"/>
  <c r="T264" i="17" a="1"/>
  <c r="T264" i="17" s="1"/>
  <c r="T265" i="17" a="1"/>
  <c r="T265" i="17" s="1"/>
  <c r="T345" i="17" a="1"/>
  <c r="T345" i="17"/>
  <c r="T266" i="17" a="1"/>
  <c r="T266" i="17" s="1"/>
  <c r="T267" i="17" a="1"/>
  <c r="T267" i="17" s="1"/>
  <c r="T268" i="17" a="1"/>
  <c r="T268" i="17" s="1"/>
  <c r="T269" i="17" a="1"/>
  <c r="T269" i="17" s="1"/>
  <c r="T270" i="17" a="1"/>
  <c r="T270" i="17" s="1"/>
  <c r="T271" i="17" a="1"/>
  <c r="T271" i="17" s="1"/>
  <c r="T346" i="17" a="1"/>
  <c r="T346" i="17" s="1"/>
  <c r="T272" i="17" a="1"/>
  <c r="T272" i="17" s="1"/>
  <c r="T273" i="17" a="1"/>
  <c r="T273" i="17" s="1"/>
  <c r="T274" i="17" a="1"/>
  <c r="T274" i="17" s="1"/>
  <c r="T275" i="17" a="1"/>
  <c r="T275" i="17" s="1"/>
  <c r="T276" i="17" a="1"/>
  <c r="T276" i="17" s="1"/>
  <c r="T277" i="17" a="1"/>
  <c r="T277" i="17"/>
  <c r="T347" i="17" a="1"/>
  <c r="T347" i="17" s="1"/>
  <c r="T278" i="17" a="1"/>
  <c r="T278" i="17" s="1"/>
  <c r="T279" i="17" a="1"/>
  <c r="T279" i="17" s="1"/>
  <c r="T280" i="17" a="1"/>
  <c r="T280" i="17" s="1"/>
  <c r="T281" i="17" a="1"/>
  <c r="T281" i="17" s="1"/>
  <c r="T282" i="17" a="1"/>
  <c r="T282" i="17" s="1"/>
  <c r="T283" i="17" a="1"/>
  <c r="T283" i="17"/>
  <c r="T348" i="17" a="1"/>
  <c r="T348" i="17" s="1"/>
  <c r="T284" i="17" a="1"/>
  <c r="T284" i="17" s="1"/>
  <c r="T285" i="17" a="1"/>
  <c r="T285" i="17" s="1"/>
  <c r="T286" i="17" a="1"/>
  <c r="T286" i="17" s="1"/>
  <c r="T287" i="17" a="1"/>
  <c r="T287" i="17" s="1"/>
  <c r="T288" i="17" a="1"/>
  <c r="T288" i="17" s="1"/>
  <c r="T289" i="17" a="1"/>
  <c r="T289" i="17" s="1"/>
  <c r="T349" i="17" a="1"/>
  <c r="T349" i="17" s="1"/>
  <c r="T290" i="17" a="1"/>
  <c r="T290" i="17" s="1"/>
  <c r="T291" i="17" a="1"/>
  <c r="T291" i="17" s="1"/>
  <c r="T292" i="17" a="1"/>
  <c r="T292" i="17" s="1"/>
  <c r="T293" i="17" a="1"/>
  <c r="T293" i="17" s="1"/>
  <c r="T294" i="17" a="1"/>
  <c r="T294" i="17" s="1"/>
  <c r="T295" i="17" a="1"/>
  <c r="T295" i="17" s="1"/>
  <c r="T350" i="17" a="1"/>
  <c r="T350" i="17" s="1"/>
  <c r="T296" i="17" a="1"/>
  <c r="T296" i="17" s="1"/>
  <c r="T297" i="17" a="1"/>
  <c r="T297" i="17" s="1"/>
  <c r="T298" i="17" a="1"/>
  <c r="T298" i="17" s="1"/>
  <c r="T299" i="17" a="1"/>
  <c r="T299" i="17" s="1"/>
  <c r="T300" i="17" a="1"/>
  <c r="T300" i="17"/>
  <c r="T301" i="17" a="1"/>
  <c r="T301" i="17" s="1"/>
  <c r="T351" i="17" a="1"/>
  <c r="T351" i="17" s="1"/>
  <c r="U2" i="17" a="1"/>
  <c r="U2" i="17" s="1"/>
  <c r="U3" i="17" a="1"/>
  <c r="U3" i="17" s="1"/>
  <c r="U4" i="17" a="1"/>
  <c r="U4" i="17" s="1"/>
  <c r="U5" i="17" a="1"/>
  <c r="U5" i="17" s="1"/>
  <c r="U6" i="17" a="1"/>
  <c r="U6" i="17" s="1"/>
  <c r="U7" i="17" a="1"/>
  <c r="U7" i="17" s="1"/>
  <c r="U302" i="17" a="1"/>
  <c r="U302" i="17" s="1"/>
  <c r="U8" i="17" a="1"/>
  <c r="U8" i="17" s="1"/>
  <c r="U9" i="17" a="1"/>
  <c r="U9" i="17" s="1"/>
  <c r="U10" i="17" a="1"/>
  <c r="U10" i="17"/>
  <c r="U11" i="17" a="1"/>
  <c r="U11" i="17" s="1"/>
  <c r="U12" i="17" a="1"/>
  <c r="U12" i="17" s="1"/>
  <c r="U13" i="17" a="1"/>
  <c r="U13" i="17" s="1"/>
  <c r="U303" i="17" a="1"/>
  <c r="U303" i="17" s="1"/>
  <c r="U14" i="17" a="1"/>
  <c r="U14" i="17" s="1"/>
  <c r="U15" i="17" a="1"/>
  <c r="U15" i="17" s="1"/>
  <c r="U16" i="17" a="1"/>
  <c r="U16" i="17"/>
  <c r="U17" i="17" a="1"/>
  <c r="U17" i="17" s="1"/>
  <c r="U18" i="17" a="1"/>
  <c r="U18" i="17"/>
  <c r="U19" i="17" a="1"/>
  <c r="U19" i="17" s="1"/>
  <c r="U304" i="17" a="1"/>
  <c r="U304" i="17" s="1"/>
  <c r="U20" i="17" a="1"/>
  <c r="U20" i="17" s="1"/>
  <c r="U21" i="17" a="1"/>
  <c r="U21" i="17" s="1"/>
  <c r="U22" i="17" a="1"/>
  <c r="U22" i="17" s="1"/>
  <c r="U23" i="17" a="1"/>
  <c r="U23" i="17" s="1"/>
  <c r="U24" i="17" a="1"/>
  <c r="U24" i="17" s="1"/>
  <c r="U25" i="17" a="1"/>
  <c r="U25" i="17" s="1"/>
  <c r="U305" i="17" a="1"/>
  <c r="U305" i="17" s="1"/>
  <c r="U26" i="17" a="1"/>
  <c r="U26" i="17" s="1"/>
  <c r="U27" i="17" a="1"/>
  <c r="U27" i="17" s="1"/>
  <c r="U28" i="17" a="1"/>
  <c r="U28" i="17"/>
  <c r="U29" i="17" a="1"/>
  <c r="U29" i="17" s="1"/>
  <c r="U30" i="17" a="1"/>
  <c r="U30" i="17" s="1"/>
  <c r="U31" i="17" a="1"/>
  <c r="U31" i="17" s="1"/>
  <c r="U306" i="17" a="1"/>
  <c r="U306" i="17" s="1"/>
  <c r="U32" i="17" a="1"/>
  <c r="U32" i="17" s="1"/>
  <c r="U33" i="17" a="1"/>
  <c r="U33" i="17" s="1"/>
  <c r="U34" i="17" a="1"/>
  <c r="U34" i="17" s="1"/>
  <c r="U35" i="17" a="1"/>
  <c r="U35" i="17" s="1"/>
  <c r="U36" i="17" a="1"/>
  <c r="U36" i="17" s="1"/>
  <c r="U37" i="17" a="1"/>
  <c r="U37" i="17" s="1"/>
  <c r="U307" i="17" a="1"/>
  <c r="U307" i="17" s="1"/>
  <c r="U38" i="17" a="1"/>
  <c r="U38" i="17" s="1"/>
  <c r="U39" i="17" a="1"/>
  <c r="U39" i="17" s="1"/>
  <c r="U40" i="17" a="1"/>
  <c r="U40" i="17" s="1"/>
  <c r="U41" i="17" a="1"/>
  <c r="U41" i="17" s="1"/>
  <c r="U42" i="17" a="1"/>
  <c r="U42" i="17" s="1"/>
  <c r="U43" i="17" a="1"/>
  <c r="U43" i="17" s="1"/>
  <c r="U308" i="17" a="1"/>
  <c r="U308" i="17" s="1"/>
  <c r="U44" i="17" a="1"/>
  <c r="U44" i="17" s="1"/>
  <c r="U45" i="17" a="1"/>
  <c r="U45" i="17" s="1"/>
  <c r="U46" i="17" a="1"/>
  <c r="U46" i="17" s="1"/>
  <c r="U47" i="17" a="1"/>
  <c r="U47" i="17" s="1"/>
  <c r="U48" i="17" a="1"/>
  <c r="U48" i="17" s="1"/>
  <c r="U49" i="17" a="1"/>
  <c r="U49" i="17" s="1"/>
  <c r="U309" i="17" a="1"/>
  <c r="U309" i="17" s="1"/>
  <c r="U50" i="17" a="1"/>
  <c r="U50" i="17" s="1"/>
  <c r="U51" i="17" a="1"/>
  <c r="U51" i="17"/>
  <c r="U52" i="17" a="1"/>
  <c r="U52" i="17" s="1"/>
  <c r="U53" i="17" a="1"/>
  <c r="U53" i="17" s="1"/>
  <c r="U54" i="17" a="1"/>
  <c r="U54" i="17" s="1"/>
  <c r="U55" i="17" a="1"/>
  <c r="U55" i="17" s="1"/>
  <c r="U310" i="17" a="1"/>
  <c r="U310" i="17" s="1"/>
  <c r="U56" i="17" a="1"/>
  <c r="U56" i="17" s="1"/>
  <c r="U57" i="17" a="1"/>
  <c r="U57" i="17" s="1"/>
  <c r="U58" i="17" a="1"/>
  <c r="U58" i="17" s="1"/>
  <c r="U59" i="17" a="1"/>
  <c r="U59" i="17"/>
  <c r="U60" i="17" a="1"/>
  <c r="U60" i="17" s="1"/>
  <c r="U61" i="17" a="1"/>
  <c r="U61" i="17" s="1"/>
  <c r="U311" i="17" a="1"/>
  <c r="U311" i="17" s="1"/>
  <c r="U62" i="17" a="1"/>
  <c r="U62" i="17" s="1"/>
  <c r="U63" i="17" a="1"/>
  <c r="U63" i="17" s="1"/>
  <c r="U64" i="17" a="1"/>
  <c r="U64" i="17" s="1"/>
  <c r="U65" i="17" a="1"/>
  <c r="U65" i="17" s="1"/>
  <c r="U66" i="17" a="1"/>
  <c r="U66" i="17" s="1"/>
  <c r="U67" i="17" a="1"/>
  <c r="U67" i="17" s="1"/>
  <c r="U312" i="17" a="1"/>
  <c r="U312" i="17" s="1"/>
  <c r="U68" i="17" a="1"/>
  <c r="U68" i="17" s="1"/>
  <c r="U69" i="17" a="1"/>
  <c r="U69" i="17" s="1"/>
  <c r="U70" i="17" a="1"/>
  <c r="U70" i="17" s="1"/>
  <c r="U71" i="17" a="1"/>
  <c r="U71" i="17" s="1"/>
  <c r="U72" i="17" a="1"/>
  <c r="U72" i="17"/>
  <c r="U73" i="17" a="1"/>
  <c r="U73" i="17" s="1"/>
  <c r="U313" i="17" a="1"/>
  <c r="U313" i="17" s="1"/>
  <c r="U74" i="17" a="1"/>
  <c r="U74" i="17" s="1"/>
  <c r="U75" i="17" a="1"/>
  <c r="U75" i="17" s="1"/>
  <c r="U76" i="17" a="1"/>
  <c r="U76" i="17" s="1"/>
  <c r="U77" i="17" a="1"/>
  <c r="U77" i="17" s="1"/>
  <c r="U78" i="17" a="1"/>
  <c r="U78" i="17" s="1"/>
  <c r="U79" i="17" a="1"/>
  <c r="U79" i="17" s="1"/>
  <c r="U314" i="17" a="1"/>
  <c r="U314" i="17" s="1"/>
  <c r="U80" i="17" a="1"/>
  <c r="U80" i="17" s="1"/>
  <c r="U81" i="17" a="1"/>
  <c r="U81" i="17" s="1"/>
  <c r="U82" i="17" a="1"/>
  <c r="U82" i="17" s="1"/>
  <c r="U83" i="17" a="1"/>
  <c r="U83" i="17" s="1"/>
  <c r="U84" i="17" a="1"/>
  <c r="U84" i="17" s="1"/>
  <c r="U85" i="17" a="1"/>
  <c r="U85" i="17" s="1"/>
  <c r="U315" i="17" a="1"/>
  <c r="U315" i="17" s="1"/>
  <c r="U86" i="17" a="1"/>
  <c r="U86" i="17" s="1"/>
  <c r="U87" i="17" a="1"/>
  <c r="U87" i="17" s="1"/>
  <c r="U88" i="17" a="1"/>
  <c r="U88" i="17" s="1"/>
  <c r="U89" i="17" a="1"/>
  <c r="U89" i="17" s="1"/>
  <c r="U90" i="17" a="1"/>
  <c r="U90" i="17" s="1"/>
  <c r="U91" i="17" a="1"/>
  <c r="U91" i="17" s="1"/>
  <c r="U316" i="17" a="1"/>
  <c r="U316" i="17"/>
  <c r="U92" i="17" a="1"/>
  <c r="U92" i="17" s="1"/>
  <c r="U93" i="17" a="1"/>
  <c r="U93" i="17" s="1"/>
  <c r="U94" i="17" a="1"/>
  <c r="U94" i="17" s="1"/>
  <c r="U95" i="17" a="1"/>
  <c r="U95" i="17" s="1"/>
  <c r="U96" i="17" a="1"/>
  <c r="U96" i="17" s="1"/>
  <c r="U97" i="17" a="1"/>
  <c r="U97" i="17" s="1"/>
  <c r="U317" i="17" a="1"/>
  <c r="U317" i="17" s="1"/>
  <c r="U98" i="17" a="1"/>
  <c r="U98" i="17" s="1"/>
  <c r="U99" i="17" a="1"/>
  <c r="U99" i="17" s="1"/>
  <c r="U100" i="17" a="1"/>
  <c r="U100" i="17" s="1"/>
  <c r="U101" i="17" a="1"/>
  <c r="U101" i="17" s="1"/>
  <c r="U102" i="17" a="1"/>
  <c r="U102" i="17" s="1"/>
  <c r="U103" i="17" a="1"/>
  <c r="U103" i="17" s="1"/>
  <c r="U318" i="17" a="1"/>
  <c r="U318" i="17" s="1"/>
  <c r="U104" i="17" a="1"/>
  <c r="U104" i="17" s="1"/>
  <c r="U105" i="17" a="1"/>
  <c r="U105" i="17" s="1"/>
  <c r="U106" i="17" a="1"/>
  <c r="U106" i="17" s="1"/>
  <c r="U107" i="17" a="1"/>
  <c r="U107" i="17" s="1"/>
  <c r="U108" i="17" a="1"/>
  <c r="U108" i="17" s="1"/>
  <c r="U109" i="17" a="1"/>
  <c r="U109" i="17" s="1"/>
  <c r="U319" i="17" a="1"/>
  <c r="U319" i="17" s="1"/>
  <c r="U110" i="17" a="1"/>
  <c r="U110" i="17" s="1"/>
  <c r="U111" i="17" a="1"/>
  <c r="U111" i="17" s="1"/>
  <c r="U112" i="17" a="1"/>
  <c r="U112" i="17" s="1"/>
  <c r="U113" i="17" a="1"/>
  <c r="U113" i="17" s="1"/>
  <c r="U114" i="17" a="1"/>
  <c r="U114" i="17" s="1"/>
  <c r="U115" i="17" a="1"/>
  <c r="U115" i="17" s="1"/>
  <c r="U320" i="17" a="1"/>
  <c r="U320" i="17" s="1"/>
  <c r="U116" i="17" a="1"/>
  <c r="U116" i="17" s="1"/>
  <c r="U117" i="17" a="1"/>
  <c r="U117" i="17" s="1"/>
  <c r="U118" i="17" a="1"/>
  <c r="U118" i="17" s="1"/>
  <c r="U119" i="17" a="1"/>
  <c r="U119" i="17"/>
  <c r="U120" i="17" a="1"/>
  <c r="U120" i="17" s="1"/>
  <c r="U121" i="17" a="1"/>
  <c r="U121" i="17" s="1"/>
  <c r="U321" i="17" a="1"/>
  <c r="U321" i="17" s="1"/>
  <c r="U122" i="17" a="1"/>
  <c r="U122" i="17" s="1"/>
  <c r="U123" i="17" a="1"/>
  <c r="U123" i="17" s="1"/>
  <c r="U124" i="17" a="1"/>
  <c r="U124" i="17" s="1"/>
  <c r="U125" i="17" a="1"/>
  <c r="U125" i="17" s="1"/>
  <c r="U126" i="17" a="1"/>
  <c r="U126" i="17" s="1"/>
  <c r="U127" i="17" a="1"/>
  <c r="U127" i="17"/>
  <c r="U322" i="17" a="1"/>
  <c r="U322" i="17" s="1"/>
  <c r="U128" i="17" a="1"/>
  <c r="U128" i="17" s="1"/>
  <c r="U129" i="17" a="1"/>
  <c r="U129" i="17" s="1"/>
  <c r="U130" i="17" a="1"/>
  <c r="U130" i="17" s="1"/>
  <c r="U131" i="17" a="1"/>
  <c r="U131" i="17" s="1"/>
  <c r="U132" i="17" a="1"/>
  <c r="U132" i="17" s="1"/>
  <c r="U133" i="17" a="1"/>
  <c r="U133" i="17" s="1"/>
  <c r="U323" i="17" a="1"/>
  <c r="U323" i="17"/>
  <c r="U134" i="17" a="1"/>
  <c r="U134" i="17" s="1"/>
  <c r="U135" i="17" a="1"/>
  <c r="U135" i="17" s="1"/>
  <c r="U136" i="17" a="1"/>
  <c r="U136" i="17" s="1"/>
  <c r="U137" i="17" a="1"/>
  <c r="U137" i="17" s="1"/>
  <c r="U138" i="17" a="1"/>
  <c r="U138" i="17" s="1"/>
  <c r="U139" i="17" a="1"/>
  <c r="U139" i="17" s="1"/>
  <c r="U324" i="17" a="1"/>
  <c r="U324" i="17" s="1"/>
  <c r="U140" i="17" a="1"/>
  <c r="U140" i="17" s="1"/>
  <c r="U141" i="17" a="1"/>
  <c r="U141" i="17"/>
  <c r="U142" i="17" a="1"/>
  <c r="U142" i="17" s="1"/>
  <c r="U143" i="17" a="1"/>
  <c r="U143" i="17" s="1"/>
  <c r="U144" i="17" a="1"/>
  <c r="U144" i="17" s="1"/>
  <c r="U145" i="17" a="1"/>
  <c r="U145" i="17" s="1"/>
  <c r="U325" i="17" a="1"/>
  <c r="U325" i="17" s="1"/>
  <c r="U146" i="17" a="1"/>
  <c r="U146" i="17" s="1"/>
  <c r="U147" i="17" a="1"/>
  <c r="U147" i="17" s="1"/>
  <c r="U148" i="17" a="1"/>
  <c r="U148" i="17" s="1"/>
  <c r="U149" i="17" a="1"/>
  <c r="U149" i="17" s="1"/>
  <c r="U150" i="17" a="1"/>
  <c r="U150" i="17" s="1"/>
  <c r="U151" i="17" a="1"/>
  <c r="U151" i="17" s="1"/>
  <c r="U326" i="17" a="1"/>
  <c r="U326" i="17" s="1"/>
  <c r="U152" i="17" a="1"/>
  <c r="U152" i="17" s="1"/>
  <c r="U153" i="17" a="1"/>
  <c r="U153" i="17" s="1"/>
  <c r="U154" i="17" a="1"/>
  <c r="U154" i="17" s="1"/>
  <c r="U155" i="17" a="1"/>
  <c r="U155" i="17" s="1"/>
  <c r="U156" i="17" a="1"/>
  <c r="U156" i="17" s="1"/>
  <c r="U157" i="17" a="1"/>
  <c r="U157" i="17" s="1"/>
  <c r="U327" i="17" a="1"/>
  <c r="U327" i="17" s="1"/>
  <c r="U158" i="17" a="1"/>
  <c r="U158" i="17" s="1"/>
  <c r="U159" i="17" a="1"/>
  <c r="U159" i="17" s="1"/>
  <c r="U160" i="17" a="1"/>
  <c r="U160" i="17" s="1"/>
  <c r="U161" i="17" a="1"/>
  <c r="U161" i="17" s="1"/>
  <c r="U162" i="17" a="1"/>
  <c r="U162" i="17" s="1"/>
  <c r="U163" i="17" a="1"/>
  <c r="U163" i="17" s="1"/>
  <c r="U328" i="17" a="1"/>
  <c r="U328" i="17" s="1"/>
  <c r="U164" i="17" a="1"/>
  <c r="U164" i="17" s="1"/>
  <c r="U165" i="17" a="1"/>
  <c r="U165" i="17" s="1"/>
  <c r="U166" i="17" a="1"/>
  <c r="U166" i="17" s="1"/>
  <c r="U167" i="17" a="1"/>
  <c r="U167" i="17" s="1"/>
  <c r="U168" i="17" a="1"/>
  <c r="U168" i="17" s="1"/>
  <c r="U169" i="17" a="1"/>
  <c r="U169" i="17"/>
  <c r="U329" i="17" a="1"/>
  <c r="U329" i="17" s="1"/>
  <c r="U170" i="17" a="1"/>
  <c r="U170" i="17" s="1"/>
  <c r="U171" i="17" a="1"/>
  <c r="U171" i="17" s="1"/>
  <c r="U172" i="17" a="1"/>
  <c r="U172" i="17" s="1"/>
  <c r="U173" i="17" a="1"/>
  <c r="U173" i="17" s="1"/>
  <c r="U174" i="17" a="1"/>
  <c r="U174" i="17" s="1"/>
  <c r="U175" i="17" a="1"/>
  <c r="U175" i="17" s="1"/>
  <c r="U330" i="17" a="1"/>
  <c r="U330" i="17" s="1"/>
  <c r="U176" i="17" a="1"/>
  <c r="U176" i="17" s="1"/>
  <c r="U177" i="17" a="1"/>
  <c r="U177" i="17" s="1"/>
  <c r="U178" i="17" a="1"/>
  <c r="U178" i="17" s="1"/>
  <c r="U179" i="17" a="1"/>
  <c r="U179" i="17" s="1"/>
  <c r="U180" i="17" a="1"/>
  <c r="U180" i="17" s="1"/>
  <c r="U181" i="17" a="1"/>
  <c r="U181" i="17" s="1"/>
  <c r="U331" i="17" a="1"/>
  <c r="U331" i="17"/>
  <c r="U182" i="17" a="1"/>
  <c r="U182" i="17"/>
  <c r="U183" i="17" a="1"/>
  <c r="U183" i="17" s="1"/>
  <c r="U184" i="17" a="1"/>
  <c r="U184" i="17" s="1"/>
  <c r="U185" i="17" a="1"/>
  <c r="U185" i="17" s="1"/>
  <c r="U186" i="17" a="1"/>
  <c r="U186" i="17" s="1"/>
  <c r="U187" i="17" a="1"/>
  <c r="U187" i="17" s="1"/>
  <c r="U332" i="17" a="1"/>
  <c r="U332" i="17" s="1"/>
  <c r="U188" i="17" a="1"/>
  <c r="U188" i="17"/>
  <c r="U189" i="17" a="1"/>
  <c r="U189" i="17" s="1"/>
  <c r="U190" i="17" a="1"/>
  <c r="U190" i="17" s="1"/>
  <c r="U191" i="17" a="1"/>
  <c r="U191" i="17" s="1"/>
  <c r="U192" i="17" a="1"/>
  <c r="U192" i="17" s="1"/>
  <c r="U193" i="17" a="1"/>
  <c r="U193" i="17" s="1"/>
  <c r="U333" i="17" a="1"/>
  <c r="U333" i="17" s="1"/>
  <c r="U194" i="17" a="1"/>
  <c r="U194" i="17" s="1"/>
  <c r="U195" i="17" a="1"/>
  <c r="U195" i="17" s="1"/>
  <c r="U196" i="17" a="1"/>
  <c r="U196" i="17" s="1"/>
  <c r="U197" i="17" a="1"/>
  <c r="U197" i="17" s="1"/>
  <c r="U198" i="17" a="1"/>
  <c r="U198" i="17" s="1"/>
  <c r="U199" i="17" a="1"/>
  <c r="U199" i="17" s="1"/>
  <c r="U334" i="17" a="1"/>
  <c r="U334" i="17" s="1"/>
  <c r="U200" i="17" a="1"/>
  <c r="U200" i="17" s="1"/>
  <c r="U201" i="17" a="1"/>
  <c r="U201" i="17" s="1"/>
  <c r="U202" i="17" a="1"/>
  <c r="U202" i="17" s="1"/>
  <c r="U203" i="17" a="1"/>
  <c r="U203" i="17" s="1"/>
  <c r="U204" i="17" a="1"/>
  <c r="U204" i="17" s="1"/>
  <c r="U205" i="17" a="1"/>
  <c r="U205" i="17" s="1"/>
  <c r="U335" i="17" a="1"/>
  <c r="U335" i="17" s="1"/>
  <c r="U206" i="17" a="1"/>
  <c r="U206" i="17" s="1"/>
  <c r="U207" i="17" a="1"/>
  <c r="U207" i="17" s="1"/>
  <c r="U208" i="17" a="1"/>
  <c r="U208" i="17" s="1"/>
  <c r="U209" i="17" a="1"/>
  <c r="U209" i="17"/>
  <c r="U210" i="17" a="1"/>
  <c r="U210" i="17" s="1"/>
  <c r="U211" i="17" a="1"/>
  <c r="U211" i="17" s="1"/>
  <c r="U336" i="17" a="1"/>
  <c r="U336" i="17" s="1"/>
  <c r="U212" i="17" a="1"/>
  <c r="U212" i="17" s="1"/>
  <c r="U213" i="17" a="1"/>
  <c r="U213" i="17" s="1"/>
  <c r="U214" i="17" a="1"/>
  <c r="U214" i="17" s="1"/>
  <c r="U215" i="17" a="1"/>
  <c r="U215" i="17" s="1"/>
  <c r="U216" i="17" a="1"/>
  <c r="U216" i="17" s="1"/>
  <c r="U217" i="17" a="1"/>
  <c r="U217" i="17" s="1"/>
  <c r="U337" i="17" a="1"/>
  <c r="U337" i="17" s="1"/>
  <c r="U218" i="17" a="1"/>
  <c r="U218" i="17" s="1"/>
  <c r="U219" i="17" a="1"/>
  <c r="U219" i="17" s="1"/>
  <c r="U220" i="17" a="1"/>
  <c r="U220" i="17" s="1"/>
  <c r="U221" i="17" a="1"/>
  <c r="U221" i="17" s="1"/>
  <c r="U222" i="17" a="1"/>
  <c r="U222" i="17" s="1"/>
  <c r="U223" i="17" a="1"/>
  <c r="U223" i="17" s="1"/>
  <c r="U338" i="17" a="1"/>
  <c r="U338" i="17" s="1"/>
  <c r="U224" i="17" a="1"/>
  <c r="U224" i="17" s="1"/>
  <c r="U225" i="17" a="1"/>
  <c r="U225" i="17" s="1"/>
  <c r="U226" i="17" a="1"/>
  <c r="U226" i="17" s="1"/>
  <c r="U227" i="17" a="1"/>
  <c r="U227" i="17" s="1"/>
  <c r="U228" i="17" a="1"/>
  <c r="U228" i="17" s="1"/>
  <c r="U229" i="17" a="1"/>
  <c r="U229" i="17"/>
  <c r="U339" i="17" a="1"/>
  <c r="U339" i="17" s="1"/>
  <c r="U230" i="17" a="1"/>
  <c r="U230" i="17" s="1"/>
  <c r="U231" i="17" a="1"/>
  <c r="U231" i="17" s="1"/>
  <c r="U232" i="17" a="1"/>
  <c r="U232" i="17" s="1"/>
  <c r="U233" i="17" a="1"/>
  <c r="U233" i="17" s="1"/>
  <c r="U234" i="17" a="1"/>
  <c r="U234" i="17" s="1"/>
  <c r="U235" i="17" a="1"/>
  <c r="U235" i="17" s="1"/>
  <c r="U340" i="17" a="1"/>
  <c r="U340" i="17" s="1"/>
  <c r="U236" i="17" a="1"/>
  <c r="U236" i="17"/>
  <c r="U237" i="17" a="1"/>
  <c r="U237" i="17" s="1"/>
  <c r="U238" i="17" a="1"/>
  <c r="U238" i="17" s="1"/>
  <c r="U239" i="17" a="1"/>
  <c r="U239" i="17" s="1"/>
  <c r="U240" i="17" a="1"/>
  <c r="U240" i="17" s="1"/>
  <c r="U241" i="17" a="1"/>
  <c r="U241" i="17" s="1"/>
  <c r="U341" i="17" a="1"/>
  <c r="U341" i="17" s="1"/>
  <c r="U242" i="17" a="1"/>
  <c r="U242" i="17" s="1"/>
  <c r="U243" i="17" a="1"/>
  <c r="U243" i="17" s="1"/>
  <c r="U244" i="17" a="1"/>
  <c r="U244" i="17" s="1"/>
  <c r="U245" i="17" a="1"/>
  <c r="U245" i="17" s="1"/>
  <c r="U246" i="17" a="1"/>
  <c r="U246" i="17" s="1"/>
  <c r="U247" i="17" a="1"/>
  <c r="U247" i="17" s="1"/>
  <c r="U342" i="17" a="1"/>
  <c r="U342" i="17" s="1"/>
  <c r="U248" i="17" a="1"/>
  <c r="U248" i="17" s="1"/>
  <c r="U249" i="17" a="1"/>
  <c r="U249" i="17" s="1"/>
  <c r="U250" i="17" a="1"/>
  <c r="U250" i="17" s="1"/>
  <c r="U251" i="17" a="1"/>
  <c r="U251" i="17" s="1"/>
  <c r="U252" i="17" a="1"/>
  <c r="U252" i="17" s="1"/>
  <c r="U253" i="17" a="1"/>
  <c r="U253" i="17" s="1"/>
  <c r="U343" i="17" a="1"/>
  <c r="U343" i="17" s="1"/>
  <c r="U254" i="17" a="1"/>
  <c r="U254" i="17" s="1"/>
  <c r="U255" i="17" a="1"/>
  <c r="U255" i="17" s="1"/>
  <c r="U256" i="17" a="1"/>
  <c r="U256" i="17" s="1"/>
  <c r="U257" i="17" a="1"/>
  <c r="U257" i="17" s="1"/>
  <c r="U258" i="17" a="1"/>
  <c r="U258" i="17" s="1"/>
  <c r="U259" i="17" a="1"/>
  <c r="U259" i="17" s="1"/>
  <c r="U344" i="17" a="1"/>
  <c r="U344" i="17" s="1"/>
  <c r="U260" i="17" a="1"/>
  <c r="U260" i="17" s="1"/>
  <c r="U261" i="17" a="1"/>
  <c r="U261" i="17" s="1"/>
  <c r="U262" i="17" a="1"/>
  <c r="U262" i="17" s="1"/>
  <c r="U263" i="17" a="1"/>
  <c r="U263" i="17" s="1"/>
  <c r="U264" i="17" a="1"/>
  <c r="U264" i="17"/>
  <c r="U265" i="17" a="1"/>
  <c r="U265" i="17" s="1"/>
  <c r="U345" i="17" a="1"/>
  <c r="U345" i="17" s="1"/>
  <c r="U266" i="17" a="1"/>
  <c r="U266" i="17" s="1"/>
  <c r="U267" i="17" a="1"/>
  <c r="U267" i="17" s="1"/>
  <c r="U268" i="17" a="1"/>
  <c r="U268" i="17" s="1"/>
  <c r="U269" i="17" a="1"/>
  <c r="U269" i="17" s="1"/>
  <c r="U270" i="17" a="1"/>
  <c r="U270" i="17" s="1"/>
  <c r="U271" i="17" a="1"/>
  <c r="U271" i="17" s="1"/>
  <c r="U346" i="17" a="1"/>
  <c r="U346" i="17" s="1"/>
  <c r="U272" i="17" a="1"/>
  <c r="U272" i="17" s="1"/>
  <c r="U273" i="17" a="1"/>
  <c r="U273" i="17" s="1"/>
  <c r="U274" i="17" a="1"/>
  <c r="U274" i="17" s="1"/>
  <c r="U275" i="17" a="1"/>
  <c r="U275" i="17" s="1"/>
  <c r="U276" i="17" a="1"/>
  <c r="U276" i="17" s="1"/>
  <c r="U277" i="17" a="1"/>
  <c r="U277" i="17"/>
  <c r="U347" i="17" a="1"/>
  <c r="U347" i="17" s="1"/>
  <c r="U278" i="17" a="1"/>
  <c r="U278" i="17" s="1"/>
  <c r="U279" i="17" a="1"/>
  <c r="U279" i="17" s="1"/>
  <c r="U280" i="17" a="1"/>
  <c r="U280" i="17" s="1"/>
  <c r="U281" i="17" a="1"/>
  <c r="U281" i="17" s="1"/>
  <c r="U282" i="17" a="1"/>
  <c r="U282" i="17"/>
  <c r="U283" i="17" a="1"/>
  <c r="U283" i="17" s="1"/>
  <c r="U348" i="17" a="1"/>
  <c r="U348" i="17" s="1"/>
  <c r="U284" i="17" a="1"/>
  <c r="U284" i="17"/>
  <c r="U285" i="17" a="1"/>
  <c r="U285" i="17" s="1"/>
  <c r="U286" i="17" a="1"/>
  <c r="U286" i="17" s="1"/>
  <c r="U287" i="17" a="1"/>
  <c r="U287" i="17" s="1"/>
  <c r="U288" i="17" a="1"/>
  <c r="U288" i="17" s="1"/>
  <c r="U289" i="17" a="1"/>
  <c r="U289" i="17" s="1"/>
  <c r="U349" i="17" a="1"/>
  <c r="U349" i="17" s="1"/>
  <c r="U290" i="17" a="1"/>
  <c r="U290" i="17" s="1"/>
  <c r="U291" i="17" a="1"/>
  <c r="U291" i="17" s="1"/>
  <c r="U292" i="17" a="1"/>
  <c r="U292" i="17" s="1"/>
  <c r="U293" i="17" a="1"/>
  <c r="U293" i="17" s="1"/>
  <c r="U294" i="17" a="1"/>
  <c r="U294" i="17" s="1"/>
  <c r="U295" i="17" a="1"/>
  <c r="U295" i="17" s="1"/>
  <c r="U350" i="17" a="1"/>
  <c r="U350" i="17" s="1"/>
  <c r="U296" i="17" a="1"/>
  <c r="U296" i="17" s="1"/>
  <c r="U297" i="17" a="1"/>
  <c r="U297" i="17" s="1"/>
  <c r="U298" i="17" a="1"/>
  <c r="U298" i="17"/>
  <c r="U299" i="17" a="1"/>
  <c r="U299" i="17" s="1"/>
  <c r="U300" i="17" a="1"/>
  <c r="U300" i="17" s="1"/>
  <c r="U301" i="17" a="1"/>
  <c r="U301" i="17" s="1"/>
  <c r="U351" i="17" a="1"/>
  <c r="U351" i="17" s="1"/>
  <c r="V2" i="17" a="1"/>
  <c r="V2" i="17" s="1"/>
  <c r="V3" i="17" a="1"/>
  <c r="V3" i="17" s="1"/>
  <c r="V4" i="17" a="1"/>
  <c r="V4" i="17" s="1"/>
  <c r="V5" i="17" a="1"/>
  <c r="V5" i="17" s="1"/>
  <c r="V6" i="17" a="1"/>
  <c r="V6" i="17" s="1"/>
  <c r="V7" i="17" a="1"/>
  <c r="V7" i="17" s="1"/>
  <c r="V302" i="17" a="1"/>
  <c r="V302" i="17" s="1"/>
  <c r="V8" i="17" a="1"/>
  <c r="V8" i="17" s="1"/>
  <c r="V9" i="17" a="1"/>
  <c r="V9" i="17" s="1"/>
  <c r="V10" i="17" a="1"/>
  <c r="V10" i="17" s="1"/>
  <c r="V11" i="17" a="1"/>
  <c r="V11" i="17" s="1"/>
  <c r="V12" i="17" a="1"/>
  <c r="V12" i="17" s="1"/>
  <c r="V13" i="17" a="1"/>
  <c r="V13" i="17" s="1"/>
  <c r="V303" i="17" a="1"/>
  <c r="V303" i="17" s="1"/>
  <c r="V14" i="17" a="1"/>
  <c r="V14" i="17" s="1"/>
  <c r="V15" i="17" a="1"/>
  <c r="V15" i="17" s="1"/>
  <c r="V16" i="17" a="1"/>
  <c r="V16" i="17" s="1"/>
  <c r="V17" i="17" a="1"/>
  <c r="V17" i="17" s="1"/>
  <c r="V18" i="17" a="1"/>
  <c r="V18" i="17" s="1"/>
  <c r="V19" i="17" a="1"/>
  <c r="V19" i="17" s="1"/>
  <c r="V304" i="17" a="1"/>
  <c r="V304" i="17" s="1"/>
  <c r="V20" i="17" a="1"/>
  <c r="V20" i="17" s="1"/>
  <c r="V21" i="17" a="1"/>
  <c r="V21" i="17"/>
  <c r="V22" i="17" a="1"/>
  <c r="V22" i="17" s="1"/>
  <c r="V23" i="17" a="1"/>
  <c r="V23" i="17" s="1"/>
  <c r="V24" i="17" a="1"/>
  <c r="V24" i="17" s="1"/>
  <c r="V25" i="17" a="1"/>
  <c r="V25" i="17" s="1"/>
  <c r="V305" i="17" a="1"/>
  <c r="V305" i="17" s="1"/>
  <c r="V26" i="17" a="1"/>
  <c r="V26" i="17" s="1"/>
  <c r="V27" i="17" a="1"/>
  <c r="V27" i="17" s="1"/>
  <c r="V28" i="17" a="1"/>
  <c r="V28" i="17" s="1"/>
  <c r="V29" i="17" a="1"/>
  <c r="V29" i="17" s="1"/>
  <c r="V30" i="17" a="1"/>
  <c r="V30" i="17" s="1"/>
  <c r="V31" i="17" a="1"/>
  <c r="V31" i="17" s="1"/>
  <c r="V306" i="17" a="1"/>
  <c r="V306" i="17"/>
  <c r="V32" i="17" a="1"/>
  <c r="V32" i="17" s="1"/>
  <c r="V33" i="17" a="1"/>
  <c r="V33" i="17" s="1"/>
  <c r="V34" i="17" a="1"/>
  <c r="V34" i="17" s="1"/>
  <c r="V35" i="17" a="1"/>
  <c r="V35" i="17" s="1"/>
  <c r="V36" i="17" a="1"/>
  <c r="V36" i="17" s="1"/>
  <c r="V37" i="17" a="1"/>
  <c r="V37" i="17"/>
  <c r="V307" i="17" a="1"/>
  <c r="V307" i="17" s="1"/>
  <c r="V38" i="17" a="1"/>
  <c r="V38" i="17" s="1"/>
  <c r="V39" i="17" a="1"/>
  <c r="V39" i="17" s="1"/>
  <c r="V40" i="17" a="1"/>
  <c r="V40" i="17" s="1"/>
  <c r="V41" i="17" a="1"/>
  <c r="V41" i="17" s="1"/>
  <c r="V42" i="17" a="1"/>
  <c r="V42" i="17" s="1"/>
  <c r="V43" i="17" a="1"/>
  <c r="V43" i="17" s="1"/>
  <c r="V308" i="17" a="1"/>
  <c r="V308" i="17" s="1"/>
  <c r="V44" i="17" a="1"/>
  <c r="V44" i="17" s="1"/>
  <c r="V45" i="17" a="1"/>
  <c r="V45" i="17" s="1"/>
  <c r="V46" i="17" a="1"/>
  <c r="V46" i="17" s="1"/>
  <c r="V47" i="17" a="1"/>
  <c r="V47" i="17" s="1"/>
  <c r="V48" i="17" a="1"/>
  <c r="V48" i="17" s="1"/>
  <c r="V49" i="17" a="1"/>
  <c r="V49" i="17" s="1"/>
  <c r="V309" i="17" a="1"/>
  <c r="V309" i="17" s="1"/>
  <c r="V50" i="17" a="1"/>
  <c r="V50" i="17" s="1"/>
  <c r="V51" i="17" a="1"/>
  <c r="V51" i="17" s="1"/>
  <c r="V52" i="17" a="1"/>
  <c r="V52" i="17" s="1"/>
  <c r="V53" i="17" a="1"/>
  <c r="V53" i="17" s="1"/>
  <c r="V54" i="17" a="1"/>
  <c r="V54" i="17" s="1"/>
  <c r="V55" i="17" a="1"/>
  <c r="V55" i="17" s="1"/>
  <c r="V310" i="17" a="1"/>
  <c r="V310" i="17" s="1"/>
  <c r="V56" i="17" a="1"/>
  <c r="V56" i="17" s="1"/>
  <c r="V57" i="17" a="1"/>
  <c r="V57" i="17" s="1"/>
  <c r="V58" i="17" a="1"/>
  <c r="V58" i="17" s="1"/>
  <c r="V59" i="17" a="1"/>
  <c r="V59" i="17" s="1"/>
  <c r="V60" i="17" a="1"/>
  <c r="V60" i="17" s="1"/>
  <c r="V61" i="17" a="1"/>
  <c r="V61" i="17" s="1"/>
  <c r="V311" i="17" a="1"/>
  <c r="V311" i="17" s="1"/>
  <c r="V62" i="17" a="1"/>
  <c r="V62" i="17" s="1"/>
  <c r="V63" i="17" a="1"/>
  <c r="V63" i="17" s="1"/>
  <c r="V64" i="17" a="1"/>
  <c r="V64" i="17" s="1"/>
  <c r="V65" i="17" a="1"/>
  <c r="V65" i="17" s="1"/>
  <c r="V66" i="17" a="1"/>
  <c r="V66" i="17" s="1"/>
  <c r="V67" i="17" a="1"/>
  <c r="V67" i="17" s="1"/>
  <c r="V312" i="17" a="1"/>
  <c r="V312" i="17" s="1"/>
  <c r="V68" i="17" a="1"/>
  <c r="V68" i="17" s="1"/>
  <c r="V69" i="17" a="1"/>
  <c r="V69" i="17" s="1"/>
  <c r="V70" i="17" a="1"/>
  <c r="V70" i="17" s="1"/>
  <c r="V71" i="17" a="1"/>
  <c r="V71" i="17" s="1"/>
  <c r="V72" i="17" a="1"/>
  <c r="V72" i="17" s="1"/>
  <c r="V73" i="17" a="1"/>
  <c r="V73" i="17" s="1"/>
  <c r="V313" i="17" a="1"/>
  <c r="V313" i="17" s="1"/>
  <c r="V74" i="17" a="1"/>
  <c r="V74" i="17" s="1"/>
  <c r="V75" i="17" a="1"/>
  <c r="V75" i="17" s="1"/>
  <c r="V76" i="17" a="1"/>
  <c r="V76" i="17"/>
  <c r="V77" i="17" a="1"/>
  <c r="V77" i="17" s="1"/>
  <c r="V78" i="17" a="1"/>
  <c r="V78" i="17" s="1"/>
  <c r="V79" i="17" a="1"/>
  <c r="V79" i="17" s="1"/>
  <c r="V314" i="17" a="1"/>
  <c r="V314" i="17" s="1"/>
  <c r="V80" i="17" a="1"/>
  <c r="V80" i="17" s="1"/>
  <c r="V81" i="17" a="1"/>
  <c r="V81" i="17"/>
  <c r="V82" i="17" a="1"/>
  <c r="V82" i="17" s="1"/>
  <c r="V83" i="17" a="1"/>
  <c r="V83" i="17" s="1"/>
  <c r="V84" i="17" a="1"/>
  <c r="V84" i="17" s="1"/>
  <c r="V85" i="17" a="1"/>
  <c r="V85" i="17" s="1"/>
  <c r="V315" i="17" a="1"/>
  <c r="V315" i="17" s="1"/>
  <c r="V86" i="17" a="1"/>
  <c r="V86" i="17" s="1"/>
  <c r="V87" i="17" a="1"/>
  <c r="V87" i="17" s="1"/>
  <c r="V88" i="17" a="1"/>
  <c r="V88" i="17"/>
  <c r="V89" i="17" a="1"/>
  <c r="V89" i="17" s="1"/>
  <c r="V90" i="17" a="1"/>
  <c r="V90" i="17" s="1"/>
  <c r="V91" i="17" a="1"/>
  <c r="V91" i="17" s="1"/>
  <c r="V316" i="17" a="1"/>
  <c r="V316" i="17" s="1"/>
  <c r="V92" i="17" a="1"/>
  <c r="V92" i="17" s="1"/>
  <c r="V93" i="17" a="1"/>
  <c r="V93" i="17"/>
  <c r="V94" i="17" a="1"/>
  <c r="V94" i="17"/>
  <c r="V95" i="17" a="1"/>
  <c r="V95" i="17" s="1"/>
  <c r="V96" i="17" a="1"/>
  <c r="V96" i="17" s="1"/>
  <c r="V97" i="17" a="1"/>
  <c r="V97" i="17" s="1"/>
  <c r="V317" i="17" a="1"/>
  <c r="V317" i="17" s="1"/>
  <c r="V98" i="17" a="1"/>
  <c r="V98" i="17" s="1"/>
  <c r="V99" i="17" a="1"/>
  <c r="V99" i="17" s="1"/>
  <c r="V100" i="17" a="1"/>
  <c r="V100" i="17"/>
  <c r="V101" i="17" a="1"/>
  <c r="V101" i="17" s="1"/>
  <c r="V102" i="17" a="1"/>
  <c r="V102" i="17" s="1"/>
  <c r="V103" i="17" a="1"/>
  <c r="V103" i="17" s="1"/>
  <c r="V318" i="17" a="1"/>
  <c r="V318" i="17" s="1"/>
  <c r="V104" i="17" a="1"/>
  <c r="V104" i="17" s="1"/>
  <c r="V105" i="17" a="1"/>
  <c r="V105" i="17" s="1"/>
  <c r="V106" i="17" a="1"/>
  <c r="V106" i="17" s="1"/>
  <c r="V107" i="17" a="1"/>
  <c r="V107" i="17" s="1"/>
  <c r="V108" i="17" a="1"/>
  <c r="V108" i="17" s="1"/>
  <c r="V109" i="17" a="1"/>
  <c r="V109" i="17" s="1"/>
  <c r="V319" i="17" a="1"/>
  <c r="V319" i="17" s="1"/>
  <c r="V110" i="17" a="1"/>
  <c r="V110" i="17" s="1"/>
  <c r="V111" i="17" a="1"/>
  <c r="V111" i="17" s="1"/>
  <c r="V112" i="17" a="1"/>
  <c r="V112" i="17" s="1"/>
  <c r="V113" i="17" a="1"/>
  <c r="V113" i="17" s="1"/>
  <c r="V114" i="17" a="1"/>
  <c r="V114" i="17" s="1"/>
  <c r="V115" i="17" a="1"/>
  <c r="V115" i="17" s="1"/>
  <c r="V320" i="17" a="1"/>
  <c r="V320" i="17" s="1"/>
  <c r="V116" i="17" a="1"/>
  <c r="V116" i="17" s="1"/>
  <c r="V117" i="17" a="1"/>
  <c r="V117" i="17" s="1"/>
  <c r="V118" i="17" a="1"/>
  <c r="V118" i="17" s="1"/>
  <c r="V119" i="17" a="1"/>
  <c r="V119" i="17" s="1"/>
  <c r="V120" i="17" a="1"/>
  <c r="V120" i="17" s="1"/>
  <c r="V121" i="17" a="1"/>
  <c r="V121" i="17" s="1"/>
  <c r="V321" i="17" a="1"/>
  <c r="V321" i="17" s="1"/>
  <c r="V122" i="17" a="1"/>
  <c r="V122" i="17" s="1"/>
  <c r="V123" i="17" a="1"/>
  <c r="V123" i="17" s="1"/>
  <c r="V124" i="17" a="1"/>
  <c r="V124" i="17" s="1"/>
  <c r="V125" i="17" a="1"/>
  <c r="V125" i="17" s="1"/>
  <c r="V126" i="17" a="1"/>
  <c r="V126" i="17" s="1"/>
  <c r="V127" i="17" a="1"/>
  <c r="V127" i="17" s="1"/>
  <c r="V322" i="17" a="1"/>
  <c r="V322" i="17" s="1"/>
  <c r="V128" i="17" a="1"/>
  <c r="V128" i="17"/>
  <c r="V129" i="17" a="1"/>
  <c r="V129" i="17"/>
  <c r="V130" i="17" a="1"/>
  <c r="V130" i="17" s="1"/>
  <c r="V131" i="17" a="1"/>
  <c r="V131" i="17" s="1"/>
  <c r="V132" i="17" a="1"/>
  <c r="V132" i="17" s="1"/>
  <c r="V133" i="17" a="1"/>
  <c r="V133" i="17" s="1"/>
  <c r="V323" i="17" a="1"/>
  <c r="V323" i="17" s="1"/>
  <c r="V134" i="17" a="1"/>
  <c r="V134" i="17" s="1"/>
  <c r="V135" i="17" a="1"/>
  <c r="V135" i="17" s="1"/>
  <c r="V136" i="17" a="1"/>
  <c r="V136" i="17" s="1"/>
  <c r="V137" i="17" a="1"/>
  <c r="V137" i="17" s="1"/>
  <c r="V138" i="17" a="1"/>
  <c r="V138" i="17" s="1"/>
  <c r="V139" i="17" a="1"/>
  <c r="V139" i="17" s="1"/>
  <c r="V324" i="17" a="1"/>
  <c r="V324" i="17" s="1"/>
  <c r="V140" i="17" a="1"/>
  <c r="V140" i="17" s="1"/>
  <c r="V141" i="17" a="1"/>
  <c r="V141" i="17"/>
  <c r="V142" i="17" a="1"/>
  <c r="V142" i="17" s="1"/>
  <c r="V143" i="17" a="1"/>
  <c r="V143" i="17" s="1"/>
  <c r="V144" i="17" a="1"/>
  <c r="V144" i="17" s="1"/>
  <c r="V145" i="17" a="1"/>
  <c r="V145" i="17" s="1"/>
  <c r="V325" i="17" a="1"/>
  <c r="V325" i="17" s="1"/>
  <c r="V146" i="17" a="1"/>
  <c r="V146" i="17"/>
  <c r="V147" i="17" a="1"/>
  <c r="V147" i="17" s="1"/>
  <c r="V148" i="17" a="1"/>
  <c r="V148" i="17" s="1"/>
  <c r="V149" i="17" a="1"/>
  <c r="V149" i="17" s="1"/>
  <c r="V150" i="17" a="1"/>
  <c r="V150" i="17" s="1"/>
  <c r="V151" i="17" a="1"/>
  <c r="V151" i="17" s="1"/>
  <c r="V326" i="17" a="1"/>
  <c r="V326" i="17" s="1"/>
  <c r="V152" i="17" a="1"/>
  <c r="V152" i="17" s="1"/>
  <c r="V153" i="17" a="1"/>
  <c r="V153" i="17" s="1"/>
  <c r="V154" i="17" a="1"/>
  <c r="V154" i="17" s="1"/>
  <c r="V155" i="17" a="1"/>
  <c r="V155" i="17" s="1"/>
  <c r="V156" i="17" a="1"/>
  <c r="V156" i="17" s="1"/>
  <c r="V157" i="17" a="1"/>
  <c r="V157" i="17" s="1"/>
  <c r="V327" i="17" a="1"/>
  <c r="V327" i="17" s="1"/>
  <c r="V158" i="17" a="1"/>
  <c r="V158" i="17" s="1"/>
  <c r="V159" i="17" a="1"/>
  <c r="V159" i="17" s="1"/>
  <c r="V160" i="17" a="1"/>
  <c r="V160" i="17" s="1"/>
  <c r="V161" i="17" a="1"/>
  <c r="V161" i="17" s="1"/>
  <c r="V162" i="17" a="1"/>
  <c r="V162" i="17" s="1"/>
  <c r="V163" i="17" a="1"/>
  <c r="V163" i="17" s="1"/>
  <c r="V328" i="17" a="1"/>
  <c r="V328" i="17" s="1"/>
  <c r="V164" i="17" a="1"/>
  <c r="V164" i="17" s="1"/>
  <c r="V165" i="17" a="1"/>
  <c r="V165" i="17" s="1"/>
  <c r="V166" i="17" a="1"/>
  <c r="V166" i="17"/>
  <c r="V167" i="17" a="1"/>
  <c r="V167" i="17" s="1"/>
  <c r="V168" i="17" a="1"/>
  <c r="V168" i="17" s="1"/>
  <c r="V169" i="17" a="1"/>
  <c r="V169" i="17" s="1"/>
  <c r="V329" i="17" a="1"/>
  <c r="V329" i="17" s="1"/>
  <c r="V170" i="17" a="1"/>
  <c r="V170" i="17" s="1"/>
  <c r="V171" i="17" a="1"/>
  <c r="V171" i="17" s="1"/>
  <c r="V172" i="17" a="1"/>
  <c r="V172" i="17" s="1"/>
  <c r="V173" i="17" a="1"/>
  <c r="V173" i="17" s="1"/>
  <c r="V174" i="17" a="1"/>
  <c r="V174" i="17" s="1"/>
  <c r="V175" i="17" a="1"/>
  <c r="V175" i="17" s="1"/>
  <c r="V330" i="17" a="1"/>
  <c r="V330" i="17" s="1"/>
  <c r="V176" i="17" a="1"/>
  <c r="V176" i="17" s="1"/>
  <c r="V177" i="17" a="1"/>
  <c r="V177" i="17" s="1"/>
  <c r="V178" i="17" a="1"/>
  <c r="V178" i="17" s="1"/>
  <c r="V179" i="17" a="1"/>
  <c r="V179" i="17" s="1"/>
  <c r="V180" i="17" a="1"/>
  <c r="V180" i="17" s="1"/>
  <c r="V181" i="17" a="1"/>
  <c r="V181" i="17" s="1"/>
  <c r="V331" i="17" a="1"/>
  <c r="V331" i="17" s="1"/>
  <c r="V182" i="17" a="1"/>
  <c r="V182" i="17" s="1"/>
  <c r="V183" i="17" a="1"/>
  <c r="V183" i="17" s="1"/>
  <c r="V184" i="17" a="1"/>
  <c r="V184" i="17" s="1"/>
  <c r="V185" i="17" a="1"/>
  <c r="V185" i="17" s="1"/>
  <c r="V186" i="17" a="1"/>
  <c r="V186" i="17"/>
  <c r="V187" i="17" a="1"/>
  <c r="V187" i="17" s="1"/>
  <c r="V332" i="17" a="1"/>
  <c r="V332" i="17" s="1"/>
  <c r="V188" i="17" a="1"/>
  <c r="V188" i="17" s="1"/>
  <c r="V189" i="17" a="1"/>
  <c r="V189" i="17" s="1"/>
  <c r="V190" i="17" a="1"/>
  <c r="V190" i="17" s="1"/>
  <c r="V191" i="17" a="1"/>
  <c r="V191" i="17" s="1"/>
  <c r="V192" i="17" a="1"/>
  <c r="V192" i="17" s="1"/>
  <c r="V193" i="17" a="1"/>
  <c r="V193" i="17" s="1"/>
  <c r="V333" i="17" a="1"/>
  <c r="V333" i="17" s="1"/>
  <c r="V194" i="17" a="1"/>
  <c r="V194" i="17" s="1"/>
  <c r="V195" i="17" a="1"/>
  <c r="V195" i="17" s="1"/>
  <c r="V196" i="17" a="1"/>
  <c r="V196" i="17"/>
  <c r="V197" i="17" a="1"/>
  <c r="V197" i="17" s="1"/>
  <c r="V198" i="17" a="1"/>
  <c r="V198" i="17" s="1"/>
  <c r="V199" i="17" a="1"/>
  <c r="V199" i="17" s="1"/>
  <c r="V334" i="17" a="1"/>
  <c r="V334" i="17" s="1"/>
  <c r="V200" i="17" a="1"/>
  <c r="V200" i="17" s="1"/>
  <c r="V201" i="17" a="1"/>
  <c r="V201" i="17"/>
  <c r="V202" i="17" a="1"/>
  <c r="V202" i="17" s="1"/>
  <c r="V203" i="17" a="1"/>
  <c r="V203" i="17" s="1"/>
  <c r="V204" i="17" a="1"/>
  <c r="V204" i="17" s="1"/>
  <c r="V205" i="17" a="1"/>
  <c r="V205" i="17" s="1"/>
  <c r="V335" i="17" a="1"/>
  <c r="V335" i="17" s="1"/>
  <c r="V206" i="17" a="1"/>
  <c r="V206" i="17" s="1"/>
  <c r="V207" i="17" a="1"/>
  <c r="V207" i="17" s="1"/>
  <c r="V208" i="17" a="1"/>
  <c r="V208" i="17" s="1"/>
  <c r="V209" i="17" a="1"/>
  <c r="V209" i="17" s="1"/>
  <c r="V210" i="17" a="1"/>
  <c r="V210" i="17" s="1"/>
  <c r="V211" i="17" a="1"/>
  <c r="V211" i="17" s="1"/>
  <c r="V336" i="17" a="1"/>
  <c r="V336" i="17" s="1"/>
  <c r="V212" i="17" a="1"/>
  <c r="V212" i="17" s="1"/>
  <c r="V213" i="17" a="1"/>
  <c r="V213" i="17" s="1"/>
  <c r="V214" i="17" a="1"/>
  <c r="V214" i="17" s="1"/>
  <c r="V215" i="17" a="1"/>
  <c r="V215" i="17" s="1"/>
  <c r="V216" i="17" a="1"/>
  <c r="V216" i="17" s="1"/>
  <c r="V217" i="17" a="1"/>
  <c r="V217" i="17" s="1"/>
  <c r="V337" i="17" a="1"/>
  <c r="V337" i="17" s="1"/>
  <c r="V218" i="17" a="1"/>
  <c r="V218" i="17" s="1"/>
  <c r="V219" i="17" a="1"/>
  <c r="V219" i="17" s="1"/>
  <c r="V220" i="17" a="1"/>
  <c r="V220" i="17" s="1"/>
  <c r="V221" i="17" a="1"/>
  <c r="V221" i="17"/>
  <c r="V222" i="17" a="1"/>
  <c r="V222" i="17" s="1"/>
  <c r="V223" i="17" a="1"/>
  <c r="V223" i="17" s="1"/>
  <c r="V338" i="17" a="1"/>
  <c r="V338" i="17" s="1"/>
  <c r="V224" i="17" a="1"/>
  <c r="V224" i="17" s="1"/>
  <c r="V225" i="17" a="1"/>
  <c r="V225" i="17" s="1"/>
  <c r="V226" i="17" a="1"/>
  <c r="V226" i="17" s="1"/>
  <c r="V227" i="17" a="1"/>
  <c r="V227" i="17" s="1"/>
  <c r="V228" i="17" a="1"/>
  <c r="V228" i="17" s="1"/>
  <c r="V229" i="17" a="1"/>
  <c r="V229" i="17" s="1"/>
  <c r="V339" i="17" a="1"/>
  <c r="V339" i="17" s="1"/>
  <c r="V230" i="17" a="1"/>
  <c r="V230" i="17" s="1"/>
  <c r="V231" i="17" a="1"/>
  <c r="V231" i="17" s="1"/>
  <c r="V232" i="17" a="1"/>
  <c r="V232" i="17" s="1"/>
  <c r="V233" i="17" a="1"/>
  <c r="V233" i="17" s="1"/>
  <c r="V234" i="17" a="1"/>
  <c r="V234" i="17" s="1"/>
  <c r="V235" i="17" a="1"/>
  <c r="V235" i="17" s="1"/>
  <c r="V340" i="17" a="1"/>
  <c r="V340" i="17" s="1"/>
  <c r="V236" i="17" a="1"/>
  <c r="V236" i="17" s="1"/>
  <c r="V237" i="17" a="1"/>
  <c r="V237" i="17" s="1"/>
  <c r="V238" i="17" a="1"/>
  <c r="V238" i="17" s="1"/>
  <c r="V239" i="17" a="1"/>
  <c r="V239" i="17" s="1"/>
  <c r="V240" i="17" a="1"/>
  <c r="V240" i="17" s="1"/>
  <c r="V241" i="17" a="1"/>
  <c r="V241" i="17" s="1"/>
  <c r="V341" i="17" a="1"/>
  <c r="V341" i="17"/>
  <c r="V242" i="17" a="1"/>
  <c r="V242" i="17" s="1"/>
  <c r="V243" i="17" a="1"/>
  <c r="V243" i="17" s="1"/>
  <c r="V244" i="17" a="1"/>
  <c r="V244" i="17" s="1"/>
  <c r="V245" i="17" a="1"/>
  <c r="V245" i="17" s="1"/>
  <c r="V246" i="17" a="1"/>
  <c r="V246" i="17" s="1"/>
  <c r="V247" i="17" a="1"/>
  <c r="V247" i="17" s="1"/>
  <c r="V342" i="17" a="1"/>
  <c r="V342" i="17" s="1"/>
  <c r="V248" i="17" a="1"/>
  <c r="V248" i="17" s="1"/>
  <c r="V249" i="17" a="1"/>
  <c r="V249" i="17" s="1"/>
  <c r="V250" i="17" a="1"/>
  <c r="V250" i="17" s="1"/>
  <c r="V251" i="17" a="1"/>
  <c r="V251" i="17" s="1"/>
  <c r="V252" i="17" a="1"/>
  <c r="V252" i="17" s="1"/>
  <c r="V253" i="17" a="1"/>
  <c r="V253" i="17" s="1"/>
  <c r="V343" i="17" a="1"/>
  <c r="V343" i="17" s="1"/>
  <c r="V254" i="17" a="1"/>
  <c r="V254" i="17" s="1"/>
  <c r="V255" i="17" a="1"/>
  <c r="V255" i="17" s="1"/>
  <c r="V256" i="17" a="1"/>
  <c r="V256" i="17" s="1"/>
  <c r="V257" i="17" a="1"/>
  <c r="V257" i="17" s="1"/>
  <c r="V258" i="17" a="1"/>
  <c r="V258" i="17" s="1"/>
  <c r="V259" i="17" a="1"/>
  <c r="V259" i="17" s="1"/>
  <c r="V344" i="17" a="1"/>
  <c r="V344" i="17" s="1"/>
  <c r="V260" i="17" a="1"/>
  <c r="V260" i="17" s="1"/>
  <c r="V261" i="17" a="1"/>
  <c r="V261" i="17" s="1"/>
  <c r="V262" i="17" a="1"/>
  <c r="V262" i="17" s="1"/>
  <c r="V263" i="17" a="1"/>
  <c r="V263" i="17" s="1"/>
  <c r="V264" i="17" a="1"/>
  <c r="V264" i="17" s="1"/>
  <c r="V265" i="17" a="1"/>
  <c r="V265" i="17" s="1"/>
  <c r="V345" i="17" a="1"/>
  <c r="V345" i="17" s="1"/>
  <c r="V266" i="17" a="1"/>
  <c r="V266" i="17" s="1"/>
  <c r="V267" i="17" a="1"/>
  <c r="V267" i="17" s="1"/>
  <c r="V268" i="17" a="1"/>
  <c r="V268" i="17" s="1"/>
  <c r="V269" i="17" a="1"/>
  <c r="V269" i="17" s="1"/>
  <c r="V270" i="17" a="1"/>
  <c r="V270" i="17" s="1"/>
  <c r="V271" i="17" a="1"/>
  <c r="V271" i="17" s="1"/>
  <c r="V346" i="17" a="1"/>
  <c r="V346" i="17" s="1"/>
  <c r="V272" i="17" a="1"/>
  <c r="V272" i="17" s="1"/>
  <c r="V273" i="17" a="1"/>
  <c r="V273" i="17" s="1"/>
  <c r="V274" i="17" a="1"/>
  <c r="V274" i="17" s="1"/>
  <c r="V275" i="17" a="1"/>
  <c r="V275" i="17" s="1"/>
  <c r="V276" i="17" a="1"/>
  <c r="V276" i="17" s="1"/>
  <c r="V277" i="17" a="1"/>
  <c r="V277" i="17" s="1"/>
  <c r="V347" i="17" a="1"/>
  <c r="V347" i="17" s="1"/>
  <c r="V278" i="17" a="1"/>
  <c r="V278" i="17" s="1"/>
  <c r="V279" i="17" a="1"/>
  <c r="V279" i="17" s="1"/>
  <c r="V280" i="17" a="1"/>
  <c r="V280" i="17" s="1"/>
  <c r="V281" i="17" a="1"/>
  <c r="V281" i="17" s="1"/>
  <c r="V282" i="17" a="1"/>
  <c r="V282" i="17" s="1"/>
  <c r="V283" i="17" a="1"/>
  <c r="V283" i="17" s="1"/>
  <c r="V348" i="17" a="1"/>
  <c r="V348" i="17" s="1"/>
  <c r="V284" i="17" a="1"/>
  <c r="V284" i="17" s="1"/>
  <c r="V285" i="17" a="1"/>
  <c r="V285" i="17" s="1"/>
  <c r="V286" i="17" a="1"/>
  <c r="V286" i="17" s="1"/>
  <c r="V287" i="17" a="1"/>
  <c r="V287" i="17" s="1"/>
  <c r="V288" i="17" a="1"/>
  <c r="V288" i="17" s="1"/>
  <c r="V289" i="17" a="1"/>
  <c r="V289" i="17" s="1"/>
  <c r="V349" i="17" a="1"/>
  <c r="V349" i="17" s="1"/>
  <c r="V290" i="17" a="1"/>
  <c r="V290" i="17" s="1"/>
  <c r="V291" i="17" a="1"/>
  <c r="V291" i="17" s="1"/>
  <c r="V292" i="17" a="1"/>
  <c r="V292" i="17" s="1"/>
  <c r="V293" i="17" a="1"/>
  <c r="V293" i="17"/>
  <c r="V294" i="17" a="1"/>
  <c r="V294" i="17" s="1"/>
  <c r="V295" i="17" a="1"/>
  <c r="V295" i="17" s="1"/>
  <c r="V350" i="17" a="1"/>
  <c r="V350" i="17" s="1"/>
  <c r="V296" i="17" a="1"/>
  <c r="V296" i="17" s="1"/>
  <c r="V297" i="17" a="1"/>
  <c r="V297" i="17" s="1"/>
  <c r="V298" i="17" a="1"/>
  <c r="V298" i="17" s="1"/>
  <c r="V299" i="17" a="1"/>
  <c r="V299" i="17"/>
  <c r="V300" i="17" a="1"/>
  <c r="V300" i="17" s="1"/>
  <c r="V301" i="17" a="1"/>
  <c r="V301" i="17" s="1"/>
  <c r="V351" i="17" a="1"/>
  <c r="V351" i="17" s="1"/>
  <c r="X2" i="17" a="1"/>
  <c r="X2" i="17" s="1"/>
  <c r="X3" i="17" a="1"/>
  <c r="X3" i="17"/>
  <c r="X4" i="17" a="1"/>
  <c r="X4" i="17" s="1"/>
  <c r="X5" i="17" a="1"/>
  <c r="X5" i="17" s="1"/>
  <c r="X6" i="17" a="1"/>
  <c r="X6" i="17" s="1"/>
  <c r="X7" i="17" a="1"/>
  <c r="X7" i="17" s="1"/>
  <c r="Y7" i="17" s="1"/>
  <c r="Q7" i="17" s="1"/>
  <c r="W7" i="17" s="1"/>
  <c r="X302" i="17" a="1"/>
  <c r="X302" i="17" s="1"/>
  <c r="Y302" i="17" s="1"/>
  <c r="Q302" i="17" s="1"/>
  <c r="W302" i="17" s="1"/>
  <c r="X8" i="17" a="1"/>
  <c r="X8" i="17" s="1"/>
  <c r="X9" i="17" a="1"/>
  <c r="X9" i="17" s="1"/>
  <c r="X10" i="17" a="1"/>
  <c r="X10" i="17" s="1"/>
  <c r="X11" i="17" a="1"/>
  <c r="X11" i="17" s="1"/>
  <c r="Y11" i="17" s="1"/>
  <c r="Q11" i="17" s="1"/>
  <c r="W11" i="17" s="1"/>
  <c r="X12" i="17" a="1"/>
  <c r="X12" i="17" s="1"/>
  <c r="X13" i="17" a="1"/>
  <c r="X13" i="17" s="1"/>
  <c r="X303" i="17" a="1"/>
  <c r="X303" i="17" s="1"/>
  <c r="X14" i="17" a="1"/>
  <c r="X14" i="17"/>
  <c r="X15" i="17" a="1"/>
  <c r="X15" i="17"/>
  <c r="X16" i="17" a="1"/>
  <c r="X16" i="17" s="1"/>
  <c r="X17" i="17" a="1"/>
  <c r="X17" i="17" s="1"/>
  <c r="X18" i="17" a="1"/>
  <c r="X18" i="17" s="1"/>
  <c r="X19" i="17" a="1"/>
  <c r="X19" i="17" s="1"/>
  <c r="Y19" i="17" s="1"/>
  <c r="Q19" i="17" s="1"/>
  <c r="W19" i="17" s="1"/>
  <c r="X304" i="17" a="1"/>
  <c r="X304" i="17" s="1"/>
  <c r="X20" i="17" a="1"/>
  <c r="X20" i="17" s="1"/>
  <c r="X21" i="17" a="1"/>
  <c r="X21" i="17" s="1"/>
  <c r="X22" i="17" a="1"/>
  <c r="X22" i="17"/>
  <c r="Y22" i="17" s="1"/>
  <c r="Q22" i="17" s="1"/>
  <c r="W22" i="17" s="1"/>
  <c r="X23" i="17" a="1"/>
  <c r="X23" i="17" s="1"/>
  <c r="X24" i="17" a="1"/>
  <c r="X24" i="17" s="1"/>
  <c r="X25" i="17" a="1"/>
  <c r="X25" i="17" s="1"/>
  <c r="X305" i="17" a="1"/>
  <c r="X305" i="17" s="1"/>
  <c r="X26" i="17" a="1"/>
  <c r="X26" i="17" s="1"/>
  <c r="X27" i="17" a="1"/>
  <c r="X27" i="17" s="1"/>
  <c r="X28" i="17" a="1"/>
  <c r="X28" i="17" s="1"/>
  <c r="X29" i="17" a="1"/>
  <c r="X29" i="17" s="1"/>
  <c r="Y29" i="17" s="1"/>
  <c r="Q29" i="17" s="1"/>
  <c r="W29" i="17" s="1"/>
  <c r="X30" i="17" a="1"/>
  <c r="X30" i="17" s="1"/>
  <c r="X31" i="17" a="1"/>
  <c r="X31" i="17"/>
  <c r="X306" i="17" a="1"/>
  <c r="X306" i="17" s="1"/>
  <c r="X32" i="17" a="1"/>
  <c r="X32" i="17" s="1"/>
  <c r="X33" i="17" a="1"/>
  <c r="X33" i="17" s="1"/>
  <c r="X34" i="17" a="1"/>
  <c r="X34" i="17" s="1"/>
  <c r="Y34" i="17" s="1"/>
  <c r="Q34" i="17" s="1"/>
  <c r="W34" i="17" s="1"/>
  <c r="X35" i="17" a="1"/>
  <c r="X35" i="17" s="1"/>
  <c r="X36" i="17" a="1"/>
  <c r="X36" i="17" s="1"/>
  <c r="X37" i="17" a="1"/>
  <c r="X37" i="17" s="1"/>
  <c r="X307" i="17" a="1"/>
  <c r="X307" i="17" s="1"/>
  <c r="X38" i="17" a="1"/>
  <c r="X38" i="17" s="1"/>
  <c r="X39" i="17" a="1"/>
  <c r="X39" i="17" s="1"/>
  <c r="X40" i="17" a="1"/>
  <c r="X40" i="17" s="1"/>
  <c r="X41" i="17" a="1"/>
  <c r="X41" i="17" s="1"/>
  <c r="Y41" i="17" s="1"/>
  <c r="Q41" i="17" s="1"/>
  <c r="W41" i="17" s="1"/>
  <c r="X42" i="17" a="1"/>
  <c r="X42" i="17" s="1"/>
  <c r="X43" i="17" a="1"/>
  <c r="X43" i="17" s="1"/>
  <c r="X308" i="17" a="1"/>
  <c r="X308" i="17" s="1"/>
  <c r="X44" i="17" a="1"/>
  <c r="X44" i="17" s="1"/>
  <c r="X45" i="17" a="1"/>
  <c r="X45" i="17" s="1"/>
  <c r="X46" i="17" a="1"/>
  <c r="X46" i="17" s="1"/>
  <c r="X47" i="17" a="1"/>
  <c r="X47" i="17" s="1"/>
  <c r="X48" i="17" a="1"/>
  <c r="X48" i="17" s="1"/>
  <c r="X49" i="17" a="1"/>
  <c r="X49" i="17" s="1"/>
  <c r="Y49" i="17" s="1"/>
  <c r="Q49" i="17" s="1"/>
  <c r="W49" i="17" s="1"/>
  <c r="X309" i="17" a="1"/>
  <c r="X309" i="17" s="1"/>
  <c r="X50" i="17" a="1"/>
  <c r="X50" i="17" s="1"/>
  <c r="X51" i="17" a="1"/>
  <c r="X51" i="17" s="1"/>
  <c r="X52" i="17" a="1"/>
  <c r="X52" i="17" s="1"/>
  <c r="Y52" i="17" s="1"/>
  <c r="Q52" i="17" s="1"/>
  <c r="W52" i="17" s="1"/>
  <c r="X53" i="17" a="1"/>
  <c r="X53" i="17" s="1"/>
  <c r="X54" i="17" a="1"/>
  <c r="X54" i="17" s="1"/>
  <c r="X55" i="17" a="1"/>
  <c r="X55" i="17" s="1"/>
  <c r="X310" i="17" a="1"/>
  <c r="X310" i="17" s="1"/>
  <c r="X56" i="17" a="1"/>
  <c r="X56" i="17" s="1"/>
  <c r="X57" i="17" a="1"/>
  <c r="X57" i="17" s="1"/>
  <c r="X58" i="17" a="1"/>
  <c r="X58" i="17" s="1"/>
  <c r="X59" i="17" a="1"/>
  <c r="X59" i="17" s="1"/>
  <c r="X60" i="17" a="1"/>
  <c r="X60" i="17" s="1"/>
  <c r="X61" i="17" a="1"/>
  <c r="X61" i="17" s="1"/>
  <c r="X311" i="17" a="1"/>
  <c r="X311" i="17" s="1"/>
  <c r="X62" i="17" a="1"/>
  <c r="X62" i="17" s="1"/>
  <c r="Y62" i="17" s="1"/>
  <c r="Q62" i="17" s="1"/>
  <c r="W62" i="17" s="1"/>
  <c r="X63" i="17" a="1"/>
  <c r="X63" i="17" s="1"/>
  <c r="X64" i="17" a="1"/>
  <c r="X64" i="17"/>
  <c r="Y64" i="17" s="1"/>
  <c r="Q64" i="17" s="1"/>
  <c r="W64" i="17" s="1"/>
  <c r="X65" i="17" a="1"/>
  <c r="X65" i="17" s="1"/>
  <c r="X66" i="17" a="1"/>
  <c r="X66" i="17" s="1"/>
  <c r="X67" i="17" a="1"/>
  <c r="X67" i="17" s="1"/>
  <c r="Y67" i="17" s="1"/>
  <c r="Q67" i="17" s="1"/>
  <c r="W67" i="17" s="1"/>
  <c r="X312" i="17" a="1"/>
  <c r="X312" i="17" s="1"/>
  <c r="X68" i="17" a="1"/>
  <c r="X68" i="17" s="1"/>
  <c r="X69" i="17" a="1"/>
  <c r="X69" i="17" s="1"/>
  <c r="X70" i="17" a="1"/>
  <c r="X70" i="17" s="1"/>
  <c r="Y70" i="17" s="1"/>
  <c r="Q70" i="17" s="1"/>
  <c r="W70" i="17" s="1"/>
  <c r="X71" i="17" a="1"/>
  <c r="X71" i="17" s="1"/>
  <c r="X72" i="17" a="1"/>
  <c r="X72" i="17" s="1"/>
  <c r="X73" i="17" a="1"/>
  <c r="X73" i="17" s="1"/>
  <c r="Y73" i="17" s="1"/>
  <c r="Q73" i="17" s="1"/>
  <c r="W73" i="17" s="1"/>
  <c r="X313" i="17" a="1"/>
  <c r="X313" i="17" s="1"/>
  <c r="Y313" i="17" s="1"/>
  <c r="Q313" i="17" s="1"/>
  <c r="W313" i="17" s="1"/>
  <c r="X74" i="17" a="1"/>
  <c r="X74" i="17" s="1"/>
  <c r="Y74" i="17" s="1"/>
  <c r="Q74" i="17" s="1"/>
  <c r="W74" i="17" s="1"/>
  <c r="X75" i="17" a="1"/>
  <c r="X75" i="17" s="1"/>
  <c r="X76" i="17" a="1"/>
  <c r="X76" i="17" s="1"/>
  <c r="Y76" i="17" s="1"/>
  <c r="Q76" i="17" s="1"/>
  <c r="W76" i="17" s="1"/>
  <c r="X77" i="17" a="1"/>
  <c r="X77" i="17" s="1"/>
  <c r="X78" i="17" a="1"/>
  <c r="X78" i="17" s="1"/>
  <c r="Y78" i="17" s="1"/>
  <c r="Q78" i="17" s="1"/>
  <c r="W78" i="17" s="1"/>
  <c r="X79" i="17" a="1"/>
  <c r="X79" i="17" s="1"/>
  <c r="X314" i="17" a="1"/>
  <c r="X314" i="17" s="1"/>
  <c r="X80" i="17" a="1"/>
  <c r="X80" i="17" s="1"/>
  <c r="Y80" i="17" s="1"/>
  <c r="Q80" i="17" s="1"/>
  <c r="W80" i="17" s="1"/>
  <c r="X81" i="17" a="1"/>
  <c r="X81" i="17" s="1"/>
  <c r="X82" i="17" a="1"/>
  <c r="X82" i="17" s="1"/>
  <c r="X83" i="17" a="1"/>
  <c r="X83" i="17" s="1"/>
  <c r="Y83" i="17" s="1"/>
  <c r="Q83" i="17" s="1"/>
  <c r="W83" i="17" s="1"/>
  <c r="X84" i="17" a="1"/>
  <c r="X84" i="17" s="1"/>
  <c r="Y84" i="17" s="1"/>
  <c r="X85" i="17" a="1"/>
  <c r="X85" i="17" s="1"/>
  <c r="Y85" i="17" s="1"/>
  <c r="Q85" i="17" s="1"/>
  <c r="W85" i="17" s="1"/>
  <c r="X315" i="17" a="1"/>
  <c r="X315" i="17" s="1"/>
  <c r="X86" i="17" a="1"/>
  <c r="X86" i="17" s="1"/>
  <c r="Y86" i="17" s="1"/>
  <c r="Q86" i="17" s="1"/>
  <c r="W86" i="17" s="1"/>
  <c r="X87" i="17" a="1"/>
  <c r="X87" i="17" s="1"/>
  <c r="X88" i="17" a="1"/>
  <c r="X88" i="17" s="1"/>
  <c r="Y88" i="17" s="1"/>
  <c r="Q88" i="17" s="1"/>
  <c r="W88" i="17" s="1"/>
  <c r="X89" i="17" a="1"/>
  <c r="X89" i="17" s="1"/>
  <c r="X90" i="17" a="1"/>
  <c r="X90" i="17" s="1"/>
  <c r="Y90" i="17" s="1"/>
  <c r="X91" i="17" a="1"/>
  <c r="X91" i="17" s="1"/>
  <c r="X316" i="17" a="1"/>
  <c r="X316" i="17" s="1"/>
  <c r="Y316" i="17" s="1"/>
  <c r="Q316" i="17" s="1"/>
  <c r="W316" i="17" s="1"/>
  <c r="X92" i="17" a="1"/>
  <c r="X92" i="17" s="1"/>
  <c r="X93" i="17" a="1"/>
  <c r="X93" i="17" s="1"/>
  <c r="X94" i="17" a="1"/>
  <c r="X94" i="17" s="1"/>
  <c r="Y94" i="17" s="1"/>
  <c r="Q94" i="17" s="1"/>
  <c r="W94" i="17" s="1"/>
  <c r="X95" i="17" a="1"/>
  <c r="X95" i="17" s="1"/>
  <c r="Y95" i="17" s="1"/>
  <c r="Q95" i="17" s="1"/>
  <c r="W95" i="17" s="1"/>
  <c r="X96" i="17" a="1"/>
  <c r="X96" i="17" s="1"/>
  <c r="X97" i="17" a="1"/>
  <c r="X97" i="17"/>
  <c r="X317" i="17" a="1"/>
  <c r="X317" i="17" s="1"/>
  <c r="Y317" i="17" s="1"/>
  <c r="Q317" i="17" s="1"/>
  <c r="W317" i="17" s="1"/>
  <c r="X98" i="17" a="1"/>
  <c r="X98" i="17"/>
  <c r="X99" i="17" a="1"/>
  <c r="X99" i="17" s="1"/>
  <c r="X100" i="17" a="1"/>
  <c r="X100" i="17" s="1"/>
  <c r="Y100" i="17" s="1"/>
  <c r="Q100" i="17" s="1"/>
  <c r="W100" i="17" s="1"/>
  <c r="X101" i="17" a="1"/>
  <c r="X101" i="17" s="1"/>
  <c r="X102" i="17" a="1"/>
  <c r="X102" i="17" s="1"/>
  <c r="Y102" i="17" s="1"/>
  <c r="Q102" i="17" s="1"/>
  <c r="W102" i="17" s="1"/>
  <c r="X103" i="17" a="1"/>
  <c r="X103" i="17" s="1"/>
  <c r="X318" i="17" a="1"/>
  <c r="X318" i="17" s="1"/>
  <c r="Y318" i="17" s="1"/>
  <c r="Q318" i="17" s="1"/>
  <c r="W318" i="17" s="1"/>
  <c r="X104" i="17" a="1"/>
  <c r="X104" i="17" s="1"/>
  <c r="X105" i="17" a="1"/>
  <c r="X105" i="17" s="1"/>
  <c r="Y105" i="17" s="1"/>
  <c r="Q105" i="17" s="1"/>
  <c r="W105" i="17" s="1"/>
  <c r="X106" i="17" a="1"/>
  <c r="X106" i="17" s="1"/>
  <c r="X107" i="17" a="1"/>
  <c r="X107" i="17" s="1"/>
  <c r="Y107" i="17" s="1"/>
  <c r="Q107" i="17" s="1"/>
  <c r="W107" i="17" s="1"/>
  <c r="X108" i="17" a="1"/>
  <c r="X108" i="17" s="1"/>
  <c r="Y108" i="17" s="1"/>
  <c r="Q108" i="17" s="1"/>
  <c r="W108" i="17" s="1"/>
  <c r="X109" i="17" a="1"/>
  <c r="X109" i="17"/>
  <c r="X319" i="17" a="1"/>
  <c r="X319" i="17" s="1"/>
  <c r="X110" i="17" a="1"/>
  <c r="X110" i="17" s="1"/>
  <c r="Y110" i="17" s="1"/>
  <c r="Q110" i="17" s="1"/>
  <c r="W110" i="17" s="1"/>
  <c r="X111" i="17" a="1"/>
  <c r="X111" i="17" s="1"/>
  <c r="Y111" i="17" s="1"/>
  <c r="Q111" i="17" s="1"/>
  <c r="W111" i="17" s="1"/>
  <c r="X112" i="17" a="1"/>
  <c r="X112" i="17" s="1"/>
  <c r="Y112" i="17" s="1"/>
  <c r="X113" i="17" a="1"/>
  <c r="X113" i="17" s="1"/>
  <c r="X114" i="17" a="1"/>
  <c r="X114" i="17" s="1"/>
  <c r="Y114" i="17" s="1"/>
  <c r="Q114" i="17" s="1"/>
  <c r="W114" i="17" s="1"/>
  <c r="X115" i="17" a="1"/>
  <c r="X115" i="17"/>
  <c r="X320" i="17" a="1"/>
  <c r="X320" i="17" s="1"/>
  <c r="X116" i="17" a="1"/>
  <c r="X116" i="17" s="1"/>
  <c r="Y116" i="17" s="1"/>
  <c r="Q116" i="17" s="1"/>
  <c r="W116" i="17" s="1"/>
  <c r="X117" i="17" a="1"/>
  <c r="X117" i="17" s="1"/>
  <c r="Y117" i="17" s="1"/>
  <c r="X118" i="17" a="1"/>
  <c r="X118" i="17" s="1"/>
  <c r="Y118" i="17" s="1"/>
  <c r="Q118" i="17" s="1"/>
  <c r="W118" i="17" s="1"/>
  <c r="X119" i="17" a="1"/>
  <c r="X119" i="17" s="1"/>
  <c r="Y119" i="17" s="1"/>
  <c r="X120" i="17" a="1"/>
  <c r="X120" i="17" s="1"/>
  <c r="X121" i="17" a="1"/>
  <c r="X121" i="17" s="1"/>
  <c r="X321" i="17" a="1"/>
  <c r="X321" i="17" s="1"/>
  <c r="X122" i="17" a="1"/>
  <c r="X122" i="17" s="1"/>
  <c r="Y122" i="17" s="1"/>
  <c r="Q122" i="17" s="1"/>
  <c r="W122" i="17" s="1"/>
  <c r="X123" i="17" a="1"/>
  <c r="X123" i="17" s="1"/>
  <c r="X124" i="17" a="1"/>
  <c r="X124" i="17" s="1"/>
  <c r="Y124" i="17" s="1"/>
  <c r="Q124" i="17" s="1"/>
  <c r="W124" i="17" s="1"/>
  <c r="X125" i="17" a="1"/>
  <c r="X125" i="17" s="1"/>
  <c r="X126" i="17" a="1"/>
  <c r="X126" i="17"/>
  <c r="X127" i="17" a="1"/>
  <c r="X127" i="17" s="1"/>
  <c r="X322" i="17" a="1"/>
  <c r="X322" i="17" s="1"/>
  <c r="Y322" i="17" s="1"/>
  <c r="Q322" i="17" s="1"/>
  <c r="W322" i="17" s="1"/>
  <c r="X128" i="17" a="1"/>
  <c r="X128" i="17" s="1"/>
  <c r="Y128" i="17" s="1"/>
  <c r="Q128" i="17" s="1"/>
  <c r="W128" i="17" s="1"/>
  <c r="X129" i="17" a="1"/>
  <c r="X129" i="17" s="1"/>
  <c r="X130" i="17" a="1"/>
  <c r="X130" i="17" s="1"/>
  <c r="X131" i="17" a="1"/>
  <c r="X131" i="17" s="1"/>
  <c r="Y131" i="17" s="1"/>
  <c r="X132" i="17" a="1"/>
  <c r="X132" i="17" s="1"/>
  <c r="Y132" i="17" s="1"/>
  <c r="Q132" i="17" s="1"/>
  <c r="W132" i="17" s="1"/>
  <c r="X133" i="17" a="1"/>
  <c r="X133" i="17" s="1"/>
  <c r="Y133" i="17" s="1"/>
  <c r="X323" i="17" a="1"/>
  <c r="X323" i="17" s="1"/>
  <c r="X134" i="17" a="1"/>
  <c r="X134" i="17" s="1"/>
  <c r="Y134" i="17" s="1"/>
  <c r="Q134" i="17" s="1"/>
  <c r="W134" i="17" s="1"/>
  <c r="X135" i="17" a="1"/>
  <c r="X135" i="17" s="1"/>
  <c r="Y135" i="17" s="1"/>
  <c r="Q135" i="17" s="1"/>
  <c r="W135" i="17" s="1"/>
  <c r="X136" i="17" a="1"/>
  <c r="X136" i="17" s="1"/>
  <c r="X137" i="17" a="1"/>
  <c r="X137" i="17" s="1"/>
  <c r="X138" i="17" a="1"/>
  <c r="X138" i="17"/>
  <c r="Y138" i="17" s="1"/>
  <c r="Q138" i="17" s="1"/>
  <c r="W138" i="17" s="1"/>
  <c r="X139" i="17" a="1"/>
  <c r="X139" i="17" s="1"/>
  <c r="Y139" i="17" s="1"/>
  <c r="Q139" i="17" s="1"/>
  <c r="W139" i="17" s="1"/>
  <c r="X324" i="17" a="1"/>
  <c r="X324" i="17" s="1"/>
  <c r="Y324" i="17" s="1"/>
  <c r="Q324" i="17" s="1"/>
  <c r="W324" i="17" s="1"/>
  <c r="X140" i="17" a="1"/>
  <c r="X140" i="17" s="1"/>
  <c r="X141" i="17" a="1"/>
  <c r="X141" i="17" s="1"/>
  <c r="Y141" i="17" s="1"/>
  <c r="Q141" i="17" s="1"/>
  <c r="W141" i="17" s="1"/>
  <c r="X142" i="17" a="1"/>
  <c r="X142" i="17" s="1"/>
  <c r="X143" i="17" a="1"/>
  <c r="X143" i="17" s="1"/>
  <c r="Y143" i="17" s="1"/>
  <c r="Q143" i="17" s="1"/>
  <c r="W143" i="17" s="1"/>
  <c r="X144" i="17" a="1"/>
  <c r="X144" i="17" s="1"/>
  <c r="X145" i="17" a="1"/>
  <c r="X145" i="17" s="1"/>
  <c r="Y145" i="17" s="1"/>
  <c r="X325" i="17" a="1"/>
  <c r="X325" i="17" s="1"/>
  <c r="X146" i="17" a="1"/>
  <c r="X146" i="17" s="1"/>
  <c r="Y146" i="17" s="1"/>
  <c r="Q146" i="17" s="1"/>
  <c r="W146" i="17" s="1"/>
  <c r="X147" i="17" a="1"/>
  <c r="X147" i="17" s="1"/>
  <c r="X148" i="17" a="1"/>
  <c r="X148" i="17" s="1"/>
  <c r="Y148" i="17" s="1"/>
  <c r="Q148" i="17" s="1"/>
  <c r="W148" i="17" s="1"/>
  <c r="X149" i="17" a="1"/>
  <c r="X149" i="17"/>
  <c r="X150" i="17" a="1"/>
  <c r="X150" i="17" s="1"/>
  <c r="Y150" i="17" s="1"/>
  <c r="Q150" i="17" s="1"/>
  <c r="W150" i="17" s="1"/>
  <c r="X151" i="17" a="1"/>
  <c r="X151" i="17" s="1"/>
  <c r="X326" i="17" a="1"/>
  <c r="X326" i="17" s="1"/>
  <c r="Y326" i="17" s="1"/>
  <c r="Q326" i="17" s="1"/>
  <c r="W326" i="17" s="1"/>
  <c r="X152" i="17" a="1"/>
  <c r="X152" i="17" s="1"/>
  <c r="Y152" i="17" s="1"/>
  <c r="Q152" i="17" s="1"/>
  <c r="W152" i="17" s="1"/>
  <c r="X153" i="17" a="1"/>
  <c r="X153" i="17" s="1"/>
  <c r="X154" i="17" a="1"/>
  <c r="X154" i="17" s="1"/>
  <c r="X155" i="17" a="1"/>
  <c r="X155" i="17" s="1"/>
  <c r="X156" i="17" a="1"/>
  <c r="X156" i="17" s="1"/>
  <c r="X157" i="17" a="1"/>
  <c r="X157" i="17"/>
  <c r="X327" i="17" a="1"/>
  <c r="X327" i="17" s="1"/>
  <c r="X158" i="17" a="1"/>
  <c r="X158" i="17" s="1"/>
  <c r="Y158" i="17" s="1"/>
  <c r="Q158" i="17" s="1"/>
  <c r="W158" i="17" s="1"/>
  <c r="X159" i="17" a="1"/>
  <c r="X159" i="17" s="1"/>
  <c r="X160" i="17" a="1"/>
  <c r="X160" i="17" s="1"/>
  <c r="Y160" i="17" s="1"/>
  <c r="Q160" i="17" s="1"/>
  <c r="W160" i="17" s="1"/>
  <c r="X161" i="17" a="1"/>
  <c r="X161" i="17" s="1"/>
  <c r="X162" i="17" a="1"/>
  <c r="X162" i="17" s="1"/>
  <c r="Y162" i="17" s="1"/>
  <c r="Q162" i="17" s="1"/>
  <c r="W162" i="17" s="1"/>
  <c r="X163" i="17" a="1"/>
  <c r="X163" i="17" s="1"/>
  <c r="Y163" i="17" s="1"/>
  <c r="Q163" i="17" s="1"/>
  <c r="W163" i="17" s="1"/>
  <c r="X328" i="17" a="1"/>
  <c r="X328" i="17" s="1"/>
  <c r="X164" i="17" a="1"/>
  <c r="X164" i="17" s="1"/>
  <c r="X165" i="17" a="1"/>
  <c r="X165" i="17" s="1"/>
  <c r="X166" i="17" a="1"/>
  <c r="X166" i="17" s="1"/>
  <c r="Y166" i="17" s="1"/>
  <c r="Q166" i="17" s="1"/>
  <c r="W166" i="17" s="1"/>
  <c r="X167" i="17" a="1"/>
  <c r="X167" i="17" s="1"/>
  <c r="Y167" i="17" s="1"/>
  <c r="Q167" i="17" s="1"/>
  <c r="W167" i="17" s="1"/>
  <c r="X168" i="17" a="1"/>
  <c r="X168" i="17" s="1"/>
  <c r="X169" i="17" a="1"/>
  <c r="X169" i="17" s="1"/>
  <c r="X329" i="17" a="1"/>
  <c r="X329" i="17" s="1"/>
  <c r="Y329" i="17" s="1"/>
  <c r="Q329" i="17" s="1"/>
  <c r="W329" i="17" s="1"/>
  <c r="X170" i="17" a="1"/>
  <c r="X170" i="17"/>
  <c r="X171" i="17" a="1"/>
  <c r="X171" i="17" s="1"/>
  <c r="X172" i="17" a="1"/>
  <c r="X172" i="17" s="1"/>
  <c r="Y172" i="17" s="1"/>
  <c r="Q172" i="17" s="1"/>
  <c r="W172" i="17" s="1"/>
  <c r="X173" i="17" a="1"/>
  <c r="X173" i="17" s="1"/>
  <c r="X174" i="17" a="1"/>
  <c r="X174" i="17" s="1"/>
  <c r="Y174" i="17" s="1"/>
  <c r="Q174" i="17" s="1"/>
  <c r="W174" i="17" s="1"/>
  <c r="X175" i="17" a="1"/>
  <c r="X175" i="17" s="1"/>
  <c r="X330" i="17" a="1"/>
  <c r="X330" i="17" s="1"/>
  <c r="X176" i="17" a="1"/>
  <c r="X176" i="17" s="1"/>
  <c r="Y176" i="17" s="1"/>
  <c r="Q176" i="17" s="1"/>
  <c r="W176" i="17" s="1"/>
  <c r="X177" i="17" a="1"/>
  <c r="X177" i="17" s="1"/>
  <c r="X178" i="17" a="1"/>
  <c r="X178" i="17" s="1"/>
  <c r="X179" i="17" a="1"/>
  <c r="X179" i="17" s="1"/>
  <c r="Y179" i="17" s="1"/>
  <c r="Q179" i="17" s="1"/>
  <c r="W179" i="17" s="1"/>
  <c r="X180" i="17" a="1"/>
  <c r="X180" i="17" s="1"/>
  <c r="Y180" i="17" s="1"/>
  <c r="Q180" i="17" s="1"/>
  <c r="W180" i="17" s="1"/>
  <c r="X181" i="17" a="1"/>
  <c r="X181" i="17" s="1"/>
  <c r="X331" i="17" a="1"/>
  <c r="X331" i="17" s="1"/>
  <c r="X182" i="17" a="1"/>
  <c r="X182" i="17" s="1"/>
  <c r="X183" i="17" a="1"/>
  <c r="X183" i="17" s="1"/>
  <c r="Y183" i="17" s="1"/>
  <c r="Q183" i="17" s="1"/>
  <c r="W183" i="17" s="1"/>
  <c r="X184" i="17" a="1"/>
  <c r="X184" i="17" s="1"/>
  <c r="X185" i="17" a="1"/>
  <c r="X185" i="17" s="1"/>
  <c r="X186" i="17" a="1"/>
  <c r="X186" i="17" s="1"/>
  <c r="Y186" i="17" s="1"/>
  <c r="X187" i="17" a="1"/>
  <c r="X187" i="17" s="1"/>
  <c r="X332" i="17" a="1"/>
  <c r="X332" i="17" s="1"/>
  <c r="Y332" i="17" s="1"/>
  <c r="Q332" i="17" s="1"/>
  <c r="W332" i="17" s="1"/>
  <c r="X188" i="17" a="1"/>
  <c r="X188" i="17" s="1"/>
  <c r="X189" i="17" a="1"/>
  <c r="X189" i="17" s="1"/>
  <c r="X190" i="17" a="1"/>
  <c r="X190" i="17" s="1"/>
  <c r="Y190" i="17" s="1"/>
  <c r="Q190" i="17" s="1"/>
  <c r="W190" i="17" s="1"/>
  <c r="X191" i="17" a="1"/>
  <c r="X191" i="17"/>
  <c r="X192" i="17" a="1"/>
  <c r="X192" i="17" s="1"/>
  <c r="X193" i="17" a="1"/>
  <c r="X193" i="17" s="1"/>
  <c r="Y193" i="17" s="1"/>
  <c r="Q193" i="17" s="1"/>
  <c r="W193" i="17" s="1"/>
  <c r="X333" i="17" a="1"/>
  <c r="X333" i="17" s="1"/>
  <c r="X194" i="17" a="1"/>
  <c r="X194" i="17" s="1"/>
  <c r="Y194" i="17" s="1"/>
  <c r="Q194" i="17" s="1"/>
  <c r="W194" i="17" s="1"/>
  <c r="X195" i="17" a="1"/>
  <c r="X195" i="17" s="1"/>
  <c r="X196" i="17" a="1"/>
  <c r="X196" i="17" s="1"/>
  <c r="Y196" i="17" s="1"/>
  <c r="Q196" i="17" s="1"/>
  <c r="W196" i="17" s="1"/>
  <c r="X197" i="17" a="1"/>
  <c r="X197" i="17" s="1"/>
  <c r="X198" i="17" a="1"/>
  <c r="X198" i="17" s="1"/>
  <c r="X199" i="17" a="1"/>
  <c r="X199" i="17" s="1"/>
  <c r="X334" i="17" a="1"/>
  <c r="X334" i="17" s="1"/>
  <c r="Y334" i="17" s="1"/>
  <c r="Q334" i="17" s="1"/>
  <c r="W334" i="17" s="1"/>
  <c r="X200" i="17" a="1"/>
  <c r="X200" i="17" s="1"/>
  <c r="Y200" i="17" s="1"/>
  <c r="Q200" i="17" s="1"/>
  <c r="W200" i="17" s="1"/>
  <c r="X201" i="17" a="1"/>
  <c r="X201" i="17" s="1"/>
  <c r="Y201" i="17" s="1"/>
  <c r="Q201" i="17" s="1"/>
  <c r="W201" i="17" s="1"/>
  <c r="X202" i="17" a="1"/>
  <c r="X202" i="17" s="1"/>
  <c r="X203" i="17" a="1"/>
  <c r="X203" i="17" s="1"/>
  <c r="X204" i="17" a="1"/>
  <c r="X204" i="17"/>
  <c r="X205" i="17" a="1"/>
  <c r="X205" i="17" s="1"/>
  <c r="Y205" i="17" s="1"/>
  <c r="Q205" i="17" s="1"/>
  <c r="W205" i="17" s="1"/>
  <c r="X335" i="17" a="1"/>
  <c r="X335" i="17" s="1"/>
  <c r="Y335" i="17" s="1"/>
  <c r="Q335" i="17" s="1"/>
  <c r="W335" i="17" s="1"/>
  <c r="X206" i="17" a="1"/>
  <c r="X206" i="17" s="1"/>
  <c r="Y206" i="17" s="1"/>
  <c r="Q206" i="17" s="1"/>
  <c r="W206" i="17" s="1"/>
  <c r="X207" i="17" a="1"/>
  <c r="X207" i="17" s="1"/>
  <c r="Y207" i="17" s="1"/>
  <c r="Q207" i="17" s="1"/>
  <c r="W207" i="17" s="1"/>
  <c r="X208" i="17" a="1"/>
  <c r="X208" i="17"/>
  <c r="X209" i="17" a="1"/>
  <c r="X209" i="17" s="1"/>
  <c r="X210" i="17" a="1"/>
  <c r="X210" i="17" s="1"/>
  <c r="Y210" i="17" s="1"/>
  <c r="Q210" i="17" s="1"/>
  <c r="W210" i="17" s="1"/>
  <c r="X211" i="17" a="1"/>
  <c r="X211" i="17"/>
  <c r="X336" i="17" a="1"/>
  <c r="X336" i="17" s="1"/>
  <c r="X212" i="17" a="1"/>
  <c r="X212" i="17" s="1"/>
  <c r="Y212" i="17" s="1"/>
  <c r="Q212" i="17" s="1"/>
  <c r="W212" i="17" s="1"/>
  <c r="X213" i="17" a="1"/>
  <c r="X213" i="17"/>
  <c r="X214" i="17" a="1"/>
  <c r="X214" i="17"/>
  <c r="X215" i="17" a="1"/>
  <c r="X215" i="17" s="1"/>
  <c r="Y215" i="17" s="1"/>
  <c r="Q215" i="17" s="1"/>
  <c r="W215" i="17" s="1"/>
  <c r="X216" i="17" a="1"/>
  <c r="X216" i="17" s="1"/>
  <c r="Y216" i="17" s="1"/>
  <c r="Q216" i="17" s="1"/>
  <c r="W216" i="17" s="1"/>
  <c r="X217" i="17" a="1"/>
  <c r="X217" i="17" s="1"/>
  <c r="X337" i="17" a="1"/>
  <c r="X337" i="17" s="1"/>
  <c r="X218" i="17" a="1"/>
  <c r="X218" i="17" s="1"/>
  <c r="Y218" i="17" s="1"/>
  <c r="Q218" i="17" s="1"/>
  <c r="W218" i="17" s="1"/>
  <c r="X219" i="17" a="1"/>
  <c r="X219" i="17"/>
  <c r="X220" i="17" a="1"/>
  <c r="X220" i="17" s="1"/>
  <c r="Y220" i="17" s="1"/>
  <c r="Q220" i="17" s="1"/>
  <c r="W220" i="17" s="1"/>
  <c r="X221" i="17" a="1"/>
  <c r="X221" i="17"/>
  <c r="Y221" i="17" s="1"/>
  <c r="Q221" i="17" s="1"/>
  <c r="W221" i="17" s="1"/>
  <c r="X222" i="17" a="1"/>
  <c r="X222" i="17" s="1"/>
  <c r="Y222" i="17" s="1"/>
  <c r="Q222" i="17" s="1"/>
  <c r="W222" i="17" s="1"/>
  <c r="X223" i="17" a="1"/>
  <c r="X223" i="17" s="1"/>
  <c r="Y223" i="17" s="1"/>
  <c r="Q223" i="17" s="1"/>
  <c r="W223" i="17" s="1"/>
  <c r="X338" i="17" a="1"/>
  <c r="X338" i="17" s="1"/>
  <c r="X224" i="17" a="1"/>
  <c r="X224" i="17" s="1"/>
  <c r="Y224" i="17" s="1"/>
  <c r="Q224" i="17" s="1"/>
  <c r="W224" i="17" s="1"/>
  <c r="X225" i="17" a="1"/>
  <c r="X225" i="17" s="1"/>
  <c r="Y225" i="17" s="1"/>
  <c r="Q225" i="17" s="1"/>
  <c r="W225" i="17" s="1"/>
  <c r="X226" i="17" a="1"/>
  <c r="X226" i="17" s="1"/>
  <c r="Y226" i="17" s="1"/>
  <c r="Q226" i="17" s="1"/>
  <c r="W226" i="17" s="1"/>
  <c r="X227" i="17" a="1"/>
  <c r="X227" i="17" s="1"/>
  <c r="X228" i="17" a="1"/>
  <c r="X228" i="17" s="1"/>
  <c r="Y228" i="17" s="1"/>
  <c r="Q228" i="17" s="1"/>
  <c r="W228" i="17" s="1"/>
  <c r="X229" i="17" a="1"/>
  <c r="X229" i="17" s="1"/>
  <c r="Y229" i="17" s="1"/>
  <c r="X339" i="17" a="1"/>
  <c r="X339" i="17"/>
  <c r="X230" i="17" a="1"/>
  <c r="X230" i="17" s="1"/>
  <c r="Y230" i="17" s="1"/>
  <c r="Q230" i="17" s="1"/>
  <c r="W230" i="17" s="1"/>
  <c r="X231" i="17" a="1"/>
  <c r="X231" i="17" s="1"/>
  <c r="Y231" i="17" s="1"/>
  <c r="Q231" i="17" s="1"/>
  <c r="W231" i="17" s="1"/>
  <c r="X232" i="17" a="1"/>
  <c r="X232" i="17" s="1"/>
  <c r="Y232" i="17" s="1"/>
  <c r="Q232" i="17" s="1"/>
  <c r="W232" i="17" s="1"/>
  <c r="X233" i="17" a="1"/>
  <c r="X233" i="17" s="1"/>
  <c r="Y233" i="17" s="1"/>
  <c r="Q233" i="17" s="1"/>
  <c r="W233" i="17" s="1"/>
  <c r="X234" i="17" a="1"/>
  <c r="X234" i="17"/>
  <c r="X235" i="17" a="1"/>
  <c r="X235" i="17" s="1"/>
  <c r="X340" i="17" a="1"/>
  <c r="X340" i="17" s="1"/>
  <c r="Y340" i="17" s="1"/>
  <c r="Q340" i="17" s="1"/>
  <c r="W340" i="17" s="1"/>
  <c r="X236" i="17" a="1"/>
  <c r="X236" i="17" s="1"/>
  <c r="Y236" i="17" s="1"/>
  <c r="X237" i="17" a="1"/>
  <c r="X237" i="17"/>
  <c r="X238" i="17" a="1"/>
  <c r="X238" i="17" s="1"/>
  <c r="Y238" i="17" s="1"/>
  <c r="Q238" i="17" s="1"/>
  <c r="W238" i="17" s="1"/>
  <c r="X239" i="17" a="1"/>
  <c r="X239" i="17" s="1"/>
  <c r="Y239" i="17" s="1"/>
  <c r="Q239" i="17" s="1"/>
  <c r="W239" i="17" s="1"/>
  <c r="X240" i="17" a="1"/>
  <c r="X240" i="17" s="1"/>
  <c r="Y240" i="17" s="1"/>
  <c r="Q240" i="17" s="1"/>
  <c r="W240" i="17" s="1"/>
  <c r="X241" i="17" a="1"/>
  <c r="X241" i="17" s="1"/>
  <c r="Y241" i="17" s="1"/>
  <c r="Q241" i="17" s="1"/>
  <c r="W241" i="17" s="1"/>
  <c r="X341" i="17" a="1"/>
  <c r="X341" i="17" s="1"/>
  <c r="Y341" i="17" s="1"/>
  <c r="Q341" i="17" s="1"/>
  <c r="W341" i="17" s="1"/>
  <c r="X242" i="17" a="1"/>
  <c r="X242" i="17" s="1"/>
  <c r="Y242" i="17" s="1"/>
  <c r="X243" i="17" a="1"/>
  <c r="X243" i="17" s="1"/>
  <c r="Y243" i="17" s="1"/>
  <c r="Q243" i="17" s="1"/>
  <c r="W243" i="17" s="1"/>
  <c r="X244" i="17" a="1"/>
  <c r="X244" i="17" s="1"/>
  <c r="Y244" i="17" s="1"/>
  <c r="Q244" i="17" s="1"/>
  <c r="W244" i="17" s="1"/>
  <c r="X245" i="17" a="1"/>
  <c r="X245" i="17" s="1"/>
  <c r="Y245" i="17" s="1"/>
  <c r="Q245" i="17" s="1"/>
  <c r="W245" i="17" s="1"/>
  <c r="X246" i="17" a="1"/>
  <c r="X246" i="17" s="1"/>
  <c r="Y246" i="17" s="1"/>
  <c r="X247" i="17" a="1"/>
  <c r="X247" i="17" s="1"/>
  <c r="Y247" i="17" s="1"/>
  <c r="Q247" i="17" s="1"/>
  <c r="W247" i="17" s="1"/>
  <c r="X342" i="17" a="1"/>
  <c r="X342" i="17" s="1"/>
  <c r="Y342" i="17" s="1"/>
  <c r="X248" i="17" a="1"/>
  <c r="X248" i="17" s="1"/>
  <c r="Y248" i="17" s="1"/>
  <c r="Q248" i="17" s="1"/>
  <c r="W248" i="17" s="1"/>
  <c r="X249" i="17" a="1"/>
  <c r="X249" i="17" s="1"/>
  <c r="Y249" i="17" s="1"/>
  <c r="Q249" i="17" s="1"/>
  <c r="W249" i="17" s="1"/>
  <c r="X250" i="17" a="1"/>
  <c r="X250" i="17" s="1"/>
  <c r="Y250" i="17" s="1"/>
  <c r="Q250" i="17" s="1"/>
  <c r="W250" i="17" s="1"/>
  <c r="X251" i="17" a="1"/>
  <c r="X251" i="17" s="1"/>
  <c r="Y251" i="17" s="1"/>
  <c r="Q251" i="17" s="1"/>
  <c r="W251" i="17" s="1"/>
  <c r="X252" i="17" a="1"/>
  <c r="X252" i="17" s="1"/>
  <c r="Y252" i="17" s="1"/>
  <c r="Q252" i="17" s="1"/>
  <c r="W252" i="17" s="1"/>
  <c r="X253" i="17" a="1"/>
  <c r="X253" i="17" s="1"/>
  <c r="Y253" i="17" s="1"/>
  <c r="Q253" i="17" s="1"/>
  <c r="W253" i="17" s="1"/>
  <c r="X343" i="17" a="1"/>
  <c r="X343" i="17" s="1"/>
  <c r="X254" i="17" a="1"/>
  <c r="X254" i="17" s="1"/>
  <c r="Y254" i="17" s="1"/>
  <c r="X255" i="17" a="1"/>
  <c r="X255" i="17" s="1"/>
  <c r="Y255" i="17" s="1"/>
  <c r="Q255" i="17" s="1"/>
  <c r="W255" i="17" s="1"/>
  <c r="X256" i="17" a="1"/>
  <c r="X256" i="17" s="1"/>
  <c r="Y256" i="17" s="1"/>
  <c r="Q256" i="17" s="1"/>
  <c r="W256" i="17" s="1"/>
  <c r="X257" i="17" a="1"/>
  <c r="X257" i="17" s="1"/>
  <c r="Y257" i="17" s="1"/>
  <c r="Q257" i="17" s="1"/>
  <c r="W257" i="17" s="1"/>
  <c r="X258" i="17" a="1"/>
  <c r="X258" i="17" s="1"/>
  <c r="Y258" i="17" s="1"/>
  <c r="Q258" i="17" s="1"/>
  <c r="W258" i="17" s="1"/>
  <c r="X259" i="17" a="1"/>
  <c r="X259" i="17" s="1"/>
  <c r="Y259" i="17" s="1"/>
  <c r="Q259" i="17" s="1"/>
  <c r="W259" i="17" s="1"/>
  <c r="X344" i="17" a="1"/>
  <c r="X344" i="17" s="1"/>
  <c r="Y344" i="17" s="1"/>
  <c r="Q344" i="17" s="1"/>
  <c r="W344" i="17" s="1"/>
  <c r="X260" i="17" a="1"/>
  <c r="X260" i="17" s="1"/>
  <c r="Y260" i="17" s="1"/>
  <c r="Q260" i="17" s="1"/>
  <c r="W260" i="17" s="1"/>
  <c r="X261" i="17" a="1"/>
  <c r="X261" i="17" s="1"/>
  <c r="Y261" i="17" s="1"/>
  <c r="Q261" i="17" s="1"/>
  <c r="W261" i="17" s="1"/>
  <c r="X262" i="17" a="1"/>
  <c r="X262" i="17" s="1"/>
  <c r="Y262" i="17" s="1"/>
  <c r="Q262" i="17" s="1"/>
  <c r="W262" i="17" s="1"/>
  <c r="X263" i="17" a="1"/>
  <c r="X263" i="17" s="1"/>
  <c r="Y263" i="17" s="1"/>
  <c r="Q263" i="17" s="1"/>
  <c r="W263" i="17" s="1"/>
  <c r="X264" i="17" a="1"/>
  <c r="X264" i="17" s="1"/>
  <c r="Y264" i="17" s="1"/>
  <c r="Q264" i="17" s="1"/>
  <c r="W264" i="17" s="1"/>
  <c r="X265" i="17" a="1"/>
  <c r="X265" i="17" s="1"/>
  <c r="Y265" i="17" s="1"/>
  <c r="Q265" i="17" s="1"/>
  <c r="W265" i="17" s="1"/>
  <c r="X345" i="17" a="1"/>
  <c r="X345" i="17" s="1"/>
  <c r="Y345" i="17" s="1"/>
  <c r="Q345" i="17" s="1"/>
  <c r="W345" i="17" s="1"/>
  <c r="X266" i="17" a="1"/>
  <c r="X266" i="17" s="1"/>
  <c r="Y266" i="17" s="1"/>
  <c r="Q266" i="17" s="1"/>
  <c r="W266" i="17" s="1"/>
  <c r="X267" i="17" a="1"/>
  <c r="X267" i="17" s="1"/>
  <c r="X268" i="17" a="1"/>
  <c r="X268" i="17" s="1"/>
  <c r="Y268" i="17" s="1"/>
  <c r="Q268" i="17" s="1"/>
  <c r="W268" i="17" s="1"/>
  <c r="X269" i="17" a="1"/>
  <c r="X269" i="17" s="1"/>
  <c r="Y269" i="17" s="1"/>
  <c r="Q269" i="17" s="1"/>
  <c r="W269" i="17" s="1"/>
  <c r="X270" i="17" a="1"/>
  <c r="X270" i="17" s="1"/>
  <c r="Y270" i="17" s="1"/>
  <c r="Q270" i="17" s="1"/>
  <c r="W270" i="17" s="1"/>
  <c r="X271" i="17" a="1"/>
  <c r="X271" i="17" s="1"/>
  <c r="Y271" i="17" s="1"/>
  <c r="Q271" i="17" s="1"/>
  <c r="W271" i="17" s="1"/>
  <c r="X346" i="17" a="1"/>
  <c r="X346" i="17" s="1"/>
  <c r="Y346" i="17" s="1"/>
  <c r="Q346" i="17" s="1"/>
  <c r="W346" i="17" s="1"/>
  <c r="X272" i="17" a="1"/>
  <c r="X272" i="17" s="1"/>
  <c r="Y272" i="17" s="1"/>
  <c r="Q272" i="17" s="1"/>
  <c r="W272" i="17" s="1"/>
  <c r="X273" i="17" a="1"/>
  <c r="X273" i="17" s="1"/>
  <c r="Y273" i="17" s="1"/>
  <c r="Q273" i="17" s="1"/>
  <c r="W273" i="17" s="1"/>
  <c r="X274" i="17" a="1"/>
  <c r="X274" i="17" s="1"/>
  <c r="Y274" i="17" s="1"/>
  <c r="X275" i="17" a="1"/>
  <c r="X275" i="17" s="1"/>
  <c r="Y275" i="17" s="1"/>
  <c r="Q275" i="17" s="1"/>
  <c r="W275" i="17" s="1"/>
  <c r="X276" i="17" a="1"/>
  <c r="X276" i="17" s="1"/>
  <c r="Y276" i="17" s="1"/>
  <c r="Q276" i="17" s="1"/>
  <c r="W276" i="17" s="1"/>
  <c r="X277" i="17" a="1"/>
  <c r="X277" i="17" s="1"/>
  <c r="Y277" i="17" s="1"/>
  <c r="Q277" i="17" s="1"/>
  <c r="W277" i="17" s="1"/>
  <c r="X347" i="17" a="1"/>
  <c r="X347" i="17" s="1"/>
  <c r="Y347" i="17" s="1"/>
  <c r="Q347" i="17" s="1"/>
  <c r="W347" i="17" s="1"/>
  <c r="X278" i="17" a="1"/>
  <c r="X278" i="17" s="1"/>
  <c r="Y278" i="17" s="1"/>
  <c r="Q278" i="17" s="1"/>
  <c r="W278" i="17" s="1"/>
  <c r="X279" i="17" a="1"/>
  <c r="X279" i="17" s="1"/>
  <c r="Y279" i="17" s="1"/>
  <c r="Q279" i="17" s="1"/>
  <c r="W279" i="17" s="1"/>
  <c r="X280" i="17" a="1"/>
  <c r="X280" i="17" s="1"/>
  <c r="Y280" i="17" s="1"/>
  <c r="Q280" i="17" s="1"/>
  <c r="W280" i="17" s="1"/>
  <c r="X281" i="17" a="1"/>
  <c r="X281" i="17" s="1"/>
  <c r="Y281" i="17" s="1"/>
  <c r="Q281" i="17" s="1"/>
  <c r="W281" i="17" s="1"/>
  <c r="X282" i="17" a="1"/>
  <c r="X282" i="17" s="1"/>
  <c r="Y282" i="17" s="1"/>
  <c r="X283" i="17" a="1"/>
  <c r="X283" i="17" s="1"/>
  <c r="Y283" i="17" s="1"/>
  <c r="Q283" i="17" s="1"/>
  <c r="W283" i="17" s="1"/>
  <c r="X348" i="17" a="1"/>
  <c r="X348" i="17" s="1"/>
  <c r="Y348" i="17" s="1"/>
  <c r="Q348" i="17" s="1"/>
  <c r="W348" i="17" s="1"/>
  <c r="X284" i="17" a="1"/>
  <c r="X284" i="17" s="1"/>
  <c r="Y284" i="17" s="1"/>
  <c r="Q284" i="17" s="1"/>
  <c r="W284" i="17" s="1"/>
  <c r="X285" i="17" a="1"/>
  <c r="X285" i="17" s="1"/>
  <c r="Y285" i="17" s="1"/>
  <c r="Q285" i="17" s="1"/>
  <c r="W285" i="17" s="1"/>
  <c r="X286" i="17" a="1"/>
  <c r="X286" i="17" s="1"/>
  <c r="Y286" i="17" s="1"/>
  <c r="Q286" i="17" s="1"/>
  <c r="W286" i="17" s="1"/>
  <c r="X287" i="17" a="1"/>
  <c r="X287" i="17" s="1"/>
  <c r="Y287" i="17" s="1"/>
  <c r="Q287" i="17" s="1"/>
  <c r="W287" i="17" s="1"/>
  <c r="X288" i="17" a="1"/>
  <c r="X288" i="17" s="1"/>
  <c r="X289" i="17" a="1"/>
  <c r="X289" i="17" s="1"/>
  <c r="Y289" i="17" s="1"/>
  <c r="Q289" i="17" s="1"/>
  <c r="W289" i="17" s="1"/>
  <c r="X349" i="17" a="1"/>
  <c r="X349" i="17" s="1"/>
  <c r="Y349" i="17" s="1"/>
  <c r="Q349" i="17" s="1"/>
  <c r="W349" i="17" s="1"/>
  <c r="X290" i="17" a="1"/>
  <c r="X290" i="17" s="1"/>
  <c r="Y290" i="17" s="1"/>
  <c r="X291" i="17" a="1"/>
  <c r="X291" i="17" s="1"/>
  <c r="Y291" i="17" s="1"/>
  <c r="Q291" i="17" s="1"/>
  <c r="W291" i="17" s="1"/>
  <c r="X292" i="17" a="1"/>
  <c r="X292" i="17" s="1"/>
  <c r="Y292" i="17" s="1"/>
  <c r="Q292" i="17" s="1"/>
  <c r="W292" i="17" s="1"/>
  <c r="X293" i="17" a="1"/>
  <c r="X293" i="17" s="1"/>
  <c r="Y293" i="17" s="1"/>
  <c r="Q293" i="17" s="1"/>
  <c r="W293" i="17" s="1"/>
  <c r="X294" i="17" a="1"/>
  <c r="X294" i="17" s="1"/>
  <c r="Y294" i="17" s="1"/>
  <c r="Q294" i="17" s="1"/>
  <c r="W294" i="17" s="1"/>
  <c r="X295" i="17" a="1"/>
  <c r="X295" i="17" s="1"/>
  <c r="Y295" i="17" s="1"/>
  <c r="Q295" i="17" s="1"/>
  <c r="W295" i="17" s="1"/>
  <c r="X350" i="17" a="1"/>
  <c r="X350" i="17" s="1"/>
  <c r="Y350" i="17" s="1"/>
  <c r="Q350" i="17" s="1"/>
  <c r="W350" i="17" s="1"/>
  <c r="X296" i="17" a="1"/>
  <c r="X296" i="17" s="1"/>
  <c r="Y296" i="17" s="1"/>
  <c r="Q296" i="17" s="1"/>
  <c r="W296" i="17" s="1"/>
  <c r="X297" i="17" a="1"/>
  <c r="X297" i="17" s="1"/>
  <c r="X298" i="17" a="1"/>
  <c r="X298" i="17" s="1"/>
  <c r="Y298" i="17" s="1"/>
  <c r="Q298" i="17" s="1"/>
  <c r="W298" i="17" s="1"/>
  <c r="X299" i="17" a="1"/>
  <c r="X299" i="17" s="1"/>
  <c r="Y299" i="17" s="1"/>
  <c r="Q299" i="17" s="1"/>
  <c r="W299" i="17" s="1"/>
  <c r="X300" i="17" a="1"/>
  <c r="X300" i="17" s="1"/>
  <c r="Y300" i="17" s="1"/>
  <c r="Q300" i="17" s="1"/>
  <c r="W300" i="17" s="1"/>
  <c r="X301" i="17" a="1"/>
  <c r="X301" i="17" s="1"/>
  <c r="Y301" i="17" s="1"/>
  <c r="Q301" i="17" s="1"/>
  <c r="W301" i="17" s="1"/>
  <c r="X351" i="17" a="1"/>
  <c r="X351" i="17" s="1"/>
  <c r="Y351" i="17" s="1"/>
  <c r="Q351" i="17" s="1"/>
  <c r="W351" i="17" s="1"/>
  <c r="Y2" i="17"/>
  <c r="Q2" i="17" s="1"/>
  <c r="W2" i="17" s="1"/>
  <c r="Y3" i="17"/>
  <c r="Q3" i="17" s="1"/>
  <c r="W3" i="17" s="1"/>
  <c r="Y4" i="17"/>
  <c r="Y5" i="17"/>
  <c r="Q5" i="17" s="1"/>
  <c r="W5" i="17" s="1"/>
  <c r="Y6" i="17"/>
  <c r="Q6" i="17" s="1"/>
  <c r="W6" i="17" s="1"/>
  <c r="Y9" i="17"/>
  <c r="Y10" i="17"/>
  <c r="Q10" i="17" s="1"/>
  <c r="W10" i="17" s="1"/>
  <c r="Y12" i="17"/>
  <c r="Q12" i="17" s="1"/>
  <c r="W12" i="17" s="1"/>
  <c r="Y13" i="17"/>
  <c r="Q13" i="17" s="1"/>
  <c r="W13" i="17" s="1"/>
  <c r="Y303" i="17"/>
  <c r="Q303" i="17" s="1"/>
  <c r="W303" i="17" s="1"/>
  <c r="Y14" i="17"/>
  <c r="Q14" i="17" s="1"/>
  <c r="W14" i="17" s="1"/>
  <c r="Y15" i="17"/>
  <c r="Q15" i="17" s="1"/>
  <c r="W15" i="17" s="1"/>
  <c r="Y16" i="17"/>
  <c r="Y17" i="17"/>
  <c r="Q17" i="17" s="1"/>
  <c r="W17" i="17" s="1"/>
  <c r="Y18" i="17"/>
  <c r="Y304" i="17"/>
  <c r="Q304" i="17" s="1"/>
  <c r="W304" i="17" s="1"/>
  <c r="Y20" i="17"/>
  <c r="Q20" i="17" s="1"/>
  <c r="W20" i="17" s="1"/>
  <c r="Y21" i="17"/>
  <c r="Q21" i="17" s="1"/>
  <c r="W21" i="17" s="1"/>
  <c r="Y23" i="17"/>
  <c r="Y24" i="17"/>
  <c r="Q24" i="17" s="1"/>
  <c r="W24" i="17" s="1"/>
  <c r="Y25" i="17"/>
  <c r="Q25" i="17" s="1"/>
  <c r="W25" i="17" s="1"/>
  <c r="Y305" i="17"/>
  <c r="Q305" i="17" s="1"/>
  <c r="W305" i="17" s="1"/>
  <c r="Y26" i="17"/>
  <c r="Q26" i="17" s="1"/>
  <c r="W26" i="17" s="1"/>
  <c r="Y27" i="17"/>
  <c r="Q27" i="17" s="1"/>
  <c r="W27" i="17" s="1"/>
  <c r="Y28" i="17"/>
  <c r="Q28" i="17" s="1"/>
  <c r="W28" i="17" s="1"/>
  <c r="Y30" i="17"/>
  <c r="Q30" i="17" s="1"/>
  <c r="W30" i="17" s="1"/>
  <c r="Y31" i="17"/>
  <c r="Q31" i="17" s="1"/>
  <c r="W31" i="17" s="1"/>
  <c r="Y306" i="17"/>
  <c r="Q306" i="17" s="1"/>
  <c r="W306" i="17" s="1"/>
  <c r="Y32" i="17"/>
  <c r="Q32" i="17" s="1"/>
  <c r="W32" i="17" s="1"/>
  <c r="Y33" i="17"/>
  <c r="Q33" i="17" s="1"/>
  <c r="W33" i="17" s="1"/>
  <c r="Y35" i="17"/>
  <c r="Q35" i="17" s="1"/>
  <c r="W35" i="17" s="1"/>
  <c r="Y36" i="17"/>
  <c r="Q36" i="17" s="1"/>
  <c r="W36" i="17" s="1"/>
  <c r="Y37" i="17"/>
  <c r="Q37" i="17" s="1"/>
  <c r="W37" i="17" s="1"/>
  <c r="Y307" i="17"/>
  <c r="Q307" i="17" s="1"/>
  <c r="W307" i="17" s="1"/>
  <c r="Y38" i="17"/>
  <c r="Q38" i="17" s="1"/>
  <c r="W38" i="17" s="1"/>
  <c r="Y39" i="17"/>
  <c r="Q39" i="17" s="1"/>
  <c r="W39" i="17" s="1"/>
  <c r="Y40" i="17"/>
  <c r="Q40" i="17" s="1"/>
  <c r="W40" i="17" s="1"/>
  <c r="Y42" i="17"/>
  <c r="Q42" i="17" s="1"/>
  <c r="W42" i="17" s="1"/>
  <c r="Y43" i="17"/>
  <c r="Q43" i="17" s="1"/>
  <c r="W43" i="17" s="1"/>
  <c r="Y308" i="17"/>
  <c r="Y44" i="17"/>
  <c r="Q44" i="17" s="1"/>
  <c r="W44" i="17" s="1"/>
  <c r="Y45" i="17"/>
  <c r="Y46" i="17"/>
  <c r="Q46" i="17" s="1"/>
  <c r="W46" i="17" s="1"/>
  <c r="Y47" i="17"/>
  <c r="Q47" i="17" s="1"/>
  <c r="W47" i="17" s="1"/>
  <c r="Y48" i="17"/>
  <c r="Q48" i="17" s="1"/>
  <c r="W48" i="17" s="1"/>
  <c r="Y309" i="17"/>
  <c r="Q309" i="17" s="1"/>
  <c r="W309" i="17" s="1"/>
  <c r="Y50" i="17"/>
  <c r="Q50" i="17" s="1"/>
  <c r="W50" i="17" s="1"/>
  <c r="Y51" i="17"/>
  <c r="Q51" i="17" s="1"/>
  <c r="W51" i="17" s="1"/>
  <c r="Y53" i="17"/>
  <c r="Q53" i="17" s="1"/>
  <c r="W53" i="17" s="1"/>
  <c r="Y54" i="17"/>
  <c r="Q54" i="17" s="1"/>
  <c r="W54" i="17" s="1"/>
  <c r="Y55" i="17"/>
  <c r="Q55" i="17" s="1"/>
  <c r="W55" i="17" s="1"/>
  <c r="Y310" i="17"/>
  <c r="Q310" i="17" s="1"/>
  <c r="W310" i="17" s="1"/>
  <c r="Y56" i="17"/>
  <c r="Q56" i="17" s="1"/>
  <c r="W56" i="17" s="1"/>
  <c r="Y57" i="17"/>
  <c r="Q57" i="17" s="1"/>
  <c r="W57" i="17" s="1"/>
  <c r="Y58" i="17"/>
  <c r="Q58" i="17" s="1"/>
  <c r="W58" i="17" s="1"/>
  <c r="Y59" i="17"/>
  <c r="Q59" i="17" s="1"/>
  <c r="W59" i="17" s="1"/>
  <c r="Y60" i="17"/>
  <c r="Q60" i="17" s="1"/>
  <c r="W60" i="17" s="1"/>
  <c r="Y61" i="17"/>
  <c r="Q61" i="17" s="1"/>
  <c r="W61" i="17" s="1"/>
  <c r="Y311" i="17"/>
  <c r="Q311" i="17" s="1"/>
  <c r="W311" i="17" s="1"/>
  <c r="Y65" i="17"/>
  <c r="Q65" i="17" s="1"/>
  <c r="W65" i="17" s="1"/>
  <c r="Y66" i="17"/>
  <c r="Q66" i="17" s="1"/>
  <c r="W66" i="17" s="1"/>
  <c r="Y312" i="17"/>
  <c r="Q312" i="17" s="1"/>
  <c r="W312" i="17" s="1"/>
  <c r="Y68" i="17"/>
  <c r="Q68" i="17" s="1"/>
  <c r="W68" i="17" s="1"/>
  <c r="Y69" i="17"/>
  <c r="Q69" i="17" s="1"/>
  <c r="W69" i="17" s="1"/>
  <c r="Y71" i="17"/>
  <c r="Q71" i="17" s="1"/>
  <c r="W71" i="17" s="1"/>
  <c r="Y72" i="17"/>
  <c r="Q72" i="17" s="1"/>
  <c r="W72" i="17" s="1"/>
  <c r="Y75" i="17"/>
  <c r="Q75" i="17" s="1"/>
  <c r="W75" i="17" s="1"/>
  <c r="Y77" i="17"/>
  <c r="Q77" i="17" s="1"/>
  <c r="W77" i="17" s="1"/>
  <c r="Y79" i="17"/>
  <c r="Y314" i="17"/>
  <c r="Q314" i="17" s="1"/>
  <c r="W314" i="17" s="1"/>
  <c r="Y81" i="17"/>
  <c r="Q81" i="17" s="1"/>
  <c r="W81" i="17" s="1"/>
  <c r="Y82" i="17"/>
  <c r="Q82" i="17" s="1"/>
  <c r="W82" i="17" s="1"/>
  <c r="Y315" i="17"/>
  <c r="Q315" i="17" s="1"/>
  <c r="W315" i="17" s="1"/>
  <c r="Y87" i="17"/>
  <c r="Q87" i="17" s="1"/>
  <c r="W87" i="17" s="1"/>
  <c r="Y91" i="17"/>
  <c r="Q91" i="17" s="1"/>
  <c r="W91" i="17" s="1"/>
  <c r="Y92" i="17"/>
  <c r="Q92" i="17" s="1"/>
  <c r="W92" i="17" s="1"/>
  <c r="Y93" i="17"/>
  <c r="Q93" i="17" s="1"/>
  <c r="W93" i="17" s="1"/>
  <c r="Y96" i="17"/>
  <c r="Q96" i="17" s="1"/>
  <c r="W96" i="17" s="1"/>
  <c r="Y97" i="17"/>
  <c r="Y98" i="17"/>
  <c r="Q98" i="17" s="1"/>
  <c r="W98" i="17" s="1"/>
  <c r="Y99" i="17"/>
  <c r="Y101" i="17"/>
  <c r="Q101" i="17" s="1"/>
  <c r="W101" i="17" s="1"/>
  <c r="Y103" i="17"/>
  <c r="Q103" i="17" s="1"/>
  <c r="W103" i="17" s="1"/>
  <c r="Y104" i="17"/>
  <c r="Q104" i="17" s="1"/>
  <c r="W104" i="17" s="1"/>
  <c r="Y106" i="17"/>
  <c r="Y109" i="17"/>
  <c r="Q109" i="17" s="1"/>
  <c r="W109" i="17" s="1"/>
  <c r="Y319" i="17"/>
  <c r="Q319" i="17" s="1"/>
  <c r="W319" i="17" s="1"/>
  <c r="Y113" i="17"/>
  <c r="Q113" i="17" s="1"/>
  <c r="W113" i="17" s="1"/>
  <c r="Y115" i="17"/>
  <c r="Q115" i="17" s="1"/>
  <c r="W115" i="17" s="1"/>
  <c r="Y320" i="17"/>
  <c r="Q320" i="17" s="1"/>
  <c r="W320" i="17" s="1"/>
  <c r="Y120" i="17"/>
  <c r="Q120" i="17" s="1"/>
  <c r="W120" i="17" s="1"/>
  <c r="Y121" i="17"/>
  <c r="Q121" i="17" s="1"/>
  <c r="W121" i="17" s="1"/>
  <c r="Y321" i="17"/>
  <c r="Q321" i="17" s="1"/>
  <c r="W321" i="17" s="1"/>
  <c r="Y123" i="17"/>
  <c r="Q123" i="17" s="1"/>
  <c r="W123" i="17" s="1"/>
  <c r="Y126" i="17"/>
  <c r="Q126" i="17" s="1"/>
  <c r="W126" i="17" s="1"/>
  <c r="Y127" i="17"/>
  <c r="Q127" i="17" s="1"/>
  <c r="W127" i="17" s="1"/>
  <c r="Y129" i="17"/>
  <c r="Y130" i="17"/>
  <c r="Q130" i="17" s="1"/>
  <c r="W130" i="17" s="1"/>
  <c r="Y323" i="17"/>
  <c r="Q323" i="17" s="1"/>
  <c r="W323" i="17" s="1"/>
  <c r="Y136" i="17"/>
  <c r="Q136" i="17" s="1"/>
  <c r="W136" i="17" s="1"/>
  <c r="Y137" i="17"/>
  <c r="Q137" i="17" s="1"/>
  <c r="W137" i="17" s="1"/>
  <c r="Y140" i="17"/>
  <c r="Q140" i="17" s="1"/>
  <c r="W140" i="17" s="1"/>
  <c r="Y142" i="17"/>
  <c r="Q142" i="17" s="1"/>
  <c r="W142" i="17" s="1"/>
  <c r="Y325" i="17"/>
  <c r="Q325" i="17" s="1"/>
  <c r="W325" i="17" s="1"/>
  <c r="Y147" i="17"/>
  <c r="Q147" i="17" s="1"/>
  <c r="W147" i="17" s="1"/>
  <c r="Y149" i="17"/>
  <c r="Q149" i="17" s="1"/>
  <c r="W149" i="17" s="1"/>
  <c r="Y151" i="17"/>
  <c r="Q151" i="17" s="1"/>
  <c r="W151" i="17" s="1"/>
  <c r="Y153" i="17"/>
  <c r="Y154" i="17"/>
  <c r="Q154" i="17" s="1"/>
  <c r="W154" i="17" s="1"/>
  <c r="Y155" i="17"/>
  <c r="Q155" i="17" s="1"/>
  <c r="W155" i="17" s="1"/>
  <c r="Y156" i="17"/>
  <c r="Q156" i="17" s="1"/>
  <c r="W156" i="17" s="1"/>
  <c r="Y157" i="17"/>
  <c r="Q157" i="17" s="1"/>
  <c r="W157" i="17" s="1"/>
  <c r="Y161" i="17"/>
  <c r="Q161" i="17" s="1"/>
  <c r="W161" i="17" s="1"/>
  <c r="Y328" i="17"/>
  <c r="Q328" i="17" s="1"/>
  <c r="W328" i="17" s="1"/>
  <c r="Y164" i="17"/>
  <c r="Y165" i="17"/>
  <c r="Q165" i="17" s="1"/>
  <c r="W165" i="17" s="1"/>
  <c r="Y168" i="17"/>
  <c r="Q168" i="17" s="1"/>
  <c r="W168" i="17" s="1"/>
  <c r="Y169" i="17"/>
  <c r="Q169" i="17" s="1"/>
  <c r="W169" i="17" s="1"/>
  <c r="Y170" i="17"/>
  <c r="Q170" i="17" s="1"/>
  <c r="W170" i="17" s="1"/>
  <c r="Y171" i="17"/>
  <c r="Q171" i="17" s="1"/>
  <c r="W171" i="17" s="1"/>
  <c r="Y173" i="17"/>
  <c r="Q173" i="17" s="1"/>
  <c r="W173" i="17" s="1"/>
  <c r="Y175" i="17"/>
  <c r="Q175" i="17" s="1"/>
  <c r="W175" i="17" s="1"/>
  <c r="Y330" i="17"/>
  <c r="Q330" i="17" s="1"/>
  <c r="W330" i="17" s="1"/>
  <c r="Y177" i="17"/>
  <c r="Q177" i="17" s="1"/>
  <c r="W177" i="17" s="1"/>
  <c r="Y178" i="17"/>
  <c r="Q178" i="17" s="1"/>
  <c r="W178" i="17" s="1"/>
  <c r="Y181" i="17"/>
  <c r="Q181" i="17" s="1"/>
  <c r="W181" i="17" s="1"/>
  <c r="Y331" i="17"/>
  <c r="Q331" i="17" s="1"/>
  <c r="W331" i="17" s="1"/>
  <c r="Y182" i="17"/>
  <c r="Y184" i="17"/>
  <c r="Q184" i="17" s="1"/>
  <c r="W184" i="17" s="1"/>
  <c r="Y185" i="17"/>
  <c r="Q185" i="17" s="1"/>
  <c r="W185" i="17" s="1"/>
  <c r="Y189" i="17"/>
  <c r="Q189" i="17" s="1"/>
  <c r="W189" i="17" s="1"/>
  <c r="Y191" i="17"/>
  <c r="Q191" i="17" s="1"/>
  <c r="W191" i="17" s="1"/>
  <c r="Y192" i="17"/>
  <c r="Q192" i="17" s="1"/>
  <c r="W192" i="17" s="1"/>
  <c r="Y195" i="17"/>
  <c r="Q195" i="17" s="1"/>
  <c r="W195" i="17" s="1"/>
  <c r="Y197" i="17"/>
  <c r="Q197" i="17" s="1"/>
  <c r="W197" i="17" s="1"/>
  <c r="Y198" i="17"/>
  <c r="Q198" i="17" s="1"/>
  <c r="W198" i="17" s="1"/>
  <c r="Y199" i="17"/>
  <c r="Q199" i="17" s="1"/>
  <c r="W199" i="17" s="1"/>
  <c r="Y202" i="17"/>
  <c r="Q202" i="17" s="1"/>
  <c r="W202" i="17" s="1"/>
  <c r="Y203" i="17"/>
  <c r="Q203" i="17" s="1"/>
  <c r="W203" i="17" s="1"/>
  <c r="Y204" i="17"/>
  <c r="Q204" i="17" s="1"/>
  <c r="W204" i="17" s="1"/>
  <c r="Y208" i="17"/>
  <c r="Q208" i="17" s="1"/>
  <c r="W208" i="17" s="1"/>
  <c r="Y209" i="17"/>
  <c r="Y211" i="17"/>
  <c r="Q211" i="17" s="1"/>
  <c r="W211" i="17" s="1"/>
  <c r="Y336" i="17"/>
  <c r="Q336" i="17" s="1"/>
  <c r="W336" i="17" s="1"/>
  <c r="Y213" i="17"/>
  <c r="Q213" i="17" s="1"/>
  <c r="W213" i="17" s="1"/>
  <c r="Y217" i="17"/>
  <c r="Q217" i="17" s="1"/>
  <c r="W217" i="17" s="1"/>
  <c r="Y337" i="17"/>
  <c r="Q337" i="17" s="1"/>
  <c r="W337" i="17" s="1"/>
  <c r="Y338" i="17"/>
  <c r="Q338" i="17" s="1"/>
  <c r="W338" i="17" s="1"/>
  <c r="Y227" i="17"/>
  <c r="Q227" i="17" s="1"/>
  <c r="W227" i="17" s="1"/>
  <c r="Y339" i="17"/>
  <c r="Q339" i="17" s="1"/>
  <c r="W339" i="17" s="1"/>
  <c r="Y234" i="17"/>
  <c r="Q234" i="17" s="1"/>
  <c r="W234" i="17" s="1"/>
  <c r="Y237" i="17"/>
  <c r="Q237" i="17" s="1"/>
  <c r="W237" i="17" s="1"/>
  <c r="G2" i="16"/>
  <c r="N71" i="20" l="1"/>
  <c r="N219" i="20"/>
  <c r="N165" i="20"/>
  <c r="N243" i="20"/>
  <c r="N217" i="20"/>
  <c r="N187" i="20"/>
  <c r="N147" i="20"/>
  <c r="N59" i="20"/>
  <c r="N39" i="20"/>
  <c r="K53" i="20" a="1"/>
  <c r="K53" i="20" s="1"/>
  <c r="K45" i="20" a="1"/>
  <c r="K45" i="20" s="1"/>
  <c r="K37" i="20" a="1"/>
  <c r="K37" i="20" s="1"/>
  <c r="K29" i="20" a="1"/>
  <c r="K29" i="20" s="1"/>
  <c r="K21" i="20" a="1"/>
  <c r="K21" i="20" s="1"/>
  <c r="K13" i="20" a="1"/>
  <c r="K13" i="20" s="1"/>
  <c r="K5" i="20" a="1"/>
  <c r="K5" i="20" s="1"/>
  <c r="N228" i="20"/>
  <c r="N185" i="20"/>
  <c r="N75" i="20"/>
  <c r="N57" i="20"/>
  <c r="K51" i="20" a="1"/>
  <c r="K51" i="20" s="1"/>
  <c r="K43" i="20" a="1"/>
  <c r="K43" i="20" s="1"/>
  <c r="K35" i="20" a="1"/>
  <c r="K35" i="20" s="1"/>
  <c r="K27" i="20" a="1"/>
  <c r="K27" i="20" s="1"/>
  <c r="K19" i="20" a="1"/>
  <c r="K19" i="20" s="1"/>
  <c r="K11" i="20" a="1"/>
  <c r="K11" i="20" s="1"/>
  <c r="K3" i="20" a="1"/>
  <c r="K3" i="20" s="1"/>
  <c r="N191" i="20"/>
  <c r="N163" i="20"/>
  <c r="N131" i="20"/>
  <c r="N118" i="20"/>
  <c r="K50" i="20" a="1"/>
  <c r="K50" i="20" s="1"/>
  <c r="K42" i="20" a="1"/>
  <c r="K42" i="20" s="1"/>
  <c r="K34" i="20" a="1"/>
  <c r="K34" i="20" s="1"/>
  <c r="K26" i="20" a="1"/>
  <c r="K26" i="20" s="1"/>
  <c r="K18" i="20" a="1"/>
  <c r="K18" i="20" s="1"/>
  <c r="K10" i="20" a="1"/>
  <c r="K10" i="20" s="1"/>
  <c r="K2" i="20" a="1"/>
  <c r="K2" i="20" s="1"/>
  <c r="N197" i="20"/>
  <c r="N169" i="20"/>
  <c r="N137" i="20"/>
  <c r="K65" i="20" a="1"/>
  <c r="K65" i="20" s="1"/>
  <c r="K57" i="20" a="1"/>
  <c r="K57" i="20" s="1"/>
  <c r="K49" i="20" a="1"/>
  <c r="K49" i="20" s="1"/>
  <c r="K41" i="20" a="1"/>
  <c r="K41" i="20" s="1"/>
  <c r="K33" i="20" a="1"/>
  <c r="K33" i="20" s="1"/>
  <c r="K25" i="20" a="1"/>
  <c r="K25" i="20" s="1"/>
  <c r="K17" i="20" a="1"/>
  <c r="K17" i="20" s="1"/>
  <c r="K9" i="20" a="1"/>
  <c r="K9" i="20" s="1"/>
  <c r="N233" i="20"/>
  <c r="N196" i="20"/>
  <c r="N183" i="20"/>
  <c r="N123" i="20"/>
  <c r="N23" i="20"/>
  <c r="K150" i="20" a="1"/>
  <c r="K150" i="20" s="1"/>
  <c r="K145" i="20" a="1"/>
  <c r="K145" i="20" s="1"/>
  <c r="K137" i="20" a="1"/>
  <c r="K137" i="20" s="1"/>
  <c r="K131" i="20" a="1"/>
  <c r="K131" i="20" s="1"/>
  <c r="K124" i="20" a="1"/>
  <c r="K124" i="20" s="1"/>
  <c r="K117" i="20" a="1"/>
  <c r="K117" i="20" s="1"/>
  <c r="K111" i="20" a="1"/>
  <c r="K111" i="20" s="1"/>
  <c r="K8" i="20" a="1"/>
  <c r="K8" i="20" s="1"/>
  <c r="N251" i="20"/>
  <c r="N232" i="20"/>
  <c r="N115" i="20"/>
  <c r="K63" i="20" a="1"/>
  <c r="K63" i="20" s="1"/>
  <c r="K55" i="20" a="1"/>
  <c r="K55" i="20" s="1"/>
  <c r="K47" i="20" a="1"/>
  <c r="K47" i="20" s="1"/>
  <c r="K39" i="20" a="1"/>
  <c r="K39" i="20" s="1"/>
  <c r="K31" i="20" a="1"/>
  <c r="K31" i="20" s="1"/>
  <c r="K23" i="20" a="1"/>
  <c r="K23" i="20" s="1"/>
  <c r="K15" i="20" a="1"/>
  <c r="K15" i="20" s="1"/>
  <c r="K7" i="20" a="1"/>
  <c r="K7" i="20" s="1"/>
  <c r="N133" i="20"/>
  <c r="N201" i="20"/>
  <c r="N181" i="20"/>
  <c r="N154" i="20"/>
  <c r="N107" i="20"/>
  <c r="N53" i="20"/>
  <c r="K62" i="20" a="1"/>
  <c r="K62" i="20" s="1"/>
  <c r="K54" i="20" a="1"/>
  <c r="K54" i="20" s="1"/>
  <c r="K46" i="20" a="1"/>
  <c r="K46" i="20" s="1"/>
  <c r="K38" i="20" a="1"/>
  <c r="K38" i="20" s="1"/>
  <c r="K30" i="20" a="1"/>
  <c r="K30" i="20" s="1"/>
  <c r="K22" i="20" a="1"/>
  <c r="K22" i="20" s="1"/>
  <c r="K14" i="20" a="1"/>
  <c r="K14" i="20" s="1"/>
  <c r="N249" i="20"/>
  <c r="R172" i="18"/>
  <c r="U172" i="18" s="1"/>
  <c r="R216" i="18"/>
  <c r="U216" i="18" s="1"/>
  <c r="R198" i="18"/>
  <c r="U198" i="18" s="1"/>
  <c r="R250" i="18"/>
  <c r="U250" i="18" s="1"/>
  <c r="R246" i="18"/>
  <c r="U246" i="18" s="1"/>
  <c r="R242" i="18"/>
  <c r="U242" i="18" s="1"/>
  <c r="R238" i="18"/>
  <c r="U238" i="18" s="1"/>
  <c r="R230" i="18"/>
  <c r="U230" i="18" s="1"/>
  <c r="R222" i="18"/>
  <c r="U222" i="18" s="1"/>
  <c r="R218" i="18"/>
  <c r="U218" i="18" s="1"/>
  <c r="R186" i="18"/>
  <c r="U186" i="18" s="1"/>
  <c r="R154" i="18"/>
  <c r="U154" i="18" s="1"/>
  <c r="R195" i="18"/>
  <c r="U195" i="18" s="1"/>
  <c r="R163" i="18"/>
  <c r="U163" i="18" s="1"/>
  <c r="R208" i="18"/>
  <c r="U208" i="18" s="1"/>
  <c r="R199" i="18"/>
  <c r="U199" i="18" s="1"/>
  <c r="R176" i="18"/>
  <c r="U176" i="18" s="1"/>
  <c r="R167" i="18"/>
  <c r="U167" i="18" s="1"/>
  <c r="R207" i="18"/>
  <c r="U207" i="18" s="1"/>
  <c r="R175" i="18"/>
  <c r="U175" i="18" s="1"/>
  <c r="R206" i="18"/>
  <c r="U206" i="18" s="1"/>
  <c r="R174" i="18"/>
  <c r="U174" i="18" s="1"/>
  <c r="R247" i="18"/>
  <c r="U247" i="18" s="1"/>
  <c r="R243" i="18"/>
  <c r="U243" i="18" s="1"/>
  <c r="R239" i="18"/>
  <c r="U239" i="18" s="1"/>
  <c r="R231" i="18"/>
  <c r="U231" i="18" s="1"/>
  <c r="R227" i="18"/>
  <c r="U227" i="18" s="1"/>
  <c r="R223" i="18"/>
  <c r="U223" i="18" s="1"/>
  <c r="R215" i="18"/>
  <c r="U215" i="18" s="1"/>
  <c r="R210" i="18"/>
  <c r="U210" i="18" s="1"/>
  <c r="R192" i="18"/>
  <c r="U192" i="18" s="1"/>
  <c r="R183" i="18"/>
  <c r="U183" i="18" s="1"/>
  <c r="R178" i="18"/>
  <c r="U178" i="18" s="1"/>
  <c r="R160" i="18"/>
  <c r="U160" i="18" s="1"/>
  <c r="R151" i="18"/>
  <c r="U151" i="18" s="1"/>
  <c r="Q164" i="17"/>
  <c r="W164" i="17" s="1"/>
  <c r="Q209" i="17"/>
  <c r="W209" i="17" s="1"/>
  <c r="Q112" i="17"/>
  <c r="W112" i="17" s="1"/>
  <c r="Q90" i="17"/>
  <c r="W90" i="17" s="1"/>
  <c r="Q84" i="17"/>
  <c r="W84" i="17" s="1"/>
  <c r="N129" i="17" a="1"/>
  <c r="N129" i="17" s="1"/>
  <c r="N123" i="17" a="1"/>
  <c r="N123" i="17" s="1"/>
  <c r="N116" i="17" a="1"/>
  <c r="N116" i="17" s="1"/>
  <c r="N319" i="17" a="1"/>
  <c r="N319" i="17" s="1"/>
  <c r="N103" i="17" a="1"/>
  <c r="N103" i="17" s="1"/>
  <c r="N97" i="17" a="1"/>
  <c r="N97" i="17" s="1"/>
  <c r="Q145" i="17"/>
  <c r="W145" i="17" s="1"/>
  <c r="Q117" i="17"/>
  <c r="W117" i="17" s="1"/>
  <c r="N69" i="17" a="1"/>
  <c r="N69" i="17" s="1"/>
  <c r="N62" i="17" a="1"/>
  <c r="N62" i="17" s="1"/>
  <c r="N57" i="17" a="1"/>
  <c r="N57" i="17" s="1"/>
  <c r="N49" i="17" a="1"/>
  <c r="N49" i="17" s="1"/>
  <c r="N42" i="17" a="1"/>
  <c r="N42" i="17" s="1"/>
  <c r="N35" i="17" a="1"/>
  <c r="N35" i="17" s="1"/>
  <c r="N28" i="17" a="1"/>
  <c r="N28" i="17" s="1"/>
  <c r="N21" i="17" a="1"/>
  <c r="N21" i="17" s="1"/>
  <c r="N11" i="17" a="1"/>
  <c r="N11" i="17" s="1"/>
  <c r="N115" i="17" a="1"/>
  <c r="N115" i="17" s="1"/>
  <c r="N108" i="17" a="1"/>
  <c r="N108" i="17" s="1"/>
  <c r="N95" i="17" a="1"/>
  <c r="N95" i="17" s="1"/>
  <c r="N88" i="17" a="1"/>
  <c r="N88" i="17" s="1"/>
  <c r="N80" i="17" a="1"/>
  <c r="N80" i="17" s="1"/>
  <c r="N73" i="17" a="1"/>
  <c r="N73" i="17" s="1"/>
  <c r="N19" i="17" a="1"/>
  <c r="N19" i="17" s="1"/>
  <c r="Q99" i="17"/>
  <c r="W99" i="17" s="1"/>
  <c r="Q79" i="17"/>
  <c r="W79" i="17" s="1"/>
  <c r="Q45" i="17"/>
  <c r="W45" i="17" s="1"/>
  <c r="Q18" i="17"/>
  <c r="W18" i="17" s="1"/>
  <c r="Q4" i="17"/>
  <c r="W4" i="17" s="1"/>
  <c r="Y297" i="17"/>
  <c r="Q297" i="17" s="1"/>
  <c r="W297" i="17" s="1"/>
  <c r="Q290" i="17"/>
  <c r="W290" i="17" s="1"/>
  <c r="Q242" i="17"/>
  <c r="W242" i="17" s="1"/>
  <c r="Q236" i="17"/>
  <c r="W236" i="17" s="1"/>
  <c r="Y333" i="17"/>
  <c r="Q333" i="17" s="1"/>
  <c r="W333" i="17" s="1"/>
  <c r="Y159" i="17"/>
  <c r="Q159" i="17" s="1"/>
  <c r="W159" i="17" s="1"/>
  <c r="N114" i="17" a="1"/>
  <c r="N114" i="17" s="1"/>
  <c r="N107" i="17" a="1"/>
  <c r="N107" i="17" s="1"/>
  <c r="N100" i="17" a="1"/>
  <c r="N100" i="17" s="1"/>
  <c r="N94" i="17" a="1"/>
  <c r="N94" i="17" s="1"/>
  <c r="N87" i="17" a="1"/>
  <c r="N87" i="17" s="1"/>
  <c r="N314" i="17" a="1"/>
  <c r="N314" i="17" s="1"/>
  <c r="N312" i="17" a="1"/>
  <c r="N312" i="17" s="1"/>
  <c r="N9" i="17" a="1"/>
  <c r="N9" i="17" s="1"/>
  <c r="Y219" i="17"/>
  <c r="Q219" i="17" s="1"/>
  <c r="W219" i="17" s="1"/>
  <c r="Y187" i="17"/>
  <c r="Q187" i="17" s="1"/>
  <c r="W187" i="17" s="1"/>
  <c r="Q133" i="17"/>
  <c r="W133" i="17" s="1"/>
  <c r="N113" i="17" a="1"/>
  <c r="N113" i="17" s="1"/>
  <c r="N106" i="17" a="1"/>
  <c r="N106" i="17" s="1"/>
  <c r="N99" i="17" a="1"/>
  <c r="N99" i="17" s="1"/>
  <c r="N93" i="17" a="1"/>
  <c r="N93" i="17" s="1"/>
  <c r="N86" i="17" a="1"/>
  <c r="N86" i="17" s="1"/>
  <c r="N79" i="17" a="1"/>
  <c r="N79" i="17" s="1"/>
  <c r="N61" i="17" a="1"/>
  <c r="N61" i="17" s="1"/>
  <c r="Q153" i="17"/>
  <c r="W153" i="17" s="1"/>
  <c r="Q97" i="17"/>
  <c r="W97" i="17" s="1"/>
  <c r="Q308" i="17"/>
  <c r="W308" i="17" s="1"/>
  <c r="Q23" i="17"/>
  <c r="W23" i="17" s="1"/>
  <c r="Q16" i="17"/>
  <c r="W16" i="17" s="1"/>
  <c r="Q9" i="17"/>
  <c r="W9" i="17" s="1"/>
  <c r="Q282" i="17"/>
  <c r="W282" i="17" s="1"/>
  <c r="Q254" i="17"/>
  <c r="W254" i="17" s="1"/>
  <c r="Q342" i="17"/>
  <c r="W342" i="17" s="1"/>
  <c r="Y235" i="17"/>
  <c r="Q235" i="17" s="1"/>
  <c r="W235" i="17" s="1"/>
  <c r="Q186" i="17"/>
  <c r="W186" i="17" s="1"/>
  <c r="N112" i="17" a="1"/>
  <c r="N112" i="17" s="1"/>
  <c r="N105" i="17" a="1"/>
  <c r="N105" i="17" s="1"/>
  <c r="N98" i="17" a="1"/>
  <c r="N98" i="17" s="1"/>
  <c r="N92" i="17" a="1"/>
  <c r="N92" i="17" s="1"/>
  <c r="N315" i="17" a="1"/>
  <c r="N315" i="17" s="1"/>
  <c r="N77" i="17" a="1"/>
  <c r="N77" i="17" s="1"/>
  <c r="Q182" i="17"/>
  <c r="W182" i="17" s="1"/>
  <c r="Q129" i="17"/>
  <c r="W129" i="17" s="1"/>
  <c r="Y288" i="17"/>
  <c r="Q288" i="17" s="1"/>
  <c r="W288" i="17" s="1"/>
  <c r="Q274" i="17"/>
  <c r="W274" i="17" s="1"/>
  <c r="Y267" i="17"/>
  <c r="Q267" i="17" s="1"/>
  <c r="W267" i="17" s="1"/>
  <c r="Y343" i="17"/>
  <c r="Q343" i="17" s="1"/>
  <c r="W343" i="17" s="1"/>
  <c r="Q229" i="17"/>
  <c r="W229" i="17" s="1"/>
  <c r="Q131" i="17"/>
  <c r="W131" i="17" s="1"/>
  <c r="Q119" i="17"/>
  <c r="W119" i="17" s="1"/>
  <c r="N131" i="17" a="1"/>
  <c r="N131" i="17" s="1"/>
  <c r="N118" i="17" a="1"/>
  <c r="N118" i="17" s="1"/>
  <c r="N111" i="17" a="1"/>
  <c r="N111" i="17" s="1"/>
  <c r="N104" i="17" a="1"/>
  <c r="N104" i="17" s="1"/>
  <c r="N317" i="17" a="1"/>
  <c r="N317" i="17" s="1"/>
  <c r="N316" i="17" a="1"/>
  <c r="N316" i="17" s="1"/>
  <c r="N85" i="17" a="1"/>
  <c r="N85" i="17" s="1"/>
  <c r="N43" i="17" a="1"/>
  <c r="N43" i="17" s="1"/>
  <c r="Q106" i="17"/>
  <c r="W106" i="17" s="1"/>
  <c r="Q246" i="17"/>
  <c r="W246" i="17" s="1"/>
  <c r="Y125" i="17"/>
  <c r="Q125" i="17" s="1"/>
  <c r="W125" i="17" s="1"/>
  <c r="N84" i="17" a="1"/>
  <c r="N84" i="17" s="1"/>
  <c r="N75" i="17" a="1"/>
  <c r="N75" i="17" s="1"/>
  <c r="N37" i="17" a="1"/>
  <c r="N37" i="17" s="1"/>
  <c r="N68" i="17" a="1"/>
  <c r="N68" i="17" s="1"/>
  <c r="N311" i="17" a="1"/>
  <c r="N311" i="17" s="1"/>
  <c r="N309" i="17" a="1"/>
  <c r="N309" i="17" s="1"/>
  <c r="N308" i="17" a="1"/>
  <c r="N308" i="17" s="1"/>
  <c r="N307" i="17" a="1"/>
  <c r="N307" i="17" s="1"/>
  <c r="N306" i="17" a="1"/>
  <c r="N306" i="17" s="1"/>
  <c r="N305" i="17" a="1"/>
  <c r="N305" i="17" s="1"/>
  <c r="N304" i="17" a="1"/>
  <c r="N304" i="17" s="1"/>
  <c r="N10" i="17" a="1"/>
  <c r="N10" i="17" s="1"/>
  <c r="N17" i="17" a="1"/>
  <c r="N17" i="17" s="1"/>
  <c r="N67" i="17" a="1"/>
  <c r="N67" i="17" s="1"/>
  <c r="N60" i="17" a="1"/>
  <c r="N60" i="17" s="1"/>
  <c r="N55" i="17" a="1"/>
  <c r="N55" i="17" s="1"/>
  <c r="N36" i="17" a="1"/>
  <c r="N36" i="17" s="1"/>
  <c r="N30" i="17" a="1"/>
  <c r="N30" i="17" s="1"/>
  <c r="N24" i="17" a="1"/>
  <c r="N24" i="17" s="1"/>
  <c r="N18" i="17" a="1"/>
  <c r="N18" i="17" s="1"/>
  <c r="N5" i="17" a="1"/>
  <c r="N5" i="17" s="1"/>
  <c r="N78" i="17" a="1"/>
  <c r="N78" i="17" s="1"/>
  <c r="N72" i="17" a="1"/>
  <c r="N72" i="17" s="1"/>
  <c r="N66" i="17" a="1"/>
  <c r="N66" i="17" s="1"/>
  <c r="N54" i="17" a="1"/>
  <c r="N54" i="17" s="1"/>
  <c r="N48" i="17" a="1"/>
  <c r="N48" i="17" s="1"/>
  <c r="N29" i="17" a="1"/>
  <c r="N29" i="17" s="1"/>
  <c r="N23" i="17" a="1"/>
  <c r="N23" i="17" s="1"/>
  <c r="N16" i="17" a="1"/>
  <c r="N16" i="17" s="1"/>
  <c r="N71" i="17" a="1"/>
  <c r="N71" i="17" s="1"/>
  <c r="N65" i="17" a="1"/>
  <c r="N65" i="17" s="1"/>
  <c r="N59" i="17" a="1"/>
  <c r="N59" i="17" s="1"/>
  <c r="N53" i="17" a="1"/>
  <c r="N53" i="17" s="1"/>
  <c r="N47" i="17" a="1"/>
  <c r="N47" i="17" s="1"/>
  <c r="N41" i="17" a="1"/>
  <c r="N41" i="17" s="1"/>
  <c r="N34" i="17" a="1"/>
  <c r="N34" i="17" s="1"/>
  <c r="N22" i="17" a="1"/>
  <c r="N22" i="17" s="1"/>
  <c r="N15" i="17" a="1"/>
  <c r="N15" i="17" s="1"/>
  <c r="N83" i="17" a="1"/>
  <c r="N83" i="17" s="1"/>
  <c r="N70" i="17" a="1"/>
  <c r="N70" i="17" s="1"/>
  <c r="N64" i="17" a="1"/>
  <c r="N64" i="17" s="1"/>
  <c r="N58" i="17" a="1"/>
  <c r="N58" i="17" s="1"/>
  <c r="N52" i="17" a="1"/>
  <c r="N52" i="17" s="1"/>
  <c r="N46" i="17" a="1"/>
  <c r="N46" i="17" s="1"/>
  <c r="N40" i="17" a="1"/>
  <c r="N40" i="17" s="1"/>
  <c r="N33" i="17" a="1"/>
  <c r="N33" i="17" s="1"/>
  <c r="N13" i="17" a="1"/>
  <c r="N13" i="17" s="1"/>
  <c r="N63" i="17" a="1"/>
  <c r="N63" i="17" s="1"/>
  <c r="N51" i="17" a="1"/>
  <c r="N51" i="17" s="1"/>
  <c r="N45" i="17" a="1"/>
  <c r="N45" i="17" s="1"/>
  <c r="N39" i="17" a="1"/>
  <c r="N39" i="17" s="1"/>
  <c r="N32" i="17" a="1"/>
  <c r="N32" i="17" s="1"/>
  <c r="N27" i="17" a="1"/>
  <c r="N27" i="17" s="1"/>
  <c r="N12" i="17" a="1"/>
  <c r="N12" i="17" s="1"/>
  <c r="N56" i="17" a="1"/>
  <c r="N56" i="17" s="1"/>
  <c r="N50" i="17" a="1"/>
  <c r="N50" i="17" s="1"/>
  <c r="N44" i="17" a="1"/>
  <c r="N44" i="17" s="1"/>
  <c r="N38" i="17" a="1"/>
  <c r="N38" i="17" s="1"/>
  <c r="N26" i="17" a="1"/>
  <c r="N26" i="17" s="1"/>
  <c r="N20" i="17" a="1"/>
  <c r="N20" i="17" s="1"/>
  <c r="N2" i="17" a="1"/>
  <c r="N2" i="17" s="1"/>
  <c r="N4" i="17" a="1"/>
  <c r="N4" i="17" s="1"/>
  <c r="N3" i="17" a="1"/>
  <c r="N3" i="17" s="1"/>
  <c r="N14" i="17" a="1"/>
  <c r="N14" i="17" s="1"/>
  <c r="N8" i="17" a="1"/>
  <c r="N8" i="17" s="1"/>
  <c r="N303" i="17" a="1"/>
  <c r="N303" i="17" s="1"/>
  <c r="N302" i="17" a="1"/>
  <c r="N302" i="17" s="1"/>
  <c r="N7" i="17" a="1"/>
  <c r="N7" i="17" s="1"/>
  <c r="N6" i="17" a="1"/>
  <c r="N6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gabriel.hoffmann\workspace\unisinos\simulação e modelagem de sistemas\m5\podcast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gabriel.hoffmann\workspace\unisinos\simulação e modelagem de sistemas\m5\podcast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gabriel.hoffmann\workspace\unisinos\simulação e modelagem de sistemas\m5\podcast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gabriel.hoffmann\workspace\unisinos\simulação e modelagem de sistemas\m5\podcast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gabriel.hoffmann\workspace\unisinos\simulação e modelagem de sistemas\m5\podcast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gabriel.hoffmann\workspace\unisinos\simulação e modelagem de sistemas\m5\podcast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<sst xmlns="http://schemas.openxmlformats.org/spreadsheetml/2006/main" count="4462" uniqueCount="99">
  <si>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</si>
  <si>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</si>
  <si>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</si>
  <si>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</si>
  <si>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</si>
  <si>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</si>
  <si>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</si>
  <si>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</si>
  <si>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</si>
  <si>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</si>
  <si>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</si>
  <si>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</si>
  <si>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</si>
  <si>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</si>
  <si>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</si>
  <si>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</si>
  <si>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</si>
  <si>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</si>
  <si>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</si>
  <si>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</si>
  <si>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</si>
  <si>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</si>
  <si>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</si>
  <si>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</si>
  <si>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</si>
  <si>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</si>
  <si>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</si>
  <si>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</si>
  <si>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</si>
  <si>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</si>
  <si>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</si>
  <si>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</si>
  <si>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</si>
  <si>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</si>
  <si>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</si>
  <si>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</si>
  <si>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</si>
  <si>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</si>
  <si>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</si>
  <si>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</si>
  <si>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</si>
  <si>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</si>
  <si>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</si>
  <si>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</si>
  <si>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</si>
  <si>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</si>
  <si>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</si>
  <si>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</si>
  <si>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</si>
  <si>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</si>
  <si>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</si>
  <si>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</si>
  <si>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</si>
  <si>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</si>
  <si>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</si>
  <si>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</si>
  <si>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</si>
  <si>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</si>
  <si>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</si>
  <si>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</si>
  <si>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</si>
  <si>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</si>
  <si>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</si>
  <si>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</si>
  <si>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</si>
  <si>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</si>
  <si>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</si>
  <si>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IncludeOption</t>
  </si>
  <si>
    <t>C:\Users\gabriel.hoffmann\workspace\unisinos\Simulação e Modelagem de Sistemas\M5\podcast.p</t>
  </si>
  <si>
    <t>2023-12-02 21:14:51</t>
  </si>
  <si>
    <t>Arquivos</t>
  </si>
  <si>
    <t>NVA Time</t>
  </si>
  <si>
    <t>Entity</t>
  </si>
  <si>
    <t>Other Time</t>
  </si>
  <si>
    <t>Total Time</t>
  </si>
  <si>
    <t>Transfer Time</t>
  </si>
  <si>
    <t>VA Time</t>
  </si>
  <si>
    <t>Wait Time</t>
  </si>
  <si>
    <t>Edicao.Queue</t>
  </si>
  <si>
    <t>Waiting Time</t>
  </si>
  <si>
    <t>Queue</t>
  </si>
  <si>
    <t>WIP</t>
  </si>
  <si>
    <t>Number Waiting</t>
  </si>
  <si>
    <t>Operador</t>
  </si>
  <si>
    <t>Instantaneous Utilization</t>
  </si>
  <si>
    <t>Resource</t>
  </si>
  <si>
    <t>Number Busy</t>
  </si>
  <si>
    <t>Number Scheduled</t>
  </si>
  <si>
    <t>Arquivos.NumberIn</t>
  </si>
  <si>
    <t>Number In</t>
  </si>
  <si>
    <t>Arquivos.NumberOut</t>
  </si>
  <si>
    <t>Number Out</t>
  </si>
  <si>
    <t>Operador.NumberSeized</t>
  </si>
  <si>
    <t>Total Number Seized</t>
  </si>
  <si>
    <t>Operador.ScheduledUtilization</t>
  </si>
  <si>
    <t>Scheduled Utilization</t>
  </si>
  <si>
    <t>System.NumberOut</t>
  </si>
  <si>
    <t>System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</si>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</sst>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0]&quot;Days&quot;;;"/>
    </dxf>
    <dxf>
      <numFmt numFmtId="172" formatCode="[=1]&quot;Hours&quot;;;"/>
    </dxf>
    <dxf>
      <numFmt numFmtId="173" formatCode="[=2]&quot;Minutes&quot;;;"/>
    </dxf>
    <dxf>
      <numFmt numFmtId="17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62.88551226852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62.885512731482" createdVersion="7" refreshedVersion="8" minRefreshableVersion="3" recordCount="250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0"/>
    </cacheField>
    <cacheField name="Name" numFmtId="0">
      <sharedItems containsBlank="1" count="127">
        <s v="Arquivos"/>
        <s v="Edicao.Queue"/>
        <s v="Operador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WIP"/>
        <s v="Number Waiting"/>
        <s v="Instantaneous Utilization"/>
        <s v="Number Busy"/>
        <s v="Number Scheduled"/>
        <m u="1"/>
        <s v="Levels" u="1"/>
      </sharedItems>
    </cacheField>
    <cacheField name="Source" numFmtId="0">
      <sharedItems containsBlank="1" count="5">
        <s v="Entity"/>
        <s v="Queue"/>
        <s v="Resource"/>
        <m u="1"/>
        <s v="User Specified" u="1"/>
      </sharedItems>
    </cacheField>
    <cacheField name="Average" numFmtId="0">
      <sharedItems containsSemiMixedTypes="0" containsString="0" containsNumber="1" minValue="0" maxValue="6.3083923025689197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1"/>
    </cacheField>
    <cacheField name="Maximum" numFmtId="0">
      <sharedItems containsSemiMixedTypes="0" containsString="0" containsNumber="1" containsInteger="1" minValue="0" maxValue="10"/>
    </cacheField>
    <cacheField name="LastRecordedValue" numFmtId="0">
      <sharedItems containsSemiMixedTypes="0" containsString="0" containsNumber="1" containsInteger="1" minValue="0" maxValue="10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0" maxValue="50"/>
    </cacheField>
    <cacheField name="AverageOfAverage" numFmtId="0">
      <sharedItems containsSemiMixedTypes="0" containsString="0" containsNumber="1" minValue="0.92637977941440086" maxValue="2.1996658161417075"/>
    </cacheField>
    <cacheField name="StDevOfAverage" numFmtId="0">
      <sharedItems containsSemiMixedTypes="0" containsString="0" containsNumber="1" minValue="0" maxValue="1.1994598865431718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34088272804883424"/>
    </cacheField>
    <cacheField name="MinimumAverage" numFmtId="0">
      <sharedItems containsSemiMixedTypes="0" containsString="0" containsNumber="1" minValue="0" maxValue="1"/>
    </cacheField>
    <cacheField name="MaximumAverage" numFmtId="0">
      <sharedItems containsSemiMixedTypes="0" containsString="0" containsNumber="1" minValue="1" maxValue="6.3083923025689197"/>
    </cacheField>
    <cacheField name="SummaryHalfWidth" numFmtId="0">
      <sharedItems containsSemiMixedTypes="0" containsString="0" containsNumber="1" minValue="0" maxValue="0.3408827280488342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62.885513078705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62.885513310182" createdVersion="7" refreshedVersion="8" minRefreshableVersion="3" recordCount="350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0"/>
    </cacheField>
    <cacheField name="Name" numFmtId="0">
      <sharedItems containsBlank="1" count="101">
        <s v="Arquivos"/>
        <s v="Edicao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s v="Waiting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Entity"/>
        <s v="Queue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6.5527373550837904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4.4245559357850004"/>
    </cacheField>
    <cacheField name="Maximum" numFmtId="0">
      <sharedItems containsSemiMixedTypes="0" containsString="0" containsNumber="1" minValue="0" maxValue="8.7476494546828292"/>
    </cacheField>
    <cacheField name="NumberObservations" numFmtId="0">
      <sharedItems containsSemiMixedTypes="0" containsString="0" containsNumber="1" containsInteger="1" minValue="2" maxValue="6"/>
    </cacheField>
    <cacheField name="GroupByKey" numFmtId="0">
      <sharedItems/>
    </cacheField>
    <cacheField name="RepsRequested" numFmtId="0">
      <sharedItems containsSemiMixedTypes="0" containsString="0" containsNumber="1" containsInteger="1" minValue="50" maxValue="50"/>
    </cacheField>
    <cacheField name="AverageOfAverage" numFmtId="0">
      <sharedItems containsSemiMixedTypes="0" containsString="0" containsNumber="1" minValue="0" maxValue="3.5363894499532775"/>
    </cacheField>
    <cacheField name="StDevOfAverage" numFmtId="0">
      <sharedItems containsSemiMixedTypes="0" containsString="0" containsNumber="1" minValue="0" maxValue="1.1766434570133149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33439837052280896"/>
    </cacheField>
    <cacheField name="MinimumAverage" numFmtId="0">
      <sharedItems containsSemiMixedTypes="0" containsString="0" containsNumber="1" minValue="0" maxValue="1.6342264652107701"/>
    </cacheField>
    <cacheField name="MaximumAverage" numFmtId="0">
      <sharedItems containsSemiMixedTypes="0" containsString="0" containsNumber="1" minValue="0" maxValue="6.5527373550837904"/>
    </cacheField>
    <cacheField name="OverallMinimum" numFmtId="0">
      <sharedItems containsSemiMixedTypes="0" containsString="0" containsNumber="1" minValue="0" maxValue="0.58847912081681497"/>
    </cacheField>
    <cacheField name="OverallMaximum" numFmtId="0">
      <sharedItems containsSemiMixedTypes="0" containsString="0" containsNumber="1" minValue="0" maxValue="8.7476494546828292"/>
    </cacheField>
    <cacheField name="AverageNumberObservations" numFmtId="0">
      <sharedItems containsSemiMixedTypes="0" containsString="0" containsNumber="1" minValue="3.62" maxValue="4.58"/>
    </cacheField>
    <cacheField name="SummaryHalfWidth" numFmtId="0">
      <sharedItems containsSemiMixedTypes="0" containsString="0" containsNumber="1" minValue="0" maxValue="0.33439837052280896"/>
    </cacheField>
    <cacheField name="RepsWithStatObserved" numFmtId="0">
      <sharedItems containsSemiMixedTypes="0" containsString="0" containsNumber="1" containsInteger="1" minValue="50" maxValue="50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Solonynka Hoffmann" refreshedDate="45262.885513657406" createdVersion="7" refreshedVersion="8" minRefreshableVersion="3" recordCount="250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0"/>
    </cacheField>
    <cacheField name="Name" numFmtId="0">
      <sharedItems containsBlank="1" count="83">
        <s v="Arquivos.NumberIn"/>
        <s v="Arquivos.NumberOut"/>
        <s v="Operador.NumberSeized"/>
        <s v="Operador.ScheduledUtilization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Entity"/>
        <s v="Resource"/>
        <s v="System"/>
        <m u="1"/>
        <s v="Process" u="1"/>
      </sharedItems>
    </cacheField>
    <cacheField name="RecordedValue" numFmtId="0">
      <sharedItems containsSemiMixedTypes="0" containsString="0" containsNumber="1" minValue="0.60846830422583797" maxValue="13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0" maxValue="50"/>
    </cacheField>
    <cacheField name="Average" numFmtId="0">
      <sharedItems containsSemiMixedTypes="0" containsString="0" containsNumber="1" minValue="0.92637977941440086" maxValue="6.48"/>
    </cacheField>
    <cacheField name="StandardDeviation" numFmtId="0">
      <sharedItems containsSemiMixedTypes="0" containsString="0" containsNumber="1" minValue="0.11789675502181338" maxValue="1.7984119979264248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3.350588705034975E-2" maxValue="0.51110303469648288"/>
    </cacheField>
    <cacheField name="Minimum" numFmtId="0">
      <sharedItems containsSemiMixedTypes="0" containsString="0" containsNumber="1" minValue="0.60846830422583797" maxValue="3"/>
    </cacheField>
    <cacheField name="Maximum" numFmtId="0">
      <sharedItems containsSemiMixedTypes="0" containsString="0" containsNumber="1" containsInteger="1" minValue="1" maxValue="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0">
  <r>
    <x v="0"/>
    <s v="2023-12-02 21:14:51"/>
    <n v="1"/>
    <x v="0"/>
    <x v="0"/>
    <x v="0"/>
    <n v="3.3961857067838102"/>
    <n v="2E+20"/>
    <n v="0"/>
    <n v="5"/>
    <n v="4"/>
    <n v="0"/>
    <s v="Unnamed ProjectArquivosWIPEntity"/>
    <n v="50"/>
    <n v="2.1996658161417075"/>
    <n v="1.1994598865431718"/>
    <n v="0.95"/>
    <n v="0.34088272804883424"/>
    <n v="0.70499985227053297"/>
    <n v="6.3083923025689197"/>
    <n v="0.34088272804883424"/>
  </r>
  <r>
    <x v="0"/>
    <s v="2023-12-02 21:14:51"/>
    <n v="1"/>
    <x v="1"/>
    <x v="1"/>
    <x v="1"/>
    <n v="2.3961857067838102"/>
    <n v="2E+20"/>
    <n v="0"/>
    <n v="4"/>
    <n v="3"/>
    <n v="0"/>
    <s v="Unnamed ProjectEdicao.QueueNumber WaitingQueue"/>
    <n v="50"/>
    <n v="1.2732860367273062"/>
    <n v="1.137870000737736"/>
    <n v="0.95"/>
    <n v="0.32337907617258832"/>
    <n v="0"/>
    <n v="5.3083923025689197"/>
    <n v="0.32337907617258832"/>
  </r>
  <r>
    <x v="0"/>
    <s v="2023-12-02 21:14:51"/>
    <n v="1"/>
    <x v="2"/>
    <x v="2"/>
    <x v="2"/>
    <n v="1"/>
    <n v="2E+20"/>
    <n v="0"/>
    <n v="1"/>
    <n v="1"/>
    <n v="0"/>
    <s v="Unnamed ProjectOperadorInstantaneous Utilization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1"/>
    <x v="2"/>
    <x v="3"/>
    <x v="2"/>
    <n v="1"/>
    <n v="2E+20"/>
    <n v="0"/>
    <n v="1"/>
    <n v="1"/>
    <n v="0"/>
    <s v="Unnamed ProjectOperadorNumber Busy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1"/>
    <x v="2"/>
    <x v="4"/>
    <x v="2"/>
    <n v="1"/>
    <n v="2E+20"/>
    <n v="1"/>
    <n v="1"/>
    <n v="1"/>
    <n v="0"/>
    <s v="Unnamed ProjectOperadorNumber ScheduledResource"/>
    <n v="50"/>
    <n v="1"/>
    <n v="0"/>
    <n v="0.95"/>
    <n v="0"/>
    <n v="1"/>
    <n v="1"/>
    <n v="0"/>
  </r>
  <r>
    <x v="0"/>
    <s v="2023-12-02 21:14:51"/>
    <n v="2"/>
    <x v="0"/>
    <x v="0"/>
    <x v="0"/>
    <n v="3.0477917498002398"/>
    <n v="2E+20"/>
    <n v="0"/>
    <n v="5"/>
    <n v="4"/>
    <n v="0"/>
    <s v="Unnamed ProjectArquivosWIPEntity"/>
    <n v="50"/>
    <n v="2.1996658161417075"/>
    <n v="1.1994598865431718"/>
    <n v="0.95"/>
    <n v="0.34088272804883424"/>
    <n v="0.70499985227053297"/>
    <n v="6.3083923025689197"/>
    <n v="0.34088272804883424"/>
  </r>
  <r>
    <x v="0"/>
    <s v="2023-12-02 21:14:51"/>
    <n v="2"/>
    <x v="1"/>
    <x v="1"/>
    <x v="1"/>
    <n v="2.0477917498002398"/>
    <n v="2E+20"/>
    <n v="0"/>
    <n v="4"/>
    <n v="3"/>
    <n v="0"/>
    <s v="Unnamed ProjectEdicao.QueueNumber WaitingQueue"/>
    <n v="50"/>
    <n v="1.2732860367273062"/>
    <n v="1.137870000737736"/>
    <n v="0.95"/>
    <n v="0.32337907617258832"/>
    <n v="0"/>
    <n v="5.3083923025689197"/>
    <n v="0.32337907617258832"/>
  </r>
  <r>
    <x v="0"/>
    <s v="2023-12-02 21:14:51"/>
    <n v="2"/>
    <x v="2"/>
    <x v="2"/>
    <x v="2"/>
    <n v="1"/>
    <n v="2E+20"/>
    <n v="0"/>
    <n v="1"/>
    <n v="1"/>
    <n v="0"/>
    <s v="Unnamed ProjectOperadorInstantaneous Utilization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2"/>
    <x v="2"/>
    <x v="3"/>
    <x v="2"/>
    <n v="1"/>
    <n v="2E+20"/>
    <n v="0"/>
    <n v="1"/>
    <n v="1"/>
    <n v="0"/>
    <s v="Unnamed ProjectOperadorNumber Busy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2"/>
    <x v="2"/>
    <x v="4"/>
    <x v="2"/>
    <n v="1"/>
    <n v="2E+20"/>
    <n v="1"/>
    <n v="1"/>
    <n v="1"/>
    <n v="0"/>
    <s v="Unnamed ProjectOperadorNumber ScheduledResource"/>
    <n v="50"/>
    <n v="1"/>
    <n v="0"/>
    <n v="0.95"/>
    <n v="0"/>
    <n v="1"/>
    <n v="1"/>
    <n v="0"/>
  </r>
  <r>
    <x v="0"/>
    <s v="2023-12-02 21:14:51"/>
    <n v="3"/>
    <x v="0"/>
    <x v="0"/>
    <x v="0"/>
    <n v="1.9618855984750201"/>
    <n v="2E+20"/>
    <n v="0"/>
    <n v="3"/>
    <n v="1"/>
    <n v="0"/>
    <s v="Unnamed ProjectArquivosWIPEntity"/>
    <n v="50"/>
    <n v="2.1996658161417075"/>
    <n v="1.1994598865431718"/>
    <n v="0.95"/>
    <n v="0.34088272804883424"/>
    <n v="0.70499985227053297"/>
    <n v="6.3083923025689197"/>
    <n v="0.34088272804883424"/>
  </r>
  <r>
    <x v="0"/>
    <s v="2023-12-02 21:14:51"/>
    <n v="3"/>
    <x v="1"/>
    <x v="1"/>
    <x v="1"/>
    <n v="0.96188559847501698"/>
    <n v="2E+20"/>
    <n v="0"/>
    <n v="2"/>
    <n v="0"/>
    <n v="0"/>
    <s v="Unnamed ProjectEdicao.QueueNumber WaitingQueue"/>
    <n v="50"/>
    <n v="1.2732860367273062"/>
    <n v="1.137870000737736"/>
    <n v="0.95"/>
    <n v="0.32337907617258832"/>
    <n v="0"/>
    <n v="5.3083923025689197"/>
    <n v="0.32337907617258832"/>
  </r>
  <r>
    <x v="0"/>
    <s v="2023-12-02 21:14:51"/>
    <n v="3"/>
    <x v="2"/>
    <x v="2"/>
    <x v="2"/>
    <n v="1"/>
    <n v="2E+20"/>
    <n v="0"/>
    <n v="1"/>
    <n v="1"/>
    <n v="0"/>
    <s v="Unnamed ProjectOperadorInstantaneous Utilization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3"/>
    <x v="2"/>
    <x v="3"/>
    <x v="2"/>
    <n v="1"/>
    <n v="2E+20"/>
    <n v="0"/>
    <n v="1"/>
    <n v="1"/>
    <n v="0"/>
    <s v="Unnamed ProjectOperadorNumber Busy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3"/>
    <x v="2"/>
    <x v="4"/>
    <x v="2"/>
    <n v="1"/>
    <n v="2E+20"/>
    <n v="1"/>
    <n v="1"/>
    <n v="1"/>
    <n v="0"/>
    <s v="Unnamed ProjectOperadorNumber ScheduledResource"/>
    <n v="50"/>
    <n v="1"/>
    <n v="0"/>
    <n v="0.95"/>
    <n v="0"/>
    <n v="1"/>
    <n v="1"/>
    <n v="0"/>
  </r>
  <r>
    <x v="0"/>
    <s v="2023-12-02 21:14:51"/>
    <n v="4"/>
    <x v="0"/>
    <x v="0"/>
    <x v="0"/>
    <n v="1.7828369541028"/>
    <n v="2E+20"/>
    <n v="0"/>
    <n v="3"/>
    <n v="3"/>
    <n v="0"/>
    <s v="Unnamed ProjectArquivosWIPEntity"/>
    <n v="50"/>
    <n v="2.1996658161417075"/>
    <n v="1.1994598865431718"/>
    <n v="0.95"/>
    <n v="0.34088272804883424"/>
    <n v="0.70499985227053297"/>
    <n v="6.3083923025689197"/>
    <n v="0.34088272804883424"/>
  </r>
  <r>
    <x v="0"/>
    <s v="2023-12-02 21:14:51"/>
    <n v="4"/>
    <x v="1"/>
    <x v="1"/>
    <x v="1"/>
    <n v="0.78283695410280096"/>
    <n v="2E+20"/>
    <n v="0"/>
    <n v="2"/>
    <n v="2"/>
    <n v="0"/>
    <s v="Unnamed ProjectEdicao.QueueNumber WaitingQueue"/>
    <n v="50"/>
    <n v="1.2732860367273062"/>
    <n v="1.137870000737736"/>
    <n v="0.95"/>
    <n v="0.32337907617258832"/>
    <n v="0"/>
    <n v="5.3083923025689197"/>
    <n v="0.32337907617258832"/>
  </r>
  <r>
    <x v="0"/>
    <s v="2023-12-02 21:14:51"/>
    <n v="4"/>
    <x v="2"/>
    <x v="2"/>
    <x v="2"/>
    <n v="1"/>
    <n v="2E+20"/>
    <n v="0"/>
    <n v="1"/>
    <n v="1"/>
    <n v="0"/>
    <s v="Unnamed ProjectOperadorInstantaneous Utilization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4"/>
    <x v="2"/>
    <x v="3"/>
    <x v="2"/>
    <n v="1"/>
    <n v="2E+20"/>
    <n v="0"/>
    <n v="1"/>
    <n v="1"/>
    <n v="0"/>
    <s v="Unnamed ProjectOperadorNumber Busy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4"/>
    <x v="2"/>
    <x v="4"/>
    <x v="2"/>
    <n v="1"/>
    <n v="2E+20"/>
    <n v="1"/>
    <n v="1"/>
    <n v="1"/>
    <n v="0"/>
    <s v="Unnamed ProjectOperadorNumber ScheduledResource"/>
    <n v="50"/>
    <n v="1"/>
    <n v="0"/>
    <n v="0.95"/>
    <n v="0"/>
    <n v="1"/>
    <n v="1"/>
    <n v="0"/>
  </r>
  <r>
    <x v="0"/>
    <s v="2023-12-02 21:14:51"/>
    <n v="5"/>
    <x v="0"/>
    <x v="0"/>
    <x v="0"/>
    <n v="2.0138332544291502"/>
    <n v="2E+20"/>
    <n v="0"/>
    <n v="4"/>
    <n v="3"/>
    <n v="0"/>
    <s v="Unnamed ProjectArquivosWIPEntity"/>
    <n v="50"/>
    <n v="2.1996658161417075"/>
    <n v="1.1994598865431718"/>
    <n v="0.95"/>
    <n v="0.34088272804883424"/>
    <n v="0.70499985227053297"/>
    <n v="6.3083923025689197"/>
    <n v="0.34088272804883424"/>
  </r>
  <r>
    <x v="0"/>
    <s v="2023-12-02 21:14:51"/>
    <n v="5"/>
    <x v="1"/>
    <x v="1"/>
    <x v="1"/>
    <n v="1.01383325442915"/>
    <n v="2E+20"/>
    <n v="0"/>
    <n v="3"/>
    <n v="2"/>
    <n v="0"/>
    <s v="Unnamed ProjectEdicao.QueueNumber WaitingQueue"/>
    <n v="50"/>
    <n v="1.2732860367273062"/>
    <n v="1.137870000737736"/>
    <n v="0.95"/>
    <n v="0.32337907617258832"/>
    <n v="0"/>
    <n v="5.3083923025689197"/>
    <n v="0.32337907617258832"/>
  </r>
  <r>
    <x v="0"/>
    <s v="2023-12-02 21:14:51"/>
    <n v="5"/>
    <x v="2"/>
    <x v="2"/>
    <x v="2"/>
    <n v="1"/>
    <n v="2E+20"/>
    <n v="0"/>
    <n v="1"/>
    <n v="1"/>
    <n v="0"/>
    <s v="Unnamed ProjectOperadorInstantaneous Utilization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5"/>
    <x v="2"/>
    <x v="3"/>
    <x v="2"/>
    <n v="1"/>
    <n v="2E+20"/>
    <n v="0"/>
    <n v="1"/>
    <n v="1"/>
    <n v="0"/>
    <s v="Unnamed ProjectOperadorNumber Busy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5"/>
    <x v="2"/>
    <x v="4"/>
    <x v="2"/>
    <n v="1"/>
    <n v="2E+20"/>
    <n v="1"/>
    <n v="1"/>
    <n v="1"/>
    <n v="0"/>
    <s v="Unnamed ProjectOperadorNumber ScheduledResource"/>
    <n v="50"/>
    <n v="1"/>
    <n v="0"/>
    <n v="0.95"/>
    <n v="0"/>
    <n v="1"/>
    <n v="1"/>
    <n v="0"/>
  </r>
  <r>
    <x v="0"/>
    <s v="2023-12-02 21:14:51"/>
    <n v="6"/>
    <x v="0"/>
    <x v="0"/>
    <x v="0"/>
    <n v="2.1239051386538801"/>
    <n v="2E+20"/>
    <n v="0"/>
    <n v="3"/>
    <n v="2"/>
    <n v="0"/>
    <s v="Unnamed ProjectArquivosWIPEntity"/>
    <n v="50"/>
    <n v="2.1996658161417075"/>
    <n v="1.1994598865431718"/>
    <n v="0.95"/>
    <n v="0.34088272804883424"/>
    <n v="0.70499985227053297"/>
    <n v="6.3083923025689197"/>
    <n v="0.34088272804883424"/>
  </r>
  <r>
    <x v="0"/>
    <s v="2023-12-02 21:14:51"/>
    <n v="6"/>
    <x v="1"/>
    <x v="1"/>
    <x v="1"/>
    <n v="1.1239051386538801"/>
    <n v="2E+20"/>
    <n v="0"/>
    <n v="2"/>
    <n v="1"/>
    <n v="0"/>
    <s v="Unnamed ProjectEdicao.QueueNumber WaitingQueue"/>
    <n v="50"/>
    <n v="1.2732860367273062"/>
    <n v="1.137870000737736"/>
    <n v="0.95"/>
    <n v="0.32337907617258832"/>
    <n v="0"/>
    <n v="5.3083923025689197"/>
    <n v="0.32337907617258832"/>
  </r>
  <r>
    <x v="0"/>
    <s v="2023-12-02 21:14:51"/>
    <n v="6"/>
    <x v="2"/>
    <x v="2"/>
    <x v="2"/>
    <n v="1"/>
    <n v="2E+20"/>
    <n v="0"/>
    <n v="1"/>
    <n v="1"/>
    <n v="0"/>
    <s v="Unnamed ProjectOperadorInstantaneous Utilization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6"/>
    <x v="2"/>
    <x v="3"/>
    <x v="2"/>
    <n v="1"/>
    <n v="2E+20"/>
    <n v="0"/>
    <n v="1"/>
    <n v="1"/>
    <n v="0"/>
    <s v="Unnamed ProjectOperadorNumber Busy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6"/>
    <x v="2"/>
    <x v="4"/>
    <x v="2"/>
    <n v="1"/>
    <n v="2E+20"/>
    <n v="1"/>
    <n v="1"/>
    <n v="1"/>
    <n v="0"/>
    <s v="Unnamed ProjectOperadorNumber ScheduledResource"/>
    <n v="50"/>
    <n v="1"/>
    <n v="0"/>
    <n v="0.95"/>
    <n v="0"/>
    <n v="1"/>
    <n v="1"/>
    <n v="0"/>
  </r>
  <r>
    <x v="0"/>
    <s v="2023-12-02 21:14:51"/>
    <n v="7"/>
    <x v="0"/>
    <x v="0"/>
    <x v="0"/>
    <n v="2.3572822073895798"/>
    <n v="2E+20"/>
    <n v="0"/>
    <n v="4"/>
    <n v="3"/>
    <n v="0"/>
    <s v="Unnamed ProjectArquivosWIPEntity"/>
    <n v="50"/>
    <n v="2.1996658161417075"/>
    <n v="1.1994598865431718"/>
    <n v="0.95"/>
    <n v="0.34088272804883424"/>
    <n v="0.70499985227053297"/>
    <n v="6.3083923025689197"/>
    <n v="0.34088272804883424"/>
  </r>
  <r>
    <x v="0"/>
    <s v="2023-12-02 21:14:51"/>
    <n v="7"/>
    <x v="1"/>
    <x v="1"/>
    <x v="1"/>
    <n v="1.3572822073895801"/>
    <n v="2E+20"/>
    <n v="0"/>
    <n v="3"/>
    <n v="2"/>
    <n v="0"/>
    <s v="Unnamed ProjectEdicao.QueueNumber WaitingQueue"/>
    <n v="50"/>
    <n v="1.2732860367273062"/>
    <n v="1.137870000737736"/>
    <n v="0.95"/>
    <n v="0.32337907617258832"/>
    <n v="0"/>
    <n v="5.3083923025689197"/>
    <n v="0.32337907617258832"/>
  </r>
  <r>
    <x v="0"/>
    <s v="2023-12-02 21:14:51"/>
    <n v="7"/>
    <x v="2"/>
    <x v="2"/>
    <x v="2"/>
    <n v="1"/>
    <n v="2E+20"/>
    <n v="0"/>
    <n v="1"/>
    <n v="1"/>
    <n v="0"/>
    <s v="Unnamed ProjectOperadorInstantaneous Utilization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7"/>
    <x v="2"/>
    <x v="3"/>
    <x v="2"/>
    <n v="1"/>
    <n v="2E+20"/>
    <n v="0"/>
    <n v="1"/>
    <n v="1"/>
    <n v="0"/>
    <s v="Unnamed ProjectOperadorNumber Busy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7"/>
    <x v="2"/>
    <x v="4"/>
    <x v="2"/>
    <n v="1"/>
    <n v="2E+20"/>
    <n v="1"/>
    <n v="1"/>
    <n v="1"/>
    <n v="0"/>
    <s v="Unnamed ProjectOperadorNumber ScheduledResource"/>
    <n v="50"/>
    <n v="1"/>
    <n v="0"/>
    <n v="0.95"/>
    <n v="0"/>
    <n v="1"/>
    <n v="1"/>
    <n v="0"/>
  </r>
  <r>
    <x v="0"/>
    <s v="2023-12-02 21:14:51"/>
    <n v="8"/>
    <x v="0"/>
    <x v="0"/>
    <x v="0"/>
    <n v="2.7223724973015302"/>
    <n v="2E+20"/>
    <n v="0"/>
    <n v="4"/>
    <n v="3"/>
    <n v="0"/>
    <s v="Unnamed ProjectArquivosWIPEntity"/>
    <n v="50"/>
    <n v="2.1996658161417075"/>
    <n v="1.1994598865431718"/>
    <n v="0.95"/>
    <n v="0.34088272804883424"/>
    <n v="0.70499985227053297"/>
    <n v="6.3083923025689197"/>
    <n v="0.34088272804883424"/>
  </r>
  <r>
    <x v="0"/>
    <s v="2023-12-02 21:14:51"/>
    <n v="8"/>
    <x v="1"/>
    <x v="1"/>
    <x v="1"/>
    <n v="1.72237249730153"/>
    <n v="2E+20"/>
    <n v="0"/>
    <n v="3"/>
    <n v="2"/>
    <n v="0"/>
    <s v="Unnamed ProjectEdicao.QueueNumber WaitingQueue"/>
    <n v="50"/>
    <n v="1.2732860367273062"/>
    <n v="1.137870000737736"/>
    <n v="0.95"/>
    <n v="0.32337907617258832"/>
    <n v="0"/>
    <n v="5.3083923025689197"/>
    <n v="0.32337907617258832"/>
  </r>
  <r>
    <x v="0"/>
    <s v="2023-12-02 21:14:51"/>
    <n v="8"/>
    <x v="2"/>
    <x v="2"/>
    <x v="2"/>
    <n v="1"/>
    <n v="2E+20"/>
    <n v="0"/>
    <n v="1"/>
    <n v="1"/>
    <n v="0"/>
    <s v="Unnamed ProjectOperadorInstantaneous Utilization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8"/>
    <x v="2"/>
    <x v="3"/>
    <x v="2"/>
    <n v="1"/>
    <n v="2E+20"/>
    <n v="0"/>
    <n v="1"/>
    <n v="1"/>
    <n v="0"/>
    <s v="Unnamed ProjectOperadorNumber Busy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8"/>
    <x v="2"/>
    <x v="4"/>
    <x v="2"/>
    <n v="1"/>
    <n v="2E+20"/>
    <n v="1"/>
    <n v="1"/>
    <n v="1"/>
    <n v="0"/>
    <s v="Unnamed ProjectOperadorNumber ScheduledResource"/>
    <n v="50"/>
    <n v="1"/>
    <n v="0"/>
    <n v="0.95"/>
    <n v="0"/>
    <n v="1"/>
    <n v="1"/>
    <n v="0"/>
  </r>
  <r>
    <x v="0"/>
    <s v="2023-12-02 21:14:51"/>
    <n v="9"/>
    <x v="0"/>
    <x v="0"/>
    <x v="0"/>
    <n v="1.9759385335499"/>
    <n v="2E+20"/>
    <n v="0"/>
    <n v="5"/>
    <n v="4"/>
    <n v="0"/>
    <s v="Unnamed ProjectArquivosWIPEntity"/>
    <n v="50"/>
    <n v="2.1996658161417075"/>
    <n v="1.1994598865431718"/>
    <n v="0.95"/>
    <n v="0.34088272804883424"/>
    <n v="0.70499985227053297"/>
    <n v="6.3083923025689197"/>
    <n v="0.34088272804883424"/>
  </r>
  <r>
    <x v="0"/>
    <s v="2023-12-02 21:14:51"/>
    <n v="9"/>
    <x v="1"/>
    <x v="1"/>
    <x v="1"/>
    <n v="1.0247852586425901"/>
    <n v="2E+20"/>
    <n v="0"/>
    <n v="4"/>
    <n v="3"/>
    <n v="0"/>
    <s v="Unnamed ProjectEdicao.QueueNumber WaitingQueue"/>
    <n v="50"/>
    <n v="1.2732860367273062"/>
    <n v="1.137870000737736"/>
    <n v="0.95"/>
    <n v="0.32337907617258832"/>
    <n v="0"/>
    <n v="5.3083923025689197"/>
    <n v="0.32337907617258832"/>
  </r>
  <r>
    <x v="0"/>
    <s v="2023-12-02 21:14:51"/>
    <n v="9"/>
    <x v="2"/>
    <x v="2"/>
    <x v="2"/>
    <n v="0.95115327490730395"/>
    <n v="2E+20"/>
    <n v="0"/>
    <n v="1"/>
    <n v="1"/>
    <n v="0"/>
    <s v="Unnamed ProjectOperadorInstantaneous Utilization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9"/>
    <x v="2"/>
    <x v="3"/>
    <x v="2"/>
    <n v="0.95115327490730395"/>
    <n v="2E+20"/>
    <n v="0"/>
    <n v="1"/>
    <n v="1"/>
    <n v="0"/>
    <s v="Unnamed ProjectOperadorNumber Busy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9"/>
    <x v="2"/>
    <x v="4"/>
    <x v="2"/>
    <n v="1"/>
    <n v="2E+20"/>
    <n v="1"/>
    <n v="1"/>
    <n v="1"/>
    <n v="0"/>
    <s v="Unnamed ProjectOperadorNumber ScheduledResource"/>
    <n v="50"/>
    <n v="1"/>
    <n v="0"/>
    <n v="0.95"/>
    <n v="0"/>
    <n v="1"/>
    <n v="1"/>
    <n v="0"/>
  </r>
  <r>
    <x v="0"/>
    <s v="2023-12-02 21:14:51"/>
    <n v="10"/>
    <x v="0"/>
    <x v="0"/>
    <x v="0"/>
    <n v="2.0428534308455699"/>
    <n v="2E+20"/>
    <n v="0"/>
    <n v="3"/>
    <n v="2"/>
    <n v="0"/>
    <s v="Unnamed ProjectArquivosWIPEntity"/>
    <n v="50"/>
    <n v="2.1996658161417075"/>
    <n v="1.1994598865431718"/>
    <n v="0.95"/>
    <n v="0.34088272804883424"/>
    <n v="0.70499985227053297"/>
    <n v="6.3083923025689197"/>
    <n v="0.34088272804883424"/>
  </r>
  <r>
    <x v="0"/>
    <s v="2023-12-02 21:14:51"/>
    <n v="10"/>
    <x v="1"/>
    <x v="1"/>
    <x v="1"/>
    <n v="1.0428534308455699"/>
    <n v="2E+20"/>
    <n v="0"/>
    <n v="2"/>
    <n v="1"/>
    <n v="0"/>
    <s v="Unnamed ProjectEdicao.QueueNumber WaitingQueue"/>
    <n v="50"/>
    <n v="1.2732860367273062"/>
    <n v="1.137870000737736"/>
    <n v="0.95"/>
    <n v="0.32337907617258832"/>
    <n v="0"/>
    <n v="5.3083923025689197"/>
    <n v="0.32337907617258832"/>
  </r>
  <r>
    <x v="0"/>
    <s v="2023-12-02 21:14:51"/>
    <n v="10"/>
    <x v="2"/>
    <x v="2"/>
    <x v="2"/>
    <n v="1"/>
    <n v="2E+20"/>
    <n v="0"/>
    <n v="1"/>
    <n v="1"/>
    <n v="0"/>
    <s v="Unnamed ProjectOperadorInstantaneous Utilization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10"/>
    <x v="2"/>
    <x v="3"/>
    <x v="2"/>
    <n v="1"/>
    <n v="2E+20"/>
    <n v="0"/>
    <n v="1"/>
    <n v="1"/>
    <n v="0"/>
    <s v="Unnamed ProjectOperadorNumber Busy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10"/>
    <x v="2"/>
    <x v="4"/>
    <x v="2"/>
    <n v="1"/>
    <n v="2E+20"/>
    <n v="1"/>
    <n v="1"/>
    <n v="1"/>
    <n v="0"/>
    <s v="Unnamed ProjectOperadorNumber ScheduledResource"/>
    <n v="50"/>
    <n v="1"/>
    <n v="0"/>
    <n v="0.95"/>
    <n v="0"/>
    <n v="1"/>
    <n v="1"/>
    <n v="0"/>
  </r>
  <r>
    <x v="0"/>
    <s v="2023-12-02 21:14:51"/>
    <n v="11"/>
    <x v="0"/>
    <x v="0"/>
    <x v="0"/>
    <n v="1.2891259511622"/>
    <n v="2E+20"/>
    <n v="0"/>
    <n v="2"/>
    <n v="1"/>
    <n v="0"/>
    <s v="Unnamed ProjectArquivosWIPEntity"/>
    <n v="50"/>
    <n v="2.1996658161417075"/>
    <n v="1.1994598865431718"/>
    <n v="0.95"/>
    <n v="0.34088272804883424"/>
    <n v="0.70499985227053297"/>
    <n v="6.3083923025689197"/>
    <n v="0.34088272804883424"/>
  </r>
  <r>
    <x v="0"/>
    <s v="2023-12-02 21:14:51"/>
    <n v="11"/>
    <x v="1"/>
    <x v="1"/>
    <x v="1"/>
    <n v="0.28912595116220002"/>
    <n v="2E+20"/>
    <n v="0"/>
    <n v="1"/>
    <n v="0"/>
    <n v="0"/>
    <s v="Unnamed ProjectEdicao.QueueNumber WaitingQueue"/>
    <n v="50"/>
    <n v="1.2732860367273062"/>
    <n v="1.137870000737736"/>
    <n v="0.95"/>
    <n v="0.32337907617258832"/>
    <n v="0"/>
    <n v="5.3083923025689197"/>
    <n v="0.32337907617258832"/>
  </r>
  <r>
    <x v="0"/>
    <s v="2023-12-02 21:14:51"/>
    <n v="11"/>
    <x v="2"/>
    <x v="2"/>
    <x v="2"/>
    <n v="1"/>
    <n v="2E+20"/>
    <n v="0"/>
    <n v="1"/>
    <n v="1"/>
    <n v="0"/>
    <s v="Unnamed ProjectOperadorInstantaneous Utilization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11"/>
    <x v="2"/>
    <x v="3"/>
    <x v="2"/>
    <n v="1"/>
    <n v="2E+20"/>
    <n v="0"/>
    <n v="1"/>
    <n v="1"/>
    <n v="0"/>
    <s v="Unnamed ProjectOperadorNumber Busy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11"/>
    <x v="2"/>
    <x v="4"/>
    <x v="2"/>
    <n v="1"/>
    <n v="2E+20"/>
    <n v="1"/>
    <n v="1"/>
    <n v="1"/>
    <n v="0"/>
    <s v="Unnamed ProjectOperadorNumber ScheduledResource"/>
    <n v="50"/>
    <n v="1"/>
    <n v="0"/>
    <n v="0.95"/>
    <n v="0"/>
    <n v="1"/>
    <n v="1"/>
    <n v="0"/>
  </r>
  <r>
    <x v="0"/>
    <s v="2023-12-02 21:14:51"/>
    <n v="12"/>
    <x v="0"/>
    <x v="0"/>
    <x v="0"/>
    <n v="1.0340070423179299"/>
    <n v="2E+20"/>
    <n v="0"/>
    <n v="2"/>
    <n v="1"/>
    <n v="0"/>
    <s v="Unnamed ProjectArquivosWIPEntity"/>
    <n v="50"/>
    <n v="2.1996658161417075"/>
    <n v="1.1994598865431718"/>
    <n v="0.95"/>
    <n v="0.34088272804883424"/>
    <n v="0.70499985227053297"/>
    <n v="6.3083923025689197"/>
    <n v="0.34088272804883424"/>
  </r>
  <r>
    <x v="0"/>
    <s v="2023-12-02 21:14:51"/>
    <n v="12"/>
    <x v="1"/>
    <x v="1"/>
    <x v="1"/>
    <n v="0.171000522891741"/>
    <n v="2E+20"/>
    <n v="0"/>
    <n v="1"/>
    <n v="0"/>
    <n v="0"/>
    <s v="Unnamed ProjectEdicao.QueueNumber WaitingQueue"/>
    <n v="50"/>
    <n v="1.2732860367273062"/>
    <n v="1.137870000737736"/>
    <n v="0.95"/>
    <n v="0.32337907617258832"/>
    <n v="0"/>
    <n v="5.3083923025689197"/>
    <n v="0.32337907617258832"/>
  </r>
  <r>
    <x v="0"/>
    <s v="2023-12-02 21:14:51"/>
    <n v="12"/>
    <x v="2"/>
    <x v="2"/>
    <x v="2"/>
    <n v="0.863006519426191"/>
    <n v="2E+20"/>
    <n v="0"/>
    <n v="1"/>
    <n v="1"/>
    <n v="0"/>
    <s v="Unnamed ProjectOperadorInstantaneous Utilization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12"/>
    <x v="2"/>
    <x v="3"/>
    <x v="2"/>
    <n v="0.863006519426191"/>
    <n v="2E+20"/>
    <n v="0"/>
    <n v="1"/>
    <n v="1"/>
    <n v="0"/>
    <s v="Unnamed ProjectOperadorNumber Busy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12"/>
    <x v="2"/>
    <x v="4"/>
    <x v="2"/>
    <n v="1"/>
    <n v="2E+20"/>
    <n v="1"/>
    <n v="1"/>
    <n v="1"/>
    <n v="0"/>
    <s v="Unnamed ProjectOperadorNumber ScheduledResource"/>
    <n v="50"/>
    <n v="1"/>
    <n v="0"/>
    <n v="0.95"/>
    <n v="0"/>
    <n v="1"/>
    <n v="1"/>
    <n v="0"/>
  </r>
  <r>
    <x v="0"/>
    <s v="2023-12-02 21:14:51"/>
    <n v="13"/>
    <x v="0"/>
    <x v="0"/>
    <x v="0"/>
    <n v="3.99635139586155"/>
    <n v="2E+20"/>
    <n v="0"/>
    <n v="6"/>
    <n v="5"/>
    <n v="0"/>
    <s v="Unnamed ProjectArquivosWIPEntity"/>
    <n v="50"/>
    <n v="2.1996658161417075"/>
    <n v="1.1994598865431718"/>
    <n v="0.95"/>
    <n v="0.34088272804883424"/>
    <n v="0.70499985227053297"/>
    <n v="6.3083923025689197"/>
    <n v="0.34088272804883424"/>
  </r>
  <r>
    <x v="0"/>
    <s v="2023-12-02 21:14:51"/>
    <n v="13"/>
    <x v="1"/>
    <x v="1"/>
    <x v="1"/>
    <n v="2.99635139586155"/>
    <n v="2E+20"/>
    <n v="0"/>
    <n v="5"/>
    <n v="4"/>
    <n v="0"/>
    <s v="Unnamed ProjectEdicao.QueueNumber WaitingQueue"/>
    <n v="50"/>
    <n v="1.2732860367273062"/>
    <n v="1.137870000737736"/>
    <n v="0.95"/>
    <n v="0.32337907617258832"/>
    <n v="0"/>
    <n v="5.3083923025689197"/>
    <n v="0.32337907617258832"/>
  </r>
  <r>
    <x v="0"/>
    <s v="2023-12-02 21:14:51"/>
    <n v="13"/>
    <x v="2"/>
    <x v="2"/>
    <x v="2"/>
    <n v="1"/>
    <n v="2E+20"/>
    <n v="0"/>
    <n v="1"/>
    <n v="1"/>
    <n v="0"/>
    <s v="Unnamed ProjectOperadorInstantaneous Utilization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13"/>
    <x v="2"/>
    <x v="3"/>
    <x v="2"/>
    <n v="1"/>
    <n v="2E+20"/>
    <n v="0"/>
    <n v="1"/>
    <n v="1"/>
    <n v="0"/>
    <s v="Unnamed ProjectOperadorNumber Busy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13"/>
    <x v="2"/>
    <x v="4"/>
    <x v="2"/>
    <n v="1"/>
    <n v="2E+20"/>
    <n v="1"/>
    <n v="1"/>
    <n v="1"/>
    <n v="0"/>
    <s v="Unnamed ProjectOperadorNumber ScheduledResource"/>
    <n v="50"/>
    <n v="1"/>
    <n v="0"/>
    <n v="0.95"/>
    <n v="0"/>
    <n v="1"/>
    <n v="1"/>
    <n v="0"/>
  </r>
  <r>
    <x v="0"/>
    <s v="2023-12-02 21:14:51"/>
    <n v="14"/>
    <x v="0"/>
    <x v="0"/>
    <x v="0"/>
    <n v="1.96301002271664"/>
    <n v="2E+20"/>
    <n v="0"/>
    <n v="3"/>
    <n v="2"/>
    <n v="0"/>
    <s v="Unnamed ProjectArquivosWIPEntity"/>
    <n v="50"/>
    <n v="2.1996658161417075"/>
    <n v="1.1994598865431718"/>
    <n v="0.95"/>
    <n v="0.34088272804883424"/>
    <n v="0.70499985227053297"/>
    <n v="6.3083923025689197"/>
    <n v="0.34088272804883424"/>
  </r>
  <r>
    <x v="0"/>
    <s v="2023-12-02 21:14:51"/>
    <n v="14"/>
    <x v="1"/>
    <x v="1"/>
    <x v="1"/>
    <n v="0.96301002271664105"/>
    <n v="2E+20"/>
    <n v="0"/>
    <n v="2"/>
    <n v="1"/>
    <n v="0"/>
    <s v="Unnamed ProjectEdicao.QueueNumber WaitingQueue"/>
    <n v="50"/>
    <n v="1.2732860367273062"/>
    <n v="1.137870000737736"/>
    <n v="0.95"/>
    <n v="0.32337907617258832"/>
    <n v="0"/>
    <n v="5.3083923025689197"/>
    <n v="0.32337907617258832"/>
  </r>
  <r>
    <x v="0"/>
    <s v="2023-12-02 21:14:51"/>
    <n v="14"/>
    <x v="2"/>
    <x v="2"/>
    <x v="2"/>
    <n v="1"/>
    <n v="2E+20"/>
    <n v="0"/>
    <n v="1"/>
    <n v="1"/>
    <n v="0"/>
    <s v="Unnamed ProjectOperadorInstantaneous Utilization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14"/>
    <x v="2"/>
    <x v="3"/>
    <x v="2"/>
    <n v="1"/>
    <n v="2E+20"/>
    <n v="0"/>
    <n v="1"/>
    <n v="1"/>
    <n v="0"/>
    <s v="Unnamed ProjectOperadorNumber Busy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14"/>
    <x v="2"/>
    <x v="4"/>
    <x v="2"/>
    <n v="1"/>
    <n v="2E+20"/>
    <n v="1"/>
    <n v="1"/>
    <n v="1"/>
    <n v="0"/>
    <s v="Unnamed ProjectOperadorNumber ScheduledResource"/>
    <n v="50"/>
    <n v="1"/>
    <n v="0"/>
    <n v="0.95"/>
    <n v="0"/>
    <n v="1"/>
    <n v="1"/>
    <n v="0"/>
  </r>
  <r>
    <x v="0"/>
    <s v="2023-12-02 21:14:51"/>
    <n v="15"/>
    <x v="0"/>
    <x v="0"/>
    <x v="0"/>
    <n v="1.4582122673432001"/>
    <n v="2E+20"/>
    <n v="0"/>
    <n v="4"/>
    <n v="3"/>
    <n v="0"/>
    <s v="Unnamed ProjectArquivosWIPEntity"/>
    <n v="50"/>
    <n v="2.1996658161417075"/>
    <n v="1.1994598865431718"/>
    <n v="0.95"/>
    <n v="0.34088272804883424"/>
    <n v="0.70499985227053297"/>
    <n v="6.3083923025689197"/>
    <n v="0.34088272804883424"/>
  </r>
  <r>
    <x v="0"/>
    <s v="2023-12-02 21:14:51"/>
    <n v="15"/>
    <x v="1"/>
    <x v="1"/>
    <x v="1"/>
    <n v="0.67469813154233604"/>
    <n v="2E+20"/>
    <n v="0"/>
    <n v="3"/>
    <n v="2"/>
    <n v="0"/>
    <s v="Unnamed ProjectEdicao.QueueNumber WaitingQueue"/>
    <n v="50"/>
    <n v="1.2732860367273062"/>
    <n v="1.137870000737736"/>
    <n v="0.95"/>
    <n v="0.32337907617258832"/>
    <n v="0"/>
    <n v="5.3083923025689197"/>
    <n v="0.32337907617258832"/>
  </r>
  <r>
    <x v="0"/>
    <s v="2023-12-02 21:14:51"/>
    <n v="15"/>
    <x v="2"/>
    <x v="2"/>
    <x v="2"/>
    <n v="0.78351413580086005"/>
    <n v="2E+20"/>
    <n v="0"/>
    <n v="1"/>
    <n v="1"/>
    <n v="0"/>
    <s v="Unnamed ProjectOperadorInstantaneous Utilization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15"/>
    <x v="2"/>
    <x v="3"/>
    <x v="2"/>
    <n v="0.78351413580086005"/>
    <n v="2E+20"/>
    <n v="0"/>
    <n v="1"/>
    <n v="1"/>
    <n v="0"/>
    <s v="Unnamed ProjectOperadorNumber Busy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15"/>
    <x v="2"/>
    <x v="4"/>
    <x v="2"/>
    <n v="1"/>
    <n v="2E+20"/>
    <n v="1"/>
    <n v="1"/>
    <n v="1"/>
    <n v="0"/>
    <s v="Unnamed ProjectOperadorNumber ScheduledResource"/>
    <n v="50"/>
    <n v="1"/>
    <n v="0"/>
    <n v="0.95"/>
    <n v="0"/>
    <n v="1"/>
    <n v="1"/>
    <n v="0"/>
  </r>
  <r>
    <x v="0"/>
    <s v="2023-12-02 21:14:51"/>
    <n v="16"/>
    <x v="0"/>
    <x v="0"/>
    <x v="0"/>
    <n v="1.7796011078102001"/>
    <n v="2E+20"/>
    <n v="0"/>
    <n v="3"/>
    <n v="2"/>
    <n v="0"/>
    <s v="Unnamed ProjectArquivosWIPEntity"/>
    <n v="50"/>
    <n v="2.1996658161417075"/>
    <n v="1.1994598865431718"/>
    <n v="0.95"/>
    <n v="0.34088272804883424"/>
    <n v="0.70499985227053297"/>
    <n v="6.3083923025689197"/>
    <n v="0.34088272804883424"/>
  </r>
  <r>
    <x v="0"/>
    <s v="2023-12-02 21:14:51"/>
    <n v="16"/>
    <x v="1"/>
    <x v="1"/>
    <x v="1"/>
    <n v="0.77960110781019898"/>
    <n v="2E+20"/>
    <n v="0"/>
    <n v="2"/>
    <n v="1"/>
    <n v="0"/>
    <s v="Unnamed ProjectEdicao.QueueNumber WaitingQueue"/>
    <n v="50"/>
    <n v="1.2732860367273062"/>
    <n v="1.137870000737736"/>
    <n v="0.95"/>
    <n v="0.32337907617258832"/>
    <n v="0"/>
    <n v="5.3083923025689197"/>
    <n v="0.32337907617258832"/>
  </r>
  <r>
    <x v="0"/>
    <s v="2023-12-02 21:14:51"/>
    <n v="16"/>
    <x v="2"/>
    <x v="2"/>
    <x v="2"/>
    <n v="1"/>
    <n v="2E+20"/>
    <n v="0"/>
    <n v="1"/>
    <n v="1"/>
    <n v="0"/>
    <s v="Unnamed ProjectOperadorInstantaneous Utilization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16"/>
    <x v="2"/>
    <x v="3"/>
    <x v="2"/>
    <n v="1"/>
    <n v="2E+20"/>
    <n v="0"/>
    <n v="1"/>
    <n v="1"/>
    <n v="0"/>
    <s v="Unnamed ProjectOperadorNumber Busy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16"/>
    <x v="2"/>
    <x v="4"/>
    <x v="2"/>
    <n v="1"/>
    <n v="2E+20"/>
    <n v="1"/>
    <n v="1"/>
    <n v="1"/>
    <n v="0"/>
    <s v="Unnamed ProjectOperadorNumber ScheduledResource"/>
    <n v="50"/>
    <n v="1"/>
    <n v="0"/>
    <n v="0.95"/>
    <n v="0"/>
    <n v="1"/>
    <n v="1"/>
    <n v="0"/>
  </r>
  <r>
    <x v="0"/>
    <s v="2023-12-02 21:14:51"/>
    <n v="17"/>
    <x v="0"/>
    <x v="0"/>
    <x v="0"/>
    <n v="0.74819210112866896"/>
    <n v="2E+20"/>
    <n v="0"/>
    <n v="1"/>
    <n v="1"/>
    <n v="0"/>
    <s v="Unnamed ProjectArquivosWIPEntity"/>
    <n v="50"/>
    <n v="2.1996658161417075"/>
    <n v="1.1994598865431718"/>
    <n v="0.95"/>
    <n v="0.34088272804883424"/>
    <n v="0.70499985227053297"/>
    <n v="6.3083923025689197"/>
    <n v="0.34088272804883424"/>
  </r>
  <r>
    <x v="0"/>
    <s v="2023-12-02 21:14:51"/>
    <n v="17"/>
    <x v="1"/>
    <x v="1"/>
    <x v="1"/>
    <n v="0"/>
    <n v="2E+20"/>
    <n v="0"/>
    <n v="0"/>
    <n v="0"/>
    <n v="0"/>
    <s v="Unnamed ProjectEdicao.QueueNumber WaitingQueue"/>
    <n v="50"/>
    <n v="1.2732860367273062"/>
    <n v="1.137870000737736"/>
    <n v="0.95"/>
    <n v="0.32337907617258832"/>
    <n v="0"/>
    <n v="5.3083923025689197"/>
    <n v="0.32337907617258832"/>
  </r>
  <r>
    <x v="0"/>
    <s v="2023-12-02 21:14:51"/>
    <n v="17"/>
    <x v="2"/>
    <x v="2"/>
    <x v="2"/>
    <n v="0.74819210112866896"/>
    <n v="2E+20"/>
    <n v="0"/>
    <n v="1"/>
    <n v="1"/>
    <n v="0"/>
    <s v="Unnamed ProjectOperadorInstantaneous Utilization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17"/>
    <x v="2"/>
    <x v="3"/>
    <x v="2"/>
    <n v="0.74819210112866896"/>
    <n v="2E+20"/>
    <n v="0"/>
    <n v="1"/>
    <n v="1"/>
    <n v="0"/>
    <s v="Unnamed ProjectOperadorNumber Busy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17"/>
    <x v="2"/>
    <x v="4"/>
    <x v="2"/>
    <n v="1"/>
    <n v="2E+20"/>
    <n v="1"/>
    <n v="1"/>
    <n v="1"/>
    <n v="0"/>
    <s v="Unnamed ProjectOperadorNumber ScheduledResource"/>
    <n v="50"/>
    <n v="1"/>
    <n v="0"/>
    <n v="0.95"/>
    <n v="0"/>
    <n v="1"/>
    <n v="1"/>
    <n v="0"/>
  </r>
  <r>
    <x v="0"/>
    <s v="2023-12-02 21:14:51"/>
    <n v="18"/>
    <x v="0"/>
    <x v="0"/>
    <x v="0"/>
    <n v="1.2499829986361299"/>
    <n v="2E+20"/>
    <n v="0"/>
    <n v="3"/>
    <n v="2"/>
    <n v="0"/>
    <s v="Unnamed ProjectArquivosWIPEntity"/>
    <n v="50"/>
    <n v="2.1996658161417075"/>
    <n v="1.1994598865431718"/>
    <n v="0.95"/>
    <n v="0.34088272804883424"/>
    <n v="0.70499985227053297"/>
    <n v="6.3083923025689197"/>
    <n v="0.34088272804883424"/>
  </r>
  <r>
    <x v="0"/>
    <s v="2023-12-02 21:14:51"/>
    <n v="18"/>
    <x v="1"/>
    <x v="1"/>
    <x v="1"/>
    <n v="0.42845844811788902"/>
    <n v="2E+20"/>
    <n v="0"/>
    <n v="2"/>
    <n v="1"/>
    <n v="0"/>
    <s v="Unnamed ProjectEdicao.QueueNumber WaitingQueue"/>
    <n v="50"/>
    <n v="1.2732860367273062"/>
    <n v="1.137870000737736"/>
    <n v="0.95"/>
    <n v="0.32337907617258832"/>
    <n v="0"/>
    <n v="5.3083923025689197"/>
    <n v="0.32337907617258832"/>
  </r>
  <r>
    <x v="0"/>
    <s v="2023-12-02 21:14:51"/>
    <n v="18"/>
    <x v="2"/>
    <x v="2"/>
    <x v="2"/>
    <n v="0.82152455051824103"/>
    <n v="2E+20"/>
    <n v="0"/>
    <n v="1"/>
    <n v="1"/>
    <n v="0"/>
    <s v="Unnamed ProjectOperadorInstantaneous Utilization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18"/>
    <x v="2"/>
    <x v="3"/>
    <x v="2"/>
    <n v="0.82152455051824103"/>
    <n v="2E+20"/>
    <n v="0"/>
    <n v="1"/>
    <n v="1"/>
    <n v="0"/>
    <s v="Unnamed ProjectOperadorNumber Busy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18"/>
    <x v="2"/>
    <x v="4"/>
    <x v="2"/>
    <n v="1"/>
    <n v="2E+20"/>
    <n v="1"/>
    <n v="1"/>
    <n v="1"/>
    <n v="0"/>
    <s v="Unnamed ProjectOperadorNumber ScheduledResource"/>
    <n v="50"/>
    <n v="1"/>
    <n v="0"/>
    <n v="0.95"/>
    <n v="0"/>
    <n v="1"/>
    <n v="1"/>
    <n v="0"/>
  </r>
  <r>
    <x v="0"/>
    <s v="2023-12-02 21:14:51"/>
    <n v="19"/>
    <x v="0"/>
    <x v="0"/>
    <x v="0"/>
    <n v="2.7026991647626102"/>
    <n v="2E+20"/>
    <n v="0"/>
    <n v="4"/>
    <n v="3"/>
    <n v="0"/>
    <s v="Unnamed ProjectArquivosWIPEntity"/>
    <n v="50"/>
    <n v="2.1996658161417075"/>
    <n v="1.1994598865431718"/>
    <n v="0.95"/>
    <n v="0.34088272804883424"/>
    <n v="0.70499985227053297"/>
    <n v="6.3083923025689197"/>
    <n v="0.34088272804883424"/>
  </r>
  <r>
    <x v="0"/>
    <s v="2023-12-02 21:14:51"/>
    <n v="19"/>
    <x v="1"/>
    <x v="1"/>
    <x v="1"/>
    <n v="1.70269916476261"/>
    <n v="2E+20"/>
    <n v="0"/>
    <n v="3"/>
    <n v="2"/>
    <n v="0"/>
    <s v="Unnamed ProjectEdicao.QueueNumber WaitingQueue"/>
    <n v="50"/>
    <n v="1.2732860367273062"/>
    <n v="1.137870000737736"/>
    <n v="0.95"/>
    <n v="0.32337907617258832"/>
    <n v="0"/>
    <n v="5.3083923025689197"/>
    <n v="0.32337907617258832"/>
  </r>
  <r>
    <x v="0"/>
    <s v="2023-12-02 21:14:51"/>
    <n v="19"/>
    <x v="2"/>
    <x v="2"/>
    <x v="2"/>
    <n v="1"/>
    <n v="2E+20"/>
    <n v="0"/>
    <n v="1"/>
    <n v="1"/>
    <n v="0"/>
    <s v="Unnamed ProjectOperadorInstantaneous Utilization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19"/>
    <x v="2"/>
    <x v="3"/>
    <x v="2"/>
    <n v="1"/>
    <n v="2E+20"/>
    <n v="0"/>
    <n v="1"/>
    <n v="1"/>
    <n v="0"/>
    <s v="Unnamed ProjectOperadorNumber Busy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19"/>
    <x v="2"/>
    <x v="4"/>
    <x v="2"/>
    <n v="1"/>
    <n v="2E+20"/>
    <n v="1"/>
    <n v="1"/>
    <n v="1"/>
    <n v="0"/>
    <s v="Unnamed ProjectOperadorNumber ScheduledResource"/>
    <n v="50"/>
    <n v="1"/>
    <n v="0"/>
    <n v="0.95"/>
    <n v="0"/>
    <n v="1"/>
    <n v="1"/>
    <n v="0"/>
  </r>
  <r>
    <x v="0"/>
    <s v="2023-12-02 21:14:51"/>
    <n v="20"/>
    <x v="0"/>
    <x v="0"/>
    <x v="0"/>
    <n v="4.1738970890110396"/>
    <n v="2E+20"/>
    <n v="0"/>
    <n v="6"/>
    <n v="5"/>
    <n v="0"/>
    <s v="Unnamed ProjectArquivosWIPEntity"/>
    <n v="50"/>
    <n v="2.1996658161417075"/>
    <n v="1.1994598865431718"/>
    <n v="0.95"/>
    <n v="0.34088272804883424"/>
    <n v="0.70499985227053297"/>
    <n v="6.3083923025689197"/>
    <n v="0.34088272804883424"/>
  </r>
  <r>
    <x v="0"/>
    <s v="2023-12-02 21:14:51"/>
    <n v="20"/>
    <x v="1"/>
    <x v="1"/>
    <x v="1"/>
    <n v="3.1738970890110401"/>
    <n v="2E+20"/>
    <n v="0"/>
    <n v="5"/>
    <n v="4"/>
    <n v="0"/>
    <s v="Unnamed ProjectEdicao.QueueNumber WaitingQueue"/>
    <n v="50"/>
    <n v="1.2732860367273062"/>
    <n v="1.137870000737736"/>
    <n v="0.95"/>
    <n v="0.32337907617258832"/>
    <n v="0"/>
    <n v="5.3083923025689197"/>
    <n v="0.32337907617258832"/>
  </r>
  <r>
    <x v="0"/>
    <s v="2023-12-02 21:14:51"/>
    <n v="20"/>
    <x v="2"/>
    <x v="2"/>
    <x v="2"/>
    <n v="1"/>
    <n v="2E+20"/>
    <n v="0"/>
    <n v="1"/>
    <n v="1"/>
    <n v="0"/>
    <s v="Unnamed ProjectOperadorInstantaneous Utilization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20"/>
    <x v="2"/>
    <x v="3"/>
    <x v="2"/>
    <n v="1"/>
    <n v="2E+20"/>
    <n v="0"/>
    <n v="1"/>
    <n v="1"/>
    <n v="0"/>
    <s v="Unnamed ProjectOperadorNumber Busy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20"/>
    <x v="2"/>
    <x v="4"/>
    <x v="2"/>
    <n v="1"/>
    <n v="2E+20"/>
    <n v="1"/>
    <n v="1"/>
    <n v="1"/>
    <n v="0"/>
    <s v="Unnamed ProjectOperadorNumber ScheduledResource"/>
    <n v="50"/>
    <n v="1"/>
    <n v="0"/>
    <n v="0.95"/>
    <n v="0"/>
    <n v="1"/>
    <n v="1"/>
    <n v="0"/>
  </r>
  <r>
    <x v="0"/>
    <s v="2023-12-02 21:14:51"/>
    <n v="21"/>
    <x v="0"/>
    <x v="0"/>
    <x v="0"/>
    <n v="1.7039869609604901"/>
    <n v="2E+20"/>
    <n v="0"/>
    <n v="4"/>
    <n v="3"/>
    <n v="0"/>
    <s v="Unnamed ProjectArquivosWIPEntity"/>
    <n v="50"/>
    <n v="2.1996658161417075"/>
    <n v="1.1994598865431718"/>
    <n v="0.95"/>
    <n v="0.34088272804883424"/>
    <n v="0.70499985227053297"/>
    <n v="6.3083923025689197"/>
    <n v="0.34088272804883424"/>
  </r>
  <r>
    <x v="0"/>
    <s v="2023-12-02 21:14:51"/>
    <n v="21"/>
    <x v="1"/>
    <x v="1"/>
    <x v="1"/>
    <n v="0.75097382483349395"/>
    <n v="2E+20"/>
    <n v="0"/>
    <n v="3"/>
    <n v="2"/>
    <n v="0"/>
    <s v="Unnamed ProjectEdicao.QueueNumber WaitingQueue"/>
    <n v="50"/>
    <n v="1.2732860367273062"/>
    <n v="1.137870000737736"/>
    <n v="0.95"/>
    <n v="0.32337907617258832"/>
    <n v="0"/>
    <n v="5.3083923025689197"/>
    <n v="0.32337907617258832"/>
  </r>
  <r>
    <x v="0"/>
    <s v="2023-12-02 21:14:51"/>
    <n v="21"/>
    <x v="2"/>
    <x v="2"/>
    <x v="2"/>
    <n v="0.95301313612699601"/>
    <n v="2E+20"/>
    <n v="0"/>
    <n v="1"/>
    <n v="1"/>
    <n v="0"/>
    <s v="Unnamed ProjectOperadorInstantaneous Utilization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21"/>
    <x v="2"/>
    <x v="3"/>
    <x v="2"/>
    <n v="0.95301313612699601"/>
    <n v="2E+20"/>
    <n v="0"/>
    <n v="1"/>
    <n v="1"/>
    <n v="0"/>
    <s v="Unnamed ProjectOperadorNumber Busy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21"/>
    <x v="2"/>
    <x v="4"/>
    <x v="2"/>
    <n v="1"/>
    <n v="2E+20"/>
    <n v="1"/>
    <n v="1"/>
    <n v="1"/>
    <n v="0"/>
    <s v="Unnamed ProjectOperadorNumber ScheduledResource"/>
    <n v="50"/>
    <n v="1"/>
    <n v="0"/>
    <n v="0.95"/>
    <n v="0"/>
    <n v="1"/>
    <n v="1"/>
    <n v="0"/>
  </r>
  <r>
    <x v="0"/>
    <s v="2023-12-02 21:14:51"/>
    <n v="22"/>
    <x v="0"/>
    <x v="0"/>
    <x v="0"/>
    <n v="1.3421954663659501"/>
    <n v="2E+20"/>
    <n v="0"/>
    <n v="3"/>
    <n v="3"/>
    <n v="0"/>
    <s v="Unnamed ProjectArquivosWIPEntity"/>
    <n v="50"/>
    <n v="2.1996658161417075"/>
    <n v="1.1994598865431718"/>
    <n v="0.95"/>
    <n v="0.34088272804883424"/>
    <n v="0.70499985227053297"/>
    <n v="6.3083923025689197"/>
    <n v="0.34088272804883424"/>
  </r>
  <r>
    <x v="0"/>
    <s v="2023-12-02 21:14:51"/>
    <n v="22"/>
    <x v="1"/>
    <x v="1"/>
    <x v="1"/>
    <n v="0.42343494668009501"/>
    <n v="2E+20"/>
    <n v="0"/>
    <n v="2"/>
    <n v="2"/>
    <n v="0"/>
    <s v="Unnamed ProjectEdicao.QueueNumber WaitingQueue"/>
    <n v="50"/>
    <n v="1.2732860367273062"/>
    <n v="1.137870000737736"/>
    <n v="0.95"/>
    <n v="0.32337907617258832"/>
    <n v="0"/>
    <n v="5.3083923025689197"/>
    <n v="0.32337907617258832"/>
  </r>
  <r>
    <x v="0"/>
    <s v="2023-12-02 21:14:51"/>
    <n v="22"/>
    <x v="2"/>
    <x v="2"/>
    <x v="2"/>
    <n v="0.91876051968585803"/>
    <n v="2E+20"/>
    <n v="0"/>
    <n v="1"/>
    <n v="1"/>
    <n v="0"/>
    <s v="Unnamed ProjectOperadorInstantaneous Utilization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22"/>
    <x v="2"/>
    <x v="3"/>
    <x v="2"/>
    <n v="0.91876051968585803"/>
    <n v="2E+20"/>
    <n v="0"/>
    <n v="1"/>
    <n v="1"/>
    <n v="0"/>
    <s v="Unnamed ProjectOperadorNumber Busy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22"/>
    <x v="2"/>
    <x v="4"/>
    <x v="2"/>
    <n v="1"/>
    <n v="2E+20"/>
    <n v="1"/>
    <n v="1"/>
    <n v="1"/>
    <n v="0"/>
    <s v="Unnamed ProjectOperadorNumber ScheduledResource"/>
    <n v="50"/>
    <n v="1"/>
    <n v="0"/>
    <n v="0.95"/>
    <n v="0"/>
    <n v="1"/>
    <n v="1"/>
    <n v="0"/>
  </r>
  <r>
    <x v="0"/>
    <s v="2023-12-02 21:14:51"/>
    <n v="23"/>
    <x v="0"/>
    <x v="0"/>
    <x v="0"/>
    <n v="2.2099432454153001"/>
    <n v="2E+20"/>
    <n v="0"/>
    <n v="3"/>
    <n v="2"/>
    <n v="0"/>
    <s v="Unnamed ProjectArquivosWIPEntity"/>
    <n v="50"/>
    <n v="2.1996658161417075"/>
    <n v="1.1994598865431718"/>
    <n v="0.95"/>
    <n v="0.34088272804883424"/>
    <n v="0.70499985227053297"/>
    <n v="6.3083923025689197"/>
    <n v="0.34088272804883424"/>
  </r>
  <r>
    <x v="0"/>
    <s v="2023-12-02 21:14:51"/>
    <n v="23"/>
    <x v="1"/>
    <x v="1"/>
    <x v="1"/>
    <n v="1.2099432454153001"/>
    <n v="2E+20"/>
    <n v="0"/>
    <n v="2"/>
    <n v="1"/>
    <n v="0"/>
    <s v="Unnamed ProjectEdicao.QueueNumber WaitingQueue"/>
    <n v="50"/>
    <n v="1.2732860367273062"/>
    <n v="1.137870000737736"/>
    <n v="0.95"/>
    <n v="0.32337907617258832"/>
    <n v="0"/>
    <n v="5.3083923025689197"/>
    <n v="0.32337907617258832"/>
  </r>
  <r>
    <x v="0"/>
    <s v="2023-12-02 21:14:51"/>
    <n v="23"/>
    <x v="2"/>
    <x v="2"/>
    <x v="2"/>
    <n v="1"/>
    <n v="2E+20"/>
    <n v="0"/>
    <n v="1"/>
    <n v="1"/>
    <n v="0"/>
    <s v="Unnamed ProjectOperadorInstantaneous Utilization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23"/>
    <x v="2"/>
    <x v="3"/>
    <x v="2"/>
    <n v="1"/>
    <n v="2E+20"/>
    <n v="0"/>
    <n v="1"/>
    <n v="1"/>
    <n v="0"/>
    <s v="Unnamed ProjectOperadorNumber Busy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23"/>
    <x v="2"/>
    <x v="4"/>
    <x v="2"/>
    <n v="1"/>
    <n v="2E+20"/>
    <n v="1"/>
    <n v="1"/>
    <n v="1"/>
    <n v="0"/>
    <s v="Unnamed ProjectOperadorNumber ScheduledResource"/>
    <n v="50"/>
    <n v="1"/>
    <n v="0"/>
    <n v="0.95"/>
    <n v="0"/>
    <n v="1"/>
    <n v="1"/>
    <n v="0"/>
  </r>
  <r>
    <x v="0"/>
    <s v="2023-12-02 21:14:51"/>
    <n v="24"/>
    <x v="0"/>
    <x v="0"/>
    <x v="0"/>
    <n v="1.8292325437742301"/>
    <n v="2E+20"/>
    <n v="0"/>
    <n v="3"/>
    <n v="2"/>
    <n v="0"/>
    <s v="Unnamed ProjectArquivosWIPEntity"/>
    <n v="50"/>
    <n v="2.1996658161417075"/>
    <n v="1.1994598865431718"/>
    <n v="0.95"/>
    <n v="0.34088272804883424"/>
    <n v="0.70499985227053297"/>
    <n v="6.3083923025689197"/>
    <n v="0.34088272804883424"/>
  </r>
  <r>
    <x v="0"/>
    <s v="2023-12-02 21:14:51"/>
    <n v="24"/>
    <x v="1"/>
    <x v="1"/>
    <x v="1"/>
    <n v="0.82923254377422595"/>
    <n v="2E+20"/>
    <n v="0"/>
    <n v="2"/>
    <n v="1"/>
    <n v="0"/>
    <s v="Unnamed ProjectEdicao.QueueNumber WaitingQueue"/>
    <n v="50"/>
    <n v="1.2732860367273062"/>
    <n v="1.137870000737736"/>
    <n v="0.95"/>
    <n v="0.32337907617258832"/>
    <n v="0"/>
    <n v="5.3083923025689197"/>
    <n v="0.32337907617258832"/>
  </r>
  <r>
    <x v="0"/>
    <s v="2023-12-02 21:14:51"/>
    <n v="24"/>
    <x v="2"/>
    <x v="2"/>
    <x v="2"/>
    <n v="1"/>
    <n v="2E+20"/>
    <n v="0"/>
    <n v="1"/>
    <n v="1"/>
    <n v="0"/>
    <s v="Unnamed ProjectOperadorInstantaneous Utilization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24"/>
    <x v="2"/>
    <x v="3"/>
    <x v="2"/>
    <n v="1"/>
    <n v="2E+20"/>
    <n v="0"/>
    <n v="1"/>
    <n v="1"/>
    <n v="0"/>
    <s v="Unnamed ProjectOperadorNumber Busy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24"/>
    <x v="2"/>
    <x v="4"/>
    <x v="2"/>
    <n v="1"/>
    <n v="2E+20"/>
    <n v="1"/>
    <n v="1"/>
    <n v="1"/>
    <n v="0"/>
    <s v="Unnamed ProjectOperadorNumber ScheduledResource"/>
    <n v="50"/>
    <n v="1"/>
    <n v="0"/>
    <n v="0.95"/>
    <n v="0"/>
    <n v="1"/>
    <n v="1"/>
    <n v="0"/>
  </r>
  <r>
    <x v="0"/>
    <s v="2023-12-02 21:14:51"/>
    <n v="25"/>
    <x v="0"/>
    <x v="0"/>
    <x v="0"/>
    <n v="1.0534113737436099"/>
    <n v="2E+20"/>
    <n v="0"/>
    <n v="3"/>
    <n v="0"/>
    <n v="0"/>
    <s v="Unnamed ProjectArquivosWIPEntity"/>
    <n v="50"/>
    <n v="2.1996658161417075"/>
    <n v="1.1994598865431718"/>
    <n v="0.95"/>
    <n v="0.34088272804883424"/>
    <n v="0.70499985227053297"/>
    <n v="6.3083923025689197"/>
    <n v="0.34088272804883424"/>
  </r>
  <r>
    <x v="0"/>
    <s v="2023-12-02 21:14:51"/>
    <n v="25"/>
    <x v="1"/>
    <x v="1"/>
    <x v="1"/>
    <n v="0.29054504960025801"/>
    <n v="2E+20"/>
    <n v="0"/>
    <n v="2"/>
    <n v="0"/>
    <n v="0"/>
    <s v="Unnamed ProjectEdicao.QueueNumber WaitingQueue"/>
    <n v="50"/>
    <n v="1.2732860367273062"/>
    <n v="1.137870000737736"/>
    <n v="0.95"/>
    <n v="0.32337907617258832"/>
    <n v="0"/>
    <n v="5.3083923025689197"/>
    <n v="0.32337907617258832"/>
  </r>
  <r>
    <x v="0"/>
    <s v="2023-12-02 21:14:51"/>
    <n v="25"/>
    <x v="2"/>
    <x v="2"/>
    <x v="2"/>
    <n v="0.76286632414334898"/>
    <n v="2E+20"/>
    <n v="0"/>
    <n v="1"/>
    <n v="0"/>
    <n v="0"/>
    <s v="Unnamed ProjectOperadorInstantaneous Utilization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25"/>
    <x v="2"/>
    <x v="3"/>
    <x v="2"/>
    <n v="0.76286632414334898"/>
    <n v="2E+20"/>
    <n v="0"/>
    <n v="1"/>
    <n v="0"/>
    <n v="0"/>
    <s v="Unnamed ProjectOperadorNumber Busy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25"/>
    <x v="2"/>
    <x v="4"/>
    <x v="2"/>
    <n v="1"/>
    <n v="2E+20"/>
    <n v="1"/>
    <n v="1"/>
    <n v="1"/>
    <n v="0"/>
    <s v="Unnamed ProjectOperadorNumber ScheduledResource"/>
    <n v="50"/>
    <n v="1"/>
    <n v="0"/>
    <n v="0.95"/>
    <n v="0"/>
    <n v="1"/>
    <n v="1"/>
    <n v="0"/>
  </r>
  <r>
    <x v="0"/>
    <s v="2023-12-02 21:14:51"/>
    <n v="26"/>
    <x v="0"/>
    <x v="0"/>
    <x v="0"/>
    <n v="2.2251554708360599"/>
    <n v="2E+20"/>
    <n v="0"/>
    <n v="4"/>
    <n v="3"/>
    <n v="0"/>
    <s v="Unnamed ProjectArquivosWIPEntity"/>
    <n v="50"/>
    <n v="2.1996658161417075"/>
    <n v="1.1994598865431718"/>
    <n v="0.95"/>
    <n v="0.34088272804883424"/>
    <n v="0.70499985227053297"/>
    <n v="6.3083923025689197"/>
    <n v="0.34088272804883424"/>
  </r>
  <r>
    <x v="0"/>
    <s v="2023-12-02 21:14:51"/>
    <n v="26"/>
    <x v="1"/>
    <x v="1"/>
    <x v="1"/>
    <n v="1.2470341599681201"/>
    <n v="2E+20"/>
    <n v="0"/>
    <n v="3"/>
    <n v="2"/>
    <n v="0"/>
    <s v="Unnamed ProjectEdicao.QueueNumber WaitingQueue"/>
    <n v="50"/>
    <n v="1.2732860367273062"/>
    <n v="1.137870000737736"/>
    <n v="0.95"/>
    <n v="0.32337907617258832"/>
    <n v="0"/>
    <n v="5.3083923025689197"/>
    <n v="0.32337907617258832"/>
  </r>
  <r>
    <x v="0"/>
    <s v="2023-12-02 21:14:51"/>
    <n v="26"/>
    <x v="2"/>
    <x v="2"/>
    <x v="2"/>
    <n v="0.97812131086793197"/>
    <n v="2E+20"/>
    <n v="0"/>
    <n v="1"/>
    <n v="1"/>
    <n v="0"/>
    <s v="Unnamed ProjectOperadorInstantaneous Utilization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26"/>
    <x v="2"/>
    <x v="3"/>
    <x v="2"/>
    <n v="0.97812131086793197"/>
    <n v="2E+20"/>
    <n v="0"/>
    <n v="1"/>
    <n v="1"/>
    <n v="0"/>
    <s v="Unnamed ProjectOperadorNumber Busy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26"/>
    <x v="2"/>
    <x v="4"/>
    <x v="2"/>
    <n v="1"/>
    <n v="2E+20"/>
    <n v="1"/>
    <n v="1"/>
    <n v="1"/>
    <n v="0"/>
    <s v="Unnamed ProjectOperadorNumber ScheduledResource"/>
    <n v="50"/>
    <n v="1"/>
    <n v="0"/>
    <n v="0.95"/>
    <n v="0"/>
    <n v="1"/>
    <n v="1"/>
    <n v="0"/>
  </r>
  <r>
    <x v="0"/>
    <s v="2023-12-02 21:14:51"/>
    <n v="27"/>
    <x v="0"/>
    <x v="0"/>
    <x v="0"/>
    <n v="3.61546795029553"/>
    <n v="2E+20"/>
    <n v="0"/>
    <n v="5"/>
    <n v="3"/>
    <n v="0"/>
    <s v="Unnamed ProjectArquivosWIPEntity"/>
    <n v="50"/>
    <n v="2.1996658161417075"/>
    <n v="1.1994598865431718"/>
    <n v="0.95"/>
    <n v="0.34088272804883424"/>
    <n v="0.70499985227053297"/>
    <n v="6.3083923025689197"/>
    <n v="0.34088272804883424"/>
  </r>
  <r>
    <x v="0"/>
    <s v="2023-12-02 21:14:51"/>
    <n v="27"/>
    <x v="1"/>
    <x v="1"/>
    <x v="1"/>
    <n v="2.61546795029553"/>
    <n v="2E+20"/>
    <n v="0"/>
    <n v="4"/>
    <n v="2"/>
    <n v="0"/>
    <s v="Unnamed ProjectEdicao.QueueNumber WaitingQueue"/>
    <n v="50"/>
    <n v="1.2732860367273062"/>
    <n v="1.137870000737736"/>
    <n v="0.95"/>
    <n v="0.32337907617258832"/>
    <n v="0"/>
    <n v="5.3083923025689197"/>
    <n v="0.32337907617258832"/>
  </r>
  <r>
    <x v="0"/>
    <s v="2023-12-02 21:14:51"/>
    <n v="27"/>
    <x v="2"/>
    <x v="2"/>
    <x v="2"/>
    <n v="1"/>
    <n v="2E+20"/>
    <n v="0"/>
    <n v="1"/>
    <n v="1"/>
    <n v="0"/>
    <s v="Unnamed ProjectOperadorInstantaneous Utilization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27"/>
    <x v="2"/>
    <x v="3"/>
    <x v="2"/>
    <n v="1"/>
    <n v="2E+20"/>
    <n v="0"/>
    <n v="1"/>
    <n v="1"/>
    <n v="0"/>
    <s v="Unnamed ProjectOperadorNumber Busy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27"/>
    <x v="2"/>
    <x v="4"/>
    <x v="2"/>
    <n v="1"/>
    <n v="2E+20"/>
    <n v="1"/>
    <n v="1"/>
    <n v="1"/>
    <n v="0"/>
    <s v="Unnamed ProjectOperadorNumber ScheduledResource"/>
    <n v="50"/>
    <n v="1"/>
    <n v="0"/>
    <n v="0.95"/>
    <n v="0"/>
    <n v="1"/>
    <n v="1"/>
    <n v="0"/>
  </r>
  <r>
    <x v="0"/>
    <s v="2023-12-02 21:14:51"/>
    <n v="28"/>
    <x v="0"/>
    <x v="0"/>
    <x v="0"/>
    <n v="1.4432191268771299"/>
    <n v="2E+20"/>
    <n v="0"/>
    <n v="3"/>
    <n v="1"/>
    <n v="0"/>
    <s v="Unnamed ProjectArquivosWIPEntity"/>
    <n v="50"/>
    <n v="2.1996658161417075"/>
    <n v="1.1994598865431718"/>
    <n v="0.95"/>
    <n v="0.34088272804883424"/>
    <n v="0.70499985227053297"/>
    <n v="6.3083923025689197"/>
    <n v="0.34088272804883424"/>
  </r>
  <r>
    <x v="0"/>
    <s v="2023-12-02 21:14:51"/>
    <n v="28"/>
    <x v="1"/>
    <x v="1"/>
    <x v="1"/>
    <n v="0.443219126877134"/>
    <n v="2E+20"/>
    <n v="0"/>
    <n v="2"/>
    <n v="0"/>
    <n v="0"/>
    <s v="Unnamed ProjectEdicao.QueueNumber WaitingQueue"/>
    <n v="50"/>
    <n v="1.2732860367273062"/>
    <n v="1.137870000737736"/>
    <n v="0.95"/>
    <n v="0.32337907617258832"/>
    <n v="0"/>
    <n v="5.3083923025689197"/>
    <n v="0.32337907617258832"/>
  </r>
  <r>
    <x v="0"/>
    <s v="2023-12-02 21:14:51"/>
    <n v="28"/>
    <x v="2"/>
    <x v="2"/>
    <x v="2"/>
    <n v="1"/>
    <n v="2E+20"/>
    <n v="0"/>
    <n v="1"/>
    <n v="1"/>
    <n v="0"/>
    <s v="Unnamed ProjectOperadorInstantaneous Utilization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28"/>
    <x v="2"/>
    <x v="3"/>
    <x v="2"/>
    <n v="1"/>
    <n v="2E+20"/>
    <n v="0"/>
    <n v="1"/>
    <n v="1"/>
    <n v="0"/>
    <s v="Unnamed ProjectOperadorNumber Busy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28"/>
    <x v="2"/>
    <x v="4"/>
    <x v="2"/>
    <n v="1"/>
    <n v="2E+20"/>
    <n v="1"/>
    <n v="1"/>
    <n v="1"/>
    <n v="0"/>
    <s v="Unnamed ProjectOperadorNumber ScheduledResource"/>
    <n v="50"/>
    <n v="1"/>
    <n v="0"/>
    <n v="0.95"/>
    <n v="0"/>
    <n v="1"/>
    <n v="1"/>
    <n v="0"/>
  </r>
  <r>
    <x v="0"/>
    <s v="2023-12-02 21:14:51"/>
    <n v="29"/>
    <x v="0"/>
    <x v="0"/>
    <x v="0"/>
    <n v="3.1424566657800099"/>
    <n v="2E+20"/>
    <n v="0"/>
    <n v="5"/>
    <n v="4"/>
    <n v="0"/>
    <s v="Unnamed ProjectArquivosWIPEntity"/>
    <n v="50"/>
    <n v="2.1996658161417075"/>
    <n v="1.1994598865431718"/>
    <n v="0.95"/>
    <n v="0.34088272804883424"/>
    <n v="0.70499985227053297"/>
    <n v="6.3083923025689197"/>
    <n v="0.34088272804883424"/>
  </r>
  <r>
    <x v="0"/>
    <s v="2023-12-02 21:14:51"/>
    <n v="29"/>
    <x v="1"/>
    <x v="1"/>
    <x v="1"/>
    <n v="2.1424566657800099"/>
    <n v="2E+20"/>
    <n v="0"/>
    <n v="4"/>
    <n v="3"/>
    <n v="0"/>
    <s v="Unnamed ProjectEdicao.QueueNumber WaitingQueue"/>
    <n v="50"/>
    <n v="1.2732860367273062"/>
    <n v="1.137870000737736"/>
    <n v="0.95"/>
    <n v="0.32337907617258832"/>
    <n v="0"/>
    <n v="5.3083923025689197"/>
    <n v="0.32337907617258832"/>
  </r>
  <r>
    <x v="0"/>
    <s v="2023-12-02 21:14:51"/>
    <n v="29"/>
    <x v="2"/>
    <x v="2"/>
    <x v="2"/>
    <n v="1"/>
    <n v="2E+20"/>
    <n v="0"/>
    <n v="1"/>
    <n v="1"/>
    <n v="0"/>
    <s v="Unnamed ProjectOperadorInstantaneous Utilization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29"/>
    <x v="2"/>
    <x v="3"/>
    <x v="2"/>
    <n v="1"/>
    <n v="2E+20"/>
    <n v="0"/>
    <n v="1"/>
    <n v="1"/>
    <n v="0"/>
    <s v="Unnamed ProjectOperadorNumber Busy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29"/>
    <x v="2"/>
    <x v="4"/>
    <x v="2"/>
    <n v="1"/>
    <n v="2E+20"/>
    <n v="1"/>
    <n v="1"/>
    <n v="1"/>
    <n v="0"/>
    <s v="Unnamed ProjectOperadorNumber ScheduledResource"/>
    <n v="50"/>
    <n v="1"/>
    <n v="0"/>
    <n v="0.95"/>
    <n v="0"/>
    <n v="1"/>
    <n v="1"/>
    <n v="0"/>
  </r>
  <r>
    <x v="0"/>
    <s v="2023-12-02 21:14:51"/>
    <n v="30"/>
    <x v="0"/>
    <x v="0"/>
    <x v="0"/>
    <n v="1.82203597568187"/>
    <n v="2E+20"/>
    <n v="0"/>
    <n v="4"/>
    <n v="4"/>
    <n v="0"/>
    <s v="Unnamed ProjectArquivosWIPEntity"/>
    <n v="50"/>
    <n v="2.1996658161417075"/>
    <n v="1.1994598865431718"/>
    <n v="0.95"/>
    <n v="0.34088272804883424"/>
    <n v="0.70499985227053297"/>
    <n v="6.3083923025689197"/>
    <n v="0.34088272804883424"/>
  </r>
  <r>
    <x v="0"/>
    <s v="2023-12-02 21:14:51"/>
    <n v="30"/>
    <x v="1"/>
    <x v="1"/>
    <x v="1"/>
    <n v="1.0920266905043501"/>
    <n v="2E+20"/>
    <n v="0"/>
    <n v="3"/>
    <n v="3"/>
    <n v="0"/>
    <s v="Unnamed ProjectEdicao.QueueNumber WaitingQueue"/>
    <n v="50"/>
    <n v="1.2732860367273062"/>
    <n v="1.137870000737736"/>
    <n v="0.95"/>
    <n v="0.32337907617258832"/>
    <n v="0"/>
    <n v="5.3083923025689197"/>
    <n v="0.32337907617258832"/>
  </r>
  <r>
    <x v="0"/>
    <s v="2023-12-02 21:14:51"/>
    <n v="30"/>
    <x v="2"/>
    <x v="2"/>
    <x v="2"/>
    <n v="0.73000928517752095"/>
    <n v="2E+20"/>
    <n v="0"/>
    <n v="1"/>
    <n v="1"/>
    <n v="0"/>
    <s v="Unnamed ProjectOperadorInstantaneous Utilization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30"/>
    <x v="2"/>
    <x v="3"/>
    <x v="2"/>
    <n v="0.73000928517752095"/>
    <n v="2E+20"/>
    <n v="0"/>
    <n v="1"/>
    <n v="1"/>
    <n v="0"/>
    <s v="Unnamed ProjectOperadorNumber Busy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30"/>
    <x v="2"/>
    <x v="4"/>
    <x v="2"/>
    <n v="1"/>
    <n v="2E+20"/>
    <n v="1"/>
    <n v="1"/>
    <n v="1"/>
    <n v="0"/>
    <s v="Unnamed ProjectOperadorNumber ScheduledResource"/>
    <n v="50"/>
    <n v="1"/>
    <n v="0"/>
    <n v="0.95"/>
    <n v="0"/>
    <n v="1"/>
    <n v="1"/>
    <n v="0"/>
  </r>
  <r>
    <x v="0"/>
    <s v="2023-12-02 21:14:51"/>
    <n v="31"/>
    <x v="0"/>
    <x v="0"/>
    <x v="0"/>
    <n v="1.1960680334756899"/>
    <n v="2E+20"/>
    <n v="0"/>
    <n v="2"/>
    <n v="2"/>
    <n v="0"/>
    <s v="Unnamed ProjectArquivosWIPEntity"/>
    <n v="50"/>
    <n v="2.1996658161417075"/>
    <n v="1.1994598865431718"/>
    <n v="0.95"/>
    <n v="0.34088272804883424"/>
    <n v="0.70499985227053297"/>
    <n v="6.3083923025689197"/>
    <n v="0.34088272804883424"/>
  </r>
  <r>
    <x v="0"/>
    <s v="2023-12-02 21:14:51"/>
    <n v="31"/>
    <x v="1"/>
    <x v="1"/>
    <x v="1"/>
    <n v="0.30336558777712003"/>
    <n v="2E+20"/>
    <n v="0"/>
    <n v="1"/>
    <n v="1"/>
    <n v="0"/>
    <s v="Unnamed ProjectEdicao.QueueNumber WaitingQueue"/>
    <n v="50"/>
    <n v="1.2732860367273062"/>
    <n v="1.137870000737736"/>
    <n v="0.95"/>
    <n v="0.32337907617258832"/>
    <n v="0"/>
    <n v="5.3083923025689197"/>
    <n v="0.32337907617258832"/>
  </r>
  <r>
    <x v="0"/>
    <s v="2023-12-02 21:14:51"/>
    <n v="31"/>
    <x v="2"/>
    <x v="2"/>
    <x v="2"/>
    <n v="0.89270244569856905"/>
    <n v="2E+20"/>
    <n v="0"/>
    <n v="1"/>
    <n v="1"/>
    <n v="0"/>
    <s v="Unnamed ProjectOperadorInstantaneous Utilization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31"/>
    <x v="2"/>
    <x v="3"/>
    <x v="2"/>
    <n v="0.89270244569856905"/>
    <n v="2E+20"/>
    <n v="0"/>
    <n v="1"/>
    <n v="1"/>
    <n v="0"/>
    <s v="Unnamed ProjectOperadorNumber Busy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31"/>
    <x v="2"/>
    <x v="4"/>
    <x v="2"/>
    <n v="1"/>
    <n v="2E+20"/>
    <n v="1"/>
    <n v="1"/>
    <n v="1"/>
    <n v="0"/>
    <s v="Unnamed ProjectOperadorNumber ScheduledResource"/>
    <n v="50"/>
    <n v="1"/>
    <n v="0"/>
    <n v="0.95"/>
    <n v="0"/>
    <n v="1"/>
    <n v="1"/>
    <n v="0"/>
  </r>
  <r>
    <x v="0"/>
    <s v="2023-12-02 21:14:51"/>
    <n v="32"/>
    <x v="0"/>
    <x v="0"/>
    <x v="0"/>
    <n v="0.70499985227053297"/>
    <n v="2E+20"/>
    <n v="0"/>
    <n v="4"/>
    <n v="4"/>
    <n v="0"/>
    <s v="Unnamed ProjectArquivosWIPEntity"/>
    <n v="50"/>
    <n v="2.1996658161417075"/>
    <n v="1.1994598865431718"/>
    <n v="0.95"/>
    <n v="0.34088272804883424"/>
    <n v="0.70499985227053297"/>
    <n v="6.3083923025689197"/>
    <n v="0.34088272804883424"/>
  </r>
  <r>
    <x v="0"/>
    <s v="2023-12-02 21:14:51"/>
    <n v="32"/>
    <x v="1"/>
    <x v="1"/>
    <x v="1"/>
    <n v="8.5768264725599203E-2"/>
    <n v="2E+20"/>
    <n v="0"/>
    <n v="3"/>
    <n v="3"/>
    <n v="0"/>
    <s v="Unnamed ProjectEdicao.QueueNumber WaitingQueue"/>
    <n v="50"/>
    <n v="1.2732860367273062"/>
    <n v="1.137870000737736"/>
    <n v="0.95"/>
    <n v="0.32337907617258832"/>
    <n v="0"/>
    <n v="5.3083923025689197"/>
    <n v="0.32337907617258832"/>
  </r>
  <r>
    <x v="0"/>
    <s v="2023-12-02 21:14:51"/>
    <n v="32"/>
    <x v="2"/>
    <x v="2"/>
    <x v="2"/>
    <n v="0.61923158754493401"/>
    <n v="2E+20"/>
    <n v="0"/>
    <n v="1"/>
    <n v="1"/>
    <n v="0"/>
    <s v="Unnamed ProjectOperadorInstantaneous Utilization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32"/>
    <x v="2"/>
    <x v="3"/>
    <x v="2"/>
    <n v="0.61923158754493401"/>
    <n v="2E+20"/>
    <n v="0"/>
    <n v="1"/>
    <n v="1"/>
    <n v="0"/>
    <s v="Unnamed ProjectOperadorNumber Busy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32"/>
    <x v="2"/>
    <x v="4"/>
    <x v="2"/>
    <n v="1"/>
    <n v="2E+20"/>
    <n v="1"/>
    <n v="1"/>
    <n v="1"/>
    <n v="0"/>
    <s v="Unnamed ProjectOperadorNumber ScheduledResource"/>
    <n v="50"/>
    <n v="1"/>
    <n v="0"/>
    <n v="0.95"/>
    <n v="0"/>
    <n v="1"/>
    <n v="1"/>
    <n v="0"/>
  </r>
  <r>
    <x v="0"/>
    <s v="2023-12-02 21:14:51"/>
    <n v="33"/>
    <x v="0"/>
    <x v="0"/>
    <x v="0"/>
    <n v="3.6660709419667898"/>
    <n v="2E+20"/>
    <n v="0"/>
    <n v="6"/>
    <n v="2"/>
    <n v="0"/>
    <s v="Unnamed ProjectArquivosWIPEntity"/>
    <n v="50"/>
    <n v="2.1996658161417075"/>
    <n v="1.1994598865431718"/>
    <n v="0.95"/>
    <n v="0.34088272804883424"/>
    <n v="0.70499985227053297"/>
    <n v="6.3083923025689197"/>
    <n v="0.34088272804883424"/>
  </r>
  <r>
    <x v="0"/>
    <s v="2023-12-02 21:14:51"/>
    <n v="33"/>
    <x v="1"/>
    <x v="1"/>
    <x v="1"/>
    <n v="2.6660709419667898"/>
    <n v="2E+20"/>
    <n v="0"/>
    <n v="5"/>
    <n v="1"/>
    <n v="0"/>
    <s v="Unnamed ProjectEdicao.QueueNumber WaitingQueue"/>
    <n v="50"/>
    <n v="1.2732860367273062"/>
    <n v="1.137870000737736"/>
    <n v="0.95"/>
    <n v="0.32337907617258832"/>
    <n v="0"/>
    <n v="5.3083923025689197"/>
    <n v="0.32337907617258832"/>
  </r>
  <r>
    <x v="0"/>
    <s v="2023-12-02 21:14:51"/>
    <n v="33"/>
    <x v="2"/>
    <x v="2"/>
    <x v="2"/>
    <n v="1"/>
    <n v="2E+20"/>
    <n v="0"/>
    <n v="1"/>
    <n v="1"/>
    <n v="0"/>
    <s v="Unnamed ProjectOperadorInstantaneous Utilization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33"/>
    <x v="2"/>
    <x v="3"/>
    <x v="2"/>
    <n v="1"/>
    <n v="2E+20"/>
    <n v="0"/>
    <n v="1"/>
    <n v="1"/>
    <n v="0"/>
    <s v="Unnamed ProjectOperadorNumber Busy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33"/>
    <x v="2"/>
    <x v="4"/>
    <x v="2"/>
    <n v="1"/>
    <n v="2E+20"/>
    <n v="1"/>
    <n v="1"/>
    <n v="1"/>
    <n v="0"/>
    <s v="Unnamed ProjectOperadorNumber ScheduledResource"/>
    <n v="50"/>
    <n v="1"/>
    <n v="0"/>
    <n v="0.95"/>
    <n v="0"/>
    <n v="1"/>
    <n v="1"/>
    <n v="0"/>
  </r>
  <r>
    <x v="0"/>
    <s v="2023-12-02 21:14:51"/>
    <n v="34"/>
    <x v="0"/>
    <x v="0"/>
    <x v="0"/>
    <n v="2.0406554138362898"/>
    <n v="2E+20"/>
    <n v="0"/>
    <n v="3"/>
    <n v="2"/>
    <n v="0"/>
    <s v="Unnamed ProjectArquivosWIPEntity"/>
    <n v="50"/>
    <n v="2.1996658161417075"/>
    <n v="1.1994598865431718"/>
    <n v="0.95"/>
    <n v="0.34088272804883424"/>
    <n v="0.70499985227053297"/>
    <n v="6.3083923025689197"/>
    <n v="0.34088272804883424"/>
  </r>
  <r>
    <x v="0"/>
    <s v="2023-12-02 21:14:51"/>
    <n v="34"/>
    <x v="1"/>
    <x v="1"/>
    <x v="1"/>
    <n v="1.04065541383629"/>
    <n v="2E+20"/>
    <n v="0"/>
    <n v="2"/>
    <n v="1"/>
    <n v="0"/>
    <s v="Unnamed ProjectEdicao.QueueNumber WaitingQueue"/>
    <n v="50"/>
    <n v="1.2732860367273062"/>
    <n v="1.137870000737736"/>
    <n v="0.95"/>
    <n v="0.32337907617258832"/>
    <n v="0"/>
    <n v="5.3083923025689197"/>
    <n v="0.32337907617258832"/>
  </r>
  <r>
    <x v="0"/>
    <s v="2023-12-02 21:14:51"/>
    <n v="34"/>
    <x v="2"/>
    <x v="2"/>
    <x v="2"/>
    <n v="1"/>
    <n v="2E+20"/>
    <n v="0"/>
    <n v="1"/>
    <n v="1"/>
    <n v="0"/>
    <s v="Unnamed ProjectOperadorInstantaneous Utilization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34"/>
    <x v="2"/>
    <x v="3"/>
    <x v="2"/>
    <n v="1"/>
    <n v="2E+20"/>
    <n v="0"/>
    <n v="1"/>
    <n v="1"/>
    <n v="0"/>
    <s v="Unnamed ProjectOperadorNumber Busy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34"/>
    <x v="2"/>
    <x v="4"/>
    <x v="2"/>
    <n v="1"/>
    <n v="2E+20"/>
    <n v="1"/>
    <n v="1"/>
    <n v="1"/>
    <n v="0"/>
    <s v="Unnamed ProjectOperadorNumber ScheduledResource"/>
    <n v="50"/>
    <n v="1"/>
    <n v="0"/>
    <n v="0.95"/>
    <n v="0"/>
    <n v="1"/>
    <n v="1"/>
    <n v="0"/>
  </r>
  <r>
    <x v="0"/>
    <s v="2023-12-02 21:14:51"/>
    <n v="35"/>
    <x v="0"/>
    <x v="0"/>
    <x v="0"/>
    <n v="2.9582528160995101"/>
    <n v="2E+20"/>
    <n v="0"/>
    <n v="5"/>
    <n v="4"/>
    <n v="0"/>
    <s v="Unnamed ProjectArquivosWIPEntity"/>
    <n v="50"/>
    <n v="2.1996658161417075"/>
    <n v="1.1994598865431718"/>
    <n v="0.95"/>
    <n v="0.34088272804883424"/>
    <n v="0.70499985227053297"/>
    <n v="6.3083923025689197"/>
    <n v="0.34088272804883424"/>
  </r>
  <r>
    <x v="0"/>
    <s v="2023-12-02 21:14:51"/>
    <n v="35"/>
    <x v="1"/>
    <x v="1"/>
    <x v="1"/>
    <n v="1.9582528160995101"/>
    <n v="2E+20"/>
    <n v="0"/>
    <n v="4"/>
    <n v="3"/>
    <n v="0"/>
    <s v="Unnamed ProjectEdicao.QueueNumber WaitingQueue"/>
    <n v="50"/>
    <n v="1.2732860367273062"/>
    <n v="1.137870000737736"/>
    <n v="0.95"/>
    <n v="0.32337907617258832"/>
    <n v="0"/>
    <n v="5.3083923025689197"/>
    <n v="0.32337907617258832"/>
  </r>
  <r>
    <x v="0"/>
    <s v="2023-12-02 21:14:51"/>
    <n v="35"/>
    <x v="2"/>
    <x v="2"/>
    <x v="2"/>
    <n v="1"/>
    <n v="2E+20"/>
    <n v="0"/>
    <n v="1"/>
    <n v="1"/>
    <n v="0"/>
    <s v="Unnamed ProjectOperadorInstantaneous Utilization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35"/>
    <x v="2"/>
    <x v="3"/>
    <x v="2"/>
    <n v="1"/>
    <n v="2E+20"/>
    <n v="0"/>
    <n v="1"/>
    <n v="1"/>
    <n v="0"/>
    <s v="Unnamed ProjectOperadorNumber Busy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35"/>
    <x v="2"/>
    <x v="4"/>
    <x v="2"/>
    <n v="1"/>
    <n v="2E+20"/>
    <n v="1"/>
    <n v="1"/>
    <n v="1"/>
    <n v="0"/>
    <s v="Unnamed ProjectOperadorNumber ScheduledResource"/>
    <n v="50"/>
    <n v="1"/>
    <n v="0"/>
    <n v="0.95"/>
    <n v="0"/>
    <n v="1"/>
    <n v="1"/>
    <n v="0"/>
  </r>
  <r>
    <x v="0"/>
    <s v="2023-12-02 21:14:51"/>
    <n v="36"/>
    <x v="0"/>
    <x v="0"/>
    <x v="0"/>
    <n v="2.5695378870383099"/>
    <n v="2E+20"/>
    <n v="0"/>
    <n v="4"/>
    <n v="3"/>
    <n v="0"/>
    <s v="Unnamed ProjectArquivosWIPEntity"/>
    <n v="50"/>
    <n v="2.1996658161417075"/>
    <n v="1.1994598865431718"/>
    <n v="0.95"/>
    <n v="0.34088272804883424"/>
    <n v="0.70499985227053297"/>
    <n v="6.3083923025689197"/>
    <n v="0.34088272804883424"/>
  </r>
  <r>
    <x v="0"/>
    <s v="2023-12-02 21:14:51"/>
    <n v="36"/>
    <x v="1"/>
    <x v="1"/>
    <x v="1"/>
    <n v="1.5695378870383101"/>
    <n v="2E+20"/>
    <n v="0"/>
    <n v="3"/>
    <n v="2"/>
    <n v="0"/>
    <s v="Unnamed ProjectEdicao.QueueNumber WaitingQueue"/>
    <n v="50"/>
    <n v="1.2732860367273062"/>
    <n v="1.137870000737736"/>
    <n v="0.95"/>
    <n v="0.32337907617258832"/>
    <n v="0"/>
    <n v="5.3083923025689197"/>
    <n v="0.32337907617258832"/>
  </r>
  <r>
    <x v="0"/>
    <s v="2023-12-02 21:14:51"/>
    <n v="36"/>
    <x v="2"/>
    <x v="2"/>
    <x v="2"/>
    <n v="1"/>
    <n v="2E+20"/>
    <n v="0"/>
    <n v="1"/>
    <n v="1"/>
    <n v="0"/>
    <s v="Unnamed ProjectOperadorInstantaneous Utilization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36"/>
    <x v="2"/>
    <x v="3"/>
    <x v="2"/>
    <n v="1"/>
    <n v="2E+20"/>
    <n v="0"/>
    <n v="1"/>
    <n v="1"/>
    <n v="0"/>
    <s v="Unnamed ProjectOperadorNumber Busy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36"/>
    <x v="2"/>
    <x v="4"/>
    <x v="2"/>
    <n v="1"/>
    <n v="2E+20"/>
    <n v="1"/>
    <n v="1"/>
    <n v="1"/>
    <n v="0"/>
    <s v="Unnamed ProjectOperadorNumber ScheduledResource"/>
    <n v="50"/>
    <n v="1"/>
    <n v="0"/>
    <n v="0.95"/>
    <n v="0"/>
    <n v="1"/>
    <n v="1"/>
    <n v="0"/>
  </r>
  <r>
    <x v="0"/>
    <s v="2023-12-02 21:14:51"/>
    <n v="37"/>
    <x v="0"/>
    <x v="0"/>
    <x v="0"/>
    <n v="6.0440744204149102"/>
    <n v="2E+20"/>
    <n v="0"/>
    <n v="9"/>
    <n v="8"/>
    <n v="0"/>
    <s v="Unnamed ProjectArquivosWIPEntity"/>
    <n v="50"/>
    <n v="2.1996658161417075"/>
    <n v="1.1994598865431718"/>
    <n v="0.95"/>
    <n v="0.34088272804883424"/>
    <n v="0.70499985227053297"/>
    <n v="6.3083923025689197"/>
    <n v="0.34088272804883424"/>
  </r>
  <r>
    <x v="0"/>
    <s v="2023-12-02 21:14:51"/>
    <n v="37"/>
    <x v="1"/>
    <x v="1"/>
    <x v="1"/>
    <n v="5.0440744204149102"/>
    <n v="2E+20"/>
    <n v="0"/>
    <n v="8"/>
    <n v="7"/>
    <n v="0"/>
    <s v="Unnamed ProjectEdicao.QueueNumber WaitingQueue"/>
    <n v="50"/>
    <n v="1.2732860367273062"/>
    <n v="1.137870000737736"/>
    <n v="0.95"/>
    <n v="0.32337907617258832"/>
    <n v="0"/>
    <n v="5.3083923025689197"/>
    <n v="0.32337907617258832"/>
  </r>
  <r>
    <x v="0"/>
    <s v="2023-12-02 21:14:51"/>
    <n v="37"/>
    <x v="2"/>
    <x v="2"/>
    <x v="2"/>
    <n v="1"/>
    <n v="2E+20"/>
    <n v="0"/>
    <n v="1"/>
    <n v="1"/>
    <n v="0"/>
    <s v="Unnamed ProjectOperadorInstantaneous Utilization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37"/>
    <x v="2"/>
    <x v="3"/>
    <x v="2"/>
    <n v="1"/>
    <n v="2E+20"/>
    <n v="0"/>
    <n v="1"/>
    <n v="1"/>
    <n v="0"/>
    <s v="Unnamed ProjectOperadorNumber Busy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37"/>
    <x v="2"/>
    <x v="4"/>
    <x v="2"/>
    <n v="1"/>
    <n v="2E+20"/>
    <n v="1"/>
    <n v="1"/>
    <n v="1"/>
    <n v="0"/>
    <s v="Unnamed ProjectOperadorNumber ScheduledResource"/>
    <n v="50"/>
    <n v="1"/>
    <n v="0"/>
    <n v="0.95"/>
    <n v="0"/>
    <n v="1"/>
    <n v="1"/>
    <n v="0"/>
  </r>
  <r>
    <x v="0"/>
    <s v="2023-12-02 21:14:51"/>
    <n v="38"/>
    <x v="0"/>
    <x v="0"/>
    <x v="0"/>
    <n v="6.3083923025689197"/>
    <n v="2E+20"/>
    <n v="0"/>
    <n v="10"/>
    <n v="10"/>
    <n v="0"/>
    <s v="Unnamed ProjectArquivosWIPEntity"/>
    <n v="50"/>
    <n v="2.1996658161417075"/>
    <n v="1.1994598865431718"/>
    <n v="0.95"/>
    <n v="0.34088272804883424"/>
    <n v="0.70499985227053297"/>
    <n v="6.3083923025689197"/>
    <n v="0.34088272804883424"/>
  </r>
  <r>
    <x v="0"/>
    <s v="2023-12-02 21:14:51"/>
    <n v="38"/>
    <x v="1"/>
    <x v="1"/>
    <x v="1"/>
    <n v="5.3083923025689197"/>
    <n v="2E+20"/>
    <n v="0"/>
    <n v="9"/>
    <n v="9"/>
    <n v="0"/>
    <s v="Unnamed ProjectEdicao.QueueNumber WaitingQueue"/>
    <n v="50"/>
    <n v="1.2732860367273062"/>
    <n v="1.137870000737736"/>
    <n v="0.95"/>
    <n v="0.32337907617258832"/>
    <n v="0"/>
    <n v="5.3083923025689197"/>
    <n v="0.32337907617258832"/>
  </r>
  <r>
    <x v="0"/>
    <s v="2023-12-02 21:14:51"/>
    <n v="38"/>
    <x v="2"/>
    <x v="2"/>
    <x v="2"/>
    <n v="1"/>
    <n v="2E+20"/>
    <n v="0"/>
    <n v="1"/>
    <n v="1"/>
    <n v="0"/>
    <s v="Unnamed ProjectOperadorInstantaneous Utilization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38"/>
    <x v="2"/>
    <x v="3"/>
    <x v="2"/>
    <n v="1"/>
    <n v="2E+20"/>
    <n v="0"/>
    <n v="1"/>
    <n v="1"/>
    <n v="0"/>
    <s v="Unnamed ProjectOperadorNumber Busy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38"/>
    <x v="2"/>
    <x v="4"/>
    <x v="2"/>
    <n v="1"/>
    <n v="2E+20"/>
    <n v="1"/>
    <n v="1"/>
    <n v="1"/>
    <n v="0"/>
    <s v="Unnamed ProjectOperadorNumber ScheduledResource"/>
    <n v="50"/>
    <n v="1"/>
    <n v="0"/>
    <n v="0.95"/>
    <n v="0"/>
    <n v="1"/>
    <n v="1"/>
    <n v="0"/>
  </r>
  <r>
    <x v="0"/>
    <s v="2023-12-02 21:14:51"/>
    <n v="39"/>
    <x v="0"/>
    <x v="0"/>
    <x v="0"/>
    <n v="1.5133534562600699"/>
    <n v="2E+20"/>
    <n v="0"/>
    <n v="3"/>
    <n v="1"/>
    <n v="0"/>
    <s v="Unnamed ProjectArquivosWIPEntity"/>
    <n v="50"/>
    <n v="2.1996658161417075"/>
    <n v="1.1994598865431718"/>
    <n v="0.95"/>
    <n v="0.34088272804883424"/>
    <n v="0.70499985227053297"/>
    <n v="6.3083923025689197"/>
    <n v="0.34088272804883424"/>
  </r>
  <r>
    <x v="0"/>
    <s v="2023-12-02 21:14:51"/>
    <n v="39"/>
    <x v="1"/>
    <x v="1"/>
    <x v="1"/>
    <n v="0.76858523950177104"/>
    <n v="2E+20"/>
    <n v="0"/>
    <n v="2"/>
    <n v="0"/>
    <n v="0"/>
    <s v="Unnamed ProjectEdicao.QueueNumber WaitingQueue"/>
    <n v="50"/>
    <n v="1.2732860367273062"/>
    <n v="1.137870000737736"/>
    <n v="0.95"/>
    <n v="0.32337907617258832"/>
    <n v="0"/>
    <n v="5.3083923025689197"/>
    <n v="0.32337907617258832"/>
  </r>
  <r>
    <x v="0"/>
    <s v="2023-12-02 21:14:51"/>
    <n v="39"/>
    <x v="2"/>
    <x v="2"/>
    <x v="2"/>
    <n v="0.74476821675830196"/>
    <n v="2E+20"/>
    <n v="0"/>
    <n v="1"/>
    <n v="1"/>
    <n v="0"/>
    <s v="Unnamed ProjectOperadorInstantaneous Utilization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39"/>
    <x v="2"/>
    <x v="3"/>
    <x v="2"/>
    <n v="0.74476821675830196"/>
    <n v="2E+20"/>
    <n v="0"/>
    <n v="1"/>
    <n v="1"/>
    <n v="0"/>
    <s v="Unnamed ProjectOperadorNumber Busy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39"/>
    <x v="2"/>
    <x v="4"/>
    <x v="2"/>
    <n v="1"/>
    <n v="2E+20"/>
    <n v="1"/>
    <n v="1"/>
    <n v="1"/>
    <n v="0"/>
    <s v="Unnamed ProjectOperadorNumber ScheduledResource"/>
    <n v="50"/>
    <n v="1"/>
    <n v="0"/>
    <n v="0.95"/>
    <n v="0"/>
    <n v="1"/>
    <n v="1"/>
    <n v="0"/>
  </r>
  <r>
    <x v="0"/>
    <s v="2023-12-02 21:14:51"/>
    <n v="40"/>
    <x v="0"/>
    <x v="0"/>
    <x v="0"/>
    <n v="1.42758212520008"/>
    <n v="2E+20"/>
    <n v="0"/>
    <n v="3"/>
    <n v="2"/>
    <n v="0"/>
    <s v="Unnamed ProjectArquivosWIPEntity"/>
    <n v="50"/>
    <n v="2.1996658161417075"/>
    <n v="1.1994598865431718"/>
    <n v="0.95"/>
    <n v="0.34088272804883424"/>
    <n v="0.70499985227053297"/>
    <n v="6.3083923025689197"/>
    <n v="0.34088272804883424"/>
  </r>
  <r>
    <x v="0"/>
    <s v="2023-12-02 21:14:51"/>
    <n v="40"/>
    <x v="1"/>
    <x v="1"/>
    <x v="1"/>
    <n v="0.47683709135638003"/>
    <n v="2E+20"/>
    <n v="0"/>
    <n v="2"/>
    <n v="1"/>
    <n v="0"/>
    <s v="Unnamed ProjectEdicao.QueueNumber WaitingQueue"/>
    <n v="50"/>
    <n v="1.2732860367273062"/>
    <n v="1.137870000737736"/>
    <n v="0.95"/>
    <n v="0.32337907617258832"/>
    <n v="0"/>
    <n v="5.3083923025689197"/>
    <n v="0.32337907617258832"/>
  </r>
  <r>
    <x v="0"/>
    <s v="2023-12-02 21:14:51"/>
    <n v="40"/>
    <x v="2"/>
    <x v="2"/>
    <x v="2"/>
    <n v="0.95074503384369902"/>
    <n v="2E+20"/>
    <n v="0"/>
    <n v="1"/>
    <n v="1"/>
    <n v="0"/>
    <s v="Unnamed ProjectOperadorInstantaneous Utilization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40"/>
    <x v="2"/>
    <x v="3"/>
    <x v="2"/>
    <n v="0.95074503384369902"/>
    <n v="2E+20"/>
    <n v="0"/>
    <n v="1"/>
    <n v="1"/>
    <n v="0"/>
    <s v="Unnamed ProjectOperadorNumber Busy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40"/>
    <x v="2"/>
    <x v="4"/>
    <x v="2"/>
    <n v="1"/>
    <n v="2E+20"/>
    <n v="1"/>
    <n v="1"/>
    <n v="1"/>
    <n v="0"/>
    <s v="Unnamed ProjectOperadorNumber ScheduledResource"/>
    <n v="50"/>
    <n v="1"/>
    <n v="0"/>
    <n v="0.95"/>
    <n v="0"/>
    <n v="1"/>
    <n v="1"/>
    <n v="0"/>
  </r>
  <r>
    <x v="0"/>
    <s v="2023-12-02 21:14:51"/>
    <n v="41"/>
    <x v="0"/>
    <x v="0"/>
    <x v="0"/>
    <n v="1.07506675918338"/>
    <n v="2E+20"/>
    <n v="0"/>
    <n v="2"/>
    <n v="2"/>
    <n v="0"/>
    <s v="Unnamed ProjectArquivosWIPEntity"/>
    <n v="50"/>
    <n v="2.1996658161417075"/>
    <n v="1.1994598865431718"/>
    <n v="0.95"/>
    <n v="0.34088272804883424"/>
    <n v="0.70499985227053297"/>
    <n v="6.3083923025689197"/>
    <n v="0.34088272804883424"/>
  </r>
  <r>
    <x v="0"/>
    <s v="2023-12-02 21:14:51"/>
    <n v="41"/>
    <x v="1"/>
    <x v="1"/>
    <x v="1"/>
    <n v="0.15973723457525399"/>
    <n v="2E+20"/>
    <n v="0"/>
    <n v="1"/>
    <n v="1"/>
    <n v="0"/>
    <s v="Unnamed ProjectEdicao.QueueNumber WaitingQueue"/>
    <n v="50"/>
    <n v="1.2732860367273062"/>
    <n v="1.137870000737736"/>
    <n v="0.95"/>
    <n v="0.32337907617258832"/>
    <n v="0"/>
    <n v="5.3083923025689197"/>
    <n v="0.32337907617258832"/>
  </r>
  <r>
    <x v="0"/>
    <s v="2023-12-02 21:14:51"/>
    <n v="41"/>
    <x v="2"/>
    <x v="2"/>
    <x v="2"/>
    <n v="0.915329524608128"/>
    <n v="2E+20"/>
    <n v="0"/>
    <n v="1"/>
    <n v="1"/>
    <n v="0"/>
    <s v="Unnamed ProjectOperadorInstantaneous Utilization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41"/>
    <x v="2"/>
    <x v="3"/>
    <x v="2"/>
    <n v="0.915329524608128"/>
    <n v="2E+20"/>
    <n v="0"/>
    <n v="1"/>
    <n v="1"/>
    <n v="0"/>
    <s v="Unnamed ProjectOperadorNumber Busy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41"/>
    <x v="2"/>
    <x v="4"/>
    <x v="2"/>
    <n v="1"/>
    <n v="2E+20"/>
    <n v="1"/>
    <n v="1"/>
    <n v="1"/>
    <n v="0"/>
    <s v="Unnamed ProjectOperadorNumber ScheduledResource"/>
    <n v="50"/>
    <n v="1"/>
    <n v="0"/>
    <n v="0.95"/>
    <n v="0"/>
    <n v="1"/>
    <n v="1"/>
    <n v="0"/>
  </r>
  <r>
    <x v="0"/>
    <s v="2023-12-02 21:14:51"/>
    <n v="42"/>
    <x v="0"/>
    <x v="0"/>
    <x v="0"/>
    <n v="1.13772957222418"/>
    <n v="2E+20"/>
    <n v="0"/>
    <n v="3"/>
    <n v="2"/>
    <n v="0"/>
    <s v="Unnamed ProjectArquivosWIPEntity"/>
    <n v="50"/>
    <n v="2.1996658161417075"/>
    <n v="1.1994598865431718"/>
    <n v="0.95"/>
    <n v="0.34088272804883424"/>
    <n v="0.70499985227053297"/>
    <n v="6.3083923025689197"/>
    <n v="0.34088272804883424"/>
  </r>
  <r>
    <x v="0"/>
    <s v="2023-12-02 21:14:51"/>
    <n v="42"/>
    <x v="1"/>
    <x v="1"/>
    <x v="1"/>
    <n v="0.39610835308838799"/>
    <n v="2E+20"/>
    <n v="0"/>
    <n v="2"/>
    <n v="1"/>
    <n v="0"/>
    <s v="Unnamed ProjectEdicao.QueueNumber WaitingQueue"/>
    <n v="50"/>
    <n v="1.2732860367273062"/>
    <n v="1.137870000737736"/>
    <n v="0.95"/>
    <n v="0.32337907617258832"/>
    <n v="0"/>
    <n v="5.3083923025689197"/>
    <n v="0.32337907617258832"/>
  </r>
  <r>
    <x v="0"/>
    <s v="2023-12-02 21:14:51"/>
    <n v="42"/>
    <x v="2"/>
    <x v="2"/>
    <x v="2"/>
    <n v="0.74162121913578904"/>
    <n v="2E+20"/>
    <n v="0"/>
    <n v="1"/>
    <n v="1"/>
    <n v="0"/>
    <s v="Unnamed ProjectOperadorInstantaneous Utilization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42"/>
    <x v="2"/>
    <x v="3"/>
    <x v="2"/>
    <n v="0.74162121913578904"/>
    <n v="2E+20"/>
    <n v="0"/>
    <n v="1"/>
    <n v="1"/>
    <n v="0"/>
    <s v="Unnamed ProjectOperadorNumber Busy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42"/>
    <x v="2"/>
    <x v="4"/>
    <x v="2"/>
    <n v="1"/>
    <n v="2E+20"/>
    <n v="1"/>
    <n v="1"/>
    <n v="1"/>
    <n v="0"/>
    <s v="Unnamed ProjectOperadorNumber ScheduledResource"/>
    <n v="50"/>
    <n v="1"/>
    <n v="0"/>
    <n v="0.95"/>
    <n v="0"/>
    <n v="1"/>
    <n v="1"/>
    <n v="0"/>
  </r>
  <r>
    <x v="0"/>
    <s v="2023-12-02 21:14:51"/>
    <n v="43"/>
    <x v="0"/>
    <x v="0"/>
    <x v="0"/>
    <n v="2.06025302683401"/>
    <n v="2E+20"/>
    <n v="0"/>
    <n v="5"/>
    <n v="5"/>
    <n v="0"/>
    <s v="Unnamed ProjectArquivosWIPEntity"/>
    <n v="50"/>
    <n v="2.1996658161417075"/>
    <n v="1.1994598865431718"/>
    <n v="0.95"/>
    <n v="0.34088272804883424"/>
    <n v="0.70499985227053297"/>
    <n v="6.3083923025689197"/>
    <n v="0.34088272804883424"/>
  </r>
  <r>
    <x v="0"/>
    <s v="2023-12-02 21:14:51"/>
    <n v="43"/>
    <x v="1"/>
    <x v="1"/>
    <x v="1"/>
    <n v="1.06025302683401"/>
    <n v="2E+20"/>
    <n v="0"/>
    <n v="4"/>
    <n v="4"/>
    <n v="0"/>
    <s v="Unnamed ProjectEdicao.QueueNumber WaitingQueue"/>
    <n v="50"/>
    <n v="1.2732860367273062"/>
    <n v="1.137870000737736"/>
    <n v="0.95"/>
    <n v="0.32337907617258832"/>
    <n v="0"/>
    <n v="5.3083923025689197"/>
    <n v="0.32337907617258832"/>
  </r>
  <r>
    <x v="0"/>
    <s v="2023-12-02 21:14:51"/>
    <n v="43"/>
    <x v="2"/>
    <x v="2"/>
    <x v="2"/>
    <n v="1"/>
    <n v="2E+20"/>
    <n v="0"/>
    <n v="1"/>
    <n v="1"/>
    <n v="0"/>
    <s v="Unnamed ProjectOperadorInstantaneous Utilization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43"/>
    <x v="2"/>
    <x v="3"/>
    <x v="2"/>
    <n v="1"/>
    <n v="2E+20"/>
    <n v="0"/>
    <n v="1"/>
    <n v="1"/>
    <n v="0"/>
    <s v="Unnamed ProjectOperadorNumber Busy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43"/>
    <x v="2"/>
    <x v="4"/>
    <x v="2"/>
    <n v="1"/>
    <n v="2E+20"/>
    <n v="1"/>
    <n v="1"/>
    <n v="1"/>
    <n v="0"/>
    <s v="Unnamed ProjectOperadorNumber ScheduledResource"/>
    <n v="50"/>
    <n v="1"/>
    <n v="0"/>
    <n v="0.95"/>
    <n v="0"/>
    <n v="1"/>
    <n v="1"/>
    <n v="0"/>
  </r>
  <r>
    <x v="0"/>
    <s v="2023-12-02 21:14:51"/>
    <n v="44"/>
    <x v="0"/>
    <x v="0"/>
    <x v="0"/>
    <n v="3.6572359857077399"/>
    <n v="2E+20"/>
    <n v="0"/>
    <n v="5"/>
    <n v="4"/>
    <n v="0"/>
    <s v="Unnamed ProjectArquivosWIPEntity"/>
    <n v="50"/>
    <n v="2.1996658161417075"/>
    <n v="1.1994598865431718"/>
    <n v="0.95"/>
    <n v="0.34088272804883424"/>
    <n v="0.70499985227053297"/>
    <n v="6.3083923025689197"/>
    <n v="0.34088272804883424"/>
  </r>
  <r>
    <x v="0"/>
    <s v="2023-12-02 21:14:51"/>
    <n v="44"/>
    <x v="1"/>
    <x v="1"/>
    <x v="1"/>
    <n v="2.6572359857077399"/>
    <n v="2E+20"/>
    <n v="0"/>
    <n v="4"/>
    <n v="3"/>
    <n v="0"/>
    <s v="Unnamed ProjectEdicao.QueueNumber WaitingQueue"/>
    <n v="50"/>
    <n v="1.2732860367273062"/>
    <n v="1.137870000737736"/>
    <n v="0.95"/>
    <n v="0.32337907617258832"/>
    <n v="0"/>
    <n v="5.3083923025689197"/>
    <n v="0.32337907617258832"/>
  </r>
  <r>
    <x v="0"/>
    <s v="2023-12-02 21:14:51"/>
    <n v="44"/>
    <x v="2"/>
    <x v="2"/>
    <x v="2"/>
    <n v="1"/>
    <n v="2E+20"/>
    <n v="0"/>
    <n v="1"/>
    <n v="1"/>
    <n v="0"/>
    <s v="Unnamed ProjectOperadorInstantaneous Utilization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44"/>
    <x v="2"/>
    <x v="3"/>
    <x v="2"/>
    <n v="1"/>
    <n v="2E+20"/>
    <n v="0"/>
    <n v="1"/>
    <n v="1"/>
    <n v="0"/>
    <s v="Unnamed ProjectOperadorNumber Busy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44"/>
    <x v="2"/>
    <x v="4"/>
    <x v="2"/>
    <n v="1"/>
    <n v="2E+20"/>
    <n v="1"/>
    <n v="1"/>
    <n v="1"/>
    <n v="0"/>
    <s v="Unnamed ProjectOperadorNumber ScheduledResource"/>
    <n v="50"/>
    <n v="1"/>
    <n v="0"/>
    <n v="0.95"/>
    <n v="0"/>
    <n v="1"/>
    <n v="1"/>
    <n v="0"/>
  </r>
  <r>
    <x v="0"/>
    <s v="2023-12-02 21:14:51"/>
    <n v="45"/>
    <x v="0"/>
    <x v="0"/>
    <x v="0"/>
    <n v="0.77127828439623802"/>
    <n v="2E+20"/>
    <n v="0"/>
    <n v="2"/>
    <n v="0"/>
    <n v="0"/>
    <s v="Unnamed ProjectArquivosWIPEntity"/>
    <n v="50"/>
    <n v="2.1996658161417075"/>
    <n v="1.1994598865431718"/>
    <n v="0.95"/>
    <n v="0.34088272804883424"/>
    <n v="0.70499985227053297"/>
    <n v="6.3083923025689197"/>
    <n v="0.34088272804883424"/>
  </r>
  <r>
    <x v="0"/>
    <s v="2023-12-02 21:14:51"/>
    <n v="45"/>
    <x v="1"/>
    <x v="1"/>
    <x v="1"/>
    <n v="0.15173759778627699"/>
    <n v="2E+20"/>
    <n v="0"/>
    <n v="1"/>
    <n v="0"/>
    <n v="0"/>
    <s v="Unnamed ProjectEdicao.QueueNumber WaitingQueue"/>
    <n v="50"/>
    <n v="1.2732860367273062"/>
    <n v="1.137870000737736"/>
    <n v="0.95"/>
    <n v="0.32337907617258832"/>
    <n v="0"/>
    <n v="5.3083923025689197"/>
    <n v="0.32337907617258832"/>
  </r>
  <r>
    <x v="0"/>
    <s v="2023-12-02 21:14:51"/>
    <n v="45"/>
    <x v="2"/>
    <x v="2"/>
    <x v="2"/>
    <n v="0.61954068660996098"/>
    <n v="2E+20"/>
    <n v="0"/>
    <n v="1"/>
    <n v="0"/>
    <n v="0"/>
    <s v="Unnamed ProjectOperadorInstantaneous Utilization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45"/>
    <x v="2"/>
    <x v="3"/>
    <x v="2"/>
    <n v="0.61954068660996098"/>
    <n v="2E+20"/>
    <n v="0"/>
    <n v="1"/>
    <n v="0"/>
    <n v="0"/>
    <s v="Unnamed ProjectOperadorNumber Busy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45"/>
    <x v="2"/>
    <x v="4"/>
    <x v="2"/>
    <n v="1"/>
    <n v="2E+20"/>
    <n v="1"/>
    <n v="1"/>
    <n v="1"/>
    <n v="0"/>
    <s v="Unnamed ProjectOperadorNumber ScheduledResource"/>
    <n v="50"/>
    <n v="1"/>
    <n v="0"/>
    <n v="0.95"/>
    <n v="0"/>
    <n v="1"/>
    <n v="1"/>
    <n v="0"/>
  </r>
  <r>
    <x v="0"/>
    <s v="2023-12-02 21:14:51"/>
    <n v="46"/>
    <x v="0"/>
    <x v="0"/>
    <x v="0"/>
    <n v="0.87442101261667804"/>
    <n v="2E+20"/>
    <n v="0"/>
    <n v="3"/>
    <n v="3"/>
    <n v="0"/>
    <s v="Unnamed ProjectArquivosWIPEntity"/>
    <n v="50"/>
    <n v="2.1996658161417075"/>
    <n v="1.1994598865431718"/>
    <n v="0.95"/>
    <n v="0.34088272804883424"/>
    <n v="0.70499985227053297"/>
    <n v="6.3083923025689197"/>
    <n v="0.34088272804883424"/>
  </r>
  <r>
    <x v="0"/>
    <s v="2023-12-02 21:14:51"/>
    <n v="46"/>
    <x v="1"/>
    <x v="1"/>
    <x v="1"/>
    <n v="0.26595270839084001"/>
    <n v="2E+20"/>
    <n v="0"/>
    <n v="2"/>
    <n v="2"/>
    <n v="0"/>
    <s v="Unnamed ProjectEdicao.QueueNumber WaitingQueue"/>
    <n v="50"/>
    <n v="1.2732860367273062"/>
    <n v="1.137870000737736"/>
    <n v="0.95"/>
    <n v="0.32337907617258832"/>
    <n v="0"/>
    <n v="5.3083923025689197"/>
    <n v="0.32337907617258832"/>
  </r>
  <r>
    <x v="0"/>
    <s v="2023-12-02 21:14:51"/>
    <n v="46"/>
    <x v="2"/>
    <x v="2"/>
    <x v="2"/>
    <n v="0.60846830422583797"/>
    <n v="2E+20"/>
    <n v="0"/>
    <n v="1"/>
    <n v="1"/>
    <n v="0"/>
    <s v="Unnamed ProjectOperadorInstantaneous Utilization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46"/>
    <x v="2"/>
    <x v="3"/>
    <x v="2"/>
    <n v="0.60846830422583797"/>
    <n v="2E+20"/>
    <n v="0"/>
    <n v="1"/>
    <n v="1"/>
    <n v="0"/>
    <s v="Unnamed ProjectOperadorNumber Busy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46"/>
    <x v="2"/>
    <x v="4"/>
    <x v="2"/>
    <n v="1"/>
    <n v="2E+20"/>
    <n v="1"/>
    <n v="1"/>
    <n v="1"/>
    <n v="0"/>
    <s v="Unnamed ProjectOperadorNumber ScheduledResource"/>
    <n v="50"/>
    <n v="1"/>
    <n v="0"/>
    <n v="0.95"/>
    <n v="0"/>
    <n v="1"/>
    <n v="1"/>
    <n v="0"/>
  </r>
  <r>
    <x v="0"/>
    <s v="2023-12-02 21:14:51"/>
    <n v="47"/>
    <x v="0"/>
    <x v="0"/>
    <x v="0"/>
    <n v="2.0234023868110702"/>
    <n v="2E+20"/>
    <n v="0"/>
    <n v="3"/>
    <n v="2"/>
    <n v="0"/>
    <s v="Unnamed ProjectArquivosWIPEntity"/>
    <n v="50"/>
    <n v="2.1996658161417075"/>
    <n v="1.1994598865431718"/>
    <n v="0.95"/>
    <n v="0.34088272804883424"/>
    <n v="0.70499985227053297"/>
    <n v="6.3083923025689197"/>
    <n v="0.34088272804883424"/>
  </r>
  <r>
    <x v="0"/>
    <s v="2023-12-02 21:14:51"/>
    <n v="47"/>
    <x v="1"/>
    <x v="1"/>
    <x v="1"/>
    <n v="1.02340238681107"/>
    <n v="2E+20"/>
    <n v="0"/>
    <n v="2"/>
    <n v="1"/>
    <n v="0"/>
    <s v="Unnamed ProjectEdicao.QueueNumber WaitingQueue"/>
    <n v="50"/>
    <n v="1.2732860367273062"/>
    <n v="1.137870000737736"/>
    <n v="0.95"/>
    <n v="0.32337907617258832"/>
    <n v="0"/>
    <n v="5.3083923025689197"/>
    <n v="0.32337907617258832"/>
  </r>
  <r>
    <x v="0"/>
    <s v="2023-12-02 21:14:51"/>
    <n v="47"/>
    <x v="2"/>
    <x v="2"/>
    <x v="2"/>
    <n v="1"/>
    <n v="2E+20"/>
    <n v="0"/>
    <n v="1"/>
    <n v="1"/>
    <n v="0"/>
    <s v="Unnamed ProjectOperadorInstantaneous Utilization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47"/>
    <x v="2"/>
    <x v="3"/>
    <x v="2"/>
    <n v="1"/>
    <n v="2E+20"/>
    <n v="0"/>
    <n v="1"/>
    <n v="1"/>
    <n v="0"/>
    <s v="Unnamed ProjectOperadorNumber Busy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47"/>
    <x v="2"/>
    <x v="4"/>
    <x v="2"/>
    <n v="1"/>
    <n v="2E+20"/>
    <n v="1"/>
    <n v="1"/>
    <n v="1"/>
    <n v="0"/>
    <s v="Unnamed ProjectOperadorNumber ScheduledResource"/>
    <n v="50"/>
    <n v="1"/>
    <n v="0"/>
    <n v="0.95"/>
    <n v="0"/>
    <n v="1"/>
    <n v="1"/>
    <n v="0"/>
  </r>
  <r>
    <x v="0"/>
    <s v="2023-12-02 21:14:51"/>
    <n v="48"/>
    <x v="0"/>
    <x v="0"/>
    <x v="0"/>
    <n v="2.6337587210905902"/>
    <n v="2E+20"/>
    <n v="0"/>
    <n v="4"/>
    <n v="2"/>
    <n v="0"/>
    <s v="Unnamed ProjectArquivosWIPEntity"/>
    <n v="50"/>
    <n v="2.1996658161417075"/>
    <n v="1.1994598865431718"/>
    <n v="0.95"/>
    <n v="0.34088272804883424"/>
    <n v="0.70499985227053297"/>
    <n v="6.3083923025689197"/>
    <n v="0.34088272804883424"/>
  </r>
  <r>
    <x v="0"/>
    <s v="2023-12-02 21:14:51"/>
    <n v="48"/>
    <x v="1"/>
    <x v="1"/>
    <x v="1"/>
    <n v="1.6337587210905899"/>
    <n v="2E+20"/>
    <n v="0"/>
    <n v="3"/>
    <n v="1"/>
    <n v="0"/>
    <s v="Unnamed ProjectEdicao.QueueNumber WaitingQueue"/>
    <n v="50"/>
    <n v="1.2732860367273062"/>
    <n v="1.137870000737736"/>
    <n v="0.95"/>
    <n v="0.32337907617258832"/>
    <n v="0"/>
    <n v="5.3083923025689197"/>
    <n v="0.32337907617258832"/>
  </r>
  <r>
    <x v="0"/>
    <s v="2023-12-02 21:14:51"/>
    <n v="48"/>
    <x v="2"/>
    <x v="2"/>
    <x v="2"/>
    <n v="1"/>
    <n v="2E+20"/>
    <n v="0"/>
    <n v="1"/>
    <n v="1"/>
    <n v="0"/>
    <s v="Unnamed ProjectOperadorInstantaneous Utilization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48"/>
    <x v="2"/>
    <x v="3"/>
    <x v="2"/>
    <n v="1"/>
    <n v="2E+20"/>
    <n v="0"/>
    <n v="1"/>
    <n v="1"/>
    <n v="0"/>
    <s v="Unnamed ProjectOperadorNumber Busy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48"/>
    <x v="2"/>
    <x v="4"/>
    <x v="2"/>
    <n v="1"/>
    <n v="2E+20"/>
    <n v="1"/>
    <n v="1"/>
    <n v="1"/>
    <n v="0"/>
    <s v="Unnamed ProjectOperadorNumber ScheduledResource"/>
    <n v="50"/>
    <n v="1"/>
    <n v="0"/>
    <n v="0.95"/>
    <n v="0"/>
    <n v="1"/>
    <n v="1"/>
    <n v="0"/>
  </r>
  <r>
    <x v="0"/>
    <s v="2023-12-02 21:14:51"/>
    <n v="49"/>
    <x v="0"/>
    <x v="0"/>
    <x v="0"/>
    <n v="1.3725572360649101"/>
    <n v="2E+20"/>
    <n v="0"/>
    <n v="4"/>
    <n v="3"/>
    <n v="0"/>
    <s v="Unnamed ProjectArquivosWIPEntity"/>
    <n v="50"/>
    <n v="2.1996658161417075"/>
    <n v="1.1994598865431718"/>
    <n v="0.95"/>
    <n v="0.34088272804883424"/>
    <n v="0.70499985227053297"/>
    <n v="6.3083923025689197"/>
    <n v="0.34088272804883424"/>
  </r>
  <r>
    <x v="0"/>
    <s v="2023-12-02 21:14:51"/>
    <n v="49"/>
    <x v="1"/>
    <x v="1"/>
    <x v="1"/>
    <n v="0.59841657531000902"/>
    <n v="2E+20"/>
    <n v="0"/>
    <n v="3"/>
    <n v="2"/>
    <n v="0"/>
    <s v="Unnamed ProjectEdicao.QueueNumber WaitingQueue"/>
    <n v="50"/>
    <n v="1.2732860367273062"/>
    <n v="1.137870000737736"/>
    <n v="0.95"/>
    <n v="0.32337907617258832"/>
    <n v="0"/>
    <n v="5.3083923025689197"/>
    <n v="0.32337907617258832"/>
  </r>
  <r>
    <x v="0"/>
    <s v="2023-12-02 21:14:51"/>
    <n v="49"/>
    <x v="2"/>
    <x v="2"/>
    <x v="2"/>
    <n v="0.77414066075489796"/>
    <n v="2E+20"/>
    <n v="0"/>
    <n v="1"/>
    <n v="1"/>
    <n v="0"/>
    <s v="Unnamed ProjectOperadorInstantaneous Utilization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49"/>
    <x v="2"/>
    <x v="3"/>
    <x v="2"/>
    <n v="0.77414066075489796"/>
    <n v="2E+20"/>
    <n v="0"/>
    <n v="1"/>
    <n v="1"/>
    <n v="0"/>
    <s v="Unnamed ProjectOperadorNumber Busy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49"/>
    <x v="2"/>
    <x v="4"/>
    <x v="2"/>
    <n v="1"/>
    <n v="2E+20"/>
    <n v="1"/>
    <n v="1"/>
    <n v="1"/>
    <n v="0"/>
    <s v="Unnamed ProjectOperadorNumber ScheduledResource"/>
    <n v="50"/>
    <n v="1"/>
    <n v="0"/>
    <n v="0.95"/>
    <n v="0"/>
    <n v="1"/>
    <n v="1"/>
    <n v="0"/>
  </r>
  <r>
    <x v="0"/>
    <s v="2023-12-02 21:14:51"/>
    <n v="50"/>
    <x v="0"/>
    <x v="0"/>
    <x v="0"/>
    <n v="1.74153158121365"/>
    <n v="2E+20"/>
    <n v="0"/>
    <n v="4"/>
    <n v="3"/>
    <n v="0"/>
    <s v="Unnamed ProjectArquivosWIPEntity"/>
    <n v="50"/>
    <n v="2.1996658161417075"/>
    <n v="1.1994598865431718"/>
    <n v="0.95"/>
    <n v="0.34088272804883424"/>
    <n v="0.70499985227053297"/>
    <n v="6.3083923025689197"/>
    <n v="0.34088272804883424"/>
  </r>
  <r>
    <x v="0"/>
    <s v="2023-12-02 21:14:51"/>
    <n v="50"/>
    <x v="1"/>
    <x v="1"/>
    <x v="1"/>
    <n v="0.799251447456645"/>
    <n v="2E+20"/>
    <n v="0"/>
    <n v="3"/>
    <n v="2"/>
    <n v="0"/>
    <s v="Unnamed ProjectEdicao.QueueNumber WaitingQueue"/>
    <n v="50"/>
    <n v="1.2732860367273062"/>
    <n v="1.137870000737736"/>
    <n v="0.95"/>
    <n v="0.32337907617258832"/>
    <n v="0"/>
    <n v="5.3083923025689197"/>
    <n v="0.32337907617258832"/>
  </r>
  <r>
    <x v="0"/>
    <s v="2023-12-02 21:14:51"/>
    <n v="50"/>
    <x v="2"/>
    <x v="2"/>
    <x v="2"/>
    <n v="0.94228013375700903"/>
    <n v="2E+20"/>
    <n v="0"/>
    <n v="1"/>
    <n v="1"/>
    <n v="0"/>
    <s v="Unnamed ProjectOperadorInstantaneous Utilization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50"/>
    <x v="2"/>
    <x v="3"/>
    <x v="2"/>
    <n v="0.94228013375700903"/>
    <n v="2E+20"/>
    <n v="0"/>
    <n v="1"/>
    <n v="1"/>
    <n v="0"/>
    <s v="Unnamed ProjectOperadorNumber BusyResource"/>
    <n v="50"/>
    <n v="0.92637977941440086"/>
    <n v="0.11789675502181338"/>
    <n v="0.95"/>
    <n v="3.350588705034975E-2"/>
    <n v="0.60846830422583797"/>
    <n v="1"/>
    <n v="3.350588705034975E-2"/>
  </r>
  <r>
    <x v="0"/>
    <s v="2023-12-02 21:14:51"/>
    <n v="50"/>
    <x v="2"/>
    <x v="4"/>
    <x v="2"/>
    <n v="1"/>
    <n v="2E+20"/>
    <n v="1"/>
    <n v="1"/>
    <n v="1"/>
    <n v="0"/>
    <s v="Unnamed ProjectOperadorNumber ScheduledResource"/>
    <n v="50"/>
    <n v="1"/>
    <n v="0"/>
    <n v="0.95"/>
    <n v="0"/>
    <n v="1"/>
    <n v="1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0">
  <r>
    <x v="0"/>
    <s v="2023-12-02 21:14:51"/>
    <n v="1"/>
    <x v="0"/>
    <x v="0"/>
    <x v="0"/>
    <n v="0"/>
    <n v="2E+20"/>
    <n v="0"/>
    <n v="0"/>
    <n v="4"/>
    <s v="Unnamed ProjectArquivosNVA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1"/>
    <x v="0"/>
    <x v="1"/>
    <x v="0"/>
    <n v="0"/>
    <n v="2E+20"/>
    <n v="0"/>
    <n v="0"/>
    <n v="4"/>
    <s v="Unnamed ProjectArquivosOth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1"/>
    <x v="0"/>
    <x v="2"/>
    <x v="0"/>
    <n v="4.1635783160239797"/>
    <n v="2E+20"/>
    <n v="1.84480257228347"/>
    <n v="8.0061743568369792"/>
    <n v="4"/>
    <s v="Unnamed ProjectArquivosTotal TimeEntity"/>
    <n v="50"/>
    <n v="3.5363894499532775"/>
    <n v="1.1766434570133149"/>
    <n v="0.95"/>
    <n v="0.33439837052280896"/>
    <n v="1.6342264652107701"/>
    <n v="6.5527373550837904"/>
    <n v="0.58847912081681497"/>
    <n v="8.7476494546828292"/>
    <n v="3.62"/>
    <n v="0.33439837052280896"/>
    <n v="50"/>
    <n v="1"/>
  </r>
  <r>
    <x v="0"/>
    <s v="2023-12-02 21:14:51"/>
    <n v="1"/>
    <x v="0"/>
    <x v="3"/>
    <x v="0"/>
    <n v="0"/>
    <n v="2E+20"/>
    <n v="0"/>
    <n v="0"/>
    <n v="4"/>
    <s v="Unnamed ProjectArquivosTransf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1"/>
    <x v="0"/>
    <x v="4"/>
    <x v="0"/>
    <n v="2.2671516314848699"/>
    <n v="2E+20"/>
    <n v="0.97998077450813104"/>
    <n v="3.5851017599700601"/>
    <n v="4"/>
    <s v="Unnamed ProjectArquivosVA TimeEntity"/>
    <n v="50"/>
    <n v="2.3123810058270009"/>
    <n v="0.47735516285795621"/>
    <n v="0.95"/>
    <n v="0.13566283623888314"/>
    <n v="1.3773415743205399"/>
    <n v="3.3139161730180202"/>
    <n v="0.58847912081681497"/>
    <n v="4.9756405925629998"/>
    <n v="3.62"/>
    <n v="0.13566283623888314"/>
    <n v="50"/>
    <n v="1"/>
  </r>
  <r>
    <x v="0"/>
    <s v="2023-12-02 21:14:51"/>
    <n v="1"/>
    <x v="0"/>
    <x v="5"/>
    <x v="0"/>
    <n v="1.89642668453911"/>
    <n v="2E+20"/>
    <n v="0"/>
    <n v="4.42107259686692"/>
    <n v="4"/>
    <s v="Unnamed ProjectArquivosWait TimeEntity"/>
    <n v="50"/>
    <n v="1.2240084441262762"/>
    <n v="0.89867905452837749"/>
    <n v="0.95"/>
    <n v="0.2554017613968404"/>
    <n v="0"/>
    <n v="3.4345522286517598"/>
    <n v="0"/>
    <n v="6.7563093676697896"/>
    <n v="3.62"/>
    <n v="0.2554017613968404"/>
    <n v="50"/>
    <n v="1"/>
  </r>
  <r>
    <x v="0"/>
    <s v="2023-12-02 21:14:51"/>
    <n v="2"/>
    <x v="0"/>
    <x v="0"/>
    <x v="0"/>
    <n v="0"/>
    <n v="2E+20"/>
    <n v="0"/>
    <n v="0"/>
    <n v="3"/>
    <s v="Unnamed ProjectArquivosNVA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2"/>
    <x v="0"/>
    <x v="1"/>
    <x v="0"/>
    <n v="0"/>
    <n v="2E+20"/>
    <n v="0"/>
    <n v="0"/>
    <n v="3"/>
    <s v="Unnamed ProjectArquivosOth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2"/>
    <x v="0"/>
    <x v="2"/>
    <x v="0"/>
    <n v="6.5527373550837904"/>
    <n v="2E+20"/>
    <n v="3.76223114259854"/>
    <n v="8.0244026683825904"/>
    <n v="3"/>
    <s v="Unnamed ProjectArquivosTotal TimeEntity"/>
    <n v="50"/>
    <n v="3.5363894499532775"/>
    <n v="1.1766434570133149"/>
    <n v="0.95"/>
    <n v="0.33439837052280896"/>
    <n v="1.6342264652107701"/>
    <n v="6.5527373550837904"/>
    <n v="0.58847912081681497"/>
    <n v="8.7476494546828292"/>
    <n v="3.62"/>
    <n v="0.33439837052280896"/>
    <n v="50"/>
    <n v="1"/>
  </r>
  <r>
    <x v="0"/>
    <s v="2023-12-02 21:14:51"/>
    <n v="2"/>
    <x v="0"/>
    <x v="3"/>
    <x v="0"/>
    <n v="0"/>
    <n v="2E+20"/>
    <n v="0"/>
    <n v="0"/>
    <n v="3"/>
    <s v="Unnamed ProjectArquivosTransf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2"/>
    <x v="0"/>
    <x v="4"/>
    <x v="0"/>
    <n v="3.1181851264320302"/>
    <n v="2E+20"/>
    <n v="1.2680933007127999"/>
    <n v="4.3242309359847502"/>
    <n v="3"/>
    <s v="Unnamed ProjectArquivosVA TimeEntity"/>
    <n v="50"/>
    <n v="2.3123810058270009"/>
    <n v="0.47735516285795621"/>
    <n v="0.95"/>
    <n v="0.13566283623888314"/>
    <n v="1.3773415743205399"/>
    <n v="3.3139161730180202"/>
    <n v="0.58847912081681497"/>
    <n v="4.9756405925629998"/>
    <n v="3.62"/>
    <n v="0.13566283623888314"/>
    <n v="50"/>
    <n v="1"/>
  </r>
  <r>
    <x v="0"/>
    <s v="2023-12-02 21:14:51"/>
    <n v="2"/>
    <x v="0"/>
    <x v="5"/>
    <x v="0"/>
    <n v="3.4345522286517598"/>
    <n v="2E+20"/>
    <n v="0"/>
    <n v="6.7563093676697896"/>
    <n v="3"/>
    <s v="Unnamed ProjectArquivosWait TimeEntity"/>
    <n v="50"/>
    <n v="1.2240084441262762"/>
    <n v="0.89867905452837749"/>
    <n v="0.95"/>
    <n v="0.2554017613968404"/>
    <n v="0"/>
    <n v="3.4345522286517598"/>
    <n v="0"/>
    <n v="6.7563093676697896"/>
    <n v="3.62"/>
    <n v="0.2554017613968404"/>
    <n v="50"/>
    <n v="1"/>
  </r>
  <r>
    <x v="0"/>
    <s v="2023-12-02 21:14:51"/>
    <n v="3"/>
    <x v="0"/>
    <x v="0"/>
    <x v="0"/>
    <n v="0"/>
    <n v="2E+20"/>
    <n v="0"/>
    <n v="0"/>
    <n v="4"/>
    <s v="Unnamed ProjectArquivosNVA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3"/>
    <x v="0"/>
    <x v="1"/>
    <x v="0"/>
    <n v="0"/>
    <n v="2E+20"/>
    <n v="0"/>
    <n v="0"/>
    <n v="4"/>
    <s v="Unnamed ProjectArquivosOth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3"/>
    <x v="0"/>
    <x v="2"/>
    <x v="0"/>
    <n v="3.4074389423768601"/>
    <n v="2E+20"/>
    <n v="0.98492986563744001"/>
    <n v="5.6552599781552901"/>
    <n v="4"/>
    <s v="Unnamed ProjectArquivosTotal TimeEntity"/>
    <n v="50"/>
    <n v="3.5363894499532775"/>
    <n v="1.1766434570133149"/>
    <n v="0.95"/>
    <n v="0.33439837052280896"/>
    <n v="1.6342264652107701"/>
    <n v="6.5527373550837904"/>
    <n v="0.58847912081681497"/>
    <n v="8.7476494546828292"/>
    <n v="3.62"/>
    <n v="0.33439837052280896"/>
    <n v="50"/>
    <n v="1"/>
  </r>
  <r>
    <x v="0"/>
    <s v="2023-12-02 21:14:51"/>
    <n v="3"/>
    <x v="0"/>
    <x v="3"/>
    <x v="0"/>
    <n v="0"/>
    <n v="2E+20"/>
    <n v="0"/>
    <n v="0"/>
    <n v="4"/>
    <s v="Unnamed ProjectArquivosTransf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3"/>
    <x v="0"/>
    <x v="4"/>
    <x v="0"/>
    <n v="2.0555030133600298"/>
    <n v="2E+20"/>
    <n v="0.98492986563744001"/>
    <n v="3.5277200591084901"/>
    <n v="4"/>
    <s v="Unnamed ProjectArquivosVA TimeEntity"/>
    <n v="50"/>
    <n v="2.3123810058270009"/>
    <n v="0.47735516285795621"/>
    <n v="0.95"/>
    <n v="0.13566283623888314"/>
    <n v="1.3773415743205399"/>
    <n v="3.3139161730180202"/>
    <n v="0.58847912081681497"/>
    <n v="4.9756405925629998"/>
    <n v="3.62"/>
    <n v="0.13566283623888314"/>
    <n v="50"/>
    <n v="1"/>
  </r>
  <r>
    <x v="0"/>
    <s v="2023-12-02 21:14:51"/>
    <n v="3"/>
    <x v="0"/>
    <x v="5"/>
    <x v="0"/>
    <n v="1.35193592901684"/>
    <n v="2E+20"/>
    <n v="0"/>
    <n v="3.67941518666836"/>
    <n v="4"/>
    <s v="Unnamed ProjectArquivosWait TimeEntity"/>
    <n v="50"/>
    <n v="1.2240084441262762"/>
    <n v="0.89867905452837749"/>
    <n v="0.95"/>
    <n v="0.2554017613968404"/>
    <n v="0"/>
    <n v="3.4345522286517598"/>
    <n v="0"/>
    <n v="6.7563093676697896"/>
    <n v="3.62"/>
    <n v="0.2554017613968404"/>
    <n v="50"/>
    <n v="1"/>
  </r>
  <r>
    <x v="0"/>
    <s v="2023-12-02 21:14:51"/>
    <n v="4"/>
    <x v="0"/>
    <x v="0"/>
    <x v="0"/>
    <n v="0"/>
    <n v="2E+20"/>
    <n v="0"/>
    <n v="0"/>
    <n v="3"/>
    <s v="Unnamed ProjectArquivosNVA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4"/>
    <x v="0"/>
    <x v="1"/>
    <x v="0"/>
    <n v="0"/>
    <n v="2E+20"/>
    <n v="0"/>
    <n v="0"/>
    <n v="3"/>
    <s v="Unnamed ProjectArquivosOth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4"/>
    <x v="0"/>
    <x v="2"/>
    <x v="0"/>
    <n v="4.8365053343453397"/>
    <n v="2E+20"/>
    <n v="4.4245559357850004"/>
    <n v="5.1093194746880304"/>
    <n v="3"/>
    <s v="Unnamed ProjectArquivosTotal TimeEntity"/>
    <n v="50"/>
    <n v="3.5363894499532775"/>
    <n v="1.1766434570133149"/>
    <n v="0.95"/>
    <n v="0.33439837052280896"/>
    <n v="1.6342264652107701"/>
    <n v="6.5527373550837904"/>
    <n v="0.58847912081681497"/>
    <n v="8.7476494546828292"/>
    <n v="3.62"/>
    <n v="0.33439837052280896"/>
    <n v="50"/>
    <n v="1"/>
  </r>
  <r>
    <x v="0"/>
    <s v="2023-12-02 21:14:51"/>
    <n v="4"/>
    <x v="0"/>
    <x v="3"/>
    <x v="0"/>
    <n v="0"/>
    <n v="2E+20"/>
    <n v="0"/>
    <n v="0"/>
    <n v="3"/>
    <s v="Unnamed ProjectArquivosTransf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4"/>
    <x v="0"/>
    <x v="4"/>
    <x v="0"/>
    <n v="3.0407380326881102"/>
    <n v="2E+20"/>
    <n v="1.12276356208226"/>
    <n v="4.9756405925629998"/>
    <n v="3"/>
    <s v="Unnamed ProjectArquivosVA TimeEntity"/>
    <n v="50"/>
    <n v="2.3123810058270009"/>
    <n v="0.47735516285795621"/>
    <n v="0.95"/>
    <n v="0.13566283623888314"/>
    <n v="1.3773415743205399"/>
    <n v="3.3139161730180202"/>
    <n v="0.58847912081681497"/>
    <n v="4.9756405925629998"/>
    <n v="3.62"/>
    <n v="0.13566283623888314"/>
    <n v="50"/>
    <n v="1"/>
  </r>
  <r>
    <x v="0"/>
    <s v="2023-12-02 21:14:51"/>
    <n v="4"/>
    <x v="0"/>
    <x v="5"/>
    <x v="0"/>
    <n v="1.79576730165723"/>
    <n v="2E+20"/>
    <n v="0"/>
    <n v="3.9865559126057701"/>
    <n v="3"/>
    <s v="Unnamed ProjectArquivosWait TimeEntity"/>
    <n v="50"/>
    <n v="1.2240084441262762"/>
    <n v="0.89867905452837749"/>
    <n v="0.95"/>
    <n v="0.2554017613968404"/>
    <n v="0"/>
    <n v="3.4345522286517598"/>
    <n v="0"/>
    <n v="6.7563093676697896"/>
    <n v="3.62"/>
    <n v="0.2554017613968404"/>
    <n v="50"/>
    <n v="1"/>
  </r>
  <r>
    <x v="0"/>
    <s v="2023-12-02 21:14:51"/>
    <n v="5"/>
    <x v="0"/>
    <x v="0"/>
    <x v="0"/>
    <n v="0"/>
    <n v="2E+20"/>
    <n v="0"/>
    <n v="0"/>
    <n v="4"/>
    <s v="Unnamed ProjectArquivosNVA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5"/>
    <x v="0"/>
    <x v="1"/>
    <x v="0"/>
    <n v="0"/>
    <n v="2E+20"/>
    <n v="0"/>
    <n v="0"/>
    <n v="4"/>
    <s v="Unnamed ProjectArquivosOth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5"/>
    <x v="0"/>
    <x v="2"/>
    <x v="0"/>
    <n v="3.00567689679063"/>
    <n v="2E+20"/>
    <n v="2.17137588772359"/>
    <n v="3.7338846304381001"/>
    <n v="4"/>
    <s v="Unnamed ProjectArquivosTotal TimeEntity"/>
    <n v="50"/>
    <n v="3.5363894499532775"/>
    <n v="1.1766434570133149"/>
    <n v="0.95"/>
    <n v="0.33439837052280896"/>
    <n v="1.6342264652107701"/>
    <n v="6.5527373550837904"/>
    <n v="0.58847912081681497"/>
    <n v="8.7476494546828292"/>
    <n v="3.62"/>
    <n v="0.33439837052280896"/>
    <n v="50"/>
    <n v="1"/>
  </r>
  <r>
    <x v="0"/>
    <s v="2023-12-02 21:14:51"/>
    <n v="5"/>
    <x v="0"/>
    <x v="3"/>
    <x v="0"/>
    <n v="0"/>
    <n v="2E+20"/>
    <n v="0"/>
    <n v="0"/>
    <n v="4"/>
    <s v="Unnamed ProjectArquivosTransf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5"/>
    <x v="0"/>
    <x v="4"/>
    <x v="0"/>
    <n v="2.3732010757280899"/>
    <n v="2E+20"/>
    <n v="1.8534794621861499"/>
    <n v="3.6972043382109301"/>
    <n v="4"/>
    <s v="Unnamed ProjectArquivosVA TimeEntity"/>
    <n v="50"/>
    <n v="2.3123810058270009"/>
    <n v="0.47735516285795621"/>
    <n v="0.95"/>
    <n v="0.13566283623888314"/>
    <n v="1.3773415743205399"/>
    <n v="3.3139161730180202"/>
    <n v="0.58847912081681497"/>
    <n v="4.9756405925629998"/>
    <n v="3.62"/>
    <n v="0.13566283623888314"/>
    <n v="50"/>
    <n v="1"/>
  </r>
  <r>
    <x v="0"/>
    <s v="2023-12-02 21:14:51"/>
    <n v="5"/>
    <x v="0"/>
    <x v="5"/>
    <x v="0"/>
    <n v="0.63247582106253697"/>
    <n v="2E+20"/>
    <n v="0"/>
    <n v="1.79526454317809"/>
    <n v="4"/>
    <s v="Unnamed ProjectArquivosWait TimeEntity"/>
    <n v="50"/>
    <n v="1.2240084441262762"/>
    <n v="0.89867905452837749"/>
    <n v="0.95"/>
    <n v="0.2554017613968404"/>
    <n v="0"/>
    <n v="3.4345522286517598"/>
    <n v="0"/>
    <n v="6.7563093676697896"/>
    <n v="3.62"/>
    <n v="0.2554017613968404"/>
    <n v="50"/>
    <n v="1"/>
  </r>
  <r>
    <x v="0"/>
    <s v="2023-12-02 21:14:51"/>
    <n v="6"/>
    <x v="0"/>
    <x v="0"/>
    <x v="0"/>
    <n v="0"/>
    <n v="2E+20"/>
    <n v="0"/>
    <n v="0"/>
    <n v="3"/>
    <s v="Unnamed ProjectArquivosNVA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6"/>
    <x v="0"/>
    <x v="1"/>
    <x v="0"/>
    <n v="0"/>
    <n v="2E+20"/>
    <n v="0"/>
    <n v="0"/>
    <n v="3"/>
    <s v="Unnamed ProjectArquivosOth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6"/>
    <x v="0"/>
    <x v="2"/>
    <x v="0"/>
    <n v="4.6092928949337004"/>
    <n v="2E+20"/>
    <n v="3.4924475524558298"/>
    <n v="5.6203120754760203"/>
    <n v="3"/>
    <s v="Unnamed ProjectArquivosTotal TimeEntity"/>
    <n v="50"/>
    <n v="3.5363894499532775"/>
    <n v="1.1766434570133149"/>
    <n v="0.95"/>
    <n v="0.33439837052280896"/>
    <n v="1.6342264652107701"/>
    <n v="6.5527373550837904"/>
    <n v="0.58847912081681497"/>
    <n v="8.7476494546828292"/>
    <n v="3.62"/>
    <n v="0.33439837052280896"/>
    <n v="50"/>
    <n v="1"/>
  </r>
  <r>
    <x v="0"/>
    <s v="2023-12-02 21:14:51"/>
    <n v="6"/>
    <x v="0"/>
    <x v="3"/>
    <x v="0"/>
    <n v="0"/>
    <n v="2E+20"/>
    <n v="0"/>
    <n v="0"/>
    <n v="3"/>
    <s v="Unnamed ProjectArquivosTransf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6"/>
    <x v="0"/>
    <x v="4"/>
    <x v="0"/>
    <n v="2.64097006988206"/>
    <n v="2E+20"/>
    <n v="1.8790225278809201"/>
    <n v="3.4924475524558298"/>
    <n v="3"/>
    <s v="Unnamed ProjectArquivosVA TimeEntity"/>
    <n v="50"/>
    <n v="2.3123810058270009"/>
    <n v="0.47735516285795621"/>
    <n v="0.95"/>
    <n v="0.13566283623888314"/>
    <n v="1.3773415743205399"/>
    <n v="3.3139161730180202"/>
    <n v="0.58847912081681497"/>
    <n v="4.9756405925629998"/>
    <n v="3.62"/>
    <n v="0.13566283623888314"/>
    <n v="50"/>
    <n v="1"/>
  </r>
  <r>
    <x v="0"/>
    <s v="2023-12-02 21:14:51"/>
    <n v="6"/>
    <x v="0"/>
    <x v="5"/>
    <x v="0"/>
    <n v="1.96832282505164"/>
    <n v="2E+20"/>
    <n v="0"/>
    <n v="3.0688719461665999"/>
    <n v="3"/>
    <s v="Unnamed ProjectArquivosWait TimeEntity"/>
    <n v="50"/>
    <n v="1.2240084441262762"/>
    <n v="0.89867905452837749"/>
    <n v="0.95"/>
    <n v="0.2554017613968404"/>
    <n v="0"/>
    <n v="3.4345522286517598"/>
    <n v="0"/>
    <n v="6.7563093676697896"/>
    <n v="3.62"/>
    <n v="0.2554017613968404"/>
    <n v="50"/>
    <n v="1"/>
  </r>
  <r>
    <x v="0"/>
    <s v="2023-12-02 21:14:51"/>
    <n v="7"/>
    <x v="0"/>
    <x v="0"/>
    <x v="0"/>
    <n v="0"/>
    <n v="2E+20"/>
    <n v="0"/>
    <n v="0"/>
    <n v="3"/>
    <s v="Unnamed ProjectArquivosNVA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7"/>
    <x v="0"/>
    <x v="1"/>
    <x v="0"/>
    <n v="0"/>
    <n v="2E+20"/>
    <n v="0"/>
    <n v="0"/>
    <n v="3"/>
    <s v="Unnamed ProjectArquivosOth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7"/>
    <x v="0"/>
    <x v="2"/>
    <x v="0"/>
    <n v="5.0890839822825296"/>
    <n v="2E+20"/>
    <n v="4.0612268823992501"/>
    <n v="6.999334863713"/>
    <n v="3"/>
    <s v="Unnamed ProjectArquivosTotal TimeEntity"/>
    <n v="50"/>
    <n v="3.5363894499532775"/>
    <n v="1.1766434570133149"/>
    <n v="0.95"/>
    <n v="0.33439837052280896"/>
    <n v="1.6342264652107701"/>
    <n v="6.5527373550837904"/>
    <n v="0.58847912081681497"/>
    <n v="8.7476494546828292"/>
    <n v="3.62"/>
    <n v="0.33439837052280896"/>
    <n v="50"/>
    <n v="1"/>
  </r>
  <r>
    <x v="0"/>
    <s v="2023-12-02 21:14:51"/>
    <n v="7"/>
    <x v="0"/>
    <x v="3"/>
    <x v="0"/>
    <n v="0"/>
    <n v="2E+20"/>
    <n v="0"/>
    <n v="0"/>
    <n v="3"/>
    <s v="Unnamed ProjectArquivosTransf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7"/>
    <x v="0"/>
    <x v="4"/>
    <x v="0"/>
    <n v="2.9672594556985601"/>
    <n v="2E+20"/>
    <n v="1.8384370766778899"/>
    <n v="4.0612268823992501"/>
    <n v="3"/>
    <s v="Unnamed ProjectArquivosVA TimeEntity"/>
    <n v="50"/>
    <n v="2.3123810058270009"/>
    <n v="0.47735516285795621"/>
    <n v="0.95"/>
    <n v="0.13566283623888314"/>
    <n v="1.3773415743205399"/>
    <n v="3.3139161730180202"/>
    <n v="0.58847912081681497"/>
    <n v="4.9756405925629998"/>
    <n v="3.62"/>
    <n v="0.13566283623888314"/>
    <n v="50"/>
    <n v="1"/>
  </r>
  <r>
    <x v="0"/>
    <s v="2023-12-02 21:14:51"/>
    <n v="7"/>
    <x v="0"/>
    <x v="5"/>
    <x v="0"/>
    <n v="2.1218245265839601"/>
    <n v="2E+20"/>
    <n v="0"/>
    <n v="3.99722045569444"/>
    <n v="3"/>
    <s v="Unnamed ProjectArquivosWait TimeEntity"/>
    <n v="50"/>
    <n v="1.2240084441262762"/>
    <n v="0.89867905452837749"/>
    <n v="0.95"/>
    <n v="0.2554017613968404"/>
    <n v="0"/>
    <n v="3.4345522286517598"/>
    <n v="0"/>
    <n v="6.7563093676697896"/>
    <n v="3.62"/>
    <n v="0.2554017613968404"/>
    <n v="50"/>
    <n v="1"/>
  </r>
  <r>
    <x v="0"/>
    <s v="2023-12-02 21:14:51"/>
    <n v="8"/>
    <x v="0"/>
    <x v="0"/>
    <x v="0"/>
    <n v="0"/>
    <n v="2E+20"/>
    <n v="0"/>
    <n v="0"/>
    <n v="3"/>
    <s v="Unnamed ProjectArquivosNVA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8"/>
    <x v="0"/>
    <x v="1"/>
    <x v="0"/>
    <n v="0"/>
    <n v="2E+20"/>
    <n v="0"/>
    <n v="0"/>
    <n v="3"/>
    <s v="Unnamed ProjectArquivosOth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8"/>
    <x v="0"/>
    <x v="2"/>
    <x v="0"/>
    <n v="4.4936910633692504"/>
    <n v="2E+20"/>
    <n v="1.16640805612146"/>
    <n v="7.4043150058510099"/>
    <n v="3"/>
    <s v="Unnamed ProjectArquivosTotal TimeEntity"/>
    <n v="50"/>
    <n v="3.5363894499532775"/>
    <n v="1.1766434570133149"/>
    <n v="0.95"/>
    <n v="0.33439837052280896"/>
    <n v="1.6342264652107701"/>
    <n v="6.5527373550837904"/>
    <n v="0.58847912081681497"/>
    <n v="8.7476494546828292"/>
    <n v="3.62"/>
    <n v="0.33439837052280896"/>
    <n v="50"/>
    <n v="1"/>
  </r>
  <r>
    <x v="0"/>
    <s v="2023-12-02 21:14:51"/>
    <n v="8"/>
    <x v="0"/>
    <x v="3"/>
    <x v="0"/>
    <n v="0"/>
    <n v="2E+20"/>
    <n v="0"/>
    <n v="0"/>
    <n v="3"/>
    <s v="Unnamed ProjectArquivosTransf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8"/>
    <x v="0"/>
    <x v="4"/>
    <x v="0"/>
    <n v="2.8201739267431698"/>
    <n v="2E+20"/>
    <n v="1.16640805612146"/>
    <n v="4.3065343431047296"/>
    <n v="3"/>
    <s v="Unnamed ProjectArquivosVA TimeEntity"/>
    <n v="50"/>
    <n v="2.3123810058270009"/>
    <n v="0.47735516285795621"/>
    <n v="0.95"/>
    <n v="0.13566283623888314"/>
    <n v="1.3773415743205399"/>
    <n v="3.3139161730180202"/>
    <n v="0.58847912081681497"/>
    <n v="4.9756405925629998"/>
    <n v="3.62"/>
    <n v="0.13566283623888314"/>
    <n v="50"/>
    <n v="1"/>
  </r>
  <r>
    <x v="0"/>
    <s v="2023-12-02 21:14:51"/>
    <n v="8"/>
    <x v="0"/>
    <x v="5"/>
    <x v="0"/>
    <n v="1.6735171366260799"/>
    <n v="2E+20"/>
    <n v="0"/>
    <n v="4.4167356248476803"/>
    <n v="3"/>
    <s v="Unnamed ProjectArquivosWait TimeEntity"/>
    <n v="50"/>
    <n v="1.2240084441262762"/>
    <n v="0.89867905452837749"/>
    <n v="0.95"/>
    <n v="0.2554017613968404"/>
    <n v="0"/>
    <n v="3.4345522286517598"/>
    <n v="0"/>
    <n v="6.7563093676697896"/>
    <n v="3.62"/>
    <n v="0.2554017613968404"/>
    <n v="50"/>
    <n v="1"/>
  </r>
  <r>
    <x v="0"/>
    <s v="2023-12-02 21:14:51"/>
    <n v="9"/>
    <x v="0"/>
    <x v="0"/>
    <x v="0"/>
    <n v="0"/>
    <n v="2E+20"/>
    <n v="0"/>
    <n v="0"/>
    <n v="4"/>
    <s v="Unnamed ProjectArquivosNVA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9"/>
    <x v="0"/>
    <x v="1"/>
    <x v="0"/>
    <n v="0"/>
    <n v="2E+20"/>
    <n v="0"/>
    <n v="0"/>
    <n v="4"/>
    <s v="Unnamed ProjectArquivosOth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9"/>
    <x v="0"/>
    <x v="2"/>
    <x v="0"/>
    <n v="2.8244682697425101"/>
    <n v="2E+20"/>
    <n v="0.58847912081681497"/>
    <n v="4.9787270367994996"/>
    <n v="4"/>
    <s v="Unnamed ProjectArquivosTotal TimeEntity"/>
    <n v="50"/>
    <n v="3.5363894499532775"/>
    <n v="1.1766434570133149"/>
    <n v="0.95"/>
    <n v="0.33439837052280896"/>
    <n v="1.6342264652107701"/>
    <n v="6.5527373550837904"/>
    <n v="0.58847912081681497"/>
    <n v="8.7476494546828292"/>
    <n v="3.62"/>
    <n v="0.33439837052280896"/>
    <n v="50"/>
    <n v="1"/>
  </r>
  <r>
    <x v="0"/>
    <s v="2023-12-02 21:14:51"/>
    <n v="9"/>
    <x v="0"/>
    <x v="3"/>
    <x v="0"/>
    <n v="0"/>
    <n v="2E+20"/>
    <n v="0"/>
    <n v="0"/>
    <n v="4"/>
    <s v="Unnamed ProjectArquivosTransf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9"/>
    <x v="0"/>
    <x v="4"/>
    <x v="0"/>
    <n v="2.22683909513208"/>
    <n v="2E+20"/>
    <n v="0.58847912081681497"/>
    <n v="3.2771097770767099"/>
    <n v="4"/>
    <s v="Unnamed ProjectArquivosVA TimeEntity"/>
    <n v="50"/>
    <n v="2.3123810058270009"/>
    <n v="0.47735516285795621"/>
    <n v="0.95"/>
    <n v="0.13566283623888314"/>
    <n v="1.3773415743205399"/>
    <n v="3.3139161730180202"/>
    <n v="0.58847912081681497"/>
    <n v="4.9756405925629998"/>
    <n v="3.62"/>
    <n v="0.13566283623888314"/>
    <n v="50"/>
    <n v="1"/>
  </r>
  <r>
    <x v="0"/>
    <s v="2023-12-02 21:14:51"/>
    <n v="9"/>
    <x v="0"/>
    <x v="5"/>
    <x v="0"/>
    <n v="0.59762917461042597"/>
    <n v="2E+20"/>
    <n v="0"/>
    <n v="2.3905166984417101"/>
    <n v="4"/>
    <s v="Unnamed ProjectArquivosWait TimeEntity"/>
    <n v="50"/>
    <n v="1.2240084441262762"/>
    <n v="0.89867905452837749"/>
    <n v="0.95"/>
    <n v="0.2554017613968404"/>
    <n v="0"/>
    <n v="3.4345522286517598"/>
    <n v="0"/>
    <n v="6.7563093676697896"/>
    <n v="3.62"/>
    <n v="0.2554017613968404"/>
    <n v="50"/>
    <n v="1"/>
  </r>
  <r>
    <x v="0"/>
    <s v="2023-12-02 21:14:51"/>
    <n v="10"/>
    <x v="0"/>
    <x v="0"/>
    <x v="0"/>
    <n v="0"/>
    <n v="2E+20"/>
    <n v="0"/>
    <n v="0"/>
    <n v="3"/>
    <s v="Unnamed ProjectArquivosNVA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10"/>
    <x v="0"/>
    <x v="1"/>
    <x v="0"/>
    <n v="0"/>
    <n v="2E+20"/>
    <n v="0"/>
    <n v="0"/>
    <n v="3"/>
    <s v="Unnamed ProjectArquivosOth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10"/>
    <x v="0"/>
    <x v="2"/>
    <x v="0"/>
    <n v="3.0993629821480102"/>
    <n v="2E+20"/>
    <n v="2.0324901054279199"/>
    <n v="3.9923356744359202"/>
    <n v="3"/>
    <s v="Unnamed ProjectArquivosTotal TimeEntity"/>
    <n v="50"/>
    <n v="3.5363894499532775"/>
    <n v="1.1766434570133149"/>
    <n v="0.95"/>
    <n v="0.33439837052280896"/>
    <n v="1.6342264652107701"/>
    <n v="6.5527373550837904"/>
    <n v="0.58847912081681497"/>
    <n v="8.7476494546828292"/>
    <n v="3.62"/>
    <n v="0.33439837052280896"/>
    <n v="50"/>
    <n v="1"/>
  </r>
  <r>
    <x v="0"/>
    <s v="2023-12-02 21:14:51"/>
    <n v="10"/>
    <x v="0"/>
    <x v="3"/>
    <x v="0"/>
    <n v="0"/>
    <n v="2E+20"/>
    <n v="0"/>
    <n v="0"/>
    <n v="3"/>
    <s v="Unnamed ProjectArquivosTransf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10"/>
    <x v="0"/>
    <x v="4"/>
    <x v="0"/>
    <n v="2.5217787861430301"/>
    <n v="2E+20"/>
    <n v="2.0324901054279199"/>
    <n v="3.2462355300415999"/>
    <n v="3"/>
    <s v="Unnamed ProjectArquivosVA TimeEntity"/>
    <n v="50"/>
    <n v="2.3123810058270009"/>
    <n v="0.47735516285795621"/>
    <n v="0.95"/>
    <n v="0.13566283623888314"/>
    <n v="1.3773415743205399"/>
    <n v="3.3139161730180202"/>
    <n v="0.58847912081681497"/>
    <n v="4.9756405925629998"/>
    <n v="3.62"/>
    <n v="0.13566283623888314"/>
    <n v="50"/>
    <n v="1"/>
  </r>
  <r>
    <x v="0"/>
    <s v="2023-12-02 21:14:51"/>
    <n v="10"/>
    <x v="0"/>
    <x v="5"/>
    <x v="0"/>
    <n v="0.57758419600497701"/>
    <n v="2E+20"/>
    <n v="0"/>
    <n v="0.98665244362061399"/>
    <n v="3"/>
    <s v="Unnamed ProjectArquivosWait TimeEntity"/>
    <n v="50"/>
    <n v="1.2240084441262762"/>
    <n v="0.89867905452837749"/>
    <n v="0.95"/>
    <n v="0.2554017613968404"/>
    <n v="0"/>
    <n v="3.4345522286517598"/>
    <n v="0"/>
    <n v="6.7563093676697896"/>
    <n v="3.62"/>
    <n v="0.2554017613968404"/>
    <n v="50"/>
    <n v="1"/>
  </r>
  <r>
    <x v="0"/>
    <s v="2023-12-02 21:14:51"/>
    <n v="11"/>
    <x v="0"/>
    <x v="0"/>
    <x v="0"/>
    <n v="0"/>
    <n v="2E+20"/>
    <n v="0"/>
    <n v="0"/>
    <n v="4"/>
    <s v="Unnamed ProjectArquivosNVA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11"/>
    <x v="0"/>
    <x v="1"/>
    <x v="0"/>
    <n v="0"/>
    <n v="2E+20"/>
    <n v="0"/>
    <n v="0"/>
    <n v="4"/>
    <s v="Unnamed ProjectArquivosOth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11"/>
    <x v="0"/>
    <x v="2"/>
    <x v="0"/>
    <n v="2.6694529888996801"/>
    <n v="2E+20"/>
    <n v="1.2865495737068999"/>
    <n v="4.0748608873408596"/>
    <n v="4"/>
    <s v="Unnamed ProjectArquivosTotal TimeEntity"/>
    <n v="50"/>
    <n v="3.5363894499532775"/>
    <n v="1.1766434570133149"/>
    <n v="0.95"/>
    <n v="0.33439837052280896"/>
    <n v="1.6342264652107701"/>
    <n v="6.5527373550837904"/>
    <n v="0.58847912081681497"/>
    <n v="8.7476494546828292"/>
    <n v="3.62"/>
    <n v="0.33439837052280896"/>
    <n v="50"/>
    <n v="1"/>
  </r>
  <r>
    <x v="0"/>
    <s v="2023-12-02 21:14:51"/>
    <n v="11"/>
    <x v="0"/>
    <x v="3"/>
    <x v="0"/>
    <n v="0"/>
    <n v="2E+20"/>
    <n v="0"/>
    <n v="0"/>
    <n v="4"/>
    <s v="Unnamed ProjectArquivosTransf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11"/>
    <x v="0"/>
    <x v="4"/>
    <x v="0"/>
    <n v="2.0105589102024299"/>
    <n v="2E+20"/>
    <n v="1.2319650874589301"/>
    <n v="2.7765591242421599"/>
    <n v="4"/>
    <s v="Unnamed ProjectArquivosVA TimeEntity"/>
    <n v="50"/>
    <n v="2.3123810058270009"/>
    <n v="0.47735516285795621"/>
    <n v="0.95"/>
    <n v="0.13566283623888314"/>
    <n v="1.3773415743205399"/>
    <n v="3.3139161730180202"/>
    <n v="0.58847912081681497"/>
    <n v="4.9756405925629998"/>
    <n v="3.62"/>
    <n v="0.13566283623888314"/>
    <n v="50"/>
    <n v="1"/>
  </r>
  <r>
    <x v="0"/>
    <s v="2023-12-02 21:14:51"/>
    <n v="11"/>
    <x v="0"/>
    <x v="5"/>
    <x v="0"/>
    <n v="0.65889407869724503"/>
    <n v="2E+20"/>
    <n v="0"/>
    <n v="2.3737723369045098"/>
    <n v="4"/>
    <s v="Unnamed ProjectArquivosWait TimeEntity"/>
    <n v="50"/>
    <n v="1.2240084441262762"/>
    <n v="0.89867905452837749"/>
    <n v="0.95"/>
    <n v="0.2554017613968404"/>
    <n v="0"/>
    <n v="3.4345522286517598"/>
    <n v="0"/>
    <n v="6.7563093676697896"/>
    <n v="3.62"/>
    <n v="0.2554017613968404"/>
    <n v="50"/>
    <n v="1"/>
  </r>
  <r>
    <x v="0"/>
    <s v="2023-12-02 21:14:51"/>
    <n v="12"/>
    <x v="0"/>
    <x v="0"/>
    <x v="0"/>
    <n v="0"/>
    <n v="2E+20"/>
    <n v="0"/>
    <n v="0"/>
    <n v="4"/>
    <s v="Unnamed ProjectArquivosNVA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12"/>
    <x v="0"/>
    <x v="1"/>
    <x v="0"/>
    <n v="0"/>
    <n v="2E+20"/>
    <n v="0"/>
    <n v="0"/>
    <n v="4"/>
    <s v="Unnamed ProjectArquivosOth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12"/>
    <x v="0"/>
    <x v="2"/>
    <x v="0"/>
    <n v="2.5084251465026401"/>
    <n v="2E+20"/>
    <n v="1.3451355245294701"/>
    <n v="4.0427389657687298"/>
    <n v="4"/>
    <s v="Unnamed ProjectArquivosTotal TimeEntity"/>
    <n v="50"/>
    <n v="3.5363894499532775"/>
    <n v="1.1766434570133149"/>
    <n v="0.95"/>
    <n v="0.33439837052280896"/>
    <n v="1.6342264652107701"/>
    <n v="6.5527373550837904"/>
    <n v="0.58847912081681497"/>
    <n v="8.7476494546828292"/>
    <n v="3.62"/>
    <n v="0.33439837052280896"/>
    <n v="50"/>
    <n v="1"/>
  </r>
  <r>
    <x v="0"/>
    <s v="2023-12-02 21:14:51"/>
    <n v="12"/>
    <x v="0"/>
    <x v="3"/>
    <x v="0"/>
    <n v="0"/>
    <n v="2E+20"/>
    <n v="0"/>
    <n v="0"/>
    <n v="4"/>
    <s v="Unnamed ProjectArquivosTransf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12"/>
    <x v="0"/>
    <x v="4"/>
    <x v="0"/>
    <n v="2.0809238392732801"/>
    <n v="2E+20"/>
    <n v="1.1299107165093401"/>
    <n v="3.4559701188586698"/>
    <n v="4"/>
    <s v="Unnamed ProjectArquivosVA TimeEntity"/>
    <n v="50"/>
    <n v="2.3123810058270009"/>
    <n v="0.47735516285795621"/>
    <n v="0.95"/>
    <n v="0.13566283623888314"/>
    <n v="1.3773415743205399"/>
    <n v="3.3139161730180202"/>
    <n v="0.58847912081681497"/>
    <n v="4.9756405925629998"/>
    <n v="3.62"/>
    <n v="0.13566283623888314"/>
    <n v="50"/>
    <n v="1"/>
  </r>
  <r>
    <x v="0"/>
    <s v="2023-12-02 21:14:51"/>
    <n v="12"/>
    <x v="0"/>
    <x v="5"/>
    <x v="0"/>
    <n v="0.42750130722935198"/>
    <n v="2E+20"/>
    <n v="0"/>
    <n v="1.1232363820073501"/>
    <n v="4"/>
    <s v="Unnamed ProjectArquivosWait TimeEntity"/>
    <n v="50"/>
    <n v="1.2240084441262762"/>
    <n v="0.89867905452837749"/>
    <n v="0.95"/>
    <n v="0.2554017613968404"/>
    <n v="0"/>
    <n v="3.4345522286517598"/>
    <n v="0"/>
    <n v="6.7563093676697896"/>
    <n v="3.62"/>
    <n v="0.2554017613968404"/>
    <n v="50"/>
    <n v="1"/>
  </r>
  <r>
    <x v="0"/>
    <s v="2023-12-02 21:14:51"/>
    <n v="13"/>
    <x v="0"/>
    <x v="0"/>
    <x v="0"/>
    <n v="0"/>
    <n v="2E+20"/>
    <n v="0"/>
    <n v="0"/>
    <n v="3"/>
    <s v="Unnamed ProjectArquivosNVA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13"/>
    <x v="0"/>
    <x v="1"/>
    <x v="0"/>
    <n v="0"/>
    <n v="2E+20"/>
    <n v="0"/>
    <n v="0"/>
    <n v="3"/>
    <s v="Unnamed ProjectArquivosOth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13"/>
    <x v="0"/>
    <x v="2"/>
    <x v="0"/>
    <n v="5.2692687720156401"/>
    <n v="2E+20"/>
    <n v="2.3188519754192298"/>
    <n v="8.4494229717903107"/>
    <n v="3"/>
    <s v="Unnamed ProjectArquivosTotal TimeEntity"/>
    <n v="50"/>
    <n v="3.5363894499532775"/>
    <n v="1.1766434570133149"/>
    <n v="0.95"/>
    <n v="0.33439837052280896"/>
    <n v="1.6342264652107701"/>
    <n v="6.5527373550837904"/>
    <n v="0.58847912081681497"/>
    <n v="8.7476494546828292"/>
    <n v="3.62"/>
    <n v="0.33439837052280896"/>
    <n v="50"/>
    <n v="1"/>
  </r>
  <r>
    <x v="0"/>
    <s v="2023-12-02 21:14:51"/>
    <n v="13"/>
    <x v="0"/>
    <x v="3"/>
    <x v="0"/>
    <n v="0"/>
    <n v="2E+20"/>
    <n v="0"/>
    <n v="0"/>
    <n v="3"/>
    <s v="Unnamed ProjectArquivosTransf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13"/>
    <x v="0"/>
    <x v="4"/>
    <x v="0"/>
    <n v="3.3139161730180202"/>
    <n v="2E+20"/>
    <n v="2.3188519754192298"/>
    <n v="4.1312854298851702"/>
    <n v="3"/>
    <s v="Unnamed ProjectArquivosVA TimeEntity"/>
    <n v="50"/>
    <n v="2.3123810058270009"/>
    <n v="0.47735516285795621"/>
    <n v="0.95"/>
    <n v="0.13566283623888314"/>
    <n v="1.3773415743205399"/>
    <n v="3.3139161730180202"/>
    <n v="0.58847912081681497"/>
    <n v="4.9756405925629998"/>
    <n v="3.62"/>
    <n v="0.13566283623888314"/>
    <n v="50"/>
    <n v="1"/>
  </r>
  <r>
    <x v="0"/>
    <s v="2023-12-02 21:14:51"/>
    <n v="13"/>
    <x v="0"/>
    <x v="5"/>
    <x v="0"/>
    <n v="1.9553525989976199"/>
    <n v="2E+20"/>
    <n v="0"/>
    <n v="4.9578118580406398"/>
    <n v="3"/>
    <s v="Unnamed ProjectArquivosWait TimeEntity"/>
    <n v="50"/>
    <n v="1.2240084441262762"/>
    <n v="0.89867905452837749"/>
    <n v="0.95"/>
    <n v="0.2554017613968404"/>
    <n v="0"/>
    <n v="3.4345522286517598"/>
    <n v="0"/>
    <n v="6.7563093676697896"/>
    <n v="3.62"/>
    <n v="0.2554017613968404"/>
    <n v="50"/>
    <n v="1"/>
  </r>
  <r>
    <x v="0"/>
    <s v="2023-12-02 21:14:51"/>
    <n v="14"/>
    <x v="0"/>
    <x v="0"/>
    <x v="0"/>
    <n v="0"/>
    <n v="2E+20"/>
    <n v="0"/>
    <n v="0"/>
    <n v="4"/>
    <s v="Unnamed ProjectArquivosNVA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14"/>
    <x v="0"/>
    <x v="1"/>
    <x v="0"/>
    <n v="0"/>
    <n v="2E+20"/>
    <n v="0"/>
    <n v="0"/>
    <n v="4"/>
    <s v="Unnamed ProjectArquivosOth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14"/>
    <x v="0"/>
    <x v="2"/>
    <x v="0"/>
    <n v="3.6028714750934001"/>
    <n v="2E+20"/>
    <n v="2.3641008874731599"/>
    <n v="5.22247332540908"/>
    <n v="4"/>
    <s v="Unnamed ProjectArquivosTotal TimeEntity"/>
    <n v="50"/>
    <n v="3.5363894499532775"/>
    <n v="1.1766434570133149"/>
    <n v="0.95"/>
    <n v="0.33439837052280896"/>
    <n v="1.6342264652107701"/>
    <n v="6.5527373550837904"/>
    <n v="0.58847912081681497"/>
    <n v="8.7476494546828292"/>
    <n v="3.62"/>
    <n v="0.33439837052280896"/>
    <n v="50"/>
    <n v="1"/>
  </r>
  <r>
    <x v="0"/>
    <s v="2023-12-02 21:14:51"/>
    <n v="14"/>
    <x v="0"/>
    <x v="3"/>
    <x v="0"/>
    <n v="0"/>
    <n v="2E+20"/>
    <n v="0"/>
    <n v="0"/>
    <n v="4"/>
    <s v="Unnamed ProjectArquivosTransf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14"/>
    <x v="0"/>
    <x v="4"/>
    <x v="0"/>
    <n v="2.10583991780228"/>
    <n v="2E+20"/>
    <n v="1.8371972439536399"/>
    <n v="2.3641008874731599"/>
    <n v="4"/>
    <s v="Unnamed ProjectArquivosVA TimeEntity"/>
    <n v="50"/>
    <n v="2.3123810058270009"/>
    <n v="0.47735516285795621"/>
    <n v="0.95"/>
    <n v="0.13566283623888314"/>
    <n v="1.3773415743205399"/>
    <n v="3.3139161730180202"/>
    <n v="0.58847912081681497"/>
    <n v="4.9756405925629998"/>
    <n v="3.62"/>
    <n v="0.13566283623888314"/>
    <n v="50"/>
    <n v="1"/>
  </r>
  <r>
    <x v="0"/>
    <s v="2023-12-02 21:14:51"/>
    <n v="14"/>
    <x v="0"/>
    <x v="5"/>
    <x v="0"/>
    <n v="1.4970315572911199"/>
    <n v="2E+20"/>
    <n v="0"/>
    <n v="2.94559922992834"/>
    <n v="4"/>
    <s v="Unnamed ProjectArquivosWait TimeEntity"/>
    <n v="50"/>
    <n v="1.2240084441262762"/>
    <n v="0.89867905452837749"/>
    <n v="0.95"/>
    <n v="0.2554017613968404"/>
    <n v="0"/>
    <n v="3.4345522286517598"/>
    <n v="0"/>
    <n v="6.7563093676697896"/>
    <n v="3.62"/>
    <n v="0.2554017613968404"/>
    <n v="50"/>
    <n v="1"/>
  </r>
  <r>
    <x v="0"/>
    <s v="2023-12-02 21:14:51"/>
    <n v="15"/>
    <x v="0"/>
    <x v="0"/>
    <x v="0"/>
    <n v="0"/>
    <n v="2E+20"/>
    <n v="0"/>
    <n v="0"/>
    <n v="4"/>
    <s v="Unnamed ProjectArquivosNVA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15"/>
    <x v="0"/>
    <x v="1"/>
    <x v="0"/>
    <n v="0"/>
    <n v="2E+20"/>
    <n v="0"/>
    <n v="0"/>
    <n v="4"/>
    <s v="Unnamed ProjectArquivosOth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15"/>
    <x v="0"/>
    <x v="2"/>
    <x v="0"/>
    <n v="2.8461783010206099"/>
    <n v="2E+20"/>
    <n v="1.25978648852258"/>
    <n v="4.2618440994651401"/>
    <n v="4"/>
    <s v="Unnamed ProjectArquivosTotal TimeEntity"/>
    <n v="50"/>
    <n v="3.5363894499532775"/>
    <n v="1.1766434570133149"/>
    <n v="0.95"/>
    <n v="0.33439837052280896"/>
    <n v="1.6342264652107701"/>
    <n v="6.5527373550837904"/>
    <n v="0.58847912081681497"/>
    <n v="8.7476494546828292"/>
    <n v="3.62"/>
    <n v="0.33439837052280896"/>
    <n v="50"/>
    <n v="1"/>
  </r>
  <r>
    <x v="0"/>
    <s v="2023-12-02 21:14:51"/>
    <n v="15"/>
    <x v="0"/>
    <x v="3"/>
    <x v="0"/>
    <n v="0"/>
    <n v="2E+20"/>
    <n v="0"/>
    <n v="0"/>
    <n v="4"/>
    <s v="Unnamed ProjectArquivosTransf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15"/>
    <x v="0"/>
    <x v="4"/>
    <x v="0"/>
    <n v="1.9039771648722299"/>
    <n v="2E+20"/>
    <n v="1.25978648852258"/>
    <n v="2.9764430691578898"/>
    <n v="4"/>
    <s v="Unnamed ProjectArquivosVA TimeEntity"/>
    <n v="50"/>
    <n v="2.3123810058270009"/>
    <n v="0.47735516285795621"/>
    <n v="0.95"/>
    <n v="0.13566283623888314"/>
    <n v="1.3773415743205399"/>
    <n v="3.3139161730180202"/>
    <n v="0.58847912081681497"/>
    <n v="4.9756405925629998"/>
    <n v="3.62"/>
    <n v="0.13566283623888314"/>
    <n v="50"/>
    <n v="1"/>
  </r>
  <r>
    <x v="0"/>
    <s v="2023-12-02 21:14:51"/>
    <n v="15"/>
    <x v="0"/>
    <x v="5"/>
    <x v="0"/>
    <n v="0.94220113614838297"/>
    <n v="2E+20"/>
    <n v="0"/>
    <n v="2.7813609172848799"/>
    <n v="4"/>
    <s v="Unnamed ProjectArquivosWait TimeEntity"/>
    <n v="50"/>
    <n v="1.2240084441262762"/>
    <n v="0.89867905452837749"/>
    <n v="0.95"/>
    <n v="0.2554017613968404"/>
    <n v="0"/>
    <n v="3.4345522286517598"/>
    <n v="0"/>
    <n v="6.7563093676697896"/>
    <n v="3.62"/>
    <n v="0.2554017613968404"/>
    <n v="50"/>
    <n v="1"/>
  </r>
  <r>
    <x v="0"/>
    <s v="2023-12-02 21:14:51"/>
    <n v="16"/>
    <x v="0"/>
    <x v="0"/>
    <x v="0"/>
    <n v="0"/>
    <n v="2E+20"/>
    <n v="0"/>
    <n v="0"/>
    <n v="4"/>
    <s v="Unnamed ProjectArquivosNVA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16"/>
    <x v="0"/>
    <x v="1"/>
    <x v="0"/>
    <n v="0"/>
    <n v="2E+20"/>
    <n v="0"/>
    <n v="0"/>
    <n v="4"/>
    <s v="Unnamed ProjectArquivosOth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16"/>
    <x v="0"/>
    <x v="2"/>
    <x v="0"/>
    <n v="3.64222338640164"/>
    <n v="2E+20"/>
    <n v="2.2472498747094498"/>
    <n v="4.66506577169684"/>
    <n v="4"/>
    <s v="Unnamed ProjectArquivosTotal TimeEntity"/>
    <n v="50"/>
    <n v="3.5363894499532775"/>
    <n v="1.1766434570133149"/>
    <n v="0.95"/>
    <n v="0.33439837052280896"/>
    <n v="1.6342264652107701"/>
    <n v="6.5527373550837904"/>
    <n v="0.58847912081681497"/>
    <n v="8.7476494546828292"/>
    <n v="3.62"/>
    <n v="0.33439837052280896"/>
    <n v="50"/>
    <n v="1"/>
  </r>
  <r>
    <x v="0"/>
    <s v="2023-12-02 21:14:51"/>
    <n v="16"/>
    <x v="0"/>
    <x v="3"/>
    <x v="0"/>
    <n v="0"/>
    <n v="2E+20"/>
    <n v="0"/>
    <n v="0"/>
    <n v="4"/>
    <s v="Unnamed ProjectArquivosTransf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16"/>
    <x v="0"/>
    <x v="4"/>
    <x v="0"/>
    <n v="2.0727520579669401"/>
    <n v="2E+20"/>
    <n v="1.8313668830424901"/>
    <n v="2.2950079583852698"/>
    <n v="4"/>
    <s v="Unnamed ProjectArquivosVA TimeEntity"/>
    <n v="50"/>
    <n v="2.3123810058270009"/>
    <n v="0.47735516285795621"/>
    <n v="0.95"/>
    <n v="0.13566283623888314"/>
    <n v="1.3773415743205399"/>
    <n v="3.3139161730180202"/>
    <n v="0.58847912081681497"/>
    <n v="4.9756405925629998"/>
    <n v="3.62"/>
    <n v="0.13566283623888314"/>
    <n v="50"/>
    <n v="1"/>
  </r>
  <r>
    <x v="0"/>
    <s v="2023-12-02 21:14:51"/>
    <n v="16"/>
    <x v="0"/>
    <x v="5"/>
    <x v="0"/>
    <n v="1.5694713284346999"/>
    <n v="2E+20"/>
    <n v="0"/>
    <n v="2.8336988886543502"/>
    <n v="4"/>
    <s v="Unnamed ProjectArquivosWait TimeEntity"/>
    <n v="50"/>
    <n v="1.2240084441262762"/>
    <n v="0.89867905452837749"/>
    <n v="0.95"/>
    <n v="0.2554017613968404"/>
    <n v="0"/>
    <n v="3.4345522286517598"/>
    <n v="0"/>
    <n v="6.7563093676697896"/>
    <n v="3.62"/>
    <n v="0.2554017613968404"/>
    <n v="50"/>
    <n v="1"/>
  </r>
  <r>
    <x v="0"/>
    <s v="2023-12-02 21:14:51"/>
    <n v="17"/>
    <x v="0"/>
    <x v="0"/>
    <x v="0"/>
    <n v="0"/>
    <n v="2E+20"/>
    <n v="0"/>
    <n v="0"/>
    <n v="2"/>
    <s v="Unnamed ProjectArquivosNVA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17"/>
    <x v="0"/>
    <x v="1"/>
    <x v="0"/>
    <n v="0"/>
    <n v="2E+20"/>
    <n v="0"/>
    <n v="0"/>
    <n v="2"/>
    <s v="Unnamed ProjectArquivosOth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17"/>
    <x v="0"/>
    <x v="2"/>
    <x v="0"/>
    <n v="2.2133840130397902"/>
    <n v="2E+20"/>
    <n v="2.1523569066582402"/>
    <n v="2.2744111194213499"/>
    <n v="2"/>
    <s v="Unnamed ProjectArquivosTotal TimeEntity"/>
    <n v="50"/>
    <n v="3.5363894499532775"/>
    <n v="1.1766434570133149"/>
    <n v="0.95"/>
    <n v="0.33439837052280896"/>
    <n v="1.6342264652107701"/>
    <n v="6.5527373550837904"/>
    <n v="0.58847912081681497"/>
    <n v="8.7476494546828292"/>
    <n v="3.62"/>
    <n v="0.33439837052280896"/>
    <n v="50"/>
    <n v="1"/>
  </r>
  <r>
    <x v="0"/>
    <s v="2023-12-02 21:14:51"/>
    <n v="17"/>
    <x v="0"/>
    <x v="3"/>
    <x v="0"/>
    <n v="0"/>
    <n v="2E+20"/>
    <n v="0"/>
    <n v="0"/>
    <n v="2"/>
    <s v="Unnamed ProjectArquivosTransf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17"/>
    <x v="0"/>
    <x v="4"/>
    <x v="0"/>
    <n v="2.2133840130397902"/>
    <n v="2E+20"/>
    <n v="2.1523569066582402"/>
    <n v="2.2744111194213499"/>
    <n v="2"/>
    <s v="Unnamed ProjectArquivosVA TimeEntity"/>
    <n v="50"/>
    <n v="2.3123810058270009"/>
    <n v="0.47735516285795621"/>
    <n v="0.95"/>
    <n v="0.13566283623888314"/>
    <n v="1.3773415743205399"/>
    <n v="3.3139161730180202"/>
    <n v="0.58847912081681497"/>
    <n v="4.9756405925629998"/>
    <n v="3.62"/>
    <n v="0.13566283623888314"/>
    <n v="50"/>
    <n v="1"/>
  </r>
  <r>
    <x v="0"/>
    <s v="2023-12-02 21:14:51"/>
    <n v="17"/>
    <x v="0"/>
    <x v="5"/>
    <x v="0"/>
    <n v="0"/>
    <n v="2E+20"/>
    <n v="0"/>
    <n v="0"/>
    <n v="2"/>
    <s v="Unnamed ProjectArquivosWait TimeEntity"/>
    <n v="50"/>
    <n v="1.2240084441262762"/>
    <n v="0.89867905452837749"/>
    <n v="0.95"/>
    <n v="0.2554017613968404"/>
    <n v="0"/>
    <n v="3.4345522286517598"/>
    <n v="0"/>
    <n v="6.7563093676697896"/>
    <n v="3.62"/>
    <n v="0.2554017613968404"/>
    <n v="50"/>
    <n v="1"/>
  </r>
  <r>
    <x v="0"/>
    <s v="2023-12-02 21:14:51"/>
    <n v="18"/>
    <x v="0"/>
    <x v="0"/>
    <x v="0"/>
    <n v="0"/>
    <n v="2E+20"/>
    <n v="0"/>
    <n v="0"/>
    <n v="5"/>
    <s v="Unnamed ProjectArquivosNVA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18"/>
    <x v="0"/>
    <x v="1"/>
    <x v="0"/>
    <n v="0"/>
    <n v="2E+20"/>
    <n v="0"/>
    <n v="0"/>
    <n v="5"/>
    <s v="Unnamed ProjectArquivosOth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18"/>
    <x v="0"/>
    <x v="2"/>
    <x v="0"/>
    <n v="1.6342264652107701"/>
    <n v="2E+20"/>
    <n v="0.950892178910972"/>
    <n v="2.4463955493923999"/>
    <n v="5"/>
    <s v="Unnamed ProjectArquivosTotal TimeEntity"/>
    <n v="50"/>
    <n v="3.5363894499532775"/>
    <n v="1.1766434570133149"/>
    <n v="0.95"/>
    <n v="0.33439837052280896"/>
    <n v="1.6342264652107701"/>
    <n v="6.5527373550837904"/>
    <n v="0.58847912081681497"/>
    <n v="8.7476494546828292"/>
    <n v="3.62"/>
    <n v="0.33439837052280896"/>
    <n v="50"/>
    <n v="1"/>
  </r>
  <r>
    <x v="0"/>
    <s v="2023-12-02 21:14:51"/>
    <n v="18"/>
    <x v="0"/>
    <x v="3"/>
    <x v="0"/>
    <n v="0"/>
    <n v="2E+20"/>
    <n v="0"/>
    <n v="0"/>
    <n v="5"/>
    <s v="Unnamed ProjectArquivosTransf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18"/>
    <x v="0"/>
    <x v="4"/>
    <x v="0"/>
    <n v="1.45170216989989"/>
    <n v="2E+20"/>
    <n v="0.950892178910972"/>
    <n v="2.4463955493923999"/>
    <n v="5"/>
    <s v="Unnamed ProjectArquivosVA TimeEntity"/>
    <n v="50"/>
    <n v="2.3123810058270009"/>
    <n v="0.47735516285795621"/>
    <n v="0.95"/>
    <n v="0.13566283623888314"/>
    <n v="1.3773415743205399"/>
    <n v="3.3139161730180202"/>
    <n v="0.58847912081681497"/>
    <n v="4.9756405925629998"/>
    <n v="3.62"/>
    <n v="0.13566283623888314"/>
    <n v="50"/>
    <n v="1"/>
  </r>
  <r>
    <x v="0"/>
    <s v="2023-12-02 21:14:51"/>
    <n v="18"/>
    <x v="0"/>
    <x v="5"/>
    <x v="0"/>
    <n v="0.18252429531088099"/>
    <n v="2E+20"/>
    <n v="0"/>
    <n v="0.91262147655440595"/>
    <n v="5"/>
    <s v="Unnamed ProjectArquivosWait TimeEntity"/>
    <n v="50"/>
    <n v="1.2240084441262762"/>
    <n v="0.89867905452837749"/>
    <n v="0.95"/>
    <n v="0.2554017613968404"/>
    <n v="0"/>
    <n v="3.4345522286517598"/>
    <n v="0"/>
    <n v="6.7563093676697896"/>
    <n v="3.62"/>
    <n v="0.2554017613968404"/>
    <n v="50"/>
    <n v="1"/>
  </r>
  <r>
    <x v="0"/>
    <s v="2023-12-02 21:14:51"/>
    <n v="19"/>
    <x v="0"/>
    <x v="0"/>
    <x v="0"/>
    <n v="0"/>
    <n v="2E+20"/>
    <n v="0"/>
    <n v="0"/>
    <n v="4"/>
    <s v="Unnamed ProjectArquivosNVA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19"/>
    <x v="0"/>
    <x v="1"/>
    <x v="0"/>
    <n v="0"/>
    <n v="2E+20"/>
    <n v="0"/>
    <n v="0"/>
    <n v="4"/>
    <s v="Unnamed ProjectArquivosOth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19"/>
    <x v="0"/>
    <x v="2"/>
    <x v="0"/>
    <n v="4.0449692319874799"/>
    <n v="2E+20"/>
    <n v="1.6785738720938701"/>
    <n v="6.0888117895772202"/>
    <n v="4"/>
    <s v="Unnamed ProjectArquivosTotal TimeEntity"/>
    <n v="50"/>
    <n v="3.5363894499532775"/>
    <n v="1.1766434570133149"/>
    <n v="0.95"/>
    <n v="0.33439837052280896"/>
    <n v="1.6342264652107701"/>
    <n v="6.5527373550837904"/>
    <n v="0.58847912081681497"/>
    <n v="8.7476494546828292"/>
    <n v="3.62"/>
    <n v="0.33439837052280896"/>
    <n v="50"/>
    <n v="1"/>
  </r>
  <r>
    <x v="0"/>
    <s v="2023-12-02 21:14:51"/>
    <n v="19"/>
    <x v="0"/>
    <x v="3"/>
    <x v="0"/>
    <n v="0"/>
    <n v="2E+20"/>
    <n v="0"/>
    <n v="0"/>
    <n v="4"/>
    <s v="Unnamed ProjectArquivosTransf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19"/>
    <x v="0"/>
    <x v="4"/>
    <x v="0"/>
    <n v="2.4476028308928401"/>
    <n v="2E+20"/>
    <n v="1.6785738720938701"/>
    <n v="3.3651500484599"/>
    <n v="4"/>
    <s v="Unnamed ProjectArquivosVA TimeEntity"/>
    <n v="50"/>
    <n v="2.3123810058270009"/>
    <n v="0.47735516285795621"/>
    <n v="0.95"/>
    <n v="0.13566283623888314"/>
    <n v="1.3773415743205399"/>
    <n v="3.3139161730180202"/>
    <n v="0.58847912081681497"/>
    <n v="4.9756405925629998"/>
    <n v="3.62"/>
    <n v="0.13566283623888314"/>
    <n v="50"/>
    <n v="1"/>
  </r>
  <r>
    <x v="0"/>
    <s v="2023-12-02 21:14:51"/>
    <n v="19"/>
    <x v="0"/>
    <x v="5"/>
    <x v="0"/>
    <n v="1.59736640109464"/>
    <n v="2E+20"/>
    <n v="0"/>
    <n v="2.7236617411173198"/>
    <n v="4"/>
    <s v="Unnamed ProjectArquivosWait TimeEntity"/>
    <n v="50"/>
    <n v="1.2240084441262762"/>
    <n v="0.89867905452837749"/>
    <n v="0.95"/>
    <n v="0.2554017613968404"/>
    <n v="0"/>
    <n v="3.4345522286517598"/>
    <n v="0"/>
    <n v="6.7563093676697896"/>
    <n v="3.62"/>
    <n v="0.2554017613968404"/>
    <n v="50"/>
    <n v="1"/>
  </r>
  <r>
    <x v="0"/>
    <s v="2023-12-02 21:14:51"/>
    <n v="20"/>
    <x v="0"/>
    <x v="0"/>
    <x v="0"/>
    <n v="0"/>
    <n v="2E+20"/>
    <n v="0"/>
    <n v="0"/>
    <n v="4"/>
    <s v="Unnamed ProjectArquivosNVA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20"/>
    <x v="0"/>
    <x v="1"/>
    <x v="0"/>
    <n v="0"/>
    <n v="2E+20"/>
    <n v="0"/>
    <n v="0"/>
    <n v="4"/>
    <s v="Unnamed ProjectArquivosOth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20"/>
    <x v="0"/>
    <x v="2"/>
    <x v="0"/>
    <n v="4.55138276395357"/>
    <n v="2E+20"/>
    <n v="1.35004570975563"/>
    <n v="7.3915661677694997"/>
    <n v="4"/>
    <s v="Unnamed ProjectArquivosTotal TimeEntity"/>
    <n v="50"/>
    <n v="3.5363894499532775"/>
    <n v="1.1766434570133149"/>
    <n v="0.95"/>
    <n v="0.33439837052280896"/>
    <n v="1.6342264652107701"/>
    <n v="6.5527373550837904"/>
    <n v="0.58847912081681497"/>
    <n v="8.7476494546828292"/>
    <n v="3.62"/>
    <n v="0.33439837052280896"/>
    <n v="50"/>
    <n v="1"/>
  </r>
  <r>
    <x v="0"/>
    <s v="2023-12-02 21:14:51"/>
    <n v="20"/>
    <x v="0"/>
    <x v="3"/>
    <x v="0"/>
    <n v="0"/>
    <n v="2E+20"/>
    <n v="0"/>
    <n v="0"/>
    <n v="4"/>
    <s v="Unnamed ProjectArquivosTransf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20"/>
    <x v="0"/>
    <x v="4"/>
    <x v="0"/>
    <n v="2.3114935093205098"/>
    <n v="2E+20"/>
    <n v="1.35004570975563"/>
    <n v="3.0498607780970199"/>
    <n v="4"/>
    <s v="Unnamed ProjectArquivosVA TimeEntity"/>
    <n v="50"/>
    <n v="2.3123810058270009"/>
    <n v="0.47735516285795621"/>
    <n v="0.95"/>
    <n v="0.13566283623888314"/>
    <n v="1.3773415743205399"/>
    <n v="3.3139161730180202"/>
    <n v="0.58847912081681497"/>
    <n v="4.9756405925629998"/>
    <n v="3.62"/>
    <n v="0.13566283623888314"/>
    <n v="50"/>
    <n v="1"/>
  </r>
  <r>
    <x v="0"/>
    <s v="2023-12-02 21:14:51"/>
    <n v="20"/>
    <x v="0"/>
    <x v="5"/>
    <x v="0"/>
    <n v="2.2398892546330602"/>
    <n v="2E+20"/>
    <n v="0"/>
    <n v="5.3402972363664496"/>
    <n v="4"/>
    <s v="Unnamed ProjectArquivosWait TimeEntity"/>
    <n v="50"/>
    <n v="1.2240084441262762"/>
    <n v="0.89867905452837749"/>
    <n v="0.95"/>
    <n v="0.2554017613968404"/>
    <n v="0"/>
    <n v="3.4345522286517598"/>
    <n v="0"/>
    <n v="6.7563093676697896"/>
    <n v="3.62"/>
    <n v="0.2554017613968404"/>
    <n v="50"/>
    <n v="1"/>
  </r>
  <r>
    <x v="0"/>
    <s v="2023-12-02 21:14:51"/>
    <n v="21"/>
    <x v="0"/>
    <x v="0"/>
    <x v="0"/>
    <n v="0"/>
    <n v="2E+20"/>
    <n v="0"/>
    <n v="0"/>
    <n v="3"/>
    <s v="Unnamed ProjectArquivosNVA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21"/>
    <x v="0"/>
    <x v="1"/>
    <x v="0"/>
    <n v="0"/>
    <n v="2E+20"/>
    <n v="0"/>
    <n v="0"/>
    <n v="3"/>
    <s v="Unnamed ProjectArquivosOth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21"/>
    <x v="0"/>
    <x v="2"/>
    <x v="0"/>
    <n v="2.99785703453637"/>
    <n v="2E+20"/>
    <n v="2.6147589058817302"/>
    <n v="3.3438725651846202"/>
    <n v="3"/>
    <s v="Unnamed ProjectArquivosTotal TimeEntity"/>
    <n v="50"/>
    <n v="3.5363894499532775"/>
    <n v="1.1766434570133149"/>
    <n v="0.95"/>
    <n v="0.33439837052280896"/>
    <n v="1.6342264652107701"/>
    <n v="6.5527373550837904"/>
    <n v="0.58847912081681497"/>
    <n v="8.7476494546828292"/>
    <n v="3.62"/>
    <n v="0.33439837052280896"/>
    <n v="50"/>
    <n v="1"/>
  </r>
  <r>
    <x v="0"/>
    <s v="2023-12-02 21:14:51"/>
    <n v="21"/>
    <x v="0"/>
    <x v="3"/>
    <x v="0"/>
    <n v="0"/>
    <n v="2E+20"/>
    <n v="0"/>
    <n v="0"/>
    <n v="3"/>
    <s v="Unnamed ProjectArquivosTransf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21"/>
    <x v="0"/>
    <x v="4"/>
    <x v="0"/>
    <n v="2.9172233416282198"/>
    <n v="2E+20"/>
    <n v="2.6147589058817302"/>
    <n v="3.3438725651846202"/>
    <n v="3"/>
    <s v="Unnamed ProjectArquivosVA TimeEntity"/>
    <n v="50"/>
    <n v="2.3123810058270009"/>
    <n v="0.47735516285795621"/>
    <n v="0.95"/>
    <n v="0.13566283623888314"/>
    <n v="1.3773415743205399"/>
    <n v="3.3139161730180202"/>
    <n v="0.58847912081681497"/>
    <n v="4.9756405925629998"/>
    <n v="3.62"/>
    <n v="0.13566283623888314"/>
    <n v="50"/>
    <n v="1"/>
  </r>
  <r>
    <x v="0"/>
    <s v="2023-12-02 21:14:51"/>
    <n v="21"/>
    <x v="0"/>
    <x v="5"/>
    <x v="0"/>
    <n v="8.0633692908153698E-2"/>
    <n v="2E+20"/>
    <n v="0"/>
    <n v="0.24190107872446101"/>
    <n v="3"/>
    <s v="Unnamed ProjectArquivosWait TimeEntity"/>
    <n v="50"/>
    <n v="1.2240084441262762"/>
    <n v="0.89867905452837749"/>
    <n v="0.95"/>
    <n v="0.2554017613968404"/>
    <n v="0"/>
    <n v="3.4345522286517598"/>
    <n v="0"/>
    <n v="6.7563093676697896"/>
    <n v="3.62"/>
    <n v="0.2554017613968404"/>
    <n v="50"/>
    <n v="1"/>
  </r>
  <r>
    <x v="0"/>
    <s v="2023-12-02 21:14:51"/>
    <n v="22"/>
    <x v="0"/>
    <x v="0"/>
    <x v="0"/>
    <n v="0"/>
    <n v="2E+20"/>
    <n v="0"/>
    <n v="0"/>
    <n v="3"/>
    <s v="Unnamed ProjectArquivosNVA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22"/>
    <x v="0"/>
    <x v="1"/>
    <x v="0"/>
    <n v="0"/>
    <n v="2E+20"/>
    <n v="0"/>
    <n v="0"/>
    <n v="3"/>
    <s v="Unnamed ProjectArquivosOth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22"/>
    <x v="0"/>
    <x v="2"/>
    <x v="0"/>
    <n v="2.2294111681228501"/>
    <n v="2E+20"/>
    <n v="1.9815962162685401"/>
    <n v="2.4133503410527202"/>
    <n v="3"/>
    <s v="Unnamed ProjectArquivosTotal TimeEntity"/>
    <n v="50"/>
    <n v="3.5363894499532775"/>
    <n v="1.1766434570133149"/>
    <n v="0.95"/>
    <n v="0.33439837052280896"/>
    <n v="1.6342264652107701"/>
    <n v="6.5527373550837904"/>
    <n v="0.58847912081681497"/>
    <n v="8.7476494546828292"/>
    <n v="3.62"/>
    <n v="0.33439837052280896"/>
    <n v="50"/>
    <n v="1"/>
  </r>
  <r>
    <x v="0"/>
    <s v="2023-12-02 21:14:51"/>
    <n v="22"/>
    <x v="0"/>
    <x v="3"/>
    <x v="0"/>
    <n v="0"/>
    <n v="2E+20"/>
    <n v="0"/>
    <n v="0"/>
    <n v="3"/>
    <s v="Unnamed ProjectArquivosTransf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22"/>
    <x v="0"/>
    <x v="4"/>
    <x v="0"/>
    <n v="2.2294111681228501"/>
    <n v="2E+20"/>
    <n v="1.9815962162685401"/>
    <n v="2.4133503410527202"/>
    <n v="3"/>
    <s v="Unnamed ProjectArquivosVA TimeEntity"/>
    <n v="50"/>
    <n v="2.3123810058270009"/>
    <n v="0.47735516285795621"/>
    <n v="0.95"/>
    <n v="0.13566283623888314"/>
    <n v="1.3773415743205399"/>
    <n v="3.3139161730180202"/>
    <n v="0.58847912081681497"/>
    <n v="4.9756405925629998"/>
    <n v="3.62"/>
    <n v="0.13566283623888314"/>
    <n v="50"/>
    <n v="1"/>
  </r>
  <r>
    <x v="0"/>
    <s v="2023-12-02 21:14:51"/>
    <n v="22"/>
    <x v="0"/>
    <x v="5"/>
    <x v="0"/>
    <n v="0"/>
    <n v="2E+20"/>
    <n v="0"/>
    <n v="0"/>
    <n v="3"/>
    <s v="Unnamed ProjectArquivosWait TimeEntity"/>
    <n v="50"/>
    <n v="1.2240084441262762"/>
    <n v="0.89867905452837749"/>
    <n v="0.95"/>
    <n v="0.2554017613968404"/>
    <n v="0"/>
    <n v="3.4345522286517598"/>
    <n v="0"/>
    <n v="6.7563093676697896"/>
    <n v="3.62"/>
    <n v="0.2554017613968404"/>
    <n v="50"/>
    <n v="1"/>
  </r>
  <r>
    <x v="0"/>
    <s v="2023-12-02 21:14:51"/>
    <n v="23"/>
    <x v="0"/>
    <x v="0"/>
    <x v="0"/>
    <n v="0"/>
    <n v="2E+20"/>
    <n v="0"/>
    <n v="0"/>
    <n v="5"/>
    <s v="Unnamed ProjectArquivosNVA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23"/>
    <x v="0"/>
    <x v="1"/>
    <x v="0"/>
    <n v="0"/>
    <n v="2E+20"/>
    <n v="0"/>
    <n v="0"/>
    <n v="5"/>
    <s v="Unnamed ProjectArquivosOth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23"/>
    <x v="0"/>
    <x v="2"/>
    <x v="0"/>
    <n v="3.7569123258927002"/>
    <n v="2E+20"/>
    <n v="2.3439323689909299"/>
    <n v="5.5381839384821099"/>
    <n v="5"/>
    <s v="Unnamed ProjectArquivosTotal TimeEntity"/>
    <n v="50"/>
    <n v="3.5363894499532775"/>
    <n v="1.1766434570133149"/>
    <n v="0.95"/>
    <n v="0.33439837052280896"/>
    <n v="1.6342264652107701"/>
    <n v="6.5527373550837904"/>
    <n v="0.58847912081681497"/>
    <n v="8.7476494546828292"/>
    <n v="3.62"/>
    <n v="0.33439837052280896"/>
    <n v="50"/>
    <n v="1"/>
  </r>
  <r>
    <x v="0"/>
    <s v="2023-12-02 21:14:51"/>
    <n v="23"/>
    <x v="0"/>
    <x v="3"/>
    <x v="0"/>
    <n v="0"/>
    <n v="2E+20"/>
    <n v="0"/>
    <n v="0"/>
    <n v="5"/>
    <s v="Unnamed ProjectArquivosTransf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23"/>
    <x v="0"/>
    <x v="4"/>
    <x v="0"/>
    <n v="1.90083321302765"/>
    <n v="2E+20"/>
    <n v="1.0848713384637001"/>
    <n v="2.6872679842465601"/>
    <n v="5"/>
    <s v="Unnamed ProjectArquivosVA TimeEntity"/>
    <n v="50"/>
    <n v="2.3123810058270009"/>
    <n v="0.47735516285795621"/>
    <n v="0.95"/>
    <n v="0.13566283623888314"/>
    <n v="1.3773415743205399"/>
    <n v="3.3139161730180202"/>
    <n v="0.58847912081681497"/>
    <n v="4.9756405925629998"/>
    <n v="3.62"/>
    <n v="0.13566283623888314"/>
    <n v="50"/>
    <n v="1"/>
  </r>
  <r>
    <x v="0"/>
    <s v="2023-12-02 21:14:51"/>
    <n v="23"/>
    <x v="0"/>
    <x v="5"/>
    <x v="0"/>
    <n v="1.85607911286504"/>
    <n v="2E+20"/>
    <n v="0"/>
    <n v="3.8127165153620899"/>
    <n v="5"/>
    <s v="Unnamed ProjectArquivosWait TimeEntity"/>
    <n v="50"/>
    <n v="1.2240084441262762"/>
    <n v="0.89867905452837749"/>
    <n v="0.95"/>
    <n v="0.2554017613968404"/>
    <n v="0"/>
    <n v="3.4345522286517598"/>
    <n v="0"/>
    <n v="6.7563093676697896"/>
    <n v="3.62"/>
    <n v="0.2554017613968404"/>
    <n v="50"/>
    <n v="1"/>
  </r>
  <r>
    <x v="0"/>
    <s v="2023-12-02 21:14:51"/>
    <n v="24"/>
    <x v="0"/>
    <x v="0"/>
    <x v="0"/>
    <n v="0"/>
    <n v="2E+20"/>
    <n v="0"/>
    <n v="0"/>
    <n v="3"/>
    <s v="Unnamed ProjectArquivosNVA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24"/>
    <x v="0"/>
    <x v="1"/>
    <x v="0"/>
    <n v="0"/>
    <n v="2E+20"/>
    <n v="0"/>
    <n v="0"/>
    <n v="3"/>
    <s v="Unnamed ProjectArquivosOth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24"/>
    <x v="0"/>
    <x v="2"/>
    <x v="0"/>
    <n v="3.0665619672337101"/>
    <n v="2E+20"/>
    <n v="1.5600200127957"/>
    <n v="5.3173241658674302"/>
    <n v="3"/>
    <s v="Unnamed ProjectArquivosTotal TimeEntity"/>
    <n v="50"/>
    <n v="3.5363894499532775"/>
    <n v="1.1766434570133149"/>
    <n v="0.95"/>
    <n v="0.33439837052280896"/>
    <n v="1.6342264652107701"/>
    <n v="6.5527373550837904"/>
    <n v="0.58847912081681497"/>
    <n v="8.7476494546828292"/>
    <n v="3.62"/>
    <n v="0.33439837052280896"/>
    <n v="50"/>
    <n v="1"/>
  </r>
  <r>
    <x v="0"/>
    <s v="2023-12-02 21:14:51"/>
    <n v="24"/>
    <x v="0"/>
    <x v="3"/>
    <x v="0"/>
    <n v="0"/>
    <n v="2E+20"/>
    <n v="0"/>
    <n v="0"/>
    <n v="3"/>
    <s v="Unnamed ProjectArquivosTransf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24"/>
    <x v="0"/>
    <x v="4"/>
    <x v="0"/>
    <n v="2.6122605973457702"/>
    <n v="2E+20"/>
    <n v="1.1973802949935699"/>
    <n v="4.3170597740057302"/>
    <n v="3"/>
    <s v="Unnamed ProjectArquivosVA TimeEntity"/>
    <n v="50"/>
    <n v="2.3123810058270009"/>
    <n v="0.47735516285795621"/>
    <n v="0.95"/>
    <n v="0.13566283623888314"/>
    <n v="1.3773415743205399"/>
    <n v="3.3139161730180202"/>
    <n v="0.58847912081681497"/>
    <n v="4.9756405925629998"/>
    <n v="3.62"/>
    <n v="0.13566283623888314"/>
    <n v="50"/>
    <n v="1"/>
  </r>
  <r>
    <x v="0"/>
    <s v="2023-12-02 21:14:51"/>
    <n v="24"/>
    <x v="0"/>
    <x v="5"/>
    <x v="0"/>
    <n v="0.45430136988794201"/>
    <n v="2E+20"/>
    <n v="0"/>
    <n v="1.0002643918617"/>
    <n v="3"/>
    <s v="Unnamed ProjectArquivosWait TimeEntity"/>
    <n v="50"/>
    <n v="1.2240084441262762"/>
    <n v="0.89867905452837749"/>
    <n v="0.95"/>
    <n v="0.2554017613968404"/>
    <n v="0"/>
    <n v="3.4345522286517598"/>
    <n v="0"/>
    <n v="6.7563093676697896"/>
    <n v="3.62"/>
    <n v="0.2554017613968404"/>
    <n v="50"/>
    <n v="1"/>
  </r>
  <r>
    <x v="0"/>
    <s v="2023-12-02 21:14:51"/>
    <n v="25"/>
    <x v="0"/>
    <x v="0"/>
    <x v="0"/>
    <n v="0"/>
    <n v="2E+20"/>
    <n v="0"/>
    <n v="0"/>
    <n v="4"/>
    <s v="Unnamed ProjectArquivosNVA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25"/>
    <x v="0"/>
    <x v="1"/>
    <x v="0"/>
    <n v="0"/>
    <n v="2E+20"/>
    <n v="0"/>
    <n v="0"/>
    <n v="4"/>
    <s v="Unnamed ProjectArquivosOth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25"/>
    <x v="0"/>
    <x v="2"/>
    <x v="0"/>
    <n v="2.63352843435902"/>
    <n v="2E+20"/>
    <n v="0.99589656480891398"/>
    <n v="4.3782304552252604"/>
    <n v="4"/>
    <s v="Unnamed ProjectArquivosTotal TimeEntity"/>
    <n v="50"/>
    <n v="3.5363894499532775"/>
    <n v="1.1766434570133149"/>
    <n v="0.95"/>
    <n v="0.33439837052280896"/>
    <n v="1.6342264652107701"/>
    <n v="6.5527373550837904"/>
    <n v="0.58847912081681497"/>
    <n v="8.7476494546828292"/>
    <n v="3.62"/>
    <n v="0.33439837052280896"/>
    <n v="50"/>
    <n v="1"/>
  </r>
  <r>
    <x v="0"/>
    <s v="2023-12-02 21:14:51"/>
    <n v="25"/>
    <x v="0"/>
    <x v="3"/>
    <x v="0"/>
    <n v="0"/>
    <n v="2E+20"/>
    <n v="0"/>
    <n v="0"/>
    <n v="4"/>
    <s v="Unnamed ProjectArquivosTransf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25"/>
    <x v="0"/>
    <x v="4"/>
    <x v="0"/>
    <n v="1.90716581035837"/>
    <n v="2E+20"/>
    <n v="0.99589656480891398"/>
    <n v="2.96353084964628"/>
    <n v="4"/>
    <s v="Unnamed ProjectArquivosVA TimeEntity"/>
    <n v="50"/>
    <n v="2.3123810058270009"/>
    <n v="0.47735516285795621"/>
    <n v="0.95"/>
    <n v="0.13566283623888314"/>
    <n v="1.3773415743205399"/>
    <n v="3.3139161730180202"/>
    <n v="0.58847912081681497"/>
    <n v="4.9756405925629998"/>
    <n v="3.62"/>
    <n v="0.13566283623888314"/>
    <n v="50"/>
    <n v="1"/>
  </r>
  <r>
    <x v="0"/>
    <s v="2023-12-02 21:14:51"/>
    <n v="25"/>
    <x v="0"/>
    <x v="5"/>
    <x v="0"/>
    <n v="0.726362624000645"/>
    <n v="2E+20"/>
    <n v="0"/>
    <n v="1.4907508904236"/>
    <n v="4"/>
    <s v="Unnamed ProjectArquivosWait TimeEntity"/>
    <n v="50"/>
    <n v="1.2240084441262762"/>
    <n v="0.89867905452837749"/>
    <n v="0.95"/>
    <n v="0.2554017613968404"/>
    <n v="0"/>
    <n v="3.4345522286517598"/>
    <n v="0"/>
    <n v="6.7563093676697896"/>
    <n v="3.62"/>
    <n v="0.2554017613968404"/>
    <n v="50"/>
    <n v="1"/>
  </r>
  <r>
    <x v="0"/>
    <s v="2023-12-02 21:14:51"/>
    <n v="26"/>
    <x v="0"/>
    <x v="0"/>
    <x v="0"/>
    <n v="0"/>
    <n v="2E+20"/>
    <n v="0"/>
    <n v="0"/>
    <n v="3"/>
    <s v="Unnamed ProjectArquivosNVA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26"/>
    <x v="0"/>
    <x v="1"/>
    <x v="0"/>
    <n v="0"/>
    <n v="2E+20"/>
    <n v="0"/>
    <n v="0"/>
    <n v="3"/>
    <s v="Unnamed ProjectArquivosOth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26"/>
    <x v="0"/>
    <x v="2"/>
    <x v="0"/>
    <n v="4.0504665953907901"/>
    <n v="2E+20"/>
    <n v="3.5622901401544298"/>
    <n v="4.7671725305033998"/>
    <n v="3"/>
    <s v="Unnamed ProjectArquivosTotal TimeEntity"/>
    <n v="50"/>
    <n v="3.5363894499532775"/>
    <n v="1.1766434570133149"/>
    <n v="0.95"/>
    <n v="0.33439837052280896"/>
    <n v="1.6342264652107701"/>
    <n v="6.5527373550837904"/>
    <n v="0.58847912081681497"/>
    <n v="8.7476494546828292"/>
    <n v="3.62"/>
    <n v="0.33439837052280896"/>
    <n v="50"/>
    <n v="1"/>
  </r>
  <r>
    <x v="0"/>
    <s v="2023-12-02 21:14:51"/>
    <n v="26"/>
    <x v="0"/>
    <x v="3"/>
    <x v="0"/>
    <n v="0"/>
    <n v="2E+20"/>
    <n v="0"/>
    <n v="0"/>
    <n v="3"/>
    <s v="Unnamed ProjectArquivosTransf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26"/>
    <x v="0"/>
    <x v="4"/>
    <x v="0"/>
    <n v="3.1818048470858802"/>
    <n v="2E+20"/>
    <n v="2.1611872855886598"/>
    <n v="3.8219371155145501"/>
    <n v="3"/>
    <s v="Unnamed ProjectArquivosVA TimeEntity"/>
    <n v="50"/>
    <n v="2.3123810058270009"/>
    <n v="0.47735516285795621"/>
    <n v="0.95"/>
    <n v="0.13566283623888314"/>
    <n v="1.3773415743205399"/>
    <n v="3.3139161730180202"/>
    <n v="0.58847912081681497"/>
    <n v="4.9756405925629998"/>
    <n v="3.62"/>
    <n v="0.13566283623888314"/>
    <n v="50"/>
    <n v="1"/>
  </r>
  <r>
    <x v="0"/>
    <s v="2023-12-02 21:14:51"/>
    <n v="26"/>
    <x v="0"/>
    <x v="5"/>
    <x v="0"/>
    <n v="0.86866174830491505"/>
    <n v="2E+20"/>
    <n v="0"/>
    <n v="2.6059852449147498"/>
    <n v="3"/>
    <s v="Unnamed ProjectArquivosWait TimeEntity"/>
    <n v="50"/>
    <n v="1.2240084441262762"/>
    <n v="0.89867905452837749"/>
    <n v="0.95"/>
    <n v="0.2554017613968404"/>
    <n v="0"/>
    <n v="3.4345522286517598"/>
    <n v="0"/>
    <n v="6.7563093676697896"/>
    <n v="3.62"/>
    <n v="0.2554017613968404"/>
    <n v="50"/>
    <n v="1"/>
  </r>
  <r>
    <x v="0"/>
    <s v="2023-12-02 21:14:51"/>
    <n v="27"/>
    <x v="0"/>
    <x v="0"/>
    <x v="0"/>
    <n v="0"/>
    <n v="2E+20"/>
    <n v="0"/>
    <n v="0"/>
    <n v="4"/>
    <s v="Unnamed ProjectArquivosNVA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27"/>
    <x v="0"/>
    <x v="1"/>
    <x v="0"/>
    <n v="0"/>
    <n v="2E+20"/>
    <n v="0"/>
    <n v="0"/>
    <n v="4"/>
    <s v="Unnamed ProjectArquivosOth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27"/>
    <x v="0"/>
    <x v="2"/>
    <x v="0"/>
    <n v="4.7931659842887004"/>
    <n v="2E+20"/>
    <n v="1.82481267696958"/>
    <n v="6.9433940310461297"/>
    <n v="4"/>
    <s v="Unnamed ProjectArquivosTotal TimeEntity"/>
    <n v="50"/>
    <n v="3.5363894499532775"/>
    <n v="1.1766434570133149"/>
    <n v="0.95"/>
    <n v="0.33439837052280896"/>
    <n v="1.6342264652107701"/>
    <n v="6.5527373550837904"/>
    <n v="0.58847912081681497"/>
    <n v="8.7476494546828292"/>
    <n v="3.62"/>
    <n v="0.33439837052280896"/>
    <n v="50"/>
    <n v="1"/>
  </r>
  <r>
    <x v="0"/>
    <s v="2023-12-02 21:14:51"/>
    <n v="27"/>
    <x v="0"/>
    <x v="3"/>
    <x v="0"/>
    <n v="0"/>
    <n v="2E+20"/>
    <n v="0"/>
    <n v="0"/>
    <n v="4"/>
    <s v="Unnamed ProjectArquivosTransf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27"/>
    <x v="0"/>
    <x v="4"/>
    <x v="0"/>
    <n v="2.2091501850894999"/>
    <n v="2E+20"/>
    <n v="1.82481267696958"/>
    <n v="2.7266790352429702"/>
    <n v="4"/>
    <s v="Unnamed ProjectArquivosVA TimeEntity"/>
    <n v="50"/>
    <n v="2.3123810058270009"/>
    <n v="0.47735516285795621"/>
    <n v="0.95"/>
    <n v="0.13566283623888314"/>
    <n v="1.3773415743205399"/>
    <n v="3.3139161730180202"/>
    <n v="0.58847912081681497"/>
    <n v="4.9756405925629998"/>
    <n v="3.62"/>
    <n v="0.13566283623888314"/>
    <n v="50"/>
    <n v="1"/>
  </r>
  <r>
    <x v="0"/>
    <s v="2023-12-02 21:14:51"/>
    <n v="27"/>
    <x v="0"/>
    <x v="5"/>
    <x v="0"/>
    <n v="2.5840157991992001"/>
    <n v="2E+20"/>
    <n v="0"/>
    <n v="5.0391782854032696"/>
    <n v="4"/>
    <s v="Unnamed ProjectArquivosWait TimeEntity"/>
    <n v="50"/>
    <n v="1.2240084441262762"/>
    <n v="0.89867905452837749"/>
    <n v="0.95"/>
    <n v="0.2554017613968404"/>
    <n v="0"/>
    <n v="3.4345522286517598"/>
    <n v="0"/>
    <n v="6.7563093676697896"/>
    <n v="3.62"/>
    <n v="0.2554017613968404"/>
    <n v="50"/>
    <n v="1"/>
  </r>
  <r>
    <x v="0"/>
    <s v="2023-12-02 21:14:51"/>
    <n v="28"/>
    <x v="0"/>
    <x v="0"/>
    <x v="0"/>
    <n v="0"/>
    <n v="2E+20"/>
    <n v="0"/>
    <n v="0"/>
    <n v="4"/>
    <s v="Unnamed ProjectArquivosNVA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28"/>
    <x v="0"/>
    <x v="1"/>
    <x v="0"/>
    <n v="0"/>
    <n v="2E+20"/>
    <n v="0"/>
    <n v="0"/>
    <n v="4"/>
    <s v="Unnamed ProjectArquivosOth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28"/>
    <x v="0"/>
    <x v="2"/>
    <x v="0"/>
    <n v="2.85346805606367"/>
    <n v="2E+20"/>
    <n v="2.2439072164434402"/>
    <n v="3.6453831863688202"/>
    <n v="4"/>
    <s v="Unnamed ProjectArquivosTotal TimeEntity"/>
    <n v="50"/>
    <n v="3.5363894499532775"/>
    <n v="1.1766434570133149"/>
    <n v="0.95"/>
    <n v="0.33439837052280896"/>
    <n v="1.6342264652107701"/>
    <n v="6.5527373550837904"/>
    <n v="0.58847912081681497"/>
    <n v="8.7476494546828292"/>
    <n v="3.62"/>
    <n v="0.33439837052280896"/>
    <n v="50"/>
    <n v="1"/>
  </r>
  <r>
    <x v="0"/>
    <s v="2023-12-02 21:14:51"/>
    <n v="28"/>
    <x v="0"/>
    <x v="3"/>
    <x v="0"/>
    <n v="0"/>
    <n v="2E+20"/>
    <n v="0"/>
    <n v="0"/>
    <n v="4"/>
    <s v="Unnamed ProjectArquivosTransf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28"/>
    <x v="0"/>
    <x v="4"/>
    <x v="0"/>
    <n v="1.9065785602163601"/>
    <n v="2E+20"/>
    <n v="0.95206914087916295"/>
    <n v="2.5926983869971401"/>
    <n v="4"/>
    <s v="Unnamed ProjectArquivosVA TimeEntity"/>
    <n v="50"/>
    <n v="2.3123810058270009"/>
    <n v="0.47735516285795621"/>
    <n v="0.95"/>
    <n v="0.13566283623888314"/>
    <n v="1.3773415743205399"/>
    <n v="3.3139161730180202"/>
    <n v="0.58847912081681497"/>
    <n v="4.9756405925629998"/>
    <n v="3.62"/>
    <n v="0.13566283623888314"/>
    <n v="50"/>
    <n v="1"/>
  </r>
  <r>
    <x v="0"/>
    <s v="2023-12-02 21:14:51"/>
    <n v="28"/>
    <x v="0"/>
    <x v="5"/>
    <x v="0"/>
    <n v="0.94688949584730997"/>
    <n v="2E+20"/>
    <n v="0"/>
    <n v="1.9413415473659901"/>
    <n v="4"/>
    <s v="Unnamed ProjectArquivosWait TimeEntity"/>
    <n v="50"/>
    <n v="1.2240084441262762"/>
    <n v="0.89867905452837749"/>
    <n v="0.95"/>
    <n v="0.2554017613968404"/>
    <n v="0"/>
    <n v="3.4345522286517598"/>
    <n v="0"/>
    <n v="6.7563093676697896"/>
    <n v="3.62"/>
    <n v="0.2554017613968404"/>
    <n v="50"/>
    <n v="1"/>
  </r>
  <r>
    <x v="0"/>
    <s v="2023-12-02 21:14:51"/>
    <n v="29"/>
    <x v="0"/>
    <x v="0"/>
    <x v="0"/>
    <n v="0"/>
    <n v="2E+20"/>
    <n v="0"/>
    <n v="0"/>
    <n v="4"/>
    <s v="Unnamed ProjectArquivosNVA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29"/>
    <x v="0"/>
    <x v="1"/>
    <x v="0"/>
    <n v="0"/>
    <n v="2E+20"/>
    <n v="0"/>
    <n v="0"/>
    <n v="4"/>
    <s v="Unnamed ProjectArquivosOth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29"/>
    <x v="0"/>
    <x v="2"/>
    <x v="0"/>
    <n v="5.0212068441155697"/>
    <n v="2E+20"/>
    <n v="2.7081629579480602"/>
    <n v="7.3070358857188502"/>
    <n v="4"/>
    <s v="Unnamed ProjectArquivosTotal TimeEntity"/>
    <n v="50"/>
    <n v="3.5363894499532775"/>
    <n v="1.1766434570133149"/>
    <n v="0.95"/>
    <n v="0.33439837052280896"/>
    <n v="1.6342264652107701"/>
    <n v="6.5527373550837904"/>
    <n v="0.58847912081681497"/>
    <n v="8.7476494546828292"/>
    <n v="3.62"/>
    <n v="0.33439837052280896"/>
    <n v="50"/>
    <n v="1"/>
  </r>
  <r>
    <x v="0"/>
    <s v="2023-12-02 21:14:51"/>
    <n v="29"/>
    <x v="0"/>
    <x v="3"/>
    <x v="0"/>
    <n v="0"/>
    <n v="2E+20"/>
    <n v="0"/>
    <n v="0"/>
    <n v="4"/>
    <s v="Unnamed ProjectArquivosTransf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29"/>
    <x v="0"/>
    <x v="4"/>
    <x v="0"/>
    <n v="2.35658796855224"/>
    <n v="2E+20"/>
    <n v="1.64342235506808"/>
    <n v="2.7081629579480602"/>
    <n v="4"/>
    <s v="Unnamed ProjectArquivosVA TimeEntity"/>
    <n v="50"/>
    <n v="2.3123810058270009"/>
    <n v="0.47735516285795621"/>
    <n v="0.95"/>
    <n v="0.13566283623888314"/>
    <n v="1.3773415743205399"/>
    <n v="3.3139161730180202"/>
    <n v="0.58847912081681497"/>
    <n v="4.9756405925629998"/>
    <n v="3.62"/>
    <n v="0.13566283623888314"/>
    <n v="50"/>
    <n v="1"/>
  </r>
  <r>
    <x v="0"/>
    <s v="2023-12-02 21:14:51"/>
    <n v="29"/>
    <x v="0"/>
    <x v="5"/>
    <x v="0"/>
    <n v="2.6646188755633302"/>
    <n v="2E+20"/>
    <n v="0"/>
    <n v="4.6886647189490498"/>
    <n v="4"/>
    <s v="Unnamed ProjectArquivosWait TimeEntity"/>
    <n v="50"/>
    <n v="1.2240084441262762"/>
    <n v="0.89867905452837749"/>
    <n v="0.95"/>
    <n v="0.2554017613968404"/>
    <n v="0"/>
    <n v="3.4345522286517598"/>
    <n v="0"/>
    <n v="6.7563093676697896"/>
    <n v="3.62"/>
    <n v="0.2554017613968404"/>
    <n v="50"/>
    <n v="1"/>
  </r>
  <r>
    <x v="0"/>
    <s v="2023-12-02 21:14:51"/>
    <n v="30"/>
    <x v="0"/>
    <x v="0"/>
    <x v="0"/>
    <n v="0"/>
    <n v="2E+20"/>
    <n v="0"/>
    <n v="0"/>
    <n v="5"/>
    <s v="Unnamed ProjectArquivosNVA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30"/>
    <x v="0"/>
    <x v="1"/>
    <x v="0"/>
    <n v="0"/>
    <n v="2E+20"/>
    <n v="0"/>
    <n v="0"/>
    <n v="5"/>
    <s v="Unnamed ProjectArquivosOth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30"/>
    <x v="0"/>
    <x v="2"/>
    <x v="0"/>
    <n v="2.2781467387495602"/>
    <n v="2E+20"/>
    <n v="0.74895921082646899"/>
    <n v="4.2795457843344797"/>
    <n v="5"/>
    <s v="Unnamed ProjectArquivosTotal TimeEntity"/>
    <n v="50"/>
    <n v="3.5363894499532775"/>
    <n v="1.1766434570133149"/>
    <n v="0.95"/>
    <n v="0.33439837052280896"/>
    <n v="1.6342264652107701"/>
    <n v="6.5527373550837904"/>
    <n v="0.58847912081681497"/>
    <n v="8.7476494546828292"/>
    <n v="3.62"/>
    <n v="0.33439837052280896"/>
    <n v="50"/>
    <n v="1"/>
  </r>
  <r>
    <x v="0"/>
    <s v="2023-12-02 21:14:51"/>
    <n v="30"/>
    <x v="0"/>
    <x v="3"/>
    <x v="0"/>
    <n v="0"/>
    <n v="2E+20"/>
    <n v="0"/>
    <n v="0"/>
    <n v="5"/>
    <s v="Unnamed ProjectArquivosTransf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30"/>
    <x v="0"/>
    <x v="4"/>
    <x v="0"/>
    <n v="1.3773415743205399"/>
    <n v="2E+20"/>
    <n v="0.74895921082646899"/>
    <n v="2.1287234720595301"/>
    <n v="5"/>
    <s v="Unnamed ProjectArquivosVA TimeEntity"/>
    <n v="50"/>
    <n v="2.3123810058270009"/>
    <n v="0.47735516285795621"/>
    <n v="0.95"/>
    <n v="0.13566283623888314"/>
    <n v="1.3773415743205399"/>
    <n v="3.3139161730180202"/>
    <n v="0.58847912081681497"/>
    <n v="4.9756405925629998"/>
    <n v="3.62"/>
    <n v="0.13566283623888314"/>
    <n v="50"/>
    <n v="1"/>
  </r>
  <r>
    <x v="0"/>
    <s v="2023-12-02 21:14:51"/>
    <n v="30"/>
    <x v="0"/>
    <x v="5"/>
    <x v="0"/>
    <n v="0.90080516442902403"/>
    <n v="2E+20"/>
    <n v="0"/>
    <n v="2.1508223122749599"/>
    <n v="5"/>
    <s v="Unnamed ProjectArquivosWait TimeEntity"/>
    <n v="50"/>
    <n v="1.2240084441262762"/>
    <n v="0.89867905452837749"/>
    <n v="0.95"/>
    <n v="0.2554017613968404"/>
    <n v="0"/>
    <n v="3.4345522286517598"/>
    <n v="0"/>
    <n v="6.7563093676697896"/>
    <n v="3.62"/>
    <n v="0.2554017613968404"/>
    <n v="50"/>
    <n v="1"/>
  </r>
  <r>
    <x v="0"/>
    <s v="2023-12-02 21:14:51"/>
    <n v="31"/>
    <x v="0"/>
    <x v="0"/>
    <x v="0"/>
    <n v="0"/>
    <n v="2E+20"/>
    <n v="0"/>
    <n v="0"/>
    <n v="3"/>
    <s v="Unnamed ProjectArquivosNVA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31"/>
    <x v="0"/>
    <x v="1"/>
    <x v="0"/>
    <n v="0"/>
    <n v="2E+20"/>
    <n v="0"/>
    <n v="0"/>
    <n v="3"/>
    <s v="Unnamed ProjectArquivosOth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31"/>
    <x v="0"/>
    <x v="2"/>
    <x v="0"/>
    <n v="2.9930544994655799"/>
    <n v="2E+20"/>
    <n v="2.24512182059792"/>
    <n v="3.6893716900742102"/>
    <n v="3"/>
    <s v="Unnamed ProjectArquivosTotal TimeEntity"/>
    <n v="50"/>
    <n v="3.5363894499532775"/>
    <n v="1.1766434570133149"/>
    <n v="0.95"/>
    <n v="0.33439837052280896"/>
    <n v="1.6342264652107701"/>
    <n v="6.5527373550837904"/>
    <n v="0.58847912081681497"/>
    <n v="8.7476494546828292"/>
    <n v="3.62"/>
    <n v="0.33439837052280896"/>
    <n v="50"/>
    <n v="1"/>
  </r>
  <r>
    <x v="0"/>
    <s v="2023-12-02 21:14:51"/>
    <n v="31"/>
    <x v="0"/>
    <x v="3"/>
    <x v="0"/>
    <n v="0"/>
    <n v="2E+20"/>
    <n v="0"/>
    <n v="0"/>
    <n v="3"/>
    <s v="Unnamed ProjectArquivosTransf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31"/>
    <x v="0"/>
    <x v="4"/>
    <x v="0"/>
    <n v="2.31793423074663"/>
    <n v="2E+20"/>
    <n v="1.8649599988629499"/>
    <n v="2.8437208727790102"/>
    <n v="3"/>
    <s v="Unnamed ProjectArquivosVA TimeEntity"/>
    <n v="50"/>
    <n v="2.3123810058270009"/>
    <n v="0.47735516285795621"/>
    <n v="0.95"/>
    <n v="0.13566283623888314"/>
    <n v="1.3773415743205399"/>
    <n v="3.3139161730180202"/>
    <n v="0.58847912081681497"/>
    <n v="4.9756405925629998"/>
    <n v="3.62"/>
    <n v="0.13566283623888314"/>
    <n v="50"/>
    <n v="1"/>
  </r>
  <r>
    <x v="0"/>
    <s v="2023-12-02 21:14:51"/>
    <n v="31"/>
    <x v="0"/>
    <x v="5"/>
    <x v="0"/>
    <n v="0.67512026871895303"/>
    <n v="2E+20"/>
    <n v="0"/>
    <n v="1.17970998886166"/>
    <n v="3"/>
    <s v="Unnamed ProjectArquivosWait TimeEntity"/>
    <n v="50"/>
    <n v="1.2240084441262762"/>
    <n v="0.89867905452837749"/>
    <n v="0.95"/>
    <n v="0.2554017613968404"/>
    <n v="0"/>
    <n v="3.4345522286517598"/>
    <n v="0"/>
    <n v="6.7563093676697896"/>
    <n v="3.62"/>
    <n v="0.2554017613968404"/>
    <n v="50"/>
    <n v="1"/>
  </r>
  <r>
    <x v="0"/>
    <s v="2023-12-02 21:14:51"/>
    <n v="32"/>
    <x v="0"/>
    <x v="0"/>
    <x v="0"/>
    <n v="0"/>
    <n v="2E+20"/>
    <n v="0"/>
    <n v="0"/>
    <n v="2"/>
    <s v="Unnamed ProjectArquivosNVA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32"/>
    <x v="0"/>
    <x v="1"/>
    <x v="0"/>
    <n v="0"/>
    <n v="2E+20"/>
    <n v="0"/>
    <n v="0"/>
    <n v="2"/>
    <s v="Unnamed ProjectArquivosOth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32"/>
    <x v="0"/>
    <x v="2"/>
    <x v="0"/>
    <n v="2.6088884466715201"/>
    <n v="2E+20"/>
    <n v="1.46872073909846"/>
    <n v="3.7490561542445802"/>
    <n v="2"/>
    <s v="Unnamed ProjectArquivosTotal TimeEntity"/>
    <n v="50"/>
    <n v="3.5363894499532775"/>
    <n v="1.1766434570133149"/>
    <n v="0.95"/>
    <n v="0.33439837052280896"/>
    <n v="1.6342264652107701"/>
    <n v="6.5527373550837904"/>
    <n v="0.58847912081681497"/>
    <n v="8.7476494546828292"/>
    <n v="3.62"/>
    <n v="0.33439837052280896"/>
    <n v="50"/>
    <n v="1"/>
  </r>
  <r>
    <x v="0"/>
    <s v="2023-12-02 21:14:51"/>
    <n v="32"/>
    <x v="0"/>
    <x v="3"/>
    <x v="0"/>
    <n v="0"/>
    <n v="2E+20"/>
    <n v="0"/>
    <n v="0"/>
    <n v="2"/>
    <s v="Unnamed ProjectArquivosTransf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32"/>
    <x v="0"/>
    <x v="4"/>
    <x v="0"/>
    <n v="2.6088884466715201"/>
    <n v="2E+20"/>
    <n v="1.46872073909846"/>
    <n v="3.7490561542445802"/>
    <n v="2"/>
    <s v="Unnamed ProjectArquivosVA TimeEntity"/>
    <n v="50"/>
    <n v="2.3123810058270009"/>
    <n v="0.47735516285795621"/>
    <n v="0.95"/>
    <n v="0.13566283623888314"/>
    <n v="1.3773415743205399"/>
    <n v="3.3139161730180202"/>
    <n v="0.58847912081681497"/>
    <n v="4.9756405925629998"/>
    <n v="3.62"/>
    <n v="0.13566283623888314"/>
    <n v="50"/>
    <n v="1"/>
  </r>
  <r>
    <x v="0"/>
    <s v="2023-12-02 21:14:51"/>
    <n v="32"/>
    <x v="0"/>
    <x v="5"/>
    <x v="0"/>
    <n v="0"/>
    <n v="2E+20"/>
    <n v="0"/>
    <n v="0"/>
    <n v="2"/>
    <s v="Unnamed ProjectArquivosWait TimeEntity"/>
    <n v="50"/>
    <n v="1.2240084441262762"/>
    <n v="0.89867905452837749"/>
    <n v="0.95"/>
    <n v="0.2554017613968404"/>
    <n v="0"/>
    <n v="3.4345522286517598"/>
    <n v="0"/>
    <n v="6.7563093676697896"/>
    <n v="3.62"/>
    <n v="0.2554017613968404"/>
    <n v="50"/>
    <n v="1"/>
  </r>
  <r>
    <x v="0"/>
    <s v="2023-12-02 21:14:51"/>
    <n v="33"/>
    <x v="0"/>
    <x v="0"/>
    <x v="0"/>
    <n v="0"/>
    <n v="2E+20"/>
    <n v="0"/>
    <n v="0"/>
    <n v="5"/>
    <s v="Unnamed ProjectArquivosNVA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33"/>
    <x v="0"/>
    <x v="1"/>
    <x v="0"/>
    <n v="0"/>
    <n v="2E+20"/>
    <n v="0"/>
    <n v="0"/>
    <n v="5"/>
    <s v="Unnamed ProjectArquivosOth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33"/>
    <x v="0"/>
    <x v="2"/>
    <x v="0"/>
    <n v="4.757579402487"/>
    <n v="2E+20"/>
    <n v="2.1449297451201899"/>
    <n v="7.4028865180869197"/>
    <n v="5"/>
    <s v="Unnamed ProjectArquivosTotal TimeEntity"/>
    <n v="50"/>
    <n v="3.5363894499532775"/>
    <n v="1.1766434570133149"/>
    <n v="0.95"/>
    <n v="0.33439837052280896"/>
    <n v="1.6342264652107701"/>
    <n v="6.5527373550837904"/>
    <n v="0.58847912081681497"/>
    <n v="8.7476494546828292"/>
    <n v="3.62"/>
    <n v="0.33439837052280896"/>
    <n v="50"/>
    <n v="1"/>
  </r>
  <r>
    <x v="0"/>
    <s v="2023-12-02 21:14:51"/>
    <n v="33"/>
    <x v="0"/>
    <x v="3"/>
    <x v="0"/>
    <n v="0"/>
    <n v="2E+20"/>
    <n v="0"/>
    <n v="0"/>
    <n v="5"/>
    <s v="Unnamed ProjectArquivosTransf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33"/>
    <x v="0"/>
    <x v="4"/>
    <x v="0"/>
    <n v="1.9826563251809799"/>
    <n v="2E+20"/>
    <n v="0.88846669541249801"/>
    <n v="2.5553727616154802"/>
    <n v="5"/>
    <s v="Unnamed ProjectArquivosVA TimeEntity"/>
    <n v="50"/>
    <n v="2.3123810058270009"/>
    <n v="0.47735516285795621"/>
    <n v="0.95"/>
    <n v="0.13566283623888314"/>
    <n v="1.3773415743205399"/>
    <n v="3.3139161730180202"/>
    <n v="0.58847912081681497"/>
    <n v="4.9756405925629998"/>
    <n v="3.62"/>
    <n v="0.13566283623888314"/>
    <n v="50"/>
    <n v="1"/>
  </r>
  <r>
    <x v="0"/>
    <s v="2023-12-02 21:14:51"/>
    <n v="33"/>
    <x v="0"/>
    <x v="5"/>
    <x v="0"/>
    <n v="2.7749230773060201"/>
    <n v="2E+20"/>
    <n v="0"/>
    <n v="4.8475137564714501"/>
    <n v="5"/>
    <s v="Unnamed ProjectArquivosWait TimeEntity"/>
    <n v="50"/>
    <n v="1.2240084441262762"/>
    <n v="0.89867905452837749"/>
    <n v="0.95"/>
    <n v="0.2554017613968404"/>
    <n v="0"/>
    <n v="3.4345522286517598"/>
    <n v="0"/>
    <n v="6.7563093676697896"/>
    <n v="3.62"/>
    <n v="0.2554017613968404"/>
    <n v="50"/>
    <n v="1"/>
  </r>
  <r>
    <x v="0"/>
    <s v="2023-12-02 21:14:51"/>
    <n v="34"/>
    <x v="0"/>
    <x v="0"/>
    <x v="0"/>
    <n v="0"/>
    <n v="2E+20"/>
    <n v="0"/>
    <n v="0"/>
    <n v="5"/>
    <s v="Unnamed ProjectArquivosNVA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34"/>
    <x v="0"/>
    <x v="1"/>
    <x v="0"/>
    <n v="0"/>
    <n v="2E+20"/>
    <n v="0"/>
    <n v="0"/>
    <n v="5"/>
    <s v="Unnamed ProjectArquivosOth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34"/>
    <x v="0"/>
    <x v="2"/>
    <x v="0"/>
    <n v="3.8481187546254501"/>
    <n v="2E+20"/>
    <n v="1.0020187737398301"/>
    <n v="6.7069089882939199"/>
    <n v="5"/>
    <s v="Unnamed ProjectArquivosTotal TimeEntity"/>
    <n v="50"/>
    <n v="3.5363894499532775"/>
    <n v="1.1766434570133149"/>
    <n v="0.95"/>
    <n v="0.33439837052280896"/>
    <n v="1.6342264652107701"/>
    <n v="6.5527373550837904"/>
    <n v="0.58847912081681497"/>
    <n v="8.7476494546828292"/>
    <n v="3.62"/>
    <n v="0.33439837052280896"/>
    <n v="50"/>
    <n v="1"/>
  </r>
  <r>
    <x v="0"/>
    <s v="2023-12-02 21:14:51"/>
    <n v="34"/>
    <x v="0"/>
    <x v="3"/>
    <x v="0"/>
    <n v="0"/>
    <n v="2E+20"/>
    <n v="0"/>
    <n v="0"/>
    <n v="5"/>
    <s v="Unnamed ProjectArquivosTransf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34"/>
    <x v="0"/>
    <x v="4"/>
    <x v="0"/>
    <n v="1.97270222889249"/>
    <n v="2E+20"/>
    <n v="1.0020187737398301"/>
    <n v="3.2041020584914501"/>
    <n v="5"/>
    <s v="Unnamed ProjectArquivosVA TimeEntity"/>
    <n v="50"/>
    <n v="2.3123810058270009"/>
    <n v="0.47735516285795621"/>
    <n v="0.95"/>
    <n v="0.13566283623888314"/>
    <n v="1.3773415743205399"/>
    <n v="3.3139161730180202"/>
    <n v="0.58847912081681497"/>
    <n v="4.9756405925629998"/>
    <n v="3.62"/>
    <n v="0.13566283623888314"/>
    <n v="50"/>
    <n v="1"/>
  </r>
  <r>
    <x v="0"/>
    <s v="2023-12-02 21:14:51"/>
    <n v="34"/>
    <x v="0"/>
    <x v="5"/>
    <x v="0"/>
    <n v="1.87541652573297"/>
    <n v="2E+20"/>
    <n v="0"/>
    <n v="3.5028069298024702"/>
    <n v="5"/>
    <s v="Unnamed ProjectArquivosWait TimeEntity"/>
    <n v="50"/>
    <n v="1.2240084441262762"/>
    <n v="0.89867905452837749"/>
    <n v="0.95"/>
    <n v="0.2554017613968404"/>
    <n v="0"/>
    <n v="3.4345522286517598"/>
    <n v="0"/>
    <n v="6.7563093676697896"/>
    <n v="3.62"/>
    <n v="0.2554017613968404"/>
    <n v="50"/>
    <n v="1"/>
  </r>
  <r>
    <x v="0"/>
    <s v="2023-12-02 21:14:51"/>
    <n v="35"/>
    <x v="0"/>
    <x v="0"/>
    <x v="0"/>
    <n v="0"/>
    <n v="2E+20"/>
    <n v="0"/>
    <n v="0"/>
    <n v="5"/>
    <s v="Unnamed ProjectArquivosNVA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35"/>
    <x v="0"/>
    <x v="1"/>
    <x v="0"/>
    <n v="0"/>
    <n v="2E+20"/>
    <n v="0"/>
    <n v="0"/>
    <n v="5"/>
    <s v="Unnamed ProjectArquivosOth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35"/>
    <x v="0"/>
    <x v="2"/>
    <x v="0"/>
    <n v="4.0826173768626299"/>
    <n v="2E+20"/>
    <n v="1.7154021844557901"/>
    <n v="5.4013904763544902"/>
    <n v="5"/>
    <s v="Unnamed ProjectArquivosTotal TimeEntity"/>
    <n v="50"/>
    <n v="3.5363894499532775"/>
    <n v="1.1766434570133149"/>
    <n v="0.95"/>
    <n v="0.33439837052280896"/>
    <n v="1.6342264652107701"/>
    <n v="6.5527373550837904"/>
    <n v="0.58847912081681497"/>
    <n v="8.7476494546828292"/>
    <n v="3.62"/>
    <n v="0.33439837052280896"/>
    <n v="50"/>
    <n v="1"/>
  </r>
  <r>
    <x v="0"/>
    <s v="2023-12-02 21:14:51"/>
    <n v="35"/>
    <x v="0"/>
    <x v="3"/>
    <x v="0"/>
    <n v="0"/>
    <n v="2E+20"/>
    <n v="0"/>
    <n v="0"/>
    <n v="5"/>
    <s v="Unnamed ProjectArquivosTransf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35"/>
    <x v="0"/>
    <x v="4"/>
    <x v="0"/>
    <n v="1.8870461177846001"/>
    <n v="2E+20"/>
    <n v="1.08499327670541"/>
    <n v="2.9916868787278301"/>
    <n v="5"/>
    <s v="Unnamed ProjectArquivosVA TimeEntity"/>
    <n v="50"/>
    <n v="2.3123810058270009"/>
    <n v="0.47735516285795621"/>
    <n v="0.95"/>
    <n v="0.13566283623888314"/>
    <n v="1.3773415743205399"/>
    <n v="3.3139161730180202"/>
    <n v="0.58847912081681497"/>
    <n v="4.9756405925629998"/>
    <n v="3.62"/>
    <n v="0.13566283623888314"/>
    <n v="50"/>
    <n v="1"/>
  </r>
  <r>
    <x v="0"/>
    <s v="2023-12-02 21:14:51"/>
    <n v="35"/>
    <x v="0"/>
    <x v="5"/>
    <x v="0"/>
    <n v="2.1955712590780201"/>
    <n v="2E+20"/>
    <n v="0"/>
    <n v="3.8948755395015899"/>
    <n v="5"/>
    <s v="Unnamed ProjectArquivosWait TimeEntity"/>
    <n v="50"/>
    <n v="1.2240084441262762"/>
    <n v="0.89867905452837749"/>
    <n v="0.95"/>
    <n v="0.2554017613968404"/>
    <n v="0"/>
    <n v="3.4345522286517598"/>
    <n v="0"/>
    <n v="6.7563093676697896"/>
    <n v="3.62"/>
    <n v="0.2554017613968404"/>
    <n v="50"/>
    <n v="1"/>
  </r>
  <r>
    <x v="0"/>
    <s v="2023-12-02 21:14:51"/>
    <n v="36"/>
    <x v="0"/>
    <x v="0"/>
    <x v="0"/>
    <n v="0"/>
    <n v="2E+20"/>
    <n v="0"/>
    <n v="0"/>
    <n v="4"/>
    <s v="Unnamed ProjectArquivosNVA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36"/>
    <x v="0"/>
    <x v="1"/>
    <x v="0"/>
    <n v="0"/>
    <n v="2E+20"/>
    <n v="0"/>
    <n v="0"/>
    <n v="4"/>
    <s v="Unnamed ProjectArquivosOth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36"/>
    <x v="0"/>
    <x v="2"/>
    <x v="0"/>
    <n v="3.22796978812553"/>
    <n v="2E+20"/>
    <n v="1.3909313453304899"/>
    <n v="5.5129190200837499"/>
    <n v="4"/>
    <s v="Unnamed ProjectArquivosTotal TimeEntity"/>
    <n v="50"/>
    <n v="3.5363894499532775"/>
    <n v="1.1766434570133149"/>
    <n v="0.95"/>
    <n v="0.33439837052280896"/>
    <n v="1.6342264652107701"/>
    <n v="6.5527373550837904"/>
    <n v="0.58847912081681497"/>
    <n v="8.7476494546828292"/>
    <n v="3.62"/>
    <n v="0.33439837052280896"/>
    <n v="50"/>
    <n v="1"/>
  </r>
  <r>
    <x v="0"/>
    <s v="2023-12-02 21:14:51"/>
    <n v="36"/>
    <x v="0"/>
    <x v="3"/>
    <x v="0"/>
    <n v="0"/>
    <n v="2E+20"/>
    <n v="0"/>
    <n v="0"/>
    <n v="4"/>
    <s v="Unnamed ProjectArquivosTransf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36"/>
    <x v="0"/>
    <x v="4"/>
    <x v="0"/>
    <n v="2.04915773117445"/>
    <n v="2E+20"/>
    <n v="1.042376650844"/>
    <n v="3.1395319408309499"/>
    <n v="4"/>
    <s v="Unnamed ProjectArquivosVA TimeEntity"/>
    <n v="50"/>
    <n v="2.3123810058270009"/>
    <n v="0.47735516285795621"/>
    <n v="0.95"/>
    <n v="0.13566283623888314"/>
    <n v="1.3773415743205399"/>
    <n v="3.3139161730180202"/>
    <n v="0.58847912081681497"/>
    <n v="4.9756405925629998"/>
    <n v="3.62"/>
    <n v="0.13566283623888314"/>
    <n v="50"/>
    <n v="1"/>
  </r>
  <r>
    <x v="0"/>
    <s v="2023-12-02 21:14:51"/>
    <n v="36"/>
    <x v="0"/>
    <x v="5"/>
    <x v="0"/>
    <n v="1.17881205695108"/>
    <n v="2E+20"/>
    <n v="0"/>
    <n v="2.8891280323913699"/>
    <n v="4"/>
    <s v="Unnamed ProjectArquivosWait TimeEntity"/>
    <n v="50"/>
    <n v="1.2240084441262762"/>
    <n v="0.89867905452837749"/>
    <n v="0.95"/>
    <n v="0.2554017613968404"/>
    <n v="0"/>
    <n v="3.4345522286517598"/>
    <n v="0"/>
    <n v="6.7563093676697896"/>
    <n v="3.62"/>
    <n v="0.2554017613968404"/>
    <n v="50"/>
    <n v="1"/>
  </r>
  <r>
    <x v="0"/>
    <s v="2023-12-02 21:14:51"/>
    <n v="37"/>
    <x v="0"/>
    <x v="0"/>
    <x v="0"/>
    <n v="0"/>
    <n v="2E+20"/>
    <n v="0"/>
    <n v="0"/>
    <n v="3"/>
    <s v="Unnamed ProjectArquivosNVA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37"/>
    <x v="0"/>
    <x v="1"/>
    <x v="0"/>
    <n v="0"/>
    <n v="2E+20"/>
    <n v="0"/>
    <n v="0"/>
    <n v="3"/>
    <s v="Unnamed ProjectArquivosOth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37"/>
    <x v="0"/>
    <x v="2"/>
    <x v="0"/>
    <n v="5.8120608309622002"/>
    <n v="2E+20"/>
    <n v="3.40498638304061"/>
    <n v="8.7476494546828292"/>
    <n v="3"/>
    <s v="Unnamed ProjectArquivosTotal TimeEntity"/>
    <n v="50"/>
    <n v="3.5363894499532775"/>
    <n v="1.1766434570133149"/>
    <n v="0.95"/>
    <n v="0.33439837052280896"/>
    <n v="1.6342264652107701"/>
    <n v="6.5527373550837904"/>
    <n v="0.58847912081681497"/>
    <n v="8.7476494546828292"/>
    <n v="3.62"/>
    <n v="0.33439837052280896"/>
    <n v="50"/>
    <n v="1"/>
  </r>
  <r>
    <x v="0"/>
    <s v="2023-12-02 21:14:51"/>
    <n v="37"/>
    <x v="0"/>
    <x v="3"/>
    <x v="0"/>
    <n v="0"/>
    <n v="2E+20"/>
    <n v="0"/>
    <n v="0"/>
    <n v="3"/>
    <s v="Unnamed ProjectArquivosTransf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37"/>
    <x v="0"/>
    <x v="4"/>
    <x v="0"/>
    <n v="3.2669271102214101"/>
    <n v="2E+20"/>
    <n v="2.8070368869298399"/>
    <n v="3.5887580606937699"/>
    <n v="3"/>
    <s v="Unnamed ProjectArquivosVA TimeEntity"/>
    <n v="50"/>
    <n v="2.3123810058270009"/>
    <n v="0.47735516285795621"/>
    <n v="0.95"/>
    <n v="0.13566283623888314"/>
    <n v="1.3773415743205399"/>
    <n v="3.3139161730180202"/>
    <n v="0.58847912081681497"/>
    <n v="4.9756405925629998"/>
    <n v="3.62"/>
    <n v="0.13566283623888314"/>
    <n v="50"/>
    <n v="1"/>
  </r>
  <r>
    <x v="0"/>
    <s v="2023-12-02 21:14:51"/>
    <n v="37"/>
    <x v="0"/>
    <x v="5"/>
    <x v="0"/>
    <n v="2.54513372074079"/>
    <n v="2E+20"/>
    <n v="0"/>
    <n v="5.1588913939890499"/>
    <n v="3"/>
    <s v="Unnamed ProjectArquivosWait TimeEntity"/>
    <n v="50"/>
    <n v="1.2240084441262762"/>
    <n v="0.89867905452837749"/>
    <n v="0.95"/>
    <n v="0.2554017613968404"/>
    <n v="0"/>
    <n v="3.4345522286517598"/>
    <n v="0"/>
    <n v="6.7563093676697896"/>
    <n v="3.62"/>
    <n v="0.2554017613968404"/>
    <n v="50"/>
    <n v="1"/>
  </r>
  <r>
    <x v="0"/>
    <s v="2023-12-02 21:14:51"/>
    <n v="38"/>
    <x v="0"/>
    <x v="0"/>
    <x v="0"/>
    <n v="0"/>
    <n v="2E+20"/>
    <n v="0"/>
    <n v="0"/>
    <n v="3"/>
    <s v="Unnamed ProjectArquivosNVA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38"/>
    <x v="0"/>
    <x v="1"/>
    <x v="0"/>
    <n v="0"/>
    <n v="2E+20"/>
    <n v="0"/>
    <n v="0"/>
    <n v="3"/>
    <s v="Unnamed ProjectArquivosOth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38"/>
    <x v="0"/>
    <x v="2"/>
    <x v="0"/>
    <n v="4.2594006896506897"/>
    <n v="2E+20"/>
    <n v="1.1777982576966"/>
    <n v="6.7594234096946701"/>
    <n v="3"/>
    <s v="Unnamed ProjectArquivosTotal TimeEntity"/>
    <n v="50"/>
    <n v="3.5363894499532775"/>
    <n v="1.1766434570133149"/>
    <n v="0.95"/>
    <n v="0.33439837052280896"/>
    <n v="1.6342264652107701"/>
    <n v="6.5527373550837904"/>
    <n v="0.58847912081681497"/>
    <n v="8.7476494546828292"/>
    <n v="3.62"/>
    <n v="0.33439837052280896"/>
    <n v="50"/>
    <n v="1"/>
  </r>
  <r>
    <x v="0"/>
    <s v="2023-12-02 21:14:51"/>
    <n v="38"/>
    <x v="0"/>
    <x v="3"/>
    <x v="0"/>
    <n v="0"/>
    <n v="2E+20"/>
    <n v="0"/>
    <n v="0"/>
    <n v="3"/>
    <s v="Unnamed ProjectArquivosTransf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38"/>
    <x v="0"/>
    <x v="4"/>
    <x v="0"/>
    <n v="2.5332124317481499"/>
    <n v="2E+20"/>
    <n v="1.1777982576966"/>
    <n v="4.0872625366312096"/>
    <n v="3"/>
    <s v="Unnamed ProjectArquivosVA TimeEntity"/>
    <n v="50"/>
    <n v="2.3123810058270009"/>
    <n v="0.47735516285795621"/>
    <n v="0.95"/>
    <n v="0.13566283623888314"/>
    <n v="1.3773415743205399"/>
    <n v="3.3139161730180202"/>
    <n v="0.58847912081681497"/>
    <n v="4.9756405925629998"/>
    <n v="3.62"/>
    <n v="0.13566283623888314"/>
    <n v="50"/>
    <n v="1"/>
  </r>
  <r>
    <x v="0"/>
    <s v="2023-12-02 21:14:51"/>
    <n v="38"/>
    <x v="0"/>
    <x v="5"/>
    <x v="0"/>
    <n v="1.72618825790254"/>
    <n v="2E+20"/>
    <n v="0"/>
    <n v="4.4248469087780196"/>
    <n v="3"/>
    <s v="Unnamed ProjectArquivosWait TimeEntity"/>
    <n v="50"/>
    <n v="1.2240084441262762"/>
    <n v="0.89867905452837749"/>
    <n v="0.95"/>
    <n v="0.2554017613968404"/>
    <n v="0"/>
    <n v="3.4345522286517598"/>
    <n v="0"/>
    <n v="6.7563093676697896"/>
    <n v="3.62"/>
    <n v="0.2554017613968404"/>
    <n v="50"/>
    <n v="1"/>
  </r>
  <r>
    <x v="0"/>
    <s v="2023-12-02 21:14:51"/>
    <n v="39"/>
    <x v="0"/>
    <x v="0"/>
    <x v="0"/>
    <n v="0"/>
    <n v="2E+20"/>
    <n v="0"/>
    <n v="0"/>
    <n v="3"/>
    <s v="Unnamed ProjectArquivosNVA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39"/>
    <x v="0"/>
    <x v="1"/>
    <x v="0"/>
    <n v="0"/>
    <n v="2E+20"/>
    <n v="0"/>
    <n v="0"/>
    <n v="3"/>
    <s v="Unnamed ProjectArquivosOth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39"/>
    <x v="0"/>
    <x v="2"/>
    <x v="0"/>
    <n v="3.6011102203193102"/>
    <n v="2E+20"/>
    <n v="1.6344799843381499"/>
    <n v="5.7246484071848904"/>
    <n v="3"/>
    <s v="Unnamed ProjectArquivosTotal TimeEntity"/>
    <n v="50"/>
    <n v="3.5363894499532775"/>
    <n v="1.1766434570133149"/>
    <n v="0.95"/>
    <n v="0.33439837052280896"/>
    <n v="1.6342264652107701"/>
    <n v="6.5527373550837904"/>
    <n v="0.58847912081681497"/>
    <n v="8.7476494546828292"/>
    <n v="3.62"/>
    <n v="0.33439837052280896"/>
    <n v="50"/>
    <n v="1"/>
  </r>
  <r>
    <x v="0"/>
    <s v="2023-12-02 21:14:51"/>
    <n v="39"/>
    <x v="0"/>
    <x v="3"/>
    <x v="0"/>
    <n v="0"/>
    <n v="2E+20"/>
    <n v="0"/>
    <n v="0"/>
    <n v="3"/>
    <s v="Unnamed ProjectArquivosTransf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39"/>
    <x v="0"/>
    <x v="4"/>
    <x v="0"/>
    <n v="2.4660634492194502"/>
    <n v="2E+20"/>
    <n v="1.6344799843381499"/>
    <n v="3.4442022694348799"/>
    <n v="3"/>
    <s v="Unnamed ProjectArquivosVA TimeEntity"/>
    <n v="50"/>
    <n v="2.3123810058270009"/>
    <n v="0.47735516285795621"/>
    <n v="0.95"/>
    <n v="0.13566283623888314"/>
    <n v="1.3773415743205399"/>
    <n v="3.3139161730180202"/>
    <n v="0.58847912081681497"/>
    <n v="4.9756405925629998"/>
    <n v="3.62"/>
    <n v="0.13566283623888314"/>
    <n v="50"/>
    <n v="1"/>
  </r>
  <r>
    <x v="0"/>
    <s v="2023-12-02 21:14:51"/>
    <n v="39"/>
    <x v="0"/>
    <x v="5"/>
    <x v="0"/>
    <n v="1.13504677109986"/>
    <n v="2E+20"/>
    <n v="0"/>
    <n v="3.4051403132995799"/>
    <n v="3"/>
    <s v="Unnamed ProjectArquivosWait TimeEntity"/>
    <n v="50"/>
    <n v="1.2240084441262762"/>
    <n v="0.89867905452837749"/>
    <n v="0.95"/>
    <n v="0.2554017613968404"/>
    <n v="0"/>
    <n v="3.4345522286517598"/>
    <n v="0"/>
    <n v="6.7563093676697896"/>
    <n v="3.62"/>
    <n v="0.2554017613968404"/>
    <n v="50"/>
    <n v="1"/>
  </r>
  <r>
    <x v="0"/>
    <s v="2023-12-02 21:14:51"/>
    <n v="40"/>
    <x v="0"/>
    <x v="0"/>
    <x v="0"/>
    <n v="0"/>
    <n v="2E+20"/>
    <n v="0"/>
    <n v="0"/>
    <n v="4"/>
    <s v="Unnamed ProjectArquivosNVA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40"/>
    <x v="0"/>
    <x v="1"/>
    <x v="0"/>
    <n v="0"/>
    <n v="2E+20"/>
    <n v="0"/>
    <n v="0"/>
    <n v="4"/>
    <s v="Unnamed ProjectArquivosOth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40"/>
    <x v="0"/>
    <x v="2"/>
    <x v="0"/>
    <n v="2.3201148514801502"/>
    <n v="2E+20"/>
    <n v="1.46055877666131"/>
    <n v="3.2001178512525601"/>
    <n v="4"/>
    <s v="Unnamed ProjectArquivosTotal TimeEntity"/>
    <n v="50"/>
    <n v="3.5363894499532775"/>
    <n v="1.1766434570133149"/>
    <n v="0.95"/>
    <n v="0.33439837052280896"/>
    <n v="1.6342264652107701"/>
    <n v="6.5527373550837904"/>
    <n v="0.58847912081681497"/>
    <n v="8.7476494546828292"/>
    <n v="3.62"/>
    <n v="0.33439837052280896"/>
    <n v="50"/>
    <n v="1"/>
  </r>
  <r>
    <x v="0"/>
    <s v="2023-12-02 21:14:51"/>
    <n v="40"/>
    <x v="0"/>
    <x v="3"/>
    <x v="0"/>
    <n v="0"/>
    <n v="2E+20"/>
    <n v="0"/>
    <n v="0"/>
    <n v="4"/>
    <s v="Unnamed ProjectArquivosTransf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40"/>
    <x v="0"/>
    <x v="4"/>
    <x v="0"/>
    <n v="1.9436505740104499"/>
    <n v="2E+20"/>
    <n v="1.0328768911547801"/>
    <n v="2.67976499508833"/>
    <n v="4"/>
    <s v="Unnamed ProjectArquivosVA TimeEntity"/>
    <n v="50"/>
    <n v="2.3123810058270009"/>
    <n v="0.47735516285795621"/>
    <n v="0.95"/>
    <n v="0.13566283623888314"/>
    <n v="1.3773415743205399"/>
    <n v="3.3139161730180202"/>
    <n v="0.58847912081681497"/>
    <n v="4.9756405925629998"/>
    <n v="3.62"/>
    <n v="0.13566283623888314"/>
    <n v="50"/>
    <n v="1"/>
  </r>
  <r>
    <x v="0"/>
    <s v="2023-12-02 21:14:51"/>
    <n v="40"/>
    <x v="0"/>
    <x v="5"/>
    <x v="0"/>
    <n v="0.37646427746970601"/>
    <n v="2E+20"/>
    <n v="0"/>
    <n v="0.98550425371459505"/>
    <n v="4"/>
    <s v="Unnamed ProjectArquivosWait TimeEntity"/>
    <n v="50"/>
    <n v="1.2240084441262762"/>
    <n v="0.89867905452837749"/>
    <n v="0.95"/>
    <n v="0.2554017613968404"/>
    <n v="0"/>
    <n v="3.4345522286517598"/>
    <n v="0"/>
    <n v="6.7563093676697896"/>
    <n v="3.62"/>
    <n v="0.2554017613968404"/>
    <n v="50"/>
    <n v="1"/>
  </r>
  <r>
    <x v="0"/>
    <s v="2023-12-02 21:14:51"/>
    <n v="41"/>
    <x v="0"/>
    <x v="0"/>
    <x v="0"/>
    <n v="0"/>
    <n v="2E+20"/>
    <n v="0"/>
    <n v="0"/>
    <n v="3"/>
    <s v="Unnamed ProjectArquivosNVA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41"/>
    <x v="0"/>
    <x v="1"/>
    <x v="0"/>
    <n v="0"/>
    <n v="2E+20"/>
    <n v="0"/>
    <n v="0"/>
    <n v="3"/>
    <s v="Unnamed ProjectArquivosOth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41"/>
    <x v="0"/>
    <x v="2"/>
    <x v="0"/>
    <n v="2.62459011553744"/>
    <n v="2E+20"/>
    <n v="2.4247501134706702"/>
    <n v="2.83365711216917"/>
    <n v="3"/>
    <s v="Unnamed ProjectArquivosTotal TimeEntity"/>
    <n v="50"/>
    <n v="3.5363894499532775"/>
    <n v="1.1766434570133149"/>
    <n v="0.95"/>
    <n v="0.33439837052280896"/>
    <n v="1.6342264652107701"/>
    <n v="6.5527373550837904"/>
    <n v="0.58847912081681497"/>
    <n v="8.7476494546828292"/>
    <n v="3.62"/>
    <n v="0.33439837052280896"/>
    <n v="50"/>
    <n v="1"/>
  </r>
  <r>
    <x v="0"/>
    <s v="2023-12-02 21:14:51"/>
    <n v="41"/>
    <x v="0"/>
    <x v="3"/>
    <x v="0"/>
    <n v="0"/>
    <n v="2E+20"/>
    <n v="0"/>
    <n v="0"/>
    <n v="3"/>
    <s v="Unnamed ProjectArquivosTransf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41"/>
    <x v="0"/>
    <x v="4"/>
    <x v="0"/>
    <n v="2.49158910315274"/>
    <n v="2E+20"/>
    <n v="2.0257470763165601"/>
    <n v="2.83365711216917"/>
    <n v="3"/>
    <s v="Unnamed ProjectArquivosVA TimeEntity"/>
    <n v="50"/>
    <n v="2.3123810058270009"/>
    <n v="0.47735516285795621"/>
    <n v="0.95"/>
    <n v="0.13566283623888314"/>
    <n v="1.3773415743205399"/>
    <n v="3.3139161730180202"/>
    <n v="0.58847912081681497"/>
    <n v="4.9756405925629998"/>
    <n v="3.62"/>
    <n v="0.13566283623888314"/>
    <n v="50"/>
    <n v="1"/>
  </r>
  <r>
    <x v="0"/>
    <s v="2023-12-02 21:14:51"/>
    <n v="41"/>
    <x v="0"/>
    <x v="5"/>
    <x v="0"/>
    <n v="0.13300101238470199"/>
    <n v="2E+20"/>
    <n v="0"/>
    <n v="0.39900303715410701"/>
    <n v="3"/>
    <s v="Unnamed ProjectArquivosWait TimeEntity"/>
    <n v="50"/>
    <n v="1.2240084441262762"/>
    <n v="0.89867905452837749"/>
    <n v="0.95"/>
    <n v="0.2554017613968404"/>
    <n v="0"/>
    <n v="3.4345522286517598"/>
    <n v="0"/>
    <n v="6.7563093676697896"/>
    <n v="3.62"/>
    <n v="0.2554017613968404"/>
    <n v="50"/>
    <n v="1"/>
  </r>
  <r>
    <x v="0"/>
    <s v="2023-12-02 21:14:51"/>
    <n v="42"/>
    <x v="0"/>
    <x v="0"/>
    <x v="0"/>
    <n v="0"/>
    <n v="2E+20"/>
    <n v="0"/>
    <n v="0"/>
    <n v="4"/>
    <s v="Unnamed ProjectArquivosNVA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42"/>
    <x v="0"/>
    <x v="1"/>
    <x v="0"/>
    <n v="0"/>
    <n v="2E+20"/>
    <n v="0"/>
    <n v="0"/>
    <n v="4"/>
    <s v="Unnamed ProjectArquivosOth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42"/>
    <x v="0"/>
    <x v="2"/>
    <x v="0"/>
    <n v="2.1597558064943101"/>
    <n v="2E+20"/>
    <n v="0.86430983194710498"/>
    <n v="3.3786798283319701"/>
    <n v="4"/>
    <s v="Unnamed ProjectArquivosTotal TimeEntity"/>
    <n v="50"/>
    <n v="3.5363894499532775"/>
    <n v="1.1766434570133149"/>
    <n v="0.95"/>
    <n v="0.33439837052280896"/>
    <n v="1.6342264652107701"/>
    <n v="6.5527373550837904"/>
    <n v="0.58847912081681497"/>
    <n v="8.7476494546828292"/>
    <n v="3.62"/>
    <n v="0.33439837052280896"/>
    <n v="50"/>
    <n v="1"/>
  </r>
  <r>
    <x v="0"/>
    <s v="2023-12-02 21:14:51"/>
    <n v="42"/>
    <x v="0"/>
    <x v="3"/>
    <x v="0"/>
    <n v="0"/>
    <n v="2E+20"/>
    <n v="0"/>
    <n v="0"/>
    <n v="4"/>
    <s v="Unnamed ProjectArquivosTransf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42"/>
    <x v="0"/>
    <x v="4"/>
    <x v="0"/>
    <n v="1.77367886579057"/>
    <n v="2E+20"/>
    <n v="0.86430983194710498"/>
    <n v="3.3786798283319701"/>
    <n v="4"/>
    <s v="Unnamed ProjectArquivosVA TimeEntity"/>
    <n v="50"/>
    <n v="2.3123810058270009"/>
    <n v="0.47735516285795621"/>
    <n v="0.95"/>
    <n v="0.13566283623888314"/>
    <n v="1.3773415743205399"/>
    <n v="3.3139161730180202"/>
    <n v="0.58847912081681497"/>
    <n v="4.9756405925629998"/>
    <n v="3.62"/>
    <n v="0.13566283623888314"/>
    <n v="50"/>
    <n v="1"/>
  </r>
  <r>
    <x v="0"/>
    <s v="2023-12-02 21:14:51"/>
    <n v="42"/>
    <x v="0"/>
    <x v="5"/>
    <x v="0"/>
    <n v="0.38607694070374399"/>
    <n v="2E+20"/>
    <n v="0"/>
    <n v="1.5443077628149799"/>
    <n v="4"/>
    <s v="Unnamed ProjectArquivosWait TimeEntity"/>
    <n v="50"/>
    <n v="1.2240084441262762"/>
    <n v="0.89867905452837749"/>
    <n v="0.95"/>
    <n v="0.2554017613968404"/>
    <n v="0"/>
    <n v="3.4345522286517598"/>
    <n v="0"/>
    <n v="6.7563093676697896"/>
    <n v="3.62"/>
    <n v="0.2554017613968404"/>
    <n v="50"/>
    <n v="1"/>
  </r>
  <r>
    <x v="0"/>
    <s v="2023-12-02 21:14:51"/>
    <n v="43"/>
    <x v="0"/>
    <x v="0"/>
    <x v="0"/>
    <n v="0"/>
    <n v="2E+20"/>
    <n v="0"/>
    <n v="0"/>
    <n v="4"/>
    <s v="Unnamed ProjectArquivosNVA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43"/>
    <x v="0"/>
    <x v="1"/>
    <x v="0"/>
    <n v="0"/>
    <n v="2E+20"/>
    <n v="0"/>
    <n v="0"/>
    <n v="4"/>
    <s v="Unnamed ProjectArquivosOth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43"/>
    <x v="0"/>
    <x v="2"/>
    <x v="0"/>
    <n v="2.5567110920184799"/>
    <n v="2E+20"/>
    <n v="1.7859040815523599"/>
    <n v="4.3917033288679503"/>
    <n v="4"/>
    <s v="Unnamed ProjectArquivosTotal TimeEntity"/>
    <n v="50"/>
    <n v="3.5363894499532775"/>
    <n v="1.1766434570133149"/>
    <n v="0.95"/>
    <n v="0.33439837052280896"/>
    <n v="1.6342264652107701"/>
    <n v="6.5527373550837904"/>
    <n v="0.58847912081681497"/>
    <n v="8.7476494546828292"/>
    <n v="3.62"/>
    <n v="0.33439837052280896"/>
    <n v="50"/>
    <n v="1"/>
  </r>
  <r>
    <x v="0"/>
    <s v="2023-12-02 21:14:51"/>
    <n v="43"/>
    <x v="0"/>
    <x v="3"/>
    <x v="0"/>
    <n v="0"/>
    <n v="2E+20"/>
    <n v="0"/>
    <n v="0"/>
    <n v="4"/>
    <s v="Unnamed ProjectArquivosTransf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43"/>
    <x v="0"/>
    <x v="4"/>
    <x v="0"/>
    <n v="1.9036489169424899"/>
    <n v="2E+20"/>
    <n v="1.4310263618177299"/>
    <n v="2.7643665864540798"/>
    <n v="4"/>
    <s v="Unnamed ProjectArquivosVA TimeEntity"/>
    <n v="50"/>
    <n v="2.3123810058270009"/>
    <n v="0.47735516285795621"/>
    <n v="0.95"/>
    <n v="0.13566283623888314"/>
    <n v="1.3773415743205399"/>
    <n v="3.3139161730180202"/>
    <n v="0.58847912081681497"/>
    <n v="4.9756405925629998"/>
    <n v="3.62"/>
    <n v="0.13566283623888314"/>
    <n v="50"/>
    <n v="1"/>
  </r>
  <r>
    <x v="0"/>
    <s v="2023-12-02 21:14:51"/>
    <n v="43"/>
    <x v="0"/>
    <x v="5"/>
    <x v="0"/>
    <n v="0.65306217507598796"/>
    <n v="2E+20"/>
    <n v="0"/>
    <n v="1.6273367424138701"/>
    <n v="4"/>
    <s v="Unnamed ProjectArquivosWait TimeEntity"/>
    <n v="50"/>
    <n v="1.2240084441262762"/>
    <n v="0.89867905452837749"/>
    <n v="0.95"/>
    <n v="0.2554017613968404"/>
    <n v="0"/>
    <n v="3.4345522286517598"/>
    <n v="0"/>
    <n v="6.7563093676697896"/>
    <n v="3.62"/>
    <n v="0.2554017613968404"/>
    <n v="50"/>
    <n v="1"/>
  </r>
  <r>
    <x v="0"/>
    <s v="2023-12-02 21:14:51"/>
    <n v="44"/>
    <x v="0"/>
    <x v="0"/>
    <x v="0"/>
    <n v="0"/>
    <n v="2E+20"/>
    <n v="0"/>
    <n v="0"/>
    <n v="3"/>
    <s v="Unnamed ProjectArquivosNVA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44"/>
    <x v="0"/>
    <x v="1"/>
    <x v="0"/>
    <n v="0"/>
    <n v="2E+20"/>
    <n v="0"/>
    <n v="0"/>
    <n v="3"/>
    <s v="Unnamed ProjectArquivosOth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44"/>
    <x v="0"/>
    <x v="2"/>
    <x v="0"/>
    <n v="5.8936402705425799"/>
    <n v="2E+20"/>
    <n v="2.9341591590337099"/>
    <n v="7.9447349443756199"/>
    <n v="3"/>
    <s v="Unnamed ProjectArquivosTotal TimeEntity"/>
    <n v="50"/>
    <n v="3.5363894499532775"/>
    <n v="1.1766434570133149"/>
    <n v="0.95"/>
    <n v="0.33439837052280896"/>
    <n v="1.6342264652107701"/>
    <n v="6.5527373550837904"/>
    <n v="0.58847912081681497"/>
    <n v="8.7476494546828292"/>
    <n v="3.62"/>
    <n v="0.33439837052280896"/>
    <n v="50"/>
    <n v="1"/>
  </r>
  <r>
    <x v="0"/>
    <s v="2023-12-02 21:14:51"/>
    <n v="44"/>
    <x v="0"/>
    <x v="3"/>
    <x v="0"/>
    <n v="0"/>
    <n v="2E+20"/>
    <n v="0"/>
    <n v="0"/>
    <n v="3"/>
    <s v="Unnamed ProjectArquivosTransf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44"/>
    <x v="0"/>
    <x v="4"/>
    <x v="0"/>
    <n v="3.1399517123710701"/>
    <n v="2E+20"/>
    <n v="2.5768515014375502"/>
    <n v="3.9088444766419399"/>
    <n v="3"/>
    <s v="Unnamed ProjectArquivosVA TimeEntity"/>
    <n v="50"/>
    <n v="2.3123810058270009"/>
    <n v="0.47735516285795621"/>
    <n v="0.95"/>
    <n v="0.13566283623888314"/>
    <n v="1.3773415743205399"/>
    <n v="3.3139161730180202"/>
    <n v="0.58847912081681497"/>
    <n v="4.9756405925629998"/>
    <n v="3.62"/>
    <n v="0.13566283623888314"/>
    <n v="50"/>
    <n v="1"/>
  </r>
  <r>
    <x v="0"/>
    <s v="2023-12-02 21:14:51"/>
    <n v="44"/>
    <x v="0"/>
    <x v="5"/>
    <x v="0"/>
    <n v="2.7536885581715098"/>
    <n v="2E+20"/>
    <n v="0"/>
    <n v="5.3678834429380702"/>
    <n v="3"/>
    <s v="Unnamed ProjectArquivosWait TimeEntity"/>
    <n v="50"/>
    <n v="1.2240084441262762"/>
    <n v="0.89867905452837749"/>
    <n v="0.95"/>
    <n v="0.2554017613968404"/>
    <n v="0"/>
    <n v="3.4345522286517598"/>
    <n v="0"/>
    <n v="6.7563093676697896"/>
    <n v="3.62"/>
    <n v="0.2554017613968404"/>
    <n v="50"/>
    <n v="1"/>
  </r>
  <r>
    <x v="0"/>
    <s v="2023-12-02 21:14:51"/>
    <n v="45"/>
    <x v="0"/>
    <x v="0"/>
    <x v="0"/>
    <n v="0"/>
    <n v="2E+20"/>
    <n v="0"/>
    <n v="0"/>
    <n v="4"/>
    <s v="Unnamed ProjectArquivosNVA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45"/>
    <x v="0"/>
    <x v="1"/>
    <x v="0"/>
    <n v="0"/>
    <n v="2E+20"/>
    <n v="0"/>
    <n v="0"/>
    <n v="4"/>
    <s v="Unnamed ProjectArquivosOth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45"/>
    <x v="0"/>
    <x v="2"/>
    <x v="0"/>
    <n v="1.9281957109906001"/>
    <n v="2E+20"/>
    <n v="1.60797792817441"/>
    <n v="2.0934698676386798"/>
    <n v="4"/>
    <s v="Unnamed ProjectArquivosTotal TimeEntity"/>
    <n v="50"/>
    <n v="3.5363894499532775"/>
    <n v="1.1766434570133149"/>
    <n v="0.95"/>
    <n v="0.33439837052280896"/>
    <n v="1.6342264652107701"/>
    <n v="6.5527373550837904"/>
    <n v="0.58847912081681497"/>
    <n v="8.7476494546828292"/>
    <n v="3.62"/>
    <n v="0.33439837052280896"/>
    <n v="50"/>
    <n v="1"/>
  </r>
  <r>
    <x v="0"/>
    <s v="2023-12-02 21:14:51"/>
    <n v="45"/>
    <x v="0"/>
    <x v="3"/>
    <x v="0"/>
    <n v="0"/>
    <n v="2E+20"/>
    <n v="0"/>
    <n v="0"/>
    <n v="4"/>
    <s v="Unnamed ProjectArquivosTransf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45"/>
    <x v="0"/>
    <x v="4"/>
    <x v="0"/>
    <n v="1.5488517165249001"/>
    <n v="2E+20"/>
    <n v="0.94283220156538305"/>
    <n v="2.0903181671053401"/>
    <n v="4"/>
    <s v="Unnamed ProjectArquivosVA TimeEntity"/>
    <n v="50"/>
    <n v="2.3123810058270009"/>
    <n v="0.47735516285795621"/>
    <n v="0.95"/>
    <n v="0.13566283623888314"/>
    <n v="1.3773415743205399"/>
    <n v="3.3139161730180202"/>
    <n v="0.58847912081681497"/>
    <n v="4.9756405925629998"/>
    <n v="3.62"/>
    <n v="0.13566283623888314"/>
    <n v="50"/>
    <n v="1"/>
  </r>
  <r>
    <x v="0"/>
    <s v="2023-12-02 21:14:51"/>
    <n v="45"/>
    <x v="0"/>
    <x v="5"/>
    <x v="0"/>
    <n v="0.379343994465693"/>
    <n v="2E+20"/>
    <n v="0"/>
    <n v="1.1506376660733"/>
    <n v="4"/>
    <s v="Unnamed ProjectArquivosWait TimeEntity"/>
    <n v="50"/>
    <n v="1.2240084441262762"/>
    <n v="0.89867905452837749"/>
    <n v="0.95"/>
    <n v="0.2554017613968404"/>
    <n v="0"/>
    <n v="3.4345522286517598"/>
    <n v="0"/>
    <n v="6.7563093676697896"/>
    <n v="3.62"/>
    <n v="0.2554017613968404"/>
    <n v="50"/>
    <n v="1"/>
  </r>
  <r>
    <x v="0"/>
    <s v="2023-12-02 21:14:51"/>
    <n v="46"/>
    <x v="0"/>
    <x v="0"/>
    <x v="0"/>
    <n v="0"/>
    <n v="2E+20"/>
    <n v="0"/>
    <n v="0"/>
    <n v="2"/>
    <s v="Unnamed ProjectArquivosNVA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46"/>
    <x v="0"/>
    <x v="1"/>
    <x v="0"/>
    <n v="0"/>
    <n v="2E+20"/>
    <n v="0"/>
    <n v="0"/>
    <n v="2"/>
    <s v="Unnamed ProjectArquivosOth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46"/>
    <x v="0"/>
    <x v="2"/>
    <x v="0"/>
    <n v="1.830458085661"/>
    <n v="2E+20"/>
    <n v="1.2333715273297601"/>
    <n v="2.4275446439922299"/>
    <n v="2"/>
    <s v="Unnamed ProjectArquivosTotal TimeEntity"/>
    <n v="50"/>
    <n v="3.5363894499532775"/>
    <n v="1.1766434570133149"/>
    <n v="0.95"/>
    <n v="0.33439837052280896"/>
    <n v="1.6342264652107701"/>
    <n v="6.5527373550837904"/>
    <n v="0.58847912081681497"/>
    <n v="8.7476494546828292"/>
    <n v="3.62"/>
    <n v="0.33439837052280896"/>
    <n v="50"/>
    <n v="1"/>
  </r>
  <r>
    <x v="0"/>
    <s v="2023-12-02 21:14:51"/>
    <n v="46"/>
    <x v="0"/>
    <x v="3"/>
    <x v="0"/>
    <n v="0"/>
    <n v="2E+20"/>
    <n v="0"/>
    <n v="0"/>
    <n v="2"/>
    <s v="Unnamed ProjectArquivosTransf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46"/>
    <x v="0"/>
    <x v="4"/>
    <x v="0"/>
    <n v="1.830458085661"/>
    <n v="2E+20"/>
    <n v="1.2333715273297601"/>
    <n v="2.4275446439922299"/>
    <n v="2"/>
    <s v="Unnamed ProjectArquivosVA TimeEntity"/>
    <n v="50"/>
    <n v="2.3123810058270009"/>
    <n v="0.47735516285795621"/>
    <n v="0.95"/>
    <n v="0.13566283623888314"/>
    <n v="1.3773415743205399"/>
    <n v="3.3139161730180202"/>
    <n v="0.58847912081681497"/>
    <n v="4.9756405925629998"/>
    <n v="3.62"/>
    <n v="0.13566283623888314"/>
    <n v="50"/>
    <n v="1"/>
  </r>
  <r>
    <x v="0"/>
    <s v="2023-12-02 21:14:51"/>
    <n v="46"/>
    <x v="0"/>
    <x v="5"/>
    <x v="0"/>
    <n v="0"/>
    <n v="2E+20"/>
    <n v="0"/>
    <n v="0"/>
    <n v="2"/>
    <s v="Unnamed ProjectArquivosWait TimeEntity"/>
    <n v="50"/>
    <n v="1.2240084441262762"/>
    <n v="0.89867905452837749"/>
    <n v="0.95"/>
    <n v="0.2554017613968404"/>
    <n v="0"/>
    <n v="3.4345522286517598"/>
    <n v="0"/>
    <n v="6.7563093676697896"/>
    <n v="3.62"/>
    <n v="0.2554017613968404"/>
    <n v="50"/>
    <n v="1"/>
  </r>
  <r>
    <x v="0"/>
    <s v="2023-12-02 21:14:51"/>
    <n v="47"/>
    <x v="0"/>
    <x v="0"/>
    <x v="0"/>
    <n v="0"/>
    <n v="2E+20"/>
    <n v="0"/>
    <n v="0"/>
    <n v="4"/>
    <s v="Unnamed ProjectArquivosNVA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47"/>
    <x v="0"/>
    <x v="1"/>
    <x v="0"/>
    <n v="0"/>
    <n v="2E+20"/>
    <n v="0"/>
    <n v="0"/>
    <n v="4"/>
    <s v="Unnamed ProjectArquivosOth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47"/>
    <x v="0"/>
    <x v="2"/>
    <x v="0"/>
    <n v="3.9928548993403798"/>
    <n v="2E+20"/>
    <n v="3.2805000792553201"/>
    <n v="4.92997044564608"/>
    <n v="4"/>
    <s v="Unnamed ProjectArquivosTotal TimeEntity"/>
    <n v="50"/>
    <n v="3.5363894499532775"/>
    <n v="1.1766434570133149"/>
    <n v="0.95"/>
    <n v="0.33439837052280896"/>
    <n v="1.6342264652107701"/>
    <n v="6.5527373550837904"/>
    <n v="0.58847912081681497"/>
    <n v="8.7476494546828292"/>
    <n v="3.62"/>
    <n v="0.33439837052280896"/>
    <n v="50"/>
    <n v="1"/>
  </r>
  <r>
    <x v="0"/>
    <s v="2023-12-02 21:14:51"/>
    <n v="47"/>
    <x v="0"/>
    <x v="3"/>
    <x v="0"/>
    <n v="0"/>
    <n v="2E+20"/>
    <n v="0"/>
    <n v="0"/>
    <n v="4"/>
    <s v="Unnamed ProjectArquivosTransf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47"/>
    <x v="0"/>
    <x v="4"/>
    <x v="0"/>
    <n v="2.4227920344917702"/>
    <n v="2E+20"/>
    <n v="1.7327606758163501"/>
    <n v="3.4180243936192798"/>
    <n v="4"/>
    <s v="Unnamed ProjectArquivosVA TimeEntity"/>
    <n v="50"/>
    <n v="2.3123810058270009"/>
    <n v="0.47735516285795621"/>
    <n v="0.95"/>
    <n v="0.13566283623888314"/>
    <n v="1.3773415743205399"/>
    <n v="3.3139161730180202"/>
    <n v="0.58847912081681497"/>
    <n v="4.9756405925629998"/>
    <n v="3.62"/>
    <n v="0.13566283623888314"/>
    <n v="50"/>
    <n v="1"/>
  </r>
  <r>
    <x v="0"/>
    <s v="2023-12-02 21:14:51"/>
    <n v="47"/>
    <x v="0"/>
    <x v="5"/>
    <x v="0"/>
    <n v="1.5700628648486099"/>
    <n v="2E+20"/>
    <n v="0"/>
    <n v="2.5176483285578302"/>
    <n v="4"/>
    <s v="Unnamed ProjectArquivosWait TimeEntity"/>
    <n v="50"/>
    <n v="1.2240084441262762"/>
    <n v="0.89867905452837749"/>
    <n v="0.95"/>
    <n v="0.2554017613968404"/>
    <n v="0"/>
    <n v="3.4345522286517598"/>
    <n v="0"/>
    <n v="6.7563093676697896"/>
    <n v="3.62"/>
    <n v="0.2554017613968404"/>
    <n v="50"/>
    <n v="1"/>
  </r>
  <r>
    <x v="0"/>
    <s v="2023-12-02 21:14:51"/>
    <n v="48"/>
    <x v="0"/>
    <x v="0"/>
    <x v="0"/>
    <n v="0"/>
    <n v="2E+20"/>
    <n v="0"/>
    <n v="0"/>
    <n v="3"/>
    <s v="Unnamed ProjectArquivosNVA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48"/>
    <x v="0"/>
    <x v="1"/>
    <x v="0"/>
    <n v="0"/>
    <n v="2E+20"/>
    <n v="0"/>
    <n v="0"/>
    <n v="3"/>
    <s v="Unnamed ProjectArquivosOth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48"/>
    <x v="0"/>
    <x v="2"/>
    <x v="0"/>
    <n v="4.8404871448919398"/>
    <n v="2E+20"/>
    <n v="4.0075507459247603"/>
    <n v="5.9348730552478299"/>
    <n v="3"/>
    <s v="Unnamed ProjectArquivosTotal TimeEntity"/>
    <n v="50"/>
    <n v="3.5363894499532775"/>
    <n v="1.1766434570133149"/>
    <n v="0.95"/>
    <n v="0.33439837052280896"/>
    <n v="1.6342264652107701"/>
    <n v="6.5527373550837904"/>
    <n v="0.58847912081681497"/>
    <n v="8.7476494546828292"/>
    <n v="3.62"/>
    <n v="0.33439837052280896"/>
    <n v="50"/>
    <n v="1"/>
  </r>
  <r>
    <x v="0"/>
    <s v="2023-12-02 21:14:51"/>
    <n v="48"/>
    <x v="0"/>
    <x v="3"/>
    <x v="0"/>
    <n v="0"/>
    <n v="2E+20"/>
    <n v="0"/>
    <n v="0"/>
    <n v="3"/>
    <s v="Unnamed ProjectArquivosTransf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48"/>
    <x v="0"/>
    <x v="4"/>
    <x v="0"/>
    <n v="2.9416403224311898"/>
    <n v="2E+20"/>
    <n v="1.7402933223763899"/>
    <n v="4.0075507459247603"/>
    <n v="3"/>
    <s v="Unnamed ProjectArquivosVA TimeEntity"/>
    <n v="50"/>
    <n v="2.3123810058270009"/>
    <n v="0.47735516285795621"/>
    <n v="0.95"/>
    <n v="0.13566283623888314"/>
    <n v="1.3773415743205399"/>
    <n v="3.3139161730180202"/>
    <n v="0.58847912081681497"/>
    <n v="4.9756405925629998"/>
    <n v="3.62"/>
    <n v="0.13566283623888314"/>
    <n v="50"/>
    <n v="1"/>
  </r>
  <r>
    <x v="0"/>
    <s v="2023-12-02 21:14:51"/>
    <n v="48"/>
    <x v="0"/>
    <x v="5"/>
    <x v="0"/>
    <n v="1.89884682246075"/>
    <n v="2E+20"/>
    <n v="0"/>
    <n v="2.8577961562554099"/>
    <n v="3"/>
    <s v="Unnamed ProjectArquivosWait TimeEntity"/>
    <n v="50"/>
    <n v="1.2240084441262762"/>
    <n v="0.89867905452837749"/>
    <n v="0.95"/>
    <n v="0.2554017613968404"/>
    <n v="0"/>
    <n v="3.4345522286517598"/>
    <n v="0"/>
    <n v="6.7563093676697896"/>
    <n v="3.62"/>
    <n v="0.2554017613968404"/>
    <n v="50"/>
    <n v="1"/>
  </r>
  <r>
    <x v="0"/>
    <s v="2023-12-02 21:14:51"/>
    <n v="49"/>
    <x v="0"/>
    <x v="0"/>
    <x v="0"/>
    <n v="0"/>
    <n v="2E+20"/>
    <n v="0"/>
    <n v="0"/>
    <n v="3"/>
    <s v="Unnamed ProjectArquivosNVA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49"/>
    <x v="0"/>
    <x v="1"/>
    <x v="0"/>
    <n v="0"/>
    <n v="2E+20"/>
    <n v="0"/>
    <n v="0"/>
    <n v="3"/>
    <s v="Unnamed ProjectArquivosOth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49"/>
    <x v="0"/>
    <x v="2"/>
    <x v="0"/>
    <n v="1.9542091402833299"/>
    <n v="2E+20"/>
    <n v="1.3691809575613401"/>
    <n v="2.2597043891093498"/>
    <n v="3"/>
    <s v="Unnamed ProjectArquivosTotal TimeEntity"/>
    <n v="50"/>
    <n v="3.5363894499532775"/>
    <n v="1.1766434570133149"/>
    <n v="0.95"/>
    <n v="0.33439837052280896"/>
    <n v="1.6342264652107701"/>
    <n v="6.5527373550837904"/>
    <n v="0.58847912081681497"/>
    <n v="8.7476494546828292"/>
    <n v="3.62"/>
    <n v="0.33439837052280896"/>
    <n v="50"/>
    <n v="1"/>
  </r>
  <r>
    <x v="0"/>
    <s v="2023-12-02 21:14:51"/>
    <n v="49"/>
    <x v="0"/>
    <x v="3"/>
    <x v="0"/>
    <n v="0"/>
    <n v="2E+20"/>
    <n v="0"/>
    <n v="0"/>
    <n v="3"/>
    <s v="Unnamed ProjectArquivosTransf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49"/>
    <x v="0"/>
    <x v="4"/>
    <x v="0"/>
    <n v="1.9542091402833299"/>
    <n v="2E+20"/>
    <n v="1.3691809575613401"/>
    <n v="2.2597043891093498"/>
    <n v="3"/>
    <s v="Unnamed ProjectArquivosVA TimeEntity"/>
    <n v="50"/>
    <n v="2.3123810058270009"/>
    <n v="0.47735516285795621"/>
    <n v="0.95"/>
    <n v="0.13566283623888314"/>
    <n v="1.3773415743205399"/>
    <n v="3.3139161730180202"/>
    <n v="0.58847912081681497"/>
    <n v="4.9756405925629998"/>
    <n v="3.62"/>
    <n v="0.13566283623888314"/>
    <n v="50"/>
    <n v="1"/>
  </r>
  <r>
    <x v="0"/>
    <s v="2023-12-02 21:14:51"/>
    <n v="49"/>
    <x v="0"/>
    <x v="5"/>
    <x v="0"/>
    <n v="0"/>
    <n v="2E+20"/>
    <n v="0"/>
    <n v="0"/>
    <n v="3"/>
    <s v="Unnamed ProjectArquivosWait TimeEntity"/>
    <n v="50"/>
    <n v="1.2240084441262762"/>
    <n v="0.89867905452837749"/>
    <n v="0.95"/>
    <n v="0.2554017613968404"/>
    <n v="0"/>
    <n v="3.4345522286517598"/>
    <n v="0"/>
    <n v="6.7563093676697896"/>
    <n v="3.62"/>
    <n v="0.2554017613968404"/>
    <n v="50"/>
    <n v="1"/>
  </r>
  <r>
    <x v="0"/>
    <s v="2023-12-02 21:14:51"/>
    <n v="50"/>
    <x v="0"/>
    <x v="0"/>
    <x v="0"/>
    <n v="0"/>
    <n v="2E+20"/>
    <n v="0"/>
    <n v="0"/>
    <n v="4"/>
    <s v="Unnamed ProjectArquivosNVA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50"/>
    <x v="0"/>
    <x v="1"/>
    <x v="0"/>
    <n v="0"/>
    <n v="2E+20"/>
    <n v="0"/>
    <n v="0"/>
    <n v="4"/>
    <s v="Unnamed ProjectArquivosOth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50"/>
    <x v="0"/>
    <x v="2"/>
    <x v="0"/>
    <n v="2.7827116412790001"/>
    <n v="2E+20"/>
    <n v="1.14079040349723"/>
    <n v="4.0264236065507504"/>
    <n v="4"/>
    <s v="Unnamed ProjectArquivosTotal TimeEntity"/>
    <n v="50"/>
    <n v="3.5363894499532775"/>
    <n v="1.1766434570133149"/>
    <n v="0.95"/>
    <n v="0.33439837052280896"/>
    <n v="1.6342264652107701"/>
    <n v="6.5527373550837904"/>
    <n v="0.58847912081681497"/>
    <n v="8.7476494546828292"/>
    <n v="3.62"/>
    <n v="0.33439837052280896"/>
    <n v="50"/>
    <n v="1"/>
  </r>
  <r>
    <x v="0"/>
    <s v="2023-12-02 21:14:51"/>
    <n v="50"/>
    <x v="0"/>
    <x v="3"/>
    <x v="0"/>
    <n v="0"/>
    <n v="2E+20"/>
    <n v="0"/>
    <n v="0"/>
    <n v="4"/>
    <s v="Unnamed ProjectArquivosTransfer TimeEntity"/>
    <n v="50"/>
    <n v="0"/>
    <n v="0"/>
    <n v="0.95"/>
    <n v="0"/>
    <n v="0"/>
    <n v="0"/>
    <n v="0"/>
    <n v="0"/>
    <n v="3.62"/>
    <n v="0"/>
    <n v="50"/>
    <n v="1"/>
  </r>
  <r>
    <x v="0"/>
    <s v="2023-12-02 21:14:51"/>
    <n v="50"/>
    <x v="0"/>
    <x v="4"/>
    <x v="0"/>
    <n v="2.0416836827232601"/>
    <n v="2E+20"/>
    <n v="1.14079040349723"/>
    <n v="3.1367728241656598"/>
    <n v="4"/>
    <s v="Unnamed ProjectArquivosVA TimeEntity"/>
    <n v="50"/>
    <n v="2.3123810058270009"/>
    <n v="0.47735516285795621"/>
    <n v="0.95"/>
    <n v="0.13566283623888314"/>
    <n v="1.3773415743205399"/>
    <n v="3.3139161730180202"/>
    <n v="0.58847912081681497"/>
    <n v="4.9756405925629998"/>
    <n v="3.62"/>
    <n v="0.13566283623888314"/>
    <n v="50"/>
    <n v="1"/>
  </r>
  <r>
    <x v="0"/>
    <s v="2023-12-02 21:14:51"/>
    <n v="50"/>
    <x v="0"/>
    <x v="5"/>
    <x v="0"/>
    <n v="0.741027958555737"/>
    <n v="2E+20"/>
    <n v="0"/>
    <n v="2.0744610518378601"/>
    <n v="4"/>
    <s v="Unnamed ProjectArquivosWait TimeEntity"/>
    <n v="50"/>
    <n v="1.2240084441262762"/>
    <n v="0.89867905452837749"/>
    <n v="0.95"/>
    <n v="0.2554017613968404"/>
    <n v="0"/>
    <n v="3.4345522286517598"/>
    <n v="0"/>
    <n v="6.7563093676697896"/>
    <n v="3.62"/>
    <n v="0.2554017613968404"/>
    <n v="50"/>
    <n v="1"/>
  </r>
  <r>
    <x v="0"/>
    <s v="2023-12-02 21:14:51"/>
    <n v="1"/>
    <x v="1"/>
    <x v="6"/>
    <x v="1"/>
    <n v="2.80166651477745"/>
    <n v="2E+20"/>
    <n v="0"/>
    <n v="6.4226258357308099"/>
    <n v="5"/>
    <s v="Unnamed ProjectEdicao.QueueWaiting TimeQueue"/>
    <n v="50"/>
    <n v="1.6032171272413107"/>
    <n v="1.0944750558807383"/>
    <n v="0.95"/>
    <n v="0.31104636929981899"/>
    <n v="0"/>
    <n v="3.8977138394719901"/>
    <n v="0"/>
    <n v="7.95545419566559"/>
    <n v="4.58"/>
    <n v="0.31104636929981899"/>
    <n v="50"/>
    <n v="1"/>
  </r>
  <r>
    <x v="0"/>
    <s v="2023-12-02 21:14:51"/>
    <n v="2"/>
    <x v="1"/>
    <x v="6"/>
    <x v="1"/>
    <n v="3.59160529429291"/>
    <n v="2E+20"/>
    <n v="0"/>
    <n v="6.7563093676697896"/>
    <n v="4"/>
    <s v="Unnamed ProjectEdicao.QueueWaiting TimeQueue"/>
    <n v="50"/>
    <n v="1.6032171272413107"/>
    <n v="1.0944750558807383"/>
    <n v="0.95"/>
    <n v="0.31104636929981899"/>
    <n v="0"/>
    <n v="3.8977138394719901"/>
    <n v="0"/>
    <n v="7.95545419566559"/>
    <n v="4.58"/>
    <n v="0.31104636929981899"/>
    <n v="50"/>
    <n v="1"/>
  </r>
  <r>
    <x v="0"/>
    <s v="2023-12-02 21:14:51"/>
    <n v="3"/>
    <x v="1"/>
    <x v="6"/>
    <x v="1"/>
    <n v="1.92377119695003"/>
    <n v="2E+20"/>
    <n v="0"/>
    <n v="4.21111226868282"/>
    <n v="5"/>
    <s v="Unnamed ProjectEdicao.QueueWaiting TimeQueue"/>
    <n v="50"/>
    <n v="1.6032171272413107"/>
    <n v="1.0944750558807383"/>
    <n v="0.95"/>
    <n v="0.31104636929981899"/>
    <n v="0"/>
    <n v="3.8977138394719901"/>
    <n v="0"/>
    <n v="7.95545419566559"/>
    <n v="4.58"/>
    <n v="0.31104636929981899"/>
    <n v="50"/>
    <n v="1"/>
  </r>
  <r>
    <x v="0"/>
    <s v="2023-12-02 21:14:51"/>
    <n v="4"/>
    <x v="1"/>
    <x v="6"/>
    <x v="1"/>
    <n v="1.8047942321138599"/>
    <n v="2E+20"/>
    <n v="0"/>
    <n v="3.9865559126057701"/>
    <n v="4"/>
    <s v="Unnamed ProjectEdicao.QueueWaiting TimeQueue"/>
    <n v="50"/>
    <n v="1.6032171272413107"/>
    <n v="1.0944750558807383"/>
    <n v="0.95"/>
    <n v="0.31104636929981899"/>
    <n v="0"/>
    <n v="3.8977138394719901"/>
    <n v="0"/>
    <n v="7.95545419566559"/>
    <n v="4.58"/>
    <n v="0.31104636929981899"/>
    <n v="50"/>
    <n v="1"/>
  </r>
  <r>
    <x v="0"/>
    <s v="2023-12-02 21:14:51"/>
    <n v="5"/>
    <x v="1"/>
    <x v="6"/>
    <x v="1"/>
    <n v="1.24795229592496"/>
    <n v="2E+20"/>
    <n v="0"/>
    <n v="3.7098581953746601"/>
    <n v="5"/>
    <s v="Unnamed ProjectEdicao.QueueWaiting TimeQueue"/>
    <n v="50"/>
    <n v="1.6032171272413107"/>
    <n v="1.0944750558807383"/>
    <n v="0.95"/>
    <n v="0.31104636929981899"/>
    <n v="0"/>
    <n v="3.8977138394719901"/>
    <n v="0"/>
    <n v="7.95545419566559"/>
    <n v="4.58"/>
    <n v="0.31104636929981899"/>
    <n v="50"/>
    <n v="1"/>
  </r>
  <r>
    <x v="0"/>
    <s v="2023-12-02 21:14:51"/>
    <n v="6"/>
    <x v="1"/>
    <x v="6"/>
    <x v="1"/>
    <n v="2.0299019504539602"/>
    <n v="2E+20"/>
    <n v="0"/>
    <n v="3.0688719461665999"/>
    <n v="4"/>
    <s v="Unnamed ProjectEdicao.QueueWaiting TimeQueue"/>
    <n v="50"/>
    <n v="1.6032171272413107"/>
    <n v="1.0944750558807383"/>
    <n v="0.95"/>
    <n v="0.31104636929981899"/>
    <n v="0"/>
    <n v="3.8977138394719901"/>
    <n v="0"/>
    <n v="7.95545419566559"/>
    <n v="4.58"/>
    <n v="0.31104636929981899"/>
    <n v="50"/>
    <n v="1"/>
  </r>
  <r>
    <x v="0"/>
    <s v="2023-12-02 21:14:51"/>
    <n v="7"/>
    <x v="1"/>
    <x v="6"/>
    <x v="1"/>
    <n v="2.4837384479575699"/>
    <n v="2E+20"/>
    <n v="0"/>
    <n v="3.99722045569444"/>
    <n v="4"/>
    <s v="Unnamed ProjectEdicao.QueueWaiting TimeQueue"/>
    <n v="50"/>
    <n v="1.6032171272413107"/>
    <n v="1.0944750558807383"/>
    <n v="0.95"/>
    <n v="0.31104636929981899"/>
    <n v="0"/>
    <n v="3.8977138394719901"/>
    <n v="0"/>
    <n v="7.95545419566559"/>
    <n v="4.58"/>
    <n v="0.31104636929981899"/>
    <n v="50"/>
    <n v="1"/>
  </r>
  <r>
    <x v="0"/>
    <s v="2023-12-02 21:14:51"/>
    <n v="8"/>
    <x v="1"/>
    <x v="6"/>
    <x v="1"/>
    <n v="2.31439341013041"/>
    <n v="2E+20"/>
    <n v="0"/>
    <n v="4.4167356248476803"/>
    <n v="4"/>
    <s v="Unnamed ProjectEdicao.QueueWaiting TimeQueue"/>
    <n v="50"/>
    <n v="1.6032171272413107"/>
    <n v="1.0944750558807383"/>
    <n v="0.95"/>
    <n v="0.31104636929981899"/>
    <n v="0"/>
    <n v="3.8977138394719901"/>
    <n v="0"/>
    <n v="7.95545419566559"/>
    <n v="4.58"/>
    <n v="0.31104636929981899"/>
    <n v="50"/>
    <n v="1"/>
  </r>
  <r>
    <x v="0"/>
    <s v="2023-12-02 21:14:51"/>
    <n v="9"/>
    <x v="1"/>
    <x v="6"/>
    <x v="1"/>
    <n v="0.988179117323436"/>
    <n v="2E+20"/>
    <n v="0"/>
    <n v="2.5503788881754699"/>
    <n v="5"/>
    <s v="Unnamed ProjectEdicao.QueueWaiting TimeQueue"/>
    <n v="50"/>
    <n v="1.6032171272413107"/>
    <n v="1.0944750558807383"/>
    <n v="0.95"/>
    <n v="0.31104636929981899"/>
    <n v="0"/>
    <n v="3.8977138394719901"/>
    <n v="0"/>
    <n v="7.95545419566559"/>
    <n v="4.58"/>
    <n v="0.31104636929981899"/>
    <n v="50"/>
    <n v="1"/>
  </r>
  <r>
    <x v="0"/>
    <s v="2023-12-02 21:14:51"/>
    <n v="10"/>
    <x v="1"/>
    <x v="6"/>
    <x v="1"/>
    <n v="1.3557159425601899"/>
    <n v="2E+20"/>
    <n v="0"/>
    <n v="3.6901111822258201"/>
    <n v="4"/>
    <s v="Unnamed ProjectEdicao.QueueWaiting TimeQueue"/>
    <n v="50"/>
    <n v="1.6032171272413107"/>
    <n v="1.0944750558807383"/>
    <n v="0.95"/>
    <n v="0.31104636929981899"/>
    <n v="0"/>
    <n v="3.8977138394719901"/>
    <n v="0"/>
    <n v="7.95545419566559"/>
    <n v="4.58"/>
    <n v="0.31104636929981899"/>
    <n v="50"/>
    <n v="1"/>
  </r>
  <r>
    <x v="0"/>
    <s v="2023-12-02 21:14:51"/>
    <n v="11"/>
    <x v="1"/>
    <x v="6"/>
    <x v="1"/>
    <n v="0.57825190232439905"/>
    <n v="2E+20"/>
    <n v="0"/>
    <n v="2.3737723369045098"/>
    <n v="5"/>
    <s v="Unnamed ProjectEdicao.QueueWaiting TimeQueue"/>
    <n v="50"/>
    <n v="1.6032171272413107"/>
    <n v="1.0944750558807383"/>
    <n v="0.95"/>
    <n v="0.31104636929981899"/>
    <n v="0"/>
    <n v="3.8977138394719901"/>
    <n v="0"/>
    <n v="7.95545419566559"/>
    <n v="4.58"/>
    <n v="0.31104636929981899"/>
    <n v="50"/>
    <n v="1"/>
  </r>
  <r>
    <x v="0"/>
    <s v="2023-12-02 21:14:51"/>
    <n v="12"/>
    <x v="1"/>
    <x v="6"/>
    <x v="1"/>
    <n v="0.34200104578348201"/>
    <n v="2E+20"/>
    <n v="0"/>
    <n v="1.1232363820073501"/>
    <n v="5"/>
    <s v="Unnamed ProjectEdicao.QueueWaiting TimeQueue"/>
    <n v="50"/>
    <n v="1.6032171272413107"/>
    <n v="1.0944750558807383"/>
    <n v="0.95"/>
    <n v="0.31104636929981899"/>
    <n v="0"/>
    <n v="3.8977138394719901"/>
    <n v="0"/>
    <n v="7.95545419566559"/>
    <n v="4.58"/>
    <n v="0.31104636929981899"/>
    <n v="50"/>
    <n v="1"/>
  </r>
  <r>
    <x v="0"/>
    <s v="2023-12-02 21:14:51"/>
    <n v="13"/>
    <x v="1"/>
    <x v="6"/>
    <x v="1"/>
    <n v="3.3228626183533501"/>
    <n v="2E+20"/>
    <n v="0"/>
    <n v="7.4253926764205298"/>
    <n v="4"/>
    <s v="Unnamed ProjectEdicao.QueueWaiting TimeQueue"/>
    <n v="50"/>
    <n v="1.6032171272413107"/>
    <n v="1.0944750558807383"/>
    <n v="0.95"/>
    <n v="0.31104636929981899"/>
    <n v="0"/>
    <n v="3.8977138394719901"/>
    <n v="0"/>
    <n v="7.95545419566559"/>
    <n v="4.58"/>
    <n v="0.31104636929981899"/>
    <n v="50"/>
    <n v="1"/>
  </r>
  <r>
    <x v="0"/>
    <s v="2023-12-02 21:14:51"/>
    <n v="14"/>
    <x v="1"/>
    <x v="6"/>
    <x v="1"/>
    <n v="1.67119135939845"/>
    <n v="2E+20"/>
    <n v="0"/>
    <n v="2.94559922992834"/>
    <n v="5"/>
    <s v="Unnamed ProjectEdicao.QueueWaiting TimeQueue"/>
    <n v="50"/>
    <n v="1.6032171272413107"/>
    <n v="1.0944750558807383"/>
    <n v="0.95"/>
    <n v="0.31104636929981899"/>
    <n v="0"/>
    <n v="3.8977138394719901"/>
    <n v="0"/>
    <n v="7.95545419566559"/>
    <n v="4.58"/>
    <n v="0.31104636929981899"/>
    <n v="50"/>
    <n v="1"/>
  </r>
  <r>
    <x v="0"/>
    <s v="2023-12-02 21:14:51"/>
    <n v="15"/>
    <x v="1"/>
    <x v="6"/>
    <x v="1"/>
    <n v="1.0796574291738299"/>
    <n v="2E+20"/>
    <n v="0"/>
    <n v="2.7813609172848799"/>
    <n v="5"/>
    <s v="Unnamed ProjectEdicao.QueueWaiting TimeQueue"/>
    <n v="50"/>
    <n v="1.6032171272413107"/>
    <n v="1.0944750558807383"/>
    <n v="0.95"/>
    <n v="0.31104636929981899"/>
    <n v="0"/>
    <n v="3.8977138394719901"/>
    <n v="0"/>
    <n v="7.95545419566559"/>
    <n v="4.58"/>
    <n v="0.31104636929981899"/>
    <n v="50"/>
    <n v="1"/>
  </r>
  <r>
    <x v="0"/>
    <s v="2023-12-02 21:14:51"/>
    <n v="16"/>
    <x v="1"/>
    <x v="6"/>
    <x v="1"/>
    <n v="1.4457163402344"/>
    <n v="2E+20"/>
    <n v="0"/>
    <n v="2.8336988886543502"/>
    <n v="5"/>
    <s v="Unnamed ProjectEdicao.QueueWaiting TimeQueue"/>
    <n v="50"/>
    <n v="1.6032171272413107"/>
    <n v="1.0944750558807383"/>
    <n v="0.95"/>
    <n v="0.31104636929981899"/>
    <n v="0"/>
    <n v="3.8977138394719901"/>
    <n v="0"/>
    <n v="7.95545419566559"/>
    <n v="4.58"/>
    <n v="0.31104636929981899"/>
    <n v="50"/>
    <n v="1"/>
  </r>
  <r>
    <x v="0"/>
    <s v="2023-12-02 21:14:51"/>
    <n v="17"/>
    <x v="1"/>
    <x v="6"/>
    <x v="1"/>
    <n v="0"/>
    <n v="2E+20"/>
    <n v="0"/>
    <n v="0"/>
    <n v="3"/>
    <s v="Unnamed ProjectEdicao.QueueWaiting TimeQueue"/>
    <n v="50"/>
    <n v="1.6032171272413107"/>
    <n v="1.0944750558807383"/>
    <n v="0.95"/>
    <n v="0.31104636929981899"/>
    <n v="0"/>
    <n v="3.8977138394719901"/>
    <n v="0"/>
    <n v="7.95545419566559"/>
    <n v="4.58"/>
    <n v="0.31104636929981899"/>
    <n v="50"/>
    <n v="1"/>
  </r>
  <r>
    <x v="0"/>
    <s v="2023-12-02 21:14:51"/>
    <n v="18"/>
    <x v="1"/>
    <x v="6"/>
    <x v="1"/>
    <n v="0.41770548375530298"/>
    <n v="2E+20"/>
    <n v="0"/>
    <n v="1.5936114259774099"/>
    <n v="6"/>
    <s v="Unnamed ProjectEdicao.QueueWaiting TimeQueue"/>
    <n v="50"/>
    <n v="1.6032171272413107"/>
    <n v="1.0944750558807383"/>
    <n v="0.95"/>
    <n v="0.31104636929981899"/>
    <n v="0"/>
    <n v="3.8977138394719901"/>
    <n v="0"/>
    <n v="7.95545419566559"/>
    <n v="4.58"/>
    <n v="0.31104636929981899"/>
    <n v="50"/>
    <n v="1"/>
  </r>
  <r>
    <x v="0"/>
    <s v="2023-12-02 21:14:51"/>
    <n v="19"/>
    <x v="1"/>
    <x v="6"/>
    <x v="1"/>
    <n v="2.3277718429957699"/>
    <n v="2E+20"/>
    <n v="0"/>
    <n v="5.2493936106002801"/>
    <n v="5"/>
    <s v="Unnamed ProjectEdicao.QueueWaiting TimeQueue"/>
    <n v="50"/>
    <n v="1.6032171272413107"/>
    <n v="1.0944750558807383"/>
    <n v="0.95"/>
    <n v="0.31104636929981899"/>
    <n v="0"/>
    <n v="3.8977138394719901"/>
    <n v="0"/>
    <n v="7.95545419566559"/>
    <n v="4.58"/>
    <n v="0.31104636929981899"/>
    <n v="50"/>
    <n v="1"/>
  </r>
  <r>
    <x v="0"/>
    <s v="2023-12-02 21:14:51"/>
    <n v="20"/>
    <x v="1"/>
    <x v="6"/>
    <x v="1"/>
    <n v="3.03416526696543"/>
    <n v="2E+20"/>
    <n v="0"/>
    <n v="6.2112693162948798"/>
    <n v="5"/>
    <s v="Unnamed ProjectEdicao.QueueWaiting TimeQueue"/>
    <n v="50"/>
    <n v="1.6032171272413107"/>
    <n v="1.0944750558807383"/>
    <n v="0.95"/>
    <n v="0.31104636929981899"/>
    <n v="0"/>
    <n v="3.8977138394719901"/>
    <n v="0"/>
    <n v="7.95545419566559"/>
    <n v="4.58"/>
    <n v="0.31104636929981899"/>
    <n v="50"/>
    <n v="1"/>
  </r>
  <r>
    <x v="0"/>
    <s v="2023-12-02 21:14:51"/>
    <n v="21"/>
    <x v="1"/>
    <x v="6"/>
    <x v="1"/>
    <n v="0.76695537492465604"/>
    <n v="2E+20"/>
    <n v="0"/>
    <n v="2.82592042097416"/>
    <n v="4"/>
    <s v="Unnamed ProjectEdicao.QueueWaiting TimeQueue"/>
    <n v="50"/>
    <n v="1.6032171272413107"/>
    <n v="1.0944750558807383"/>
    <n v="0.95"/>
    <n v="0.31104636929981899"/>
    <n v="0"/>
    <n v="3.8977138394719901"/>
    <n v="0"/>
    <n v="7.95545419566559"/>
    <n v="4.58"/>
    <n v="0.31104636929981899"/>
    <n v="50"/>
    <n v="1"/>
  </r>
  <r>
    <x v="0"/>
    <s v="2023-12-02 21:14:51"/>
    <n v="22"/>
    <x v="1"/>
    <x v="6"/>
    <x v="1"/>
    <n v="0.422887508599043"/>
    <n v="2E+20"/>
    <n v="0"/>
    <n v="1.69155003439617"/>
    <n v="4"/>
    <s v="Unnamed ProjectEdicao.QueueWaiting TimeQueue"/>
    <n v="50"/>
    <n v="1.6032171272413107"/>
    <n v="1.0944750558807383"/>
    <n v="0.95"/>
    <n v="0.31104636929981899"/>
    <n v="0"/>
    <n v="3.8977138394719901"/>
    <n v="0"/>
    <n v="7.95545419566559"/>
    <n v="4.58"/>
    <n v="0.31104636929981899"/>
    <n v="50"/>
    <n v="1"/>
  </r>
  <r>
    <x v="0"/>
    <s v="2023-12-02 21:14:51"/>
    <n v="23"/>
    <x v="1"/>
    <x v="6"/>
    <x v="1"/>
    <n v="1.9377962512992799"/>
    <n v="2E+20"/>
    <n v="0"/>
    <n v="3.8127165153620899"/>
    <n v="6"/>
    <s v="Unnamed ProjectEdicao.QueueWaiting TimeQueue"/>
    <n v="50"/>
    <n v="1.6032171272413107"/>
    <n v="1.0944750558807383"/>
    <n v="0.95"/>
    <n v="0.31104636929981899"/>
    <n v="0"/>
    <n v="3.8977138394719901"/>
    <n v="0"/>
    <n v="7.95545419566559"/>
    <n v="4.58"/>
    <n v="0.31104636929981899"/>
    <n v="50"/>
    <n v="1"/>
  </r>
  <r>
    <x v="0"/>
    <s v="2023-12-02 21:14:51"/>
    <n v="24"/>
    <x v="1"/>
    <x v="6"/>
    <x v="1"/>
    <n v="1.37404941562368"/>
    <n v="2E+20"/>
    <n v="0"/>
    <n v="4.13329355283091"/>
    <n v="4"/>
    <s v="Unnamed ProjectEdicao.QueueWaiting TimeQueue"/>
    <n v="50"/>
    <n v="1.6032171272413107"/>
    <n v="1.0944750558807383"/>
    <n v="0.95"/>
    <n v="0.31104636929981899"/>
    <n v="0"/>
    <n v="3.8977138394719901"/>
    <n v="0"/>
    <n v="7.95545419566559"/>
    <n v="4.58"/>
    <n v="0.31104636929981899"/>
    <n v="50"/>
    <n v="1"/>
  </r>
  <r>
    <x v="0"/>
    <s v="2023-12-02 21:14:51"/>
    <n v="25"/>
    <x v="1"/>
    <x v="6"/>
    <x v="1"/>
    <n v="0.726362624000645"/>
    <n v="2E+20"/>
    <n v="0"/>
    <n v="1.4907508904236"/>
    <n v="4"/>
    <s v="Unnamed ProjectEdicao.QueueWaiting TimeQueue"/>
    <n v="50"/>
    <n v="1.6032171272413107"/>
    <n v="1.0944750558807383"/>
    <n v="0.95"/>
    <n v="0.31104636929981899"/>
    <n v="0"/>
    <n v="3.8977138394719901"/>
    <n v="0"/>
    <n v="7.95545419566559"/>
    <n v="4.58"/>
    <n v="0.31104636929981899"/>
    <n v="50"/>
    <n v="1"/>
  </r>
  <r>
    <x v="0"/>
    <s v="2023-12-02 21:14:51"/>
    <n v="26"/>
    <x v="1"/>
    <x v="6"/>
    <x v="1"/>
    <n v="1.75692029955359"/>
    <n v="2E+20"/>
    <n v="0"/>
    <n v="4.4216959532995999"/>
    <n v="4"/>
    <s v="Unnamed ProjectEdicao.QueueWaiting TimeQueue"/>
    <n v="50"/>
    <n v="1.6032171272413107"/>
    <n v="1.0944750558807383"/>
    <n v="0.95"/>
    <n v="0.31104636929981899"/>
    <n v="0"/>
    <n v="3.8977138394719901"/>
    <n v="0"/>
    <n v="7.95545419566559"/>
    <n v="4.58"/>
    <n v="0.31104636929981899"/>
    <n v="50"/>
    <n v="1"/>
  </r>
  <r>
    <x v="0"/>
    <s v="2023-12-02 21:14:51"/>
    <n v="27"/>
    <x v="1"/>
    <x v="6"/>
    <x v="1"/>
    <n v="3.2057975506329699"/>
    <n v="2E+20"/>
    <n v="0"/>
    <n v="5.6929245563680597"/>
    <n v="5"/>
    <s v="Unnamed ProjectEdicao.QueueWaiting TimeQueue"/>
    <n v="50"/>
    <n v="1.6032171272413107"/>
    <n v="1.0944750558807383"/>
    <n v="0.95"/>
    <n v="0.31104636929981899"/>
    <n v="0"/>
    <n v="3.8977138394719901"/>
    <n v="0"/>
    <n v="7.95545419566559"/>
    <n v="4.58"/>
    <n v="0.31104636929981899"/>
    <n v="50"/>
    <n v="1"/>
  </r>
  <r>
    <x v="0"/>
    <s v="2023-12-02 21:14:51"/>
    <n v="28"/>
    <x v="1"/>
    <x v="6"/>
    <x v="1"/>
    <n v="0.88643825375426699"/>
    <n v="2E+20"/>
    <n v="0"/>
    <n v="1.9413415473659901"/>
    <n v="5"/>
    <s v="Unnamed ProjectEdicao.QueueWaiting TimeQueue"/>
    <n v="50"/>
    <n v="1.6032171272413107"/>
    <n v="1.0944750558807383"/>
    <n v="0.95"/>
    <n v="0.31104636929981899"/>
    <n v="0"/>
    <n v="3.8977138394719901"/>
    <n v="0"/>
    <n v="7.95545419566559"/>
    <n v="4.58"/>
    <n v="0.31104636929981899"/>
    <n v="50"/>
    <n v="1"/>
  </r>
  <r>
    <x v="0"/>
    <s v="2023-12-02 21:14:51"/>
    <n v="29"/>
    <x v="1"/>
    <x v="6"/>
    <x v="1"/>
    <n v="2.7611844595080099"/>
    <n v="2E+20"/>
    <n v="0"/>
    <n v="4.6886647189490498"/>
    <n v="5"/>
    <s v="Unnamed ProjectEdicao.QueueWaiting TimeQueue"/>
    <n v="50"/>
    <n v="1.6032171272413107"/>
    <n v="1.0944750558807383"/>
    <n v="0.95"/>
    <n v="0.31104636929981899"/>
    <n v="0"/>
    <n v="3.8977138394719901"/>
    <n v="0"/>
    <n v="7.95545419566559"/>
    <n v="4.58"/>
    <n v="0.31104636929981899"/>
    <n v="50"/>
    <n v="1"/>
  </r>
  <r>
    <x v="0"/>
    <s v="2023-12-02 21:14:51"/>
    <n v="30"/>
    <x v="1"/>
    <x v="6"/>
    <x v="1"/>
    <n v="1.20346240452415"/>
    <n v="2E+20"/>
    <n v="0"/>
    <n v="2.7167486049998102"/>
    <n v="6"/>
    <s v="Unnamed ProjectEdicao.QueueWaiting TimeQueue"/>
    <n v="50"/>
    <n v="1.6032171272413107"/>
    <n v="1.0944750558807383"/>
    <n v="0.95"/>
    <n v="0.31104636929981899"/>
    <n v="0"/>
    <n v="3.8977138394719901"/>
    <n v="0"/>
    <n v="7.95545419566559"/>
    <n v="4.58"/>
    <n v="0.31104636929981899"/>
    <n v="50"/>
    <n v="1"/>
  </r>
  <r>
    <x v="0"/>
    <s v="2023-12-02 21:14:51"/>
    <n v="31"/>
    <x v="1"/>
    <x v="6"/>
    <x v="1"/>
    <n v="0.506340201539215"/>
    <n v="2E+20"/>
    <n v="0"/>
    <n v="1.17970998886166"/>
    <n v="4"/>
    <s v="Unnamed ProjectEdicao.QueueWaiting TimeQueue"/>
    <n v="50"/>
    <n v="1.6032171272413107"/>
    <n v="1.0944750558807383"/>
    <n v="0.95"/>
    <n v="0.31104636929981899"/>
    <n v="0"/>
    <n v="3.8977138394719901"/>
    <n v="0"/>
    <n v="7.95545419566559"/>
    <n v="4.58"/>
    <n v="0.31104636929981899"/>
    <n v="50"/>
    <n v="1"/>
  </r>
  <r>
    <x v="0"/>
    <s v="2023-12-02 21:14:51"/>
    <n v="32"/>
    <x v="1"/>
    <x v="6"/>
    <x v="1"/>
    <n v="0"/>
    <n v="2E+20"/>
    <n v="0"/>
    <n v="0"/>
    <n v="3"/>
    <s v="Unnamed ProjectEdicao.QueueWaiting TimeQueue"/>
    <n v="50"/>
    <n v="1.6032171272413107"/>
    <n v="1.0944750558807383"/>
    <n v="0.95"/>
    <n v="0.31104636929981899"/>
    <n v="0"/>
    <n v="3.8977138394719901"/>
    <n v="0"/>
    <n v="7.95545419566559"/>
    <n v="4.58"/>
    <n v="0.31104636929981899"/>
    <n v="50"/>
    <n v="1"/>
  </r>
  <r>
    <x v="0"/>
    <s v="2023-12-02 21:14:51"/>
    <n v="33"/>
    <x v="1"/>
    <x v="6"/>
    <x v="1"/>
    <n v="3.3760029225366699"/>
    <n v="2E+20"/>
    <n v="0"/>
    <n v="6.3814021486899204"/>
    <n v="6"/>
    <s v="Unnamed ProjectEdicao.QueueWaiting TimeQueue"/>
    <n v="50"/>
    <n v="1.6032171272413107"/>
    <n v="1.0944750558807383"/>
    <n v="0.95"/>
    <n v="0.31104636929981899"/>
    <n v="0"/>
    <n v="3.8977138394719901"/>
    <n v="0"/>
    <n v="7.95545419566559"/>
    <n v="4.58"/>
    <n v="0.31104636929981899"/>
    <n v="50"/>
    <n v="1"/>
  </r>
  <r>
    <x v="0"/>
    <s v="2023-12-02 21:14:51"/>
    <n v="34"/>
    <x v="1"/>
    <x v="6"/>
    <x v="1"/>
    <n v="1.72250830611442"/>
    <n v="2E+20"/>
    <n v="0"/>
    <n v="3.5028069298024702"/>
    <n v="6"/>
    <s v="Unnamed ProjectEdicao.QueueWaiting TimeQueue"/>
    <n v="50"/>
    <n v="1.6032171272413107"/>
    <n v="1.0944750558807383"/>
    <n v="0.95"/>
    <n v="0.31104636929981899"/>
    <n v="0"/>
    <n v="3.8977138394719901"/>
    <n v="0"/>
    <n v="7.95545419566559"/>
    <n v="4.58"/>
    <n v="0.31104636929981899"/>
    <n v="50"/>
    <n v="1"/>
  </r>
  <r>
    <x v="0"/>
    <s v="2023-12-02 21:14:51"/>
    <n v="35"/>
    <x v="1"/>
    <x v="6"/>
    <x v="1"/>
    <n v="2.6322871367689999"/>
    <n v="2E+20"/>
    <n v="0"/>
    <n v="4.8158665252238801"/>
    <n v="6"/>
    <s v="Unnamed ProjectEdicao.QueueWaiting TimeQueue"/>
    <n v="50"/>
    <n v="1.6032171272413107"/>
    <n v="1.0944750558807383"/>
    <n v="0.95"/>
    <n v="0.31104636929981899"/>
    <n v="0"/>
    <n v="3.8977138394719901"/>
    <n v="0"/>
    <n v="7.95545419566559"/>
    <n v="4.58"/>
    <n v="0.31104636929981899"/>
    <n v="50"/>
    <n v="1"/>
  </r>
  <r>
    <x v="0"/>
    <s v="2023-12-02 21:14:51"/>
    <n v="36"/>
    <x v="1"/>
    <x v="6"/>
    <x v="1"/>
    <n v="1.85389177029138"/>
    <n v="2E+20"/>
    <n v="0"/>
    <n v="4.5542106236526099"/>
    <n v="5"/>
    <s v="Unnamed ProjectEdicao.QueueWaiting TimeQueue"/>
    <n v="50"/>
    <n v="1.6032171272413107"/>
    <n v="1.0944750558807383"/>
    <n v="0.95"/>
    <n v="0.31104636929981899"/>
    <n v="0"/>
    <n v="3.8977138394719901"/>
    <n v="0"/>
    <n v="7.95545419566559"/>
    <n v="4.58"/>
    <n v="0.31104636929981899"/>
    <n v="50"/>
    <n v="1"/>
  </r>
  <r>
    <x v="0"/>
    <s v="2023-12-02 21:14:51"/>
    <n v="37"/>
    <x v="1"/>
    <x v="6"/>
    <x v="1"/>
    <n v="3.8977138394719901"/>
    <n v="2E+20"/>
    <n v="0"/>
    <n v="7.95545419566559"/>
    <n v="4"/>
    <s v="Unnamed ProjectEdicao.QueueWaiting TimeQueue"/>
    <n v="50"/>
    <n v="1.6032171272413107"/>
    <n v="1.0944750558807383"/>
    <n v="0.95"/>
    <n v="0.31104636929981899"/>
    <n v="0"/>
    <n v="3.8977138394719901"/>
    <n v="0"/>
    <n v="7.95545419566559"/>
    <n v="4.58"/>
    <n v="0.31104636929981899"/>
    <n v="50"/>
    <n v="1"/>
  </r>
  <r>
    <x v="0"/>
    <s v="2023-12-02 21:14:51"/>
    <n v="38"/>
    <x v="1"/>
    <x v="6"/>
    <x v="1"/>
    <n v="2.68245440428251"/>
    <n v="2E+20"/>
    <n v="0"/>
    <n v="5.5512528434224304"/>
    <n v="4"/>
    <s v="Unnamed ProjectEdicao.QueueWaiting TimeQueue"/>
    <n v="50"/>
    <n v="1.6032171272413107"/>
    <n v="1.0944750558807383"/>
    <n v="0.95"/>
    <n v="0.31104636929981899"/>
    <n v="0"/>
    <n v="3.8977138394719901"/>
    <n v="0"/>
    <n v="7.95545419566559"/>
    <n v="4.58"/>
    <n v="0.31104636929981899"/>
    <n v="50"/>
    <n v="1"/>
  </r>
  <r>
    <x v="0"/>
    <s v="2023-12-02 21:14:51"/>
    <n v="39"/>
    <x v="1"/>
    <x v="6"/>
    <x v="1"/>
    <n v="1.9214630987544301"/>
    <n v="2E+20"/>
    <n v="0"/>
    <n v="4.2807120817181303"/>
    <n v="4"/>
    <s v="Unnamed ProjectEdicao.QueueWaiting TimeQueue"/>
    <n v="50"/>
    <n v="1.6032171272413107"/>
    <n v="1.0944750558807383"/>
    <n v="0.95"/>
    <n v="0.31104636929981899"/>
    <n v="0"/>
    <n v="3.8977138394719901"/>
    <n v="0"/>
    <n v="7.95545419566559"/>
    <n v="4.58"/>
    <n v="0.31104636929981899"/>
    <n v="50"/>
    <n v="1"/>
  </r>
  <r>
    <x v="0"/>
    <s v="2023-12-02 21:14:51"/>
    <n v="40"/>
    <x v="1"/>
    <x v="6"/>
    <x v="1"/>
    <n v="0.65053979444716004"/>
    <n v="2E+20"/>
    <n v="0"/>
    <n v="1.7468418623569699"/>
    <n v="5"/>
    <s v="Unnamed ProjectEdicao.QueueWaiting TimeQueue"/>
    <n v="50"/>
    <n v="1.6032171272413107"/>
    <n v="1.0944750558807383"/>
    <n v="0.95"/>
    <n v="0.31104636929981899"/>
    <n v="0"/>
    <n v="3.8977138394719901"/>
    <n v="0"/>
    <n v="7.95545419566559"/>
    <n v="4.58"/>
    <n v="0.31104636929981899"/>
    <n v="50"/>
    <n v="1"/>
  </r>
  <r>
    <x v="0"/>
    <s v="2023-12-02 21:14:51"/>
    <n v="41"/>
    <x v="1"/>
    <x v="6"/>
    <x v="1"/>
    <n v="9.9750759288526794E-2"/>
    <n v="2E+20"/>
    <n v="0"/>
    <n v="0.39900303715410701"/>
    <n v="4"/>
    <s v="Unnamed ProjectEdicao.QueueWaiting TimeQueue"/>
    <n v="50"/>
    <n v="1.6032171272413107"/>
    <n v="1.0944750558807383"/>
    <n v="0.95"/>
    <n v="0.31104636929981899"/>
    <n v="0"/>
    <n v="3.8977138394719901"/>
    <n v="0"/>
    <n v="7.95545419566559"/>
    <n v="4.58"/>
    <n v="0.31104636929981899"/>
    <n v="50"/>
    <n v="1"/>
  </r>
  <r>
    <x v="0"/>
    <s v="2023-12-02 21:14:51"/>
    <n v="42"/>
    <x v="1"/>
    <x v="6"/>
    <x v="1"/>
    <n v="0.64812580574896195"/>
    <n v="2E+20"/>
    <n v="0"/>
    <n v="1.6963212659298299"/>
    <n v="5"/>
    <s v="Unnamed ProjectEdicao.QueueWaiting TimeQueue"/>
    <n v="50"/>
    <n v="1.6032171272413107"/>
    <n v="1.0944750558807383"/>
    <n v="0.95"/>
    <n v="0.31104636929981899"/>
    <n v="0"/>
    <n v="3.8977138394719901"/>
    <n v="0"/>
    <n v="7.95545419566559"/>
    <n v="4.58"/>
    <n v="0.31104636929981899"/>
    <n v="50"/>
    <n v="1"/>
  </r>
  <r>
    <x v="0"/>
    <s v="2023-12-02 21:14:51"/>
    <n v="43"/>
    <x v="1"/>
    <x v="6"/>
    <x v="1"/>
    <n v="0.65847536289914399"/>
    <n v="2E+20"/>
    <n v="0"/>
    <n v="1.6273367424138701"/>
    <n v="5"/>
    <s v="Unnamed ProjectEdicao.QueueWaiting TimeQueue"/>
    <n v="50"/>
    <n v="1.6032171272413107"/>
    <n v="1.0944750558807383"/>
    <n v="0.95"/>
    <n v="0.31104636929981899"/>
    <n v="0"/>
    <n v="3.8977138394719901"/>
    <n v="0"/>
    <n v="7.95545419566559"/>
    <n v="4.58"/>
    <n v="0.31104636929981899"/>
    <n v="50"/>
    <n v="1"/>
  </r>
  <r>
    <x v="0"/>
    <s v="2023-12-02 21:14:51"/>
    <n v="44"/>
    <x v="1"/>
    <x v="6"/>
    <x v="1"/>
    <n v="3.5630643671262798"/>
    <n v="2E+20"/>
    <n v="0"/>
    <n v="5.9911917939905903"/>
    <n v="4"/>
    <s v="Unnamed ProjectEdicao.QueueWaiting TimeQueue"/>
    <n v="50"/>
    <n v="1.6032171272413107"/>
    <n v="1.0944750558807383"/>
    <n v="0.95"/>
    <n v="0.31104636929981899"/>
    <n v="0"/>
    <n v="3.8977138394719901"/>
    <n v="0"/>
    <n v="7.95545419566559"/>
    <n v="4.58"/>
    <n v="0.31104636929981899"/>
    <n v="50"/>
    <n v="1"/>
  </r>
  <r>
    <x v="0"/>
    <s v="2023-12-02 21:14:51"/>
    <n v="45"/>
    <x v="1"/>
    <x v="6"/>
    <x v="1"/>
    <n v="0.379343994465693"/>
    <n v="2E+20"/>
    <n v="0"/>
    <n v="1.1506376660733"/>
    <n v="4"/>
    <s v="Unnamed ProjectEdicao.QueueWaiting TimeQueue"/>
    <n v="50"/>
    <n v="1.6032171272413107"/>
    <n v="1.0944750558807383"/>
    <n v="0.95"/>
    <n v="0.31104636929981899"/>
    <n v="0"/>
    <n v="3.8977138394719901"/>
    <n v="0"/>
    <n v="7.95545419566559"/>
    <n v="4.58"/>
    <n v="0.31104636929981899"/>
    <n v="50"/>
    <n v="1"/>
  </r>
  <r>
    <x v="0"/>
    <s v="2023-12-02 21:14:51"/>
    <n v="46"/>
    <x v="1"/>
    <x v="6"/>
    <x v="1"/>
    <n v="0"/>
    <n v="2E+20"/>
    <n v="0"/>
    <n v="0"/>
    <n v="3"/>
    <s v="Unnamed ProjectEdicao.QueueWaiting TimeQueue"/>
    <n v="50"/>
    <n v="1.6032171272413107"/>
    <n v="1.0944750558807383"/>
    <n v="0.95"/>
    <n v="0.31104636929981899"/>
    <n v="0"/>
    <n v="3.8977138394719901"/>
    <n v="0"/>
    <n v="7.95545419566559"/>
    <n v="4.58"/>
    <n v="0.31104636929981899"/>
    <n v="50"/>
    <n v="1"/>
  </r>
  <r>
    <x v="0"/>
    <s v="2023-12-02 21:14:51"/>
    <n v="47"/>
    <x v="1"/>
    <x v="6"/>
    <x v="1"/>
    <n v="1.82564731348502"/>
    <n v="2E+20"/>
    <n v="0"/>
    <n v="2.8479851080306702"/>
    <n v="5"/>
    <s v="Unnamed ProjectEdicao.QueueWaiting TimeQueue"/>
    <n v="50"/>
    <n v="1.6032171272413107"/>
    <n v="1.0944750558807383"/>
    <n v="0.95"/>
    <n v="0.31104636929981899"/>
    <n v="0"/>
    <n v="3.8977138394719901"/>
    <n v="0"/>
    <n v="7.95545419566559"/>
    <n v="4.58"/>
    <n v="0.31104636929981899"/>
    <n v="50"/>
    <n v="1"/>
  </r>
  <r>
    <x v="0"/>
    <s v="2023-12-02 21:14:51"/>
    <n v="48"/>
    <x v="1"/>
    <x v="6"/>
    <x v="1"/>
    <n v="2.7747811846448802"/>
    <n v="2E+20"/>
    <n v="0"/>
    <n v="5.4025842711972398"/>
    <n v="4"/>
    <s v="Unnamed ProjectEdicao.QueueWaiting TimeQueue"/>
    <n v="50"/>
    <n v="1.6032171272413107"/>
    <n v="1.0944750558807383"/>
    <n v="0.95"/>
    <n v="0.31104636929981899"/>
    <n v="0"/>
    <n v="3.8977138394719901"/>
    <n v="0"/>
    <n v="7.95545419566559"/>
    <n v="4.58"/>
    <n v="0.31104636929981899"/>
    <n v="50"/>
    <n v="1"/>
  </r>
  <r>
    <x v="0"/>
    <s v="2023-12-02 21:14:51"/>
    <n v="49"/>
    <x v="1"/>
    <x v="6"/>
    <x v="1"/>
    <n v="0.38072968151783398"/>
    <n v="2E+20"/>
    <n v="0"/>
    <n v="1.5229187260713399"/>
    <n v="4"/>
    <s v="Unnamed ProjectEdicao.QueueWaiting TimeQueue"/>
    <n v="50"/>
    <n v="1.6032171272413107"/>
    <n v="1.0944750558807383"/>
    <n v="0.95"/>
    <n v="0.31104636929981899"/>
    <n v="0"/>
    <n v="3.8977138394719901"/>
    <n v="0"/>
    <n v="7.95545419566559"/>
    <n v="4.58"/>
    <n v="0.31104636929981899"/>
    <n v="50"/>
    <n v="1"/>
  </r>
  <r>
    <x v="0"/>
    <s v="2023-12-02 21:14:51"/>
    <n v="50"/>
    <x v="1"/>
    <x v="6"/>
    <x v="1"/>
    <n v="0.78484058479294405"/>
    <n v="2E+20"/>
    <n v="0"/>
    <n v="2.0744610518378601"/>
    <n v="5"/>
    <s v="Unnamed ProjectEdicao.QueueWaiting TimeQueue"/>
    <n v="50"/>
    <n v="1.6032171272413107"/>
    <n v="1.0944750558807383"/>
    <n v="0.95"/>
    <n v="0.31104636929981899"/>
    <n v="0"/>
    <n v="3.8977138394719901"/>
    <n v="0"/>
    <n v="7.95545419566559"/>
    <n v="4.58"/>
    <n v="0.31104636929981899"/>
    <n v="50"/>
    <n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0">
  <r>
    <x v="0"/>
    <s v="2023-12-02 21:14:51"/>
    <n v="1"/>
    <x v="0"/>
    <x v="0"/>
    <x v="0"/>
    <n v="8"/>
    <n v="0"/>
    <s v="Unnamed ProjectArquivos.NumberInNumber InEntity"/>
    <n v="50"/>
    <n v="6.48"/>
    <n v="1.7984119979264248"/>
    <n v="0.95"/>
    <n v="0.51110303469648288"/>
    <n v="3"/>
    <n v="13"/>
  </r>
  <r>
    <x v="0"/>
    <s v="2023-12-02 21:14:51"/>
    <n v="1"/>
    <x v="1"/>
    <x v="1"/>
    <x v="0"/>
    <n v="4"/>
    <n v="0"/>
    <s v="Unnamed ProjectArquivos.NumberOutNumber OutEntity"/>
    <n v="50"/>
    <n v="3.62"/>
    <n v="0.77958649426527116"/>
    <n v="0.95"/>
    <n v="0.22155603025712986"/>
    <n v="2"/>
    <n v="5"/>
  </r>
  <r>
    <x v="0"/>
    <s v="2023-12-02 21:14:51"/>
    <n v="1"/>
    <x v="2"/>
    <x v="2"/>
    <x v="1"/>
    <n v="5"/>
    <n v="0"/>
    <s v="Unnamed ProjectOperador.NumberSeizedTotal Number SeizedResource"/>
    <n v="50"/>
    <n v="4.58"/>
    <n v="0.78480466827545059"/>
    <n v="0.95"/>
    <n v="0.22303901890225239"/>
    <n v="3"/>
    <n v="6"/>
  </r>
  <r>
    <x v="0"/>
    <s v="2023-12-02 21:14:51"/>
    <n v="1"/>
    <x v="3"/>
    <x v="3"/>
    <x v="1"/>
    <n v="1"/>
    <n v="0"/>
    <s v="Unnamed ProjectOperador.ScheduledUtilizationScheduled UtilizationResource"/>
    <n v="50"/>
    <n v="0.92637977941440086"/>
    <n v="0.11789675502181338"/>
    <n v="0.95"/>
    <n v="3.350588705034975E-2"/>
    <n v="0.60846830422583797"/>
    <n v="1"/>
  </r>
  <r>
    <x v="0"/>
    <s v="2023-12-02 21:14:51"/>
    <n v="1"/>
    <x v="4"/>
    <x v="1"/>
    <x v="2"/>
    <n v="4"/>
    <n v="0"/>
    <s v="Unnamed ProjectSystem.NumberOutNumber OutSystem"/>
    <n v="50"/>
    <n v="3.62"/>
    <n v="0.77958649426527116"/>
    <n v="0.95"/>
    <n v="0.22155603025712986"/>
    <n v="2"/>
    <n v="5"/>
  </r>
  <r>
    <x v="0"/>
    <s v="2023-12-02 21:14:51"/>
    <n v="2"/>
    <x v="0"/>
    <x v="0"/>
    <x v="0"/>
    <n v="7"/>
    <n v="0"/>
    <s v="Unnamed ProjectArquivos.NumberInNumber InEntity"/>
    <n v="50"/>
    <n v="6.48"/>
    <n v="1.7984119979264248"/>
    <n v="0.95"/>
    <n v="0.51110303469648288"/>
    <n v="3"/>
    <n v="13"/>
  </r>
  <r>
    <x v="0"/>
    <s v="2023-12-02 21:14:51"/>
    <n v="2"/>
    <x v="1"/>
    <x v="1"/>
    <x v="0"/>
    <n v="3"/>
    <n v="0"/>
    <s v="Unnamed ProjectArquivos.NumberOutNumber OutEntity"/>
    <n v="50"/>
    <n v="3.62"/>
    <n v="0.77958649426527116"/>
    <n v="0.95"/>
    <n v="0.22155603025712986"/>
    <n v="2"/>
    <n v="5"/>
  </r>
  <r>
    <x v="0"/>
    <s v="2023-12-02 21:14:51"/>
    <n v="2"/>
    <x v="2"/>
    <x v="2"/>
    <x v="1"/>
    <n v="4"/>
    <n v="0"/>
    <s v="Unnamed ProjectOperador.NumberSeizedTotal Number SeizedResource"/>
    <n v="50"/>
    <n v="4.58"/>
    <n v="0.78480466827545059"/>
    <n v="0.95"/>
    <n v="0.22303901890225239"/>
    <n v="3"/>
    <n v="6"/>
  </r>
  <r>
    <x v="0"/>
    <s v="2023-12-02 21:14:51"/>
    <n v="2"/>
    <x v="3"/>
    <x v="3"/>
    <x v="1"/>
    <n v="1"/>
    <n v="0"/>
    <s v="Unnamed ProjectOperador.ScheduledUtilizationScheduled UtilizationResource"/>
    <n v="50"/>
    <n v="0.92637977941440086"/>
    <n v="0.11789675502181338"/>
    <n v="0.95"/>
    <n v="3.350588705034975E-2"/>
    <n v="0.60846830422583797"/>
    <n v="1"/>
  </r>
  <r>
    <x v="0"/>
    <s v="2023-12-02 21:14:51"/>
    <n v="2"/>
    <x v="4"/>
    <x v="1"/>
    <x v="2"/>
    <n v="3"/>
    <n v="0"/>
    <s v="Unnamed ProjectSystem.NumberOutNumber OutSystem"/>
    <n v="50"/>
    <n v="3.62"/>
    <n v="0.77958649426527116"/>
    <n v="0.95"/>
    <n v="0.22155603025712986"/>
    <n v="2"/>
    <n v="5"/>
  </r>
  <r>
    <x v="0"/>
    <s v="2023-12-02 21:14:51"/>
    <n v="3"/>
    <x v="0"/>
    <x v="0"/>
    <x v="0"/>
    <n v="5"/>
    <n v="0"/>
    <s v="Unnamed ProjectArquivos.NumberInNumber InEntity"/>
    <n v="50"/>
    <n v="6.48"/>
    <n v="1.7984119979264248"/>
    <n v="0.95"/>
    <n v="0.51110303469648288"/>
    <n v="3"/>
    <n v="13"/>
  </r>
  <r>
    <x v="0"/>
    <s v="2023-12-02 21:14:51"/>
    <n v="3"/>
    <x v="1"/>
    <x v="1"/>
    <x v="0"/>
    <n v="4"/>
    <n v="0"/>
    <s v="Unnamed ProjectArquivos.NumberOutNumber OutEntity"/>
    <n v="50"/>
    <n v="3.62"/>
    <n v="0.77958649426527116"/>
    <n v="0.95"/>
    <n v="0.22155603025712986"/>
    <n v="2"/>
    <n v="5"/>
  </r>
  <r>
    <x v="0"/>
    <s v="2023-12-02 21:14:51"/>
    <n v="3"/>
    <x v="2"/>
    <x v="2"/>
    <x v="1"/>
    <n v="5"/>
    <n v="0"/>
    <s v="Unnamed ProjectOperador.NumberSeizedTotal Number SeizedResource"/>
    <n v="50"/>
    <n v="4.58"/>
    <n v="0.78480466827545059"/>
    <n v="0.95"/>
    <n v="0.22303901890225239"/>
    <n v="3"/>
    <n v="6"/>
  </r>
  <r>
    <x v="0"/>
    <s v="2023-12-02 21:14:51"/>
    <n v="3"/>
    <x v="3"/>
    <x v="3"/>
    <x v="1"/>
    <n v="1"/>
    <n v="0"/>
    <s v="Unnamed ProjectOperador.ScheduledUtilizationScheduled UtilizationResource"/>
    <n v="50"/>
    <n v="0.92637977941440086"/>
    <n v="0.11789675502181338"/>
    <n v="0.95"/>
    <n v="3.350588705034975E-2"/>
    <n v="0.60846830422583797"/>
    <n v="1"/>
  </r>
  <r>
    <x v="0"/>
    <s v="2023-12-02 21:14:51"/>
    <n v="3"/>
    <x v="4"/>
    <x v="1"/>
    <x v="2"/>
    <n v="4"/>
    <n v="0"/>
    <s v="Unnamed ProjectSystem.NumberOutNumber OutSystem"/>
    <n v="50"/>
    <n v="3.62"/>
    <n v="0.77958649426527116"/>
    <n v="0.95"/>
    <n v="0.22155603025712986"/>
    <n v="2"/>
    <n v="5"/>
  </r>
  <r>
    <x v="0"/>
    <s v="2023-12-02 21:14:51"/>
    <n v="4"/>
    <x v="0"/>
    <x v="0"/>
    <x v="0"/>
    <n v="6"/>
    <n v="0"/>
    <s v="Unnamed ProjectArquivos.NumberInNumber InEntity"/>
    <n v="50"/>
    <n v="6.48"/>
    <n v="1.7984119979264248"/>
    <n v="0.95"/>
    <n v="0.51110303469648288"/>
    <n v="3"/>
    <n v="13"/>
  </r>
  <r>
    <x v="0"/>
    <s v="2023-12-02 21:14:51"/>
    <n v="4"/>
    <x v="1"/>
    <x v="1"/>
    <x v="0"/>
    <n v="3"/>
    <n v="0"/>
    <s v="Unnamed ProjectArquivos.NumberOutNumber OutEntity"/>
    <n v="50"/>
    <n v="3.62"/>
    <n v="0.77958649426527116"/>
    <n v="0.95"/>
    <n v="0.22155603025712986"/>
    <n v="2"/>
    <n v="5"/>
  </r>
  <r>
    <x v="0"/>
    <s v="2023-12-02 21:14:51"/>
    <n v="4"/>
    <x v="2"/>
    <x v="2"/>
    <x v="1"/>
    <n v="4"/>
    <n v="0"/>
    <s v="Unnamed ProjectOperador.NumberSeizedTotal Number SeizedResource"/>
    <n v="50"/>
    <n v="4.58"/>
    <n v="0.78480466827545059"/>
    <n v="0.95"/>
    <n v="0.22303901890225239"/>
    <n v="3"/>
    <n v="6"/>
  </r>
  <r>
    <x v="0"/>
    <s v="2023-12-02 21:14:51"/>
    <n v="4"/>
    <x v="3"/>
    <x v="3"/>
    <x v="1"/>
    <n v="1"/>
    <n v="0"/>
    <s v="Unnamed ProjectOperador.ScheduledUtilizationScheduled UtilizationResource"/>
    <n v="50"/>
    <n v="0.92637977941440086"/>
    <n v="0.11789675502181338"/>
    <n v="0.95"/>
    <n v="3.350588705034975E-2"/>
    <n v="0.60846830422583797"/>
    <n v="1"/>
  </r>
  <r>
    <x v="0"/>
    <s v="2023-12-02 21:14:51"/>
    <n v="4"/>
    <x v="4"/>
    <x v="1"/>
    <x v="2"/>
    <n v="3"/>
    <n v="0"/>
    <s v="Unnamed ProjectSystem.NumberOutNumber OutSystem"/>
    <n v="50"/>
    <n v="3.62"/>
    <n v="0.77958649426527116"/>
    <n v="0.95"/>
    <n v="0.22155603025712986"/>
    <n v="2"/>
    <n v="5"/>
  </r>
  <r>
    <x v="0"/>
    <s v="2023-12-02 21:14:51"/>
    <n v="5"/>
    <x v="0"/>
    <x v="0"/>
    <x v="0"/>
    <n v="7"/>
    <n v="0"/>
    <s v="Unnamed ProjectArquivos.NumberInNumber InEntity"/>
    <n v="50"/>
    <n v="6.48"/>
    <n v="1.7984119979264248"/>
    <n v="0.95"/>
    <n v="0.51110303469648288"/>
    <n v="3"/>
    <n v="13"/>
  </r>
  <r>
    <x v="0"/>
    <s v="2023-12-02 21:14:51"/>
    <n v="5"/>
    <x v="1"/>
    <x v="1"/>
    <x v="0"/>
    <n v="4"/>
    <n v="0"/>
    <s v="Unnamed ProjectArquivos.NumberOutNumber OutEntity"/>
    <n v="50"/>
    <n v="3.62"/>
    <n v="0.77958649426527116"/>
    <n v="0.95"/>
    <n v="0.22155603025712986"/>
    <n v="2"/>
    <n v="5"/>
  </r>
  <r>
    <x v="0"/>
    <s v="2023-12-02 21:14:51"/>
    <n v="5"/>
    <x v="2"/>
    <x v="2"/>
    <x v="1"/>
    <n v="5"/>
    <n v="0"/>
    <s v="Unnamed ProjectOperador.NumberSeizedTotal Number SeizedResource"/>
    <n v="50"/>
    <n v="4.58"/>
    <n v="0.78480466827545059"/>
    <n v="0.95"/>
    <n v="0.22303901890225239"/>
    <n v="3"/>
    <n v="6"/>
  </r>
  <r>
    <x v="0"/>
    <s v="2023-12-02 21:14:51"/>
    <n v="5"/>
    <x v="3"/>
    <x v="3"/>
    <x v="1"/>
    <n v="1"/>
    <n v="0"/>
    <s v="Unnamed ProjectOperador.ScheduledUtilizationScheduled UtilizationResource"/>
    <n v="50"/>
    <n v="0.92637977941440086"/>
    <n v="0.11789675502181338"/>
    <n v="0.95"/>
    <n v="3.350588705034975E-2"/>
    <n v="0.60846830422583797"/>
    <n v="1"/>
  </r>
  <r>
    <x v="0"/>
    <s v="2023-12-02 21:14:51"/>
    <n v="5"/>
    <x v="4"/>
    <x v="1"/>
    <x v="2"/>
    <n v="4"/>
    <n v="0"/>
    <s v="Unnamed ProjectSystem.NumberOutNumber OutSystem"/>
    <n v="50"/>
    <n v="3.62"/>
    <n v="0.77958649426527116"/>
    <n v="0.95"/>
    <n v="0.22155603025712986"/>
    <n v="2"/>
    <n v="5"/>
  </r>
  <r>
    <x v="0"/>
    <s v="2023-12-02 21:14:51"/>
    <n v="6"/>
    <x v="0"/>
    <x v="0"/>
    <x v="0"/>
    <n v="5"/>
    <n v="0"/>
    <s v="Unnamed ProjectArquivos.NumberInNumber InEntity"/>
    <n v="50"/>
    <n v="6.48"/>
    <n v="1.7984119979264248"/>
    <n v="0.95"/>
    <n v="0.51110303469648288"/>
    <n v="3"/>
    <n v="13"/>
  </r>
  <r>
    <x v="0"/>
    <s v="2023-12-02 21:14:51"/>
    <n v="6"/>
    <x v="1"/>
    <x v="1"/>
    <x v="0"/>
    <n v="3"/>
    <n v="0"/>
    <s v="Unnamed ProjectArquivos.NumberOutNumber OutEntity"/>
    <n v="50"/>
    <n v="3.62"/>
    <n v="0.77958649426527116"/>
    <n v="0.95"/>
    <n v="0.22155603025712986"/>
    <n v="2"/>
    <n v="5"/>
  </r>
  <r>
    <x v="0"/>
    <s v="2023-12-02 21:14:51"/>
    <n v="6"/>
    <x v="2"/>
    <x v="2"/>
    <x v="1"/>
    <n v="4"/>
    <n v="0"/>
    <s v="Unnamed ProjectOperador.NumberSeizedTotal Number SeizedResource"/>
    <n v="50"/>
    <n v="4.58"/>
    <n v="0.78480466827545059"/>
    <n v="0.95"/>
    <n v="0.22303901890225239"/>
    <n v="3"/>
    <n v="6"/>
  </r>
  <r>
    <x v="0"/>
    <s v="2023-12-02 21:14:51"/>
    <n v="6"/>
    <x v="3"/>
    <x v="3"/>
    <x v="1"/>
    <n v="1"/>
    <n v="0"/>
    <s v="Unnamed ProjectOperador.ScheduledUtilizationScheduled UtilizationResource"/>
    <n v="50"/>
    <n v="0.92637977941440086"/>
    <n v="0.11789675502181338"/>
    <n v="0.95"/>
    <n v="3.350588705034975E-2"/>
    <n v="0.60846830422583797"/>
    <n v="1"/>
  </r>
  <r>
    <x v="0"/>
    <s v="2023-12-02 21:14:51"/>
    <n v="6"/>
    <x v="4"/>
    <x v="1"/>
    <x v="2"/>
    <n v="3"/>
    <n v="0"/>
    <s v="Unnamed ProjectSystem.NumberOutNumber OutSystem"/>
    <n v="50"/>
    <n v="3.62"/>
    <n v="0.77958649426527116"/>
    <n v="0.95"/>
    <n v="0.22155603025712986"/>
    <n v="2"/>
    <n v="5"/>
  </r>
  <r>
    <x v="0"/>
    <s v="2023-12-02 21:14:51"/>
    <n v="7"/>
    <x v="0"/>
    <x v="0"/>
    <x v="0"/>
    <n v="6"/>
    <n v="0"/>
    <s v="Unnamed ProjectArquivos.NumberInNumber InEntity"/>
    <n v="50"/>
    <n v="6.48"/>
    <n v="1.7984119979264248"/>
    <n v="0.95"/>
    <n v="0.51110303469648288"/>
    <n v="3"/>
    <n v="13"/>
  </r>
  <r>
    <x v="0"/>
    <s v="2023-12-02 21:14:51"/>
    <n v="7"/>
    <x v="1"/>
    <x v="1"/>
    <x v="0"/>
    <n v="3"/>
    <n v="0"/>
    <s v="Unnamed ProjectArquivos.NumberOutNumber OutEntity"/>
    <n v="50"/>
    <n v="3.62"/>
    <n v="0.77958649426527116"/>
    <n v="0.95"/>
    <n v="0.22155603025712986"/>
    <n v="2"/>
    <n v="5"/>
  </r>
  <r>
    <x v="0"/>
    <s v="2023-12-02 21:14:51"/>
    <n v="7"/>
    <x v="2"/>
    <x v="2"/>
    <x v="1"/>
    <n v="4"/>
    <n v="0"/>
    <s v="Unnamed ProjectOperador.NumberSeizedTotal Number SeizedResource"/>
    <n v="50"/>
    <n v="4.58"/>
    <n v="0.78480466827545059"/>
    <n v="0.95"/>
    <n v="0.22303901890225239"/>
    <n v="3"/>
    <n v="6"/>
  </r>
  <r>
    <x v="0"/>
    <s v="2023-12-02 21:14:51"/>
    <n v="7"/>
    <x v="3"/>
    <x v="3"/>
    <x v="1"/>
    <n v="1"/>
    <n v="0"/>
    <s v="Unnamed ProjectOperador.ScheduledUtilizationScheduled UtilizationResource"/>
    <n v="50"/>
    <n v="0.92637977941440086"/>
    <n v="0.11789675502181338"/>
    <n v="0.95"/>
    <n v="3.350588705034975E-2"/>
    <n v="0.60846830422583797"/>
    <n v="1"/>
  </r>
  <r>
    <x v="0"/>
    <s v="2023-12-02 21:14:51"/>
    <n v="7"/>
    <x v="4"/>
    <x v="1"/>
    <x v="2"/>
    <n v="3"/>
    <n v="0"/>
    <s v="Unnamed ProjectSystem.NumberOutNumber OutSystem"/>
    <n v="50"/>
    <n v="3.62"/>
    <n v="0.77958649426527116"/>
    <n v="0.95"/>
    <n v="0.22155603025712986"/>
    <n v="2"/>
    <n v="5"/>
  </r>
  <r>
    <x v="0"/>
    <s v="2023-12-02 21:14:51"/>
    <n v="8"/>
    <x v="0"/>
    <x v="0"/>
    <x v="0"/>
    <n v="6"/>
    <n v="0"/>
    <s v="Unnamed ProjectArquivos.NumberInNumber InEntity"/>
    <n v="50"/>
    <n v="6.48"/>
    <n v="1.7984119979264248"/>
    <n v="0.95"/>
    <n v="0.51110303469648288"/>
    <n v="3"/>
    <n v="13"/>
  </r>
  <r>
    <x v="0"/>
    <s v="2023-12-02 21:14:51"/>
    <n v="8"/>
    <x v="1"/>
    <x v="1"/>
    <x v="0"/>
    <n v="3"/>
    <n v="0"/>
    <s v="Unnamed ProjectArquivos.NumberOutNumber OutEntity"/>
    <n v="50"/>
    <n v="3.62"/>
    <n v="0.77958649426527116"/>
    <n v="0.95"/>
    <n v="0.22155603025712986"/>
    <n v="2"/>
    <n v="5"/>
  </r>
  <r>
    <x v="0"/>
    <s v="2023-12-02 21:14:51"/>
    <n v="8"/>
    <x v="2"/>
    <x v="2"/>
    <x v="1"/>
    <n v="4"/>
    <n v="0"/>
    <s v="Unnamed ProjectOperador.NumberSeizedTotal Number SeizedResource"/>
    <n v="50"/>
    <n v="4.58"/>
    <n v="0.78480466827545059"/>
    <n v="0.95"/>
    <n v="0.22303901890225239"/>
    <n v="3"/>
    <n v="6"/>
  </r>
  <r>
    <x v="0"/>
    <s v="2023-12-02 21:14:51"/>
    <n v="8"/>
    <x v="3"/>
    <x v="3"/>
    <x v="1"/>
    <n v="1"/>
    <n v="0"/>
    <s v="Unnamed ProjectOperador.ScheduledUtilizationScheduled UtilizationResource"/>
    <n v="50"/>
    <n v="0.92637977941440086"/>
    <n v="0.11789675502181338"/>
    <n v="0.95"/>
    <n v="3.350588705034975E-2"/>
    <n v="0.60846830422583797"/>
    <n v="1"/>
  </r>
  <r>
    <x v="0"/>
    <s v="2023-12-02 21:14:51"/>
    <n v="8"/>
    <x v="4"/>
    <x v="1"/>
    <x v="2"/>
    <n v="3"/>
    <n v="0"/>
    <s v="Unnamed ProjectSystem.NumberOutNumber OutSystem"/>
    <n v="50"/>
    <n v="3.62"/>
    <n v="0.77958649426527116"/>
    <n v="0.95"/>
    <n v="0.22155603025712986"/>
    <n v="2"/>
    <n v="5"/>
  </r>
  <r>
    <x v="0"/>
    <s v="2023-12-02 21:14:51"/>
    <n v="9"/>
    <x v="0"/>
    <x v="0"/>
    <x v="0"/>
    <n v="8"/>
    <n v="0"/>
    <s v="Unnamed ProjectArquivos.NumberInNumber InEntity"/>
    <n v="50"/>
    <n v="6.48"/>
    <n v="1.7984119979264248"/>
    <n v="0.95"/>
    <n v="0.51110303469648288"/>
    <n v="3"/>
    <n v="13"/>
  </r>
  <r>
    <x v="0"/>
    <s v="2023-12-02 21:14:51"/>
    <n v="9"/>
    <x v="1"/>
    <x v="1"/>
    <x v="0"/>
    <n v="4"/>
    <n v="0"/>
    <s v="Unnamed ProjectArquivos.NumberOutNumber OutEntity"/>
    <n v="50"/>
    <n v="3.62"/>
    <n v="0.77958649426527116"/>
    <n v="0.95"/>
    <n v="0.22155603025712986"/>
    <n v="2"/>
    <n v="5"/>
  </r>
  <r>
    <x v="0"/>
    <s v="2023-12-02 21:14:51"/>
    <n v="9"/>
    <x v="2"/>
    <x v="2"/>
    <x v="1"/>
    <n v="5"/>
    <n v="0"/>
    <s v="Unnamed ProjectOperador.NumberSeizedTotal Number SeizedResource"/>
    <n v="50"/>
    <n v="4.58"/>
    <n v="0.78480466827545059"/>
    <n v="0.95"/>
    <n v="0.22303901890225239"/>
    <n v="3"/>
    <n v="6"/>
  </r>
  <r>
    <x v="0"/>
    <s v="2023-12-02 21:14:51"/>
    <n v="9"/>
    <x v="3"/>
    <x v="3"/>
    <x v="1"/>
    <n v="0.95115327490730395"/>
    <n v="0"/>
    <s v="Unnamed ProjectOperador.ScheduledUtilizationScheduled UtilizationResource"/>
    <n v="50"/>
    <n v="0.92637977941440086"/>
    <n v="0.11789675502181338"/>
    <n v="0.95"/>
    <n v="3.350588705034975E-2"/>
    <n v="0.60846830422583797"/>
    <n v="1"/>
  </r>
  <r>
    <x v="0"/>
    <s v="2023-12-02 21:14:51"/>
    <n v="9"/>
    <x v="4"/>
    <x v="1"/>
    <x v="2"/>
    <n v="4"/>
    <n v="0"/>
    <s v="Unnamed ProjectSystem.NumberOutNumber OutSystem"/>
    <n v="50"/>
    <n v="3.62"/>
    <n v="0.77958649426527116"/>
    <n v="0.95"/>
    <n v="0.22155603025712986"/>
    <n v="2"/>
    <n v="5"/>
  </r>
  <r>
    <x v="0"/>
    <s v="2023-12-02 21:14:51"/>
    <n v="10"/>
    <x v="0"/>
    <x v="0"/>
    <x v="0"/>
    <n v="5"/>
    <n v="0"/>
    <s v="Unnamed ProjectArquivos.NumberInNumber InEntity"/>
    <n v="50"/>
    <n v="6.48"/>
    <n v="1.7984119979264248"/>
    <n v="0.95"/>
    <n v="0.51110303469648288"/>
    <n v="3"/>
    <n v="13"/>
  </r>
  <r>
    <x v="0"/>
    <s v="2023-12-02 21:14:51"/>
    <n v="10"/>
    <x v="1"/>
    <x v="1"/>
    <x v="0"/>
    <n v="3"/>
    <n v="0"/>
    <s v="Unnamed ProjectArquivos.NumberOutNumber OutEntity"/>
    <n v="50"/>
    <n v="3.62"/>
    <n v="0.77958649426527116"/>
    <n v="0.95"/>
    <n v="0.22155603025712986"/>
    <n v="2"/>
    <n v="5"/>
  </r>
  <r>
    <x v="0"/>
    <s v="2023-12-02 21:14:51"/>
    <n v="10"/>
    <x v="2"/>
    <x v="2"/>
    <x v="1"/>
    <n v="4"/>
    <n v="0"/>
    <s v="Unnamed ProjectOperador.NumberSeizedTotal Number SeizedResource"/>
    <n v="50"/>
    <n v="4.58"/>
    <n v="0.78480466827545059"/>
    <n v="0.95"/>
    <n v="0.22303901890225239"/>
    <n v="3"/>
    <n v="6"/>
  </r>
  <r>
    <x v="0"/>
    <s v="2023-12-02 21:14:51"/>
    <n v="10"/>
    <x v="3"/>
    <x v="3"/>
    <x v="1"/>
    <n v="1"/>
    <n v="0"/>
    <s v="Unnamed ProjectOperador.ScheduledUtilizationScheduled UtilizationResource"/>
    <n v="50"/>
    <n v="0.92637977941440086"/>
    <n v="0.11789675502181338"/>
    <n v="0.95"/>
    <n v="3.350588705034975E-2"/>
    <n v="0.60846830422583797"/>
    <n v="1"/>
  </r>
  <r>
    <x v="0"/>
    <s v="2023-12-02 21:14:51"/>
    <n v="10"/>
    <x v="4"/>
    <x v="1"/>
    <x v="2"/>
    <n v="3"/>
    <n v="0"/>
    <s v="Unnamed ProjectSystem.NumberOutNumber OutSystem"/>
    <n v="50"/>
    <n v="3.62"/>
    <n v="0.77958649426527116"/>
    <n v="0.95"/>
    <n v="0.22155603025712986"/>
    <n v="2"/>
    <n v="5"/>
  </r>
  <r>
    <x v="0"/>
    <s v="2023-12-02 21:14:51"/>
    <n v="11"/>
    <x v="0"/>
    <x v="0"/>
    <x v="0"/>
    <n v="5"/>
    <n v="0"/>
    <s v="Unnamed ProjectArquivos.NumberInNumber InEntity"/>
    <n v="50"/>
    <n v="6.48"/>
    <n v="1.7984119979264248"/>
    <n v="0.95"/>
    <n v="0.51110303469648288"/>
    <n v="3"/>
    <n v="13"/>
  </r>
  <r>
    <x v="0"/>
    <s v="2023-12-02 21:14:51"/>
    <n v="11"/>
    <x v="1"/>
    <x v="1"/>
    <x v="0"/>
    <n v="4"/>
    <n v="0"/>
    <s v="Unnamed ProjectArquivos.NumberOutNumber OutEntity"/>
    <n v="50"/>
    <n v="3.62"/>
    <n v="0.77958649426527116"/>
    <n v="0.95"/>
    <n v="0.22155603025712986"/>
    <n v="2"/>
    <n v="5"/>
  </r>
  <r>
    <x v="0"/>
    <s v="2023-12-02 21:14:51"/>
    <n v="11"/>
    <x v="2"/>
    <x v="2"/>
    <x v="1"/>
    <n v="5"/>
    <n v="0"/>
    <s v="Unnamed ProjectOperador.NumberSeizedTotal Number SeizedResource"/>
    <n v="50"/>
    <n v="4.58"/>
    <n v="0.78480466827545059"/>
    <n v="0.95"/>
    <n v="0.22303901890225239"/>
    <n v="3"/>
    <n v="6"/>
  </r>
  <r>
    <x v="0"/>
    <s v="2023-12-02 21:14:51"/>
    <n v="11"/>
    <x v="3"/>
    <x v="3"/>
    <x v="1"/>
    <n v="1"/>
    <n v="0"/>
    <s v="Unnamed ProjectOperador.ScheduledUtilizationScheduled UtilizationResource"/>
    <n v="50"/>
    <n v="0.92637977941440086"/>
    <n v="0.11789675502181338"/>
    <n v="0.95"/>
    <n v="3.350588705034975E-2"/>
    <n v="0.60846830422583797"/>
    <n v="1"/>
  </r>
  <r>
    <x v="0"/>
    <s v="2023-12-02 21:14:51"/>
    <n v="11"/>
    <x v="4"/>
    <x v="1"/>
    <x v="2"/>
    <n v="4"/>
    <n v="0"/>
    <s v="Unnamed ProjectSystem.NumberOutNumber OutSystem"/>
    <n v="50"/>
    <n v="3.62"/>
    <n v="0.77958649426527116"/>
    <n v="0.95"/>
    <n v="0.22155603025712986"/>
    <n v="2"/>
    <n v="5"/>
  </r>
  <r>
    <x v="0"/>
    <s v="2023-12-02 21:14:51"/>
    <n v="12"/>
    <x v="0"/>
    <x v="0"/>
    <x v="0"/>
    <n v="5"/>
    <n v="0"/>
    <s v="Unnamed ProjectArquivos.NumberInNumber InEntity"/>
    <n v="50"/>
    <n v="6.48"/>
    <n v="1.7984119979264248"/>
    <n v="0.95"/>
    <n v="0.51110303469648288"/>
    <n v="3"/>
    <n v="13"/>
  </r>
  <r>
    <x v="0"/>
    <s v="2023-12-02 21:14:51"/>
    <n v="12"/>
    <x v="1"/>
    <x v="1"/>
    <x v="0"/>
    <n v="4"/>
    <n v="0"/>
    <s v="Unnamed ProjectArquivos.NumberOutNumber OutEntity"/>
    <n v="50"/>
    <n v="3.62"/>
    <n v="0.77958649426527116"/>
    <n v="0.95"/>
    <n v="0.22155603025712986"/>
    <n v="2"/>
    <n v="5"/>
  </r>
  <r>
    <x v="0"/>
    <s v="2023-12-02 21:14:51"/>
    <n v="12"/>
    <x v="2"/>
    <x v="2"/>
    <x v="1"/>
    <n v="5"/>
    <n v="0"/>
    <s v="Unnamed ProjectOperador.NumberSeizedTotal Number SeizedResource"/>
    <n v="50"/>
    <n v="4.58"/>
    <n v="0.78480466827545059"/>
    <n v="0.95"/>
    <n v="0.22303901890225239"/>
    <n v="3"/>
    <n v="6"/>
  </r>
  <r>
    <x v="0"/>
    <s v="2023-12-02 21:14:51"/>
    <n v="12"/>
    <x v="3"/>
    <x v="3"/>
    <x v="1"/>
    <n v="0.863006519426191"/>
    <n v="0"/>
    <s v="Unnamed ProjectOperador.ScheduledUtilizationScheduled UtilizationResource"/>
    <n v="50"/>
    <n v="0.92637977941440086"/>
    <n v="0.11789675502181338"/>
    <n v="0.95"/>
    <n v="3.350588705034975E-2"/>
    <n v="0.60846830422583797"/>
    <n v="1"/>
  </r>
  <r>
    <x v="0"/>
    <s v="2023-12-02 21:14:51"/>
    <n v="12"/>
    <x v="4"/>
    <x v="1"/>
    <x v="2"/>
    <n v="4"/>
    <n v="0"/>
    <s v="Unnamed ProjectSystem.NumberOutNumber OutSystem"/>
    <n v="50"/>
    <n v="3.62"/>
    <n v="0.77958649426527116"/>
    <n v="0.95"/>
    <n v="0.22155603025712986"/>
    <n v="2"/>
    <n v="5"/>
  </r>
  <r>
    <x v="0"/>
    <s v="2023-12-02 21:14:51"/>
    <n v="13"/>
    <x v="0"/>
    <x v="0"/>
    <x v="0"/>
    <n v="8"/>
    <n v="0"/>
    <s v="Unnamed ProjectArquivos.NumberInNumber InEntity"/>
    <n v="50"/>
    <n v="6.48"/>
    <n v="1.7984119979264248"/>
    <n v="0.95"/>
    <n v="0.51110303469648288"/>
    <n v="3"/>
    <n v="13"/>
  </r>
  <r>
    <x v="0"/>
    <s v="2023-12-02 21:14:51"/>
    <n v="13"/>
    <x v="1"/>
    <x v="1"/>
    <x v="0"/>
    <n v="3"/>
    <n v="0"/>
    <s v="Unnamed ProjectArquivos.NumberOutNumber OutEntity"/>
    <n v="50"/>
    <n v="3.62"/>
    <n v="0.77958649426527116"/>
    <n v="0.95"/>
    <n v="0.22155603025712986"/>
    <n v="2"/>
    <n v="5"/>
  </r>
  <r>
    <x v="0"/>
    <s v="2023-12-02 21:14:51"/>
    <n v="13"/>
    <x v="2"/>
    <x v="2"/>
    <x v="1"/>
    <n v="4"/>
    <n v="0"/>
    <s v="Unnamed ProjectOperador.NumberSeizedTotal Number SeizedResource"/>
    <n v="50"/>
    <n v="4.58"/>
    <n v="0.78480466827545059"/>
    <n v="0.95"/>
    <n v="0.22303901890225239"/>
    <n v="3"/>
    <n v="6"/>
  </r>
  <r>
    <x v="0"/>
    <s v="2023-12-02 21:14:51"/>
    <n v="13"/>
    <x v="3"/>
    <x v="3"/>
    <x v="1"/>
    <n v="1"/>
    <n v="0"/>
    <s v="Unnamed ProjectOperador.ScheduledUtilizationScheduled UtilizationResource"/>
    <n v="50"/>
    <n v="0.92637977941440086"/>
    <n v="0.11789675502181338"/>
    <n v="0.95"/>
    <n v="3.350588705034975E-2"/>
    <n v="0.60846830422583797"/>
    <n v="1"/>
  </r>
  <r>
    <x v="0"/>
    <s v="2023-12-02 21:14:51"/>
    <n v="13"/>
    <x v="4"/>
    <x v="1"/>
    <x v="2"/>
    <n v="3"/>
    <n v="0"/>
    <s v="Unnamed ProjectSystem.NumberOutNumber OutSystem"/>
    <n v="50"/>
    <n v="3.62"/>
    <n v="0.77958649426527116"/>
    <n v="0.95"/>
    <n v="0.22155603025712986"/>
    <n v="2"/>
    <n v="5"/>
  </r>
  <r>
    <x v="0"/>
    <s v="2023-12-02 21:14:51"/>
    <n v="14"/>
    <x v="0"/>
    <x v="0"/>
    <x v="0"/>
    <n v="6"/>
    <n v="0"/>
    <s v="Unnamed ProjectArquivos.NumberInNumber InEntity"/>
    <n v="50"/>
    <n v="6.48"/>
    <n v="1.7984119979264248"/>
    <n v="0.95"/>
    <n v="0.51110303469648288"/>
    <n v="3"/>
    <n v="13"/>
  </r>
  <r>
    <x v="0"/>
    <s v="2023-12-02 21:14:51"/>
    <n v="14"/>
    <x v="1"/>
    <x v="1"/>
    <x v="0"/>
    <n v="4"/>
    <n v="0"/>
    <s v="Unnamed ProjectArquivos.NumberOutNumber OutEntity"/>
    <n v="50"/>
    <n v="3.62"/>
    <n v="0.77958649426527116"/>
    <n v="0.95"/>
    <n v="0.22155603025712986"/>
    <n v="2"/>
    <n v="5"/>
  </r>
  <r>
    <x v="0"/>
    <s v="2023-12-02 21:14:51"/>
    <n v="14"/>
    <x v="2"/>
    <x v="2"/>
    <x v="1"/>
    <n v="5"/>
    <n v="0"/>
    <s v="Unnamed ProjectOperador.NumberSeizedTotal Number SeizedResource"/>
    <n v="50"/>
    <n v="4.58"/>
    <n v="0.78480466827545059"/>
    <n v="0.95"/>
    <n v="0.22303901890225239"/>
    <n v="3"/>
    <n v="6"/>
  </r>
  <r>
    <x v="0"/>
    <s v="2023-12-02 21:14:51"/>
    <n v="14"/>
    <x v="3"/>
    <x v="3"/>
    <x v="1"/>
    <n v="1"/>
    <n v="0"/>
    <s v="Unnamed ProjectOperador.ScheduledUtilizationScheduled UtilizationResource"/>
    <n v="50"/>
    <n v="0.92637977941440086"/>
    <n v="0.11789675502181338"/>
    <n v="0.95"/>
    <n v="3.350588705034975E-2"/>
    <n v="0.60846830422583797"/>
    <n v="1"/>
  </r>
  <r>
    <x v="0"/>
    <s v="2023-12-02 21:14:51"/>
    <n v="14"/>
    <x v="4"/>
    <x v="1"/>
    <x v="2"/>
    <n v="4"/>
    <n v="0"/>
    <s v="Unnamed ProjectSystem.NumberOutNumber OutSystem"/>
    <n v="50"/>
    <n v="3.62"/>
    <n v="0.77958649426527116"/>
    <n v="0.95"/>
    <n v="0.22155603025712986"/>
    <n v="2"/>
    <n v="5"/>
  </r>
  <r>
    <x v="0"/>
    <s v="2023-12-02 21:14:51"/>
    <n v="15"/>
    <x v="0"/>
    <x v="0"/>
    <x v="0"/>
    <n v="7"/>
    <n v="0"/>
    <s v="Unnamed ProjectArquivos.NumberInNumber InEntity"/>
    <n v="50"/>
    <n v="6.48"/>
    <n v="1.7984119979264248"/>
    <n v="0.95"/>
    <n v="0.51110303469648288"/>
    <n v="3"/>
    <n v="13"/>
  </r>
  <r>
    <x v="0"/>
    <s v="2023-12-02 21:14:51"/>
    <n v="15"/>
    <x v="1"/>
    <x v="1"/>
    <x v="0"/>
    <n v="4"/>
    <n v="0"/>
    <s v="Unnamed ProjectArquivos.NumberOutNumber OutEntity"/>
    <n v="50"/>
    <n v="3.62"/>
    <n v="0.77958649426527116"/>
    <n v="0.95"/>
    <n v="0.22155603025712986"/>
    <n v="2"/>
    <n v="5"/>
  </r>
  <r>
    <x v="0"/>
    <s v="2023-12-02 21:14:51"/>
    <n v="15"/>
    <x v="2"/>
    <x v="2"/>
    <x v="1"/>
    <n v="5"/>
    <n v="0"/>
    <s v="Unnamed ProjectOperador.NumberSeizedTotal Number SeizedResource"/>
    <n v="50"/>
    <n v="4.58"/>
    <n v="0.78480466827545059"/>
    <n v="0.95"/>
    <n v="0.22303901890225239"/>
    <n v="3"/>
    <n v="6"/>
  </r>
  <r>
    <x v="0"/>
    <s v="2023-12-02 21:14:51"/>
    <n v="15"/>
    <x v="3"/>
    <x v="3"/>
    <x v="1"/>
    <n v="0.78351413580086005"/>
    <n v="0"/>
    <s v="Unnamed ProjectOperador.ScheduledUtilizationScheduled UtilizationResource"/>
    <n v="50"/>
    <n v="0.92637977941440086"/>
    <n v="0.11789675502181338"/>
    <n v="0.95"/>
    <n v="3.350588705034975E-2"/>
    <n v="0.60846830422583797"/>
    <n v="1"/>
  </r>
  <r>
    <x v="0"/>
    <s v="2023-12-02 21:14:51"/>
    <n v="15"/>
    <x v="4"/>
    <x v="1"/>
    <x v="2"/>
    <n v="4"/>
    <n v="0"/>
    <s v="Unnamed ProjectSystem.NumberOutNumber OutSystem"/>
    <n v="50"/>
    <n v="3.62"/>
    <n v="0.77958649426527116"/>
    <n v="0.95"/>
    <n v="0.22155603025712986"/>
    <n v="2"/>
    <n v="5"/>
  </r>
  <r>
    <x v="0"/>
    <s v="2023-12-02 21:14:51"/>
    <n v="16"/>
    <x v="0"/>
    <x v="0"/>
    <x v="0"/>
    <n v="6"/>
    <n v="0"/>
    <s v="Unnamed ProjectArquivos.NumberInNumber InEntity"/>
    <n v="50"/>
    <n v="6.48"/>
    <n v="1.7984119979264248"/>
    <n v="0.95"/>
    <n v="0.51110303469648288"/>
    <n v="3"/>
    <n v="13"/>
  </r>
  <r>
    <x v="0"/>
    <s v="2023-12-02 21:14:51"/>
    <n v="16"/>
    <x v="1"/>
    <x v="1"/>
    <x v="0"/>
    <n v="4"/>
    <n v="0"/>
    <s v="Unnamed ProjectArquivos.NumberOutNumber OutEntity"/>
    <n v="50"/>
    <n v="3.62"/>
    <n v="0.77958649426527116"/>
    <n v="0.95"/>
    <n v="0.22155603025712986"/>
    <n v="2"/>
    <n v="5"/>
  </r>
  <r>
    <x v="0"/>
    <s v="2023-12-02 21:14:51"/>
    <n v="16"/>
    <x v="2"/>
    <x v="2"/>
    <x v="1"/>
    <n v="5"/>
    <n v="0"/>
    <s v="Unnamed ProjectOperador.NumberSeizedTotal Number SeizedResource"/>
    <n v="50"/>
    <n v="4.58"/>
    <n v="0.78480466827545059"/>
    <n v="0.95"/>
    <n v="0.22303901890225239"/>
    <n v="3"/>
    <n v="6"/>
  </r>
  <r>
    <x v="0"/>
    <s v="2023-12-02 21:14:51"/>
    <n v="16"/>
    <x v="3"/>
    <x v="3"/>
    <x v="1"/>
    <n v="1"/>
    <n v="0"/>
    <s v="Unnamed ProjectOperador.ScheduledUtilizationScheduled UtilizationResource"/>
    <n v="50"/>
    <n v="0.92637977941440086"/>
    <n v="0.11789675502181338"/>
    <n v="0.95"/>
    <n v="3.350588705034975E-2"/>
    <n v="0.60846830422583797"/>
    <n v="1"/>
  </r>
  <r>
    <x v="0"/>
    <s v="2023-12-02 21:14:51"/>
    <n v="16"/>
    <x v="4"/>
    <x v="1"/>
    <x v="2"/>
    <n v="4"/>
    <n v="0"/>
    <s v="Unnamed ProjectSystem.NumberOutNumber OutSystem"/>
    <n v="50"/>
    <n v="3.62"/>
    <n v="0.77958649426527116"/>
    <n v="0.95"/>
    <n v="0.22155603025712986"/>
    <n v="2"/>
    <n v="5"/>
  </r>
  <r>
    <x v="0"/>
    <s v="2023-12-02 21:14:51"/>
    <n v="17"/>
    <x v="0"/>
    <x v="0"/>
    <x v="0"/>
    <n v="3"/>
    <n v="0"/>
    <s v="Unnamed ProjectArquivos.NumberInNumber InEntity"/>
    <n v="50"/>
    <n v="6.48"/>
    <n v="1.7984119979264248"/>
    <n v="0.95"/>
    <n v="0.51110303469648288"/>
    <n v="3"/>
    <n v="13"/>
  </r>
  <r>
    <x v="0"/>
    <s v="2023-12-02 21:14:51"/>
    <n v="17"/>
    <x v="1"/>
    <x v="1"/>
    <x v="0"/>
    <n v="2"/>
    <n v="0"/>
    <s v="Unnamed ProjectArquivos.NumberOutNumber OutEntity"/>
    <n v="50"/>
    <n v="3.62"/>
    <n v="0.77958649426527116"/>
    <n v="0.95"/>
    <n v="0.22155603025712986"/>
    <n v="2"/>
    <n v="5"/>
  </r>
  <r>
    <x v="0"/>
    <s v="2023-12-02 21:14:51"/>
    <n v="17"/>
    <x v="2"/>
    <x v="2"/>
    <x v="1"/>
    <n v="3"/>
    <n v="0"/>
    <s v="Unnamed ProjectOperador.NumberSeizedTotal Number SeizedResource"/>
    <n v="50"/>
    <n v="4.58"/>
    <n v="0.78480466827545059"/>
    <n v="0.95"/>
    <n v="0.22303901890225239"/>
    <n v="3"/>
    <n v="6"/>
  </r>
  <r>
    <x v="0"/>
    <s v="2023-12-02 21:14:51"/>
    <n v="17"/>
    <x v="3"/>
    <x v="3"/>
    <x v="1"/>
    <n v="0.74819210112866896"/>
    <n v="0"/>
    <s v="Unnamed ProjectOperador.ScheduledUtilizationScheduled UtilizationResource"/>
    <n v="50"/>
    <n v="0.92637977941440086"/>
    <n v="0.11789675502181338"/>
    <n v="0.95"/>
    <n v="3.350588705034975E-2"/>
    <n v="0.60846830422583797"/>
    <n v="1"/>
  </r>
  <r>
    <x v="0"/>
    <s v="2023-12-02 21:14:51"/>
    <n v="17"/>
    <x v="4"/>
    <x v="1"/>
    <x v="2"/>
    <n v="2"/>
    <n v="0"/>
    <s v="Unnamed ProjectSystem.NumberOutNumber OutSystem"/>
    <n v="50"/>
    <n v="3.62"/>
    <n v="0.77958649426527116"/>
    <n v="0.95"/>
    <n v="0.22155603025712986"/>
    <n v="2"/>
    <n v="5"/>
  </r>
  <r>
    <x v="0"/>
    <s v="2023-12-02 21:14:51"/>
    <n v="18"/>
    <x v="0"/>
    <x v="0"/>
    <x v="0"/>
    <n v="7"/>
    <n v="0"/>
    <s v="Unnamed ProjectArquivos.NumberInNumber InEntity"/>
    <n v="50"/>
    <n v="6.48"/>
    <n v="1.7984119979264248"/>
    <n v="0.95"/>
    <n v="0.51110303469648288"/>
    <n v="3"/>
    <n v="13"/>
  </r>
  <r>
    <x v="0"/>
    <s v="2023-12-02 21:14:51"/>
    <n v="18"/>
    <x v="1"/>
    <x v="1"/>
    <x v="0"/>
    <n v="5"/>
    <n v="0"/>
    <s v="Unnamed ProjectArquivos.NumberOutNumber OutEntity"/>
    <n v="50"/>
    <n v="3.62"/>
    <n v="0.77958649426527116"/>
    <n v="0.95"/>
    <n v="0.22155603025712986"/>
    <n v="2"/>
    <n v="5"/>
  </r>
  <r>
    <x v="0"/>
    <s v="2023-12-02 21:14:51"/>
    <n v="18"/>
    <x v="2"/>
    <x v="2"/>
    <x v="1"/>
    <n v="6"/>
    <n v="0"/>
    <s v="Unnamed ProjectOperador.NumberSeizedTotal Number SeizedResource"/>
    <n v="50"/>
    <n v="4.58"/>
    <n v="0.78480466827545059"/>
    <n v="0.95"/>
    <n v="0.22303901890225239"/>
    <n v="3"/>
    <n v="6"/>
  </r>
  <r>
    <x v="0"/>
    <s v="2023-12-02 21:14:51"/>
    <n v="18"/>
    <x v="3"/>
    <x v="3"/>
    <x v="1"/>
    <n v="0.82152455051824103"/>
    <n v="0"/>
    <s v="Unnamed ProjectOperador.ScheduledUtilizationScheduled UtilizationResource"/>
    <n v="50"/>
    <n v="0.92637977941440086"/>
    <n v="0.11789675502181338"/>
    <n v="0.95"/>
    <n v="3.350588705034975E-2"/>
    <n v="0.60846830422583797"/>
    <n v="1"/>
  </r>
  <r>
    <x v="0"/>
    <s v="2023-12-02 21:14:51"/>
    <n v="18"/>
    <x v="4"/>
    <x v="1"/>
    <x v="2"/>
    <n v="5"/>
    <n v="0"/>
    <s v="Unnamed ProjectSystem.NumberOutNumber OutSystem"/>
    <n v="50"/>
    <n v="3.62"/>
    <n v="0.77958649426527116"/>
    <n v="0.95"/>
    <n v="0.22155603025712986"/>
    <n v="2"/>
    <n v="5"/>
  </r>
  <r>
    <x v="0"/>
    <s v="2023-12-02 21:14:51"/>
    <n v="19"/>
    <x v="0"/>
    <x v="0"/>
    <x v="0"/>
    <n v="7"/>
    <n v="0"/>
    <s v="Unnamed ProjectArquivos.NumberInNumber InEntity"/>
    <n v="50"/>
    <n v="6.48"/>
    <n v="1.7984119979264248"/>
    <n v="0.95"/>
    <n v="0.51110303469648288"/>
    <n v="3"/>
    <n v="13"/>
  </r>
  <r>
    <x v="0"/>
    <s v="2023-12-02 21:14:51"/>
    <n v="19"/>
    <x v="1"/>
    <x v="1"/>
    <x v="0"/>
    <n v="4"/>
    <n v="0"/>
    <s v="Unnamed ProjectArquivos.NumberOutNumber OutEntity"/>
    <n v="50"/>
    <n v="3.62"/>
    <n v="0.77958649426527116"/>
    <n v="0.95"/>
    <n v="0.22155603025712986"/>
    <n v="2"/>
    <n v="5"/>
  </r>
  <r>
    <x v="0"/>
    <s v="2023-12-02 21:14:51"/>
    <n v="19"/>
    <x v="2"/>
    <x v="2"/>
    <x v="1"/>
    <n v="5"/>
    <n v="0"/>
    <s v="Unnamed ProjectOperador.NumberSeizedTotal Number SeizedResource"/>
    <n v="50"/>
    <n v="4.58"/>
    <n v="0.78480466827545059"/>
    <n v="0.95"/>
    <n v="0.22303901890225239"/>
    <n v="3"/>
    <n v="6"/>
  </r>
  <r>
    <x v="0"/>
    <s v="2023-12-02 21:14:51"/>
    <n v="19"/>
    <x v="3"/>
    <x v="3"/>
    <x v="1"/>
    <n v="1"/>
    <n v="0"/>
    <s v="Unnamed ProjectOperador.ScheduledUtilizationScheduled UtilizationResource"/>
    <n v="50"/>
    <n v="0.92637977941440086"/>
    <n v="0.11789675502181338"/>
    <n v="0.95"/>
    <n v="3.350588705034975E-2"/>
    <n v="0.60846830422583797"/>
    <n v="1"/>
  </r>
  <r>
    <x v="0"/>
    <s v="2023-12-02 21:14:51"/>
    <n v="19"/>
    <x v="4"/>
    <x v="1"/>
    <x v="2"/>
    <n v="4"/>
    <n v="0"/>
    <s v="Unnamed ProjectSystem.NumberOutNumber OutSystem"/>
    <n v="50"/>
    <n v="3.62"/>
    <n v="0.77958649426527116"/>
    <n v="0.95"/>
    <n v="0.22155603025712986"/>
    <n v="2"/>
    <n v="5"/>
  </r>
  <r>
    <x v="0"/>
    <s v="2023-12-02 21:14:51"/>
    <n v="20"/>
    <x v="0"/>
    <x v="0"/>
    <x v="0"/>
    <n v="9"/>
    <n v="0"/>
    <s v="Unnamed ProjectArquivos.NumberInNumber InEntity"/>
    <n v="50"/>
    <n v="6.48"/>
    <n v="1.7984119979264248"/>
    <n v="0.95"/>
    <n v="0.51110303469648288"/>
    <n v="3"/>
    <n v="13"/>
  </r>
  <r>
    <x v="0"/>
    <s v="2023-12-02 21:14:51"/>
    <n v="20"/>
    <x v="1"/>
    <x v="1"/>
    <x v="0"/>
    <n v="4"/>
    <n v="0"/>
    <s v="Unnamed ProjectArquivos.NumberOutNumber OutEntity"/>
    <n v="50"/>
    <n v="3.62"/>
    <n v="0.77958649426527116"/>
    <n v="0.95"/>
    <n v="0.22155603025712986"/>
    <n v="2"/>
    <n v="5"/>
  </r>
  <r>
    <x v="0"/>
    <s v="2023-12-02 21:14:51"/>
    <n v="20"/>
    <x v="2"/>
    <x v="2"/>
    <x v="1"/>
    <n v="5"/>
    <n v="0"/>
    <s v="Unnamed ProjectOperador.NumberSeizedTotal Number SeizedResource"/>
    <n v="50"/>
    <n v="4.58"/>
    <n v="0.78480466827545059"/>
    <n v="0.95"/>
    <n v="0.22303901890225239"/>
    <n v="3"/>
    <n v="6"/>
  </r>
  <r>
    <x v="0"/>
    <s v="2023-12-02 21:14:51"/>
    <n v="20"/>
    <x v="3"/>
    <x v="3"/>
    <x v="1"/>
    <n v="1"/>
    <n v="0"/>
    <s v="Unnamed ProjectOperador.ScheduledUtilizationScheduled UtilizationResource"/>
    <n v="50"/>
    <n v="0.92637977941440086"/>
    <n v="0.11789675502181338"/>
    <n v="0.95"/>
    <n v="3.350588705034975E-2"/>
    <n v="0.60846830422583797"/>
    <n v="1"/>
  </r>
  <r>
    <x v="0"/>
    <s v="2023-12-02 21:14:51"/>
    <n v="20"/>
    <x v="4"/>
    <x v="1"/>
    <x v="2"/>
    <n v="4"/>
    <n v="0"/>
    <s v="Unnamed ProjectSystem.NumberOutNumber OutSystem"/>
    <n v="50"/>
    <n v="3.62"/>
    <n v="0.77958649426527116"/>
    <n v="0.95"/>
    <n v="0.22155603025712986"/>
    <n v="2"/>
    <n v="5"/>
  </r>
  <r>
    <x v="0"/>
    <s v="2023-12-02 21:14:51"/>
    <n v="21"/>
    <x v="0"/>
    <x v="0"/>
    <x v="0"/>
    <n v="6"/>
    <n v="0"/>
    <s v="Unnamed ProjectArquivos.NumberInNumber InEntity"/>
    <n v="50"/>
    <n v="6.48"/>
    <n v="1.7984119979264248"/>
    <n v="0.95"/>
    <n v="0.51110303469648288"/>
    <n v="3"/>
    <n v="13"/>
  </r>
  <r>
    <x v="0"/>
    <s v="2023-12-02 21:14:51"/>
    <n v="21"/>
    <x v="1"/>
    <x v="1"/>
    <x v="0"/>
    <n v="3"/>
    <n v="0"/>
    <s v="Unnamed ProjectArquivos.NumberOutNumber OutEntity"/>
    <n v="50"/>
    <n v="3.62"/>
    <n v="0.77958649426527116"/>
    <n v="0.95"/>
    <n v="0.22155603025712986"/>
    <n v="2"/>
    <n v="5"/>
  </r>
  <r>
    <x v="0"/>
    <s v="2023-12-02 21:14:51"/>
    <n v="21"/>
    <x v="2"/>
    <x v="2"/>
    <x v="1"/>
    <n v="4"/>
    <n v="0"/>
    <s v="Unnamed ProjectOperador.NumberSeizedTotal Number SeizedResource"/>
    <n v="50"/>
    <n v="4.58"/>
    <n v="0.78480466827545059"/>
    <n v="0.95"/>
    <n v="0.22303901890225239"/>
    <n v="3"/>
    <n v="6"/>
  </r>
  <r>
    <x v="0"/>
    <s v="2023-12-02 21:14:51"/>
    <n v="21"/>
    <x v="3"/>
    <x v="3"/>
    <x v="1"/>
    <n v="0.95301313612699601"/>
    <n v="0"/>
    <s v="Unnamed ProjectOperador.ScheduledUtilizationScheduled UtilizationResource"/>
    <n v="50"/>
    <n v="0.92637977941440086"/>
    <n v="0.11789675502181338"/>
    <n v="0.95"/>
    <n v="3.350588705034975E-2"/>
    <n v="0.60846830422583797"/>
    <n v="1"/>
  </r>
  <r>
    <x v="0"/>
    <s v="2023-12-02 21:14:51"/>
    <n v="21"/>
    <x v="4"/>
    <x v="1"/>
    <x v="2"/>
    <n v="3"/>
    <n v="0"/>
    <s v="Unnamed ProjectSystem.NumberOutNumber OutSystem"/>
    <n v="50"/>
    <n v="3.62"/>
    <n v="0.77958649426527116"/>
    <n v="0.95"/>
    <n v="0.22155603025712986"/>
    <n v="2"/>
    <n v="5"/>
  </r>
  <r>
    <x v="0"/>
    <s v="2023-12-02 21:14:51"/>
    <n v="22"/>
    <x v="0"/>
    <x v="0"/>
    <x v="0"/>
    <n v="6"/>
    <n v="0"/>
    <s v="Unnamed ProjectArquivos.NumberInNumber InEntity"/>
    <n v="50"/>
    <n v="6.48"/>
    <n v="1.7984119979264248"/>
    <n v="0.95"/>
    <n v="0.51110303469648288"/>
    <n v="3"/>
    <n v="13"/>
  </r>
  <r>
    <x v="0"/>
    <s v="2023-12-02 21:14:51"/>
    <n v="22"/>
    <x v="1"/>
    <x v="1"/>
    <x v="0"/>
    <n v="3"/>
    <n v="0"/>
    <s v="Unnamed ProjectArquivos.NumberOutNumber OutEntity"/>
    <n v="50"/>
    <n v="3.62"/>
    <n v="0.77958649426527116"/>
    <n v="0.95"/>
    <n v="0.22155603025712986"/>
    <n v="2"/>
    <n v="5"/>
  </r>
  <r>
    <x v="0"/>
    <s v="2023-12-02 21:14:51"/>
    <n v="22"/>
    <x v="2"/>
    <x v="2"/>
    <x v="1"/>
    <n v="4"/>
    <n v="0"/>
    <s v="Unnamed ProjectOperador.NumberSeizedTotal Number SeizedResource"/>
    <n v="50"/>
    <n v="4.58"/>
    <n v="0.78480466827545059"/>
    <n v="0.95"/>
    <n v="0.22303901890225239"/>
    <n v="3"/>
    <n v="6"/>
  </r>
  <r>
    <x v="0"/>
    <s v="2023-12-02 21:14:51"/>
    <n v="22"/>
    <x v="3"/>
    <x v="3"/>
    <x v="1"/>
    <n v="0.91876051968585803"/>
    <n v="0"/>
    <s v="Unnamed ProjectOperador.ScheduledUtilizationScheduled UtilizationResource"/>
    <n v="50"/>
    <n v="0.92637977941440086"/>
    <n v="0.11789675502181338"/>
    <n v="0.95"/>
    <n v="3.350588705034975E-2"/>
    <n v="0.60846830422583797"/>
    <n v="1"/>
  </r>
  <r>
    <x v="0"/>
    <s v="2023-12-02 21:14:51"/>
    <n v="22"/>
    <x v="4"/>
    <x v="1"/>
    <x v="2"/>
    <n v="3"/>
    <n v="0"/>
    <s v="Unnamed ProjectSystem.NumberOutNumber OutSystem"/>
    <n v="50"/>
    <n v="3.62"/>
    <n v="0.77958649426527116"/>
    <n v="0.95"/>
    <n v="0.22155603025712986"/>
    <n v="2"/>
    <n v="5"/>
  </r>
  <r>
    <x v="0"/>
    <s v="2023-12-02 21:14:51"/>
    <n v="23"/>
    <x v="0"/>
    <x v="0"/>
    <x v="0"/>
    <n v="7"/>
    <n v="0"/>
    <s v="Unnamed ProjectArquivos.NumberInNumber InEntity"/>
    <n v="50"/>
    <n v="6.48"/>
    <n v="1.7984119979264248"/>
    <n v="0.95"/>
    <n v="0.51110303469648288"/>
    <n v="3"/>
    <n v="13"/>
  </r>
  <r>
    <x v="0"/>
    <s v="2023-12-02 21:14:51"/>
    <n v="23"/>
    <x v="1"/>
    <x v="1"/>
    <x v="0"/>
    <n v="5"/>
    <n v="0"/>
    <s v="Unnamed ProjectArquivos.NumberOutNumber OutEntity"/>
    <n v="50"/>
    <n v="3.62"/>
    <n v="0.77958649426527116"/>
    <n v="0.95"/>
    <n v="0.22155603025712986"/>
    <n v="2"/>
    <n v="5"/>
  </r>
  <r>
    <x v="0"/>
    <s v="2023-12-02 21:14:51"/>
    <n v="23"/>
    <x v="2"/>
    <x v="2"/>
    <x v="1"/>
    <n v="6"/>
    <n v="0"/>
    <s v="Unnamed ProjectOperador.NumberSeizedTotal Number SeizedResource"/>
    <n v="50"/>
    <n v="4.58"/>
    <n v="0.78480466827545059"/>
    <n v="0.95"/>
    <n v="0.22303901890225239"/>
    <n v="3"/>
    <n v="6"/>
  </r>
  <r>
    <x v="0"/>
    <s v="2023-12-02 21:14:51"/>
    <n v="23"/>
    <x v="3"/>
    <x v="3"/>
    <x v="1"/>
    <n v="1"/>
    <n v="0"/>
    <s v="Unnamed ProjectOperador.ScheduledUtilizationScheduled UtilizationResource"/>
    <n v="50"/>
    <n v="0.92637977941440086"/>
    <n v="0.11789675502181338"/>
    <n v="0.95"/>
    <n v="3.350588705034975E-2"/>
    <n v="0.60846830422583797"/>
    <n v="1"/>
  </r>
  <r>
    <x v="0"/>
    <s v="2023-12-02 21:14:51"/>
    <n v="23"/>
    <x v="4"/>
    <x v="1"/>
    <x v="2"/>
    <n v="5"/>
    <n v="0"/>
    <s v="Unnamed ProjectSystem.NumberOutNumber OutSystem"/>
    <n v="50"/>
    <n v="3.62"/>
    <n v="0.77958649426527116"/>
    <n v="0.95"/>
    <n v="0.22155603025712986"/>
    <n v="2"/>
    <n v="5"/>
  </r>
  <r>
    <x v="0"/>
    <s v="2023-12-02 21:14:51"/>
    <n v="24"/>
    <x v="0"/>
    <x v="0"/>
    <x v="0"/>
    <n v="5"/>
    <n v="0"/>
    <s v="Unnamed ProjectArquivos.NumberInNumber InEntity"/>
    <n v="50"/>
    <n v="6.48"/>
    <n v="1.7984119979264248"/>
    <n v="0.95"/>
    <n v="0.51110303469648288"/>
    <n v="3"/>
    <n v="13"/>
  </r>
  <r>
    <x v="0"/>
    <s v="2023-12-02 21:14:51"/>
    <n v="24"/>
    <x v="1"/>
    <x v="1"/>
    <x v="0"/>
    <n v="3"/>
    <n v="0"/>
    <s v="Unnamed ProjectArquivos.NumberOutNumber OutEntity"/>
    <n v="50"/>
    <n v="3.62"/>
    <n v="0.77958649426527116"/>
    <n v="0.95"/>
    <n v="0.22155603025712986"/>
    <n v="2"/>
    <n v="5"/>
  </r>
  <r>
    <x v="0"/>
    <s v="2023-12-02 21:14:51"/>
    <n v="24"/>
    <x v="2"/>
    <x v="2"/>
    <x v="1"/>
    <n v="4"/>
    <n v="0"/>
    <s v="Unnamed ProjectOperador.NumberSeizedTotal Number SeizedResource"/>
    <n v="50"/>
    <n v="4.58"/>
    <n v="0.78480466827545059"/>
    <n v="0.95"/>
    <n v="0.22303901890225239"/>
    <n v="3"/>
    <n v="6"/>
  </r>
  <r>
    <x v="0"/>
    <s v="2023-12-02 21:14:51"/>
    <n v="24"/>
    <x v="3"/>
    <x v="3"/>
    <x v="1"/>
    <n v="1"/>
    <n v="0"/>
    <s v="Unnamed ProjectOperador.ScheduledUtilizationScheduled UtilizationResource"/>
    <n v="50"/>
    <n v="0.92637977941440086"/>
    <n v="0.11789675502181338"/>
    <n v="0.95"/>
    <n v="3.350588705034975E-2"/>
    <n v="0.60846830422583797"/>
    <n v="1"/>
  </r>
  <r>
    <x v="0"/>
    <s v="2023-12-02 21:14:51"/>
    <n v="24"/>
    <x v="4"/>
    <x v="1"/>
    <x v="2"/>
    <n v="3"/>
    <n v="0"/>
    <s v="Unnamed ProjectSystem.NumberOutNumber OutSystem"/>
    <n v="50"/>
    <n v="3.62"/>
    <n v="0.77958649426527116"/>
    <n v="0.95"/>
    <n v="0.22155603025712986"/>
    <n v="2"/>
    <n v="5"/>
  </r>
  <r>
    <x v="0"/>
    <s v="2023-12-02 21:14:51"/>
    <n v="25"/>
    <x v="0"/>
    <x v="0"/>
    <x v="0"/>
    <n v="4"/>
    <n v="0"/>
    <s v="Unnamed ProjectArquivos.NumberInNumber InEntity"/>
    <n v="50"/>
    <n v="6.48"/>
    <n v="1.7984119979264248"/>
    <n v="0.95"/>
    <n v="0.51110303469648288"/>
    <n v="3"/>
    <n v="13"/>
  </r>
  <r>
    <x v="0"/>
    <s v="2023-12-02 21:14:51"/>
    <n v="25"/>
    <x v="1"/>
    <x v="1"/>
    <x v="0"/>
    <n v="4"/>
    <n v="0"/>
    <s v="Unnamed ProjectArquivos.NumberOutNumber OutEntity"/>
    <n v="50"/>
    <n v="3.62"/>
    <n v="0.77958649426527116"/>
    <n v="0.95"/>
    <n v="0.22155603025712986"/>
    <n v="2"/>
    <n v="5"/>
  </r>
  <r>
    <x v="0"/>
    <s v="2023-12-02 21:14:51"/>
    <n v="25"/>
    <x v="2"/>
    <x v="2"/>
    <x v="1"/>
    <n v="4"/>
    <n v="0"/>
    <s v="Unnamed ProjectOperador.NumberSeizedTotal Number SeizedResource"/>
    <n v="50"/>
    <n v="4.58"/>
    <n v="0.78480466827545059"/>
    <n v="0.95"/>
    <n v="0.22303901890225239"/>
    <n v="3"/>
    <n v="6"/>
  </r>
  <r>
    <x v="0"/>
    <s v="2023-12-02 21:14:51"/>
    <n v="25"/>
    <x v="3"/>
    <x v="3"/>
    <x v="1"/>
    <n v="0.76286632414334898"/>
    <n v="0"/>
    <s v="Unnamed ProjectOperador.ScheduledUtilizationScheduled UtilizationResource"/>
    <n v="50"/>
    <n v="0.92637977941440086"/>
    <n v="0.11789675502181338"/>
    <n v="0.95"/>
    <n v="3.350588705034975E-2"/>
    <n v="0.60846830422583797"/>
    <n v="1"/>
  </r>
  <r>
    <x v="0"/>
    <s v="2023-12-02 21:14:51"/>
    <n v="25"/>
    <x v="4"/>
    <x v="1"/>
    <x v="2"/>
    <n v="4"/>
    <n v="0"/>
    <s v="Unnamed ProjectSystem.NumberOutNumber OutSystem"/>
    <n v="50"/>
    <n v="3.62"/>
    <n v="0.77958649426527116"/>
    <n v="0.95"/>
    <n v="0.22155603025712986"/>
    <n v="2"/>
    <n v="5"/>
  </r>
  <r>
    <x v="0"/>
    <s v="2023-12-02 21:14:51"/>
    <n v="26"/>
    <x v="0"/>
    <x v="0"/>
    <x v="0"/>
    <n v="6"/>
    <n v="0"/>
    <s v="Unnamed ProjectArquivos.NumberInNumber InEntity"/>
    <n v="50"/>
    <n v="6.48"/>
    <n v="1.7984119979264248"/>
    <n v="0.95"/>
    <n v="0.51110303469648288"/>
    <n v="3"/>
    <n v="13"/>
  </r>
  <r>
    <x v="0"/>
    <s v="2023-12-02 21:14:51"/>
    <n v="26"/>
    <x v="1"/>
    <x v="1"/>
    <x v="0"/>
    <n v="3"/>
    <n v="0"/>
    <s v="Unnamed ProjectArquivos.NumberOutNumber OutEntity"/>
    <n v="50"/>
    <n v="3.62"/>
    <n v="0.77958649426527116"/>
    <n v="0.95"/>
    <n v="0.22155603025712986"/>
    <n v="2"/>
    <n v="5"/>
  </r>
  <r>
    <x v="0"/>
    <s v="2023-12-02 21:14:51"/>
    <n v="26"/>
    <x v="2"/>
    <x v="2"/>
    <x v="1"/>
    <n v="4"/>
    <n v="0"/>
    <s v="Unnamed ProjectOperador.NumberSeizedTotal Number SeizedResource"/>
    <n v="50"/>
    <n v="4.58"/>
    <n v="0.78480466827545059"/>
    <n v="0.95"/>
    <n v="0.22303901890225239"/>
    <n v="3"/>
    <n v="6"/>
  </r>
  <r>
    <x v="0"/>
    <s v="2023-12-02 21:14:51"/>
    <n v="26"/>
    <x v="3"/>
    <x v="3"/>
    <x v="1"/>
    <n v="0.97812131086793197"/>
    <n v="0"/>
    <s v="Unnamed ProjectOperador.ScheduledUtilizationScheduled UtilizationResource"/>
    <n v="50"/>
    <n v="0.92637977941440086"/>
    <n v="0.11789675502181338"/>
    <n v="0.95"/>
    <n v="3.350588705034975E-2"/>
    <n v="0.60846830422583797"/>
    <n v="1"/>
  </r>
  <r>
    <x v="0"/>
    <s v="2023-12-02 21:14:51"/>
    <n v="26"/>
    <x v="4"/>
    <x v="1"/>
    <x v="2"/>
    <n v="3"/>
    <n v="0"/>
    <s v="Unnamed ProjectSystem.NumberOutNumber OutSystem"/>
    <n v="50"/>
    <n v="3.62"/>
    <n v="0.77958649426527116"/>
    <n v="0.95"/>
    <n v="0.22155603025712986"/>
    <n v="2"/>
    <n v="5"/>
  </r>
  <r>
    <x v="0"/>
    <s v="2023-12-02 21:14:51"/>
    <n v="27"/>
    <x v="0"/>
    <x v="0"/>
    <x v="0"/>
    <n v="7"/>
    <n v="0"/>
    <s v="Unnamed ProjectArquivos.NumberInNumber InEntity"/>
    <n v="50"/>
    <n v="6.48"/>
    <n v="1.7984119979264248"/>
    <n v="0.95"/>
    <n v="0.51110303469648288"/>
    <n v="3"/>
    <n v="13"/>
  </r>
  <r>
    <x v="0"/>
    <s v="2023-12-02 21:14:51"/>
    <n v="27"/>
    <x v="1"/>
    <x v="1"/>
    <x v="0"/>
    <n v="4"/>
    <n v="0"/>
    <s v="Unnamed ProjectArquivos.NumberOutNumber OutEntity"/>
    <n v="50"/>
    <n v="3.62"/>
    <n v="0.77958649426527116"/>
    <n v="0.95"/>
    <n v="0.22155603025712986"/>
    <n v="2"/>
    <n v="5"/>
  </r>
  <r>
    <x v="0"/>
    <s v="2023-12-02 21:14:51"/>
    <n v="27"/>
    <x v="2"/>
    <x v="2"/>
    <x v="1"/>
    <n v="5"/>
    <n v="0"/>
    <s v="Unnamed ProjectOperador.NumberSeizedTotal Number SeizedResource"/>
    <n v="50"/>
    <n v="4.58"/>
    <n v="0.78480466827545059"/>
    <n v="0.95"/>
    <n v="0.22303901890225239"/>
    <n v="3"/>
    <n v="6"/>
  </r>
  <r>
    <x v="0"/>
    <s v="2023-12-02 21:14:51"/>
    <n v="27"/>
    <x v="3"/>
    <x v="3"/>
    <x v="1"/>
    <n v="1"/>
    <n v="0"/>
    <s v="Unnamed ProjectOperador.ScheduledUtilizationScheduled UtilizationResource"/>
    <n v="50"/>
    <n v="0.92637977941440086"/>
    <n v="0.11789675502181338"/>
    <n v="0.95"/>
    <n v="3.350588705034975E-2"/>
    <n v="0.60846830422583797"/>
    <n v="1"/>
  </r>
  <r>
    <x v="0"/>
    <s v="2023-12-02 21:14:51"/>
    <n v="27"/>
    <x v="4"/>
    <x v="1"/>
    <x v="2"/>
    <n v="4"/>
    <n v="0"/>
    <s v="Unnamed ProjectSystem.NumberOutNumber OutSystem"/>
    <n v="50"/>
    <n v="3.62"/>
    <n v="0.77958649426527116"/>
    <n v="0.95"/>
    <n v="0.22155603025712986"/>
    <n v="2"/>
    <n v="5"/>
  </r>
  <r>
    <x v="0"/>
    <s v="2023-12-02 21:14:51"/>
    <n v="28"/>
    <x v="0"/>
    <x v="0"/>
    <x v="0"/>
    <n v="5"/>
    <n v="0"/>
    <s v="Unnamed ProjectArquivos.NumberInNumber InEntity"/>
    <n v="50"/>
    <n v="6.48"/>
    <n v="1.7984119979264248"/>
    <n v="0.95"/>
    <n v="0.51110303469648288"/>
    <n v="3"/>
    <n v="13"/>
  </r>
  <r>
    <x v="0"/>
    <s v="2023-12-02 21:14:51"/>
    <n v="28"/>
    <x v="1"/>
    <x v="1"/>
    <x v="0"/>
    <n v="4"/>
    <n v="0"/>
    <s v="Unnamed ProjectArquivos.NumberOutNumber OutEntity"/>
    <n v="50"/>
    <n v="3.62"/>
    <n v="0.77958649426527116"/>
    <n v="0.95"/>
    <n v="0.22155603025712986"/>
    <n v="2"/>
    <n v="5"/>
  </r>
  <r>
    <x v="0"/>
    <s v="2023-12-02 21:14:51"/>
    <n v="28"/>
    <x v="2"/>
    <x v="2"/>
    <x v="1"/>
    <n v="5"/>
    <n v="0"/>
    <s v="Unnamed ProjectOperador.NumberSeizedTotal Number SeizedResource"/>
    <n v="50"/>
    <n v="4.58"/>
    <n v="0.78480466827545059"/>
    <n v="0.95"/>
    <n v="0.22303901890225239"/>
    <n v="3"/>
    <n v="6"/>
  </r>
  <r>
    <x v="0"/>
    <s v="2023-12-02 21:14:51"/>
    <n v="28"/>
    <x v="3"/>
    <x v="3"/>
    <x v="1"/>
    <n v="1"/>
    <n v="0"/>
    <s v="Unnamed ProjectOperador.ScheduledUtilizationScheduled UtilizationResource"/>
    <n v="50"/>
    <n v="0.92637977941440086"/>
    <n v="0.11789675502181338"/>
    <n v="0.95"/>
    <n v="3.350588705034975E-2"/>
    <n v="0.60846830422583797"/>
    <n v="1"/>
  </r>
  <r>
    <x v="0"/>
    <s v="2023-12-02 21:14:51"/>
    <n v="28"/>
    <x v="4"/>
    <x v="1"/>
    <x v="2"/>
    <n v="4"/>
    <n v="0"/>
    <s v="Unnamed ProjectSystem.NumberOutNumber OutSystem"/>
    <n v="50"/>
    <n v="3.62"/>
    <n v="0.77958649426527116"/>
    <n v="0.95"/>
    <n v="0.22155603025712986"/>
    <n v="2"/>
    <n v="5"/>
  </r>
  <r>
    <x v="0"/>
    <s v="2023-12-02 21:14:51"/>
    <n v="29"/>
    <x v="0"/>
    <x v="0"/>
    <x v="0"/>
    <n v="8"/>
    <n v="0"/>
    <s v="Unnamed ProjectArquivos.NumberInNumber InEntity"/>
    <n v="50"/>
    <n v="6.48"/>
    <n v="1.7984119979264248"/>
    <n v="0.95"/>
    <n v="0.51110303469648288"/>
    <n v="3"/>
    <n v="13"/>
  </r>
  <r>
    <x v="0"/>
    <s v="2023-12-02 21:14:51"/>
    <n v="29"/>
    <x v="1"/>
    <x v="1"/>
    <x v="0"/>
    <n v="4"/>
    <n v="0"/>
    <s v="Unnamed ProjectArquivos.NumberOutNumber OutEntity"/>
    <n v="50"/>
    <n v="3.62"/>
    <n v="0.77958649426527116"/>
    <n v="0.95"/>
    <n v="0.22155603025712986"/>
    <n v="2"/>
    <n v="5"/>
  </r>
  <r>
    <x v="0"/>
    <s v="2023-12-02 21:14:51"/>
    <n v="29"/>
    <x v="2"/>
    <x v="2"/>
    <x v="1"/>
    <n v="5"/>
    <n v="0"/>
    <s v="Unnamed ProjectOperador.NumberSeizedTotal Number SeizedResource"/>
    <n v="50"/>
    <n v="4.58"/>
    <n v="0.78480466827545059"/>
    <n v="0.95"/>
    <n v="0.22303901890225239"/>
    <n v="3"/>
    <n v="6"/>
  </r>
  <r>
    <x v="0"/>
    <s v="2023-12-02 21:14:51"/>
    <n v="29"/>
    <x v="3"/>
    <x v="3"/>
    <x v="1"/>
    <n v="1"/>
    <n v="0"/>
    <s v="Unnamed ProjectOperador.ScheduledUtilizationScheduled UtilizationResource"/>
    <n v="50"/>
    <n v="0.92637977941440086"/>
    <n v="0.11789675502181338"/>
    <n v="0.95"/>
    <n v="3.350588705034975E-2"/>
    <n v="0.60846830422583797"/>
    <n v="1"/>
  </r>
  <r>
    <x v="0"/>
    <s v="2023-12-02 21:14:51"/>
    <n v="29"/>
    <x v="4"/>
    <x v="1"/>
    <x v="2"/>
    <n v="4"/>
    <n v="0"/>
    <s v="Unnamed ProjectSystem.NumberOutNumber OutSystem"/>
    <n v="50"/>
    <n v="3.62"/>
    <n v="0.77958649426527116"/>
    <n v="0.95"/>
    <n v="0.22155603025712986"/>
    <n v="2"/>
    <n v="5"/>
  </r>
  <r>
    <x v="0"/>
    <s v="2023-12-02 21:14:51"/>
    <n v="30"/>
    <x v="0"/>
    <x v="0"/>
    <x v="0"/>
    <n v="9"/>
    <n v="0"/>
    <s v="Unnamed ProjectArquivos.NumberInNumber InEntity"/>
    <n v="50"/>
    <n v="6.48"/>
    <n v="1.7984119979264248"/>
    <n v="0.95"/>
    <n v="0.51110303469648288"/>
    <n v="3"/>
    <n v="13"/>
  </r>
  <r>
    <x v="0"/>
    <s v="2023-12-02 21:14:51"/>
    <n v="30"/>
    <x v="1"/>
    <x v="1"/>
    <x v="0"/>
    <n v="5"/>
    <n v="0"/>
    <s v="Unnamed ProjectArquivos.NumberOutNumber OutEntity"/>
    <n v="50"/>
    <n v="3.62"/>
    <n v="0.77958649426527116"/>
    <n v="0.95"/>
    <n v="0.22155603025712986"/>
    <n v="2"/>
    <n v="5"/>
  </r>
  <r>
    <x v="0"/>
    <s v="2023-12-02 21:14:51"/>
    <n v="30"/>
    <x v="2"/>
    <x v="2"/>
    <x v="1"/>
    <n v="6"/>
    <n v="0"/>
    <s v="Unnamed ProjectOperador.NumberSeizedTotal Number SeizedResource"/>
    <n v="50"/>
    <n v="4.58"/>
    <n v="0.78480466827545059"/>
    <n v="0.95"/>
    <n v="0.22303901890225239"/>
    <n v="3"/>
    <n v="6"/>
  </r>
  <r>
    <x v="0"/>
    <s v="2023-12-02 21:14:51"/>
    <n v="30"/>
    <x v="3"/>
    <x v="3"/>
    <x v="1"/>
    <n v="0.73000928517752095"/>
    <n v="0"/>
    <s v="Unnamed ProjectOperador.ScheduledUtilizationScheduled UtilizationResource"/>
    <n v="50"/>
    <n v="0.92637977941440086"/>
    <n v="0.11789675502181338"/>
    <n v="0.95"/>
    <n v="3.350588705034975E-2"/>
    <n v="0.60846830422583797"/>
    <n v="1"/>
  </r>
  <r>
    <x v="0"/>
    <s v="2023-12-02 21:14:51"/>
    <n v="30"/>
    <x v="4"/>
    <x v="1"/>
    <x v="2"/>
    <n v="5"/>
    <n v="0"/>
    <s v="Unnamed ProjectSystem.NumberOutNumber OutSystem"/>
    <n v="50"/>
    <n v="3.62"/>
    <n v="0.77958649426527116"/>
    <n v="0.95"/>
    <n v="0.22155603025712986"/>
    <n v="2"/>
    <n v="5"/>
  </r>
  <r>
    <x v="0"/>
    <s v="2023-12-02 21:14:51"/>
    <n v="31"/>
    <x v="0"/>
    <x v="0"/>
    <x v="0"/>
    <n v="5"/>
    <n v="0"/>
    <s v="Unnamed ProjectArquivos.NumberInNumber InEntity"/>
    <n v="50"/>
    <n v="6.48"/>
    <n v="1.7984119979264248"/>
    <n v="0.95"/>
    <n v="0.51110303469648288"/>
    <n v="3"/>
    <n v="13"/>
  </r>
  <r>
    <x v="0"/>
    <s v="2023-12-02 21:14:51"/>
    <n v="31"/>
    <x v="1"/>
    <x v="1"/>
    <x v="0"/>
    <n v="3"/>
    <n v="0"/>
    <s v="Unnamed ProjectArquivos.NumberOutNumber OutEntity"/>
    <n v="50"/>
    <n v="3.62"/>
    <n v="0.77958649426527116"/>
    <n v="0.95"/>
    <n v="0.22155603025712986"/>
    <n v="2"/>
    <n v="5"/>
  </r>
  <r>
    <x v="0"/>
    <s v="2023-12-02 21:14:51"/>
    <n v="31"/>
    <x v="2"/>
    <x v="2"/>
    <x v="1"/>
    <n v="4"/>
    <n v="0"/>
    <s v="Unnamed ProjectOperador.NumberSeizedTotal Number SeizedResource"/>
    <n v="50"/>
    <n v="4.58"/>
    <n v="0.78480466827545059"/>
    <n v="0.95"/>
    <n v="0.22303901890225239"/>
    <n v="3"/>
    <n v="6"/>
  </r>
  <r>
    <x v="0"/>
    <s v="2023-12-02 21:14:51"/>
    <n v="31"/>
    <x v="3"/>
    <x v="3"/>
    <x v="1"/>
    <n v="0.89270244569856905"/>
    <n v="0"/>
    <s v="Unnamed ProjectOperador.ScheduledUtilizationScheduled UtilizationResource"/>
    <n v="50"/>
    <n v="0.92637977941440086"/>
    <n v="0.11789675502181338"/>
    <n v="0.95"/>
    <n v="3.350588705034975E-2"/>
    <n v="0.60846830422583797"/>
    <n v="1"/>
  </r>
  <r>
    <x v="0"/>
    <s v="2023-12-02 21:14:51"/>
    <n v="31"/>
    <x v="4"/>
    <x v="1"/>
    <x v="2"/>
    <n v="3"/>
    <n v="0"/>
    <s v="Unnamed ProjectSystem.NumberOutNumber OutSystem"/>
    <n v="50"/>
    <n v="3.62"/>
    <n v="0.77958649426527116"/>
    <n v="0.95"/>
    <n v="0.22155603025712986"/>
    <n v="2"/>
    <n v="5"/>
  </r>
  <r>
    <x v="0"/>
    <s v="2023-12-02 21:14:51"/>
    <n v="32"/>
    <x v="0"/>
    <x v="0"/>
    <x v="0"/>
    <n v="6"/>
    <n v="0"/>
    <s v="Unnamed ProjectArquivos.NumberInNumber InEntity"/>
    <n v="50"/>
    <n v="6.48"/>
    <n v="1.7984119979264248"/>
    <n v="0.95"/>
    <n v="0.51110303469648288"/>
    <n v="3"/>
    <n v="13"/>
  </r>
  <r>
    <x v="0"/>
    <s v="2023-12-02 21:14:51"/>
    <n v="32"/>
    <x v="1"/>
    <x v="1"/>
    <x v="0"/>
    <n v="2"/>
    <n v="0"/>
    <s v="Unnamed ProjectArquivos.NumberOutNumber OutEntity"/>
    <n v="50"/>
    <n v="3.62"/>
    <n v="0.77958649426527116"/>
    <n v="0.95"/>
    <n v="0.22155603025712986"/>
    <n v="2"/>
    <n v="5"/>
  </r>
  <r>
    <x v="0"/>
    <s v="2023-12-02 21:14:51"/>
    <n v="32"/>
    <x v="2"/>
    <x v="2"/>
    <x v="1"/>
    <n v="3"/>
    <n v="0"/>
    <s v="Unnamed ProjectOperador.NumberSeizedTotal Number SeizedResource"/>
    <n v="50"/>
    <n v="4.58"/>
    <n v="0.78480466827545059"/>
    <n v="0.95"/>
    <n v="0.22303901890225239"/>
    <n v="3"/>
    <n v="6"/>
  </r>
  <r>
    <x v="0"/>
    <s v="2023-12-02 21:14:51"/>
    <n v="32"/>
    <x v="3"/>
    <x v="3"/>
    <x v="1"/>
    <n v="0.61923158754493401"/>
    <n v="0"/>
    <s v="Unnamed ProjectOperador.ScheduledUtilizationScheduled UtilizationResource"/>
    <n v="50"/>
    <n v="0.92637977941440086"/>
    <n v="0.11789675502181338"/>
    <n v="0.95"/>
    <n v="3.350588705034975E-2"/>
    <n v="0.60846830422583797"/>
    <n v="1"/>
  </r>
  <r>
    <x v="0"/>
    <s v="2023-12-02 21:14:51"/>
    <n v="32"/>
    <x v="4"/>
    <x v="1"/>
    <x v="2"/>
    <n v="2"/>
    <n v="0"/>
    <s v="Unnamed ProjectSystem.NumberOutNumber OutSystem"/>
    <n v="50"/>
    <n v="3.62"/>
    <n v="0.77958649426527116"/>
    <n v="0.95"/>
    <n v="0.22155603025712986"/>
    <n v="2"/>
    <n v="5"/>
  </r>
  <r>
    <x v="0"/>
    <s v="2023-12-02 21:14:51"/>
    <n v="33"/>
    <x v="0"/>
    <x v="0"/>
    <x v="0"/>
    <n v="7"/>
    <n v="0"/>
    <s v="Unnamed ProjectArquivos.NumberInNumber InEntity"/>
    <n v="50"/>
    <n v="6.48"/>
    <n v="1.7984119979264248"/>
    <n v="0.95"/>
    <n v="0.51110303469648288"/>
    <n v="3"/>
    <n v="13"/>
  </r>
  <r>
    <x v="0"/>
    <s v="2023-12-02 21:14:51"/>
    <n v="33"/>
    <x v="1"/>
    <x v="1"/>
    <x v="0"/>
    <n v="5"/>
    <n v="0"/>
    <s v="Unnamed ProjectArquivos.NumberOutNumber OutEntity"/>
    <n v="50"/>
    <n v="3.62"/>
    <n v="0.77958649426527116"/>
    <n v="0.95"/>
    <n v="0.22155603025712986"/>
    <n v="2"/>
    <n v="5"/>
  </r>
  <r>
    <x v="0"/>
    <s v="2023-12-02 21:14:51"/>
    <n v="33"/>
    <x v="2"/>
    <x v="2"/>
    <x v="1"/>
    <n v="6"/>
    <n v="0"/>
    <s v="Unnamed ProjectOperador.NumberSeizedTotal Number SeizedResource"/>
    <n v="50"/>
    <n v="4.58"/>
    <n v="0.78480466827545059"/>
    <n v="0.95"/>
    <n v="0.22303901890225239"/>
    <n v="3"/>
    <n v="6"/>
  </r>
  <r>
    <x v="0"/>
    <s v="2023-12-02 21:14:51"/>
    <n v="33"/>
    <x v="3"/>
    <x v="3"/>
    <x v="1"/>
    <n v="1"/>
    <n v="0"/>
    <s v="Unnamed ProjectOperador.ScheduledUtilizationScheduled UtilizationResource"/>
    <n v="50"/>
    <n v="0.92637977941440086"/>
    <n v="0.11789675502181338"/>
    <n v="0.95"/>
    <n v="3.350588705034975E-2"/>
    <n v="0.60846830422583797"/>
    <n v="1"/>
  </r>
  <r>
    <x v="0"/>
    <s v="2023-12-02 21:14:51"/>
    <n v="33"/>
    <x v="4"/>
    <x v="1"/>
    <x v="2"/>
    <n v="5"/>
    <n v="0"/>
    <s v="Unnamed ProjectSystem.NumberOutNumber OutSystem"/>
    <n v="50"/>
    <n v="3.62"/>
    <n v="0.77958649426527116"/>
    <n v="0.95"/>
    <n v="0.22155603025712986"/>
    <n v="2"/>
    <n v="5"/>
  </r>
  <r>
    <x v="0"/>
    <s v="2023-12-02 21:14:51"/>
    <n v="34"/>
    <x v="0"/>
    <x v="0"/>
    <x v="0"/>
    <n v="7"/>
    <n v="0"/>
    <s v="Unnamed ProjectArquivos.NumberInNumber InEntity"/>
    <n v="50"/>
    <n v="6.48"/>
    <n v="1.7984119979264248"/>
    <n v="0.95"/>
    <n v="0.51110303469648288"/>
    <n v="3"/>
    <n v="13"/>
  </r>
  <r>
    <x v="0"/>
    <s v="2023-12-02 21:14:51"/>
    <n v="34"/>
    <x v="1"/>
    <x v="1"/>
    <x v="0"/>
    <n v="5"/>
    <n v="0"/>
    <s v="Unnamed ProjectArquivos.NumberOutNumber OutEntity"/>
    <n v="50"/>
    <n v="3.62"/>
    <n v="0.77958649426527116"/>
    <n v="0.95"/>
    <n v="0.22155603025712986"/>
    <n v="2"/>
    <n v="5"/>
  </r>
  <r>
    <x v="0"/>
    <s v="2023-12-02 21:14:51"/>
    <n v="34"/>
    <x v="2"/>
    <x v="2"/>
    <x v="1"/>
    <n v="6"/>
    <n v="0"/>
    <s v="Unnamed ProjectOperador.NumberSeizedTotal Number SeizedResource"/>
    <n v="50"/>
    <n v="4.58"/>
    <n v="0.78480466827545059"/>
    <n v="0.95"/>
    <n v="0.22303901890225239"/>
    <n v="3"/>
    <n v="6"/>
  </r>
  <r>
    <x v="0"/>
    <s v="2023-12-02 21:14:51"/>
    <n v="34"/>
    <x v="3"/>
    <x v="3"/>
    <x v="1"/>
    <n v="1"/>
    <n v="0"/>
    <s v="Unnamed ProjectOperador.ScheduledUtilizationScheduled UtilizationResource"/>
    <n v="50"/>
    <n v="0.92637977941440086"/>
    <n v="0.11789675502181338"/>
    <n v="0.95"/>
    <n v="3.350588705034975E-2"/>
    <n v="0.60846830422583797"/>
    <n v="1"/>
  </r>
  <r>
    <x v="0"/>
    <s v="2023-12-02 21:14:51"/>
    <n v="34"/>
    <x v="4"/>
    <x v="1"/>
    <x v="2"/>
    <n v="5"/>
    <n v="0"/>
    <s v="Unnamed ProjectSystem.NumberOutNumber OutSystem"/>
    <n v="50"/>
    <n v="3.62"/>
    <n v="0.77958649426527116"/>
    <n v="0.95"/>
    <n v="0.22155603025712986"/>
    <n v="2"/>
    <n v="5"/>
  </r>
  <r>
    <x v="0"/>
    <s v="2023-12-02 21:14:51"/>
    <n v="35"/>
    <x v="0"/>
    <x v="0"/>
    <x v="0"/>
    <n v="9"/>
    <n v="0"/>
    <s v="Unnamed ProjectArquivos.NumberInNumber InEntity"/>
    <n v="50"/>
    <n v="6.48"/>
    <n v="1.7984119979264248"/>
    <n v="0.95"/>
    <n v="0.51110303469648288"/>
    <n v="3"/>
    <n v="13"/>
  </r>
  <r>
    <x v="0"/>
    <s v="2023-12-02 21:14:51"/>
    <n v="35"/>
    <x v="1"/>
    <x v="1"/>
    <x v="0"/>
    <n v="5"/>
    <n v="0"/>
    <s v="Unnamed ProjectArquivos.NumberOutNumber OutEntity"/>
    <n v="50"/>
    <n v="3.62"/>
    <n v="0.77958649426527116"/>
    <n v="0.95"/>
    <n v="0.22155603025712986"/>
    <n v="2"/>
    <n v="5"/>
  </r>
  <r>
    <x v="0"/>
    <s v="2023-12-02 21:14:51"/>
    <n v="35"/>
    <x v="2"/>
    <x v="2"/>
    <x v="1"/>
    <n v="6"/>
    <n v="0"/>
    <s v="Unnamed ProjectOperador.NumberSeizedTotal Number SeizedResource"/>
    <n v="50"/>
    <n v="4.58"/>
    <n v="0.78480466827545059"/>
    <n v="0.95"/>
    <n v="0.22303901890225239"/>
    <n v="3"/>
    <n v="6"/>
  </r>
  <r>
    <x v="0"/>
    <s v="2023-12-02 21:14:51"/>
    <n v="35"/>
    <x v="3"/>
    <x v="3"/>
    <x v="1"/>
    <n v="1"/>
    <n v="0"/>
    <s v="Unnamed ProjectOperador.ScheduledUtilizationScheduled UtilizationResource"/>
    <n v="50"/>
    <n v="0.92637977941440086"/>
    <n v="0.11789675502181338"/>
    <n v="0.95"/>
    <n v="3.350588705034975E-2"/>
    <n v="0.60846830422583797"/>
    <n v="1"/>
  </r>
  <r>
    <x v="0"/>
    <s v="2023-12-02 21:14:51"/>
    <n v="35"/>
    <x v="4"/>
    <x v="1"/>
    <x v="2"/>
    <n v="5"/>
    <n v="0"/>
    <s v="Unnamed ProjectSystem.NumberOutNumber OutSystem"/>
    <n v="50"/>
    <n v="3.62"/>
    <n v="0.77958649426527116"/>
    <n v="0.95"/>
    <n v="0.22155603025712986"/>
    <n v="2"/>
    <n v="5"/>
  </r>
  <r>
    <x v="0"/>
    <s v="2023-12-02 21:14:51"/>
    <n v="36"/>
    <x v="0"/>
    <x v="0"/>
    <x v="0"/>
    <n v="7"/>
    <n v="0"/>
    <s v="Unnamed ProjectArquivos.NumberInNumber InEntity"/>
    <n v="50"/>
    <n v="6.48"/>
    <n v="1.7984119979264248"/>
    <n v="0.95"/>
    <n v="0.51110303469648288"/>
    <n v="3"/>
    <n v="13"/>
  </r>
  <r>
    <x v="0"/>
    <s v="2023-12-02 21:14:51"/>
    <n v="36"/>
    <x v="1"/>
    <x v="1"/>
    <x v="0"/>
    <n v="4"/>
    <n v="0"/>
    <s v="Unnamed ProjectArquivos.NumberOutNumber OutEntity"/>
    <n v="50"/>
    <n v="3.62"/>
    <n v="0.77958649426527116"/>
    <n v="0.95"/>
    <n v="0.22155603025712986"/>
    <n v="2"/>
    <n v="5"/>
  </r>
  <r>
    <x v="0"/>
    <s v="2023-12-02 21:14:51"/>
    <n v="36"/>
    <x v="2"/>
    <x v="2"/>
    <x v="1"/>
    <n v="5"/>
    <n v="0"/>
    <s v="Unnamed ProjectOperador.NumberSeizedTotal Number SeizedResource"/>
    <n v="50"/>
    <n v="4.58"/>
    <n v="0.78480466827545059"/>
    <n v="0.95"/>
    <n v="0.22303901890225239"/>
    <n v="3"/>
    <n v="6"/>
  </r>
  <r>
    <x v="0"/>
    <s v="2023-12-02 21:14:51"/>
    <n v="36"/>
    <x v="3"/>
    <x v="3"/>
    <x v="1"/>
    <n v="1"/>
    <n v="0"/>
    <s v="Unnamed ProjectOperador.ScheduledUtilizationScheduled UtilizationResource"/>
    <n v="50"/>
    <n v="0.92637977941440086"/>
    <n v="0.11789675502181338"/>
    <n v="0.95"/>
    <n v="3.350588705034975E-2"/>
    <n v="0.60846830422583797"/>
    <n v="1"/>
  </r>
  <r>
    <x v="0"/>
    <s v="2023-12-02 21:14:51"/>
    <n v="36"/>
    <x v="4"/>
    <x v="1"/>
    <x v="2"/>
    <n v="4"/>
    <n v="0"/>
    <s v="Unnamed ProjectSystem.NumberOutNumber OutSystem"/>
    <n v="50"/>
    <n v="3.62"/>
    <n v="0.77958649426527116"/>
    <n v="0.95"/>
    <n v="0.22155603025712986"/>
    <n v="2"/>
    <n v="5"/>
  </r>
  <r>
    <x v="0"/>
    <s v="2023-12-02 21:14:51"/>
    <n v="37"/>
    <x v="0"/>
    <x v="0"/>
    <x v="0"/>
    <n v="11"/>
    <n v="0"/>
    <s v="Unnamed ProjectArquivos.NumberInNumber InEntity"/>
    <n v="50"/>
    <n v="6.48"/>
    <n v="1.7984119979264248"/>
    <n v="0.95"/>
    <n v="0.51110303469648288"/>
    <n v="3"/>
    <n v="13"/>
  </r>
  <r>
    <x v="0"/>
    <s v="2023-12-02 21:14:51"/>
    <n v="37"/>
    <x v="1"/>
    <x v="1"/>
    <x v="0"/>
    <n v="3"/>
    <n v="0"/>
    <s v="Unnamed ProjectArquivos.NumberOutNumber OutEntity"/>
    <n v="50"/>
    <n v="3.62"/>
    <n v="0.77958649426527116"/>
    <n v="0.95"/>
    <n v="0.22155603025712986"/>
    <n v="2"/>
    <n v="5"/>
  </r>
  <r>
    <x v="0"/>
    <s v="2023-12-02 21:14:51"/>
    <n v="37"/>
    <x v="2"/>
    <x v="2"/>
    <x v="1"/>
    <n v="4"/>
    <n v="0"/>
    <s v="Unnamed ProjectOperador.NumberSeizedTotal Number SeizedResource"/>
    <n v="50"/>
    <n v="4.58"/>
    <n v="0.78480466827545059"/>
    <n v="0.95"/>
    <n v="0.22303901890225239"/>
    <n v="3"/>
    <n v="6"/>
  </r>
  <r>
    <x v="0"/>
    <s v="2023-12-02 21:14:51"/>
    <n v="37"/>
    <x v="3"/>
    <x v="3"/>
    <x v="1"/>
    <n v="1"/>
    <n v="0"/>
    <s v="Unnamed ProjectOperador.ScheduledUtilizationScheduled UtilizationResource"/>
    <n v="50"/>
    <n v="0.92637977941440086"/>
    <n v="0.11789675502181338"/>
    <n v="0.95"/>
    <n v="3.350588705034975E-2"/>
    <n v="0.60846830422583797"/>
    <n v="1"/>
  </r>
  <r>
    <x v="0"/>
    <s v="2023-12-02 21:14:51"/>
    <n v="37"/>
    <x v="4"/>
    <x v="1"/>
    <x v="2"/>
    <n v="3"/>
    <n v="0"/>
    <s v="Unnamed ProjectSystem.NumberOutNumber OutSystem"/>
    <n v="50"/>
    <n v="3.62"/>
    <n v="0.77958649426527116"/>
    <n v="0.95"/>
    <n v="0.22155603025712986"/>
    <n v="2"/>
    <n v="5"/>
  </r>
  <r>
    <x v="0"/>
    <s v="2023-12-02 21:14:51"/>
    <n v="38"/>
    <x v="0"/>
    <x v="0"/>
    <x v="0"/>
    <n v="13"/>
    <n v="0"/>
    <s v="Unnamed ProjectArquivos.NumberInNumber InEntity"/>
    <n v="50"/>
    <n v="6.48"/>
    <n v="1.7984119979264248"/>
    <n v="0.95"/>
    <n v="0.51110303469648288"/>
    <n v="3"/>
    <n v="13"/>
  </r>
  <r>
    <x v="0"/>
    <s v="2023-12-02 21:14:51"/>
    <n v="38"/>
    <x v="1"/>
    <x v="1"/>
    <x v="0"/>
    <n v="3"/>
    <n v="0"/>
    <s v="Unnamed ProjectArquivos.NumberOutNumber OutEntity"/>
    <n v="50"/>
    <n v="3.62"/>
    <n v="0.77958649426527116"/>
    <n v="0.95"/>
    <n v="0.22155603025712986"/>
    <n v="2"/>
    <n v="5"/>
  </r>
  <r>
    <x v="0"/>
    <s v="2023-12-02 21:14:51"/>
    <n v="38"/>
    <x v="2"/>
    <x v="2"/>
    <x v="1"/>
    <n v="4"/>
    <n v="0"/>
    <s v="Unnamed ProjectOperador.NumberSeizedTotal Number SeizedResource"/>
    <n v="50"/>
    <n v="4.58"/>
    <n v="0.78480466827545059"/>
    <n v="0.95"/>
    <n v="0.22303901890225239"/>
    <n v="3"/>
    <n v="6"/>
  </r>
  <r>
    <x v="0"/>
    <s v="2023-12-02 21:14:51"/>
    <n v="38"/>
    <x v="3"/>
    <x v="3"/>
    <x v="1"/>
    <n v="1"/>
    <n v="0"/>
    <s v="Unnamed ProjectOperador.ScheduledUtilizationScheduled UtilizationResource"/>
    <n v="50"/>
    <n v="0.92637977941440086"/>
    <n v="0.11789675502181338"/>
    <n v="0.95"/>
    <n v="3.350588705034975E-2"/>
    <n v="0.60846830422583797"/>
    <n v="1"/>
  </r>
  <r>
    <x v="0"/>
    <s v="2023-12-02 21:14:51"/>
    <n v="38"/>
    <x v="4"/>
    <x v="1"/>
    <x v="2"/>
    <n v="3"/>
    <n v="0"/>
    <s v="Unnamed ProjectSystem.NumberOutNumber OutSystem"/>
    <n v="50"/>
    <n v="3.62"/>
    <n v="0.77958649426527116"/>
    <n v="0.95"/>
    <n v="0.22155603025712986"/>
    <n v="2"/>
    <n v="5"/>
  </r>
  <r>
    <x v="0"/>
    <s v="2023-12-02 21:14:51"/>
    <n v="39"/>
    <x v="0"/>
    <x v="0"/>
    <x v="0"/>
    <n v="4"/>
    <n v="0"/>
    <s v="Unnamed ProjectArquivos.NumberInNumber InEntity"/>
    <n v="50"/>
    <n v="6.48"/>
    <n v="1.7984119979264248"/>
    <n v="0.95"/>
    <n v="0.51110303469648288"/>
    <n v="3"/>
    <n v="13"/>
  </r>
  <r>
    <x v="0"/>
    <s v="2023-12-02 21:14:51"/>
    <n v="39"/>
    <x v="1"/>
    <x v="1"/>
    <x v="0"/>
    <n v="3"/>
    <n v="0"/>
    <s v="Unnamed ProjectArquivos.NumberOutNumber OutEntity"/>
    <n v="50"/>
    <n v="3.62"/>
    <n v="0.77958649426527116"/>
    <n v="0.95"/>
    <n v="0.22155603025712986"/>
    <n v="2"/>
    <n v="5"/>
  </r>
  <r>
    <x v="0"/>
    <s v="2023-12-02 21:14:51"/>
    <n v="39"/>
    <x v="2"/>
    <x v="2"/>
    <x v="1"/>
    <n v="4"/>
    <n v="0"/>
    <s v="Unnamed ProjectOperador.NumberSeizedTotal Number SeizedResource"/>
    <n v="50"/>
    <n v="4.58"/>
    <n v="0.78480466827545059"/>
    <n v="0.95"/>
    <n v="0.22303901890225239"/>
    <n v="3"/>
    <n v="6"/>
  </r>
  <r>
    <x v="0"/>
    <s v="2023-12-02 21:14:51"/>
    <n v="39"/>
    <x v="3"/>
    <x v="3"/>
    <x v="1"/>
    <n v="0.74476821675830196"/>
    <n v="0"/>
    <s v="Unnamed ProjectOperador.ScheduledUtilizationScheduled UtilizationResource"/>
    <n v="50"/>
    <n v="0.92637977941440086"/>
    <n v="0.11789675502181338"/>
    <n v="0.95"/>
    <n v="3.350588705034975E-2"/>
    <n v="0.60846830422583797"/>
    <n v="1"/>
  </r>
  <r>
    <x v="0"/>
    <s v="2023-12-02 21:14:51"/>
    <n v="39"/>
    <x v="4"/>
    <x v="1"/>
    <x v="2"/>
    <n v="3"/>
    <n v="0"/>
    <s v="Unnamed ProjectSystem.NumberOutNumber OutSystem"/>
    <n v="50"/>
    <n v="3.62"/>
    <n v="0.77958649426527116"/>
    <n v="0.95"/>
    <n v="0.22155603025712986"/>
    <n v="2"/>
    <n v="5"/>
  </r>
  <r>
    <x v="0"/>
    <s v="2023-12-02 21:14:51"/>
    <n v="40"/>
    <x v="0"/>
    <x v="0"/>
    <x v="0"/>
    <n v="6"/>
    <n v="0"/>
    <s v="Unnamed ProjectArquivos.NumberInNumber InEntity"/>
    <n v="50"/>
    <n v="6.48"/>
    <n v="1.7984119979264248"/>
    <n v="0.95"/>
    <n v="0.51110303469648288"/>
    <n v="3"/>
    <n v="13"/>
  </r>
  <r>
    <x v="0"/>
    <s v="2023-12-02 21:14:51"/>
    <n v="40"/>
    <x v="1"/>
    <x v="1"/>
    <x v="0"/>
    <n v="4"/>
    <n v="0"/>
    <s v="Unnamed ProjectArquivos.NumberOutNumber OutEntity"/>
    <n v="50"/>
    <n v="3.62"/>
    <n v="0.77958649426527116"/>
    <n v="0.95"/>
    <n v="0.22155603025712986"/>
    <n v="2"/>
    <n v="5"/>
  </r>
  <r>
    <x v="0"/>
    <s v="2023-12-02 21:14:51"/>
    <n v="40"/>
    <x v="2"/>
    <x v="2"/>
    <x v="1"/>
    <n v="5"/>
    <n v="0"/>
    <s v="Unnamed ProjectOperador.NumberSeizedTotal Number SeizedResource"/>
    <n v="50"/>
    <n v="4.58"/>
    <n v="0.78480466827545059"/>
    <n v="0.95"/>
    <n v="0.22303901890225239"/>
    <n v="3"/>
    <n v="6"/>
  </r>
  <r>
    <x v="0"/>
    <s v="2023-12-02 21:14:51"/>
    <n v="40"/>
    <x v="3"/>
    <x v="3"/>
    <x v="1"/>
    <n v="0.95074503384369902"/>
    <n v="0"/>
    <s v="Unnamed ProjectOperador.ScheduledUtilizationScheduled UtilizationResource"/>
    <n v="50"/>
    <n v="0.92637977941440086"/>
    <n v="0.11789675502181338"/>
    <n v="0.95"/>
    <n v="3.350588705034975E-2"/>
    <n v="0.60846830422583797"/>
    <n v="1"/>
  </r>
  <r>
    <x v="0"/>
    <s v="2023-12-02 21:14:51"/>
    <n v="40"/>
    <x v="4"/>
    <x v="1"/>
    <x v="2"/>
    <n v="4"/>
    <n v="0"/>
    <s v="Unnamed ProjectSystem.NumberOutNumber OutSystem"/>
    <n v="50"/>
    <n v="3.62"/>
    <n v="0.77958649426527116"/>
    <n v="0.95"/>
    <n v="0.22155603025712986"/>
    <n v="2"/>
    <n v="5"/>
  </r>
  <r>
    <x v="0"/>
    <s v="2023-12-02 21:14:51"/>
    <n v="41"/>
    <x v="0"/>
    <x v="0"/>
    <x v="0"/>
    <n v="5"/>
    <n v="0"/>
    <s v="Unnamed ProjectArquivos.NumberInNumber InEntity"/>
    <n v="50"/>
    <n v="6.48"/>
    <n v="1.7984119979264248"/>
    <n v="0.95"/>
    <n v="0.51110303469648288"/>
    <n v="3"/>
    <n v="13"/>
  </r>
  <r>
    <x v="0"/>
    <s v="2023-12-02 21:14:51"/>
    <n v="41"/>
    <x v="1"/>
    <x v="1"/>
    <x v="0"/>
    <n v="3"/>
    <n v="0"/>
    <s v="Unnamed ProjectArquivos.NumberOutNumber OutEntity"/>
    <n v="50"/>
    <n v="3.62"/>
    <n v="0.77958649426527116"/>
    <n v="0.95"/>
    <n v="0.22155603025712986"/>
    <n v="2"/>
    <n v="5"/>
  </r>
  <r>
    <x v="0"/>
    <s v="2023-12-02 21:14:51"/>
    <n v="41"/>
    <x v="2"/>
    <x v="2"/>
    <x v="1"/>
    <n v="4"/>
    <n v="0"/>
    <s v="Unnamed ProjectOperador.NumberSeizedTotal Number SeizedResource"/>
    <n v="50"/>
    <n v="4.58"/>
    <n v="0.78480466827545059"/>
    <n v="0.95"/>
    <n v="0.22303901890225239"/>
    <n v="3"/>
    <n v="6"/>
  </r>
  <r>
    <x v="0"/>
    <s v="2023-12-02 21:14:51"/>
    <n v="41"/>
    <x v="3"/>
    <x v="3"/>
    <x v="1"/>
    <n v="0.915329524608128"/>
    <n v="0"/>
    <s v="Unnamed ProjectOperador.ScheduledUtilizationScheduled UtilizationResource"/>
    <n v="50"/>
    <n v="0.92637977941440086"/>
    <n v="0.11789675502181338"/>
    <n v="0.95"/>
    <n v="3.350588705034975E-2"/>
    <n v="0.60846830422583797"/>
    <n v="1"/>
  </r>
  <r>
    <x v="0"/>
    <s v="2023-12-02 21:14:51"/>
    <n v="41"/>
    <x v="4"/>
    <x v="1"/>
    <x v="2"/>
    <n v="3"/>
    <n v="0"/>
    <s v="Unnamed ProjectSystem.NumberOutNumber OutSystem"/>
    <n v="50"/>
    <n v="3.62"/>
    <n v="0.77958649426527116"/>
    <n v="0.95"/>
    <n v="0.22155603025712986"/>
    <n v="2"/>
    <n v="5"/>
  </r>
  <r>
    <x v="0"/>
    <s v="2023-12-02 21:14:51"/>
    <n v="42"/>
    <x v="0"/>
    <x v="0"/>
    <x v="0"/>
    <n v="6"/>
    <n v="0"/>
    <s v="Unnamed ProjectArquivos.NumberInNumber InEntity"/>
    <n v="50"/>
    <n v="6.48"/>
    <n v="1.7984119979264248"/>
    <n v="0.95"/>
    <n v="0.51110303469648288"/>
    <n v="3"/>
    <n v="13"/>
  </r>
  <r>
    <x v="0"/>
    <s v="2023-12-02 21:14:51"/>
    <n v="42"/>
    <x v="1"/>
    <x v="1"/>
    <x v="0"/>
    <n v="4"/>
    <n v="0"/>
    <s v="Unnamed ProjectArquivos.NumberOutNumber OutEntity"/>
    <n v="50"/>
    <n v="3.62"/>
    <n v="0.77958649426527116"/>
    <n v="0.95"/>
    <n v="0.22155603025712986"/>
    <n v="2"/>
    <n v="5"/>
  </r>
  <r>
    <x v="0"/>
    <s v="2023-12-02 21:14:51"/>
    <n v="42"/>
    <x v="2"/>
    <x v="2"/>
    <x v="1"/>
    <n v="5"/>
    <n v="0"/>
    <s v="Unnamed ProjectOperador.NumberSeizedTotal Number SeizedResource"/>
    <n v="50"/>
    <n v="4.58"/>
    <n v="0.78480466827545059"/>
    <n v="0.95"/>
    <n v="0.22303901890225239"/>
    <n v="3"/>
    <n v="6"/>
  </r>
  <r>
    <x v="0"/>
    <s v="2023-12-02 21:14:51"/>
    <n v="42"/>
    <x v="3"/>
    <x v="3"/>
    <x v="1"/>
    <n v="0.74162121913578904"/>
    <n v="0"/>
    <s v="Unnamed ProjectOperador.ScheduledUtilizationScheduled UtilizationResource"/>
    <n v="50"/>
    <n v="0.92637977941440086"/>
    <n v="0.11789675502181338"/>
    <n v="0.95"/>
    <n v="3.350588705034975E-2"/>
    <n v="0.60846830422583797"/>
    <n v="1"/>
  </r>
  <r>
    <x v="0"/>
    <s v="2023-12-02 21:14:51"/>
    <n v="42"/>
    <x v="4"/>
    <x v="1"/>
    <x v="2"/>
    <n v="4"/>
    <n v="0"/>
    <s v="Unnamed ProjectSystem.NumberOutNumber OutSystem"/>
    <n v="50"/>
    <n v="3.62"/>
    <n v="0.77958649426527116"/>
    <n v="0.95"/>
    <n v="0.22155603025712986"/>
    <n v="2"/>
    <n v="5"/>
  </r>
  <r>
    <x v="0"/>
    <s v="2023-12-02 21:14:51"/>
    <n v="43"/>
    <x v="0"/>
    <x v="0"/>
    <x v="0"/>
    <n v="9"/>
    <n v="0"/>
    <s v="Unnamed ProjectArquivos.NumberInNumber InEntity"/>
    <n v="50"/>
    <n v="6.48"/>
    <n v="1.7984119979264248"/>
    <n v="0.95"/>
    <n v="0.51110303469648288"/>
    <n v="3"/>
    <n v="13"/>
  </r>
  <r>
    <x v="0"/>
    <s v="2023-12-02 21:14:51"/>
    <n v="43"/>
    <x v="1"/>
    <x v="1"/>
    <x v="0"/>
    <n v="4"/>
    <n v="0"/>
    <s v="Unnamed ProjectArquivos.NumberOutNumber OutEntity"/>
    <n v="50"/>
    <n v="3.62"/>
    <n v="0.77958649426527116"/>
    <n v="0.95"/>
    <n v="0.22155603025712986"/>
    <n v="2"/>
    <n v="5"/>
  </r>
  <r>
    <x v="0"/>
    <s v="2023-12-02 21:14:51"/>
    <n v="43"/>
    <x v="2"/>
    <x v="2"/>
    <x v="1"/>
    <n v="5"/>
    <n v="0"/>
    <s v="Unnamed ProjectOperador.NumberSeizedTotal Number SeizedResource"/>
    <n v="50"/>
    <n v="4.58"/>
    <n v="0.78480466827545059"/>
    <n v="0.95"/>
    <n v="0.22303901890225239"/>
    <n v="3"/>
    <n v="6"/>
  </r>
  <r>
    <x v="0"/>
    <s v="2023-12-02 21:14:51"/>
    <n v="43"/>
    <x v="3"/>
    <x v="3"/>
    <x v="1"/>
    <n v="1"/>
    <n v="0"/>
    <s v="Unnamed ProjectOperador.ScheduledUtilizationScheduled UtilizationResource"/>
    <n v="50"/>
    <n v="0.92637977941440086"/>
    <n v="0.11789675502181338"/>
    <n v="0.95"/>
    <n v="3.350588705034975E-2"/>
    <n v="0.60846830422583797"/>
    <n v="1"/>
  </r>
  <r>
    <x v="0"/>
    <s v="2023-12-02 21:14:51"/>
    <n v="43"/>
    <x v="4"/>
    <x v="1"/>
    <x v="2"/>
    <n v="4"/>
    <n v="0"/>
    <s v="Unnamed ProjectSystem.NumberOutNumber OutSystem"/>
    <n v="50"/>
    <n v="3.62"/>
    <n v="0.77958649426527116"/>
    <n v="0.95"/>
    <n v="0.22155603025712986"/>
    <n v="2"/>
    <n v="5"/>
  </r>
  <r>
    <x v="0"/>
    <s v="2023-12-02 21:14:51"/>
    <n v="44"/>
    <x v="0"/>
    <x v="0"/>
    <x v="0"/>
    <n v="7"/>
    <n v="0"/>
    <s v="Unnamed ProjectArquivos.NumberInNumber InEntity"/>
    <n v="50"/>
    <n v="6.48"/>
    <n v="1.7984119979264248"/>
    <n v="0.95"/>
    <n v="0.51110303469648288"/>
    <n v="3"/>
    <n v="13"/>
  </r>
  <r>
    <x v="0"/>
    <s v="2023-12-02 21:14:51"/>
    <n v="44"/>
    <x v="1"/>
    <x v="1"/>
    <x v="0"/>
    <n v="3"/>
    <n v="0"/>
    <s v="Unnamed ProjectArquivos.NumberOutNumber OutEntity"/>
    <n v="50"/>
    <n v="3.62"/>
    <n v="0.77958649426527116"/>
    <n v="0.95"/>
    <n v="0.22155603025712986"/>
    <n v="2"/>
    <n v="5"/>
  </r>
  <r>
    <x v="0"/>
    <s v="2023-12-02 21:14:51"/>
    <n v="44"/>
    <x v="2"/>
    <x v="2"/>
    <x v="1"/>
    <n v="4"/>
    <n v="0"/>
    <s v="Unnamed ProjectOperador.NumberSeizedTotal Number SeizedResource"/>
    <n v="50"/>
    <n v="4.58"/>
    <n v="0.78480466827545059"/>
    <n v="0.95"/>
    <n v="0.22303901890225239"/>
    <n v="3"/>
    <n v="6"/>
  </r>
  <r>
    <x v="0"/>
    <s v="2023-12-02 21:14:51"/>
    <n v="44"/>
    <x v="3"/>
    <x v="3"/>
    <x v="1"/>
    <n v="1"/>
    <n v="0"/>
    <s v="Unnamed ProjectOperador.ScheduledUtilizationScheduled UtilizationResource"/>
    <n v="50"/>
    <n v="0.92637977941440086"/>
    <n v="0.11789675502181338"/>
    <n v="0.95"/>
    <n v="3.350588705034975E-2"/>
    <n v="0.60846830422583797"/>
    <n v="1"/>
  </r>
  <r>
    <x v="0"/>
    <s v="2023-12-02 21:14:51"/>
    <n v="44"/>
    <x v="4"/>
    <x v="1"/>
    <x v="2"/>
    <n v="3"/>
    <n v="0"/>
    <s v="Unnamed ProjectSystem.NumberOutNumber OutSystem"/>
    <n v="50"/>
    <n v="3.62"/>
    <n v="0.77958649426527116"/>
    <n v="0.95"/>
    <n v="0.22155603025712986"/>
    <n v="2"/>
    <n v="5"/>
  </r>
  <r>
    <x v="0"/>
    <s v="2023-12-02 21:14:51"/>
    <n v="45"/>
    <x v="0"/>
    <x v="0"/>
    <x v="0"/>
    <n v="4"/>
    <n v="0"/>
    <s v="Unnamed ProjectArquivos.NumberInNumber InEntity"/>
    <n v="50"/>
    <n v="6.48"/>
    <n v="1.7984119979264248"/>
    <n v="0.95"/>
    <n v="0.51110303469648288"/>
    <n v="3"/>
    <n v="13"/>
  </r>
  <r>
    <x v="0"/>
    <s v="2023-12-02 21:14:51"/>
    <n v="45"/>
    <x v="1"/>
    <x v="1"/>
    <x v="0"/>
    <n v="4"/>
    <n v="0"/>
    <s v="Unnamed ProjectArquivos.NumberOutNumber OutEntity"/>
    <n v="50"/>
    <n v="3.62"/>
    <n v="0.77958649426527116"/>
    <n v="0.95"/>
    <n v="0.22155603025712986"/>
    <n v="2"/>
    <n v="5"/>
  </r>
  <r>
    <x v="0"/>
    <s v="2023-12-02 21:14:51"/>
    <n v="45"/>
    <x v="2"/>
    <x v="2"/>
    <x v="1"/>
    <n v="4"/>
    <n v="0"/>
    <s v="Unnamed ProjectOperador.NumberSeizedTotal Number SeizedResource"/>
    <n v="50"/>
    <n v="4.58"/>
    <n v="0.78480466827545059"/>
    <n v="0.95"/>
    <n v="0.22303901890225239"/>
    <n v="3"/>
    <n v="6"/>
  </r>
  <r>
    <x v="0"/>
    <s v="2023-12-02 21:14:51"/>
    <n v="45"/>
    <x v="3"/>
    <x v="3"/>
    <x v="1"/>
    <n v="0.61954068660996098"/>
    <n v="0"/>
    <s v="Unnamed ProjectOperador.ScheduledUtilizationScheduled UtilizationResource"/>
    <n v="50"/>
    <n v="0.92637977941440086"/>
    <n v="0.11789675502181338"/>
    <n v="0.95"/>
    <n v="3.350588705034975E-2"/>
    <n v="0.60846830422583797"/>
    <n v="1"/>
  </r>
  <r>
    <x v="0"/>
    <s v="2023-12-02 21:14:51"/>
    <n v="45"/>
    <x v="4"/>
    <x v="1"/>
    <x v="2"/>
    <n v="4"/>
    <n v="0"/>
    <s v="Unnamed ProjectSystem.NumberOutNumber OutSystem"/>
    <n v="50"/>
    <n v="3.62"/>
    <n v="0.77958649426527116"/>
    <n v="0.95"/>
    <n v="0.22155603025712986"/>
    <n v="2"/>
    <n v="5"/>
  </r>
  <r>
    <x v="0"/>
    <s v="2023-12-02 21:14:51"/>
    <n v="46"/>
    <x v="0"/>
    <x v="0"/>
    <x v="0"/>
    <n v="5"/>
    <n v="0"/>
    <s v="Unnamed ProjectArquivos.NumberInNumber InEntity"/>
    <n v="50"/>
    <n v="6.48"/>
    <n v="1.7984119979264248"/>
    <n v="0.95"/>
    <n v="0.51110303469648288"/>
    <n v="3"/>
    <n v="13"/>
  </r>
  <r>
    <x v="0"/>
    <s v="2023-12-02 21:14:51"/>
    <n v="46"/>
    <x v="1"/>
    <x v="1"/>
    <x v="0"/>
    <n v="2"/>
    <n v="0"/>
    <s v="Unnamed ProjectArquivos.NumberOutNumber OutEntity"/>
    <n v="50"/>
    <n v="3.62"/>
    <n v="0.77958649426527116"/>
    <n v="0.95"/>
    <n v="0.22155603025712986"/>
    <n v="2"/>
    <n v="5"/>
  </r>
  <r>
    <x v="0"/>
    <s v="2023-12-02 21:14:51"/>
    <n v="46"/>
    <x v="2"/>
    <x v="2"/>
    <x v="1"/>
    <n v="3"/>
    <n v="0"/>
    <s v="Unnamed ProjectOperador.NumberSeizedTotal Number SeizedResource"/>
    <n v="50"/>
    <n v="4.58"/>
    <n v="0.78480466827545059"/>
    <n v="0.95"/>
    <n v="0.22303901890225239"/>
    <n v="3"/>
    <n v="6"/>
  </r>
  <r>
    <x v="0"/>
    <s v="2023-12-02 21:14:51"/>
    <n v="46"/>
    <x v="3"/>
    <x v="3"/>
    <x v="1"/>
    <n v="0.60846830422583797"/>
    <n v="0"/>
    <s v="Unnamed ProjectOperador.ScheduledUtilizationScheduled UtilizationResource"/>
    <n v="50"/>
    <n v="0.92637977941440086"/>
    <n v="0.11789675502181338"/>
    <n v="0.95"/>
    <n v="3.350588705034975E-2"/>
    <n v="0.60846830422583797"/>
    <n v="1"/>
  </r>
  <r>
    <x v="0"/>
    <s v="2023-12-02 21:14:51"/>
    <n v="46"/>
    <x v="4"/>
    <x v="1"/>
    <x v="2"/>
    <n v="2"/>
    <n v="0"/>
    <s v="Unnamed ProjectSystem.NumberOutNumber OutSystem"/>
    <n v="50"/>
    <n v="3.62"/>
    <n v="0.77958649426527116"/>
    <n v="0.95"/>
    <n v="0.22155603025712986"/>
    <n v="2"/>
    <n v="5"/>
  </r>
  <r>
    <x v="0"/>
    <s v="2023-12-02 21:14:51"/>
    <n v="47"/>
    <x v="0"/>
    <x v="0"/>
    <x v="0"/>
    <n v="6"/>
    <n v="0"/>
    <s v="Unnamed ProjectArquivos.NumberInNumber InEntity"/>
    <n v="50"/>
    <n v="6.48"/>
    <n v="1.7984119979264248"/>
    <n v="0.95"/>
    <n v="0.51110303469648288"/>
    <n v="3"/>
    <n v="13"/>
  </r>
  <r>
    <x v="0"/>
    <s v="2023-12-02 21:14:51"/>
    <n v="47"/>
    <x v="1"/>
    <x v="1"/>
    <x v="0"/>
    <n v="4"/>
    <n v="0"/>
    <s v="Unnamed ProjectArquivos.NumberOutNumber OutEntity"/>
    <n v="50"/>
    <n v="3.62"/>
    <n v="0.77958649426527116"/>
    <n v="0.95"/>
    <n v="0.22155603025712986"/>
    <n v="2"/>
    <n v="5"/>
  </r>
  <r>
    <x v="0"/>
    <s v="2023-12-02 21:14:51"/>
    <n v="47"/>
    <x v="2"/>
    <x v="2"/>
    <x v="1"/>
    <n v="5"/>
    <n v="0"/>
    <s v="Unnamed ProjectOperador.NumberSeizedTotal Number SeizedResource"/>
    <n v="50"/>
    <n v="4.58"/>
    <n v="0.78480466827545059"/>
    <n v="0.95"/>
    <n v="0.22303901890225239"/>
    <n v="3"/>
    <n v="6"/>
  </r>
  <r>
    <x v="0"/>
    <s v="2023-12-02 21:14:51"/>
    <n v="47"/>
    <x v="3"/>
    <x v="3"/>
    <x v="1"/>
    <n v="1"/>
    <n v="0"/>
    <s v="Unnamed ProjectOperador.ScheduledUtilizationScheduled UtilizationResource"/>
    <n v="50"/>
    <n v="0.92637977941440086"/>
    <n v="0.11789675502181338"/>
    <n v="0.95"/>
    <n v="3.350588705034975E-2"/>
    <n v="0.60846830422583797"/>
    <n v="1"/>
  </r>
  <r>
    <x v="0"/>
    <s v="2023-12-02 21:14:51"/>
    <n v="47"/>
    <x v="4"/>
    <x v="1"/>
    <x v="2"/>
    <n v="4"/>
    <n v="0"/>
    <s v="Unnamed ProjectSystem.NumberOutNumber OutSystem"/>
    <n v="50"/>
    <n v="3.62"/>
    <n v="0.77958649426527116"/>
    <n v="0.95"/>
    <n v="0.22155603025712986"/>
    <n v="2"/>
    <n v="5"/>
  </r>
  <r>
    <x v="0"/>
    <s v="2023-12-02 21:14:51"/>
    <n v="48"/>
    <x v="0"/>
    <x v="0"/>
    <x v="0"/>
    <n v="5"/>
    <n v="0"/>
    <s v="Unnamed ProjectArquivos.NumberInNumber InEntity"/>
    <n v="50"/>
    <n v="6.48"/>
    <n v="1.7984119979264248"/>
    <n v="0.95"/>
    <n v="0.51110303469648288"/>
    <n v="3"/>
    <n v="13"/>
  </r>
  <r>
    <x v="0"/>
    <s v="2023-12-02 21:14:51"/>
    <n v="48"/>
    <x v="1"/>
    <x v="1"/>
    <x v="0"/>
    <n v="3"/>
    <n v="0"/>
    <s v="Unnamed ProjectArquivos.NumberOutNumber OutEntity"/>
    <n v="50"/>
    <n v="3.62"/>
    <n v="0.77958649426527116"/>
    <n v="0.95"/>
    <n v="0.22155603025712986"/>
    <n v="2"/>
    <n v="5"/>
  </r>
  <r>
    <x v="0"/>
    <s v="2023-12-02 21:14:51"/>
    <n v="48"/>
    <x v="2"/>
    <x v="2"/>
    <x v="1"/>
    <n v="4"/>
    <n v="0"/>
    <s v="Unnamed ProjectOperador.NumberSeizedTotal Number SeizedResource"/>
    <n v="50"/>
    <n v="4.58"/>
    <n v="0.78480466827545059"/>
    <n v="0.95"/>
    <n v="0.22303901890225239"/>
    <n v="3"/>
    <n v="6"/>
  </r>
  <r>
    <x v="0"/>
    <s v="2023-12-02 21:14:51"/>
    <n v="48"/>
    <x v="3"/>
    <x v="3"/>
    <x v="1"/>
    <n v="1"/>
    <n v="0"/>
    <s v="Unnamed ProjectOperador.ScheduledUtilizationScheduled UtilizationResource"/>
    <n v="50"/>
    <n v="0.92637977941440086"/>
    <n v="0.11789675502181338"/>
    <n v="0.95"/>
    <n v="3.350588705034975E-2"/>
    <n v="0.60846830422583797"/>
    <n v="1"/>
  </r>
  <r>
    <x v="0"/>
    <s v="2023-12-02 21:14:51"/>
    <n v="48"/>
    <x v="4"/>
    <x v="1"/>
    <x v="2"/>
    <n v="3"/>
    <n v="0"/>
    <s v="Unnamed ProjectSystem.NumberOutNumber OutSystem"/>
    <n v="50"/>
    <n v="3.62"/>
    <n v="0.77958649426527116"/>
    <n v="0.95"/>
    <n v="0.22155603025712986"/>
    <n v="2"/>
    <n v="5"/>
  </r>
  <r>
    <x v="0"/>
    <s v="2023-12-02 21:14:51"/>
    <n v="49"/>
    <x v="0"/>
    <x v="0"/>
    <x v="0"/>
    <n v="6"/>
    <n v="0"/>
    <s v="Unnamed ProjectArquivos.NumberInNumber InEntity"/>
    <n v="50"/>
    <n v="6.48"/>
    <n v="1.7984119979264248"/>
    <n v="0.95"/>
    <n v="0.51110303469648288"/>
    <n v="3"/>
    <n v="13"/>
  </r>
  <r>
    <x v="0"/>
    <s v="2023-12-02 21:14:51"/>
    <n v="49"/>
    <x v="1"/>
    <x v="1"/>
    <x v="0"/>
    <n v="3"/>
    <n v="0"/>
    <s v="Unnamed ProjectArquivos.NumberOutNumber OutEntity"/>
    <n v="50"/>
    <n v="3.62"/>
    <n v="0.77958649426527116"/>
    <n v="0.95"/>
    <n v="0.22155603025712986"/>
    <n v="2"/>
    <n v="5"/>
  </r>
  <r>
    <x v="0"/>
    <s v="2023-12-02 21:14:51"/>
    <n v="49"/>
    <x v="2"/>
    <x v="2"/>
    <x v="1"/>
    <n v="4"/>
    <n v="0"/>
    <s v="Unnamed ProjectOperador.NumberSeizedTotal Number SeizedResource"/>
    <n v="50"/>
    <n v="4.58"/>
    <n v="0.78480466827545059"/>
    <n v="0.95"/>
    <n v="0.22303901890225239"/>
    <n v="3"/>
    <n v="6"/>
  </r>
  <r>
    <x v="0"/>
    <s v="2023-12-02 21:14:51"/>
    <n v="49"/>
    <x v="3"/>
    <x v="3"/>
    <x v="1"/>
    <n v="0.77414066075489796"/>
    <n v="0"/>
    <s v="Unnamed ProjectOperador.ScheduledUtilizationScheduled UtilizationResource"/>
    <n v="50"/>
    <n v="0.92637977941440086"/>
    <n v="0.11789675502181338"/>
    <n v="0.95"/>
    <n v="3.350588705034975E-2"/>
    <n v="0.60846830422583797"/>
    <n v="1"/>
  </r>
  <r>
    <x v="0"/>
    <s v="2023-12-02 21:14:51"/>
    <n v="49"/>
    <x v="4"/>
    <x v="1"/>
    <x v="2"/>
    <n v="3"/>
    <n v="0"/>
    <s v="Unnamed ProjectSystem.NumberOutNumber OutSystem"/>
    <n v="50"/>
    <n v="3.62"/>
    <n v="0.77958649426527116"/>
    <n v="0.95"/>
    <n v="0.22155603025712986"/>
    <n v="2"/>
    <n v="5"/>
  </r>
  <r>
    <x v="0"/>
    <s v="2023-12-02 21:14:51"/>
    <n v="50"/>
    <x v="0"/>
    <x v="0"/>
    <x v="0"/>
    <n v="7"/>
    <n v="0"/>
    <s v="Unnamed ProjectArquivos.NumberInNumber InEntity"/>
    <n v="50"/>
    <n v="6.48"/>
    <n v="1.7984119979264248"/>
    <n v="0.95"/>
    <n v="0.51110303469648288"/>
    <n v="3"/>
    <n v="13"/>
  </r>
  <r>
    <x v="0"/>
    <s v="2023-12-02 21:14:51"/>
    <n v="50"/>
    <x v="1"/>
    <x v="1"/>
    <x v="0"/>
    <n v="4"/>
    <n v="0"/>
    <s v="Unnamed ProjectArquivos.NumberOutNumber OutEntity"/>
    <n v="50"/>
    <n v="3.62"/>
    <n v="0.77958649426527116"/>
    <n v="0.95"/>
    <n v="0.22155603025712986"/>
    <n v="2"/>
    <n v="5"/>
  </r>
  <r>
    <x v="0"/>
    <s v="2023-12-02 21:14:51"/>
    <n v="50"/>
    <x v="2"/>
    <x v="2"/>
    <x v="1"/>
    <n v="5"/>
    <n v="0"/>
    <s v="Unnamed ProjectOperador.NumberSeizedTotal Number SeizedResource"/>
    <n v="50"/>
    <n v="4.58"/>
    <n v="0.78480466827545059"/>
    <n v="0.95"/>
    <n v="0.22303901890225239"/>
    <n v="3"/>
    <n v="6"/>
  </r>
  <r>
    <x v="0"/>
    <s v="2023-12-02 21:14:51"/>
    <n v="50"/>
    <x v="3"/>
    <x v="3"/>
    <x v="1"/>
    <n v="0.94228013375700903"/>
    <n v="0"/>
    <s v="Unnamed ProjectOperador.ScheduledUtilizationScheduled UtilizationResource"/>
    <n v="50"/>
    <n v="0.92637977941440086"/>
    <n v="0.11789675502181338"/>
    <n v="0.95"/>
    <n v="3.350588705034975E-2"/>
    <n v="0.60846830422583797"/>
    <n v="1"/>
  </r>
  <r>
    <x v="0"/>
    <s v="2023-12-02 21:14:51"/>
    <n v="50"/>
    <x v="4"/>
    <x v="1"/>
    <x v="2"/>
    <n v="4"/>
    <n v="0"/>
    <s v="Unnamed ProjectSystem.NumberOutNumber OutSystem"/>
    <n v="50"/>
    <n v="3.62"/>
    <n v="0.77958649426527116"/>
    <n v="0.95"/>
    <n v="0.22155603025712986"/>
    <n v="2"/>
    <n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4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7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7">
        <item m="1" x="18"/>
        <item m="1" x="9"/>
        <item m="1" x="25"/>
        <item m="1" x="34"/>
        <item m="1" x="47"/>
        <item m="1" x="46"/>
        <item m="1" x="10"/>
        <item m="1" x="111"/>
        <item m="1" x="89"/>
        <item m="1" x="52"/>
        <item m="1" x="39"/>
        <item m="1" x="43"/>
        <item m="1" x="125"/>
        <item m="1" x="28"/>
        <item m="1" x="110"/>
        <item m="1" x="32"/>
        <item m="1" x="83"/>
        <item m="1" x="97"/>
        <item m="1" x="7"/>
        <item m="1" x="33"/>
        <item m="1" x="120"/>
        <item m="1" x="22"/>
        <item m="1" x="112"/>
        <item m="1" x="11"/>
        <item m="1" x="38"/>
        <item m="1" x="64"/>
        <item m="1" x="8"/>
        <item m="1" x="14"/>
        <item m="1" x="84"/>
        <item m="1" x="65"/>
        <item m="1" x="99"/>
        <item m="1" x="55"/>
        <item m="1" x="19"/>
        <item m="1" x="49"/>
        <item m="1" x="85"/>
        <item m="1" x="70"/>
        <item m="1" x="20"/>
        <item m="1" x="30"/>
        <item m="1" x="92"/>
        <item m="1" x="6"/>
        <item m="1" x="119"/>
        <item m="1" x="77"/>
        <item m="1" x="17"/>
        <item m="1" x="102"/>
        <item m="1" x="48"/>
        <item m="1" x="121"/>
        <item m="1" x="82"/>
        <item m="1" x="24"/>
        <item m="1" x="69"/>
        <item m="1" x="88"/>
        <item m="1" x="101"/>
        <item m="1" x="109"/>
        <item m="1" x="118"/>
        <item m="1" x="5"/>
        <item m="1" x="23"/>
        <item m="1" x="37"/>
        <item m="1" x="26"/>
        <item m="1" x="4"/>
        <item m="1" x="98"/>
        <item m="1" x="115"/>
        <item m="1" x="41"/>
        <item m="1" x="76"/>
        <item m="1" x="29"/>
        <item m="1" x="50"/>
        <item m="1" x="35"/>
        <item m="1" x="59"/>
        <item m="1" x="44"/>
        <item m="1" x="66"/>
        <item m="1" x="51"/>
        <item m="1" x="78"/>
        <item m="1" x="60"/>
        <item m="1" x="86"/>
        <item m="1" x="67"/>
        <item m="1" x="95"/>
        <item m="1" x="79"/>
        <item m="1" x="100"/>
        <item m="1" x="87"/>
        <item m="1" x="104"/>
        <item m="1" x="116"/>
        <item m="1" x="106"/>
        <item m="1" x="90"/>
        <item m="1" x="63"/>
        <item m="1" x="42"/>
        <item m="1" x="57"/>
        <item m="1" x="21"/>
        <item m="1" x="27"/>
        <item m="1" x="36"/>
        <item m="1" x="40"/>
        <item m="1" x="72"/>
        <item m="1" x="117"/>
        <item m="1" x="107"/>
        <item m="1" x="91"/>
        <item m="1" x="58"/>
        <item m="1" x="126"/>
        <item m="1" x="74"/>
        <item m="1" x="62"/>
        <item m="1" x="94"/>
        <item m="1" x="75"/>
        <item m="1" x="54"/>
        <item m="1" x="61"/>
        <item m="1" x="15"/>
        <item m="1" x="80"/>
        <item m="1" x="96"/>
        <item m="1" x="105"/>
        <item m="1" x="113"/>
        <item m="1" x="124"/>
        <item m="1" x="12"/>
        <item m="1" x="31"/>
        <item m="1" x="123"/>
        <item m="1" x="13"/>
        <item m="1" x="81"/>
        <item m="1" x="56"/>
        <item m="1" x="71"/>
        <item m="1" x="16"/>
        <item m="1" x="122"/>
        <item m="1" x="103"/>
        <item m="1" x="53"/>
        <item m="1" x="114"/>
        <item m="1" x="73"/>
        <item m="1" x="93"/>
        <item m="1" x="108"/>
        <item m="1" x="45"/>
        <item m="1" x="68"/>
        <item m="1" x="3"/>
        <item x="0"/>
        <item x="1"/>
        <item x="2"/>
      </items>
    </pivotField>
    <pivotField axis="axisRow" compact="0" outline="0" showAll="0" defaultSubtotal="0">
      <items count="7">
        <item x="2"/>
        <item x="3"/>
        <item x="4"/>
        <item x="1"/>
        <item x="0"/>
        <item m="1" x="6"/>
        <item m="1" x="5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24"/>
      <x v="4"/>
      <x/>
    </i>
    <i r="1">
      <x v="125"/>
      <x v="3"/>
      <x v="1"/>
    </i>
    <i r="1">
      <x v="126"/>
      <x/>
      <x v="2"/>
    </i>
    <i r="2">
      <x v="1"/>
      <x v="2"/>
    </i>
    <i r="2">
      <x v="2"/>
      <x v="2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5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5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9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1">
        <item m="1" x="12"/>
        <item m="1" x="35"/>
        <item m="1" x="7"/>
        <item m="1" x="87"/>
        <item m="1" x="70"/>
        <item m="1" x="40"/>
        <item m="1" x="96"/>
        <item m="1" x="28"/>
        <item m="1" x="32"/>
        <item m="1" x="99"/>
        <item m="1" x="65"/>
        <item m="1" x="77"/>
        <item m="1" x="82"/>
        <item m="1" x="6"/>
        <item m="1" x="34"/>
        <item m="1" x="24"/>
        <item m="1" x="100"/>
        <item m="1" x="94"/>
        <item m="1" x="22"/>
        <item m="1" x="16"/>
        <item m="1" x="88"/>
        <item m="1" x="8"/>
        <item m="1" x="41"/>
        <item m="1" x="27"/>
        <item m="1" x="52"/>
        <item m="1" x="79"/>
        <item m="1" x="43"/>
        <item m="1" x="13"/>
        <item m="1" x="37"/>
        <item m="1" x="66"/>
        <item m="1" x="56"/>
        <item m="1" x="14"/>
        <item m="1" x="73"/>
        <item m="1" x="5"/>
        <item m="1" x="93"/>
        <item m="1" x="61"/>
        <item m="1" x="81"/>
        <item m="1" x="36"/>
        <item m="1" x="95"/>
        <item m="1" x="64"/>
        <item m="1" x="18"/>
        <item m="1" x="55"/>
        <item m="1" x="69"/>
        <item m="1" x="80"/>
        <item m="1" x="86"/>
        <item m="1" x="4"/>
        <item m="1" x="17"/>
        <item m="1" x="26"/>
        <item m="1" x="19"/>
        <item m="1" x="3"/>
        <item m="1" x="78"/>
        <item m="1" x="90"/>
        <item m="1" x="30"/>
        <item m="1" x="60"/>
        <item m="1" x="21"/>
        <item m="1" x="38"/>
        <item m="1" x="25"/>
        <item m="1" x="46"/>
        <item m="1" x="33"/>
        <item m="1" x="53"/>
        <item m="1" x="39"/>
        <item m="1" x="62"/>
        <item m="1" x="47"/>
        <item m="1" x="67"/>
        <item m="1" x="54"/>
        <item m="1" x="75"/>
        <item m="1" x="68"/>
        <item m="1" x="83"/>
        <item m="1" x="91"/>
        <item m="1" x="71"/>
        <item m="1" x="50"/>
        <item m="1" x="31"/>
        <item m="1" x="44"/>
        <item m="1" x="15"/>
        <item m="1" x="20"/>
        <item m="1" x="29"/>
        <item m="1" x="57"/>
        <item m="1" x="92"/>
        <item m="1" x="85"/>
        <item m="1" x="72"/>
        <item m="1" x="45"/>
        <item m="1" x="58"/>
        <item m="1" x="49"/>
        <item m="1" x="74"/>
        <item m="1" x="59"/>
        <item m="1" x="42"/>
        <item m="1" x="48"/>
        <item m="1" x="11"/>
        <item m="1" x="51"/>
        <item m="1" x="63"/>
        <item m="1" x="76"/>
        <item m="1" x="84"/>
        <item m="1" x="89"/>
        <item m="1" x="98"/>
        <item m="1" x="9"/>
        <item m="1" x="23"/>
        <item m="1" x="97"/>
        <item m="1" x="10"/>
        <item m="1" x="2"/>
        <item x="0"/>
        <item x="1"/>
      </items>
    </pivotField>
    <pivotField axis="axisRow" compact="0" outline="0" showAll="0" defaultSubtotal="0">
      <items count="12">
        <item m="1" x="11"/>
        <item x="0"/>
        <item x="1"/>
        <item x="2"/>
        <item x="3"/>
        <item x="4"/>
        <item x="5"/>
        <item x="6"/>
        <item m="1" x="8"/>
        <item m="1" x="9"/>
        <item m="1" x="10"/>
        <item m="1" x="7"/>
      </items>
    </pivotField>
    <pivotField axis="axisRow" compact="0" outline="0" showAll="0" defaultSubtotal="0">
      <items count="5">
        <item x="0"/>
        <item x="1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7">
    <i>
      <x v="3"/>
      <x v="9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0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6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3">
        <item m="1" x="30"/>
        <item m="1" x="6"/>
        <item m="1" x="31"/>
        <item m="1" x="7"/>
        <item m="1" x="32"/>
        <item m="1" x="8"/>
        <item m="1" x="33"/>
        <item m="1" x="9"/>
        <item m="1" x="65"/>
        <item m="1" x="20"/>
        <item x="4"/>
        <item m="1" x="64"/>
        <item m="1" x="51"/>
        <item m="1" x="68"/>
        <item m="1" x="53"/>
        <item m="1" x="69"/>
        <item m="1" x="76"/>
        <item m="1" x="45"/>
        <item m="1" x="13"/>
        <item m="1" x="62"/>
        <item m="1" x="52"/>
        <item m="1" x="50"/>
        <item m="1" x="16"/>
        <item m="1" x="60"/>
        <item m="1" x="25"/>
        <item m="1" x="61"/>
        <item m="1" x="26"/>
        <item m="1" x="59"/>
        <item m="1" x="79"/>
        <item m="1" x="19"/>
        <item m="1" x="82"/>
        <item m="1" x="47"/>
        <item m="1" x="14"/>
        <item m="1" x="77"/>
        <item m="1" x="72"/>
        <item m="1" x="48"/>
        <item m="1" x="15"/>
        <item m="1" x="78"/>
        <item m="1" x="73"/>
        <item m="1" x="10"/>
        <item m="1" x="44"/>
        <item m="1" x="28"/>
        <item m="1" x="18"/>
        <item m="1" x="70"/>
        <item m="1" x="40"/>
        <item m="1" x="71"/>
        <item m="1" x="41"/>
        <item m="1" x="27"/>
        <item m="1" x="22"/>
        <item m="1" x="49"/>
        <item m="1" x="24"/>
        <item m="1" x="81"/>
        <item m="1" x="74"/>
        <item m="1" x="23"/>
        <item m="1" x="21"/>
        <item m="1" x="66"/>
        <item m="1" x="75"/>
        <item m="1" x="11"/>
        <item m="1" x="29"/>
        <item m="1" x="42"/>
        <item m="1" x="63"/>
        <item m="1" x="80"/>
        <item m="1" x="12"/>
        <item m="1" x="39"/>
        <item m="1" x="43"/>
        <item m="1" x="67"/>
        <item m="1" x="46"/>
        <item m="1" x="17"/>
        <item m="1" x="34"/>
        <item m="1" x="54"/>
        <item m="1" x="35"/>
        <item m="1" x="55"/>
        <item m="1" x="36"/>
        <item m="1" x="56"/>
        <item m="1" x="37"/>
        <item m="1" x="57"/>
        <item m="1" x="38"/>
        <item m="1" x="58"/>
        <item m="1" x="5"/>
        <item x="0"/>
        <item x="1"/>
        <item x="2"/>
        <item x="3"/>
      </items>
    </pivotField>
    <pivotField axis="axisRow" compact="0" outline="0" showAll="0" defaultSubtotal="0">
      <items count="7">
        <item x="0"/>
        <item x="1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0"/>
      <x v="1"/>
      <x v="2"/>
    </i>
    <i r="1">
      <x v="79"/>
      <x/>
      <x/>
    </i>
    <i r="1">
      <x v="80"/>
      <x v="1"/>
      <x/>
    </i>
    <i r="1">
      <x v="81"/>
      <x v="3"/>
      <x v="1"/>
    </i>
    <i r="1">
      <x v="82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351" tableType="queryTable" totalsRowShown="0">
  <autoFilter ref="A1:Y351" xr:uid="{C3D003CA-1AFF-426C-A03D-D3AF5760DF1A}"/>
  <sortState xmlns:xlrd2="http://schemas.microsoft.com/office/spreadsheetml/2017/richdata2" ref="A2:Y351">
    <sortCondition ref="D1:D35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6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5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4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3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2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1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0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59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58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57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6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5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4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3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251" tableType="queryTable" totalsRowShown="0">
  <autoFilter ref="A1:U25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2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1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0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9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8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47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46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5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4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251" tableType="queryTable" totalsRowShown="0">
  <autoFilter ref="A1:P25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3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2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41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0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9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38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37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36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69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68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67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4.5" x14ac:dyDescent="0.35"/>
  <cols>
    <col min="1" max="1" width="15.26953125" bestFit="1" customWidth="1"/>
    <col min="2" max="2" width="80.7265625" bestFit="1" customWidth="1"/>
    <col min="3" max="3" width="17.81640625" bestFit="1" customWidth="1"/>
    <col min="4" max="4" width="11.54296875" bestFit="1" customWidth="1"/>
    <col min="5" max="5" width="22.1796875" bestFit="1" customWidth="1"/>
    <col min="6" max="6" width="23.6328125" bestFit="1" customWidth="1"/>
    <col min="7" max="7" width="19" bestFit="1" customWidth="1"/>
    <col min="8" max="10" width="19.453125" bestFit="1" customWidth="1"/>
    <col min="11" max="11" width="19.453125" customWidth="1"/>
  </cols>
  <sheetData>
    <row r="1" spans="1:7" x14ac:dyDescent="0.3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5">
      <c r="A2" t="s">
        <v>66</v>
      </c>
      <c r="B2" t="s">
        <v>68</v>
      </c>
      <c r="C2" t="s">
        <v>69</v>
      </c>
      <c r="D2">
        <v>3</v>
      </c>
      <c r="E2">
        <v>50</v>
      </c>
      <c r="F2">
        <v>10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9"/>
  <sheetViews>
    <sheetView tabSelected="1" workbookViewId="0"/>
  </sheetViews>
  <sheetFormatPr defaultRowHeight="14.5" x14ac:dyDescent="0.35"/>
  <cols>
    <col min="1" max="1" width="33.1796875" customWidth="1"/>
    <col min="2" max="2" width="28.6328125" bestFit="1" customWidth="1"/>
    <col min="3" max="3" width="12.54296875" bestFit="1" customWidth="1"/>
    <col min="4" max="4" width="8.7265625" bestFit="1" customWidth="1"/>
    <col min="5" max="5" width="28.08984375" bestFit="1" customWidth="1"/>
    <col min="6" max="6" width="19.36328125" bestFit="1" customWidth="1"/>
    <col min="7" max="7" width="11.81640625" bestFit="1" customWidth="1"/>
    <col min="8" max="9" width="26.1796875" bestFit="1" customWidth="1"/>
    <col min="10" max="10" width="26.54296875" bestFit="1" customWidth="1"/>
    <col min="11" max="11" width="15.7265625" bestFit="1" customWidth="1"/>
    <col min="12" max="12" width="16.08984375" bestFit="1" customWidth="1"/>
    <col min="13" max="13" width="28.7265625" bestFit="1" customWidth="1"/>
    <col min="14" max="14" width="27.6328125" bestFit="1" customWidth="1"/>
    <col min="15" max="15" width="18.6328125" bestFit="1" customWidth="1"/>
    <col min="16" max="16" width="12" bestFit="1" customWidth="1"/>
    <col min="17" max="17" width="12.54296875" bestFit="1" customWidth="1"/>
    <col min="18" max="18" width="8.7265625" bestFit="1" customWidth="1"/>
    <col min="19" max="19" width="28.08984375" bestFit="1" customWidth="1"/>
    <col min="20" max="20" width="11.81640625" bestFit="1" customWidth="1"/>
    <col min="21" max="21" width="26.1796875" bestFit="1" customWidth="1"/>
    <col min="22" max="22" width="21.26953125" bestFit="1" customWidth="1"/>
    <col min="23" max="23" width="21.6328125" bestFit="1" customWidth="1"/>
    <col min="24" max="24" width="15.7265625" bestFit="1" customWidth="1"/>
    <col min="25" max="25" width="16.08984375" bestFit="1" customWidth="1"/>
    <col min="26" max="26" width="16.36328125" bestFit="1" customWidth="1"/>
    <col min="27" max="27" width="20.6328125" bestFit="1" customWidth="1"/>
    <col min="28" max="28" width="24.6328125" bestFit="1" customWidth="1"/>
    <col min="29" max="29" width="12" bestFit="1" customWidth="1"/>
    <col min="30" max="30" width="8.7265625" bestFit="1" customWidth="1"/>
    <col min="31" max="31" width="24.26953125" bestFit="1" customWidth="1"/>
    <col min="32" max="32" width="10" bestFit="1" customWidth="1"/>
    <col min="33" max="33" width="28.81640625" bestFit="1" customWidth="1"/>
    <col min="34" max="34" width="19.1796875" bestFit="1" customWidth="1"/>
    <col min="35" max="35" width="19.54296875" bestFit="1" customWidth="1"/>
    <col min="36" max="36" width="19.90625" bestFit="1" customWidth="1"/>
    <col min="37" max="37" width="32.36328125" bestFit="1" customWidth="1"/>
    <col min="38" max="38" width="24.6328125" bestFit="1" customWidth="1"/>
    <col min="39" max="39" width="12" bestFit="1" customWidth="1"/>
    <col min="40" max="40" width="8.7265625" bestFit="1" customWidth="1"/>
    <col min="41" max="41" width="24.26953125" bestFit="1" customWidth="1"/>
    <col min="42" max="42" width="11.81640625" bestFit="1" customWidth="1"/>
    <col min="43" max="43" width="28.81640625" bestFit="1" customWidth="1"/>
    <col min="44" max="44" width="19.1796875" bestFit="1" customWidth="1"/>
    <col min="45" max="45" width="19.54296875" bestFit="1" customWidth="1"/>
    <col min="46" max="46" width="19.90625" bestFit="1" customWidth="1"/>
    <col min="47" max="47" width="14.90625" bestFit="1" customWidth="1"/>
    <col min="48" max="48" width="20.6328125" bestFit="1" customWidth="1"/>
    <col min="49" max="49" width="26.36328125" bestFit="1" customWidth="1"/>
    <col min="50" max="50" width="8.7265625" bestFit="1" customWidth="1"/>
    <col min="51" max="51" width="25.81640625" bestFit="1" customWidth="1"/>
    <col min="52" max="52" width="26.6328125" bestFit="1" customWidth="1"/>
    <col min="53" max="53" width="27" bestFit="1" customWidth="1"/>
    <col min="54" max="54" width="24.90625" bestFit="1" customWidth="1"/>
    <col min="55" max="55" width="29.1796875" bestFit="1" customWidth="1"/>
    <col min="56" max="56" width="31.90625" bestFit="1" customWidth="1"/>
    <col min="57" max="57" width="21.81640625" bestFit="1" customWidth="1"/>
  </cols>
  <sheetData>
    <row r="1" spans="1:52" ht="18.5" x14ac:dyDescent="0.4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5">
      <c r="A3" t="s">
        <v>66</v>
      </c>
      <c r="B3" t="s">
        <v>70</v>
      </c>
      <c r="C3" t="s">
        <v>71</v>
      </c>
      <c r="D3" t="s">
        <v>72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3.62</v>
      </c>
      <c r="O3" t="s">
        <v>66</v>
      </c>
      <c r="P3" t="s">
        <v>70</v>
      </c>
      <c r="Q3" t="s">
        <v>81</v>
      </c>
      <c r="R3" t="s">
        <v>72</v>
      </c>
      <c r="S3" s="5">
        <v>2.1996658161417075</v>
      </c>
      <c r="T3" s="5">
        <v>0.34088272804883424</v>
      </c>
      <c r="U3" s="5">
        <v>1.1994598865431718</v>
      </c>
      <c r="V3" s="5">
        <v>0.70499985227053297</v>
      </c>
      <c r="W3" s="5">
        <v>6.3083923025689197</v>
      </c>
      <c r="X3" s="5">
        <v>0</v>
      </c>
      <c r="Y3" s="5">
        <v>10</v>
      </c>
      <c r="AA3" t="s">
        <v>98</v>
      </c>
      <c r="AB3" t="s">
        <v>98</v>
      </c>
      <c r="AC3" t="s">
        <v>98</v>
      </c>
      <c r="AD3" t="s">
        <v>98</v>
      </c>
      <c r="AE3" s="5"/>
      <c r="AF3" s="5"/>
      <c r="AG3" s="5"/>
      <c r="AH3" s="5"/>
      <c r="AI3" s="5"/>
      <c r="AK3" t="s">
        <v>66</v>
      </c>
      <c r="AL3" t="s">
        <v>96</v>
      </c>
      <c r="AM3" t="s">
        <v>91</v>
      </c>
      <c r="AN3" t="s">
        <v>97</v>
      </c>
      <c r="AO3" s="5">
        <v>3.62</v>
      </c>
      <c r="AP3" s="5">
        <v>0.22155603025712986</v>
      </c>
      <c r="AQ3" s="5">
        <v>0.77958649426527116</v>
      </c>
      <c r="AR3" s="5">
        <v>2</v>
      </c>
      <c r="AS3" s="5">
        <v>5</v>
      </c>
      <c r="AU3" t="s">
        <v>98</v>
      </c>
      <c r="AV3" t="s">
        <v>98</v>
      </c>
      <c r="AW3" t="s">
        <v>98</v>
      </c>
      <c r="AX3" t="s">
        <v>98</v>
      </c>
      <c r="AY3" s="4"/>
      <c r="AZ3" s="4"/>
    </row>
    <row r="4" spans="1:52" x14ac:dyDescent="0.35">
      <c r="C4" t="s">
        <v>73</v>
      </c>
      <c r="D4" t="s">
        <v>72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3.62</v>
      </c>
      <c r="P4" t="s">
        <v>78</v>
      </c>
      <c r="Q4" t="s">
        <v>82</v>
      </c>
      <c r="R4" t="s">
        <v>80</v>
      </c>
      <c r="S4" s="5">
        <v>1.2732860367273062</v>
      </c>
      <c r="T4" s="5">
        <v>0.32337907617258832</v>
      </c>
      <c r="U4" s="5">
        <v>1.137870000737736</v>
      </c>
      <c r="V4" s="5">
        <v>0</v>
      </c>
      <c r="W4" s="5">
        <v>5.3083923025689197</v>
      </c>
      <c r="X4" s="5">
        <v>0</v>
      </c>
      <c r="Y4" s="5">
        <v>9</v>
      </c>
      <c r="AL4" t="s">
        <v>88</v>
      </c>
      <c r="AM4" t="s">
        <v>89</v>
      </c>
      <c r="AN4" t="s">
        <v>72</v>
      </c>
      <c r="AO4" s="5">
        <v>6.48</v>
      </c>
      <c r="AP4" s="5">
        <v>0.51110303469648288</v>
      </c>
      <c r="AQ4" s="5">
        <v>1.7984119979264248</v>
      </c>
      <c r="AR4" s="5">
        <v>3</v>
      </c>
      <c r="AS4" s="5">
        <v>13</v>
      </c>
    </row>
    <row r="5" spans="1:52" x14ac:dyDescent="0.35">
      <c r="C5" t="s">
        <v>74</v>
      </c>
      <c r="D5" t="s">
        <v>72</v>
      </c>
      <c r="E5" s="5">
        <v>3.5363894499532775</v>
      </c>
      <c r="F5" s="5">
        <v>1</v>
      </c>
      <c r="G5" s="5">
        <v>0.33439837052280896</v>
      </c>
      <c r="H5" s="5">
        <v>1.1766434570133149</v>
      </c>
      <c r="I5" s="5">
        <v>1.6342264652107701</v>
      </c>
      <c r="J5" s="5">
        <v>6.5527373550837904</v>
      </c>
      <c r="K5" s="5">
        <v>0.58847912081681497</v>
      </c>
      <c r="L5" s="5">
        <v>8.7476494546828292</v>
      </c>
      <c r="M5" s="5">
        <v>3.62</v>
      </c>
      <c r="P5" t="s">
        <v>83</v>
      </c>
      <c r="Q5" t="s">
        <v>84</v>
      </c>
      <c r="R5" t="s">
        <v>85</v>
      </c>
      <c r="S5" s="5">
        <v>0.92637977941440086</v>
      </c>
      <c r="T5" s="5">
        <v>3.350588705034975E-2</v>
      </c>
      <c r="U5" s="5">
        <v>0.11789675502181338</v>
      </c>
      <c r="V5" s="5">
        <v>0.60846830422583797</v>
      </c>
      <c r="W5" s="5">
        <v>1</v>
      </c>
      <c r="X5" s="5">
        <v>0</v>
      </c>
      <c r="Y5" s="5">
        <v>1</v>
      </c>
      <c r="AL5" t="s">
        <v>90</v>
      </c>
      <c r="AM5" t="s">
        <v>91</v>
      </c>
      <c r="AN5" t="s">
        <v>72</v>
      </c>
      <c r="AO5" s="5">
        <v>3.62</v>
      </c>
      <c r="AP5" s="5">
        <v>0.22155603025712986</v>
      </c>
      <c r="AQ5" s="5">
        <v>0.77958649426527116</v>
      </c>
      <c r="AR5" s="5">
        <v>2</v>
      </c>
      <c r="AS5" s="5">
        <v>5</v>
      </c>
    </row>
    <row r="6" spans="1:52" x14ac:dyDescent="0.35">
      <c r="C6" t="s">
        <v>75</v>
      </c>
      <c r="D6" t="s">
        <v>72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3.62</v>
      </c>
      <c r="Q6" t="s">
        <v>86</v>
      </c>
      <c r="R6" t="s">
        <v>85</v>
      </c>
      <c r="S6" s="5">
        <v>0.92637977941440086</v>
      </c>
      <c r="T6" s="5">
        <v>3.350588705034975E-2</v>
      </c>
      <c r="U6" s="5">
        <v>0.11789675502181338</v>
      </c>
      <c r="V6" s="5">
        <v>0.60846830422583797</v>
      </c>
      <c r="W6" s="5">
        <v>1</v>
      </c>
      <c r="X6" s="5">
        <v>0</v>
      </c>
      <c r="Y6" s="5">
        <v>1</v>
      </c>
      <c r="AL6" t="s">
        <v>92</v>
      </c>
      <c r="AM6" t="s">
        <v>93</v>
      </c>
      <c r="AN6" t="s">
        <v>85</v>
      </c>
      <c r="AO6" s="5">
        <v>4.58</v>
      </c>
      <c r="AP6" s="5">
        <v>0.22303901890225239</v>
      </c>
      <c r="AQ6" s="5">
        <v>0.78480466827545059</v>
      </c>
      <c r="AR6" s="5">
        <v>3</v>
      </c>
      <c r="AS6" s="5">
        <v>6</v>
      </c>
    </row>
    <row r="7" spans="1:52" x14ac:dyDescent="0.35">
      <c r="C7" t="s">
        <v>76</v>
      </c>
      <c r="D7" t="s">
        <v>72</v>
      </c>
      <c r="E7" s="5">
        <v>2.3123810058270009</v>
      </c>
      <c r="F7" s="5">
        <v>1</v>
      </c>
      <c r="G7" s="5">
        <v>0.13566283623888314</v>
      </c>
      <c r="H7" s="5">
        <v>0.47735516285795621</v>
      </c>
      <c r="I7" s="5">
        <v>1.3773415743205399</v>
      </c>
      <c r="J7" s="5">
        <v>3.3139161730180202</v>
      </c>
      <c r="K7" s="5">
        <v>0.58847912081681497</v>
      </c>
      <c r="L7" s="5">
        <v>4.9756405925629998</v>
      </c>
      <c r="M7" s="5">
        <v>3.62</v>
      </c>
      <c r="Q7" t="s">
        <v>87</v>
      </c>
      <c r="R7" t="s">
        <v>85</v>
      </c>
      <c r="S7" s="5">
        <v>1</v>
      </c>
      <c r="T7" s="5">
        <v>0</v>
      </c>
      <c r="U7" s="5">
        <v>0</v>
      </c>
      <c r="V7" s="5">
        <v>1</v>
      </c>
      <c r="W7" s="5">
        <v>1</v>
      </c>
      <c r="X7" s="5">
        <v>1</v>
      </c>
      <c r="Y7" s="5">
        <v>1</v>
      </c>
      <c r="AL7" t="s">
        <v>94</v>
      </c>
      <c r="AM7" t="s">
        <v>95</v>
      </c>
      <c r="AN7" t="s">
        <v>85</v>
      </c>
      <c r="AO7" s="5">
        <v>0.92637977941440086</v>
      </c>
      <c r="AP7" s="5">
        <v>3.350588705034975E-2</v>
      </c>
      <c r="AQ7" s="5">
        <v>0.11789675502181338</v>
      </c>
      <c r="AR7" s="5">
        <v>0.60846830422583797</v>
      </c>
      <c r="AS7" s="5">
        <v>1</v>
      </c>
    </row>
    <row r="8" spans="1:52" x14ac:dyDescent="0.35">
      <c r="C8" t="s">
        <v>77</v>
      </c>
      <c r="D8" t="s">
        <v>72</v>
      </c>
      <c r="E8" s="5">
        <v>1.2240084441262762</v>
      </c>
      <c r="F8" s="5">
        <v>1</v>
      </c>
      <c r="G8" s="5">
        <v>0.2554017613968404</v>
      </c>
      <c r="H8" s="5">
        <v>0.89867905452837749</v>
      </c>
      <c r="I8" s="5">
        <v>0</v>
      </c>
      <c r="J8" s="5">
        <v>3.4345522286517598</v>
      </c>
      <c r="K8" s="5">
        <v>0</v>
      </c>
      <c r="L8" s="5">
        <v>6.7563093676697896</v>
      </c>
      <c r="M8" s="5">
        <v>3.62</v>
      </c>
    </row>
    <row r="9" spans="1:52" x14ac:dyDescent="0.35">
      <c r="B9" t="s">
        <v>78</v>
      </c>
      <c r="C9" t="s">
        <v>79</v>
      </c>
      <c r="D9" t="s">
        <v>80</v>
      </c>
      <c r="E9" s="5">
        <v>1.6032171272413107</v>
      </c>
      <c r="F9" s="5">
        <v>1</v>
      </c>
      <c r="G9" s="5">
        <v>0.31104636929981899</v>
      </c>
      <c r="H9" s="5">
        <v>1.0944750558807383</v>
      </c>
      <c r="I9" s="5">
        <v>0</v>
      </c>
      <c r="J9" s="5">
        <v>3.8977138394719901</v>
      </c>
      <c r="K9" s="5">
        <v>0</v>
      </c>
      <c r="L9" s="5">
        <v>7.95545419566559</v>
      </c>
      <c r="M9" s="5">
        <v>4.58</v>
      </c>
    </row>
  </sheetData>
  <dataConsolidate/>
  <conditionalFormatting pivot="1" sqref="G3:G9">
    <cfRule type="expression" dxfId="31" priority="14">
      <formula>G3=200000000000000000000</formula>
    </cfRule>
  </conditionalFormatting>
  <conditionalFormatting pivot="1" sqref="T3:T7">
    <cfRule type="expression" dxfId="30" priority="13">
      <formula>T3=200000000000000000000</formula>
    </cfRule>
  </conditionalFormatting>
  <conditionalFormatting pivot="1" sqref="T3:T7">
    <cfRule type="expression" dxfId="29" priority="12">
      <formula>T3=300000000000000000000</formula>
    </cfRule>
  </conditionalFormatting>
  <conditionalFormatting pivot="1" sqref="G3:G9">
    <cfRule type="expression" dxfId="28" priority="11">
      <formula>G3=300000000000000000000</formula>
    </cfRule>
  </conditionalFormatting>
  <conditionalFormatting pivot="1" sqref="F3:F9">
    <cfRule type="expression" dxfId="27" priority="10">
      <formula>F3=0</formula>
    </cfRule>
  </conditionalFormatting>
  <conditionalFormatting pivot="1" sqref="F3:F9">
    <cfRule type="expression" dxfId="26" priority="9">
      <formula>F3=1</formula>
    </cfRule>
  </conditionalFormatting>
  <conditionalFormatting pivot="1" sqref="T3:T7">
    <cfRule type="expression" dxfId="25" priority="8">
      <formula>T3=400000000000000000000</formula>
    </cfRule>
  </conditionalFormatting>
  <conditionalFormatting pivot="1" sqref="AP3:AP7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9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351"/>
  <sheetViews>
    <sheetView workbookViewId="0">
      <selection activeCell="A2" sqref="A2:K6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5" width="12.36328125" bestFit="1" customWidth="1"/>
    <col min="6" max="6" width="8.7265625" bestFit="1" customWidth="1"/>
    <col min="7" max="7" width="11.81640625" bestFit="1" customWidth="1"/>
    <col min="8" max="8" width="22.1796875" bestFit="1" customWidth="1"/>
    <col min="9" max="10" width="11.81640625" bestFit="1" customWidth="1"/>
    <col min="11" max="11" width="21.1796875" bestFit="1" customWidth="1"/>
    <col min="12" max="12" width="43.90625" bestFit="1" customWidth="1"/>
    <col min="13" max="13" width="16.08984375" bestFit="1" customWidth="1"/>
    <col min="14" max="14" width="18.6328125" bestFit="1" customWidth="1"/>
    <col min="15" max="15" width="16.7265625" bestFit="1" customWidth="1"/>
    <col min="16" max="16" width="19" bestFit="1" customWidth="1"/>
    <col min="17" max="17" width="11.81640625" bestFit="1" customWidth="1"/>
    <col min="18" max="18" width="18" bestFit="1" customWidth="1"/>
    <col min="19" max="19" width="18.36328125" bestFit="1" customWidth="1"/>
    <col min="20" max="20" width="17.1796875" bestFit="1" customWidth="1"/>
    <col min="21" max="21" width="17.54296875" bestFit="1" customWidth="1"/>
    <col min="22" max="22" width="28.08984375" bestFit="1" customWidth="1"/>
    <col min="23" max="23" width="19.7265625" bestFit="1" customWidth="1"/>
    <col min="24" max="24" width="22.7265625" bestFit="1" customWidth="1"/>
    <col min="25" max="25" width="21.1796875" bestFit="1" customWidth="1"/>
  </cols>
  <sheetData>
    <row r="1" spans="1:2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5">
      <c r="A2" t="s">
        <v>66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0</v>
      </c>
      <c r="H2">
        <v>2E+20</v>
      </c>
      <c r="I2">
        <v>0</v>
      </c>
      <c r="J2">
        <v>0</v>
      </c>
      <c r="K2">
        <v>4</v>
      </c>
      <c r="L2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50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3.62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50</v>
      </c>
      <c r="Y2">
        <f>IF(DiscreteStatsTable[[#This Row],[RepsRequested]]=DiscreteStatsTable[[#This Row],[RepsWithStatObserved]],1,0)</f>
        <v>1</v>
      </c>
    </row>
    <row r="3" spans="1:25" x14ac:dyDescent="0.35">
      <c r="A3" t="s">
        <v>66</v>
      </c>
      <c r="B3" t="s">
        <v>69</v>
      </c>
      <c r="C3">
        <v>1</v>
      </c>
      <c r="D3" t="s">
        <v>70</v>
      </c>
      <c r="E3" t="s">
        <v>73</v>
      </c>
      <c r="F3" t="s">
        <v>72</v>
      </c>
      <c r="G3">
        <v>0</v>
      </c>
      <c r="H3">
        <v>2E+20</v>
      </c>
      <c r="I3">
        <v>0</v>
      </c>
      <c r="J3">
        <v>0</v>
      </c>
      <c r="K3">
        <v>4</v>
      </c>
      <c r="L3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50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3.62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50</v>
      </c>
      <c r="Y3">
        <f>IF(DiscreteStatsTable[[#This Row],[RepsRequested]]=DiscreteStatsTable[[#This Row],[RepsWithStatObserved]],1,0)</f>
        <v>1</v>
      </c>
    </row>
    <row r="4" spans="1:25" x14ac:dyDescent="0.35">
      <c r="A4" t="s">
        <v>66</v>
      </c>
      <c r="B4" t="s">
        <v>69</v>
      </c>
      <c r="C4">
        <v>1</v>
      </c>
      <c r="D4" t="s">
        <v>70</v>
      </c>
      <c r="E4" t="s">
        <v>74</v>
      </c>
      <c r="F4" t="s">
        <v>72</v>
      </c>
      <c r="G4">
        <v>4.1635783160239797</v>
      </c>
      <c r="H4">
        <v>2E+20</v>
      </c>
      <c r="I4">
        <v>1.84480257228347</v>
      </c>
      <c r="J4">
        <v>8.0061743568369792</v>
      </c>
      <c r="K4">
        <v>4</v>
      </c>
      <c r="L4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50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3.5363894499532775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1.1766434570133149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0.33439837052280896</v>
      </c>
      <c r="R4" cm="1">
        <f t="array" ref="R4">MIN(IF((DiscreteStatsTable[GroupByKey]=DiscreteStatsTable[[#This Row],[GroupByKey]]),(DiscreteStatsTable[GroupByKey]=DiscreteStatsTable[[#This Row],[GroupByKey]])*DiscreteStatsTable[Average]))</f>
        <v>1.6342264652107701</v>
      </c>
      <c r="S4" cm="1">
        <f t="array" ref="S4">MAX(IF((DiscreteStatsTable[GroupByKey]=DiscreteStatsTable[[#This Row],[GroupByKey]]),(DiscreteStatsTable[GroupByKey]=DiscreteStatsTable[[#This Row],[GroupByKey]])*DiscreteStatsTable[Average]))</f>
        <v>6.5527373550837904</v>
      </c>
      <c r="T4" cm="1">
        <f t="array" ref="T4">MIN(IF((DiscreteStatsTable[GroupByKey]=DiscreteStatsTable[[#This Row],[GroupByKey]]),(DiscreteStatsTable[GroupByKey]=DiscreteStatsTable[[#This Row],[GroupByKey]])*DiscreteStatsTable[Minimum]))</f>
        <v>0.58847912081681497</v>
      </c>
      <c r="U4" cm="1">
        <f t="array" ref="U4">MAX(IF((DiscreteStatsTable[GroupByKey]=DiscreteStatsTable[[#This Row],[GroupByKey]]),(DiscreteStatsTable[GroupByKey]=DiscreteStatsTable[[#This Row],[GroupByKey]])*DiscreteStatsTable[Maximum]))</f>
        <v>8.7476494546828292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3.62</v>
      </c>
      <c r="W4">
        <f>IF((DiscreteStatsTable[[#This Row],[RepsRequested]]&gt;1),DiscreteStatsTable[[#This Row],[HalfWidth]],DiscreteStatsTable[[#This Row],[BatchMeansHalfWidth]])</f>
        <v>0.33439837052280896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50</v>
      </c>
      <c r="Y4">
        <f>IF(DiscreteStatsTable[[#This Row],[RepsRequested]]=DiscreteStatsTable[[#This Row],[RepsWithStatObserved]],1,0)</f>
        <v>1</v>
      </c>
    </row>
    <row r="5" spans="1:25" x14ac:dyDescent="0.35">
      <c r="A5" t="s">
        <v>66</v>
      </c>
      <c r="B5" t="s">
        <v>69</v>
      </c>
      <c r="C5">
        <v>1</v>
      </c>
      <c r="D5" t="s">
        <v>70</v>
      </c>
      <c r="E5" t="s">
        <v>75</v>
      </c>
      <c r="F5" t="s">
        <v>72</v>
      </c>
      <c r="G5">
        <v>0</v>
      </c>
      <c r="H5">
        <v>2E+20</v>
      </c>
      <c r="I5">
        <v>0</v>
      </c>
      <c r="J5">
        <v>0</v>
      </c>
      <c r="K5">
        <v>4</v>
      </c>
      <c r="L5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50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3.62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50</v>
      </c>
      <c r="Y5">
        <f>IF(DiscreteStatsTable[[#This Row],[RepsRequested]]=DiscreteStatsTable[[#This Row],[RepsWithStatObserved]],1,0)</f>
        <v>1</v>
      </c>
    </row>
    <row r="6" spans="1:25" x14ac:dyDescent="0.35">
      <c r="A6" t="s">
        <v>66</v>
      </c>
      <c r="B6" t="s">
        <v>69</v>
      </c>
      <c r="C6">
        <v>1</v>
      </c>
      <c r="D6" t="s">
        <v>70</v>
      </c>
      <c r="E6" t="s">
        <v>76</v>
      </c>
      <c r="F6" t="s">
        <v>72</v>
      </c>
      <c r="G6">
        <v>2.2671516314848699</v>
      </c>
      <c r="H6">
        <v>2E+20</v>
      </c>
      <c r="I6">
        <v>0.97998077450813104</v>
      </c>
      <c r="J6">
        <v>3.5851017599700601</v>
      </c>
      <c r="K6">
        <v>4</v>
      </c>
      <c r="L6" t="str">
        <f>DiscreteStatsTable[[#This Row],[ProjectName]]&amp;DiscreteStatsTable[[#This Row],[Name]]&amp;DiscreteStatsTable[[#This Row],[Type]]&amp;DiscreteStatsTable[[#This Row],[Source]]</f>
        <v>Unnamed ProjectArquivosVA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50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2.3123810058270009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0.47735516285795621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0.13566283623888314</v>
      </c>
      <c r="R6" cm="1">
        <f t="array" ref="R6">MIN(IF((DiscreteStatsTable[GroupByKey]=DiscreteStatsTable[[#This Row],[GroupByKey]]),(DiscreteStatsTable[GroupByKey]=DiscreteStatsTable[[#This Row],[GroupByKey]])*DiscreteStatsTable[Average]))</f>
        <v>1.3773415743205399</v>
      </c>
      <c r="S6" cm="1">
        <f t="array" ref="S6">MAX(IF((DiscreteStatsTable[GroupByKey]=DiscreteStatsTable[[#This Row],[GroupByKey]]),(DiscreteStatsTable[GroupByKey]=DiscreteStatsTable[[#This Row],[GroupByKey]])*DiscreteStatsTable[Average]))</f>
        <v>3.3139161730180202</v>
      </c>
      <c r="T6" cm="1">
        <f t="array" ref="T6">MIN(IF((DiscreteStatsTable[GroupByKey]=DiscreteStatsTable[[#This Row],[GroupByKey]]),(DiscreteStatsTable[GroupByKey]=DiscreteStatsTable[[#This Row],[GroupByKey]])*DiscreteStatsTable[Minimum]))</f>
        <v>0.58847912081681497</v>
      </c>
      <c r="U6" cm="1">
        <f t="array" ref="U6">MAX(IF((DiscreteStatsTable[GroupByKey]=DiscreteStatsTable[[#This Row],[GroupByKey]]),(DiscreteStatsTable[GroupByKey]=DiscreteStatsTable[[#This Row],[GroupByKey]])*DiscreteStatsTable[Maximum]))</f>
        <v>4.9756405925629998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3.62</v>
      </c>
      <c r="W6">
        <f>IF((DiscreteStatsTable[[#This Row],[RepsRequested]]&gt;1),DiscreteStatsTable[[#This Row],[HalfWidth]],DiscreteStatsTable[[#This Row],[BatchMeansHalfWidth]])</f>
        <v>0.13566283623888314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50</v>
      </c>
      <c r="Y6">
        <f>IF(DiscreteStatsTable[[#This Row],[RepsRequested]]=DiscreteStatsTable[[#This Row],[RepsWithStatObserved]],1,0)</f>
        <v>1</v>
      </c>
    </row>
    <row r="7" spans="1:25" x14ac:dyDescent="0.35">
      <c r="A7" t="s">
        <v>66</v>
      </c>
      <c r="B7" t="s">
        <v>69</v>
      </c>
      <c r="C7">
        <v>1</v>
      </c>
      <c r="D7" t="s">
        <v>70</v>
      </c>
      <c r="E7" t="s">
        <v>77</v>
      </c>
      <c r="F7" t="s">
        <v>72</v>
      </c>
      <c r="G7">
        <v>1.89642668453911</v>
      </c>
      <c r="H7">
        <v>2E+20</v>
      </c>
      <c r="I7">
        <v>0</v>
      </c>
      <c r="J7">
        <v>4.42107259686692</v>
      </c>
      <c r="K7">
        <v>4</v>
      </c>
      <c r="L7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50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1.2240084441262762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0.89867905452837749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0.2554017613968404</v>
      </c>
      <c r="R7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cm="1">
        <f t="array" ref="S7">MAX(IF((DiscreteStatsTable[GroupByKey]=DiscreteStatsTable[[#This Row],[GroupByKey]]),(DiscreteStatsTable[GroupByKey]=DiscreteStatsTable[[#This Row],[GroupByKey]])*DiscreteStatsTable[Average]))</f>
        <v>3.4345522286517598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6.7563093676697896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3.62</v>
      </c>
      <c r="W7">
        <f>IF((DiscreteStatsTable[[#This Row],[RepsRequested]]&gt;1),DiscreteStatsTable[[#This Row],[HalfWidth]],DiscreteStatsTable[[#This Row],[BatchMeansHalfWidth]])</f>
        <v>0.2554017613968404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50</v>
      </c>
      <c r="Y7">
        <f>IF(DiscreteStatsTable[[#This Row],[RepsRequested]]=DiscreteStatsTable[[#This Row],[RepsWithStatObserved]],1,0)</f>
        <v>1</v>
      </c>
    </row>
    <row r="8" spans="1:25" x14ac:dyDescent="0.35">
      <c r="A8" t="s">
        <v>66</v>
      </c>
      <c r="B8" t="s">
        <v>69</v>
      </c>
      <c r="C8">
        <v>2</v>
      </c>
      <c r="D8" t="s">
        <v>70</v>
      </c>
      <c r="E8" t="s">
        <v>71</v>
      </c>
      <c r="F8" t="s">
        <v>72</v>
      </c>
      <c r="G8">
        <v>0</v>
      </c>
      <c r="H8">
        <v>2E+20</v>
      </c>
      <c r="I8">
        <v>0</v>
      </c>
      <c r="J8">
        <v>0</v>
      </c>
      <c r="K8">
        <v>3</v>
      </c>
      <c r="L8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50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3.62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50</v>
      </c>
      <c r="Y8">
        <f>IF(DiscreteStatsTable[[#This Row],[RepsRequested]]=DiscreteStatsTable[[#This Row],[RepsWithStatObserved]],1,0)</f>
        <v>1</v>
      </c>
    </row>
    <row r="9" spans="1:25" x14ac:dyDescent="0.35">
      <c r="A9" t="s">
        <v>66</v>
      </c>
      <c r="B9" t="s">
        <v>69</v>
      </c>
      <c r="C9">
        <v>2</v>
      </c>
      <c r="D9" t="s">
        <v>70</v>
      </c>
      <c r="E9" t="s">
        <v>73</v>
      </c>
      <c r="F9" t="s">
        <v>72</v>
      </c>
      <c r="G9">
        <v>0</v>
      </c>
      <c r="H9">
        <v>2E+20</v>
      </c>
      <c r="I9">
        <v>0</v>
      </c>
      <c r="J9">
        <v>0</v>
      </c>
      <c r="K9">
        <v>3</v>
      </c>
      <c r="L9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50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3.62</v>
      </c>
      <c r="W9">
        <f>IF((DiscreteStatsTable[[#This Row],[RepsRequested]]&gt;1),DiscreteStatsTable[[#This Row],[HalfWidth]],DiscreteStatsTable[[#This Row],[BatchMeansHalfWidth]])</f>
        <v>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50</v>
      </c>
      <c r="Y9">
        <f>IF(DiscreteStatsTable[[#This Row],[RepsRequested]]=DiscreteStatsTable[[#This Row],[RepsWithStatObserved]],1,0)</f>
        <v>1</v>
      </c>
    </row>
    <row r="10" spans="1:25" x14ac:dyDescent="0.35">
      <c r="A10" t="s">
        <v>66</v>
      </c>
      <c r="B10" t="s">
        <v>69</v>
      </c>
      <c r="C10">
        <v>2</v>
      </c>
      <c r="D10" t="s">
        <v>70</v>
      </c>
      <c r="E10" t="s">
        <v>74</v>
      </c>
      <c r="F10" t="s">
        <v>72</v>
      </c>
      <c r="G10">
        <v>6.5527373550837904</v>
      </c>
      <c r="H10">
        <v>2E+20</v>
      </c>
      <c r="I10">
        <v>3.76223114259854</v>
      </c>
      <c r="J10">
        <v>8.0244026683825904</v>
      </c>
      <c r="K10">
        <v>3</v>
      </c>
      <c r="L10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50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3.5363894499532775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1.1766434570133149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0.33439837052280896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1.6342264652107701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6.5527373550837904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0.58847912081681497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8.7476494546828292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3.62</v>
      </c>
      <c r="W10">
        <f>IF((DiscreteStatsTable[[#This Row],[RepsRequested]]&gt;1),DiscreteStatsTable[[#This Row],[HalfWidth]],DiscreteStatsTable[[#This Row],[BatchMeansHalfWidth]])</f>
        <v>0.33439837052280896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50</v>
      </c>
      <c r="Y10">
        <f>IF(DiscreteStatsTable[[#This Row],[RepsRequested]]=DiscreteStatsTable[[#This Row],[RepsWithStatObserved]],1,0)</f>
        <v>1</v>
      </c>
    </row>
    <row r="11" spans="1:25" x14ac:dyDescent="0.35">
      <c r="A11" t="s">
        <v>66</v>
      </c>
      <c r="B11" t="s">
        <v>69</v>
      </c>
      <c r="C11">
        <v>2</v>
      </c>
      <c r="D11" t="s">
        <v>70</v>
      </c>
      <c r="E11" t="s">
        <v>75</v>
      </c>
      <c r="F11" t="s">
        <v>72</v>
      </c>
      <c r="G11">
        <v>0</v>
      </c>
      <c r="H11">
        <v>2E+20</v>
      </c>
      <c r="I11">
        <v>0</v>
      </c>
      <c r="J11">
        <v>0</v>
      </c>
      <c r="K11">
        <v>3</v>
      </c>
      <c r="L11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50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3.62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50</v>
      </c>
      <c r="Y11">
        <f>IF(DiscreteStatsTable[[#This Row],[RepsRequested]]=DiscreteStatsTable[[#This Row],[RepsWithStatObserved]],1,0)</f>
        <v>1</v>
      </c>
    </row>
    <row r="12" spans="1:25" x14ac:dyDescent="0.35">
      <c r="A12" t="s">
        <v>66</v>
      </c>
      <c r="B12" t="s">
        <v>69</v>
      </c>
      <c r="C12">
        <v>2</v>
      </c>
      <c r="D12" t="s">
        <v>70</v>
      </c>
      <c r="E12" t="s">
        <v>76</v>
      </c>
      <c r="F12" t="s">
        <v>72</v>
      </c>
      <c r="G12">
        <v>3.1181851264320302</v>
      </c>
      <c r="H12">
        <v>2E+20</v>
      </c>
      <c r="I12">
        <v>1.2680933007127999</v>
      </c>
      <c r="J12">
        <v>4.3242309359847502</v>
      </c>
      <c r="K12">
        <v>3</v>
      </c>
      <c r="L12" t="str">
        <f>DiscreteStatsTable[[#This Row],[ProjectName]]&amp;DiscreteStatsTable[[#This Row],[Name]]&amp;DiscreteStatsTable[[#This Row],[Type]]&amp;DiscreteStatsTable[[#This Row],[Source]]</f>
        <v>Unnamed ProjectArquivosVA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50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2.3123810058270009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0.47735516285795621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0.13566283623888314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1.3773415743205399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3.3139161730180202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0.58847912081681497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4.9756405925629998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3.62</v>
      </c>
      <c r="W12">
        <f>IF((DiscreteStatsTable[[#This Row],[RepsRequested]]&gt;1),DiscreteStatsTable[[#This Row],[HalfWidth]],DiscreteStatsTable[[#This Row],[BatchMeansHalfWidth]])</f>
        <v>0.13566283623888314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50</v>
      </c>
      <c r="Y12">
        <f>IF(DiscreteStatsTable[[#This Row],[RepsRequested]]=DiscreteStatsTable[[#This Row],[RepsWithStatObserved]],1,0)</f>
        <v>1</v>
      </c>
    </row>
    <row r="13" spans="1:25" x14ac:dyDescent="0.35">
      <c r="A13" t="s">
        <v>66</v>
      </c>
      <c r="B13" t="s">
        <v>69</v>
      </c>
      <c r="C13">
        <v>2</v>
      </c>
      <c r="D13" t="s">
        <v>70</v>
      </c>
      <c r="E13" t="s">
        <v>77</v>
      </c>
      <c r="F13" t="s">
        <v>72</v>
      </c>
      <c r="G13">
        <v>3.4345522286517598</v>
      </c>
      <c r="H13">
        <v>2E+20</v>
      </c>
      <c r="I13">
        <v>0</v>
      </c>
      <c r="J13">
        <v>6.7563093676697896</v>
      </c>
      <c r="K13">
        <v>3</v>
      </c>
      <c r="L13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50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1.2240084441262762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0.89867905452837749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0.2554017613968404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3.4345522286517598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6.7563093676697896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3.62</v>
      </c>
      <c r="W13">
        <f>IF((DiscreteStatsTable[[#This Row],[RepsRequested]]&gt;1),DiscreteStatsTable[[#This Row],[HalfWidth]],DiscreteStatsTable[[#This Row],[BatchMeansHalfWidth]])</f>
        <v>0.2554017613968404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50</v>
      </c>
      <c r="Y13">
        <f>IF(DiscreteStatsTable[[#This Row],[RepsRequested]]=DiscreteStatsTable[[#This Row],[RepsWithStatObserved]],1,0)</f>
        <v>1</v>
      </c>
    </row>
    <row r="14" spans="1:25" x14ac:dyDescent="0.35">
      <c r="A14" t="s">
        <v>66</v>
      </c>
      <c r="B14" t="s">
        <v>69</v>
      </c>
      <c r="C14">
        <v>3</v>
      </c>
      <c r="D14" t="s">
        <v>70</v>
      </c>
      <c r="E14" t="s">
        <v>71</v>
      </c>
      <c r="F14" t="s">
        <v>72</v>
      </c>
      <c r="G14">
        <v>0</v>
      </c>
      <c r="H14">
        <v>2E+20</v>
      </c>
      <c r="I14">
        <v>0</v>
      </c>
      <c r="J14">
        <v>0</v>
      </c>
      <c r="K14">
        <v>4</v>
      </c>
      <c r="L14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50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3.62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50</v>
      </c>
      <c r="Y14">
        <f>IF(DiscreteStatsTable[[#This Row],[RepsRequested]]=DiscreteStatsTable[[#This Row],[RepsWithStatObserved]],1,0)</f>
        <v>1</v>
      </c>
    </row>
    <row r="15" spans="1:25" x14ac:dyDescent="0.35">
      <c r="A15" t="s">
        <v>66</v>
      </c>
      <c r="B15" t="s">
        <v>69</v>
      </c>
      <c r="C15">
        <v>3</v>
      </c>
      <c r="D15" t="s">
        <v>70</v>
      </c>
      <c r="E15" t="s">
        <v>73</v>
      </c>
      <c r="F15" t="s">
        <v>72</v>
      </c>
      <c r="G15">
        <v>0</v>
      </c>
      <c r="H15">
        <v>2E+20</v>
      </c>
      <c r="I15">
        <v>0</v>
      </c>
      <c r="J15">
        <v>0</v>
      </c>
      <c r="K15">
        <v>4</v>
      </c>
      <c r="L15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50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3.62</v>
      </c>
      <c r="W15">
        <f>IF((DiscreteStatsTable[[#This Row],[RepsRequested]]&gt;1),DiscreteStatsTable[[#This Row],[HalfWidth]],DiscreteStatsTable[[#This Row],[BatchMeansHalfWidth]])</f>
        <v>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50</v>
      </c>
      <c r="Y15">
        <f>IF(DiscreteStatsTable[[#This Row],[RepsRequested]]=DiscreteStatsTable[[#This Row],[RepsWithStatObserved]],1,0)</f>
        <v>1</v>
      </c>
    </row>
    <row r="16" spans="1:25" x14ac:dyDescent="0.35">
      <c r="A16" t="s">
        <v>66</v>
      </c>
      <c r="B16" t="s">
        <v>69</v>
      </c>
      <c r="C16">
        <v>3</v>
      </c>
      <c r="D16" t="s">
        <v>70</v>
      </c>
      <c r="E16" t="s">
        <v>74</v>
      </c>
      <c r="F16" t="s">
        <v>72</v>
      </c>
      <c r="G16">
        <v>3.4074389423768601</v>
      </c>
      <c r="H16">
        <v>2E+20</v>
      </c>
      <c r="I16">
        <v>0.98492986563744001</v>
      </c>
      <c r="J16">
        <v>5.6552599781552901</v>
      </c>
      <c r="K16">
        <v>4</v>
      </c>
      <c r="L16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50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3.5363894499532775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1.1766434570133149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0.33439837052280896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1.6342264652107701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6.5527373550837904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0.58847912081681497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8.7476494546828292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3.62</v>
      </c>
      <c r="W16">
        <f>IF((DiscreteStatsTable[[#This Row],[RepsRequested]]&gt;1),DiscreteStatsTable[[#This Row],[HalfWidth]],DiscreteStatsTable[[#This Row],[BatchMeansHalfWidth]])</f>
        <v>0.33439837052280896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50</v>
      </c>
      <c r="Y16">
        <f>IF(DiscreteStatsTable[[#This Row],[RepsRequested]]=DiscreteStatsTable[[#This Row],[RepsWithStatObserved]],1,0)</f>
        <v>1</v>
      </c>
    </row>
    <row r="17" spans="1:25" x14ac:dyDescent="0.35">
      <c r="A17" t="s">
        <v>66</v>
      </c>
      <c r="B17" t="s">
        <v>69</v>
      </c>
      <c r="C17">
        <v>3</v>
      </c>
      <c r="D17" t="s">
        <v>70</v>
      </c>
      <c r="E17" t="s">
        <v>75</v>
      </c>
      <c r="F17" t="s">
        <v>72</v>
      </c>
      <c r="G17">
        <v>0</v>
      </c>
      <c r="H17">
        <v>2E+20</v>
      </c>
      <c r="I17">
        <v>0</v>
      </c>
      <c r="J17">
        <v>0</v>
      </c>
      <c r="K17">
        <v>4</v>
      </c>
      <c r="L17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50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3.62</v>
      </c>
      <c r="W17">
        <f>IF((DiscreteStatsTable[[#This Row],[RepsRequested]]&gt;1),DiscreteStatsTable[[#This Row],[HalfWidth]],DiscreteStatsTable[[#This Row],[BatchMeansHalfWidth]])</f>
        <v>0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50</v>
      </c>
      <c r="Y17">
        <f>IF(DiscreteStatsTable[[#This Row],[RepsRequested]]=DiscreteStatsTable[[#This Row],[RepsWithStatObserved]],1,0)</f>
        <v>1</v>
      </c>
    </row>
    <row r="18" spans="1:25" x14ac:dyDescent="0.35">
      <c r="A18" t="s">
        <v>66</v>
      </c>
      <c r="B18" t="s">
        <v>69</v>
      </c>
      <c r="C18">
        <v>3</v>
      </c>
      <c r="D18" t="s">
        <v>70</v>
      </c>
      <c r="E18" t="s">
        <v>76</v>
      </c>
      <c r="F18" t="s">
        <v>72</v>
      </c>
      <c r="G18">
        <v>2.0555030133600298</v>
      </c>
      <c r="H18">
        <v>2E+20</v>
      </c>
      <c r="I18">
        <v>0.98492986563744001</v>
      </c>
      <c r="J18">
        <v>3.5277200591084901</v>
      </c>
      <c r="K18">
        <v>4</v>
      </c>
      <c r="L18" t="str">
        <f>DiscreteStatsTable[[#This Row],[ProjectName]]&amp;DiscreteStatsTable[[#This Row],[Name]]&amp;DiscreteStatsTable[[#This Row],[Type]]&amp;DiscreteStatsTable[[#This Row],[Source]]</f>
        <v>Unnamed ProjectArquivosVA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50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2.3123810058270009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0.47735516285795621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0.13566283623888314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1.3773415743205399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3.3139161730180202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0.58847912081681497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4.9756405925629998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3.62</v>
      </c>
      <c r="W18">
        <f>IF((DiscreteStatsTable[[#This Row],[RepsRequested]]&gt;1),DiscreteStatsTable[[#This Row],[HalfWidth]],DiscreteStatsTable[[#This Row],[BatchMeansHalfWidth]])</f>
        <v>0.13566283623888314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50</v>
      </c>
      <c r="Y18">
        <f>IF(DiscreteStatsTable[[#This Row],[RepsRequested]]=DiscreteStatsTable[[#This Row],[RepsWithStatObserved]],1,0)</f>
        <v>1</v>
      </c>
    </row>
    <row r="19" spans="1:25" x14ac:dyDescent="0.35">
      <c r="A19" t="s">
        <v>66</v>
      </c>
      <c r="B19" t="s">
        <v>69</v>
      </c>
      <c r="C19">
        <v>3</v>
      </c>
      <c r="D19" t="s">
        <v>70</v>
      </c>
      <c r="E19" t="s">
        <v>77</v>
      </c>
      <c r="F19" t="s">
        <v>72</v>
      </c>
      <c r="G19">
        <v>1.35193592901684</v>
      </c>
      <c r="H19">
        <v>2E+20</v>
      </c>
      <c r="I19">
        <v>0</v>
      </c>
      <c r="J19">
        <v>3.67941518666836</v>
      </c>
      <c r="K19">
        <v>4</v>
      </c>
      <c r="L19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50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1.2240084441262762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0.89867905452837749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0.2554017613968404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3.4345522286517598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6.7563093676697896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3.62</v>
      </c>
      <c r="W19">
        <f>IF((DiscreteStatsTable[[#This Row],[RepsRequested]]&gt;1),DiscreteStatsTable[[#This Row],[HalfWidth]],DiscreteStatsTable[[#This Row],[BatchMeansHalfWidth]])</f>
        <v>0.2554017613968404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50</v>
      </c>
      <c r="Y19">
        <f>IF(DiscreteStatsTable[[#This Row],[RepsRequested]]=DiscreteStatsTable[[#This Row],[RepsWithStatObserved]],1,0)</f>
        <v>1</v>
      </c>
    </row>
    <row r="20" spans="1:25" x14ac:dyDescent="0.35">
      <c r="A20" t="s">
        <v>66</v>
      </c>
      <c r="B20" t="s">
        <v>69</v>
      </c>
      <c r="C20">
        <v>4</v>
      </c>
      <c r="D20" t="s">
        <v>70</v>
      </c>
      <c r="E20" t="s">
        <v>71</v>
      </c>
      <c r="F20" t="s">
        <v>72</v>
      </c>
      <c r="G20">
        <v>0</v>
      </c>
      <c r="H20">
        <v>2E+20</v>
      </c>
      <c r="I20">
        <v>0</v>
      </c>
      <c r="J20">
        <v>0</v>
      </c>
      <c r="K20">
        <v>3</v>
      </c>
      <c r="L20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50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3.62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50</v>
      </c>
      <c r="Y20">
        <f>IF(DiscreteStatsTable[[#This Row],[RepsRequested]]=DiscreteStatsTable[[#This Row],[RepsWithStatObserved]],1,0)</f>
        <v>1</v>
      </c>
    </row>
    <row r="21" spans="1:25" x14ac:dyDescent="0.35">
      <c r="A21" t="s">
        <v>66</v>
      </c>
      <c r="B21" t="s">
        <v>69</v>
      </c>
      <c r="C21">
        <v>4</v>
      </c>
      <c r="D21" t="s">
        <v>70</v>
      </c>
      <c r="E21" t="s">
        <v>73</v>
      </c>
      <c r="F21" t="s">
        <v>72</v>
      </c>
      <c r="G21">
        <v>0</v>
      </c>
      <c r="H21">
        <v>2E+20</v>
      </c>
      <c r="I21">
        <v>0</v>
      </c>
      <c r="J21">
        <v>0</v>
      </c>
      <c r="K21">
        <v>3</v>
      </c>
      <c r="L21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50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0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3.62</v>
      </c>
      <c r="W21">
        <f>IF((DiscreteStatsTable[[#This Row],[RepsRequested]]&gt;1),DiscreteStatsTable[[#This Row],[HalfWidth]],DiscreteStatsTable[[#This Row],[BatchMeansHalfWidth]])</f>
        <v>0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50</v>
      </c>
      <c r="Y21">
        <f>IF(DiscreteStatsTable[[#This Row],[RepsRequested]]=DiscreteStatsTable[[#This Row],[RepsWithStatObserved]],1,0)</f>
        <v>1</v>
      </c>
    </row>
    <row r="22" spans="1:25" x14ac:dyDescent="0.35">
      <c r="A22" t="s">
        <v>66</v>
      </c>
      <c r="B22" t="s">
        <v>69</v>
      </c>
      <c r="C22">
        <v>4</v>
      </c>
      <c r="D22" t="s">
        <v>70</v>
      </c>
      <c r="E22" t="s">
        <v>74</v>
      </c>
      <c r="F22" t="s">
        <v>72</v>
      </c>
      <c r="G22">
        <v>4.8365053343453397</v>
      </c>
      <c r="H22">
        <v>2E+20</v>
      </c>
      <c r="I22">
        <v>4.4245559357850004</v>
      </c>
      <c r="J22">
        <v>5.1093194746880304</v>
      </c>
      <c r="K22">
        <v>3</v>
      </c>
      <c r="L22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50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3.5363894499532775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1.1766434570133149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0.33439837052280896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1.6342264652107701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6.5527373550837904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0.58847912081681497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8.7476494546828292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3.62</v>
      </c>
      <c r="W22">
        <f>IF((DiscreteStatsTable[[#This Row],[RepsRequested]]&gt;1),DiscreteStatsTable[[#This Row],[HalfWidth]],DiscreteStatsTable[[#This Row],[BatchMeansHalfWidth]])</f>
        <v>0.33439837052280896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50</v>
      </c>
      <c r="Y22">
        <f>IF(DiscreteStatsTable[[#This Row],[RepsRequested]]=DiscreteStatsTable[[#This Row],[RepsWithStatObserved]],1,0)</f>
        <v>1</v>
      </c>
    </row>
    <row r="23" spans="1:25" x14ac:dyDescent="0.35">
      <c r="A23" t="s">
        <v>66</v>
      </c>
      <c r="B23" t="s">
        <v>69</v>
      </c>
      <c r="C23">
        <v>4</v>
      </c>
      <c r="D23" t="s">
        <v>70</v>
      </c>
      <c r="E23" t="s">
        <v>75</v>
      </c>
      <c r="F23" t="s">
        <v>72</v>
      </c>
      <c r="G23">
        <v>0</v>
      </c>
      <c r="H23">
        <v>2E+20</v>
      </c>
      <c r="I23">
        <v>0</v>
      </c>
      <c r="J23">
        <v>0</v>
      </c>
      <c r="K23">
        <v>3</v>
      </c>
      <c r="L23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50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3.62</v>
      </c>
      <c r="W23">
        <f>IF((DiscreteStatsTable[[#This Row],[RepsRequested]]&gt;1),DiscreteStatsTable[[#This Row],[HalfWidth]],DiscreteStatsTable[[#This Row],[BatchMeansHalfWidth]])</f>
        <v>0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50</v>
      </c>
      <c r="Y23">
        <f>IF(DiscreteStatsTable[[#This Row],[RepsRequested]]=DiscreteStatsTable[[#This Row],[RepsWithStatObserved]],1,0)</f>
        <v>1</v>
      </c>
    </row>
    <row r="24" spans="1:25" x14ac:dyDescent="0.35">
      <c r="A24" t="s">
        <v>66</v>
      </c>
      <c r="B24" t="s">
        <v>69</v>
      </c>
      <c r="C24">
        <v>4</v>
      </c>
      <c r="D24" t="s">
        <v>70</v>
      </c>
      <c r="E24" t="s">
        <v>76</v>
      </c>
      <c r="F24" t="s">
        <v>72</v>
      </c>
      <c r="G24">
        <v>3.0407380326881102</v>
      </c>
      <c r="H24">
        <v>2E+20</v>
      </c>
      <c r="I24">
        <v>1.12276356208226</v>
      </c>
      <c r="J24">
        <v>4.9756405925629998</v>
      </c>
      <c r="K24">
        <v>3</v>
      </c>
      <c r="L24" t="str">
        <f>DiscreteStatsTable[[#This Row],[ProjectName]]&amp;DiscreteStatsTable[[#This Row],[Name]]&amp;DiscreteStatsTable[[#This Row],[Type]]&amp;DiscreteStatsTable[[#This Row],[Source]]</f>
        <v>Unnamed ProjectArquivosVA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50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2.3123810058270009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0.47735516285795621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0.13566283623888314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1.3773415743205399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3.3139161730180202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0.58847912081681497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4.9756405925629998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3.62</v>
      </c>
      <c r="W24">
        <f>IF((DiscreteStatsTable[[#This Row],[RepsRequested]]&gt;1),DiscreteStatsTable[[#This Row],[HalfWidth]],DiscreteStatsTable[[#This Row],[BatchMeansHalfWidth]])</f>
        <v>0.13566283623888314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50</v>
      </c>
      <c r="Y24">
        <f>IF(DiscreteStatsTable[[#This Row],[RepsRequested]]=DiscreteStatsTable[[#This Row],[RepsWithStatObserved]],1,0)</f>
        <v>1</v>
      </c>
    </row>
    <row r="25" spans="1:25" x14ac:dyDescent="0.35">
      <c r="A25" t="s">
        <v>66</v>
      </c>
      <c r="B25" t="s">
        <v>69</v>
      </c>
      <c r="C25">
        <v>4</v>
      </c>
      <c r="D25" t="s">
        <v>70</v>
      </c>
      <c r="E25" t="s">
        <v>77</v>
      </c>
      <c r="F25" t="s">
        <v>72</v>
      </c>
      <c r="G25">
        <v>1.79576730165723</v>
      </c>
      <c r="H25">
        <v>2E+20</v>
      </c>
      <c r="I25">
        <v>0</v>
      </c>
      <c r="J25">
        <v>3.9865559126057701</v>
      </c>
      <c r="K25">
        <v>3</v>
      </c>
      <c r="L25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50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1.2240084441262762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0.89867905452837749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0.2554017613968404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3.4345522286517598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6.7563093676697896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3.62</v>
      </c>
      <c r="W25">
        <f>IF((DiscreteStatsTable[[#This Row],[RepsRequested]]&gt;1),DiscreteStatsTable[[#This Row],[HalfWidth]],DiscreteStatsTable[[#This Row],[BatchMeansHalfWidth]])</f>
        <v>0.2554017613968404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50</v>
      </c>
      <c r="Y25">
        <f>IF(DiscreteStatsTable[[#This Row],[RepsRequested]]=DiscreteStatsTable[[#This Row],[RepsWithStatObserved]],1,0)</f>
        <v>1</v>
      </c>
    </row>
    <row r="26" spans="1:25" x14ac:dyDescent="0.35">
      <c r="A26" t="s">
        <v>66</v>
      </c>
      <c r="B26" t="s">
        <v>69</v>
      </c>
      <c r="C26">
        <v>5</v>
      </c>
      <c r="D26" t="s">
        <v>70</v>
      </c>
      <c r="E26" t="s">
        <v>71</v>
      </c>
      <c r="F26" t="s">
        <v>72</v>
      </c>
      <c r="G26">
        <v>0</v>
      </c>
      <c r="H26">
        <v>2E+20</v>
      </c>
      <c r="I26">
        <v>0</v>
      </c>
      <c r="J26">
        <v>0</v>
      </c>
      <c r="K26">
        <v>4</v>
      </c>
      <c r="L26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50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3.62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50</v>
      </c>
      <c r="Y26">
        <f>IF(DiscreteStatsTable[[#This Row],[RepsRequested]]=DiscreteStatsTable[[#This Row],[RepsWithStatObserved]],1,0)</f>
        <v>1</v>
      </c>
    </row>
    <row r="27" spans="1:25" x14ac:dyDescent="0.35">
      <c r="A27" t="s">
        <v>66</v>
      </c>
      <c r="B27" t="s">
        <v>69</v>
      </c>
      <c r="C27">
        <v>5</v>
      </c>
      <c r="D27" t="s">
        <v>70</v>
      </c>
      <c r="E27" t="s">
        <v>73</v>
      </c>
      <c r="F27" t="s">
        <v>72</v>
      </c>
      <c r="G27">
        <v>0</v>
      </c>
      <c r="H27">
        <v>2E+20</v>
      </c>
      <c r="I27">
        <v>0</v>
      </c>
      <c r="J27">
        <v>0</v>
      </c>
      <c r="K27">
        <v>4</v>
      </c>
      <c r="L27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50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0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0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3.62</v>
      </c>
      <c r="W27">
        <f>IF((DiscreteStatsTable[[#This Row],[RepsRequested]]&gt;1),DiscreteStatsTable[[#This Row],[HalfWidth]],DiscreteStatsTable[[#This Row],[BatchMeansHalfWidth]])</f>
        <v>0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50</v>
      </c>
      <c r="Y27">
        <f>IF(DiscreteStatsTable[[#This Row],[RepsRequested]]=DiscreteStatsTable[[#This Row],[RepsWithStatObserved]],1,0)</f>
        <v>1</v>
      </c>
    </row>
    <row r="28" spans="1:25" x14ac:dyDescent="0.35">
      <c r="A28" t="s">
        <v>66</v>
      </c>
      <c r="B28" t="s">
        <v>69</v>
      </c>
      <c r="C28">
        <v>5</v>
      </c>
      <c r="D28" t="s">
        <v>70</v>
      </c>
      <c r="E28" t="s">
        <v>74</v>
      </c>
      <c r="F28" t="s">
        <v>72</v>
      </c>
      <c r="G28">
        <v>3.00567689679063</v>
      </c>
      <c r="H28">
        <v>2E+20</v>
      </c>
      <c r="I28">
        <v>2.17137588772359</v>
      </c>
      <c r="J28">
        <v>3.7338846304381001</v>
      </c>
      <c r="K28">
        <v>4</v>
      </c>
      <c r="L28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50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3.5363894499532775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1.1766434570133149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0.33439837052280896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1.6342264652107701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6.5527373550837904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0.58847912081681497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8.7476494546828292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3.62</v>
      </c>
      <c r="W28">
        <f>IF((DiscreteStatsTable[[#This Row],[RepsRequested]]&gt;1),DiscreteStatsTable[[#This Row],[HalfWidth]],DiscreteStatsTable[[#This Row],[BatchMeansHalfWidth]])</f>
        <v>0.33439837052280896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50</v>
      </c>
      <c r="Y28">
        <f>IF(DiscreteStatsTable[[#This Row],[RepsRequested]]=DiscreteStatsTable[[#This Row],[RepsWithStatObserved]],1,0)</f>
        <v>1</v>
      </c>
    </row>
    <row r="29" spans="1:25" x14ac:dyDescent="0.35">
      <c r="A29" t="s">
        <v>66</v>
      </c>
      <c r="B29" t="s">
        <v>69</v>
      </c>
      <c r="C29">
        <v>5</v>
      </c>
      <c r="D29" t="s">
        <v>70</v>
      </c>
      <c r="E29" t="s">
        <v>75</v>
      </c>
      <c r="F29" t="s">
        <v>72</v>
      </c>
      <c r="G29">
        <v>0</v>
      </c>
      <c r="H29">
        <v>2E+20</v>
      </c>
      <c r="I29">
        <v>0</v>
      </c>
      <c r="J29">
        <v>0</v>
      </c>
      <c r="K29">
        <v>4</v>
      </c>
      <c r="L29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50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0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0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3.62</v>
      </c>
      <c r="W29">
        <f>IF((DiscreteStatsTable[[#This Row],[RepsRequested]]&gt;1),DiscreteStatsTable[[#This Row],[HalfWidth]],DiscreteStatsTable[[#This Row],[BatchMeansHalfWidth]])</f>
        <v>0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50</v>
      </c>
      <c r="Y29">
        <f>IF(DiscreteStatsTable[[#This Row],[RepsRequested]]=DiscreteStatsTable[[#This Row],[RepsWithStatObserved]],1,0)</f>
        <v>1</v>
      </c>
    </row>
    <row r="30" spans="1:25" x14ac:dyDescent="0.35">
      <c r="A30" t="s">
        <v>66</v>
      </c>
      <c r="B30" t="s">
        <v>69</v>
      </c>
      <c r="C30">
        <v>5</v>
      </c>
      <c r="D30" t="s">
        <v>70</v>
      </c>
      <c r="E30" t="s">
        <v>76</v>
      </c>
      <c r="F30" t="s">
        <v>72</v>
      </c>
      <c r="G30">
        <v>2.3732010757280899</v>
      </c>
      <c r="H30">
        <v>2E+20</v>
      </c>
      <c r="I30">
        <v>1.8534794621861499</v>
      </c>
      <c r="J30">
        <v>3.6972043382109301</v>
      </c>
      <c r="K30">
        <v>4</v>
      </c>
      <c r="L30" t="str">
        <f>DiscreteStatsTable[[#This Row],[ProjectName]]&amp;DiscreteStatsTable[[#This Row],[Name]]&amp;DiscreteStatsTable[[#This Row],[Type]]&amp;DiscreteStatsTable[[#This Row],[Source]]</f>
        <v>Unnamed ProjectArquivosVA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50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2.3123810058270009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0.47735516285795621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0.13566283623888314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1.3773415743205399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3.3139161730180202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0.58847912081681497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4.9756405925629998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3.62</v>
      </c>
      <c r="W30">
        <f>IF((DiscreteStatsTable[[#This Row],[RepsRequested]]&gt;1),DiscreteStatsTable[[#This Row],[HalfWidth]],DiscreteStatsTable[[#This Row],[BatchMeansHalfWidth]])</f>
        <v>0.13566283623888314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50</v>
      </c>
      <c r="Y30">
        <f>IF(DiscreteStatsTable[[#This Row],[RepsRequested]]=DiscreteStatsTable[[#This Row],[RepsWithStatObserved]],1,0)</f>
        <v>1</v>
      </c>
    </row>
    <row r="31" spans="1:25" x14ac:dyDescent="0.35">
      <c r="A31" t="s">
        <v>66</v>
      </c>
      <c r="B31" t="s">
        <v>69</v>
      </c>
      <c r="C31">
        <v>5</v>
      </c>
      <c r="D31" t="s">
        <v>70</v>
      </c>
      <c r="E31" t="s">
        <v>77</v>
      </c>
      <c r="F31" t="s">
        <v>72</v>
      </c>
      <c r="G31">
        <v>0.63247582106253697</v>
      </c>
      <c r="H31">
        <v>2E+20</v>
      </c>
      <c r="I31">
        <v>0</v>
      </c>
      <c r="J31">
        <v>1.79526454317809</v>
      </c>
      <c r="K31">
        <v>4</v>
      </c>
      <c r="L31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50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1.2240084441262762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0.89867905452837749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0.2554017613968404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3.4345522286517598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6.7563093676697896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3.62</v>
      </c>
      <c r="W31">
        <f>IF((DiscreteStatsTable[[#This Row],[RepsRequested]]&gt;1),DiscreteStatsTable[[#This Row],[HalfWidth]],DiscreteStatsTable[[#This Row],[BatchMeansHalfWidth]])</f>
        <v>0.2554017613968404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50</v>
      </c>
      <c r="Y31">
        <f>IF(DiscreteStatsTable[[#This Row],[RepsRequested]]=DiscreteStatsTable[[#This Row],[RepsWithStatObserved]],1,0)</f>
        <v>1</v>
      </c>
    </row>
    <row r="32" spans="1:25" x14ac:dyDescent="0.35">
      <c r="A32" t="s">
        <v>66</v>
      </c>
      <c r="B32" t="s">
        <v>69</v>
      </c>
      <c r="C32">
        <v>6</v>
      </c>
      <c r="D32" t="s">
        <v>70</v>
      </c>
      <c r="E32" t="s">
        <v>71</v>
      </c>
      <c r="F32" t="s">
        <v>72</v>
      </c>
      <c r="G32">
        <v>0</v>
      </c>
      <c r="H32">
        <v>2E+20</v>
      </c>
      <c r="I32">
        <v>0</v>
      </c>
      <c r="J32">
        <v>0</v>
      </c>
      <c r="K32">
        <v>3</v>
      </c>
      <c r="L32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50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3.62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50</v>
      </c>
      <c r="Y32">
        <f>IF(DiscreteStatsTable[[#This Row],[RepsRequested]]=DiscreteStatsTable[[#This Row],[RepsWithStatObserved]],1,0)</f>
        <v>1</v>
      </c>
    </row>
    <row r="33" spans="1:25" x14ac:dyDescent="0.35">
      <c r="A33" t="s">
        <v>66</v>
      </c>
      <c r="B33" t="s">
        <v>69</v>
      </c>
      <c r="C33">
        <v>6</v>
      </c>
      <c r="D33" t="s">
        <v>70</v>
      </c>
      <c r="E33" t="s">
        <v>73</v>
      </c>
      <c r="F33" t="s">
        <v>72</v>
      </c>
      <c r="G33">
        <v>0</v>
      </c>
      <c r="H33">
        <v>2E+20</v>
      </c>
      <c r="I33">
        <v>0</v>
      </c>
      <c r="J33">
        <v>0</v>
      </c>
      <c r="K33">
        <v>3</v>
      </c>
      <c r="L33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50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0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0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0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0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3.62</v>
      </c>
      <c r="W33">
        <f>IF((DiscreteStatsTable[[#This Row],[RepsRequested]]&gt;1),DiscreteStatsTable[[#This Row],[HalfWidth]],DiscreteStatsTable[[#This Row],[BatchMeansHalfWidth]])</f>
        <v>0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50</v>
      </c>
      <c r="Y33">
        <f>IF(DiscreteStatsTable[[#This Row],[RepsRequested]]=DiscreteStatsTable[[#This Row],[RepsWithStatObserved]],1,0)</f>
        <v>1</v>
      </c>
    </row>
    <row r="34" spans="1:25" x14ac:dyDescent="0.35">
      <c r="A34" t="s">
        <v>66</v>
      </c>
      <c r="B34" t="s">
        <v>69</v>
      </c>
      <c r="C34">
        <v>6</v>
      </c>
      <c r="D34" t="s">
        <v>70</v>
      </c>
      <c r="E34" t="s">
        <v>74</v>
      </c>
      <c r="F34" t="s">
        <v>72</v>
      </c>
      <c r="G34">
        <v>4.6092928949337004</v>
      </c>
      <c r="H34">
        <v>2E+20</v>
      </c>
      <c r="I34">
        <v>3.4924475524558298</v>
      </c>
      <c r="J34">
        <v>5.6203120754760203</v>
      </c>
      <c r="K34">
        <v>3</v>
      </c>
      <c r="L34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50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3.5363894499532775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1.1766434570133149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0.33439837052280896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1.6342264652107701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6.5527373550837904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0.58847912081681497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8.7476494546828292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3.62</v>
      </c>
      <c r="W34">
        <f>IF((DiscreteStatsTable[[#This Row],[RepsRequested]]&gt;1),DiscreteStatsTable[[#This Row],[HalfWidth]],DiscreteStatsTable[[#This Row],[BatchMeansHalfWidth]])</f>
        <v>0.33439837052280896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50</v>
      </c>
      <c r="Y34">
        <f>IF(DiscreteStatsTable[[#This Row],[RepsRequested]]=DiscreteStatsTable[[#This Row],[RepsWithStatObserved]],1,0)</f>
        <v>1</v>
      </c>
    </row>
    <row r="35" spans="1:25" x14ac:dyDescent="0.35">
      <c r="A35" t="s">
        <v>66</v>
      </c>
      <c r="B35" t="s">
        <v>69</v>
      </c>
      <c r="C35">
        <v>6</v>
      </c>
      <c r="D35" t="s">
        <v>70</v>
      </c>
      <c r="E35" t="s">
        <v>75</v>
      </c>
      <c r="F35" t="s">
        <v>72</v>
      </c>
      <c r="G35">
        <v>0</v>
      </c>
      <c r="H35">
        <v>2E+20</v>
      </c>
      <c r="I35">
        <v>0</v>
      </c>
      <c r="J35">
        <v>0</v>
      </c>
      <c r="K35">
        <v>3</v>
      </c>
      <c r="L35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50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0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0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0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0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0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3.62</v>
      </c>
      <c r="W35">
        <f>IF((DiscreteStatsTable[[#This Row],[RepsRequested]]&gt;1),DiscreteStatsTable[[#This Row],[HalfWidth]],DiscreteStatsTable[[#This Row],[BatchMeansHalfWidth]])</f>
        <v>0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50</v>
      </c>
      <c r="Y35">
        <f>IF(DiscreteStatsTable[[#This Row],[RepsRequested]]=DiscreteStatsTable[[#This Row],[RepsWithStatObserved]],1,0)</f>
        <v>1</v>
      </c>
    </row>
    <row r="36" spans="1:25" x14ac:dyDescent="0.35">
      <c r="A36" t="s">
        <v>66</v>
      </c>
      <c r="B36" t="s">
        <v>69</v>
      </c>
      <c r="C36">
        <v>6</v>
      </c>
      <c r="D36" t="s">
        <v>70</v>
      </c>
      <c r="E36" t="s">
        <v>76</v>
      </c>
      <c r="F36" t="s">
        <v>72</v>
      </c>
      <c r="G36">
        <v>2.64097006988206</v>
      </c>
      <c r="H36">
        <v>2E+20</v>
      </c>
      <c r="I36">
        <v>1.8790225278809201</v>
      </c>
      <c r="J36">
        <v>3.4924475524558298</v>
      </c>
      <c r="K36">
        <v>3</v>
      </c>
      <c r="L36" t="str">
        <f>DiscreteStatsTable[[#This Row],[ProjectName]]&amp;DiscreteStatsTable[[#This Row],[Name]]&amp;DiscreteStatsTable[[#This Row],[Type]]&amp;DiscreteStatsTable[[#This Row],[Source]]</f>
        <v>Unnamed ProjectArquivosVA TimeEntity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50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2.3123810058270009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0.47735516285795621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0.13566283623888314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1.3773415743205399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3.3139161730180202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0.58847912081681497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4.9756405925629998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3.62</v>
      </c>
      <c r="W36">
        <f>IF((DiscreteStatsTable[[#This Row],[RepsRequested]]&gt;1),DiscreteStatsTable[[#This Row],[HalfWidth]],DiscreteStatsTable[[#This Row],[BatchMeansHalfWidth]])</f>
        <v>0.13566283623888314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50</v>
      </c>
      <c r="Y36">
        <f>IF(DiscreteStatsTable[[#This Row],[RepsRequested]]=DiscreteStatsTable[[#This Row],[RepsWithStatObserved]],1,0)</f>
        <v>1</v>
      </c>
    </row>
    <row r="37" spans="1:25" x14ac:dyDescent="0.35">
      <c r="A37" t="s">
        <v>66</v>
      </c>
      <c r="B37" t="s">
        <v>69</v>
      </c>
      <c r="C37">
        <v>6</v>
      </c>
      <c r="D37" t="s">
        <v>70</v>
      </c>
      <c r="E37" t="s">
        <v>77</v>
      </c>
      <c r="F37" t="s">
        <v>72</v>
      </c>
      <c r="G37">
        <v>1.96832282505164</v>
      </c>
      <c r="H37">
        <v>2E+20</v>
      </c>
      <c r="I37">
        <v>0</v>
      </c>
      <c r="J37">
        <v>3.0688719461665999</v>
      </c>
      <c r="K37">
        <v>3</v>
      </c>
      <c r="L37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50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1.2240084441262762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0.89867905452837749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0.2554017613968404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0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3.4345522286517598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6.7563093676697896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3.62</v>
      </c>
      <c r="W37">
        <f>IF((DiscreteStatsTable[[#This Row],[RepsRequested]]&gt;1),DiscreteStatsTable[[#This Row],[HalfWidth]],DiscreteStatsTable[[#This Row],[BatchMeansHalfWidth]])</f>
        <v>0.2554017613968404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50</v>
      </c>
      <c r="Y37">
        <f>IF(DiscreteStatsTable[[#This Row],[RepsRequested]]=DiscreteStatsTable[[#This Row],[RepsWithStatObserved]],1,0)</f>
        <v>1</v>
      </c>
    </row>
    <row r="38" spans="1:25" x14ac:dyDescent="0.35">
      <c r="A38" t="s">
        <v>66</v>
      </c>
      <c r="B38" t="s">
        <v>69</v>
      </c>
      <c r="C38">
        <v>7</v>
      </c>
      <c r="D38" t="s">
        <v>70</v>
      </c>
      <c r="E38" t="s">
        <v>71</v>
      </c>
      <c r="F38" t="s">
        <v>72</v>
      </c>
      <c r="G38">
        <v>0</v>
      </c>
      <c r="H38">
        <v>2E+20</v>
      </c>
      <c r="I38">
        <v>0</v>
      </c>
      <c r="J38">
        <v>0</v>
      </c>
      <c r="K38">
        <v>3</v>
      </c>
      <c r="L38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50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0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0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3.62</v>
      </c>
      <c r="W38">
        <f>IF((DiscreteStatsTable[[#This Row],[RepsRequested]]&gt;1),DiscreteStatsTable[[#This Row],[HalfWidth]],DiscreteStatsTable[[#This Row],[BatchMeansHalfWidth]])</f>
        <v>0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50</v>
      </c>
      <c r="Y38">
        <f>IF(DiscreteStatsTable[[#This Row],[RepsRequested]]=DiscreteStatsTable[[#This Row],[RepsWithStatObserved]],1,0)</f>
        <v>1</v>
      </c>
    </row>
    <row r="39" spans="1:25" x14ac:dyDescent="0.35">
      <c r="A39" t="s">
        <v>66</v>
      </c>
      <c r="B39" t="s">
        <v>69</v>
      </c>
      <c r="C39">
        <v>7</v>
      </c>
      <c r="D39" t="s">
        <v>70</v>
      </c>
      <c r="E39" t="s">
        <v>73</v>
      </c>
      <c r="F39" t="s">
        <v>72</v>
      </c>
      <c r="G39">
        <v>0</v>
      </c>
      <c r="H39">
        <v>2E+20</v>
      </c>
      <c r="I39">
        <v>0</v>
      </c>
      <c r="J39">
        <v>0</v>
      </c>
      <c r="K39">
        <v>3</v>
      </c>
      <c r="L39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50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0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0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0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0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0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3.62</v>
      </c>
      <c r="W39">
        <f>IF((DiscreteStatsTable[[#This Row],[RepsRequested]]&gt;1),DiscreteStatsTable[[#This Row],[HalfWidth]],DiscreteStatsTable[[#This Row],[BatchMeansHalfWidth]])</f>
        <v>0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50</v>
      </c>
      <c r="Y39">
        <f>IF(DiscreteStatsTable[[#This Row],[RepsRequested]]=DiscreteStatsTable[[#This Row],[RepsWithStatObserved]],1,0)</f>
        <v>1</v>
      </c>
    </row>
    <row r="40" spans="1:25" x14ac:dyDescent="0.35">
      <c r="A40" t="s">
        <v>66</v>
      </c>
      <c r="B40" t="s">
        <v>69</v>
      </c>
      <c r="C40">
        <v>7</v>
      </c>
      <c r="D40" t="s">
        <v>70</v>
      </c>
      <c r="E40" t="s">
        <v>74</v>
      </c>
      <c r="F40" t="s">
        <v>72</v>
      </c>
      <c r="G40">
        <v>5.0890839822825296</v>
      </c>
      <c r="H40">
        <v>2E+20</v>
      </c>
      <c r="I40">
        <v>4.0612268823992501</v>
      </c>
      <c r="J40">
        <v>6.999334863713</v>
      </c>
      <c r="K40">
        <v>3</v>
      </c>
      <c r="L40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50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3.5363894499532775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1.1766434570133149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0.33439837052280896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1.6342264652107701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6.5527373550837904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0.58847912081681497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8.7476494546828292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3.62</v>
      </c>
      <c r="W40">
        <f>IF((DiscreteStatsTable[[#This Row],[RepsRequested]]&gt;1),DiscreteStatsTable[[#This Row],[HalfWidth]],DiscreteStatsTable[[#This Row],[BatchMeansHalfWidth]])</f>
        <v>0.33439837052280896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50</v>
      </c>
      <c r="Y40">
        <f>IF(DiscreteStatsTable[[#This Row],[RepsRequested]]=DiscreteStatsTable[[#This Row],[RepsWithStatObserved]],1,0)</f>
        <v>1</v>
      </c>
    </row>
    <row r="41" spans="1:25" x14ac:dyDescent="0.35">
      <c r="A41" t="s">
        <v>66</v>
      </c>
      <c r="B41" t="s">
        <v>69</v>
      </c>
      <c r="C41">
        <v>7</v>
      </c>
      <c r="D41" t="s">
        <v>70</v>
      </c>
      <c r="E41" t="s">
        <v>75</v>
      </c>
      <c r="F41" t="s">
        <v>72</v>
      </c>
      <c r="G41">
        <v>0</v>
      </c>
      <c r="H41">
        <v>2E+20</v>
      </c>
      <c r="I41">
        <v>0</v>
      </c>
      <c r="J41">
        <v>0</v>
      </c>
      <c r="K41">
        <v>3</v>
      </c>
      <c r="L41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50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0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0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0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0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0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3.62</v>
      </c>
      <c r="W41">
        <f>IF((DiscreteStatsTable[[#This Row],[RepsRequested]]&gt;1),DiscreteStatsTable[[#This Row],[HalfWidth]],DiscreteStatsTable[[#This Row],[BatchMeansHalfWidth]])</f>
        <v>0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50</v>
      </c>
      <c r="Y41">
        <f>IF(DiscreteStatsTable[[#This Row],[RepsRequested]]=DiscreteStatsTable[[#This Row],[RepsWithStatObserved]],1,0)</f>
        <v>1</v>
      </c>
    </row>
    <row r="42" spans="1:25" x14ac:dyDescent="0.35">
      <c r="A42" t="s">
        <v>66</v>
      </c>
      <c r="B42" t="s">
        <v>69</v>
      </c>
      <c r="C42">
        <v>7</v>
      </c>
      <c r="D42" t="s">
        <v>70</v>
      </c>
      <c r="E42" t="s">
        <v>76</v>
      </c>
      <c r="F42" t="s">
        <v>72</v>
      </c>
      <c r="G42">
        <v>2.9672594556985601</v>
      </c>
      <c r="H42">
        <v>2E+20</v>
      </c>
      <c r="I42">
        <v>1.8384370766778899</v>
      </c>
      <c r="J42">
        <v>4.0612268823992501</v>
      </c>
      <c r="K42">
        <v>3</v>
      </c>
      <c r="L42" t="str">
        <f>DiscreteStatsTable[[#This Row],[ProjectName]]&amp;DiscreteStatsTable[[#This Row],[Name]]&amp;DiscreteStatsTable[[#This Row],[Type]]&amp;DiscreteStatsTable[[#This Row],[Source]]</f>
        <v>Unnamed ProjectArquivosVA TimeEntity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50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2.3123810058270009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0.47735516285795621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0.13566283623888314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1.3773415743205399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3.3139161730180202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0.58847912081681497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4.9756405925629998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3.62</v>
      </c>
      <c r="W42">
        <f>IF((DiscreteStatsTable[[#This Row],[RepsRequested]]&gt;1),DiscreteStatsTable[[#This Row],[HalfWidth]],DiscreteStatsTable[[#This Row],[BatchMeansHalfWidth]])</f>
        <v>0.13566283623888314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50</v>
      </c>
      <c r="Y42">
        <f>IF(DiscreteStatsTable[[#This Row],[RepsRequested]]=DiscreteStatsTable[[#This Row],[RepsWithStatObserved]],1,0)</f>
        <v>1</v>
      </c>
    </row>
    <row r="43" spans="1:25" x14ac:dyDescent="0.35">
      <c r="A43" t="s">
        <v>66</v>
      </c>
      <c r="B43" t="s">
        <v>69</v>
      </c>
      <c r="C43">
        <v>7</v>
      </c>
      <c r="D43" t="s">
        <v>70</v>
      </c>
      <c r="E43" t="s">
        <v>77</v>
      </c>
      <c r="F43" t="s">
        <v>72</v>
      </c>
      <c r="G43">
        <v>2.1218245265839601</v>
      </c>
      <c r="H43">
        <v>2E+20</v>
      </c>
      <c r="I43">
        <v>0</v>
      </c>
      <c r="J43">
        <v>3.99722045569444</v>
      </c>
      <c r="K43">
        <v>3</v>
      </c>
      <c r="L43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50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1.2240084441262762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0.89867905452837749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0.2554017613968404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0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3.4345522286517598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6.7563093676697896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3.62</v>
      </c>
      <c r="W43">
        <f>IF((DiscreteStatsTable[[#This Row],[RepsRequested]]&gt;1),DiscreteStatsTable[[#This Row],[HalfWidth]],DiscreteStatsTable[[#This Row],[BatchMeansHalfWidth]])</f>
        <v>0.2554017613968404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50</v>
      </c>
      <c r="Y43">
        <f>IF(DiscreteStatsTable[[#This Row],[RepsRequested]]=DiscreteStatsTable[[#This Row],[RepsWithStatObserved]],1,0)</f>
        <v>1</v>
      </c>
    </row>
    <row r="44" spans="1:25" x14ac:dyDescent="0.35">
      <c r="A44" t="s">
        <v>66</v>
      </c>
      <c r="B44" t="s">
        <v>69</v>
      </c>
      <c r="C44">
        <v>8</v>
      </c>
      <c r="D44" t="s">
        <v>70</v>
      </c>
      <c r="E44" t="s">
        <v>71</v>
      </c>
      <c r="F44" t="s">
        <v>72</v>
      </c>
      <c r="G44">
        <v>0</v>
      </c>
      <c r="H44">
        <v>2E+20</v>
      </c>
      <c r="I44">
        <v>0</v>
      </c>
      <c r="J44">
        <v>0</v>
      </c>
      <c r="K44">
        <v>3</v>
      </c>
      <c r="L44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50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0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0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0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0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0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3.62</v>
      </c>
      <c r="W44">
        <f>IF((DiscreteStatsTable[[#This Row],[RepsRequested]]&gt;1),DiscreteStatsTable[[#This Row],[HalfWidth]],DiscreteStatsTable[[#This Row],[BatchMeansHalfWidth]])</f>
        <v>0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50</v>
      </c>
      <c r="Y44">
        <f>IF(DiscreteStatsTable[[#This Row],[RepsRequested]]=DiscreteStatsTable[[#This Row],[RepsWithStatObserved]],1,0)</f>
        <v>1</v>
      </c>
    </row>
    <row r="45" spans="1:25" x14ac:dyDescent="0.35">
      <c r="A45" t="s">
        <v>66</v>
      </c>
      <c r="B45" t="s">
        <v>69</v>
      </c>
      <c r="C45">
        <v>8</v>
      </c>
      <c r="D45" t="s">
        <v>70</v>
      </c>
      <c r="E45" t="s">
        <v>73</v>
      </c>
      <c r="F45" t="s">
        <v>72</v>
      </c>
      <c r="G45">
        <v>0</v>
      </c>
      <c r="H45">
        <v>2E+20</v>
      </c>
      <c r="I45">
        <v>0</v>
      </c>
      <c r="J45">
        <v>0</v>
      </c>
      <c r="K45">
        <v>3</v>
      </c>
      <c r="L45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50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0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0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0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0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0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0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3.62</v>
      </c>
      <c r="W45">
        <f>IF((DiscreteStatsTable[[#This Row],[RepsRequested]]&gt;1),DiscreteStatsTable[[#This Row],[HalfWidth]],DiscreteStatsTable[[#This Row],[BatchMeansHalfWidth]])</f>
        <v>0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50</v>
      </c>
      <c r="Y45">
        <f>IF(DiscreteStatsTable[[#This Row],[RepsRequested]]=DiscreteStatsTable[[#This Row],[RepsWithStatObserved]],1,0)</f>
        <v>1</v>
      </c>
    </row>
    <row r="46" spans="1:25" x14ac:dyDescent="0.35">
      <c r="A46" t="s">
        <v>66</v>
      </c>
      <c r="B46" t="s">
        <v>69</v>
      </c>
      <c r="C46">
        <v>8</v>
      </c>
      <c r="D46" t="s">
        <v>70</v>
      </c>
      <c r="E46" t="s">
        <v>74</v>
      </c>
      <c r="F46" t="s">
        <v>72</v>
      </c>
      <c r="G46">
        <v>4.4936910633692504</v>
      </c>
      <c r="H46">
        <v>2E+20</v>
      </c>
      <c r="I46">
        <v>1.16640805612146</v>
      </c>
      <c r="J46">
        <v>7.4043150058510099</v>
      </c>
      <c r="K46">
        <v>3</v>
      </c>
      <c r="L46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50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3.5363894499532775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1.1766434570133149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0.33439837052280896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1.6342264652107701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6.5527373550837904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0.58847912081681497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8.7476494546828292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3.62</v>
      </c>
      <c r="W46">
        <f>IF((DiscreteStatsTable[[#This Row],[RepsRequested]]&gt;1),DiscreteStatsTable[[#This Row],[HalfWidth]],DiscreteStatsTable[[#This Row],[BatchMeansHalfWidth]])</f>
        <v>0.33439837052280896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50</v>
      </c>
      <c r="Y46">
        <f>IF(DiscreteStatsTable[[#This Row],[RepsRequested]]=DiscreteStatsTable[[#This Row],[RepsWithStatObserved]],1,0)</f>
        <v>1</v>
      </c>
    </row>
    <row r="47" spans="1:25" x14ac:dyDescent="0.35">
      <c r="A47" t="s">
        <v>66</v>
      </c>
      <c r="B47" t="s">
        <v>69</v>
      </c>
      <c r="C47">
        <v>8</v>
      </c>
      <c r="D47" t="s">
        <v>70</v>
      </c>
      <c r="E47" t="s">
        <v>75</v>
      </c>
      <c r="F47" t="s">
        <v>72</v>
      </c>
      <c r="G47">
        <v>0</v>
      </c>
      <c r="H47">
        <v>2E+20</v>
      </c>
      <c r="I47">
        <v>0</v>
      </c>
      <c r="J47">
        <v>0</v>
      </c>
      <c r="K47">
        <v>3</v>
      </c>
      <c r="L47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50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0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0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0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0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0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3.62</v>
      </c>
      <c r="W47">
        <f>IF((DiscreteStatsTable[[#This Row],[RepsRequested]]&gt;1),DiscreteStatsTable[[#This Row],[HalfWidth]],DiscreteStatsTable[[#This Row],[BatchMeansHalfWidth]])</f>
        <v>0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50</v>
      </c>
      <c r="Y47">
        <f>IF(DiscreteStatsTable[[#This Row],[RepsRequested]]=DiscreteStatsTable[[#This Row],[RepsWithStatObserved]],1,0)</f>
        <v>1</v>
      </c>
    </row>
    <row r="48" spans="1:25" x14ac:dyDescent="0.35">
      <c r="A48" t="s">
        <v>66</v>
      </c>
      <c r="B48" t="s">
        <v>69</v>
      </c>
      <c r="C48">
        <v>8</v>
      </c>
      <c r="D48" t="s">
        <v>70</v>
      </c>
      <c r="E48" t="s">
        <v>76</v>
      </c>
      <c r="F48" t="s">
        <v>72</v>
      </c>
      <c r="G48">
        <v>2.8201739267431698</v>
      </c>
      <c r="H48">
        <v>2E+20</v>
      </c>
      <c r="I48">
        <v>1.16640805612146</v>
      </c>
      <c r="J48">
        <v>4.3065343431047296</v>
      </c>
      <c r="K48">
        <v>3</v>
      </c>
      <c r="L48" t="str">
        <f>DiscreteStatsTable[[#This Row],[ProjectName]]&amp;DiscreteStatsTable[[#This Row],[Name]]&amp;DiscreteStatsTable[[#This Row],[Type]]&amp;DiscreteStatsTable[[#This Row],[Source]]</f>
        <v>Unnamed ProjectArquivosVA TimeEntity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50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2.3123810058270009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0.47735516285795621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0.13566283623888314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1.3773415743205399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3.3139161730180202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0.58847912081681497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4.9756405925629998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3.62</v>
      </c>
      <c r="W48">
        <f>IF((DiscreteStatsTable[[#This Row],[RepsRequested]]&gt;1),DiscreteStatsTable[[#This Row],[HalfWidth]],DiscreteStatsTable[[#This Row],[BatchMeansHalfWidth]])</f>
        <v>0.13566283623888314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50</v>
      </c>
      <c r="Y48">
        <f>IF(DiscreteStatsTable[[#This Row],[RepsRequested]]=DiscreteStatsTable[[#This Row],[RepsWithStatObserved]],1,0)</f>
        <v>1</v>
      </c>
    </row>
    <row r="49" spans="1:25" x14ac:dyDescent="0.35">
      <c r="A49" t="s">
        <v>66</v>
      </c>
      <c r="B49" t="s">
        <v>69</v>
      </c>
      <c r="C49">
        <v>8</v>
      </c>
      <c r="D49" t="s">
        <v>70</v>
      </c>
      <c r="E49" t="s">
        <v>77</v>
      </c>
      <c r="F49" t="s">
        <v>72</v>
      </c>
      <c r="G49">
        <v>1.6735171366260799</v>
      </c>
      <c r="H49">
        <v>2E+20</v>
      </c>
      <c r="I49">
        <v>0</v>
      </c>
      <c r="J49">
        <v>4.4167356248476803</v>
      </c>
      <c r="K49">
        <v>3</v>
      </c>
      <c r="L49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50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1.2240084441262762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0.89867905452837749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0.2554017613968404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0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3.4345522286517598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6.7563093676697896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3.62</v>
      </c>
      <c r="W49">
        <f>IF((DiscreteStatsTable[[#This Row],[RepsRequested]]&gt;1),DiscreteStatsTable[[#This Row],[HalfWidth]],DiscreteStatsTable[[#This Row],[BatchMeansHalfWidth]])</f>
        <v>0.2554017613968404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50</v>
      </c>
      <c r="Y49">
        <f>IF(DiscreteStatsTable[[#This Row],[RepsRequested]]=DiscreteStatsTable[[#This Row],[RepsWithStatObserved]],1,0)</f>
        <v>1</v>
      </c>
    </row>
    <row r="50" spans="1:25" x14ac:dyDescent="0.35">
      <c r="A50" t="s">
        <v>66</v>
      </c>
      <c r="B50" t="s">
        <v>69</v>
      </c>
      <c r="C50">
        <v>9</v>
      </c>
      <c r="D50" t="s">
        <v>70</v>
      </c>
      <c r="E50" t="s">
        <v>71</v>
      </c>
      <c r="F50" t="s">
        <v>72</v>
      </c>
      <c r="G50">
        <v>0</v>
      </c>
      <c r="H50">
        <v>2E+20</v>
      </c>
      <c r="I50">
        <v>0</v>
      </c>
      <c r="J50">
        <v>0</v>
      </c>
      <c r="K50">
        <v>4</v>
      </c>
      <c r="L50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50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0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0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0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0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0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3.62</v>
      </c>
      <c r="W50">
        <f>IF((DiscreteStatsTable[[#This Row],[RepsRequested]]&gt;1),DiscreteStatsTable[[#This Row],[HalfWidth]],DiscreteStatsTable[[#This Row],[BatchMeansHalfWidth]])</f>
        <v>0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50</v>
      </c>
      <c r="Y50">
        <f>IF(DiscreteStatsTable[[#This Row],[RepsRequested]]=DiscreteStatsTable[[#This Row],[RepsWithStatObserved]],1,0)</f>
        <v>1</v>
      </c>
    </row>
    <row r="51" spans="1:25" x14ac:dyDescent="0.35">
      <c r="A51" t="s">
        <v>66</v>
      </c>
      <c r="B51" t="s">
        <v>69</v>
      </c>
      <c r="C51">
        <v>9</v>
      </c>
      <c r="D51" t="s">
        <v>70</v>
      </c>
      <c r="E51" t="s">
        <v>73</v>
      </c>
      <c r="F51" t="s">
        <v>72</v>
      </c>
      <c r="G51">
        <v>0</v>
      </c>
      <c r="H51">
        <v>2E+20</v>
      </c>
      <c r="I51">
        <v>0</v>
      </c>
      <c r="J51">
        <v>0</v>
      </c>
      <c r="K51">
        <v>4</v>
      </c>
      <c r="L51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50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0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0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0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0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0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0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3.62</v>
      </c>
      <c r="W51">
        <f>IF((DiscreteStatsTable[[#This Row],[RepsRequested]]&gt;1),DiscreteStatsTable[[#This Row],[HalfWidth]],DiscreteStatsTable[[#This Row],[BatchMeansHalfWidth]])</f>
        <v>0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50</v>
      </c>
      <c r="Y51">
        <f>IF(DiscreteStatsTable[[#This Row],[RepsRequested]]=DiscreteStatsTable[[#This Row],[RepsWithStatObserved]],1,0)</f>
        <v>1</v>
      </c>
    </row>
    <row r="52" spans="1:25" x14ac:dyDescent="0.35">
      <c r="A52" t="s">
        <v>66</v>
      </c>
      <c r="B52" t="s">
        <v>69</v>
      </c>
      <c r="C52">
        <v>9</v>
      </c>
      <c r="D52" t="s">
        <v>70</v>
      </c>
      <c r="E52" t="s">
        <v>74</v>
      </c>
      <c r="F52" t="s">
        <v>72</v>
      </c>
      <c r="G52">
        <v>2.8244682697425101</v>
      </c>
      <c r="H52">
        <v>2E+20</v>
      </c>
      <c r="I52">
        <v>0.58847912081681497</v>
      </c>
      <c r="J52">
        <v>4.9787270367994996</v>
      </c>
      <c r="K52">
        <v>4</v>
      </c>
      <c r="L52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50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3.5363894499532775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1.1766434570133149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0.33439837052280896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1.6342264652107701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6.5527373550837904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0.58847912081681497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8.7476494546828292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3.62</v>
      </c>
      <c r="W52">
        <f>IF((DiscreteStatsTable[[#This Row],[RepsRequested]]&gt;1),DiscreteStatsTable[[#This Row],[HalfWidth]],DiscreteStatsTable[[#This Row],[BatchMeansHalfWidth]])</f>
        <v>0.33439837052280896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50</v>
      </c>
      <c r="Y52">
        <f>IF(DiscreteStatsTable[[#This Row],[RepsRequested]]=DiscreteStatsTable[[#This Row],[RepsWithStatObserved]],1,0)</f>
        <v>1</v>
      </c>
    </row>
    <row r="53" spans="1:25" x14ac:dyDescent="0.35">
      <c r="A53" t="s">
        <v>66</v>
      </c>
      <c r="B53" t="s">
        <v>69</v>
      </c>
      <c r="C53">
        <v>9</v>
      </c>
      <c r="D53" t="s">
        <v>70</v>
      </c>
      <c r="E53" t="s">
        <v>75</v>
      </c>
      <c r="F53" t="s">
        <v>72</v>
      </c>
      <c r="G53">
        <v>0</v>
      </c>
      <c r="H53">
        <v>2E+20</v>
      </c>
      <c r="I53">
        <v>0</v>
      </c>
      <c r="J53">
        <v>0</v>
      </c>
      <c r="K53">
        <v>4</v>
      </c>
      <c r="L53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50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0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0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0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0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0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0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3.62</v>
      </c>
      <c r="W53">
        <f>IF((DiscreteStatsTable[[#This Row],[RepsRequested]]&gt;1),DiscreteStatsTable[[#This Row],[HalfWidth]],DiscreteStatsTable[[#This Row],[BatchMeansHalfWidth]])</f>
        <v>0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50</v>
      </c>
      <c r="Y53">
        <f>IF(DiscreteStatsTable[[#This Row],[RepsRequested]]=DiscreteStatsTable[[#This Row],[RepsWithStatObserved]],1,0)</f>
        <v>1</v>
      </c>
    </row>
    <row r="54" spans="1:25" x14ac:dyDescent="0.35">
      <c r="A54" t="s">
        <v>66</v>
      </c>
      <c r="B54" t="s">
        <v>69</v>
      </c>
      <c r="C54">
        <v>9</v>
      </c>
      <c r="D54" t="s">
        <v>70</v>
      </c>
      <c r="E54" t="s">
        <v>76</v>
      </c>
      <c r="F54" t="s">
        <v>72</v>
      </c>
      <c r="G54">
        <v>2.22683909513208</v>
      </c>
      <c r="H54">
        <v>2E+20</v>
      </c>
      <c r="I54">
        <v>0.58847912081681497</v>
      </c>
      <c r="J54">
        <v>3.2771097770767099</v>
      </c>
      <c r="K54">
        <v>4</v>
      </c>
      <c r="L54" t="str">
        <f>DiscreteStatsTable[[#This Row],[ProjectName]]&amp;DiscreteStatsTable[[#This Row],[Name]]&amp;DiscreteStatsTable[[#This Row],[Type]]&amp;DiscreteStatsTable[[#This Row],[Source]]</f>
        <v>Unnamed ProjectArquivosVA TimeEntity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50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2.3123810058270009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0.47735516285795621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0.13566283623888314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1.3773415743205399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3.3139161730180202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0.58847912081681497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4.9756405925629998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3.62</v>
      </c>
      <c r="W54">
        <f>IF((DiscreteStatsTable[[#This Row],[RepsRequested]]&gt;1),DiscreteStatsTable[[#This Row],[HalfWidth]],DiscreteStatsTable[[#This Row],[BatchMeansHalfWidth]])</f>
        <v>0.13566283623888314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50</v>
      </c>
      <c r="Y54">
        <f>IF(DiscreteStatsTable[[#This Row],[RepsRequested]]=DiscreteStatsTable[[#This Row],[RepsWithStatObserved]],1,0)</f>
        <v>1</v>
      </c>
    </row>
    <row r="55" spans="1:25" x14ac:dyDescent="0.35">
      <c r="A55" t="s">
        <v>66</v>
      </c>
      <c r="B55" t="s">
        <v>69</v>
      </c>
      <c r="C55">
        <v>9</v>
      </c>
      <c r="D55" t="s">
        <v>70</v>
      </c>
      <c r="E55" t="s">
        <v>77</v>
      </c>
      <c r="F55" t="s">
        <v>72</v>
      </c>
      <c r="G55">
        <v>0.59762917461042597</v>
      </c>
      <c r="H55">
        <v>2E+20</v>
      </c>
      <c r="I55">
        <v>0</v>
      </c>
      <c r="J55">
        <v>2.3905166984417101</v>
      </c>
      <c r="K55">
        <v>4</v>
      </c>
      <c r="L55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50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1.2240084441262762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0.89867905452837749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0.2554017613968404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0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3.4345522286517598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6.7563093676697896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3.62</v>
      </c>
      <c r="W55">
        <f>IF((DiscreteStatsTable[[#This Row],[RepsRequested]]&gt;1),DiscreteStatsTable[[#This Row],[HalfWidth]],DiscreteStatsTable[[#This Row],[BatchMeansHalfWidth]])</f>
        <v>0.2554017613968404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50</v>
      </c>
      <c r="Y55">
        <f>IF(DiscreteStatsTable[[#This Row],[RepsRequested]]=DiscreteStatsTable[[#This Row],[RepsWithStatObserved]],1,0)</f>
        <v>1</v>
      </c>
    </row>
    <row r="56" spans="1:25" x14ac:dyDescent="0.35">
      <c r="A56" t="s">
        <v>66</v>
      </c>
      <c r="B56" t="s">
        <v>69</v>
      </c>
      <c r="C56">
        <v>10</v>
      </c>
      <c r="D56" t="s">
        <v>70</v>
      </c>
      <c r="E56" t="s">
        <v>71</v>
      </c>
      <c r="F56" t="s">
        <v>72</v>
      </c>
      <c r="G56">
        <v>0</v>
      </c>
      <c r="H56">
        <v>2E+20</v>
      </c>
      <c r="I56">
        <v>0</v>
      </c>
      <c r="J56">
        <v>0</v>
      </c>
      <c r="K56">
        <v>3</v>
      </c>
      <c r="L56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50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0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0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0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0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0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3.62</v>
      </c>
      <c r="W56">
        <f>IF((DiscreteStatsTable[[#This Row],[RepsRequested]]&gt;1),DiscreteStatsTable[[#This Row],[HalfWidth]],DiscreteStatsTable[[#This Row],[BatchMeansHalfWidth]])</f>
        <v>0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50</v>
      </c>
      <c r="Y56">
        <f>IF(DiscreteStatsTable[[#This Row],[RepsRequested]]=DiscreteStatsTable[[#This Row],[RepsWithStatObserved]],1,0)</f>
        <v>1</v>
      </c>
    </row>
    <row r="57" spans="1:25" x14ac:dyDescent="0.35">
      <c r="A57" t="s">
        <v>66</v>
      </c>
      <c r="B57" t="s">
        <v>69</v>
      </c>
      <c r="C57">
        <v>10</v>
      </c>
      <c r="D57" t="s">
        <v>70</v>
      </c>
      <c r="E57" t="s">
        <v>73</v>
      </c>
      <c r="F57" t="s">
        <v>72</v>
      </c>
      <c r="G57">
        <v>0</v>
      </c>
      <c r="H57">
        <v>2E+20</v>
      </c>
      <c r="I57">
        <v>0</v>
      </c>
      <c r="J57">
        <v>0</v>
      </c>
      <c r="K57">
        <v>3</v>
      </c>
      <c r="L57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50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0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0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0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0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0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0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3.62</v>
      </c>
      <c r="W57">
        <f>IF((DiscreteStatsTable[[#This Row],[RepsRequested]]&gt;1),DiscreteStatsTable[[#This Row],[HalfWidth]],DiscreteStatsTable[[#This Row],[BatchMeansHalfWidth]])</f>
        <v>0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50</v>
      </c>
      <c r="Y57">
        <f>IF(DiscreteStatsTable[[#This Row],[RepsRequested]]=DiscreteStatsTable[[#This Row],[RepsWithStatObserved]],1,0)</f>
        <v>1</v>
      </c>
    </row>
    <row r="58" spans="1:25" x14ac:dyDescent="0.35">
      <c r="A58" t="s">
        <v>66</v>
      </c>
      <c r="B58" t="s">
        <v>69</v>
      </c>
      <c r="C58">
        <v>10</v>
      </c>
      <c r="D58" t="s">
        <v>70</v>
      </c>
      <c r="E58" t="s">
        <v>74</v>
      </c>
      <c r="F58" t="s">
        <v>72</v>
      </c>
      <c r="G58">
        <v>3.0993629821480102</v>
      </c>
      <c r="H58">
        <v>2E+20</v>
      </c>
      <c r="I58">
        <v>2.0324901054279199</v>
      </c>
      <c r="J58">
        <v>3.9923356744359202</v>
      </c>
      <c r="K58">
        <v>3</v>
      </c>
      <c r="L58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50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3.5363894499532775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1.1766434570133149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0.33439837052280896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1.6342264652107701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6.5527373550837904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0.58847912081681497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8.7476494546828292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3.62</v>
      </c>
      <c r="W58">
        <f>IF((DiscreteStatsTable[[#This Row],[RepsRequested]]&gt;1),DiscreteStatsTable[[#This Row],[HalfWidth]],DiscreteStatsTable[[#This Row],[BatchMeansHalfWidth]])</f>
        <v>0.33439837052280896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50</v>
      </c>
      <c r="Y58">
        <f>IF(DiscreteStatsTable[[#This Row],[RepsRequested]]=DiscreteStatsTable[[#This Row],[RepsWithStatObserved]],1,0)</f>
        <v>1</v>
      </c>
    </row>
    <row r="59" spans="1:25" x14ac:dyDescent="0.35">
      <c r="A59" t="s">
        <v>66</v>
      </c>
      <c r="B59" t="s">
        <v>69</v>
      </c>
      <c r="C59">
        <v>10</v>
      </c>
      <c r="D59" t="s">
        <v>70</v>
      </c>
      <c r="E59" t="s">
        <v>75</v>
      </c>
      <c r="F59" t="s">
        <v>72</v>
      </c>
      <c r="G59">
        <v>0</v>
      </c>
      <c r="H59">
        <v>2E+20</v>
      </c>
      <c r="I59">
        <v>0</v>
      </c>
      <c r="J59">
        <v>0</v>
      </c>
      <c r="K59">
        <v>3</v>
      </c>
      <c r="L59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50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0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0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0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0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0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0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3.62</v>
      </c>
      <c r="W59">
        <f>IF((DiscreteStatsTable[[#This Row],[RepsRequested]]&gt;1),DiscreteStatsTable[[#This Row],[HalfWidth]],DiscreteStatsTable[[#This Row],[BatchMeansHalfWidth]])</f>
        <v>0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50</v>
      </c>
      <c r="Y59">
        <f>IF(DiscreteStatsTable[[#This Row],[RepsRequested]]=DiscreteStatsTable[[#This Row],[RepsWithStatObserved]],1,0)</f>
        <v>1</v>
      </c>
    </row>
    <row r="60" spans="1:25" x14ac:dyDescent="0.35">
      <c r="A60" t="s">
        <v>66</v>
      </c>
      <c r="B60" t="s">
        <v>69</v>
      </c>
      <c r="C60">
        <v>10</v>
      </c>
      <c r="D60" t="s">
        <v>70</v>
      </c>
      <c r="E60" t="s">
        <v>76</v>
      </c>
      <c r="F60" t="s">
        <v>72</v>
      </c>
      <c r="G60">
        <v>2.5217787861430301</v>
      </c>
      <c r="H60">
        <v>2E+20</v>
      </c>
      <c r="I60">
        <v>2.0324901054279199</v>
      </c>
      <c r="J60">
        <v>3.2462355300415999</v>
      </c>
      <c r="K60">
        <v>3</v>
      </c>
      <c r="L60" t="str">
        <f>DiscreteStatsTable[[#This Row],[ProjectName]]&amp;DiscreteStatsTable[[#This Row],[Name]]&amp;DiscreteStatsTable[[#This Row],[Type]]&amp;DiscreteStatsTable[[#This Row],[Source]]</f>
        <v>Unnamed ProjectArquivosVA TimeEntity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50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2.3123810058270009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0.47735516285795621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0.13566283623888314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1.3773415743205399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3.3139161730180202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0.58847912081681497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4.9756405925629998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3.62</v>
      </c>
      <c r="W60">
        <f>IF((DiscreteStatsTable[[#This Row],[RepsRequested]]&gt;1),DiscreteStatsTable[[#This Row],[HalfWidth]],DiscreteStatsTable[[#This Row],[BatchMeansHalfWidth]])</f>
        <v>0.13566283623888314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50</v>
      </c>
      <c r="Y60">
        <f>IF(DiscreteStatsTable[[#This Row],[RepsRequested]]=DiscreteStatsTable[[#This Row],[RepsWithStatObserved]],1,0)</f>
        <v>1</v>
      </c>
    </row>
    <row r="61" spans="1:25" x14ac:dyDescent="0.35">
      <c r="A61" t="s">
        <v>66</v>
      </c>
      <c r="B61" t="s">
        <v>69</v>
      </c>
      <c r="C61">
        <v>10</v>
      </c>
      <c r="D61" t="s">
        <v>70</v>
      </c>
      <c r="E61" t="s">
        <v>77</v>
      </c>
      <c r="F61" t="s">
        <v>72</v>
      </c>
      <c r="G61">
        <v>0.57758419600497701</v>
      </c>
      <c r="H61">
        <v>2E+20</v>
      </c>
      <c r="I61">
        <v>0</v>
      </c>
      <c r="J61">
        <v>0.98665244362061399</v>
      </c>
      <c r="K61">
        <v>3</v>
      </c>
      <c r="L61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50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1.2240084441262762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0.89867905452837749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0.2554017613968404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0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3.4345522286517598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6.7563093676697896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3.62</v>
      </c>
      <c r="W61">
        <f>IF((DiscreteStatsTable[[#This Row],[RepsRequested]]&gt;1),DiscreteStatsTable[[#This Row],[HalfWidth]],DiscreteStatsTable[[#This Row],[BatchMeansHalfWidth]])</f>
        <v>0.2554017613968404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50</v>
      </c>
      <c r="Y61">
        <f>IF(DiscreteStatsTable[[#This Row],[RepsRequested]]=DiscreteStatsTable[[#This Row],[RepsWithStatObserved]],1,0)</f>
        <v>1</v>
      </c>
    </row>
    <row r="62" spans="1:25" x14ac:dyDescent="0.35">
      <c r="A62" t="s">
        <v>66</v>
      </c>
      <c r="B62" t="s">
        <v>69</v>
      </c>
      <c r="C62">
        <v>11</v>
      </c>
      <c r="D62" t="s">
        <v>70</v>
      </c>
      <c r="E62" t="s">
        <v>71</v>
      </c>
      <c r="F62" t="s">
        <v>72</v>
      </c>
      <c r="G62">
        <v>0</v>
      </c>
      <c r="H62">
        <v>2E+20</v>
      </c>
      <c r="I62">
        <v>0</v>
      </c>
      <c r="J62">
        <v>0</v>
      </c>
      <c r="K62">
        <v>4</v>
      </c>
      <c r="L62" s="5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62" s="5" cm="1">
        <f t="array" ref="M62">MAX(IF((ProjectInfoTable[ProjectName]=DiscreteStatsTable[[#This Row],[ProjectName]]),(ProjectInfoTable[ProjectName]=DiscreteStatsTable[[#This Row],[ProjectName]])*ProjectInfoTable[NumberOfReplications]))</f>
        <v>50</v>
      </c>
      <c r="N62" s="5" cm="1">
        <f t="array" ref="N62">IFERROR(AVERAGE(IF((DiscreteStatsTable[GroupByKey]=DiscreteStatsTable[[#This Row],[GroupByKey]]),(DiscreteStatsTable[GroupByKey]=DiscreteStatsTable[[#This Row],[GroupByKey]])*DiscreteStatsTable[Average])),0)</f>
        <v>0</v>
      </c>
      <c r="O62" s="5" cm="1">
        <f t="array" ref="O62">IFERROR(_xlfn.STDEV.S(IF((DiscreteStatsTable[GroupByKey]=DiscreteStatsTable[[#This Row],[GroupByKey]]),(DiscreteStatsTable[GroupByKey]=DiscreteStatsTable[[#This Row],[GroupByKey]])*DiscreteStatsTable[Average])),0)</f>
        <v>0</v>
      </c>
      <c r="P62" s="5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 s="5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" s="5" cm="1">
        <f t="array" ref="R62">MIN(IF((DiscreteStatsTable[GroupByKey]=DiscreteStatsTable[[#This Row],[GroupByKey]]),(DiscreteStatsTable[GroupByKey]=DiscreteStatsTable[[#This Row],[GroupByKey]])*DiscreteStatsTable[Average]))</f>
        <v>0</v>
      </c>
      <c r="S62" s="5" cm="1">
        <f t="array" ref="S62">MAX(IF((DiscreteStatsTable[GroupByKey]=DiscreteStatsTable[[#This Row],[GroupByKey]]),(DiscreteStatsTable[GroupByKey]=DiscreteStatsTable[[#This Row],[GroupByKey]])*DiscreteStatsTable[Average]))</f>
        <v>0</v>
      </c>
      <c r="T62" s="5" cm="1">
        <f t="array" ref="T62">MIN(IF((DiscreteStatsTable[GroupByKey]=DiscreteStatsTable[[#This Row],[GroupByKey]]),(DiscreteStatsTable[GroupByKey]=DiscreteStatsTable[[#This Row],[GroupByKey]])*DiscreteStatsTable[Minimum]))</f>
        <v>0</v>
      </c>
      <c r="U62" s="5" cm="1">
        <f t="array" ref="U62">MAX(IF((DiscreteStatsTable[GroupByKey]=DiscreteStatsTable[[#This Row],[GroupByKey]]),(DiscreteStatsTable[GroupByKey]=DiscreteStatsTable[[#This Row],[GroupByKey]])*DiscreteStatsTable[Maximum]))</f>
        <v>0</v>
      </c>
      <c r="V62" s="5" cm="1">
        <f t="array" ref="V62">IFERROR(AVERAGE(IF((DiscreteStatsTable[GroupByKey]=DiscreteStatsTable[[#This Row],[GroupByKey]]),(DiscreteStatsTable[GroupByKey]=DiscreteStatsTable[[#This Row],[GroupByKey]])*DiscreteStatsTable[NumberObservations])),0)</f>
        <v>3.62</v>
      </c>
      <c r="W62" s="5">
        <f>IF((DiscreteStatsTable[[#This Row],[RepsRequested]]&gt;1),DiscreteStatsTable[[#This Row],[HalfWidth]],DiscreteStatsTable[[#This Row],[BatchMeansHalfWidth]])</f>
        <v>0</v>
      </c>
      <c r="X62" s="5" cm="1">
        <f t="array" ref="X62">COUNT(IF((DiscreteStatsTable[GroupByKey]=DiscreteStatsTable[[#This Row],[GroupByKey]]),(DiscreteStatsTable[GroupByKey]=DiscreteStatsTable[[#This Row],[GroupByKey]])*DiscreteStatsTable[Replication]))</f>
        <v>50</v>
      </c>
      <c r="Y62" s="5">
        <f>IF(DiscreteStatsTable[[#This Row],[RepsRequested]]=DiscreteStatsTable[[#This Row],[RepsWithStatObserved]],1,0)</f>
        <v>1</v>
      </c>
    </row>
    <row r="63" spans="1:25" x14ac:dyDescent="0.35">
      <c r="A63" t="s">
        <v>66</v>
      </c>
      <c r="B63" t="s">
        <v>69</v>
      </c>
      <c r="C63">
        <v>11</v>
      </c>
      <c r="D63" t="s">
        <v>70</v>
      </c>
      <c r="E63" t="s">
        <v>73</v>
      </c>
      <c r="F63" t="s">
        <v>72</v>
      </c>
      <c r="G63">
        <v>0</v>
      </c>
      <c r="H63">
        <v>2E+20</v>
      </c>
      <c r="I63">
        <v>0</v>
      </c>
      <c r="J63">
        <v>0</v>
      </c>
      <c r="K63">
        <v>4</v>
      </c>
      <c r="L63" s="5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63" s="5" cm="1">
        <f t="array" ref="M63">MAX(IF((ProjectInfoTable[ProjectName]=DiscreteStatsTable[[#This Row],[ProjectName]]),(ProjectInfoTable[ProjectName]=DiscreteStatsTable[[#This Row],[ProjectName]])*ProjectInfoTable[NumberOfReplications]))</f>
        <v>50</v>
      </c>
      <c r="N63" s="5" cm="1">
        <f t="array" ref="N63">IFERROR(AVERAGE(IF((DiscreteStatsTable[GroupByKey]=DiscreteStatsTable[[#This Row],[GroupByKey]]),(DiscreteStatsTable[GroupByKey]=DiscreteStatsTable[[#This Row],[GroupByKey]])*DiscreteStatsTable[Average])),0)</f>
        <v>0</v>
      </c>
      <c r="O63" s="5" cm="1">
        <f t="array" ref="O63">IFERROR(_xlfn.STDEV.S(IF((DiscreteStatsTable[GroupByKey]=DiscreteStatsTable[[#This Row],[GroupByKey]]),(DiscreteStatsTable[GroupByKey]=DiscreteStatsTable[[#This Row],[GroupByKey]])*DiscreteStatsTable[Average])),0)</f>
        <v>0</v>
      </c>
      <c r="P63" s="5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 s="5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" s="5" cm="1">
        <f t="array" ref="R63">MIN(IF((DiscreteStatsTable[GroupByKey]=DiscreteStatsTable[[#This Row],[GroupByKey]]),(DiscreteStatsTable[GroupByKey]=DiscreteStatsTable[[#This Row],[GroupByKey]])*DiscreteStatsTable[Average]))</f>
        <v>0</v>
      </c>
      <c r="S63" s="5" cm="1">
        <f t="array" ref="S63">MAX(IF((DiscreteStatsTable[GroupByKey]=DiscreteStatsTable[[#This Row],[GroupByKey]]),(DiscreteStatsTable[GroupByKey]=DiscreteStatsTable[[#This Row],[GroupByKey]])*DiscreteStatsTable[Average]))</f>
        <v>0</v>
      </c>
      <c r="T63" s="5" cm="1">
        <f t="array" ref="T63">MIN(IF((DiscreteStatsTable[GroupByKey]=DiscreteStatsTable[[#This Row],[GroupByKey]]),(DiscreteStatsTable[GroupByKey]=DiscreteStatsTable[[#This Row],[GroupByKey]])*DiscreteStatsTable[Minimum]))</f>
        <v>0</v>
      </c>
      <c r="U63" s="5" cm="1">
        <f t="array" ref="U63">MAX(IF((DiscreteStatsTable[GroupByKey]=DiscreteStatsTable[[#This Row],[GroupByKey]]),(DiscreteStatsTable[GroupByKey]=DiscreteStatsTable[[#This Row],[GroupByKey]])*DiscreteStatsTable[Maximum]))</f>
        <v>0</v>
      </c>
      <c r="V63" s="5" cm="1">
        <f t="array" ref="V63">IFERROR(AVERAGE(IF((DiscreteStatsTable[GroupByKey]=DiscreteStatsTable[[#This Row],[GroupByKey]]),(DiscreteStatsTable[GroupByKey]=DiscreteStatsTable[[#This Row],[GroupByKey]])*DiscreteStatsTable[NumberObservations])),0)</f>
        <v>3.62</v>
      </c>
      <c r="W63" s="5">
        <f>IF((DiscreteStatsTable[[#This Row],[RepsRequested]]&gt;1),DiscreteStatsTable[[#This Row],[HalfWidth]],DiscreteStatsTable[[#This Row],[BatchMeansHalfWidth]])</f>
        <v>0</v>
      </c>
      <c r="X63" s="5" cm="1">
        <f t="array" ref="X63">COUNT(IF((DiscreteStatsTable[GroupByKey]=DiscreteStatsTable[[#This Row],[GroupByKey]]),(DiscreteStatsTable[GroupByKey]=DiscreteStatsTable[[#This Row],[GroupByKey]])*DiscreteStatsTable[Replication]))</f>
        <v>50</v>
      </c>
      <c r="Y63" s="5">
        <f>IF(DiscreteStatsTable[[#This Row],[RepsRequested]]=DiscreteStatsTable[[#This Row],[RepsWithStatObserved]],1,0)</f>
        <v>1</v>
      </c>
    </row>
    <row r="64" spans="1:25" x14ac:dyDescent="0.35">
      <c r="A64" t="s">
        <v>66</v>
      </c>
      <c r="B64" t="s">
        <v>69</v>
      </c>
      <c r="C64">
        <v>11</v>
      </c>
      <c r="D64" t="s">
        <v>70</v>
      </c>
      <c r="E64" t="s">
        <v>74</v>
      </c>
      <c r="F64" t="s">
        <v>72</v>
      </c>
      <c r="G64">
        <v>2.6694529888996801</v>
      </c>
      <c r="H64">
        <v>2E+20</v>
      </c>
      <c r="I64">
        <v>1.2865495737068999</v>
      </c>
      <c r="J64">
        <v>4.0748608873408596</v>
      </c>
      <c r="K64">
        <v>4</v>
      </c>
      <c r="L64" s="5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64" s="5" cm="1">
        <f t="array" ref="M64">MAX(IF((ProjectInfoTable[ProjectName]=DiscreteStatsTable[[#This Row],[ProjectName]]),(ProjectInfoTable[ProjectName]=DiscreteStatsTable[[#This Row],[ProjectName]])*ProjectInfoTable[NumberOfReplications]))</f>
        <v>50</v>
      </c>
      <c r="N64" s="5" cm="1">
        <f t="array" ref="N64">IFERROR(AVERAGE(IF((DiscreteStatsTable[GroupByKey]=DiscreteStatsTable[[#This Row],[GroupByKey]]),(DiscreteStatsTable[GroupByKey]=DiscreteStatsTable[[#This Row],[GroupByKey]])*DiscreteStatsTable[Average])),0)</f>
        <v>3.5363894499532775</v>
      </c>
      <c r="O64" s="5" cm="1">
        <f t="array" ref="O64">IFERROR(_xlfn.STDEV.S(IF((DiscreteStatsTable[GroupByKey]=DiscreteStatsTable[[#This Row],[GroupByKey]]),(DiscreteStatsTable[GroupByKey]=DiscreteStatsTable[[#This Row],[GroupByKey]])*DiscreteStatsTable[Average])),0)</f>
        <v>1.1766434570133149</v>
      </c>
      <c r="P64" s="5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 s="5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0.33439837052280896</v>
      </c>
      <c r="R64" s="5" cm="1">
        <f t="array" ref="R64">MIN(IF((DiscreteStatsTable[GroupByKey]=DiscreteStatsTable[[#This Row],[GroupByKey]]),(DiscreteStatsTable[GroupByKey]=DiscreteStatsTable[[#This Row],[GroupByKey]])*DiscreteStatsTable[Average]))</f>
        <v>1.6342264652107701</v>
      </c>
      <c r="S64" s="5" cm="1">
        <f t="array" ref="S64">MAX(IF((DiscreteStatsTable[GroupByKey]=DiscreteStatsTable[[#This Row],[GroupByKey]]),(DiscreteStatsTable[GroupByKey]=DiscreteStatsTable[[#This Row],[GroupByKey]])*DiscreteStatsTable[Average]))</f>
        <v>6.5527373550837904</v>
      </c>
      <c r="T64" s="5" cm="1">
        <f t="array" ref="T64">MIN(IF((DiscreteStatsTable[GroupByKey]=DiscreteStatsTable[[#This Row],[GroupByKey]]),(DiscreteStatsTable[GroupByKey]=DiscreteStatsTable[[#This Row],[GroupByKey]])*DiscreteStatsTable[Minimum]))</f>
        <v>0.58847912081681497</v>
      </c>
      <c r="U64" s="5" cm="1">
        <f t="array" ref="U64">MAX(IF((DiscreteStatsTable[GroupByKey]=DiscreteStatsTable[[#This Row],[GroupByKey]]),(DiscreteStatsTable[GroupByKey]=DiscreteStatsTable[[#This Row],[GroupByKey]])*DiscreteStatsTable[Maximum]))</f>
        <v>8.7476494546828292</v>
      </c>
      <c r="V64" s="5" cm="1">
        <f t="array" ref="V64">IFERROR(AVERAGE(IF((DiscreteStatsTable[GroupByKey]=DiscreteStatsTable[[#This Row],[GroupByKey]]),(DiscreteStatsTable[GroupByKey]=DiscreteStatsTable[[#This Row],[GroupByKey]])*DiscreteStatsTable[NumberObservations])),0)</f>
        <v>3.62</v>
      </c>
      <c r="W64" s="5">
        <f>IF((DiscreteStatsTable[[#This Row],[RepsRequested]]&gt;1),DiscreteStatsTable[[#This Row],[HalfWidth]],DiscreteStatsTable[[#This Row],[BatchMeansHalfWidth]])</f>
        <v>0.33439837052280896</v>
      </c>
      <c r="X64" s="5" cm="1">
        <f t="array" ref="X64">COUNT(IF((DiscreteStatsTable[GroupByKey]=DiscreteStatsTable[[#This Row],[GroupByKey]]),(DiscreteStatsTable[GroupByKey]=DiscreteStatsTable[[#This Row],[GroupByKey]])*DiscreteStatsTable[Replication]))</f>
        <v>50</v>
      </c>
      <c r="Y64" s="5">
        <f>IF(DiscreteStatsTable[[#This Row],[RepsRequested]]=DiscreteStatsTable[[#This Row],[RepsWithStatObserved]],1,0)</f>
        <v>1</v>
      </c>
    </row>
    <row r="65" spans="1:25" x14ac:dyDescent="0.35">
      <c r="A65" t="s">
        <v>66</v>
      </c>
      <c r="B65" t="s">
        <v>69</v>
      </c>
      <c r="C65">
        <v>11</v>
      </c>
      <c r="D65" t="s">
        <v>70</v>
      </c>
      <c r="E65" t="s">
        <v>75</v>
      </c>
      <c r="F65" t="s">
        <v>72</v>
      </c>
      <c r="G65">
        <v>0</v>
      </c>
      <c r="H65">
        <v>2E+20</v>
      </c>
      <c r="I65">
        <v>0</v>
      </c>
      <c r="J65">
        <v>0</v>
      </c>
      <c r="K65">
        <v>4</v>
      </c>
      <c r="L65" s="5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65" s="5" cm="1">
        <f t="array" ref="M65">MAX(IF((ProjectInfoTable[ProjectName]=DiscreteStatsTable[[#This Row],[ProjectName]]),(ProjectInfoTable[ProjectName]=DiscreteStatsTable[[#This Row],[ProjectName]])*ProjectInfoTable[NumberOfReplications]))</f>
        <v>50</v>
      </c>
      <c r="N65" s="5" cm="1">
        <f t="array" ref="N65">IFERROR(AVERAGE(IF((DiscreteStatsTable[GroupByKey]=DiscreteStatsTable[[#This Row],[GroupByKey]]),(DiscreteStatsTable[GroupByKey]=DiscreteStatsTable[[#This Row],[GroupByKey]])*DiscreteStatsTable[Average])),0)</f>
        <v>0</v>
      </c>
      <c r="O65" s="5" cm="1">
        <f t="array" ref="O65">IFERROR(_xlfn.STDEV.S(IF((DiscreteStatsTable[GroupByKey]=DiscreteStatsTable[[#This Row],[GroupByKey]]),(DiscreteStatsTable[GroupByKey]=DiscreteStatsTable[[#This Row],[GroupByKey]])*DiscreteStatsTable[Average])),0)</f>
        <v>0</v>
      </c>
      <c r="P65" s="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 s="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" s="5" cm="1">
        <f t="array" ref="R65">MIN(IF((DiscreteStatsTable[GroupByKey]=DiscreteStatsTable[[#This Row],[GroupByKey]]),(DiscreteStatsTable[GroupByKey]=DiscreteStatsTable[[#This Row],[GroupByKey]])*DiscreteStatsTable[Average]))</f>
        <v>0</v>
      </c>
      <c r="S65" s="5" cm="1">
        <f t="array" ref="S65">MAX(IF((DiscreteStatsTable[GroupByKey]=DiscreteStatsTable[[#This Row],[GroupByKey]]),(DiscreteStatsTable[GroupByKey]=DiscreteStatsTable[[#This Row],[GroupByKey]])*DiscreteStatsTable[Average]))</f>
        <v>0</v>
      </c>
      <c r="T65" s="5" cm="1">
        <f t="array" ref="T65">MIN(IF((DiscreteStatsTable[GroupByKey]=DiscreteStatsTable[[#This Row],[GroupByKey]]),(DiscreteStatsTable[GroupByKey]=DiscreteStatsTable[[#This Row],[GroupByKey]])*DiscreteStatsTable[Minimum]))</f>
        <v>0</v>
      </c>
      <c r="U65" s="5" cm="1">
        <f t="array" ref="U65">MAX(IF((DiscreteStatsTable[GroupByKey]=DiscreteStatsTable[[#This Row],[GroupByKey]]),(DiscreteStatsTable[GroupByKey]=DiscreteStatsTable[[#This Row],[GroupByKey]])*DiscreteStatsTable[Maximum]))</f>
        <v>0</v>
      </c>
      <c r="V65" s="5" cm="1">
        <f t="array" ref="V65">IFERROR(AVERAGE(IF((DiscreteStatsTable[GroupByKey]=DiscreteStatsTable[[#This Row],[GroupByKey]]),(DiscreteStatsTable[GroupByKey]=DiscreteStatsTable[[#This Row],[GroupByKey]])*DiscreteStatsTable[NumberObservations])),0)</f>
        <v>3.62</v>
      </c>
      <c r="W65" s="5">
        <f>IF((DiscreteStatsTable[[#This Row],[RepsRequested]]&gt;1),DiscreteStatsTable[[#This Row],[HalfWidth]],DiscreteStatsTable[[#This Row],[BatchMeansHalfWidth]])</f>
        <v>0</v>
      </c>
      <c r="X65" s="5" cm="1">
        <f t="array" ref="X65">COUNT(IF((DiscreteStatsTable[GroupByKey]=DiscreteStatsTable[[#This Row],[GroupByKey]]),(DiscreteStatsTable[GroupByKey]=DiscreteStatsTable[[#This Row],[GroupByKey]])*DiscreteStatsTable[Replication]))</f>
        <v>50</v>
      </c>
      <c r="Y65" s="5">
        <f>IF(DiscreteStatsTable[[#This Row],[RepsRequested]]=DiscreteStatsTable[[#This Row],[RepsWithStatObserved]],1,0)</f>
        <v>1</v>
      </c>
    </row>
    <row r="66" spans="1:25" x14ac:dyDescent="0.35">
      <c r="A66" t="s">
        <v>66</v>
      </c>
      <c r="B66" t="s">
        <v>69</v>
      </c>
      <c r="C66">
        <v>11</v>
      </c>
      <c r="D66" t="s">
        <v>70</v>
      </c>
      <c r="E66" t="s">
        <v>76</v>
      </c>
      <c r="F66" t="s">
        <v>72</v>
      </c>
      <c r="G66">
        <v>2.0105589102024299</v>
      </c>
      <c r="H66">
        <v>2E+20</v>
      </c>
      <c r="I66">
        <v>1.2319650874589301</v>
      </c>
      <c r="J66">
        <v>2.7765591242421599</v>
      </c>
      <c r="K66">
        <v>4</v>
      </c>
      <c r="L66" s="5" t="str">
        <f>DiscreteStatsTable[[#This Row],[ProjectName]]&amp;DiscreteStatsTable[[#This Row],[Name]]&amp;DiscreteStatsTable[[#This Row],[Type]]&amp;DiscreteStatsTable[[#This Row],[Source]]</f>
        <v>Unnamed ProjectArquivosVA TimeEntity</v>
      </c>
      <c r="M66" s="5" cm="1">
        <f t="array" ref="M66">MAX(IF((ProjectInfoTable[ProjectName]=DiscreteStatsTable[[#This Row],[ProjectName]]),(ProjectInfoTable[ProjectName]=DiscreteStatsTable[[#This Row],[ProjectName]])*ProjectInfoTable[NumberOfReplications]))</f>
        <v>50</v>
      </c>
      <c r="N66" s="5" cm="1">
        <f t="array" ref="N66">IFERROR(AVERAGE(IF((DiscreteStatsTable[GroupByKey]=DiscreteStatsTable[[#This Row],[GroupByKey]]),(DiscreteStatsTable[GroupByKey]=DiscreteStatsTable[[#This Row],[GroupByKey]])*DiscreteStatsTable[Average])),0)</f>
        <v>2.3123810058270009</v>
      </c>
      <c r="O66" s="5" cm="1">
        <f t="array" ref="O66">IFERROR(_xlfn.STDEV.S(IF((DiscreteStatsTable[GroupByKey]=DiscreteStatsTable[[#This Row],[GroupByKey]]),(DiscreteStatsTable[GroupByKey]=DiscreteStatsTable[[#This Row],[GroupByKey]])*DiscreteStatsTable[Average])),0)</f>
        <v>0.47735516285795621</v>
      </c>
      <c r="P66" s="5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 s="5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0.13566283623888314</v>
      </c>
      <c r="R66" s="5" cm="1">
        <f t="array" ref="R66">MIN(IF((DiscreteStatsTable[GroupByKey]=DiscreteStatsTable[[#This Row],[GroupByKey]]),(DiscreteStatsTable[GroupByKey]=DiscreteStatsTable[[#This Row],[GroupByKey]])*DiscreteStatsTable[Average]))</f>
        <v>1.3773415743205399</v>
      </c>
      <c r="S66" s="5" cm="1">
        <f t="array" ref="S66">MAX(IF((DiscreteStatsTable[GroupByKey]=DiscreteStatsTable[[#This Row],[GroupByKey]]),(DiscreteStatsTable[GroupByKey]=DiscreteStatsTable[[#This Row],[GroupByKey]])*DiscreteStatsTable[Average]))</f>
        <v>3.3139161730180202</v>
      </c>
      <c r="T66" s="5" cm="1">
        <f t="array" ref="T66">MIN(IF((DiscreteStatsTable[GroupByKey]=DiscreteStatsTable[[#This Row],[GroupByKey]]),(DiscreteStatsTable[GroupByKey]=DiscreteStatsTable[[#This Row],[GroupByKey]])*DiscreteStatsTable[Minimum]))</f>
        <v>0.58847912081681497</v>
      </c>
      <c r="U66" s="5" cm="1">
        <f t="array" ref="U66">MAX(IF((DiscreteStatsTable[GroupByKey]=DiscreteStatsTable[[#This Row],[GroupByKey]]),(DiscreteStatsTable[GroupByKey]=DiscreteStatsTable[[#This Row],[GroupByKey]])*DiscreteStatsTable[Maximum]))</f>
        <v>4.9756405925629998</v>
      </c>
      <c r="V66" s="5" cm="1">
        <f t="array" ref="V66">IFERROR(AVERAGE(IF((DiscreteStatsTable[GroupByKey]=DiscreteStatsTable[[#This Row],[GroupByKey]]),(DiscreteStatsTable[GroupByKey]=DiscreteStatsTable[[#This Row],[GroupByKey]])*DiscreteStatsTable[NumberObservations])),0)</f>
        <v>3.62</v>
      </c>
      <c r="W66" s="5">
        <f>IF((DiscreteStatsTable[[#This Row],[RepsRequested]]&gt;1),DiscreteStatsTable[[#This Row],[HalfWidth]],DiscreteStatsTable[[#This Row],[BatchMeansHalfWidth]])</f>
        <v>0.13566283623888314</v>
      </c>
      <c r="X66" s="5" cm="1">
        <f t="array" ref="X66">COUNT(IF((DiscreteStatsTable[GroupByKey]=DiscreteStatsTable[[#This Row],[GroupByKey]]),(DiscreteStatsTable[GroupByKey]=DiscreteStatsTable[[#This Row],[GroupByKey]])*DiscreteStatsTable[Replication]))</f>
        <v>50</v>
      </c>
      <c r="Y66" s="5">
        <f>IF(DiscreteStatsTable[[#This Row],[RepsRequested]]=DiscreteStatsTable[[#This Row],[RepsWithStatObserved]],1,0)</f>
        <v>1</v>
      </c>
    </row>
    <row r="67" spans="1:25" x14ac:dyDescent="0.35">
      <c r="A67" t="s">
        <v>66</v>
      </c>
      <c r="B67" t="s">
        <v>69</v>
      </c>
      <c r="C67">
        <v>11</v>
      </c>
      <c r="D67" t="s">
        <v>70</v>
      </c>
      <c r="E67" t="s">
        <v>77</v>
      </c>
      <c r="F67" t="s">
        <v>72</v>
      </c>
      <c r="G67">
        <v>0.65889407869724503</v>
      </c>
      <c r="H67">
        <v>2E+20</v>
      </c>
      <c r="I67">
        <v>0</v>
      </c>
      <c r="J67">
        <v>2.3737723369045098</v>
      </c>
      <c r="K67">
        <v>4</v>
      </c>
      <c r="L67" s="5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67" s="5" cm="1">
        <f t="array" ref="M67">MAX(IF((ProjectInfoTable[ProjectName]=DiscreteStatsTable[[#This Row],[ProjectName]]),(ProjectInfoTable[ProjectName]=DiscreteStatsTable[[#This Row],[ProjectName]])*ProjectInfoTable[NumberOfReplications]))</f>
        <v>50</v>
      </c>
      <c r="N67" s="5" cm="1">
        <f t="array" ref="N67">IFERROR(AVERAGE(IF((DiscreteStatsTable[GroupByKey]=DiscreteStatsTable[[#This Row],[GroupByKey]]),(DiscreteStatsTable[GroupByKey]=DiscreteStatsTable[[#This Row],[GroupByKey]])*DiscreteStatsTable[Average])),0)</f>
        <v>1.2240084441262762</v>
      </c>
      <c r="O67" s="5" cm="1">
        <f t="array" ref="O67">IFERROR(_xlfn.STDEV.S(IF((DiscreteStatsTable[GroupByKey]=DiscreteStatsTable[[#This Row],[GroupByKey]]),(DiscreteStatsTable[GroupByKey]=DiscreteStatsTable[[#This Row],[GroupByKey]])*DiscreteStatsTable[Average])),0)</f>
        <v>0.89867905452837749</v>
      </c>
      <c r="P67" s="5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 s="5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0.2554017613968404</v>
      </c>
      <c r="R67" s="5" cm="1">
        <f t="array" ref="R67">MIN(IF((DiscreteStatsTable[GroupByKey]=DiscreteStatsTable[[#This Row],[GroupByKey]]),(DiscreteStatsTable[GroupByKey]=DiscreteStatsTable[[#This Row],[GroupByKey]])*DiscreteStatsTable[Average]))</f>
        <v>0</v>
      </c>
      <c r="S67" s="5" cm="1">
        <f t="array" ref="S67">MAX(IF((DiscreteStatsTable[GroupByKey]=DiscreteStatsTable[[#This Row],[GroupByKey]]),(DiscreteStatsTable[GroupByKey]=DiscreteStatsTable[[#This Row],[GroupByKey]])*DiscreteStatsTable[Average]))</f>
        <v>3.4345522286517598</v>
      </c>
      <c r="T67" s="5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s="5" cm="1">
        <f t="array" ref="U67">MAX(IF((DiscreteStatsTable[GroupByKey]=DiscreteStatsTable[[#This Row],[GroupByKey]]),(DiscreteStatsTable[GroupByKey]=DiscreteStatsTable[[#This Row],[GroupByKey]])*DiscreteStatsTable[Maximum]))</f>
        <v>6.7563093676697896</v>
      </c>
      <c r="V67" s="5" cm="1">
        <f t="array" ref="V67">IFERROR(AVERAGE(IF((DiscreteStatsTable[GroupByKey]=DiscreteStatsTable[[#This Row],[GroupByKey]]),(DiscreteStatsTable[GroupByKey]=DiscreteStatsTable[[#This Row],[GroupByKey]])*DiscreteStatsTable[NumberObservations])),0)</f>
        <v>3.62</v>
      </c>
      <c r="W67" s="5">
        <f>IF((DiscreteStatsTable[[#This Row],[RepsRequested]]&gt;1),DiscreteStatsTable[[#This Row],[HalfWidth]],DiscreteStatsTable[[#This Row],[BatchMeansHalfWidth]])</f>
        <v>0.2554017613968404</v>
      </c>
      <c r="X67" s="5" cm="1">
        <f t="array" ref="X67">COUNT(IF((DiscreteStatsTable[GroupByKey]=DiscreteStatsTable[[#This Row],[GroupByKey]]),(DiscreteStatsTable[GroupByKey]=DiscreteStatsTable[[#This Row],[GroupByKey]])*DiscreteStatsTable[Replication]))</f>
        <v>50</v>
      </c>
      <c r="Y67" s="5">
        <f>IF(DiscreteStatsTable[[#This Row],[RepsRequested]]=DiscreteStatsTable[[#This Row],[RepsWithStatObserved]],1,0)</f>
        <v>1</v>
      </c>
    </row>
    <row r="68" spans="1:25" x14ac:dyDescent="0.35">
      <c r="A68" t="s">
        <v>66</v>
      </c>
      <c r="B68" t="s">
        <v>69</v>
      </c>
      <c r="C68">
        <v>12</v>
      </c>
      <c r="D68" t="s">
        <v>70</v>
      </c>
      <c r="E68" t="s">
        <v>71</v>
      </c>
      <c r="F68" t="s">
        <v>72</v>
      </c>
      <c r="G68">
        <v>0</v>
      </c>
      <c r="H68">
        <v>2E+20</v>
      </c>
      <c r="I68">
        <v>0</v>
      </c>
      <c r="J68">
        <v>0</v>
      </c>
      <c r="K68">
        <v>4</v>
      </c>
      <c r="L68" s="5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68" s="5" cm="1">
        <f t="array" ref="M68">MAX(IF((ProjectInfoTable[ProjectName]=DiscreteStatsTable[[#This Row],[ProjectName]]),(ProjectInfoTable[ProjectName]=DiscreteStatsTable[[#This Row],[ProjectName]])*ProjectInfoTable[NumberOfReplications]))</f>
        <v>50</v>
      </c>
      <c r="N68" s="5" cm="1">
        <f t="array" ref="N68">IFERROR(AVERAGE(IF((DiscreteStatsTable[GroupByKey]=DiscreteStatsTable[[#This Row],[GroupByKey]]),(DiscreteStatsTable[GroupByKey]=DiscreteStatsTable[[#This Row],[GroupByKey]])*DiscreteStatsTable[Average])),0)</f>
        <v>0</v>
      </c>
      <c r="O68" s="5" cm="1">
        <f t="array" ref="O68">IFERROR(_xlfn.STDEV.S(IF((DiscreteStatsTable[GroupByKey]=DiscreteStatsTable[[#This Row],[GroupByKey]]),(DiscreteStatsTable[GroupByKey]=DiscreteStatsTable[[#This Row],[GroupByKey]])*DiscreteStatsTable[Average])),0)</f>
        <v>0</v>
      </c>
      <c r="P68" s="5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 s="5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" s="5" cm="1">
        <f t="array" ref="R68">MIN(IF((DiscreteStatsTable[GroupByKey]=DiscreteStatsTable[[#This Row],[GroupByKey]]),(DiscreteStatsTable[GroupByKey]=DiscreteStatsTable[[#This Row],[GroupByKey]])*DiscreteStatsTable[Average]))</f>
        <v>0</v>
      </c>
      <c r="S68" s="5" cm="1">
        <f t="array" ref="S68">MAX(IF((DiscreteStatsTable[GroupByKey]=DiscreteStatsTable[[#This Row],[GroupByKey]]),(DiscreteStatsTable[GroupByKey]=DiscreteStatsTable[[#This Row],[GroupByKey]])*DiscreteStatsTable[Average]))</f>
        <v>0</v>
      </c>
      <c r="T68" s="5" cm="1">
        <f t="array" ref="T68">MIN(IF((DiscreteStatsTable[GroupByKey]=DiscreteStatsTable[[#This Row],[GroupByKey]]),(DiscreteStatsTable[GroupByKey]=DiscreteStatsTable[[#This Row],[GroupByKey]])*DiscreteStatsTable[Minimum]))</f>
        <v>0</v>
      </c>
      <c r="U68" s="5" cm="1">
        <f t="array" ref="U68">MAX(IF((DiscreteStatsTable[GroupByKey]=DiscreteStatsTable[[#This Row],[GroupByKey]]),(DiscreteStatsTable[GroupByKey]=DiscreteStatsTable[[#This Row],[GroupByKey]])*DiscreteStatsTable[Maximum]))</f>
        <v>0</v>
      </c>
      <c r="V68" s="5" cm="1">
        <f t="array" ref="V68">IFERROR(AVERAGE(IF((DiscreteStatsTable[GroupByKey]=DiscreteStatsTable[[#This Row],[GroupByKey]]),(DiscreteStatsTable[GroupByKey]=DiscreteStatsTable[[#This Row],[GroupByKey]])*DiscreteStatsTable[NumberObservations])),0)</f>
        <v>3.62</v>
      </c>
      <c r="W68" s="5">
        <f>IF((DiscreteStatsTable[[#This Row],[RepsRequested]]&gt;1),DiscreteStatsTable[[#This Row],[HalfWidth]],DiscreteStatsTable[[#This Row],[BatchMeansHalfWidth]])</f>
        <v>0</v>
      </c>
      <c r="X68" s="5" cm="1">
        <f t="array" ref="X68">COUNT(IF((DiscreteStatsTable[GroupByKey]=DiscreteStatsTable[[#This Row],[GroupByKey]]),(DiscreteStatsTable[GroupByKey]=DiscreteStatsTable[[#This Row],[GroupByKey]])*DiscreteStatsTable[Replication]))</f>
        <v>50</v>
      </c>
      <c r="Y68" s="5">
        <f>IF(DiscreteStatsTable[[#This Row],[RepsRequested]]=DiscreteStatsTable[[#This Row],[RepsWithStatObserved]],1,0)</f>
        <v>1</v>
      </c>
    </row>
    <row r="69" spans="1:25" x14ac:dyDescent="0.35">
      <c r="A69" t="s">
        <v>66</v>
      </c>
      <c r="B69" t="s">
        <v>69</v>
      </c>
      <c r="C69">
        <v>12</v>
      </c>
      <c r="D69" t="s">
        <v>70</v>
      </c>
      <c r="E69" t="s">
        <v>73</v>
      </c>
      <c r="F69" t="s">
        <v>72</v>
      </c>
      <c r="G69">
        <v>0</v>
      </c>
      <c r="H69">
        <v>2E+20</v>
      </c>
      <c r="I69">
        <v>0</v>
      </c>
      <c r="J69">
        <v>0</v>
      </c>
      <c r="K69">
        <v>4</v>
      </c>
      <c r="L69" s="5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69" s="5" cm="1">
        <f t="array" ref="M69">MAX(IF((ProjectInfoTable[ProjectName]=DiscreteStatsTable[[#This Row],[ProjectName]]),(ProjectInfoTable[ProjectName]=DiscreteStatsTable[[#This Row],[ProjectName]])*ProjectInfoTable[NumberOfReplications]))</f>
        <v>50</v>
      </c>
      <c r="N69" s="5" cm="1">
        <f t="array" ref="N69">IFERROR(AVERAGE(IF((DiscreteStatsTable[GroupByKey]=DiscreteStatsTable[[#This Row],[GroupByKey]]),(DiscreteStatsTable[GroupByKey]=DiscreteStatsTable[[#This Row],[GroupByKey]])*DiscreteStatsTable[Average])),0)</f>
        <v>0</v>
      </c>
      <c r="O69" s="5" cm="1">
        <f t="array" ref="O69">IFERROR(_xlfn.STDEV.S(IF((DiscreteStatsTable[GroupByKey]=DiscreteStatsTable[[#This Row],[GroupByKey]]),(DiscreteStatsTable[GroupByKey]=DiscreteStatsTable[[#This Row],[GroupByKey]])*DiscreteStatsTable[Average])),0)</f>
        <v>0</v>
      </c>
      <c r="P69" s="5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 s="5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" s="5" cm="1">
        <f t="array" ref="R69">MIN(IF((DiscreteStatsTable[GroupByKey]=DiscreteStatsTable[[#This Row],[GroupByKey]]),(DiscreteStatsTable[GroupByKey]=DiscreteStatsTable[[#This Row],[GroupByKey]])*DiscreteStatsTable[Average]))</f>
        <v>0</v>
      </c>
      <c r="S69" s="5" cm="1">
        <f t="array" ref="S69">MAX(IF((DiscreteStatsTable[GroupByKey]=DiscreteStatsTable[[#This Row],[GroupByKey]]),(DiscreteStatsTable[GroupByKey]=DiscreteStatsTable[[#This Row],[GroupByKey]])*DiscreteStatsTable[Average]))</f>
        <v>0</v>
      </c>
      <c r="T69" s="5" cm="1">
        <f t="array" ref="T69">MIN(IF((DiscreteStatsTable[GroupByKey]=DiscreteStatsTable[[#This Row],[GroupByKey]]),(DiscreteStatsTable[GroupByKey]=DiscreteStatsTable[[#This Row],[GroupByKey]])*DiscreteStatsTable[Minimum]))</f>
        <v>0</v>
      </c>
      <c r="U69" s="5" cm="1">
        <f t="array" ref="U69">MAX(IF((DiscreteStatsTable[GroupByKey]=DiscreteStatsTable[[#This Row],[GroupByKey]]),(DiscreteStatsTable[GroupByKey]=DiscreteStatsTable[[#This Row],[GroupByKey]])*DiscreteStatsTable[Maximum]))</f>
        <v>0</v>
      </c>
      <c r="V69" s="5" cm="1">
        <f t="array" ref="V69">IFERROR(AVERAGE(IF((DiscreteStatsTable[GroupByKey]=DiscreteStatsTable[[#This Row],[GroupByKey]]),(DiscreteStatsTable[GroupByKey]=DiscreteStatsTable[[#This Row],[GroupByKey]])*DiscreteStatsTable[NumberObservations])),0)</f>
        <v>3.62</v>
      </c>
      <c r="W69" s="5">
        <f>IF((DiscreteStatsTable[[#This Row],[RepsRequested]]&gt;1),DiscreteStatsTable[[#This Row],[HalfWidth]],DiscreteStatsTable[[#This Row],[BatchMeansHalfWidth]])</f>
        <v>0</v>
      </c>
      <c r="X69" s="5" cm="1">
        <f t="array" ref="X69">COUNT(IF((DiscreteStatsTable[GroupByKey]=DiscreteStatsTable[[#This Row],[GroupByKey]]),(DiscreteStatsTable[GroupByKey]=DiscreteStatsTable[[#This Row],[GroupByKey]])*DiscreteStatsTable[Replication]))</f>
        <v>50</v>
      </c>
      <c r="Y69" s="5">
        <f>IF(DiscreteStatsTable[[#This Row],[RepsRequested]]=DiscreteStatsTable[[#This Row],[RepsWithStatObserved]],1,0)</f>
        <v>1</v>
      </c>
    </row>
    <row r="70" spans="1:25" x14ac:dyDescent="0.35">
      <c r="A70" t="s">
        <v>66</v>
      </c>
      <c r="B70" t="s">
        <v>69</v>
      </c>
      <c r="C70">
        <v>12</v>
      </c>
      <c r="D70" t="s">
        <v>70</v>
      </c>
      <c r="E70" t="s">
        <v>74</v>
      </c>
      <c r="F70" t="s">
        <v>72</v>
      </c>
      <c r="G70">
        <v>2.5084251465026401</v>
      </c>
      <c r="H70">
        <v>2E+20</v>
      </c>
      <c r="I70">
        <v>1.3451355245294701</v>
      </c>
      <c r="J70">
        <v>4.0427389657687298</v>
      </c>
      <c r="K70">
        <v>4</v>
      </c>
      <c r="L70" s="5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70" s="5" cm="1">
        <f t="array" ref="M70">MAX(IF((ProjectInfoTable[ProjectName]=DiscreteStatsTable[[#This Row],[ProjectName]]),(ProjectInfoTable[ProjectName]=DiscreteStatsTable[[#This Row],[ProjectName]])*ProjectInfoTable[NumberOfReplications]))</f>
        <v>50</v>
      </c>
      <c r="N70" s="5" cm="1">
        <f t="array" ref="N70">IFERROR(AVERAGE(IF((DiscreteStatsTable[GroupByKey]=DiscreteStatsTable[[#This Row],[GroupByKey]]),(DiscreteStatsTable[GroupByKey]=DiscreteStatsTable[[#This Row],[GroupByKey]])*DiscreteStatsTable[Average])),0)</f>
        <v>3.5363894499532775</v>
      </c>
      <c r="O70" s="5" cm="1">
        <f t="array" ref="O70">IFERROR(_xlfn.STDEV.S(IF((DiscreteStatsTable[GroupByKey]=DiscreteStatsTable[[#This Row],[GroupByKey]]),(DiscreteStatsTable[GroupByKey]=DiscreteStatsTable[[#This Row],[GroupByKey]])*DiscreteStatsTable[Average])),0)</f>
        <v>1.1766434570133149</v>
      </c>
      <c r="P70" s="5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 s="5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0.33439837052280896</v>
      </c>
      <c r="R70" s="5" cm="1">
        <f t="array" ref="R70">MIN(IF((DiscreteStatsTable[GroupByKey]=DiscreteStatsTable[[#This Row],[GroupByKey]]),(DiscreteStatsTable[GroupByKey]=DiscreteStatsTable[[#This Row],[GroupByKey]])*DiscreteStatsTable[Average]))</f>
        <v>1.6342264652107701</v>
      </c>
      <c r="S70" s="5" cm="1">
        <f t="array" ref="S70">MAX(IF((DiscreteStatsTable[GroupByKey]=DiscreteStatsTable[[#This Row],[GroupByKey]]),(DiscreteStatsTable[GroupByKey]=DiscreteStatsTable[[#This Row],[GroupByKey]])*DiscreteStatsTable[Average]))</f>
        <v>6.5527373550837904</v>
      </c>
      <c r="T70" s="5" cm="1">
        <f t="array" ref="T70">MIN(IF((DiscreteStatsTable[GroupByKey]=DiscreteStatsTable[[#This Row],[GroupByKey]]),(DiscreteStatsTable[GroupByKey]=DiscreteStatsTable[[#This Row],[GroupByKey]])*DiscreteStatsTable[Minimum]))</f>
        <v>0.58847912081681497</v>
      </c>
      <c r="U70" s="5" cm="1">
        <f t="array" ref="U70">MAX(IF((DiscreteStatsTable[GroupByKey]=DiscreteStatsTable[[#This Row],[GroupByKey]]),(DiscreteStatsTable[GroupByKey]=DiscreteStatsTable[[#This Row],[GroupByKey]])*DiscreteStatsTable[Maximum]))</f>
        <v>8.7476494546828292</v>
      </c>
      <c r="V70" s="5" cm="1">
        <f t="array" ref="V70">IFERROR(AVERAGE(IF((DiscreteStatsTable[GroupByKey]=DiscreteStatsTable[[#This Row],[GroupByKey]]),(DiscreteStatsTable[GroupByKey]=DiscreteStatsTable[[#This Row],[GroupByKey]])*DiscreteStatsTable[NumberObservations])),0)</f>
        <v>3.62</v>
      </c>
      <c r="W70" s="5">
        <f>IF((DiscreteStatsTable[[#This Row],[RepsRequested]]&gt;1),DiscreteStatsTable[[#This Row],[HalfWidth]],DiscreteStatsTable[[#This Row],[BatchMeansHalfWidth]])</f>
        <v>0.33439837052280896</v>
      </c>
      <c r="X70" s="5" cm="1">
        <f t="array" ref="X70">COUNT(IF((DiscreteStatsTable[GroupByKey]=DiscreteStatsTable[[#This Row],[GroupByKey]]),(DiscreteStatsTable[GroupByKey]=DiscreteStatsTable[[#This Row],[GroupByKey]])*DiscreteStatsTable[Replication]))</f>
        <v>50</v>
      </c>
      <c r="Y70" s="5">
        <f>IF(DiscreteStatsTable[[#This Row],[RepsRequested]]=DiscreteStatsTable[[#This Row],[RepsWithStatObserved]],1,0)</f>
        <v>1</v>
      </c>
    </row>
    <row r="71" spans="1:25" x14ac:dyDescent="0.35">
      <c r="A71" t="s">
        <v>66</v>
      </c>
      <c r="B71" t="s">
        <v>69</v>
      </c>
      <c r="C71">
        <v>12</v>
      </c>
      <c r="D71" t="s">
        <v>70</v>
      </c>
      <c r="E71" t="s">
        <v>75</v>
      </c>
      <c r="F71" t="s">
        <v>72</v>
      </c>
      <c r="G71">
        <v>0</v>
      </c>
      <c r="H71">
        <v>2E+20</v>
      </c>
      <c r="I71">
        <v>0</v>
      </c>
      <c r="J71">
        <v>0</v>
      </c>
      <c r="K71">
        <v>4</v>
      </c>
      <c r="L71" s="5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71" s="5" cm="1">
        <f t="array" ref="M71">MAX(IF((ProjectInfoTable[ProjectName]=DiscreteStatsTable[[#This Row],[ProjectName]]),(ProjectInfoTable[ProjectName]=DiscreteStatsTable[[#This Row],[ProjectName]])*ProjectInfoTable[NumberOfReplications]))</f>
        <v>50</v>
      </c>
      <c r="N71" s="5" cm="1">
        <f t="array" ref="N71">IFERROR(AVERAGE(IF((DiscreteStatsTable[GroupByKey]=DiscreteStatsTable[[#This Row],[GroupByKey]]),(DiscreteStatsTable[GroupByKey]=DiscreteStatsTable[[#This Row],[GroupByKey]])*DiscreteStatsTable[Average])),0)</f>
        <v>0</v>
      </c>
      <c r="O71" s="5" cm="1">
        <f t="array" ref="O71">IFERROR(_xlfn.STDEV.S(IF((DiscreteStatsTable[GroupByKey]=DiscreteStatsTable[[#This Row],[GroupByKey]]),(DiscreteStatsTable[GroupByKey]=DiscreteStatsTable[[#This Row],[GroupByKey]])*DiscreteStatsTable[Average])),0)</f>
        <v>0</v>
      </c>
      <c r="P71" s="5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 s="5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" s="5" cm="1">
        <f t="array" ref="R71">MIN(IF((DiscreteStatsTable[GroupByKey]=DiscreteStatsTable[[#This Row],[GroupByKey]]),(DiscreteStatsTable[GroupByKey]=DiscreteStatsTable[[#This Row],[GroupByKey]])*DiscreteStatsTable[Average]))</f>
        <v>0</v>
      </c>
      <c r="S71" s="5" cm="1">
        <f t="array" ref="S71">MAX(IF((DiscreteStatsTable[GroupByKey]=DiscreteStatsTable[[#This Row],[GroupByKey]]),(DiscreteStatsTable[GroupByKey]=DiscreteStatsTable[[#This Row],[GroupByKey]])*DiscreteStatsTable[Average]))</f>
        <v>0</v>
      </c>
      <c r="T71" s="5" cm="1">
        <f t="array" ref="T71">MIN(IF((DiscreteStatsTable[GroupByKey]=DiscreteStatsTable[[#This Row],[GroupByKey]]),(DiscreteStatsTable[GroupByKey]=DiscreteStatsTable[[#This Row],[GroupByKey]])*DiscreteStatsTable[Minimum]))</f>
        <v>0</v>
      </c>
      <c r="U71" s="5" cm="1">
        <f t="array" ref="U71">MAX(IF((DiscreteStatsTable[GroupByKey]=DiscreteStatsTable[[#This Row],[GroupByKey]]),(DiscreteStatsTable[GroupByKey]=DiscreteStatsTable[[#This Row],[GroupByKey]])*DiscreteStatsTable[Maximum]))</f>
        <v>0</v>
      </c>
      <c r="V71" s="5" cm="1">
        <f t="array" ref="V71">IFERROR(AVERAGE(IF((DiscreteStatsTable[GroupByKey]=DiscreteStatsTable[[#This Row],[GroupByKey]]),(DiscreteStatsTable[GroupByKey]=DiscreteStatsTable[[#This Row],[GroupByKey]])*DiscreteStatsTable[NumberObservations])),0)</f>
        <v>3.62</v>
      </c>
      <c r="W71" s="5">
        <f>IF((DiscreteStatsTable[[#This Row],[RepsRequested]]&gt;1),DiscreteStatsTable[[#This Row],[HalfWidth]],DiscreteStatsTable[[#This Row],[BatchMeansHalfWidth]])</f>
        <v>0</v>
      </c>
      <c r="X71" s="5" cm="1">
        <f t="array" ref="X71">COUNT(IF((DiscreteStatsTable[GroupByKey]=DiscreteStatsTable[[#This Row],[GroupByKey]]),(DiscreteStatsTable[GroupByKey]=DiscreteStatsTable[[#This Row],[GroupByKey]])*DiscreteStatsTable[Replication]))</f>
        <v>50</v>
      </c>
      <c r="Y71" s="5">
        <f>IF(DiscreteStatsTable[[#This Row],[RepsRequested]]=DiscreteStatsTable[[#This Row],[RepsWithStatObserved]],1,0)</f>
        <v>1</v>
      </c>
    </row>
    <row r="72" spans="1:25" x14ac:dyDescent="0.35">
      <c r="A72" t="s">
        <v>66</v>
      </c>
      <c r="B72" t="s">
        <v>69</v>
      </c>
      <c r="C72">
        <v>12</v>
      </c>
      <c r="D72" t="s">
        <v>70</v>
      </c>
      <c r="E72" t="s">
        <v>76</v>
      </c>
      <c r="F72" t="s">
        <v>72</v>
      </c>
      <c r="G72">
        <v>2.0809238392732801</v>
      </c>
      <c r="H72">
        <v>2E+20</v>
      </c>
      <c r="I72">
        <v>1.1299107165093401</v>
      </c>
      <c r="J72">
        <v>3.4559701188586698</v>
      </c>
      <c r="K72">
        <v>4</v>
      </c>
      <c r="L72" s="5" t="str">
        <f>DiscreteStatsTable[[#This Row],[ProjectName]]&amp;DiscreteStatsTable[[#This Row],[Name]]&amp;DiscreteStatsTable[[#This Row],[Type]]&amp;DiscreteStatsTable[[#This Row],[Source]]</f>
        <v>Unnamed ProjectArquivosVA TimeEntity</v>
      </c>
      <c r="M72" s="5" cm="1">
        <f t="array" ref="M72">MAX(IF((ProjectInfoTable[ProjectName]=DiscreteStatsTable[[#This Row],[ProjectName]]),(ProjectInfoTable[ProjectName]=DiscreteStatsTable[[#This Row],[ProjectName]])*ProjectInfoTable[NumberOfReplications]))</f>
        <v>50</v>
      </c>
      <c r="N72" s="5" cm="1">
        <f t="array" ref="N72">IFERROR(AVERAGE(IF((DiscreteStatsTable[GroupByKey]=DiscreteStatsTable[[#This Row],[GroupByKey]]),(DiscreteStatsTable[GroupByKey]=DiscreteStatsTable[[#This Row],[GroupByKey]])*DiscreteStatsTable[Average])),0)</f>
        <v>2.3123810058270009</v>
      </c>
      <c r="O72" s="5" cm="1">
        <f t="array" ref="O72">IFERROR(_xlfn.STDEV.S(IF((DiscreteStatsTable[GroupByKey]=DiscreteStatsTable[[#This Row],[GroupByKey]]),(DiscreteStatsTable[GroupByKey]=DiscreteStatsTable[[#This Row],[GroupByKey]])*DiscreteStatsTable[Average])),0)</f>
        <v>0.47735516285795621</v>
      </c>
      <c r="P72" s="5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 s="5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0.13566283623888314</v>
      </c>
      <c r="R72" s="5" cm="1">
        <f t="array" ref="R72">MIN(IF((DiscreteStatsTable[GroupByKey]=DiscreteStatsTable[[#This Row],[GroupByKey]]),(DiscreteStatsTable[GroupByKey]=DiscreteStatsTable[[#This Row],[GroupByKey]])*DiscreteStatsTable[Average]))</f>
        <v>1.3773415743205399</v>
      </c>
      <c r="S72" s="5" cm="1">
        <f t="array" ref="S72">MAX(IF((DiscreteStatsTable[GroupByKey]=DiscreteStatsTable[[#This Row],[GroupByKey]]),(DiscreteStatsTable[GroupByKey]=DiscreteStatsTable[[#This Row],[GroupByKey]])*DiscreteStatsTable[Average]))</f>
        <v>3.3139161730180202</v>
      </c>
      <c r="T72" s="5" cm="1">
        <f t="array" ref="T72">MIN(IF((DiscreteStatsTable[GroupByKey]=DiscreteStatsTable[[#This Row],[GroupByKey]]),(DiscreteStatsTable[GroupByKey]=DiscreteStatsTable[[#This Row],[GroupByKey]])*DiscreteStatsTable[Minimum]))</f>
        <v>0.58847912081681497</v>
      </c>
      <c r="U72" s="5" cm="1">
        <f t="array" ref="U72">MAX(IF((DiscreteStatsTable[GroupByKey]=DiscreteStatsTable[[#This Row],[GroupByKey]]),(DiscreteStatsTable[GroupByKey]=DiscreteStatsTable[[#This Row],[GroupByKey]])*DiscreteStatsTable[Maximum]))</f>
        <v>4.9756405925629998</v>
      </c>
      <c r="V72" s="5" cm="1">
        <f t="array" ref="V72">IFERROR(AVERAGE(IF((DiscreteStatsTable[GroupByKey]=DiscreteStatsTable[[#This Row],[GroupByKey]]),(DiscreteStatsTable[GroupByKey]=DiscreteStatsTable[[#This Row],[GroupByKey]])*DiscreteStatsTable[NumberObservations])),0)</f>
        <v>3.62</v>
      </c>
      <c r="W72" s="5">
        <f>IF((DiscreteStatsTable[[#This Row],[RepsRequested]]&gt;1),DiscreteStatsTable[[#This Row],[HalfWidth]],DiscreteStatsTable[[#This Row],[BatchMeansHalfWidth]])</f>
        <v>0.13566283623888314</v>
      </c>
      <c r="X72" s="5" cm="1">
        <f t="array" ref="X72">COUNT(IF((DiscreteStatsTable[GroupByKey]=DiscreteStatsTable[[#This Row],[GroupByKey]]),(DiscreteStatsTable[GroupByKey]=DiscreteStatsTable[[#This Row],[GroupByKey]])*DiscreteStatsTable[Replication]))</f>
        <v>50</v>
      </c>
      <c r="Y72" s="5">
        <f>IF(DiscreteStatsTable[[#This Row],[RepsRequested]]=DiscreteStatsTable[[#This Row],[RepsWithStatObserved]],1,0)</f>
        <v>1</v>
      </c>
    </row>
    <row r="73" spans="1:25" x14ac:dyDescent="0.35">
      <c r="A73" t="s">
        <v>66</v>
      </c>
      <c r="B73" t="s">
        <v>69</v>
      </c>
      <c r="C73">
        <v>12</v>
      </c>
      <c r="D73" t="s">
        <v>70</v>
      </c>
      <c r="E73" t="s">
        <v>77</v>
      </c>
      <c r="F73" t="s">
        <v>72</v>
      </c>
      <c r="G73">
        <v>0.42750130722935198</v>
      </c>
      <c r="H73">
        <v>2E+20</v>
      </c>
      <c r="I73">
        <v>0</v>
      </c>
      <c r="J73">
        <v>1.1232363820073501</v>
      </c>
      <c r="K73">
        <v>4</v>
      </c>
      <c r="L73" s="5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73" s="5" cm="1">
        <f t="array" ref="M73">MAX(IF((ProjectInfoTable[ProjectName]=DiscreteStatsTable[[#This Row],[ProjectName]]),(ProjectInfoTable[ProjectName]=DiscreteStatsTable[[#This Row],[ProjectName]])*ProjectInfoTable[NumberOfReplications]))</f>
        <v>50</v>
      </c>
      <c r="N73" s="5" cm="1">
        <f t="array" ref="N73">IFERROR(AVERAGE(IF((DiscreteStatsTable[GroupByKey]=DiscreteStatsTable[[#This Row],[GroupByKey]]),(DiscreteStatsTable[GroupByKey]=DiscreteStatsTable[[#This Row],[GroupByKey]])*DiscreteStatsTable[Average])),0)</f>
        <v>1.2240084441262762</v>
      </c>
      <c r="O73" s="5" cm="1">
        <f t="array" ref="O73">IFERROR(_xlfn.STDEV.S(IF((DiscreteStatsTable[GroupByKey]=DiscreteStatsTable[[#This Row],[GroupByKey]]),(DiscreteStatsTable[GroupByKey]=DiscreteStatsTable[[#This Row],[GroupByKey]])*DiscreteStatsTable[Average])),0)</f>
        <v>0.89867905452837749</v>
      </c>
      <c r="P73" s="5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 s="5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0.2554017613968404</v>
      </c>
      <c r="R73" s="5" cm="1">
        <f t="array" ref="R73">MIN(IF((DiscreteStatsTable[GroupByKey]=DiscreteStatsTable[[#This Row],[GroupByKey]]),(DiscreteStatsTable[GroupByKey]=DiscreteStatsTable[[#This Row],[GroupByKey]])*DiscreteStatsTable[Average]))</f>
        <v>0</v>
      </c>
      <c r="S73" s="5" cm="1">
        <f t="array" ref="S73">MAX(IF((DiscreteStatsTable[GroupByKey]=DiscreteStatsTable[[#This Row],[GroupByKey]]),(DiscreteStatsTable[GroupByKey]=DiscreteStatsTable[[#This Row],[GroupByKey]])*DiscreteStatsTable[Average]))</f>
        <v>3.4345522286517598</v>
      </c>
      <c r="T73" s="5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s="5" cm="1">
        <f t="array" ref="U73">MAX(IF((DiscreteStatsTable[GroupByKey]=DiscreteStatsTable[[#This Row],[GroupByKey]]),(DiscreteStatsTable[GroupByKey]=DiscreteStatsTable[[#This Row],[GroupByKey]])*DiscreteStatsTable[Maximum]))</f>
        <v>6.7563093676697896</v>
      </c>
      <c r="V73" s="5" cm="1">
        <f t="array" ref="V73">IFERROR(AVERAGE(IF((DiscreteStatsTable[GroupByKey]=DiscreteStatsTable[[#This Row],[GroupByKey]]),(DiscreteStatsTable[GroupByKey]=DiscreteStatsTable[[#This Row],[GroupByKey]])*DiscreteStatsTable[NumberObservations])),0)</f>
        <v>3.62</v>
      </c>
      <c r="W73" s="5">
        <f>IF((DiscreteStatsTable[[#This Row],[RepsRequested]]&gt;1),DiscreteStatsTable[[#This Row],[HalfWidth]],DiscreteStatsTable[[#This Row],[BatchMeansHalfWidth]])</f>
        <v>0.2554017613968404</v>
      </c>
      <c r="X73" s="5" cm="1">
        <f t="array" ref="X73">COUNT(IF((DiscreteStatsTable[GroupByKey]=DiscreteStatsTable[[#This Row],[GroupByKey]]),(DiscreteStatsTable[GroupByKey]=DiscreteStatsTable[[#This Row],[GroupByKey]])*DiscreteStatsTable[Replication]))</f>
        <v>50</v>
      </c>
      <c r="Y73" s="5">
        <f>IF(DiscreteStatsTable[[#This Row],[RepsRequested]]=DiscreteStatsTable[[#This Row],[RepsWithStatObserved]],1,0)</f>
        <v>1</v>
      </c>
    </row>
    <row r="74" spans="1:25" x14ac:dyDescent="0.35">
      <c r="A74" t="s">
        <v>66</v>
      </c>
      <c r="B74" t="s">
        <v>69</v>
      </c>
      <c r="C74">
        <v>13</v>
      </c>
      <c r="D74" t="s">
        <v>70</v>
      </c>
      <c r="E74" t="s">
        <v>71</v>
      </c>
      <c r="F74" t="s">
        <v>72</v>
      </c>
      <c r="G74">
        <v>0</v>
      </c>
      <c r="H74">
        <v>2E+20</v>
      </c>
      <c r="I74">
        <v>0</v>
      </c>
      <c r="J74">
        <v>0</v>
      </c>
      <c r="K74">
        <v>3</v>
      </c>
      <c r="L74" s="5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74" s="5" cm="1">
        <f t="array" ref="M74">MAX(IF((ProjectInfoTable[ProjectName]=DiscreteStatsTable[[#This Row],[ProjectName]]),(ProjectInfoTable[ProjectName]=DiscreteStatsTable[[#This Row],[ProjectName]])*ProjectInfoTable[NumberOfReplications]))</f>
        <v>50</v>
      </c>
      <c r="N74" s="5" cm="1">
        <f t="array" ref="N74">IFERROR(AVERAGE(IF((DiscreteStatsTable[GroupByKey]=DiscreteStatsTable[[#This Row],[GroupByKey]]),(DiscreteStatsTable[GroupByKey]=DiscreteStatsTable[[#This Row],[GroupByKey]])*DiscreteStatsTable[Average])),0)</f>
        <v>0</v>
      </c>
      <c r="O74" s="5" cm="1">
        <f t="array" ref="O74">IFERROR(_xlfn.STDEV.S(IF((DiscreteStatsTable[GroupByKey]=DiscreteStatsTable[[#This Row],[GroupByKey]]),(DiscreteStatsTable[GroupByKey]=DiscreteStatsTable[[#This Row],[GroupByKey]])*DiscreteStatsTable[Average])),0)</f>
        <v>0</v>
      </c>
      <c r="P74" s="5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 s="5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" s="5" cm="1">
        <f t="array" ref="R74">MIN(IF((DiscreteStatsTable[GroupByKey]=DiscreteStatsTable[[#This Row],[GroupByKey]]),(DiscreteStatsTable[GroupByKey]=DiscreteStatsTable[[#This Row],[GroupByKey]])*DiscreteStatsTable[Average]))</f>
        <v>0</v>
      </c>
      <c r="S74" s="5" cm="1">
        <f t="array" ref="S74">MAX(IF((DiscreteStatsTable[GroupByKey]=DiscreteStatsTable[[#This Row],[GroupByKey]]),(DiscreteStatsTable[GroupByKey]=DiscreteStatsTable[[#This Row],[GroupByKey]])*DiscreteStatsTable[Average]))</f>
        <v>0</v>
      </c>
      <c r="T74" s="5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s="5" cm="1">
        <f t="array" ref="U74">MAX(IF((DiscreteStatsTable[GroupByKey]=DiscreteStatsTable[[#This Row],[GroupByKey]]),(DiscreteStatsTable[GroupByKey]=DiscreteStatsTable[[#This Row],[GroupByKey]])*DiscreteStatsTable[Maximum]))</f>
        <v>0</v>
      </c>
      <c r="V74" s="5" cm="1">
        <f t="array" ref="V74">IFERROR(AVERAGE(IF((DiscreteStatsTable[GroupByKey]=DiscreteStatsTable[[#This Row],[GroupByKey]]),(DiscreteStatsTable[GroupByKey]=DiscreteStatsTable[[#This Row],[GroupByKey]])*DiscreteStatsTable[NumberObservations])),0)</f>
        <v>3.62</v>
      </c>
      <c r="W74" s="5">
        <f>IF((DiscreteStatsTable[[#This Row],[RepsRequested]]&gt;1),DiscreteStatsTable[[#This Row],[HalfWidth]],DiscreteStatsTable[[#This Row],[BatchMeansHalfWidth]])</f>
        <v>0</v>
      </c>
      <c r="X74" s="5" cm="1">
        <f t="array" ref="X74">COUNT(IF((DiscreteStatsTable[GroupByKey]=DiscreteStatsTable[[#This Row],[GroupByKey]]),(DiscreteStatsTable[GroupByKey]=DiscreteStatsTable[[#This Row],[GroupByKey]])*DiscreteStatsTable[Replication]))</f>
        <v>50</v>
      </c>
      <c r="Y74" s="5">
        <f>IF(DiscreteStatsTable[[#This Row],[RepsRequested]]=DiscreteStatsTable[[#This Row],[RepsWithStatObserved]],1,0)</f>
        <v>1</v>
      </c>
    </row>
    <row r="75" spans="1:25" x14ac:dyDescent="0.35">
      <c r="A75" t="s">
        <v>66</v>
      </c>
      <c r="B75" t="s">
        <v>69</v>
      </c>
      <c r="C75">
        <v>13</v>
      </c>
      <c r="D75" t="s">
        <v>70</v>
      </c>
      <c r="E75" t="s">
        <v>73</v>
      </c>
      <c r="F75" t="s">
        <v>72</v>
      </c>
      <c r="G75">
        <v>0</v>
      </c>
      <c r="H75">
        <v>2E+20</v>
      </c>
      <c r="I75">
        <v>0</v>
      </c>
      <c r="J75">
        <v>0</v>
      </c>
      <c r="K75">
        <v>3</v>
      </c>
      <c r="L75" s="5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75" s="5" cm="1">
        <f t="array" ref="M75">MAX(IF((ProjectInfoTable[ProjectName]=DiscreteStatsTable[[#This Row],[ProjectName]]),(ProjectInfoTable[ProjectName]=DiscreteStatsTable[[#This Row],[ProjectName]])*ProjectInfoTable[NumberOfReplications]))</f>
        <v>50</v>
      </c>
      <c r="N75" s="5" cm="1">
        <f t="array" ref="N75">IFERROR(AVERAGE(IF((DiscreteStatsTable[GroupByKey]=DiscreteStatsTable[[#This Row],[GroupByKey]]),(DiscreteStatsTable[GroupByKey]=DiscreteStatsTable[[#This Row],[GroupByKey]])*DiscreteStatsTable[Average])),0)</f>
        <v>0</v>
      </c>
      <c r="O75" s="5" cm="1">
        <f t="array" ref="O75">IFERROR(_xlfn.STDEV.S(IF((DiscreteStatsTable[GroupByKey]=DiscreteStatsTable[[#This Row],[GroupByKey]]),(DiscreteStatsTable[GroupByKey]=DiscreteStatsTable[[#This Row],[GroupByKey]])*DiscreteStatsTable[Average])),0)</f>
        <v>0</v>
      </c>
      <c r="P75" s="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 s="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" s="5" cm="1">
        <f t="array" ref="R75">MIN(IF((DiscreteStatsTable[GroupByKey]=DiscreteStatsTable[[#This Row],[GroupByKey]]),(DiscreteStatsTable[GroupByKey]=DiscreteStatsTable[[#This Row],[GroupByKey]])*DiscreteStatsTable[Average]))</f>
        <v>0</v>
      </c>
      <c r="S75" s="5" cm="1">
        <f t="array" ref="S75">MAX(IF((DiscreteStatsTable[GroupByKey]=DiscreteStatsTable[[#This Row],[GroupByKey]]),(DiscreteStatsTable[GroupByKey]=DiscreteStatsTable[[#This Row],[GroupByKey]])*DiscreteStatsTable[Average]))</f>
        <v>0</v>
      </c>
      <c r="T75" s="5" cm="1">
        <f t="array" ref="T75">MIN(IF((DiscreteStatsTable[GroupByKey]=DiscreteStatsTable[[#This Row],[GroupByKey]]),(DiscreteStatsTable[GroupByKey]=DiscreteStatsTable[[#This Row],[GroupByKey]])*DiscreteStatsTable[Minimum]))</f>
        <v>0</v>
      </c>
      <c r="U75" s="5" cm="1">
        <f t="array" ref="U75">MAX(IF((DiscreteStatsTable[GroupByKey]=DiscreteStatsTable[[#This Row],[GroupByKey]]),(DiscreteStatsTable[GroupByKey]=DiscreteStatsTable[[#This Row],[GroupByKey]])*DiscreteStatsTable[Maximum]))</f>
        <v>0</v>
      </c>
      <c r="V75" s="5" cm="1">
        <f t="array" ref="V75">IFERROR(AVERAGE(IF((DiscreteStatsTable[GroupByKey]=DiscreteStatsTable[[#This Row],[GroupByKey]]),(DiscreteStatsTable[GroupByKey]=DiscreteStatsTable[[#This Row],[GroupByKey]])*DiscreteStatsTable[NumberObservations])),0)</f>
        <v>3.62</v>
      </c>
      <c r="W75" s="5">
        <f>IF((DiscreteStatsTable[[#This Row],[RepsRequested]]&gt;1),DiscreteStatsTable[[#This Row],[HalfWidth]],DiscreteStatsTable[[#This Row],[BatchMeansHalfWidth]])</f>
        <v>0</v>
      </c>
      <c r="X75" s="5" cm="1">
        <f t="array" ref="X75">COUNT(IF((DiscreteStatsTable[GroupByKey]=DiscreteStatsTable[[#This Row],[GroupByKey]]),(DiscreteStatsTable[GroupByKey]=DiscreteStatsTable[[#This Row],[GroupByKey]])*DiscreteStatsTable[Replication]))</f>
        <v>50</v>
      </c>
      <c r="Y75" s="5">
        <f>IF(DiscreteStatsTable[[#This Row],[RepsRequested]]=DiscreteStatsTable[[#This Row],[RepsWithStatObserved]],1,0)</f>
        <v>1</v>
      </c>
    </row>
    <row r="76" spans="1:25" x14ac:dyDescent="0.35">
      <c r="A76" t="s">
        <v>66</v>
      </c>
      <c r="B76" t="s">
        <v>69</v>
      </c>
      <c r="C76">
        <v>13</v>
      </c>
      <c r="D76" t="s">
        <v>70</v>
      </c>
      <c r="E76" t="s">
        <v>74</v>
      </c>
      <c r="F76" t="s">
        <v>72</v>
      </c>
      <c r="G76">
        <v>5.2692687720156401</v>
      </c>
      <c r="H76">
        <v>2E+20</v>
      </c>
      <c r="I76">
        <v>2.3188519754192298</v>
      </c>
      <c r="J76">
        <v>8.4494229717903107</v>
      </c>
      <c r="K76">
        <v>3</v>
      </c>
      <c r="L76" s="5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76" s="5" cm="1">
        <f t="array" ref="M76">MAX(IF((ProjectInfoTable[ProjectName]=DiscreteStatsTable[[#This Row],[ProjectName]]),(ProjectInfoTable[ProjectName]=DiscreteStatsTable[[#This Row],[ProjectName]])*ProjectInfoTable[NumberOfReplications]))</f>
        <v>50</v>
      </c>
      <c r="N76" s="5" cm="1">
        <f t="array" ref="N76">IFERROR(AVERAGE(IF((DiscreteStatsTable[GroupByKey]=DiscreteStatsTable[[#This Row],[GroupByKey]]),(DiscreteStatsTable[GroupByKey]=DiscreteStatsTable[[#This Row],[GroupByKey]])*DiscreteStatsTable[Average])),0)</f>
        <v>3.5363894499532775</v>
      </c>
      <c r="O76" s="5" cm="1">
        <f t="array" ref="O76">IFERROR(_xlfn.STDEV.S(IF((DiscreteStatsTable[GroupByKey]=DiscreteStatsTable[[#This Row],[GroupByKey]]),(DiscreteStatsTable[GroupByKey]=DiscreteStatsTable[[#This Row],[GroupByKey]])*DiscreteStatsTable[Average])),0)</f>
        <v>1.1766434570133149</v>
      </c>
      <c r="P76" s="5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 s="5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0.33439837052280896</v>
      </c>
      <c r="R76" s="5" cm="1">
        <f t="array" ref="R76">MIN(IF((DiscreteStatsTable[GroupByKey]=DiscreteStatsTable[[#This Row],[GroupByKey]]),(DiscreteStatsTable[GroupByKey]=DiscreteStatsTable[[#This Row],[GroupByKey]])*DiscreteStatsTable[Average]))</f>
        <v>1.6342264652107701</v>
      </c>
      <c r="S76" s="5" cm="1">
        <f t="array" ref="S76">MAX(IF((DiscreteStatsTable[GroupByKey]=DiscreteStatsTable[[#This Row],[GroupByKey]]),(DiscreteStatsTable[GroupByKey]=DiscreteStatsTable[[#This Row],[GroupByKey]])*DiscreteStatsTable[Average]))</f>
        <v>6.5527373550837904</v>
      </c>
      <c r="T76" s="5" cm="1">
        <f t="array" ref="T76">MIN(IF((DiscreteStatsTable[GroupByKey]=DiscreteStatsTable[[#This Row],[GroupByKey]]),(DiscreteStatsTable[GroupByKey]=DiscreteStatsTable[[#This Row],[GroupByKey]])*DiscreteStatsTable[Minimum]))</f>
        <v>0.58847912081681497</v>
      </c>
      <c r="U76" s="5" cm="1">
        <f t="array" ref="U76">MAX(IF((DiscreteStatsTable[GroupByKey]=DiscreteStatsTable[[#This Row],[GroupByKey]]),(DiscreteStatsTable[GroupByKey]=DiscreteStatsTable[[#This Row],[GroupByKey]])*DiscreteStatsTable[Maximum]))</f>
        <v>8.7476494546828292</v>
      </c>
      <c r="V76" s="5" cm="1">
        <f t="array" ref="V76">IFERROR(AVERAGE(IF((DiscreteStatsTable[GroupByKey]=DiscreteStatsTable[[#This Row],[GroupByKey]]),(DiscreteStatsTable[GroupByKey]=DiscreteStatsTable[[#This Row],[GroupByKey]])*DiscreteStatsTable[NumberObservations])),0)</f>
        <v>3.62</v>
      </c>
      <c r="W76" s="5">
        <f>IF((DiscreteStatsTable[[#This Row],[RepsRequested]]&gt;1),DiscreteStatsTable[[#This Row],[HalfWidth]],DiscreteStatsTable[[#This Row],[BatchMeansHalfWidth]])</f>
        <v>0.33439837052280896</v>
      </c>
      <c r="X76" s="5" cm="1">
        <f t="array" ref="X76">COUNT(IF((DiscreteStatsTable[GroupByKey]=DiscreteStatsTable[[#This Row],[GroupByKey]]),(DiscreteStatsTable[GroupByKey]=DiscreteStatsTable[[#This Row],[GroupByKey]])*DiscreteStatsTable[Replication]))</f>
        <v>50</v>
      </c>
      <c r="Y76" s="5">
        <f>IF(DiscreteStatsTable[[#This Row],[RepsRequested]]=DiscreteStatsTable[[#This Row],[RepsWithStatObserved]],1,0)</f>
        <v>1</v>
      </c>
    </row>
    <row r="77" spans="1:25" x14ac:dyDescent="0.35">
      <c r="A77" t="s">
        <v>66</v>
      </c>
      <c r="B77" t="s">
        <v>69</v>
      </c>
      <c r="C77">
        <v>13</v>
      </c>
      <c r="D77" t="s">
        <v>70</v>
      </c>
      <c r="E77" t="s">
        <v>75</v>
      </c>
      <c r="F77" t="s">
        <v>72</v>
      </c>
      <c r="G77">
        <v>0</v>
      </c>
      <c r="H77">
        <v>2E+20</v>
      </c>
      <c r="I77">
        <v>0</v>
      </c>
      <c r="J77">
        <v>0</v>
      </c>
      <c r="K77">
        <v>3</v>
      </c>
      <c r="L77" s="5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77" s="5" cm="1">
        <f t="array" ref="M77">MAX(IF((ProjectInfoTable[ProjectName]=DiscreteStatsTable[[#This Row],[ProjectName]]),(ProjectInfoTable[ProjectName]=DiscreteStatsTable[[#This Row],[ProjectName]])*ProjectInfoTable[NumberOfReplications]))</f>
        <v>50</v>
      </c>
      <c r="N77" s="5" cm="1">
        <f t="array" ref="N77">IFERROR(AVERAGE(IF((DiscreteStatsTable[GroupByKey]=DiscreteStatsTable[[#This Row],[GroupByKey]]),(DiscreteStatsTable[GroupByKey]=DiscreteStatsTable[[#This Row],[GroupByKey]])*DiscreteStatsTable[Average])),0)</f>
        <v>0</v>
      </c>
      <c r="O77" s="5" cm="1">
        <f t="array" ref="O77">IFERROR(_xlfn.STDEV.S(IF((DiscreteStatsTable[GroupByKey]=DiscreteStatsTable[[#This Row],[GroupByKey]]),(DiscreteStatsTable[GroupByKey]=DiscreteStatsTable[[#This Row],[GroupByKey]])*DiscreteStatsTable[Average])),0)</f>
        <v>0</v>
      </c>
      <c r="P77" s="5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 s="5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" s="5" cm="1">
        <f t="array" ref="R77">MIN(IF((DiscreteStatsTable[GroupByKey]=DiscreteStatsTable[[#This Row],[GroupByKey]]),(DiscreteStatsTable[GroupByKey]=DiscreteStatsTable[[#This Row],[GroupByKey]])*DiscreteStatsTable[Average]))</f>
        <v>0</v>
      </c>
      <c r="S77" s="5" cm="1">
        <f t="array" ref="S77">MAX(IF((DiscreteStatsTable[GroupByKey]=DiscreteStatsTable[[#This Row],[GroupByKey]]),(DiscreteStatsTable[GroupByKey]=DiscreteStatsTable[[#This Row],[GroupByKey]])*DiscreteStatsTable[Average]))</f>
        <v>0</v>
      </c>
      <c r="T77" s="5" cm="1">
        <f t="array" ref="T77">MIN(IF((DiscreteStatsTable[GroupByKey]=DiscreteStatsTable[[#This Row],[GroupByKey]]),(DiscreteStatsTable[GroupByKey]=DiscreteStatsTable[[#This Row],[GroupByKey]])*DiscreteStatsTable[Minimum]))</f>
        <v>0</v>
      </c>
      <c r="U77" s="5" cm="1">
        <f t="array" ref="U77">MAX(IF((DiscreteStatsTable[GroupByKey]=DiscreteStatsTable[[#This Row],[GroupByKey]]),(DiscreteStatsTable[GroupByKey]=DiscreteStatsTable[[#This Row],[GroupByKey]])*DiscreteStatsTable[Maximum]))</f>
        <v>0</v>
      </c>
      <c r="V77" s="5" cm="1">
        <f t="array" ref="V77">IFERROR(AVERAGE(IF((DiscreteStatsTable[GroupByKey]=DiscreteStatsTable[[#This Row],[GroupByKey]]),(DiscreteStatsTable[GroupByKey]=DiscreteStatsTable[[#This Row],[GroupByKey]])*DiscreteStatsTable[NumberObservations])),0)</f>
        <v>3.62</v>
      </c>
      <c r="W77" s="5">
        <f>IF((DiscreteStatsTable[[#This Row],[RepsRequested]]&gt;1),DiscreteStatsTable[[#This Row],[HalfWidth]],DiscreteStatsTable[[#This Row],[BatchMeansHalfWidth]])</f>
        <v>0</v>
      </c>
      <c r="X77" s="5" cm="1">
        <f t="array" ref="X77">COUNT(IF((DiscreteStatsTable[GroupByKey]=DiscreteStatsTable[[#This Row],[GroupByKey]]),(DiscreteStatsTable[GroupByKey]=DiscreteStatsTable[[#This Row],[GroupByKey]])*DiscreteStatsTable[Replication]))</f>
        <v>50</v>
      </c>
      <c r="Y77" s="5">
        <f>IF(DiscreteStatsTable[[#This Row],[RepsRequested]]=DiscreteStatsTable[[#This Row],[RepsWithStatObserved]],1,0)</f>
        <v>1</v>
      </c>
    </row>
    <row r="78" spans="1:25" x14ac:dyDescent="0.35">
      <c r="A78" t="s">
        <v>66</v>
      </c>
      <c r="B78" t="s">
        <v>69</v>
      </c>
      <c r="C78">
        <v>13</v>
      </c>
      <c r="D78" t="s">
        <v>70</v>
      </c>
      <c r="E78" t="s">
        <v>76</v>
      </c>
      <c r="F78" t="s">
        <v>72</v>
      </c>
      <c r="G78">
        <v>3.3139161730180202</v>
      </c>
      <c r="H78">
        <v>2E+20</v>
      </c>
      <c r="I78">
        <v>2.3188519754192298</v>
      </c>
      <c r="J78">
        <v>4.1312854298851702</v>
      </c>
      <c r="K78">
        <v>3</v>
      </c>
      <c r="L78" s="5" t="str">
        <f>DiscreteStatsTable[[#This Row],[ProjectName]]&amp;DiscreteStatsTable[[#This Row],[Name]]&amp;DiscreteStatsTable[[#This Row],[Type]]&amp;DiscreteStatsTable[[#This Row],[Source]]</f>
        <v>Unnamed ProjectArquivosVA TimeEntity</v>
      </c>
      <c r="M78" s="5" cm="1">
        <f t="array" ref="M78">MAX(IF((ProjectInfoTable[ProjectName]=DiscreteStatsTable[[#This Row],[ProjectName]]),(ProjectInfoTable[ProjectName]=DiscreteStatsTable[[#This Row],[ProjectName]])*ProjectInfoTable[NumberOfReplications]))</f>
        <v>50</v>
      </c>
      <c r="N78" s="5" cm="1">
        <f t="array" ref="N78">IFERROR(AVERAGE(IF((DiscreteStatsTable[GroupByKey]=DiscreteStatsTable[[#This Row],[GroupByKey]]),(DiscreteStatsTable[GroupByKey]=DiscreteStatsTable[[#This Row],[GroupByKey]])*DiscreteStatsTable[Average])),0)</f>
        <v>2.3123810058270009</v>
      </c>
      <c r="O78" s="5" cm="1">
        <f t="array" ref="O78">IFERROR(_xlfn.STDEV.S(IF((DiscreteStatsTable[GroupByKey]=DiscreteStatsTable[[#This Row],[GroupByKey]]),(DiscreteStatsTable[GroupByKey]=DiscreteStatsTable[[#This Row],[GroupByKey]])*DiscreteStatsTable[Average])),0)</f>
        <v>0.47735516285795621</v>
      </c>
      <c r="P78" s="5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 s="5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0.13566283623888314</v>
      </c>
      <c r="R78" s="5" cm="1">
        <f t="array" ref="R78">MIN(IF((DiscreteStatsTable[GroupByKey]=DiscreteStatsTable[[#This Row],[GroupByKey]]),(DiscreteStatsTable[GroupByKey]=DiscreteStatsTable[[#This Row],[GroupByKey]])*DiscreteStatsTable[Average]))</f>
        <v>1.3773415743205399</v>
      </c>
      <c r="S78" s="5" cm="1">
        <f t="array" ref="S78">MAX(IF((DiscreteStatsTable[GroupByKey]=DiscreteStatsTable[[#This Row],[GroupByKey]]),(DiscreteStatsTable[GroupByKey]=DiscreteStatsTable[[#This Row],[GroupByKey]])*DiscreteStatsTable[Average]))</f>
        <v>3.3139161730180202</v>
      </c>
      <c r="T78" s="5" cm="1">
        <f t="array" ref="T78">MIN(IF((DiscreteStatsTable[GroupByKey]=DiscreteStatsTable[[#This Row],[GroupByKey]]),(DiscreteStatsTable[GroupByKey]=DiscreteStatsTable[[#This Row],[GroupByKey]])*DiscreteStatsTable[Minimum]))</f>
        <v>0.58847912081681497</v>
      </c>
      <c r="U78" s="5" cm="1">
        <f t="array" ref="U78">MAX(IF((DiscreteStatsTable[GroupByKey]=DiscreteStatsTable[[#This Row],[GroupByKey]]),(DiscreteStatsTable[GroupByKey]=DiscreteStatsTable[[#This Row],[GroupByKey]])*DiscreteStatsTable[Maximum]))</f>
        <v>4.9756405925629998</v>
      </c>
      <c r="V78" s="5" cm="1">
        <f t="array" ref="V78">IFERROR(AVERAGE(IF((DiscreteStatsTable[GroupByKey]=DiscreteStatsTable[[#This Row],[GroupByKey]]),(DiscreteStatsTable[GroupByKey]=DiscreteStatsTable[[#This Row],[GroupByKey]])*DiscreteStatsTable[NumberObservations])),0)</f>
        <v>3.62</v>
      </c>
      <c r="W78" s="5">
        <f>IF((DiscreteStatsTable[[#This Row],[RepsRequested]]&gt;1),DiscreteStatsTable[[#This Row],[HalfWidth]],DiscreteStatsTable[[#This Row],[BatchMeansHalfWidth]])</f>
        <v>0.13566283623888314</v>
      </c>
      <c r="X78" s="5" cm="1">
        <f t="array" ref="X78">COUNT(IF((DiscreteStatsTable[GroupByKey]=DiscreteStatsTable[[#This Row],[GroupByKey]]),(DiscreteStatsTable[GroupByKey]=DiscreteStatsTable[[#This Row],[GroupByKey]])*DiscreteStatsTable[Replication]))</f>
        <v>50</v>
      </c>
      <c r="Y78" s="5">
        <f>IF(DiscreteStatsTable[[#This Row],[RepsRequested]]=DiscreteStatsTable[[#This Row],[RepsWithStatObserved]],1,0)</f>
        <v>1</v>
      </c>
    </row>
    <row r="79" spans="1:25" x14ac:dyDescent="0.35">
      <c r="A79" t="s">
        <v>66</v>
      </c>
      <c r="B79" t="s">
        <v>69</v>
      </c>
      <c r="C79">
        <v>13</v>
      </c>
      <c r="D79" t="s">
        <v>70</v>
      </c>
      <c r="E79" t="s">
        <v>77</v>
      </c>
      <c r="F79" t="s">
        <v>72</v>
      </c>
      <c r="G79">
        <v>1.9553525989976199</v>
      </c>
      <c r="H79">
        <v>2E+20</v>
      </c>
      <c r="I79">
        <v>0</v>
      </c>
      <c r="J79">
        <v>4.9578118580406398</v>
      </c>
      <c r="K79">
        <v>3</v>
      </c>
      <c r="L79" s="5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79" s="5" cm="1">
        <f t="array" ref="M79">MAX(IF((ProjectInfoTable[ProjectName]=DiscreteStatsTable[[#This Row],[ProjectName]]),(ProjectInfoTable[ProjectName]=DiscreteStatsTable[[#This Row],[ProjectName]])*ProjectInfoTable[NumberOfReplications]))</f>
        <v>50</v>
      </c>
      <c r="N79" s="5" cm="1">
        <f t="array" ref="N79">IFERROR(AVERAGE(IF((DiscreteStatsTable[GroupByKey]=DiscreteStatsTable[[#This Row],[GroupByKey]]),(DiscreteStatsTable[GroupByKey]=DiscreteStatsTable[[#This Row],[GroupByKey]])*DiscreteStatsTable[Average])),0)</f>
        <v>1.2240084441262762</v>
      </c>
      <c r="O79" s="5" cm="1">
        <f t="array" ref="O79">IFERROR(_xlfn.STDEV.S(IF((DiscreteStatsTable[GroupByKey]=DiscreteStatsTable[[#This Row],[GroupByKey]]),(DiscreteStatsTable[GroupByKey]=DiscreteStatsTable[[#This Row],[GroupByKey]])*DiscreteStatsTable[Average])),0)</f>
        <v>0.89867905452837749</v>
      </c>
      <c r="P79" s="5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 s="5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0.2554017613968404</v>
      </c>
      <c r="R79" s="5" cm="1">
        <f t="array" ref="R79">MIN(IF((DiscreteStatsTable[GroupByKey]=DiscreteStatsTable[[#This Row],[GroupByKey]]),(DiscreteStatsTable[GroupByKey]=DiscreteStatsTable[[#This Row],[GroupByKey]])*DiscreteStatsTable[Average]))</f>
        <v>0</v>
      </c>
      <c r="S79" s="5" cm="1">
        <f t="array" ref="S79">MAX(IF((DiscreteStatsTable[GroupByKey]=DiscreteStatsTable[[#This Row],[GroupByKey]]),(DiscreteStatsTable[GroupByKey]=DiscreteStatsTable[[#This Row],[GroupByKey]])*DiscreteStatsTable[Average]))</f>
        <v>3.4345522286517598</v>
      </c>
      <c r="T79" s="5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s="5" cm="1">
        <f t="array" ref="U79">MAX(IF((DiscreteStatsTable[GroupByKey]=DiscreteStatsTable[[#This Row],[GroupByKey]]),(DiscreteStatsTable[GroupByKey]=DiscreteStatsTable[[#This Row],[GroupByKey]])*DiscreteStatsTable[Maximum]))</f>
        <v>6.7563093676697896</v>
      </c>
      <c r="V79" s="5" cm="1">
        <f t="array" ref="V79">IFERROR(AVERAGE(IF((DiscreteStatsTable[GroupByKey]=DiscreteStatsTable[[#This Row],[GroupByKey]]),(DiscreteStatsTable[GroupByKey]=DiscreteStatsTable[[#This Row],[GroupByKey]])*DiscreteStatsTable[NumberObservations])),0)</f>
        <v>3.62</v>
      </c>
      <c r="W79" s="5">
        <f>IF((DiscreteStatsTable[[#This Row],[RepsRequested]]&gt;1),DiscreteStatsTable[[#This Row],[HalfWidth]],DiscreteStatsTable[[#This Row],[BatchMeansHalfWidth]])</f>
        <v>0.2554017613968404</v>
      </c>
      <c r="X79" s="5" cm="1">
        <f t="array" ref="X79">COUNT(IF((DiscreteStatsTable[GroupByKey]=DiscreteStatsTable[[#This Row],[GroupByKey]]),(DiscreteStatsTable[GroupByKey]=DiscreteStatsTable[[#This Row],[GroupByKey]])*DiscreteStatsTable[Replication]))</f>
        <v>50</v>
      </c>
      <c r="Y79" s="5">
        <f>IF(DiscreteStatsTable[[#This Row],[RepsRequested]]=DiscreteStatsTable[[#This Row],[RepsWithStatObserved]],1,0)</f>
        <v>1</v>
      </c>
    </row>
    <row r="80" spans="1:25" x14ac:dyDescent="0.35">
      <c r="A80" t="s">
        <v>66</v>
      </c>
      <c r="B80" t="s">
        <v>69</v>
      </c>
      <c r="C80">
        <v>14</v>
      </c>
      <c r="D80" t="s">
        <v>70</v>
      </c>
      <c r="E80" t="s">
        <v>71</v>
      </c>
      <c r="F80" t="s">
        <v>72</v>
      </c>
      <c r="G80">
        <v>0</v>
      </c>
      <c r="H80">
        <v>2E+20</v>
      </c>
      <c r="I80">
        <v>0</v>
      </c>
      <c r="J80">
        <v>0</v>
      </c>
      <c r="K80">
        <v>4</v>
      </c>
      <c r="L80" s="5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80" s="5" cm="1">
        <f t="array" ref="M80">MAX(IF((ProjectInfoTable[ProjectName]=DiscreteStatsTable[[#This Row],[ProjectName]]),(ProjectInfoTable[ProjectName]=DiscreteStatsTable[[#This Row],[ProjectName]])*ProjectInfoTable[NumberOfReplications]))</f>
        <v>50</v>
      </c>
      <c r="N80" s="5" cm="1">
        <f t="array" ref="N80">IFERROR(AVERAGE(IF((DiscreteStatsTable[GroupByKey]=DiscreteStatsTable[[#This Row],[GroupByKey]]),(DiscreteStatsTable[GroupByKey]=DiscreteStatsTable[[#This Row],[GroupByKey]])*DiscreteStatsTable[Average])),0)</f>
        <v>0</v>
      </c>
      <c r="O80" s="5" cm="1">
        <f t="array" ref="O80">IFERROR(_xlfn.STDEV.S(IF((DiscreteStatsTable[GroupByKey]=DiscreteStatsTable[[#This Row],[GroupByKey]]),(DiscreteStatsTable[GroupByKey]=DiscreteStatsTable[[#This Row],[GroupByKey]])*DiscreteStatsTable[Average])),0)</f>
        <v>0</v>
      </c>
      <c r="P80" s="5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 s="5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" s="5" cm="1">
        <f t="array" ref="R80">MIN(IF((DiscreteStatsTable[GroupByKey]=DiscreteStatsTable[[#This Row],[GroupByKey]]),(DiscreteStatsTable[GroupByKey]=DiscreteStatsTable[[#This Row],[GroupByKey]])*DiscreteStatsTable[Average]))</f>
        <v>0</v>
      </c>
      <c r="S80" s="5" cm="1">
        <f t="array" ref="S80">MAX(IF((DiscreteStatsTable[GroupByKey]=DiscreteStatsTable[[#This Row],[GroupByKey]]),(DiscreteStatsTable[GroupByKey]=DiscreteStatsTable[[#This Row],[GroupByKey]])*DiscreteStatsTable[Average]))</f>
        <v>0</v>
      </c>
      <c r="T80" s="5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s="5" cm="1">
        <f t="array" ref="U80">MAX(IF((DiscreteStatsTable[GroupByKey]=DiscreteStatsTable[[#This Row],[GroupByKey]]),(DiscreteStatsTable[GroupByKey]=DiscreteStatsTable[[#This Row],[GroupByKey]])*DiscreteStatsTable[Maximum]))</f>
        <v>0</v>
      </c>
      <c r="V80" s="5" cm="1">
        <f t="array" ref="V80">IFERROR(AVERAGE(IF((DiscreteStatsTable[GroupByKey]=DiscreteStatsTable[[#This Row],[GroupByKey]]),(DiscreteStatsTable[GroupByKey]=DiscreteStatsTable[[#This Row],[GroupByKey]])*DiscreteStatsTable[NumberObservations])),0)</f>
        <v>3.62</v>
      </c>
      <c r="W80" s="5">
        <f>IF((DiscreteStatsTable[[#This Row],[RepsRequested]]&gt;1),DiscreteStatsTable[[#This Row],[HalfWidth]],DiscreteStatsTable[[#This Row],[BatchMeansHalfWidth]])</f>
        <v>0</v>
      </c>
      <c r="X80" s="5" cm="1">
        <f t="array" ref="X80">COUNT(IF((DiscreteStatsTable[GroupByKey]=DiscreteStatsTable[[#This Row],[GroupByKey]]),(DiscreteStatsTable[GroupByKey]=DiscreteStatsTable[[#This Row],[GroupByKey]])*DiscreteStatsTable[Replication]))</f>
        <v>50</v>
      </c>
      <c r="Y80" s="5">
        <f>IF(DiscreteStatsTable[[#This Row],[RepsRequested]]=DiscreteStatsTable[[#This Row],[RepsWithStatObserved]],1,0)</f>
        <v>1</v>
      </c>
    </row>
    <row r="81" spans="1:25" x14ac:dyDescent="0.35">
      <c r="A81" t="s">
        <v>66</v>
      </c>
      <c r="B81" t="s">
        <v>69</v>
      </c>
      <c r="C81">
        <v>14</v>
      </c>
      <c r="D81" t="s">
        <v>70</v>
      </c>
      <c r="E81" t="s">
        <v>73</v>
      </c>
      <c r="F81" t="s">
        <v>72</v>
      </c>
      <c r="G81">
        <v>0</v>
      </c>
      <c r="H81">
        <v>2E+20</v>
      </c>
      <c r="I81">
        <v>0</v>
      </c>
      <c r="J81">
        <v>0</v>
      </c>
      <c r="K81">
        <v>4</v>
      </c>
      <c r="L81" s="5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81" s="5" cm="1">
        <f t="array" ref="M81">MAX(IF((ProjectInfoTable[ProjectName]=DiscreteStatsTable[[#This Row],[ProjectName]]),(ProjectInfoTable[ProjectName]=DiscreteStatsTable[[#This Row],[ProjectName]])*ProjectInfoTable[NumberOfReplications]))</f>
        <v>50</v>
      </c>
      <c r="N81" s="5" cm="1">
        <f t="array" ref="N81">IFERROR(AVERAGE(IF((DiscreteStatsTable[GroupByKey]=DiscreteStatsTable[[#This Row],[GroupByKey]]),(DiscreteStatsTable[GroupByKey]=DiscreteStatsTable[[#This Row],[GroupByKey]])*DiscreteStatsTable[Average])),0)</f>
        <v>0</v>
      </c>
      <c r="O81" s="5" cm="1">
        <f t="array" ref="O81">IFERROR(_xlfn.STDEV.S(IF((DiscreteStatsTable[GroupByKey]=DiscreteStatsTable[[#This Row],[GroupByKey]]),(DiscreteStatsTable[GroupByKey]=DiscreteStatsTable[[#This Row],[GroupByKey]])*DiscreteStatsTable[Average])),0)</f>
        <v>0</v>
      </c>
      <c r="P81" s="5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 s="5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" s="5" cm="1">
        <f t="array" ref="R81">MIN(IF((DiscreteStatsTable[GroupByKey]=DiscreteStatsTable[[#This Row],[GroupByKey]]),(DiscreteStatsTable[GroupByKey]=DiscreteStatsTable[[#This Row],[GroupByKey]])*DiscreteStatsTable[Average]))</f>
        <v>0</v>
      </c>
      <c r="S81" s="5" cm="1">
        <f t="array" ref="S81">MAX(IF((DiscreteStatsTable[GroupByKey]=DiscreteStatsTable[[#This Row],[GroupByKey]]),(DiscreteStatsTable[GroupByKey]=DiscreteStatsTable[[#This Row],[GroupByKey]])*DiscreteStatsTable[Average]))</f>
        <v>0</v>
      </c>
      <c r="T81" s="5" cm="1">
        <f t="array" ref="T81">MIN(IF((DiscreteStatsTable[GroupByKey]=DiscreteStatsTable[[#This Row],[GroupByKey]]),(DiscreteStatsTable[GroupByKey]=DiscreteStatsTable[[#This Row],[GroupByKey]])*DiscreteStatsTable[Minimum]))</f>
        <v>0</v>
      </c>
      <c r="U81" s="5" cm="1">
        <f t="array" ref="U81">MAX(IF((DiscreteStatsTable[GroupByKey]=DiscreteStatsTable[[#This Row],[GroupByKey]]),(DiscreteStatsTable[GroupByKey]=DiscreteStatsTable[[#This Row],[GroupByKey]])*DiscreteStatsTable[Maximum]))</f>
        <v>0</v>
      </c>
      <c r="V81" s="5" cm="1">
        <f t="array" ref="V81">IFERROR(AVERAGE(IF((DiscreteStatsTable[GroupByKey]=DiscreteStatsTable[[#This Row],[GroupByKey]]),(DiscreteStatsTable[GroupByKey]=DiscreteStatsTable[[#This Row],[GroupByKey]])*DiscreteStatsTable[NumberObservations])),0)</f>
        <v>3.62</v>
      </c>
      <c r="W81" s="5">
        <f>IF((DiscreteStatsTable[[#This Row],[RepsRequested]]&gt;1),DiscreteStatsTable[[#This Row],[HalfWidth]],DiscreteStatsTable[[#This Row],[BatchMeansHalfWidth]])</f>
        <v>0</v>
      </c>
      <c r="X81" s="5" cm="1">
        <f t="array" ref="X81">COUNT(IF((DiscreteStatsTable[GroupByKey]=DiscreteStatsTable[[#This Row],[GroupByKey]]),(DiscreteStatsTable[GroupByKey]=DiscreteStatsTable[[#This Row],[GroupByKey]])*DiscreteStatsTable[Replication]))</f>
        <v>50</v>
      </c>
      <c r="Y81" s="5">
        <f>IF(DiscreteStatsTable[[#This Row],[RepsRequested]]=DiscreteStatsTable[[#This Row],[RepsWithStatObserved]],1,0)</f>
        <v>1</v>
      </c>
    </row>
    <row r="82" spans="1:25" x14ac:dyDescent="0.35">
      <c r="A82" t="s">
        <v>66</v>
      </c>
      <c r="B82" t="s">
        <v>69</v>
      </c>
      <c r="C82">
        <v>14</v>
      </c>
      <c r="D82" t="s">
        <v>70</v>
      </c>
      <c r="E82" t="s">
        <v>74</v>
      </c>
      <c r="F82" t="s">
        <v>72</v>
      </c>
      <c r="G82">
        <v>3.6028714750934001</v>
      </c>
      <c r="H82">
        <v>2E+20</v>
      </c>
      <c r="I82">
        <v>2.3641008874731599</v>
      </c>
      <c r="J82">
        <v>5.22247332540908</v>
      </c>
      <c r="K82">
        <v>4</v>
      </c>
      <c r="L82" s="5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82" s="5" cm="1">
        <f t="array" ref="M82">MAX(IF((ProjectInfoTable[ProjectName]=DiscreteStatsTable[[#This Row],[ProjectName]]),(ProjectInfoTable[ProjectName]=DiscreteStatsTable[[#This Row],[ProjectName]])*ProjectInfoTable[NumberOfReplications]))</f>
        <v>50</v>
      </c>
      <c r="N82" s="5" cm="1">
        <f t="array" ref="N82">IFERROR(AVERAGE(IF((DiscreteStatsTable[GroupByKey]=DiscreteStatsTable[[#This Row],[GroupByKey]]),(DiscreteStatsTable[GroupByKey]=DiscreteStatsTable[[#This Row],[GroupByKey]])*DiscreteStatsTable[Average])),0)</f>
        <v>3.5363894499532775</v>
      </c>
      <c r="O82" s="5" cm="1">
        <f t="array" ref="O82">IFERROR(_xlfn.STDEV.S(IF((DiscreteStatsTable[GroupByKey]=DiscreteStatsTable[[#This Row],[GroupByKey]]),(DiscreteStatsTable[GroupByKey]=DiscreteStatsTable[[#This Row],[GroupByKey]])*DiscreteStatsTable[Average])),0)</f>
        <v>1.1766434570133149</v>
      </c>
      <c r="P82" s="5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 s="5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0.33439837052280896</v>
      </c>
      <c r="R82" s="5" cm="1">
        <f t="array" ref="R82">MIN(IF((DiscreteStatsTable[GroupByKey]=DiscreteStatsTable[[#This Row],[GroupByKey]]),(DiscreteStatsTable[GroupByKey]=DiscreteStatsTable[[#This Row],[GroupByKey]])*DiscreteStatsTable[Average]))</f>
        <v>1.6342264652107701</v>
      </c>
      <c r="S82" s="5" cm="1">
        <f t="array" ref="S82">MAX(IF((DiscreteStatsTable[GroupByKey]=DiscreteStatsTable[[#This Row],[GroupByKey]]),(DiscreteStatsTable[GroupByKey]=DiscreteStatsTable[[#This Row],[GroupByKey]])*DiscreteStatsTable[Average]))</f>
        <v>6.5527373550837904</v>
      </c>
      <c r="T82" s="5" cm="1">
        <f t="array" ref="T82">MIN(IF((DiscreteStatsTable[GroupByKey]=DiscreteStatsTable[[#This Row],[GroupByKey]]),(DiscreteStatsTable[GroupByKey]=DiscreteStatsTable[[#This Row],[GroupByKey]])*DiscreteStatsTable[Minimum]))</f>
        <v>0.58847912081681497</v>
      </c>
      <c r="U82" s="5" cm="1">
        <f t="array" ref="U82">MAX(IF((DiscreteStatsTable[GroupByKey]=DiscreteStatsTable[[#This Row],[GroupByKey]]),(DiscreteStatsTable[GroupByKey]=DiscreteStatsTable[[#This Row],[GroupByKey]])*DiscreteStatsTable[Maximum]))</f>
        <v>8.7476494546828292</v>
      </c>
      <c r="V82" s="5" cm="1">
        <f t="array" ref="V82">IFERROR(AVERAGE(IF((DiscreteStatsTable[GroupByKey]=DiscreteStatsTable[[#This Row],[GroupByKey]]),(DiscreteStatsTable[GroupByKey]=DiscreteStatsTable[[#This Row],[GroupByKey]])*DiscreteStatsTable[NumberObservations])),0)</f>
        <v>3.62</v>
      </c>
      <c r="W82" s="5">
        <f>IF((DiscreteStatsTable[[#This Row],[RepsRequested]]&gt;1),DiscreteStatsTable[[#This Row],[HalfWidth]],DiscreteStatsTable[[#This Row],[BatchMeansHalfWidth]])</f>
        <v>0.33439837052280896</v>
      </c>
      <c r="X82" s="5" cm="1">
        <f t="array" ref="X82">COUNT(IF((DiscreteStatsTable[GroupByKey]=DiscreteStatsTable[[#This Row],[GroupByKey]]),(DiscreteStatsTable[GroupByKey]=DiscreteStatsTable[[#This Row],[GroupByKey]])*DiscreteStatsTable[Replication]))</f>
        <v>50</v>
      </c>
      <c r="Y82" s="5">
        <f>IF(DiscreteStatsTable[[#This Row],[RepsRequested]]=DiscreteStatsTable[[#This Row],[RepsWithStatObserved]],1,0)</f>
        <v>1</v>
      </c>
    </row>
    <row r="83" spans="1:25" x14ac:dyDescent="0.35">
      <c r="A83" t="s">
        <v>66</v>
      </c>
      <c r="B83" t="s">
        <v>69</v>
      </c>
      <c r="C83">
        <v>14</v>
      </c>
      <c r="D83" t="s">
        <v>70</v>
      </c>
      <c r="E83" t="s">
        <v>75</v>
      </c>
      <c r="F83" t="s">
        <v>72</v>
      </c>
      <c r="G83">
        <v>0</v>
      </c>
      <c r="H83">
        <v>2E+20</v>
      </c>
      <c r="I83">
        <v>0</v>
      </c>
      <c r="J83">
        <v>0</v>
      </c>
      <c r="K83">
        <v>4</v>
      </c>
      <c r="L83" s="5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83" s="5" cm="1">
        <f t="array" ref="M83">MAX(IF((ProjectInfoTable[ProjectName]=DiscreteStatsTable[[#This Row],[ProjectName]]),(ProjectInfoTable[ProjectName]=DiscreteStatsTable[[#This Row],[ProjectName]])*ProjectInfoTable[NumberOfReplications]))</f>
        <v>50</v>
      </c>
      <c r="N83" s="5" cm="1">
        <f t="array" ref="N83">IFERROR(AVERAGE(IF((DiscreteStatsTable[GroupByKey]=DiscreteStatsTable[[#This Row],[GroupByKey]]),(DiscreteStatsTable[GroupByKey]=DiscreteStatsTable[[#This Row],[GroupByKey]])*DiscreteStatsTable[Average])),0)</f>
        <v>0</v>
      </c>
      <c r="O83" s="5" cm="1">
        <f t="array" ref="O83">IFERROR(_xlfn.STDEV.S(IF((DiscreteStatsTable[GroupByKey]=DiscreteStatsTable[[#This Row],[GroupByKey]]),(DiscreteStatsTable[GroupByKey]=DiscreteStatsTable[[#This Row],[GroupByKey]])*DiscreteStatsTable[Average])),0)</f>
        <v>0</v>
      </c>
      <c r="P83" s="5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 s="5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" s="5" cm="1">
        <f t="array" ref="R83">MIN(IF((DiscreteStatsTable[GroupByKey]=DiscreteStatsTable[[#This Row],[GroupByKey]]),(DiscreteStatsTable[GroupByKey]=DiscreteStatsTable[[#This Row],[GroupByKey]])*DiscreteStatsTable[Average]))</f>
        <v>0</v>
      </c>
      <c r="S83" s="5" cm="1">
        <f t="array" ref="S83">MAX(IF((DiscreteStatsTable[GroupByKey]=DiscreteStatsTable[[#This Row],[GroupByKey]]),(DiscreteStatsTable[GroupByKey]=DiscreteStatsTable[[#This Row],[GroupByKey]])*DiscreteStatsTable[Average]))</f>
        <v>0</v>
      </c>
      <c r="T83" s="5" cm="1">
        <f t="array" ref="T83">MIN(IF((DiscreteStatsTable[GroupByKey]=DiscreteStatsTable[[#This Row],[GroupByKey]]),(DiscreteStatsTable[GroupByKey]=DiscreteStatsTable[[#This Row],[GroupByKey]])*DiscreteStatsTable[Minimum]))</f>
        <v>0</v>
      </c>
      <c r="U83" s="5" cm="1">
        <f t="array" ref="U83">MAX(IF((DiscreteStatsTable[GroupByKey]=DiscreteStatsTable[[#This Row],[GroupByKey]]),(DiscreteStatsTable[GroupByKey]=DiscreteStatsTable[[#This Row],[GroupByKey]])*DiscreteStatsTable[Maximum]))</f>
        <v>0</v>
      </c>
      <c r="V83" s="5" cm="1">
        <f t="array" ref="V83">IFERROR(AVERAGE(IF((DiscreteStatsTable[GroupByKey]=DiscreteStatsTable[[#This Row],[GroupByKey]]),(DiscreteStatsTable[GroupByKey]=DiscreteStatsTable[[#This Row],[GroupByKey]])*DiscreteStatsTable[NumberObservations])),0)</f>
        <v>3.62</v>
      </c>
      <c r="W83" s="5">
        <f>IF((DiscreteStatsTable[[#This Row],[RepsRequested]]&gt;1),DiscreteStatsTable[[#This Row],[HalfWidth]],DiscreteStatsTable[[#This Row],[BatchMeansHalfWidth]])</f>
        <v>0</v>
      </c>
      <c r="X83" s="5" cm="1">
        <f t="array" ref="X83">COUNT(IF((DiscreteStatsTable[GroupByKey]=DiscreteStatsTable[[#This Row],[GroupByKey]]),(DiscreteStatsTable[GroupByKey]=DiscreteStatsTable[[#This Row],[GroupByKey]])*DiscreteStatsTable[Replication]))</f>
        <v>50</v>
      </c>
      <c r="Y83" s="5">
        <f>IF(DiscreteStatsTable[[#This Row],[RepsRequested]]=DiscreteStatsTable[[#This Row],[RepsWithStatObserved]],1,0)</f>
        <v>1</v>
      </c>
    </row>
    <row r="84" spans="1:25" x14ac:dyDescent="0.35">
      <c r="A84" t="s">
        <v>66</v>
      </c>
      <c r="B84" t="s">
        <v>69</v>
      </c>
      <c r="C84">
        <v>14</v>
      </c>
      <c r="D84" t="s">
        <v>70</v>
      </c>
      <c r="E84" t="s">
        <v>76</v>
      </c>
      <c r="F84" t="s">
        <v>72</v>
      </c>
      <c r="G84">
        <v>2.10583991780228</v>
      </c>
      <c r="H84">
        <v>2E+20</v>
      </c>
      <c r="I84">
        <v>1.8371972439536399</v>
      </c>
      <c r="J84">
        <v>2.3641008874731599</v>
      </c>
      <c r="K84">
        <v>4</v>
      </c>
      <c r="L84" s="5" t="str">
        <f>DiscreteStatsTable[[#This Row],[ProjectName]]&amp;DiscreteStatsTable[[#This Row],[Name]]&amp;DiscreteStatsTable[[#This Row],[Type]]&amp;DiscreteStatsTable[[#This Row],[Source]]</f>
        <v>Unnamed ProjectArquivosVA TimeEntity</v>
      </c>
      <c r="M84" s="5" cm="1">
        <f t="array" ref="M84">MAX(IF((ProjectInfoTable[ProjectName]=DiscreteStatsTable[[#This Row],[ProjectName]]),(ProjectInfoTable[ProjectName]=DiscreteStatsTable[[#This Row],[ProjectName]])*ProjectInfoTable[NumberOfReplications]))</f>
        <v>50</v>
      </c>
      <c r="N84" s="5" cm="1">
        <f t="array" ref="N84">IFERROR(AVERAGE(IF((DiscreteStatsTable[GroupByKey]=DiscreteStatsTable[[#This Row],[GroupByKey]]),(DiscreteStatsTable[GroupByKey]=DiscreteStatsTable[[#This Row],[GroupByKey]])*DiscreteStatsTable[Average])),0)</f>
        <v>2.3123810058270009</v>
      </c>
      <c r="O84" s="5" cm="1">
        <f t="array" ref="O84">IFERROR(_xlfn.STDEV.S(IF((DiscreteStatsTable[GroupByKey]=DiscreteStatsTable[[#This Row],[GroupByKey]]),(DiscreteStatsTable[GroupByKey]=DiscreteStatsTable[[#This Row],[GroupByKey]])*DiscreteStatsTable[Average])),0)</f>
        <v>0.47735516285795621</v>
      </c>
      <c r="P84" s="5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 s="5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0.13566283623888314</v>
      </c>
      <c r="R84" s="5" cm="1">
        <f t="array" ref="R84">MIN(IF((DiscreteStatsTable[GroupByKey]=DiscreteStatsTable[[#This Row],[GroupByKey]]),(DiscreteStatsTable[GroupByKey]=DiscreteStatsTable[[#This Row],[GroupByKey]])*DiscreteStatsTable[Average]))</f>
        <v>1.3773415743205399</v>
      </c>
      <c r="S84" s="5" cm="1">
        <f t="array" ref="S84">MAX(IF((DiscreteStatsTable[GroupByKey]=DiscreteStatsTable[[#This Row],[GroupByKey]]),(DiscreteStatsTable[GroupByKey]=DiscreteStatsTable[[#This Row],[GroupByKey]])*DiscreteStatsTable[Average]))</f>
        <v>3.3139161730180202</v>
      </c>
      <c r="T84" s="5" cm="1">
        <f t="array" ref="T84">MIN(IF((DiscreteStatsTable[GroupByKey]=DiscreteStatsTable[[#This Row],[GroupByKey]]),(DiscreteStatsTable[GroupByKey]=DiscreteStatsTable[[#This Row],[GroupByKey]])*DiscreteStatsTable[Minimum]))</f>
        <v>0.58847912081681497</v>
      </c>
      <c r="U84" s="5" cm="1">
        <f t="array" ref="U84">MAX(IF((DiscreteStatsTable[GroupByKey]=DiscreteStatsTable[[#This Row],[GroupByKey]]),(DiscreteStatsTable[GroupByKey]=DiscreteStatsTable[[#This Row],[GroupByKey]])*DiscreteStatsTable[Maximum]))</f>
        <v>4.9756405925629998</v>
      </c>
      <c r="V84" s="5" cm="1">
        <f t="array" ref="V84">IFERROR(AVERAGE(IF((DiscreteStatsTable[GroupByKey]=DiscreteStatsTable[[#This Row],[GroupByKey]]),(DiscreteStatsTable[GroupByKey]=DiscreteStatsTable[[#This Row],[GroupByKey]])*DiscreteStatsTable[NumberObservations])),0)</f>
        <v>3.62</v>
      </c>
      <c r="W84" s="5">
        <f>IF((DiscreteStatsTable[[#This Row],[RepsRequested]]&gt;1),DiscreteStatsTable[[#This Row],[HalfWidth]],DiscreteStatsTable[[#This Row],[BatchMeansHalfWidth]])</f>
        <v>0.13566283623888314</v>
      </c>
      <c r="X84" s="5" cm="1">
        <f t="array" ref="X84">COUNT(IF((DiscreteStatsTable[GroupByKey]=DiscreteStatsTable[[#This Row],[GroupByKey]]),(DiscreteStatsTable[GroupByKey]=DiscreteStatsTable[[#This Row],[GroupByKey]])*DiscreteStatsTable[Replication]))</f>
        <v>50</v>
      </c>
      <c r="Y84" s="5">
        <f>IF(DiscreteStatsTable[[#This Row],[RepsRequested]]=DiscreteStatsTable[[#This Row],[RepsWithStatObserved]],1,0)</f>
        <v>1</v>
      </c>
    </row>
    <row r="85" spans="1:25" x14ac:dyDescent="0.35">
      <c r="A85" t="s">
        <v>66</v>
      </c>
      <c r="B85" t="s">
        <v>69</v>
      </c>
      <c r="C85">
        <v>14</v>
      </c>
      <c r="D85" t="s">
        <v>70</v>
      </c>
      <c r="E85" t="s">
        <v>77</v>
      </c>
      <c r="F85" t="s">
        <v>72</v>
      </c>
      <c r="G85">
        <v>1.4970315572911199</v>
      </c>
      <c r="H85">
        <v>2E+20</v>
      </c>
      <c r="I85">
        <v>0</v>
      </c>
      <c r="J85">
        <v>2.94559922992834</v>
      </c>
      <c r="K85">
        <v>4</v>
      </c>
      <c r="L85" s="5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85" s="5" cm="1">
        <f t="array" ref="M85">MAX(IF((ProjectInfoTable[ProjectName]=DiscreteStatsTable[[#This Row],[ProjectName]]),(ProjectInfoTable[ProjectName]=DiscreteStatsTable[[#This Row],[ProjectName]])*ProjectInfoTable[NumberOfReplications]))</f>
        <v>50</v>
      </c>
      <c r="N85" s="5" cm="1">
        <f t="array" ref="N85">IFERROR(AVERAGE(IF((DiscreteStatsTable[GroupByKey]=DiscreteStatsTable[[#This Row],[GroupByKey]]),(DiscreteStatsTable[GroupByKey]=DiscreteStatsTable[[#This Row],[GroupByKey]])*DiscreteStatsTable[Average])),0)</f>
        <v>1.2240084441262762</v>
      </c>
      <c r="O85" s="5" cm="1">
        <f t="array" ref="O85">IFERROR(_xlfn.STDEV.S(IF((DiscreteStatsTable[GroupByKey]=DiscreteStatsTable[[#This Row],[GroupByKey]]),(DiscreteStatsTable[GroupByKey]=DiscreteStatsTable[[#This Row],[GroupByKey]])*DiscreteStatsTable[Average])),0)</f>
        <v>0.89867905452837749</v>
      </c>
      <c r="P85" s="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 s="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0.2554017613968404</v>
      </c>
      <c r="R85" s="5" cm="1">
        <f t="array" ref="R85">MIN(IF((DiscreteStatsTable[GroupByKey]=DiscreteStatsTable[[#This Row],[GroupByKey]]),(DiscreteStatsTable[GroupByKey]=DiscreteStatsTable[[#This Row],[GroupByKey]])*DiscreteStatsTable[Average]))</f>
        <v>0</v>
      </c>
      <c r="S85" s="5" cm="1">
        <f t="array" ref="S85">MAX(IF((DiscreteStatsTable[GroupByKey]=DiscreteStatsTable[[#This Row],[GroupByKey]]),(DiscreteStatsTable[GroupByKey]=DiscreteStatsTable[[#This Row],[GroupByKey]])*DiscreteStatsTable[Average]))</f>
        <v>3.4345522286517598</v>
      </c>
      <c r="T85" s="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s="5" cm="1">
        <f t="array" ref="U85">MAX(IF((DiscreteStatsTable[GroupByKey]=DiscreteStatsTable[[#This Row],[GroupByKey]]),(DiscreteStatsTable[GroupByKey]=DiscreteStatsTable[[#This Row],[GroupByKey]])*DiscreteStatsTable[Maximum]))</f>
        <v>6.7563093676697896</v>
      </c>
      <c r="V85" s="5" cm="1">
        <f t="array" ref="V85">IFERROR(AVERAGE(IF((DiscreteStatsTable[GroupByKey]=DiscreteStatsTable[[#This Row],[GroupByKey]]),(DiscreteStatsTable[GroupByKey]=DiscreteStatsTable[[#This Row],[GroupByKey]])*DiscreteStatsTable[NumberObservations])),0)</f>
        <v>3.62</v>
      </c>
      <c r="W85" s="5">
        <f>IF((DiscreteStatsTable[[#This Row],[RepsRequested]]&gt;1),DiscreteStatsTable[[#This Row],[HalfWidth]],DiscreteStatsTable[[#This Row],[BatchMeansHalfWidth]])</f>
        <v>0.2554017613968404</v>
      </c>
      <c r="X85" s="5" cm="1">
        <f t="array" ref="X85">COUNT(IF((DiscreteStatsTable[GroupByKey]=DiscreteStatsTable[[#This Row],[GroupByKey]]),(DiscreteStatsTable[GroupByKey]=DiscreteStatsTable[[#This Row],[GroupByKey]])*DiscreteStatsTable[Replication]))</f>
        <v>50</v>
      </c>
      <c r="Y85" s="5">
        <f>IF(DiscreteStatsTable[[#This Row],[RepsRequested]]=DiscreteStatsTable[[#This Row],[RepsWithStatObserved]],1,0)</f>
        <v>1</v>
      </c>
    </row>
    <row r="86" spans="1:25" x14ac:dyDescent="0.35">
      <c r="A86" t="s">
        <v>66</v>
      </c>
      <c r="B86" t="s">
        <v>69</v>
      </c>
      <c r="C86">
        <v>15</v>
      </c>
      <c r="D86" t="s">
        <v>70</v>
      </c>
      <c r="E86" t="s">
        <v>71</v>
      </c>
      <c r="F86" t="s">
        <v>72</v>
      </c>
      <c r="G86">
        <v>0</v>
      </c>
      <c r="H86">
        <v>2E+20</v>
      </c>
      <c r="I86">
        <v>0</v>
      </c>
      <c r="J86">
        <v>0</v>
      </c>
      <c r="K86">
        <v>4</v>
      </c>
      <c r="L86" s="5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86" s="5" cm="1">
        <f t="array" ref="M86">MAX(IF((ProjectInfoTable[ProjectName]=DiscreteStatsTable[[#This Row],[ProjectName]]),(ProjectInfoTable[ProjectName]=DiscreteStatsTable[[#This Row],[ProjectName]])*ProjectInfoTable[NumberOfReplications]))</f>
        <v>50</v>
      </c>
      <c r="N86" s="5" cm="1">
        <f t="array" ref="N86">IFERROR(AVERAGE(IF((DiscreteStatsTable[GroupByKey]=DiscreteStatsTable[[#This Row],[GroupByKey]]),(DiscreteStatsTable[GroupByKey]=DiscreteStatsTable[[#This Row],[GroupByKey]])*DiscreteStatsTable[Average])),0)</f>
        <v>0</v>
      </c>
      <c r="O86" s="5" cm="1">
        <f t="array" ref="O86">IFERROR(_xlfn.STDEV.S(IF((DiscreteStatsTable[GroupByKey]=DiscreteStatsTable[[#This Row],[GroupByKey]]),(DiscreteStatsTable[GroupByKey]=DiscreteStatsTable[[#This Row],[GroupByKey]])*DiscreteStatsTable[Average])),0)</f>
        <v>0</v>
      </c>
      <c r="P86" s="5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 s="5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" s="5" cm="1">
        <f t="array" ref="R86">MIN(IF((DiscreteStatsTable[GroupByKey]=DiscreteStatsTable[[#This Row],[GroupByKey]]),(DiscreteStatsTable[GroupByKey]=DiscreteStatsTable[[#This Row],[GroupByKey]])*DiscreteStatsTable[Average]))</f>
        <v>0</v>
      </c>
      <c r="S86" s="5" cm="1">
        <f t="array" ref="S86">MAX(IF((DiscreteStatsTable[GroupByKey]=DiscreteStatsTable[[#This Row],[GroupByKey]]),(DiscreteStatsTable[GroupByKey]=DiscreteStatsTable[[#This Row],[GroupByKey]])*DiscreteStatsTable[Average]))</f>
        <v>0</v>
      </c>
      <c r="T86" s="5" cm="1">
        <f t="array" ref="T86">MIN(IF((DiscreteStatsTable[GroupByKey]=DiscreteStatsTable[[#This Row],[GroupByKey]]),(DiscreteStatsTable[GroupByKey]=DiscreteStatsTable[[#This Row],[GroupByKey]])*DiscreteStatsTable[Minimum]))</f>
        <v>0</v>
      </c>
      <c r="U86" s="5" cm="1">
        <f t="array" ref="U86">MAX(IF((DiscreteStatsTable[GroupByKey]=DiscreteStatsTable[[#This Row],[GroupByKey]]),(DiscreteStatsTable[GroupByKey]=DiscreteStatsTable[[#This Row],[GroupByKey]])*DiscreteStatsTable[Maximum]))</f>
        <v>0</v>
      </c>
      <c r="V86" s="5" cm="1">
        <f t="array" ref="V86">IFERROR(AVERAGE(IF((DiscreteStatsTable[GroupByKey]=DiscreteStatsTable[[#This Row],[GroupByKey]]),(DiscreteStatsTable[GroupByKey]=DiscreteStatsTable[[#This Row],[GroupByKey]])*DiscreteStatsTable[NumberObservations])),0)</f>
        <v>3.62</v>
      </c>
      <c r="W86" s="5">
        <f>IF((DiscreteStatsTable[[#This Row],[RepsRequested]]&gt;1),DiscreteStatsTable[[#This Row],[HalfWidth]],DiscreteStatsTable[[#This Row],[BatchMeansHalfWidth]])</f>
        <v>0</v>
      </c>
      <c r="X86" s="5" cm="1">
        <f t="array" ref="X86">COUNT(IF((DiscreteStatsTable[GroupByKey]=DiscreteStatsTable[[#This Row],[GroupByKey]]),(DiscreteStatsTable[GroupByKey]=DiscreteStatsTable[[#This Row],[GroupByKey]])*DiscreteStatsTable[Replication]))</f>
        <v>50</v>
      </c>
      <c r="Y86" s="5">
        <f>IF(DiscreteStatsTable[[#This Row],[RepsRequested]]=DiscreteStatsTable[[#This Row],[RepsWithStatObserved]],1,0)</f>
        <v>1</v>
      </c>
    </row>
    <row r="87" spans="1:25" x14ac:dyDescent="0.35">
      <c r="A87" t="s">
        <v>66</v>
      </c>
      <c r="B87" t="s">
        <v>69</v>
      </c>
      <c r="C87">
        <v>15</v>
      </c>
      <c r="D87" t="s">
        <v>70</v>
      </c>
      <c r="E87" t="s">
        <v>73</v>
      </c>
      <c r="F87" t="s">
        <v>72</v>
      </c>
      <c r="G87">
        <v>0</v>
      </c>
      <c r="H87">
        <v>2E+20</v>
      </c>
      <c r="I87">
        <v>0</v>
      </c>
      <c r="J87">
        <v>0</v>
      </c>
      <c r="K87">
        <v>4</v>
      </c>
      <c r="L87" s="5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87" s="5" cm="1">
        <f t="array" ref="M87">MAX(IF((ProjectInfoTable[ProjectName]=DiscreteStatsTable[[#This Row],[ProjectName]]),(ProjectInfoTable[ProjectName]=DiscreteStatsTable[[#This Row],[ProjectName]])*ProjectInfoTable[NumberOfReplications]))</f>
        <v>50</v>
      </c>
      <c r="N87" s="5" cm="1">
        <f t="array" ref="N87">IFERROR(AVERAGE(IF((DiscreteStatsTable[GroupByKey]=DiscreteStatsTable[[#This Row],[GroupByKey]]),(DiscreteStatsTable[GroupByKey]=DiscreteStatsTable[[#This Row],[GroupByKey]])*DiscreteStatsTable[Average])),0)</f>
        <v>0</v>
      </c>
      <c r="O87" s="5" cm="1">
        <f t="array" ref="O87">IFERROR(_xlfn.STDEV.S(IF((DiscreteStatsTable[GroupByKey]=DiscreteStatsTable[[#This Row],[GroupByKey]]),(DiscreteStatsTable[GroupByKey]=DiscreteStatsTable[[#This Row],[GroupByKey]])*DiscreteStatsTable[Average])),0)</f>
        <v>0</v>
      </c>
      <c r="P87" s="5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 s="5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" s="5" cm="1">
        <f t="array" ref="R87">MIN(IF((DiscreteStatsTable[GroupByKey]=DiscreteStatsTable[[#This Row],[GroupByKey]]),(DiscreteStatsTable[GroupByKey]=DiscreteStatsTable[[#This Row],[GroupByKey]])*DiscreteStatsTable[Average]))</f>
        <v>0</v>
      </c>
      <c r="S87" s="5" cm="1">
        <f t="array" ref="S87">MAX(IF((DiscreteStatsTable[GroupByKey]=DiscreteStatsTable[[#This Row],[GroupByKey]]),(DiscreteStatsTable[GroupByKey]=DiscreteStatsTable[[#This Row],[GroupByKey]])*DiscreteStatsTable[Average]))</f>
        <v>0</v>
      </c>
      <c r="T87" s="5" cm="1">
        <f t="array" ref="T87">MIN(IF((DiscreteStatsTable[GroupByKey]=DiscreteStatsTable[[#This Row],[GroupByKey]]),(DiscreteStatsTable[GroupByKey]=DiscreteStatsTable[[#This Row],[GroupByKey]])*DiscreteStatsTable[Minimum]))</f>
        <v>0</v>
      </c>
      <c r="U87" s="5" cm="1">
        <f t="array" ref="U87">MAX(IF((DiscreteStatsTable[GroupByKey]=DiscreteStatsTable[[#This Row],[GroupByKey]]),(DiscreteStatsTable[GroupByKey]=DiscreteStatsTable[[#This Row],[GroupByKey]])*DiscreteStatsTable[Maximum]))</f>
        <v>0</v>
      </c>
      <c r="V87" s="5" cm="1">
        <f t="array" ref="V87">IFERROR(AVERAGE(IF((DiscreteStatsTable[GroupByKey]=DiscreteStatsTable[[#This Row],[GroupByKey]]),(DiscreteStatsTable[GroupByKey]=DiscreteStatsTable[[#This Row],[GroupByKey]])*DiscreteStatsTable[NumberObservations])),0)</f>
        <v>3.62</v>
      </c>
      <c r="W87" s="5">
        <f>IF((DiscreteStatsTable[[#This Row],[RepsRequested]]&gt;1),DiscreteStatsTable[[#This Row],[HalfWidth]],DiscreteStatsTable[[#This Row],[BatchMeansHalfWidth]])</f>
        <v>0</v>
      </c>
      <c r="X87" s="5" cm="1">
        <f t="array" ref="X87">COUNT(IF((DiscreteStatsTable[GroupByKey]=DiscreteStatsTable[[#This Row],[GroupByKey]]),(DiscreteStatsTable[GroupByKey]=DiscreteStatsTable[[#This Row],[GroupByKey]])*DiscreteStatsTable[Replication]))</f>
        <v>50</v>
      </c>
      <c r="Y87" s="5">
        <f>IF(DiscreteStatsTable[[#This Row],[RepsRequested]]=DiscreteStatsTable[[#This Row],[RepsWithStatObserved]],1,0)</f>
        <v>1</v>
      </c>
    </row>
    <row r="88" spans="1:25" x14ac:dyDescent="0.35">
      <c r="A88" t="s">
        <v>66</v>
      </c>
      <c r="B88" t="s">
        <v>69</v>
      </c>
      <c r="C88">
        <v>15</v>
      </c>
      <c r="D88" t="s">
        <v>70</v>
      </c>
      <c r="E88" t="s">
        <v>74</v>
      </c>
      <c r="F88" t="s">
        <v>72</v>
      </c>
      <c r="G88">
        <v>2.8461783010206099</v>
      </c>
      <c r="H88">
        <v>2E+20</v>
      </c>
      <c r="I88">
        <v>1.25978648852258</v>
      </c>
      <c r="J88">
        <v>4.2618440994651401</v>
      </c>
      <c r="K88">
        <v>4</v>
      </c>
      <c r="L88" s="5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88" s="5" cm="1">
        <f t="array" ref="M88">MAX(IF((ProjectInfoTable[ProjectName]=DiscreteStatsTable[[#This Row],[ProjectName]]),(ProjectInfoTable[ProjectName]=DiscreteStatsTable[[#This Row],[ProjectName]])*ProjectInfoTable[NumberOfReplications]))</f>
        <v>50</v>
      </c>
      <c r="N88" s="5" cm="1">
        <f t="array" ref="N88">IFERROR(AVERAGE(IF((DiscreteStatsTable[GroupByKey]=DiscreteStatsTable[[#This Row],[GroupByKey]]),(DiscreteStatsTable[GroupByKey]=DiscreteStatsTable[[#This Row],[GroupByKey]])*DiscreteStatsTable[Average])),0)</f>
        <v>3.5363894499532775</v>
      </c>
      <c r="O88" s="5" cm="1">
        <f t="array" ref="O88">IFERROR(_xlfn.STDEV.S(IF((DiscreteStatsTable[GroupByKey]=DiscreteStatsTable[[#This Row],[GroupByKey]]),(DiscreteStatsTable[GroupByKey]=DiscreteStatsTable[[#This Row],[GroupByKey]])*DiscreteStatsTable[Average])),0)</f>
        <v>1.1766434570133149</v>
      </c>
      <c r="P88" s="5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 s="5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0.33439837052280896</v>
      </c>
      <c r="R88" s="5" cm="1">
        <f t="array" ref="R88">MIN(IF((DiscreteStatsTable[GroupByKey]=DiscreteStatsTable[[#This Row],[GroupByKey]]),(DiscreteStatsTable[GroupByKey]=DiscreteStatsTable[[#This Row],[GroupByKey]])*DiscreteStatsTable[Average]))</f>
        <v>1.6342264652107701</v>
      </c>
      <c r="S88" s="5" cm="1">
        <f t="array" ref="S88">MAX(IF((DiscreteStatsTable[GroupByKey]=DiscreteStatsTable[[#This Row],[GroupByKey]]),(DiscreteStatsTable[GroupByKey]=DiscreteStatsTable[[#This Row],[GroupByKey]])*DiscreteStatsTable[Average]))</f>
        <v>6.5527373550837904</v>
      </c>
      <c r="T88" s="5" cm="1">
        <f t="array" ref="T88">MIN(IF((DiscreteStatsTable[GroupByKey]=DiscreteStatsTable[[#This Row],[GroupByKey]]),(DiscreteStatsTable[GroupByKey]=DiscreteStatsTable[[#This Row],[GroupByKey]])*DiscreteStatsTable[Minimum]))</f>
        <v>0.58847912081681497</v>
      </c>
      <c r="U88" s="5" cm="1">
        <f t="array" ref="U88">MAX(IF((DiscreteStatsTable[GroupByKey]=DiscreteStatsTable[[#This Row],[GroupByKey]]),(DiscreteStatsTable[GroupByKey]=DiscreteStatsTable[[#This Row],[GroupByKey]])*DiscreteStatsTable[Maximum]))</f>
        <v>8.7476494546828292</v>
      </c>
      <c r="V88" s="5" cm="1">
        <f t="array" ref="V88">IFERROR(AVERAGE(IF((DiscreteStatsTable[GroupByKey]=DiscreteStatsTable[[#This Row],[GroupByKey]]),(DiscreteStatsTable[GroupByKey]=DiscreteStatsTable[[#This Row],[GroupByKey]])*DiscreteStatsTable[NumberObservations])),0)</f>
        <v>3.62</v>
      </c>
      <c r="W88" s="5">
        <f>IF((DiscreteStatsTable[[#This Row],[RepsRequested]]&gt;1),DiscreteStatsTable[[#This Row],[HalfWidth]],DiscreteStatsTable[[#This Row],[BatchMeansHalfWidth]])</f>
        <v>0.33439837052280896</v>
      </c>
      <c r="X88" s="5" cm="1">
        <f t="array" ref="X88">COUNT(IF((DiscreteStatsTable[GroupByKey]=DiscreteStatsTable[[#This Row],[GroupByKey]]),(DiscreteStatsTable[GroupByKey]=DiscreteStatsTable[[#This Row],[GroupByKey]])*DiscreteStatsTable[Replication]))</f>
        <v>50</v>
      </c>
      <c r="Y88" s="5">
        <f>IF(DiscreteStatsTable[[#This Row],[RepsRequested]]=DiscreteStatsTable[[#This Row],[RepsWithStatObserved]],1,0)</f>
        <v>1</v>
      </c>
    </row>
    <row r="89" spans="1:25" x14ac:dyDescent="0.35">
      <c r="A89" t="s">
        <v>66</v>
      </c>
      <c r="B89" t="s">
        <v>69</v>
      </c>
      <c r="C89">
        <v>15</v>
      </c>
      <c r="D89" t="s">
        <v>70</v>
      </c>
      <c r="E89" t="s">
        <v>75</v>
      </c>
      <c r="F89" t="s">
        <v>72</v>
      </c>
      <c r="G89">
        <v>0</v>
      </c>
      <c r="H89">
        <v>2E+20</v>
      </c>
      <c r="I89">
        <v>0</v>
      </c>
      <c r="J89">
        <v>0</v>
      </c>
      <c r="K89">
        <v>4</v>
      </c>
      <c r="L89" s="5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89" s="5" cm="1">
        <f t="array" ref="M89">MAX(IF((ProjectInfoTable[ProjectName]=DiscreteStatsTable[[#This Row],[ProjectName]]),(ProjectInfoTable[ProjectName]=DiscreteStatsTable[[#This Row],[ProjectName]])*ProjectInfoTable[NumberOfReplications]))</f>
        <v>50</v>
      </c>
      <c r="N89" s="5" cm="1">
        <f t="array" ref="N89">IFERROR(AVERAGE(IF((DiscreteStatsTable[GroupByKey]=DiscreteStatsTable[[#This Row],[GroupByKey]]),(DiscreteStatsTable[GroupByKey]=DiscreteStatsTable[[#This Row],[GroupByKey]])*DiscreteStatsTable[Average])),0)</f>
        <v>0</v>
      </c>
      <c r="O89" s="5" cm="1">
        <f t="array" ref="O89">IFERROR(_xlfn.STDEV.S(IF((DiscreteStatsTable[GroupByKey]=DiscreteStatsTable[[#This Row],[GroupByKey]]),(DiscreteStatsTable[GroupByKey]=DiscreteStatsTable[[#This Row],[GroupByKey]])*DiscreteStatsTable[Average])),0)</f>
        <v>0</v>
      </c>
      <c r="P89" s="5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 s="5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" s="5" cm="1">
        <f t="array" ref="R89">MIN(IF((DiscreteStatsTable[GroupByKey]=DiscreteStatsTable[[#This Row],[GroupByKey]]),(DiscreteStatsTable[GroupByKey]=DiscreteStatsTable[[#This Row],[GroupByKey]])*DiscreteStatsTable[Average]))</f>
        <v>0</v>
      </c>
      <c r="S89" s="5" cm="1">
        <f t="array" ref="S89">MAX(IF((DiscreteStatsTable[GroupByKey]=DiscreteStatsTable[[#This Row],[GroupByKey]]),(DiscreteStatsTable[GroupByKey]=DiscreteStatsTable[[#This Row],[GroupByKey]])*DiscreteStatsTable[Average]))</f>
        <v>0</v>
      </c>
      <c r="T89" s="5" cm="1">
        <f t="array" ref="T89">MIN(IF((DiscreteStatsTable[GroupByKey]=DiscreteStatsTable[[#This Row],[GroupByKey]]),(DiscreteStatsTable[GroupByKey]=DiscreteStatsTable[[#This Row],[GroupByKey]])*DiscreteStatsTable[Minimum]))</f>
        <v>0</v>
      </c>
      <c r="U89" s="5" cm="1">
        <f t="array" ref="U89">MAX(IF((DiscreteStatsTable[GroupByKey]=DiscreteStatsTable[[#This Row],[GroupByKey]]),(DiscreteStatsTable[GroupByKey]=DiscreteStatsTable[[#This Row],[GroupByKey]])*DiscreteStatsTable[Maximum]))</f>
        <v>0</v>
      </c>
      <c r="V89" s="5" cm="1">
        <f t="array" ref="V89">IFERROR(AVERAGE(IF((DiscreteStatsTable[GroupByKey]=DiscreteStatsTable[[#This Row],[GroupByKey]]),(DiscreteStatsTable[GroupByKey]=DiscreteStatsTable[[#This Row],[GroupByKey]])*DiscreteStatsTable[NumberObservations])),0)</f>
        <v>3.62</v>
      </c>
      <c r="W89" s="5">
        <f>IF((DiscreteStatsTable[[#This Row],[RepsRequested]]&gt;1),DiscreteStatsTable[[#This Row],[HalfWidth]],DiscreteStatsTable[[#This Row],[BatchMeansHalfWidth]])</f>
        <v>0</v>
      </c>
      <c r="X89" s="5" cm="1">
        <f t="array" ref="X89">COUNT(IF((DiscreteStatsTable[GroupByKey]=DiscreteStatsTable[[#This Row],[GroupByKey]]),(DiscreteStatsTable[GroupByKey]=DiscreteStatsTable[[#This Row],[GroupByKey]])*DiscreteStatsTable[Replication]))</f>
        <v>50</v>
      </c>
      <c r="Y89" s="5">
        <f>IF(DiscreteStatsTable[[#This Row],[RepsRequested]]=DiscreteStatsTable[[#This Row],[RepsWithStatObserved]],1,0)</f>
        <v>1</v>
      </c>
    </row>
    <row r="90" spans="1:25" x14ac:dyDescent="0.35">
      <c r="A90" t="s">
        <v>66</v>
      </c>
      <c r="B90" t="s">
        <v>69</v>
      </c>
      <c r="C90">
        <v>15</v>
      </c>
      <c r="D90" t="s">
        <v>70</v>
      </c>
      <c r="E90" t="s">
        <v>76</v>
      </c>
      <c r="F90" t="s">
        <v>72</v>
      </c>
      <c r="G90">
        <v>1.9039771648722299</v>
      </c>
      <c r="H90">
        <v>2E+20</v>
      </c>
      <c r="I90">
        <v>1.25978648852258</v>
      </c>
      <c r="J90">
        <v>2.9764430691578898</v>
      </c>
      <c r="K90">
        <v>4</v>
      </c>
      <c r="L90" s="5" t="str">
        <f>DiscreteStatsTable[[#This Row],[ProjectName]]&amp;DiscreteStatsTable[[#This Row],[Name]]&amp;DiscreteStatsTable[[#This Row],[Type]]&amp;DiscreteStatsTable[[#This Row],[Source]]</f>
        <v>Unnamed ProjectArquivosVA TimeEntity</v>
      </c>
      <c r="M90" s="5" cm="1">
        <f t="array" ref="M90">MAX(IF((ProjectInfoTable[ProjectName]=DiscreteStatsTable[[#This Row],[ProjectName]]),(ProjectInfoTable[ProjectName]=DiscreteStatsTable[[#This Row],[ProjectName]])*ProjectInfoTable[NumberOfReplications]))</f>
        <v>50</v>
      </c>
      <c r="N90" s="5" cm="1">
        <f t="array" ref="N90">IFERROR(AVERAGE(IF((DiscreteStatsTable[GroupByKey]=DiscreteStatsTable[[#This Row],[GroupByKey]]),(DiscreteStatsTable[GroupByKey]=DiscreteStatsTable[[#This Row],[GroupByKey]])*DiscreteStatsTable[Average])),0)</f>
        <v>2.3123810058270009</v>
      </c>
      <c r="O90" s="5" cm="1">
        <f t="array" ref="O90">IFERROR(_xlfn.STDEV.S(IF((DiscreteStatsTable[GroupByKey]=DiscreteStatsTable[[#This Row],[GroupByKey]]),(DiscreteStatsTable[GroupByKey]=DiscreteStatsTable[[#This Row],[GroupByKey]])*DiscreteStatsTable[Average])),0)</f>
        <v>0.47735516285795621</v>
      </c>
      <c r="P90" s="5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 s="5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0.13566283623888314</v>
      </c>
      <c r="R90" s="5" cm="1">
        <f t="array" ref="R90">MIN(IF((DiscreteStatsTable[GroupByKey]=DiscreteStatsTable[[#This Row],[GroupByKey]]),(DiscreteStatsTable[GroupByKey]=DiscreteStatsTable[[#This Row],[GroupByKey]])*DiscreteStatsTable[Average]))</f>
        <v>1.3773415743205399</v>
      </c>
      <c r="S90" s="5" cm="1">
        <f t="array" ref="S90">MAX(IF((DiscreteStatsTable[GroupByKey]=DiscreteStatsTable[[#This Row],[GroupByKey]]),(DiscreteStatsTable[GroupByKey]=DiscreteStatsTable[[#This Row],[GroupByKey]])*DiscreteStatsTable[Average]))</f>
        <v>3.3139161730180202</v>
      </c>
      <c r="T90" s="5" cm="1">
        <f t="array" ref="T90">MIN(IF((DiscreteStatsTable[GroupByKey]=DiscreteStatsTable[[#This Row],[GroupByKey]]),(DiscreteStatsTable[GroupByKey]=DiscreteStatsTable[[#This Row],[GroupByKey]])*DiscreteStatsTable[Minimum]))</f>
        <v>0.58847912081681497</v>
      </c>
      <c r="U90" s="5" cm="1">
        <f t="array" ref="U90">MAX(IF((DiscreteStatsTable[GroupByKey]=DiscreteStatsTable[[#This Row],[GroupByKey]]),(DiscreteStatsTable[GroupByKey]=DiscreteStatsTable[[#This Row],[GroupByKey]])*DiscreteStatsTable[Maximum]))</f>
        <v>4.9756405925629998</v>
      </c>
      <c r="V90" s="5" cm="1">
        <f t="array" ref="V90">IFERROR(AVERAGE(IF((DiscreteStatsTable[GroupByKey]=DiscreteStatsTable[[#This Row],[GroupByKey]]),(DiscreteStatsTable[GroupByKey]=DiscreteStatsTable[[#This Row],[GroupByKey]])*DiscreteStatsTable[NumberObservations])),0)</f>
        <v>3.62</v>
      </c>
      <c r="W90" s="5">
        <f>IF((DiscreteStatsTable[[#This Row],[RepsRequested]]&gt;1),DiscreteStatsTable[[#This Row],[HalfWidth]],DiscreteStatsTable[[#This Row],[BatchMeansHalfWidth]])</f>
        <v>0.13566283623888314</v>
      </c>
      <c r="X90" s="5" cm="1">
        <f t="array" ref="X90">COUNT(IF((DiscreteStatsTable[GroupByKey]=DiscreteStatsTable[[#This Row],[GroupByKey]]),(DiscreteStatsTable[GroupByKey]=DiscreteStatsTable[[#This Row],[GroupByKey]])*DiscreteStatsTable[Replication]))</f>
        <v>50</v>
      </c>
      <c r="Y90" s="5">
        <f>IF(DiscreteStatsTable[[#This Row],[RepsRequested]]=DiscreteStatsTable[[#This Row],[RepsWithStatObserved]],1,0)</f>
        <v>1</v>
      </c>
    </row>
    <row r="91" spans="1:25" x14ac:dyDescent="0.35">
      <c r="A91" t="s">
        <v>66</v>
      </c>
      <c r="B91" t="s">
        <v>69</v>
      </c>
      <c r="C91">
        <v>15</v>
      </c>
      <c r="D91" t="s">
        <v>70</v>
      </c>
      <c r="E91" t="s">
        <v>77</v>
      </c>
      <c r="F91" t="s">
        <v>72</v>
      </c>
      <c r="G91">
        <v>0.94220113614838297</v>
      </c>
      <c r="H91">
        <v>2E+20</v>
      </c>
      <c r="I91">
        <v>0</v>
      </c>
      <c r="J91">
        <v>2.7813609172848799</v>
      </c>
      <c r="K91">
        <v>4</v>
      </c>
      <c r="L91" s="5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91" s="5" cm="1">
        <f t="array" ref="M91">MAX(IF((ProjectInfoTable[ProjectName]=DiscreteStatsTable[[#This Row],[ProjectName]]),(ProjectInfoTable[ProjectName]=DiscreteStatsTable[[#This Row],[ProjectName]])*ProjectInfoTable[NumberOfReplications]))</f>
        <v>50</v>
      </c>
      <c r="N91" s="5" cm="1">
        <f t="array" ref="N91">IFERROR(AVERAGE(IF((DiscreteStatsTable[GroupByKey]=DiscreteStatsTable[[#This Row],[GroupByKey]]),(DiscreteStatsTable[GroupByKey]=DiscreteStatsTable[[#This Row],[GroupByKey]])*DiscreteStatsTable[Average])),0)</f>
        <v>1.2240084441262762</v>
      </c>
      <c r="O91" s="5" cm="1">
        <f t="array" ref="O91">IFERROR(_xlfn.STDEV.S(IF((DiscreteStatsTable[GroupByKey]=DiscreteStatsTable[[#This Row],[GroupByKey]]),(DiscreteStatsTable[GroupByKey]=DiscreteStatsTable[[#This Row],[GroupByKey]])*DiscreteStatsTable[Average])),0)</f>
        <v>0.89867905452837749</v>
      </c>
      <c r="P91" s="5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 s="5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0.2554017613968404</v>
      </c>
      <c r="R91" s="5" cm="1">
        <f t="array" ref="R91">MIN(IF((DiscreteStatsTable[GroupByKey]=DiscreteStatsTable[[#This Row],[GroupByKey]]),(DiscreteStatsTable[GroupByKey]=DiscreteStatsTable[[#This Row],[GroupByKey]])*DiscreteStatsTable[Average]))</f>
        <v>0</v>
      </c>
      <c r="S91" s="5" cm="1">
        <f t="array" ref="S91">MAX(IF((DiscreteStatsTable[GroupByKey]=DiscreteStatsTable[[#This Row],[GroupByKey]]),(DiscreteStatsTable[GroupByKey]=DiscreteStatsTable[[#This Row],[GroupByKey]])*DiscreteStatsTable[Average]))</f>
        <v>3.4345522286517598</v>
      </c>
      <c r="T91" s="5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s="5" cm="1">
        <f t="array" ref="U91">MAX(IF((DiscreteStatsTable[GroupByKey]=DiscreteStatsTable[[#This Row],[GroupByKey]]),(DiscreteStatsTable[GroupByKey]=DiscreteStatsTable[[#This Row],[GroupByKey]])*DiscreteStatsTable[Maximum]))</f>
        <v>6.7563093676697896</v>
      </c>
      <c r="V91" s="5" cm="1">
        <f t="array" ref="V91">IFERROR(AVERAGE(IF((DiscreteStatsTable[GroupByKey]=DiscreteStatsTable[[#This Row],[GroupByKey]]),(DiscreteStatsTable[GroupByKey]=DiscreteStatsTable[[#This Row],[GroupByKey]])*DiscreteStatsTable[NumberObservations])),0)</f>
        <v>3.62</v>
      </c>
      <c r="W91" s="5">
        <f>IF((DiscreteStatsTable[[#This Row],[RepsRequested]]&gt;1),DiscreteStatsTable[[#This Row],[HalfWidth]],DiscreteStatsTable[[#This Row],[BatchMeansHalfWidth]])</f>
        <v>0.2554017613968404</v>
      </c>
      <c r="X91" s="5" cm="1">
        <f t="array" ref="X91">COUNT(IF((DiscreteStatsTable[GroupByKey]=DiscreteStatsTable[[#This Row],[GroupByKey]]),(DiscreteStatsTable[GroupByKey]=DiscreteStatsTable[[#This Row],[GroupByKey]])*DiscreteStatsTable[Replication]))</f>
        <v>50</v>
      </c>
      <c r="Y91" s="5">
        <f>IF(DiscreteStatsTable[[#This Row],[RepsRequested]]=DiscreteStatsTable[[#This Row],[RepsWithStatObserved]],1,0)</f>
        <v>1</v>
      </c>
    </row>
    <row r="92" spans="1:25" x14ac:dyDescent="0.35">
      <c r="A92" t="s">
        <v>66</v>
      </c>
      <c r="B92" t="s">
        <v>69</v>
      </c>
      <c r="C92">
        <v>16</v>
      </c>
      <c r="D92" t="s">
        <v>70</v>
      </c>
      <c r="E92" t="s">
        <v>71</v>
      </c>
      <c r="F92" t="s">
        <v>72</v>
      </c>
      <c r="G92">
        <v>0</v>
      </c>
      <c r="H92">
        <v>2E+20</v>
      </c>
      <c r="I92">
        <v>0</v>
      </c>
      <c r="J92">
        <v>0</v>
      </c>
      <c r="K92">
        <v>4</v>
      </c>
      <c r="L92" s="5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92" s="5" cm="1">
        <f t="array" ref="M92">MAX(IF((ProjectInfoTable[ProjectName]=DiscreteStatsTable[[#This Row],[ProjectName]]),(ProjectInfoTable[ProjectName]=DiscreteStatsTable[[#This Row],[ProjectName]])*ProjectInfoTable[NumberOfReplications]))</f>
        <v>50</v>
      </c>
      <c r="N92" s="5" cm="1">
        <f t="array" ref="N92">IFERROR(AVERAGE(IF((DiscreteStatsTable[GroupByKey]=DiscreteStatsTable[[#This Row],[GroupByKey]]),(DiscreteStatsTable[GroupByKey]=DiscreteStatsTable[[#This Row],[GroupByKey]])*DiscreteStatsTable[Average])),0)</f>
        <v>0</v>
      </c>
      <c r="O92" s="5" cm="1">
        <f t="array" ref="O92">IFERROR(_xlfn.STDEV.S(IF((DiscreteStatsTable[GroupByKey]=DiscreteStatsTable[[#This Row],[GroupByKey]]),(DiscreteStatsTable[GroupByKey]=DiscreteStatsTable[[#This Row],[GroupByKey]])*DiscreteStatsTable[Average])),0)</f>
        <v>0</v>
      </c>
      <c r="P92" s="5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 s="5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" s="5" cm="1">
        <f t="array" ref="R92">MIN(IF((DiscreteStatsTable[GroupByKey]=DiscreteStatsTable[[#This Row],[GroupByKey]]),(DiscreteStatsTable[GroupByKey]=DiscreteStatsTable[[#This Row],[GroupByKey]])*DiscreteStatsTable[Average]))</f>
        <v>0</v>
      </c>
      <c r="S92" s="5" cm="1">
        <f t="array" ref="S92">MAX(IF((DiscreteStatsTable[GroupByKey]=DiscreteStatsTable[[#This Row],[GroupByKey]]),(DiscreteStatsTable[GroupByKey]=DiscreteStatsTable[[#This Row],[GroupByKey]])*DiscreteStatsTable[Average]))</f>
        <v>0</v>
      </c>
      <c r="T92" s="5" cm="1">
        <f t="array" ref="T92">MIN(IF((DiscreteStatsTable[GroupByKey]=DiscreteStatsTable[[#This Row],[GroupByKey]]),(DiscreteStatsTable[GroupByKey]=DiscreteStatsTable[[#This Row],[GroupByKey]])*DiscreteStatsTable[Minimum]))</f>
        <v>0</v>
      </c>
      <c r="U92" s="5" cm="1">
        <f t="array" ref="U92">MAX(IF((DiscreteStatsTable[GroupByKey]=DiscreteStatsTable[[#This Row],[GroupByKey]]),(DiscreteStatsTable[GroupByKey]=DiscreteStatsTable[[#This Row],[GroupByKey]])*DiscreteStatsTable[Maximum]))</f>
        <v>0</v>
      </c>
      <c r="V92" s="5" cm="1">
        <f t="array" ref="V92">IFERROR(AVERAGE(IF((DiscreteStatsTable[GroupByKey]=DiscreteStatsTable[[#This Row],[GroupByKey]]),(DiscreteStatsTable[GroupByKey]=DiscreteStatsTable[[#This Row],[GroupByKey]])*DiscreteStatsTable[NumberObservations])),0)</f>
        <v>3.62</v>
      </c>
      <c r="W92" s="5">
        <f>IF((DiscreteStatsTable[[#This Row],[RepsRequested]]&gt;1),DiscreteStatsTable[[#This Row],[HalfWidth]],DiscreteStatsTable[[#This Row],[BatchMeansHalfWidth]])</f>
        <v>0</v>
      </c>
      <c r="X92" s="5" cm="1">
        <f t="array" ref="X92">COUNT(IF((DiscreteStatsTable[GroupByKey]=DiscreteStatsTable[[#This Row],[GroupByKey]]),(DiscreteStatsTable[GroupByKey]=DiscreteStatsTable[[#This Row],[GroupByKey]])*DiscreteStatsTable[Replication]))</f>
        <v>50</v>
      </c>
      <c r="Y92" s="5">
        <f>IF(DiscreteStatsTable[[#This Row],[RepsRequested]]=DiscreteStatsTable[[#This Row],[RepsWithStatObserved]],1,0)</f>
        <v>1</v>
      </c>
    </row>
    <row r="93" spans="1:25" x14ac:dyDescent="0.35">
      <c r="A93" t="s">
        <v>66</v>
      </c>
      <c r="B93" t="s">
        <v>69</v>
      </c>
      <c r="C93">
        <v>16</v>
      </c>
      <c r="D93" t="s">
        <v>70</v>
      </c>
      <c r="E93" t="s">
        <v>73</v>
      </c>
      <c r="F93" t="s">
        <v>72</v>
      </c>
      <c r="G93">
        <v>0</v>
      </c>
      <c r="H93">
        <v>2E+20</v>
      </c>
      <c r="I93">
        <v>0</v>
      </c>
      <c r="J93">
        <v>0</v>
      </c>
      <c r="K93">
        <v>4</v>
      </c>
      <c r="L93" s="5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93" s="5" cm="1">
        <f t="array" ref="M93">MAX(IF((ProjectInfoTable[ProjectName]=DiscreteStatsTable[[#This Row],[ProjectName]]),(ProjectInfoTable[ProjectName]=DiscreteStatsTable[[#This Row],[ProjectName]])*ProjectInfoTable[NumberOfReplications]))</f>
        <v>50</v>
      </c>
      <c r="N93" s="5" cm="1">
        <f t="array" ref="N93">IFERROR(AVERAGE(IF((DiscreteStatsTable[GroupByKey]=DiscreteStatsTable[[#This Row],[GroupByKey]]),(DiscreteStatsTable[GroupByKey]=DiscreteStatsTable[[#This Row],[GroupByKey]])*DiscreteStatsTable[Average])),0)</f>
        <v>0</v>
      </c>
      <c r="O93" s="5" cm="1">
        <f t="array" ref="O93">IFERROR(_xlfn.STDEV.S(IF((DiscreteStatsTable[GroupByKey]=DiscreteStatsTable[[#This Row],[GroupByKey]]),(DiscreteStatsTable[GroupByKey]=DiscreteStatsTable[[#This Row],[GroupByKey]])*DiscreteStatsTable[Average])),0)</f>
        <v>0</v>
      </c>
      <c r="P93" s="5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 s="5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" s="5" cm="1">
        <f t="array" ref="R93">MIN(IF((DiscreteStatsTable[GroupByKey]=DiscreteStatsTable[[#This Row],[GroupByKey]]),(DiscreteStatsTable[GroupByKey]=DiscreteStatsTable[[#This Row],[GroupByKey]])*DiscreteStatsTable[Average]))</f>
        <v>0</v>
      </c>
      <c r="S93" s="5" cm="1">
        <f t="array" ref="S93">MAX(IF((DiscreteStatsTable[GroupByKey]=DiscreteStatsTable[[#This Row],[GroupByKey]]),(DiscreteStatsTable[GroupByKey]=DiscreteStatsTable[[#This Row],[GroupByKey]])*DiscreteStatsTable[Average]))</f>
        <v>0</v>
      </c>
      <c r="T93" s="5" cm="1">
        <f t="array" ref="T93">MIN(IF((DiscreteStatsTable[GroupByKey]=DiscreteStatsTable[[#This Row],[GroupByKey]]),(DiscreteStatsTable[GroupByKey]=DiscreteStatsTable[[#This Row],[GroupByKey]])*DiscreteStatsTable[Minimum]))</f>
        <v>0</v>
      </c>
      <c r="U93" s="5" cm="1">
        <f t="array" ref="U93">MAX(IF((DiscreteStatsTable[GroupByKey]=DiscreteStatsTable[[#This Row],[GroupByKey]]),(DiscreteStatsTable[GroupByKey]=DiscreteStatsTable[[#This Row],[GroupByKey]])*DiscreteStatsTable[Maximum]))</f>
        <v>0</v>
      </c>
      <c r="V93" s="5" cm="1">
        <f t="array" ref="V93">IFERROR(AVERAGE(IF((DiscreteStatsTable[GroupByKey]=DiscreteStatsTable[[#This Row],[GroupByKey]]),(DiscreteStatsTable[GroupByKey]=DiscreteStatsTable[[#This Row],[GroupByKey]])*DiscreteStatsTable[NumberObservations])),0)</f>
        <v>3.62</v>
      </c>
      <c r="W93" s="5">
        <f>IF((DiscreteStatsTable[[#This Row],[RepsRequested]]&gt;1),DiscreteStatsTable[[#This Row],[HalfWidth]],DiscreteStatsTable[[#This Row],[BatchMeansHalfWidth]])</f>
        <v>0</v>
      </c>
      <c r="X93" s="5" cm="1">
        <f t="array" ref="X93">COUNT(IF((DiscreteStatsTable[GroupByKey]=DiscreteStatsTable[[#This Row],[GroupByKey]]),(DiscreteStatsTable[GroupByKey]=DiscreteStatsTable[[#This Row],[GroupByKey]])*DiscreteStatsTable[Replication]))</f>
        <v>50</v>
      </c>
      <c r="Y93" s="5">
        <f>IF(DiscreteStatsTable[[#This Row],[RepsRequested]]=DiscreteStatsTable[[#This Row],[RepsWithStatObserved]],1,0)</f>
        <v>1</v>
      </c>
    </row>
    <row r="94" spans="1:25" x14ac:dyDescent="0.35">
      <c r="A94" t="s">
        <v>66</v>
      </c>
      <c r="B94" t="s">
        <v>69</v>
      </c>
      <c r="C94">
        <v>16</v>
      </c>
      <c r="D94" t="s">
        <v>70</v>
      </c>
      <c r="E94" t="s">
        <v>74</v>
      </c>
      <c r="F94" t="s">
        <v>72</v>
      </c>
      <c r="G94">
        <v>3.64222338640164</v>
      </c>
      <c r="H94">
        <v>2E+20</v>
      </c>
      <c r="I94">
        <v>2.2472498747094498</v>
      </c>
      <c r="J94">
        <v>4.66506577169684</v>
      </c>
      <c r="K94">
        <v>4</v>
      </c>
      <c r="L94" s="5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94" s="5" cm="1">
        <f t="array" ref="M94">MAX(IF((ProjectInfoTable[ProjectName]=DiscreteStatsTable[[#This Row],[ProjectName]]),(ProjectInfoTable[ProjectName]=DiscreteStatsTable[[#This Row],[ProjectName]])*ProjectInfoTable[NumberOfReplications]))</f>
        <v>50</v>
      </c>
      <c r="N94" s="5" cm="1">
        <f t="array" ref="N94">IFERROR(AVERAGE(IF((DiscreteStatsTable[GroupByKey]=DiscreteStatsTable[[#This Row],[GroupByKey]]),(DiscreteStatsTable[GroupByKey]=DiscreteStatsTable[[#This Row],[GroupByKey]])*DiscreteStatsTable[Average])),0)</f>
        <v>3.5363894499532775</v>
      </c>
      <c r="O94" s="5" cm="1">
        <f t="array" ref="O94">IFERROR(_xlfn.STDEV.S(IF((DiscreteStatsTable[GroupByKey]=DiscreteStatsTable[[#This Row],[GroupByKey]]),(DiscreteStatsTable[GroupByKey]=DiscreteStatsTable[[#This Row],[GroupByKey]])*DiscreteStatsTable[Average])),0)</f>
        <v>1.1766434570133149</v>
      </c>
      <c r="P94" s="5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 s="5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0.33439837052280896</v>
      </c>
      <c r="R94" s="5" cm="1">
        <f t="array" ref="R94">MIN(IF((DiscreteStatsTable[GroupByKey]=DiscreteStatsTable[[#This Row],[GroupByKey]]),(DiscreteStatsTable[GroupByKey]=DiscreteStatsTable[[#This Row],[GroupByKey]])*DiscreteStatsTable[Average]))</f>
        <v>1.6342264652107701</v>
      </c>
      <c r="S94" s="5" cm="1">
        <f t="array" ref="S94">MAX(IF((DiscreteStatsTable[GroupByKey]=DiscreteStatsTable[[#This Row],[GroupByKey]]),(DiscreteStatsTable[GroupByKey]=DiscreteStatsTable[[#This Row],[GroupByKey]])*DiscreteStatsTable[Average]))</f>
        <v>6.5527373550837904</v>
      </c>
      <c r="T94" s="5" cm="1">
        <f t="array" ref="T94">MIN(IF((DiscreteStatsTable[GroupByKey]=DiscreteStatsTable[[#This Row],[GroupByKey]]),(DiscreteStatsTable[GroupByKey]=DiscreteStatsTable[[#This Row],[GroupByKey]])*DiscreteStatsTable[Minimum]))</f>
        <v>0.58847912081681497</v>
      </c>
      <c r="U94" s="5" cm="1">
        <f t="array" ref="U94">MAX(IF((DiscreteStatsTable[GroupByKey]=DiscreteStatsTable[[#This Row],[GroupByKey]]),(DiscreteStatsTable[GroupByKey]=DiscreteStatsTable[[#This Row],[GroupByKey]])*DiscreteStatsTable[Maximum]))</f>
        <v>8.7476494546828292</v>
      </c>
      <c r="V94" s="5" cm="1">
        <f t="array" ref="V94">IFERROR(AVERAGE(IF((DiscreteStatsTable[GroupByKey]=DiscreteStatsTable[[#This Row],[GroupByKey]]),(DiscreteStatsTable[GroupByKey]=DiscreteStatsTable[[#This Row],[GroupByKey]])*DiscreteStatsTable[NumberObservations])),0)</f>
        <v>3.62</v>
      </c>
      <c r="W94" s="5">
        <f>IF((DiscreteStatsTable[[#This Row],[RepsRequested]]&gt;1),DiscreteStatsTable[[#This Row],[HalfWidth]],DiscreteStatsTable[[#This Row],[BatchMeansHalfWidth]])</f>
        <v>0.33439837052280896</v>
      </c>
      <c r="X94" s="5" cm="1">
        <f t="array" ref="X94">COUNT(IF((DiscreteStatsTable[GroupByKey]=DiscreteStatsTable[[#This Row],[GroupByKey]]),(DiscreteStatsTable[GroupByKey]=DiscreteStatsTable[[#This Row],[GroupByKey]])*DiscreteStatsTable[Replication]))</f>
        <v>50</v>
      </c>
      <c r="Y94" s="5">
        <f>IF(DiscreteStatsTable[[#This Row],[RepsRequested]]=DiscreteStatsTable[[#This Row],[RepsWithStatObserved]],1,0)</f>
        <v>1</v>
      </c>
    </row>
    <row r="95" spans="1:25" x14ac:dyDescent="0.35">
      <c r="A95" t="s">
        <v>66</v>
      </c>
      <c r="B95" t="s">
        <v>69</v>
      </c>
      <c r="C95">
        <v>16</v>
      </c>
      <c r="D95" t="s">
        <v>70</v>
      </c>
      <c r="E95" t="s">
        <v>75</v>
      </c>
      <c r="F95" t="s">
        <v>72</v>
      </c>
      <c r="G95">
        <v>0</v>
      </c>
      <c r="H95">
        <v>2E+20</v>
      </c>
      <c r="I95">
        <v>0</v>
      </c>
      <c r="J95">
        <v>0</v>
      </c>
      <c r="K95">
        <v>4</v>
      </c>
      <c r="L95" s="5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95" s="5" cm="1">
        <f t="array" ref="M95">MAX(IF((ProjectInfoTable[ProjectName]=DiscreteStatsTable[[#This Row],[ProjectName]]),(ProjectInfoTable[ProjectName]=DiscreteStatsTable[[#This Row],[ProjectName]])*ProjectInfoTable[NumberOfReplications]))</f>
        <v>50</v>
      </c>
      <c r="N95" s="5" cm="1">
        <f t="array" ref="N95">IFERROR(AVERAGE(IF((DiscreteStatsTable[GroupByKey]=DiscreteStatsTable[[#This Row],[GroupByKey]]),(DiscreteStatsTable[GroupByKey]=DiscreteStatsTable[[#This Row],[GroupByKey]])*DiscreteStatsTable[Average])),0)</f>
        <v>0</v>
      </c>
      <c r="O95" s="5" cm="1">
        <f t="array" ref="O95">IFERROR(_xlfn.STDEV.S(IF((DiscreteStatsTable[GroupByKey]=DiscreteStatsTable[[#This Row],[GroupByKey]]),(DiscreteStatsTable[GroupByKey]=DiscreteStatsTable[[#This Row],[GroupByKey]])*DiscreteStatsTable[Average])),0)</f>
        <v>0</v>
      </c>
      <c r="P95" s="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 s="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" s="5" cm="1">
        <f t="array" ref="R95">MIN(IF((DiscreteStatsTable[GroupByKey]=DiscreteStatsTable[[#This Row],[GroupByKey]]),(DiscreteStatsTable[GroupByKey]=DiscreteStatsTable[[#This Row],[GroupByKey]])*DiscreteStatsTable[Average]))</f>
        <v>0</v>
      </c>
      <c r="S95" s="5" cm="1">
        <f t="array" ref="S95">MAX(IF((DiscreteStatsTable[GroupByKey]=DiscreteStatsTable[[#This Row],[GroupByKey]]),(DiscreteStatsTable[GroupByKey]=DiscreteStatsTable[[#This Row],[GroupByKey]])*DiscreteStatsTable[Average]))</f>
        <v>0</v>
      </c>
      <c r="T95" s="5" cm="1">
        <f t="array" ref="T95">MIN(IF((DiscreteStatsTable[GroupByKey]=DiscreteStatsTable[[#This Row],[GroupByKey]]),(DiscreteStatsTable[GroupByKey]=DiscreteStatsTable[[#This Row],[GroupByKey]])*DiscreteStatsTable[Minimum]))</f>
        <v>0</v>
      </c>
      <c r="U95" s="5" cm="1">
        <f t="array" ref="U95">MAX(IF((DiscreteStatsTable[GroupByKey]=DiscreteStatsTable[[#This Row],[GroupByKey]]),(DiscreteStatsTable[GroupByKey]=DiscreteStatsTable[[#This Row],[GroupByKey]])*DiscreteStatsTable[Maximum]))</f>
        <v>0</v>
      </c>
      <c r="V95" s="5" cm="1">
        <f t="array" ref="V95">IFERROR(AVERAGE(IF((DiscreteStatsTable[GroupByKey]=DiscreteStatsTable[[#This Row],[GroupByKey]]),(DiscreteStatsTable[GroupByKey]=DiscreteStatsTable[[#This Row],[GroupByKey]])*DiscreteStatsTable[NumberObservations])),0)</f>
        <v>3.62</v>
      </c>
      <c r="W95" s="5">
        <f>IF((DiscreteStatsTable[[#This Row],[RepsRequested]]&gt;1),DiscreteStatsTable[[#This Row],[HalfWidth]],DiscreteStatsTable[[#This Row],[BatchMeansHalfWidth]])</f>
        <v>0</v>
      </c>
      <c r="X95" s="5" cm="1">
        <f t="array" ref="X95">COUNT(IF((DiscreteStatsTable[GroupByKey]=DiscreteStatsTable[[#This Row],[GroupByKey]]),(DiscreteStatsTable[GroupByKey]=DiscreteStatsTable[[#This Row],[GroupByKey]])*DiscreteStatsTable[Replication]))</f>
        <v>50</v>
      </c>
      <c r="Y95" s="5">
        <f>IF(DiscreteStatsTable[[#This Row],[RepsRequested]]=DiscreteStatsTable[[#This Row],[RepsWithStatObserved]],1,0)</f>
        <v>1</v>
      </c>
    </row>
    <row r="96" spans="1:25" x14ac:dyDescent="0.35">
      <c r="A96" t="s">
        <v>66</v>
      </c>
      <c r="B96" t="s">
        <v>69</v>
      </c>
      <c r="C96">
        <v>16</v>
      </c>
      <c r="D96" t="s">
        <v>70</v>
      </c>
      <c r="E96" t="s">
        <v>76</v>
      </c>
      <c r="F96" t="s">
        <v>72</v>
      </c>
      <c r="G96">
        <v>2.0727520579669401</v>
      </c>
      <c r="H96">
        <v>2E+20</v>
      </c>
      <c r="I96">
        <v>1.8313668830424901</v>
      </c>
      <c r="J96">
        <v>2.2950079583852698</v>
      </c>
      <c r="K96">
        <v>4</v>
      </c>
      <c r="L96" s="5" t="str">
        <f>DiscreteStatsTable[[#This Row],[ProjectName]]&amp;DiscreteStatsTable[[#This Row],[Name]]&amp;DiscreteStatsTable[[#This Row],[Type]]&amp;DiscreteStatsTable[[#This Row],[Source]]</f>
        <v>Unnamed ProjectArquivosVA TimeEntity</v>
      </c>
      <c r="M96" s="5" cm="1">
        <f t="array" ref="M96">MAX(IF((ProjectInfoTable[ProjectName]=DiscreteStatsTable[[#This Row],[ProjectName]]),(ProjectInfoTable[ProjectName]=DiscreteStatsTable[[#This Row],[ProjectName]])*ProjectInfoTable[NumberOfReplications]))</f>
        <v>50</v>
      </c>
      <c r="N96" s="5" cm="1">
        <f t="array" ref="N96">IFERROR(AVERAGE(IF((DiscreteStatsTable[GroupByKey]=DiscreteStatsTable[[#This Row],[GroupByKey]]),(DiscreteStatsTable[GroupByKey]=DiscreteStatsTable[[#This Row],[GroupByKey]])*DiscreteStatsTable[Average])),0)</f>
        <v>2.3123810058270009</v>
      </c>
      <c r="O96" s="5" cm="1">
        <f t="array" ref="O96">IFERROR(_xlfn.STDEV.S(IF((DiscreteStatsTable[GroupByKey]=DiscreteStatsTable[[#This Row],[GroupByKey]]),(DiscreteStatsTable[GroupByKey]=DiscreteStatsTable[[#This Row],[GroupByKey]])*DiscreteStatsTable[Average])),0)</f>
        <v>0.47735516285795621</v>
      </c>
      <c r="P96" s="5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 s="5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0.13566283623888314</v>
      </c>
      <c r="R96" s="5" cm="1">
        <f t="array" ref="R96">MIN(IF((DiscreteStatsTable[GroupByKey]=DiscreteStatsTable[[#This Row],[GroupByKey]]),(DiscreteStatsTable[GroupByKey]=DiscreteStatsTable[[#This Row],[GroupByKey]])*DiscreteStatsTable[Average]))</f>
        <v>1.3773415743205399</v>
      </c>
      <c r="S96" s="5" cm="1">
        <f t="array" ref="S96">MAX(IF((DiscreteStatsTable[GroupByKey]=DiscreteStatsTable[[#This Row],[GroupByKey]]),(DiscreteStatsTable[GroupByKey]=DiscreteStatsTable[[#This Row],[GroupByKey]])*DiscreteStatsTable[Average]))</f>
        <v>3.3139161730180202</v>
      </c>
      <c r="T96" s="5" cm="1">
        <f t="array" ref="T96">MIN(IF((DiscreteStatsTable[GroupByKey]=DiscreteStatsTable[[#This Row],[GroupByKey]]),(DiscreteStatsTable[GroupByKey]=DiscreteStatsTable[[#This Row],[GroupByKey]])*DiscreteStatsTable[Minimum]))</f>
        <v>0.58847912081681497</v>
      </c>
      <c r="U96" s="5" cm="1">
        <f t="array" ref="U96">MAX(IF((DiscreteStatsTable[GroupByKey]=DiscreteStatsTable[[#This Row],[GroupByKey]]),(DiscreteStatsTable[GroupByKey]=DiscreteStatsTable[[#This Row],[GroupByKey]])*DiscreteStatsTable[Maximum]))</f>
        <v>4.9756405925629998</v>
      </c>
      <c r="V96" s="5" cm="1">
        <f t="array" ref="V96">IFERROR(AVERAGE(IF((DiscreteStatsTable[GroupByKey]=DiscreteStatsTable[[#This Row],[GroupByKey]]),(DiscreteStatsTable[GroupByKey]=DiscreteStatsTable[[#This Row],[GroupByKey]])*DiscreteStatsTable[NumberObservations])),0)</f>
        <v>3.62</v>
      </c>
      <c r="W96" s="5">
        <f>IF((DiscreteStatsTable[[#This Row],[RepsRequested]]&gt;1),DiscreteStatsTable[[#This Row],[HalfWidth]],DiscreteStatsTable[[#This Row],[BatchMeansHalfWidth]])</f>
        <v>0.13566283623888314</v>
      </c>
      <c r="X96" s="5" cm="1">
        <f t="array" ref="X96">COUNT(IF((DiscreteStatsTable[GroupByKey]=DiscreteStatsTable[[#This Row],[GroupByKey]]),(DiscreteStatsTable[GroupByKey]=DiscreteStatsTable[[#This Row],[GroupByKey]])*DiscreteStatsTable[Replication]))</f>
        <v>50</v>
      </c>
      <c r="Y96" s="5">
        <f>IF(DiscreteStatsTable[[#This Row],[RepsRequested]]=DiscreteStatsTable[[#This Row],[RepsWithStatObserved]],1,0)</f>
        <v>1</v>
      </c>
    </row>
    <row r="97" spans="1:25" x14ac:dyDescent="0.35">
      <c r="A97" t="s">
        <v>66</v>
      </c>
      <c r="B97" t="s">
        <v>69</v>
      </c>
      <c r="C97">
        <v>16</v>
      </c>
      <c r="D97" t="s">
        <v>70</v>
      </c>
      <c r="E97" t="s">
        <v>77</v>
      </c>
      <c r="F97" t="s">
        <v>72</v>
      </c>
      <c r="G97">
        <v>1.5694713284346999</v>
      </c>
      <c r="H97">
        <v>2E+20</v>
      </c>
      <c r="I97">
        <v>0</v>
      </c>
      <c r="J97">
        <v>2.8336988886543502</v>
      </c>
      <c r="K97">
        <v>4</v>
      </c>
      <c r="L97" s="5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97" s="5" cm="1">
        <f t="array" ref="M97">MAX(IF((ProjectInfoTable[ProjectName]=DiscreteStatsTable[[#This Row],[ProjectName]]),(ProjectInfoTable[ProjectName]=DiscreteStatsTable[[#This Row],[ProjectName]])*ProjectInfoTable[NumberOfReplications]))</f>
        <v>50</v>
      </c>
      <c r="N97" s="5" cm="1">
        <f t="array" ref="N97">IFERROR(AVERAGE(IF((DiscreteStatsTable[GroupByKey]=DiscreteStatsTable[[#This Row],[GroupByKey]]),(DiscreteStatsTable[GroupByKey]=DiscreteStatsTable[[#This Row],[GroupByKey]])*DiscreteStatsTable[Average])),0)</f>
        <v>1.2240084441262762</v>
      </c>
      <c r="O97" s="5" cm="1">
        <f t="array" ref="O97">IFERROR(_xlfn.STDEV.S(IF((DiscreteStatsTable[GroupByKey]=DiscreteStatsTable[[#This Row],[GroupByKey]]),(DiscreteStatsTable[GroupByKey]=DiscreteStatsTable[[#This Row],[GroupByKey]])*DiscreteStatsTable[Average])),0)</f>
        <v>0.89867905452837749</v>
      </c>
      <c r="P97" s="5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 s="5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0.2554017613968404</v>
      </c>
      <c r="R97" s="5" cm="1">
        <f t="array" ref="R97">MIN(IF((DiscreteStatsTable[GroupByKey]=DiscreteStatsTable[[#This Row],[GroupByKey]]),(DiscreteStatsTable[GroupByKey]=DiscreteStatsTable[[#This Row],[GroupByKey]])*DiscreteStatsTable[Average]))</f>
        <v>0</v>
      </c>
      <c r="S97" s="5" cm="1">
        <f t="array" ref="S97">MAX(IF((DiscreteStatsTable[GroupByKey]=DiscreteStatsTable[[#This Row],[GroupByKey]]),(DiscreteStatsTable[GroupByKey]=DiscreteStatsTable[[#This Row],[GroupByKey]])*DiscreteStatsTable[Average]))</f>
        <v>3.4345522286517598</v>
      </c>
      <c r="T97" s="5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s="5" cm="1">
        <f t="array" ref="U97">MAX(IF((DiscreteStatsTable[GroupByKey]=DiscreteStatsTable[[#This Row],[GroupByKey]]),(DiscreteStatsTable[GroupByKey]=DiscreteStatsTable[[#This Row],[GroupByKey]])*DiscreteStatsTable[Maximum]))</f>
        <v>6.7563093676697896</v>
      </c>
      <c r="V97" s="5" cm="1">
        <f t="array" ref="V97">IFERROR(AVERAGE(IF((DiscreteStatsTable[GroupByKey]=DiscreteStatsTable[[#This Row],[GroupByKey]]),(DiscreteStatsTable[GroupByKey]=DiscreteStatsTable[[#This Row],[GroupByKey]])*DiscreteStatsTable[NumberObservations])),0)</f>
        <v>3.62</v>
      </c>
      <c r="W97" s="5">
        <f>IF((DiscreteStatsTable[[#This Row],[RepsRequested]]&gt;1),DiscreteStatsTable[[#This Row],[HalfWidth]],DiscreteStatsTable[[#This Row],[BatchMeansHalfWidth]])</f>
        <v>0.2554017613968404</v>
      </c>
      <c r="X97" s="5" cm="1">
        <f t="array" ref="X97">COUNT(IF((DiscreteStatsTable[GroupByKey]=DiscreteStatsTable[[#This Row],[GroupByKey]]),(DiscreteStatsTable[GroupByKey]=DiscreteStatsTable[[#This Row],[GroupByKey]])*DiscreteStatsTable[Replication]))</f>
        <v>50</v>
      </c>
      <c r="Y97" s="5">
        <f>IF(DiscreteStatsTable[[#This Row],[RepsRequested]]=DiscreteStatsTable[[#This Row],[RepsWithStatObserved]],1,0)</f>
        <v>1</v>
      </c>
    </row>
    <row r="98" spans="1:25" x14ac:dyDescent="0.35">
      <c r="A98" t="s">
        <v>66</v>
      </c>
      <c r="B98" t="s">
        <v>69</v>
      </c>
      <c r="C98">
        <v>17</v>
      </c>
      <c r="D98" t="s">
        <v>70</v>
      </c>
      <c r="E98" t="s">
        <v>71</v>
      </c>
      <c r="F98" t="s">
        <v>72</v>
      </c>
      <c r="G98">
        <v>0</v>
      </c>
      <c r="H98">
        <v>2E+20</v>
      </c>
      <c r="I98">
        <v>0</v>
      </c>
      <c r="J98">
        <v>0</v>
      </c>
      <c r="K98">
        <v>2</v>
      </c>
      <c r="L98" s="5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98" s="5" cm="1">
        <f t="array" ref="M98">MAX(IF((ProjectInfoTable[ProjectName]=DiscreteStatsTable[[#This Row],[ProjectName]]),(ProjectInfoTable[ProjectName]=DiscreteStatsTable[[#This Row],[ProjectName]])*ProjectInfoTable[NumberOfReplications]))</f>
        <v>50</v>
      </c>
      <c r="N98" s="5" cm="1">
        <f t="array" ref="N98">IFERROR(AVERAGE(IF((DiscreteStatsTable[GroupByKey]=DiscreteStatsTable[[#This Row],[GroupByKey]]),(DiscreteStatsTable[GroupByKey]=DiscreteStatsTable[[#This Row],[GroupByKey]])*DiscreteStatsTable[Average])),0)</f>
        <v>0</v>
      </c>
      <c r="O98" s="5" cm="1">
        <f t="array" ref="O98">IFERROR(_xlfn.STDEV.S(IF((DiscreteStatsTable[GroupByKey]=DiscreteStatsTable[[#This Row],[GroupByKey]]),(DiscreteStatsTable[GroupByKey]=DiscreteStatsTable[[#This Row],[GroupByKey]])*DiscreteStatsTable[Average])),0)</f>
        <v>0</v>
      </c>
      <c r="P98" s="5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 s="5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" s="5" cm="1">
        <f t="array" ref="R98">MIN(IF((DiscreteStatsTable[GroupByKey]=DiscreteStatsTable[[#This Row],[GroupByKey]]),(DiscreteStatsTable[GroupByKey]=DiscreteStatsTable[[#This Row],[GroupByKey]])*DiscreteStatsTable[Average]))</f>
        <v>0</v>
      </c>
      <c r="S98" s="5" cm="1">
        <f t="array" ref="S98">MAX(IF((DiscreteStatsTable[GroupByKey]=DiscreteStatsTable[[#This Row],[GroupByKey]]),(DiscreteStatsTable[GroupByKey]=DiscreteStatsTable[[#This Row],[GroupByKey]])*DiscreteStatsTable[Average]))</f>
        <v>0</v>
      </c>
      <c r="T98" s="5" cm="1">
        <f t="array" ref="T98">MIN(IF((DiscreteStatsTable[GroupByKey]=DiscreteStatsTable[[#This Row],[GroupByKey]]),(DiscreteStatsTable[GroupByKey]=DiscreteStatsTable[[#This Row],[GroupByKey]])*DiscreteStatsTable[Minimum]))</f>
        <v>0</v>
      </c>
      <c r="U98" s="5" cm="1">
        <f t="array" ref="U98">MAX(IF((DiscreteStatsTable[GroupByKey]=DiscreteStatsTable[[#This Row],[GroupByKey]]),(DiscreteStatsTable[GroupByKey]=DiscreteStatsTable[[#This Row],[GroupByKey]])*DiscreteStatsTable[Maximum]))</f>
        <v>0</v>
      </c>
      <c r="V98" s="5" cm="1">
        <f t="array" ref="V98">IFERROR(AVERAGE(IF((DiscreteStatsTable[GroupByKey]=DiscreteStatsTable[[#This Row],[GroupByKey]]),(DiscreteStatsTable[GroupByKey]=DiscreteStatsTable[[#This Row],[GroupByKey]])*DiscreteStatsTable[NumberObservations])),0)</f>
        <v>3.62</v>
      </c>
      <c r="W98" s="5">
        <f>IF((DiscreteStatsTable[[#This Row],[RepsRequested]]&gt;1),DiscreteStatsTable[[#This Row],[HalfWidth]],DiscreteStatsTable[[#This Row],[BatchMeansHalfWidth]])</f>
        <v>0</v>
      </c>
      <c r="X98" s="5" cm="1">
        <f t="array" ref="X98">COUNT(IF((DiscreteStatsTable[GroupByKey]=DiscreteStatsTable[[#This Row],[GroupByKey]]),(DiscreteStatsTable[GroupByKey]=DiscreteStatsTable[[#This Row],[GroupByKey]])*DiscreteStatsTable[Replication]))</f>
        <v>50</v>
      </c>
      <c r="Y98" s="5">
        <f>IF(DiscreteStatsTable[[#This Row],[RepsRequested]]=DiscreteStatsTable[[#This Row],[RepsWithStatObserved]],1,0)</f>
        <v>1</v>
      </c>
    </row>
    <row r="99" spans="1:25" x14ac:dyDescent="0.35">
      <c r="A99" t="s">
        <v>66</v>
      </c>
      <c r="B99" t="s">
        <v>69</v>
      </c>
      <c r="C99">
        <v>17</v>
      </c>
      <c r="D99" t="s">
        <v>70</v>
      </c>
      <c r="E99" t="s">
        <v>73</v>
      </c>
      <c r="F99" t="s">
        <v>72</v>
      </c>
      <c r="G99">
        <v>0</v>
      </c>
      <c r="H99">
        <v>2E+20</v>
      </c>
      <c r="I99">
        <v>0</v>
      </c>
      <c r="J99">
        <v>0</v>
      </c>
      <c r="K99">
        <v>2</v>
      </c>
      <c r="L99" s="5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99" s="5" cm="1">
        <f t="array" ref="M99">MAX(IF((ProjectInfoTable[ProjectName]=DiscreteStatsTable[[#This Row],[ProjectName]]),(ProjectInfoTable[ProjectName]=DiscreteStatsTable[[#This Row],[ProjectName]])*ProjectInfoTable[NumberOfReplications]))</f>
        <v>50</v>
      </c>
      <c r="N99" s="5" cm="1">
        <f t="array" ref="N99">IFERROR(AVERAGE(IF((DiscreteStatsTable[GroupByKey]=DiscreteStatsTable[[#This Row],[GroupByKey]]),(DiscreteStatsTable[GroupByKey]=DiscreteStatsTable[[#This Row],[GroupByKey]])*DiscreteStatsTable[Average])),0)</f>
        <v>0</v>
      </c>
      <c r="O99" s="5" cm="1">
        <f t="array" ref="O99">IFERROR(_xlfn.STDEV.S(IF((DiscreteStatsTable[GroupByKey]=DiscreteStatsTable[[#This Row],[GroupByKey]]),(DiscreteStatsTable[GroupByKey]=DiscreteStatsTable[[#This Row],[GroupByKey]])*DiscreteStatsTable[Average])),0)</f>
        <v>0</v>
      </c>
      <c r="P99" s="5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 s="5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" s="5" cm="1">
        <f t="array" ref="R99">MIN(IF((DiscreteStatsTable[GroupByKey]=DiscreteStatsTable[[#This Row],[GroupByKey]]),(DiscreteStatsTable[GroupByKey]=DiscreteStatsTable[[#This Row],[GroupByKey]])*DiscreteStatsTable[Average]))</f>
        <v>0</v>
      </c>
      <c r="S99" s="5" cm="1">
        <f t="array" ref="S99">MAX(IF((DiscreteStatsTable[GroupByKey]=DiscreteStatsTable[[#This Row],[GroupByKey]]),(DiscreteStatsTable[GroupByKey]=DiscreteStatsTable[[#This Row],[GroupByKey]])*DiscreteStatsTable[Average]))</f>
        <v>0</v>
      </c>
      <c r="T99" s="5" cm="1">
        <f t="array" ref="T99">MIN(IF((DiscreteStatsTable[GroupByKey]=DiscreteStatsTable[[#This Row],[GroupByKey]]),(DiscreteStatsTable[GroupByKey]=DiscreteStatsTable[[#This Row],[GroupByKey]])*DiscreteStatsTable[Minimum]))</f>
        <v>0</v>
      </c>
      <c r="U99" s="5" cm="1">
        <f t="array" ref="U99">MAX(IF((DiscreteStatsTable[GroupByKey]=DiscreteStatsTable[[#This Row],[GroupByKey]]),(DiscreteStatsTable[GroupByKey]=DiscreteStatsTable[[#This Row],[GroupByKey]])*DiscreteStatsTable[Maximum]))</f>
        <v>0</v>
      </c>
      <c r="V99" s="5" cm="1">
        <f t="array" ref="V99">IFERROR(AVERAGE(IF((DiscreteStatsTable[GroupByKey]=DiscreteStatsTable[[#This Row],[GroupByKey]]),(DiscreteStatsTable[GroupByKey]=DiscreteStatsTable[[#This Row],[GroupByKey]])*DiscreteStatsTable[NumberObservations])),0)</f>
        <v>3.62</v>
      </c>
      <c r="W99" s="5">
        <f>IF((DiscreteStatsTable[[#This Row],[RepsRequested]]&gt;1),DiscreteStatsTable[[#This Row],[HalfWidth]],DiscreteStatsTable[[#This Row],[BatchMeansHalfWidth]])</f>
        <v>0</v>
      </c>
      <c r="X99" s="5" cm="1">
        <f t="array" ref="X99">COUNT(IF((DiscreteStatsTable[GroupByKey]=DiscreteStatsTable[[#This Row],[GroupByKey]]),(DiscreteStatsTable[GroupByKey]=DiscreteStatsTable[[#This Row],[GroupByKey]])*DiscreteStatsTable[Replication]))</f>
        <v>50</v>
      </c>
      <c r="Y99" s="5">
        <f>IF(DiscreteStatsTable[[#This Row],[RepsRequested]]=DiscreteStatsTable[[#This Row],[RepsWithStatObserved]],1,0)</f>
        <v>1</v>
      </c>
    </row>
    <row r="100" spans="1:25" x14ac:dyDescent="0.35">
      <c r="A100" t="s">
        <v>66</v>
      </c>
      <c r="B100" t="s">
        <v>69</v>
      </c>
      <c r="C100">
        <v>17</v>
      </c>
      <c r="D100" t="s">
        <v>70</v>
      </c>
      <c r="E100" t="s">
        <v>74</v>
      </c>
      <c r="F100" t="s">
        <v>72</v>
      </c>
      <c r="G100">
        <v>2.2133840130397902</v>
      </c>
      <c r="H100">
        <v>2E+20</v>
      </c>
      <c r="I100">
        <v>2.1523569066582402</v>
      </c>
      <c r="J100">
        <v>2.2744111194213499</v>
      </c>
      <c r="K100">
        <v>2</v>
      </c>
      <c r="L100" s="5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100" s="5" cm="1">
        <f t="array" ref="M100">MAX(IF((ProjectInfoTable[ProjectName]=DiscreteStatsTable[[#This Row],[ProjectName]]),(ProjectInfoTable[ProjectName]=DiscreteStatsTable[[#This Row],[ProjectName]])*ProjectInfoTable[NumberOfReplications]))</f>
        <v>50</v>
      </c>
      <c r="N100" s="5" cm="1">
        <f t="array" ref="N100">IFERROR(AVERAGE(IF((DiscreteStatsTable[GroupByKey]=DiscreteStatsTable[[#This Row],[GroupByKey]]),(DiscreteStatsTable[GroupByKey]=DiscreteStatsTable[[#This Row],[GroupByKey]])*DiscreteStatsTable[Average])),0)</f>
        <v>3.5363894499532775</v>
      </c>
      <c r="O100" s="5" cm="1">
        <f t="array" ref="O100">IFERROR(_xlfn.STDEV.S(IF((DiscreteStatsTable[GroupByKey]=DiscreteStatsTable[[#This Row],[GroupByKey]]),(DiscreteStatsTable[GroupByKey]=DiscreteStatsTable[[#This Row],[GroupByKey]])*DiscreteStatsTable[Average])),0)</f>
        <v>1.1766434570133149</v>
      </c>
      <c r="P100" s="5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 s="5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0.33439837052280896</v>
      </c>
      <c r="R100" s="5" cm="1">
        <f t="array" ref="R100">MIN(IF((DiscreteStatsTable[GroupByKey]=DiscreteStatsTable[[#This Row],[GroupByKey]]),(DiscreteStatsTable[GroupByKey]=DiscreteStatsTable[[#This Row],[GroupByKey]])*DiscreteStatsTable[Average]))</f>
        <v>1.6342264652107701</v>
      </c>
      <c r="S100" s="5" cm="1">
        <f t="array" ref="S100">MAX(IF((DiscreteStatsTable[GroupByKey]=DiscreteStatsTable[[#This Row],[GroupByKey]]),(DiscreteStatsTable[GroupByKey]=DiscreteStatsTable[[#This Row],[GroupByKey]])*DiscreteStatsTable[Average]))</f>
        <v>6.5527373550837904</v>
      </c>
      <c r="T100" s="5" cm="1">
        <f t="array" ref="T100">MIN(IF((DiscreteStatsTable[GroupByKey]=DiscreteStatsTable[[#This Row],[GroupByKey]]),(DiscreteStatsTable[GroupByKey]=DiscreteStatsTable[[#This Row],[GroupByKey]])*DiscreteStatsTable[Minimum]))</f>
        <v>0.58847912081681497</v>
      </c>
      <c r="U100" s="5" cm="1">
        <f t="array" ref="U100">MAX(IF((DiscreteStatsTable[GroupByKey]=DiscreteStatsTable[[#This Row],[GroupByKey]]),(DiscreteStatsTable[GroupByKey]=DiscreteStatsTable[[#This Row],[GroupByKey]])*DiscreteStatsTable[Maximum]))</f>
        <v>8.7476494546828292</v>
      </c>
      <c r="V100" s="5" cm="1">
        <f t="array" ref="V100">IFERROR(AVERAGE(IF((DiscreteStatsTable[GroupByKey]=DiscreteStatsTable[[#This Row],[GroupByKey]]),(DiscreteStatsTable[GroupByKey]=DiscreteStatsTable[[#This Row],[GroupByKey]])*DiscreteStatsTable[NumberObservations])),0)</f>
        <v>3.62</v>
      </c>
      <c r="W100" s="5">
        <f>IF((DiscreteStatsTable[[#This Row],[RepsRequested]]&gt;1),DiscreteStatsTable[[#This Row],[HalfWidth]],DiscreteStatsTable[[#This Row],[BatchMeansHalfWidth]])</f>
        <v>0.33439837052280896</v>
      </c>
      <c r="X100" s="5" cm="1">
        <f t="array" ref="X100">COUNT(IF((DiscreteStatsTable[GroupByKey]=DiscreteStatsTable[[#This Row],[GroupByKey]]),(DiscreteStatsTable[GroupByKey]=DiscreteStatsTable[[#This Row],[GroupByKey]])*DiscreteStatsTable[Replication]))</f>
        <v>50</v>
      </c>
      <c r="Y100" s="5">
        <f>IF(DiscreteStatsTable[[#This Row],[RepsRequested]]=DiscreteStatsTable[[#This Row],[RepsWithStatObserved]],1,0)</f>
        <v>1</v>
      </c>
    </row>
    <row r="101" spans="1:25" x14ac:dyDescent="0.35">
      <c r="A101" t="s">
        <v>66</v>
      </c>
      <c r="B101" t="s">
        <v>69</v>
      </c>
      <c r="C101">
        <v>17</v>
      </c>
      <c r="D101" t="s">
        <v>70</v>
      </c>
      <c r="E101" t="s">
        <v>75</v>
      </c>
      <c r="F101" t="s">
        <v>72</v>
      </c>
      <c r="G101">
        <v>0</v>
      </c>
      <c r="H101">
        <v>2E+20</v>
      </c>
      <c r="I101">
        <v>0</v>
      </c>
      <c r="J101">
        <v>0</v>
      </c>
      <c r="K101">
        <v>2</v>
      </c>
      <c r="L101" s="5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101" s="5" cm="1">
        <f t="array" ref="M101">MAX(IF((ProjectInfoTable[ProjectName]=DiscreteStatsTable[[#This Row],[ProjectName]]),(ProjectInfoTable[ProjectName]=DiscreteStatsTable[[#This Row],[ProjectName]])*ProjectInfoTable[NumberOfReplications]))</f>
        <v>50</v>
      </c>
      <c r="N101" s="5" cm="1">
        <f t="array" ref="N101">IFERROR(AVERAGE(IF((DiscreteStatsTable[GroupByKey]=DiscreteStatsTable[[#This Row],[GroupByKey]]),(DiscreteStatsTable[GroupByKey]=DiscreteStatsTable[[#This Row],[GroupByKey]])*DiscreteStatsTable[Average])),0)</f>
        <v>0</v>
      </c>
      <c r="O101" s="5" cm="1">
        <f t="array" ref="O101">IFERROR(_xlfn.STDEV.S(IF((DiscreteStatsTable[GroupByKey]=DiscreteStatsTable[[#This Row],[GroupByKey]]),(DiscreteStatsTable[GroupByKey]=DiscreteStatsTable[[#This Row],[GroupByKey]])*DiscreteStatsTable[Average])),0)</f>
        <v>0</v>
      </c>
      <c r="P101" s="5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 s="5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" s="5" cm="1">
        <f t="array" ref="R101">MIN(IF((DiscreteStatsTable[GroupByKey]=DiscreteStatsTable[[#This Row],[GroupByKey]]),(DiscreteStatsTable[GroupByKey]=DiscreteStatsTable[[#This Row],[GroupByKey]])*DiscreteStatsTable[Average]))</f>
        <v>0</v>
      </c>
      <c r="S101" s="5" cm="1">
        <f t="array" ref="S101">MAX(IF((DiscreteStatsTable[GroupByKey]=DiscreteStatsTable[[#This Row],[GroupByKey]]),(DiscreteStatsTable[GroupByKey]=DiscreteStatsTable[[#This Row],[GroupByKey]])*DiscreteStatsTable[Average]))</f>
        <v>0</v>
      </c>
      <c r="T101" s="5" cm="1">
        <f t="array" ref="T101">MIN(IF((DiscreteStatsTable[GroupByKey]=DiscreteStatsTable[[#This Row],[GroupByKey]]),(DiscreteStatsTable[GroupByKey]=DiscreteStatsTable[[#This Row],[GroupByKey]])*DiscreteStatsTable[Minimum]))</f>
        <v>0</v>
      </c>
      <c r="U101" s="5" cm="1">
        <f t="array" ref="U101">MAX(IF((DiscreteStatsTable[GroupByKey]=DiscreteStatsTable[[#This Row],[GroupByKey]]),(DiscreteStatsTable[GroupByKey]=DiscreteStatsTable[[#This Row],[GroupByKey]])*DiscreteStatsTable[Maximum]))</f>
        <v>0</v>
      </c>
      <c r="V101" s="5" cm="1">
        <f t="array" ref="V101">IFERROR(AVERAGE(IF((DiscreteStatsTable[GroupByKey]=DiscreteStatsTable[[#This Row],[GroupByKey]]),(DiscreteStatsTable[GroupByKey]=DiscreteStatsTable[[#This Row],[GroupByKey]])*DiscreteStatsTable[NumberObservations])),0)</f>
        <v>3.62</v>
      </c>
      <c r="W101" s="5">
        <f>IF((DiscreteStatsTable[[#This Row],[RepsRequested]]&gt;1),DiscreteStatsTable[[#This Row],[HalfWidth]],DiscreteStatsTable[[#This Row],[BatchMeansHalfWidth]])</f>
        <v>0</v>
      </c>
      <c r="X101" s="5" cm="1">
        <f t="array" ref="X101">COUNT(IF((DiscreteStatsTable[GroupByKey]=DiscreteStatsTable[[#This Row],[GroupByKey]]),(DiscreteStatsTable[GroupByKey]=DiscreteStatsTable[[#This Row],[GroupByKey]])*DiscreteStatsTable[Replication]))</f>
        <v>50</v>
      </c>
      <c r="Y101" s="5">
        <f>IF(DiscreteStatsTable[[#This Row],[RepsRequested]]=DiscreteStatsTable[[#This Row],[RepsWithStatObserved]],1,0)</f>
        <v>1</v>
      </c>
    </row>
    <row r="102" spans="1:25" x14ac:dyDescent="0.35">
      <c r="A102" t="s">
        <v>66</v>
      </c>
      <c r="B102" t="s">
        <v>69</v>
      </c>
      <c r="C102">
        <v>17</v>
      </c>
      <c r="D102" t="s">
        <v>70</v>
      </c>
      <c r="E102" t="s">
        <v>76</v>
      </c>
      <c r="F102" t="s">
        <v>72</v>
      </c>
      <c r="G102">
        <v>2.2133840130397902</v>
      </c>
      <c r="H102">
        <v>2E+20</v>
      </c>
      <c r="I102">
        <v>2.1523569066582402</v>
      </c>
      <c r="J102">
        <v>2.2744111194213499</v>
      </c>
      <c r="K102">
        <v>2</v>
      </c>
      <c r="L102" s="5" t="str">
        <f>DiscreteStatsTable[[#This Row],[ProjectName]]&amp;DiscreteStatsTable[[#This Row],[Name]]&amp;DiscreteStatsTable[[#This Row],[Type]]&amp;DiscreteStatsTable[[#This Row],[Source]]</f>
        <v>Unnamed ProjectArquivosVA TimeEntity</v>
      </c>
      <c r="M102" s="5" cm="1">
        <f t="array" ref="M102">MAX(IF((ProjectInfoTable[ProjectName]=DiscreteStatsTable[[#This Row],[ProjectName]]),(ProjectInfoTable[ProjectName]=DiscreteStatsTable[[#This Row],[ProjectName]])*ProjectInfoTable[NumberOfReplications]))</f>
        <v>50</v>
      </c>
      <c r="N102" s="5" cm="1">
        <f t="array" ref="N102">IFERROR(AVERAGE(IF((DiscreteStatsTable[GroupByKey]=DiscreteStatsTable[[#This Row],[GroupByKey]]),(DiscreteStatsTable[GroupByKey]=DiscreteStatsTable[[#This Row],[GroupByKey]])*DiscreteStatsTable[Average])),0)</f>
        <v>2.3123810058270009</v>
      </c>
      <c r="O102" s="5" cm="1">
        <f t="array" ref="O102">IFERROR(_xlfn.STDEV.S(IF((DiscreteStatsTable[GroupByKey]=DiscreteStatsTable[[#This Row],[GroupByKey]]),(DiscreteStatsTable[GroupByKey]=DiscreteStatsTable[[#This Row],[GroupByKey]])*DiscreteStatsTable[Average])),0)</f>
        <v>0.47735516285795621</v>
      </c>
      <c r="P102" s="5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 s="5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0.13566283623888314</v>
      </c>
      <c r="R102" s="5" cm="1">
        <f t="array" ref="R102">MIN(IF((DiscreteStatsTable[GroupByKey]=DiscreteStatsTable[[#This Row],[GroupByKey]]),(DiscreteStatsTable[GroupByKey]=DiscreteStatsTable[[#This Row],[GroupByKey]])*DiscreteStatsTable[Average]))</f>
        <v>1.3773415743205399</v>
      </c>
      <c r="S102" s="5" cm="1">
        <f t="array" ref="S102">MAX(IF((DiscreteStatsTable[GroupByKey]=DiscreteStatsTable[[#This Row],[GroupByKey]]),(DiscreteStatsTable[GroupByKey]=DiscreteStatsTable[[#This Row],[GroupByKey]])*DiscreteStatsTable[Average]))</f>
        <v>3.3139161730180202</v>
      </c>
      <c r="T102" s="5" cm="1">
        <f t="array" ref="T102">MIN(IF((DiscreteStatsTable[GroupByKey]=DiscreteStatsTable[[#This Row],[GroupByKey]]),(DiscreteStatsTable[GroupByKey]=DiscreteStatsTable[[#This Row],[GroupByKey]])*DiscreteStatsTable[Minimum]))</f>
        <v>0.58847912081681497</v>
      </c>
      <c r="U102" s="5" cm="1">
        <f t="array" ref="U102">MAX(IF((DiscreteStatsTable[GroupByKey]=DiscreteStatsTable[[#This Row],[GroupByKey]]),(DiscreteStatsTable[GroupByKey]=DiscreteStatsTable[[#This Row],[GroupByKey]])*DiscreteStatsTable[Maximum]))</f>
        <v>4.9756405925629998</v>
      </c>
      <c r="V102" s="5" cm="1">
        <f t="array" ref="V102">IFERROR(AVERAGE(IF((DiscreteStatsTable[GroupByKey]=DiscreteStatsTable[[#This Row],[GroupByKey]]),(DiscreteStatsTable[GroupByKey]=DiscreteStatsTable[[#This Row],[GroupByKey]])*DiscreteStatsTable[NumberObservations])),0)</f>
        <v>3.62</v>
      </c>
      <c r="W102" s="5">
        <f>IF((DiscreteStatsTable[[#This Row],[RepsRequested]]&gt;1),DiscreteStatsTable[[#This Row],[HalfWidth]],DiscreteStatsTable[[#This Row],[BatchMeansHalfWidth]])</f>
        <v>0.13566283623888314</v>
      </c>
      <c r="X102" s="5" cm="1">
        <f t="array" ref="X102">COUNT(IF((DiscreteStatsTable[GroupByKey]=DiscreteStatsTable[[#This Row],[GroupByKey]]),(DiscreteStatsTable[GroupByKey]=DiscreteStatsTable[[#This Row],[GroupByKey]])*DiscreteStatsTable[Replication]))</f>
        <v>50</v>
      </c>
      <c r="Y102" s="5">
        <f>IF(DiscreteStatsTable[[#This Row],[RepsRequested]]=DiscreteStatsTable[[#This Row],[RepsWithStatObserved]],1,0)</f>
        <v>1</v>
      </c>
    </row>
    <row r="103" spans="1:25" x14ac:dyDescent="0.35">
      <c r="A103" t="s">
        <v>66</v>
      </c>
      <c r="B103" t="s">
        <v>69</v>
      </c>
      <c r="C103">
        <v>17</v>
      </c>
      <c r="D103" t="s">
        <v>70</v>
      </c>
      <c r="E103" t="s">
        <v>77</v>
      </c>
      <c r="F103" t="s">
        <v>72</v>
      </c>
      <c r="G103">
        <v>0</v>
      </c>
      <c r="H103">
        <v>2E+20</v>
      </c>
      <c r="I103">
        <v>0</v>
      </c>
      <c r="J103">
        <v>0</v>
      </c>
      <c r="K103">
        <v>2</v>
      </c>
      <c r="L103" s="5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103" s="5" cm="1">
        <f t="array" ref="M103">MAX(IF((ProjectInfoTable[ProjectName]=DiscreteStatsTable[[#This Row],[ProjectName]]),(ProjectInfoTable[ProjectName]=DiscreteStatsTable[[#This Row],[ProjectName]])*ProjectInfoTable[NumberOfReplications]))</f>
        <v>50</v>
      </c>
      <c r="N103" s="5" cm="1">
        <f t="array" ref="N103">IFERROR(AVERAGE(IF((DiscreteStatsTable[GroupByKey]=DiscreteStatsTable[[#This Row],[GroupByKey]]),(DiscreteStatsTable[GroupByKey]=DiscreteStatsTable[[#This Row],[GroupByKey]])*DiscreteStatsTable[Average])),0)</f>
        <v>1.2240084441262762</v>
      </c>
      <c r="O103" s="5" cm="1">
        <f t="array" ref="O103">IFERROR(_xlfn.STDEV.S(IF((DiscreteStatsTable[GroupByKey]=DiscreteStatsTable[[#This Row],[GroupByKey]]),(DiscreteStatsTable[GroupByKey]=DiscreteStatsTable[[#This Row],[GroupByKey]])*DiscreteStatsTable[Average])),0)</f>
        <v>0.89867905452837749</v>
      </c>
      <c r="P103" s="5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 s="5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0.2554017613968404</v>
      </c>
      <c r="R103" s="5" cm="1">
        <f t="array" ref="R103">MIN(IF((DiscreteStatsTable[GroupByKey]=DiscreteStatsTable[[#This Row],[GroupByKey]]),(DiscreteStatsTable[GroupByKey]=DiscreteStatsTable[[#This Row],[GroupByKey]])*DiscreteStatsTable[Average]))</f>
        <v>0</v>
      </c>
      <c r="S103" s="5" cm="1">
        <f t="array" ref="S103">MAX(IF((DiscreteStatsTable[GroupByKey]=DiscreteStatsTable[[#This Row],[GroupByKey]]),(DiscreteStatsTable[GroupByKey]=DiscreteStatsTable[[#This Row],[GroupByKey]])*DiscreteStatsTable[Average]))</f>
        <v>3.4345522286517598</v>
      </c>
      <c r="T103" s="5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s="5" cm="1">
        <f t="array" ref="U103">MAX(IF((DiscreteStatsTable[GroupByKey]=DiscreteStatsTable[[#This Row],[GroupByKey]]),(DiscreteStatsTable[GroupByKey]=DiscreteStatsTable[[#This Row],[GroupByKey]])*DiscreteStatsTable[Maximum]))</f>
        <v>6.7563093676697896</v>
      </c>
      <c r="V103" s="5" cm="1">
        <f t="array" ref="V103">IFERROR(AVERAGE(IF((DiscreteStatsTable[GroupByKey]=DiscreteStatsTable[[#This Row],[GroupByKey]]),(DiscreteStatsTable[GroupByKey]=DiscreteStatsTable[[#This Row],[GroupByKey]])*DiscreteStatsTable[NumberObservations])),0)</f>
        <v>3.62</v>
      </c>
      <c r="W103" s="5">
        <f>IF((DiscreteStatsTable[[#This Row],[RepsRequested]]&gt;1),DiscreteStatsTable[[#This Row],[HalfWidth]],DiscreteStatsTable[[#This Row],[BatchMeansHalfWidth]])</f>
        <v>0.2554017613968404</v>
      </c>
      <c r="X103" s="5" cm="1">
        <f t="array" ref="X103">COUNT(IF((DiscreteStatsTable[GroupByKey]=DiscreteStatsTable[[#This Row],[GroupByKey]]),(DiscreteStatsTable[GroupByKey]=DiscreteStatsTable[[#This Row],[GroupByKey]])*DiscreteStatsTable[Replication]))</f>
        <v>50</v>
      </c>
      <c r="Y103" s="5">
        <f>IF(DiscreteStatsTable[[#This Row],[RepsRequested]]=DiscreteStatsTable[[#This Row],[RepsWithStatObserved]],1,0)</f>
        <v>1</v>
      </c>
    </row>
    <row r="104" spans="1:25" x14ac:dyDescent="0.35">
      <c r="A104" t="s">
        <v>66</v>
      </c>
      <c r="B104" t="s">
        <v>69</v>
      </c>
      <c r="C104">
        <v>18</v>
      </c>
      <c r="D104" t="s">
        <v>70</v>
      </c>
      <c r="E104" t="s">
        <v>71</v>
      </c>
      <c r="F104" t="s">
        <v>72</v>
      </c>
      <c r="G104">
        <v>0</v>
      </c>
      <c r="H104">
        <v>2E+20</v>
      </c>
      <c r="I104">
        <v>0</v>
      </c>
      <c r="J104">
        <v>0</v>
      </c>
      <c r="K104">
        <v>5</v>
      </c>
      <c r="L104" s="5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104" s="5" cm="1">
        <f t="array" ref="M104">MAX(IF((ProjectInfoTable[ProjectName]=DiscreteStatsTable[[#This Row],[ProjectName]]),(ProjectInfoTable[ProjectName]=DiscreteStatsTable[[#This Row],[ProjectName]])*ProjectInfoTable[NumberOfReplications]))</f>
        <v>50</v>
      </c>
      <c r="N104" s="5" cm="1">
        <f t="array" ref="N104">IFERROR(AVERAGE(IF((DiscreteStatsTable[GroupByKey]=DiscreteStatsTable[[#This Row],[GroupByKey]]),(DiscreteStatsTable[GroupByKey]=DiscreteStatsTable[[#This Row],[GroupByKey]])*DiscreteStatsTable[Average])),0)</f>
        <v>0</v>
      </c>
      <c r="O104" s="5" cm="1">
        <f t="array" ref="O104">IFERROR(_xlfn.STDEV.S(IF((DiscreteStatsTable[GroupByKey]=DiscreteStatsTable[[#This Row],[GroupByKey]]),(DiscreteStatsTable[GroupByKey]=DiscreteStatsTable[[#This Row],[GroupByKey]])*DiscreteStatsTable[Average])),0)</f>
        <v>0</v>
      </c>
      <c r="P104" s="5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 s="5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" s="5" cm="1">
        <f t="array" ref="R104">MIN(IF((DiscreteStatsTable[GroupByKey]=DiscreteStatsTable[[#This Row],[GroupByKey]]),(DiscreteStatsTable[GroupByKey]=DiscreteStatsTable[[#This Row],[GroupByKey]])*DiscreteStatsTable[Average]))</f>
        <v>0</v>
      </c>
      <c r="S104" s="5" cm="1">
        <f t="array" ref="S104">MAX(IF((DiscreteStatsTable[GroupByKey]=DiscreteStatsTable[[#This Row],[GroupByKey]]),(DiscreteStatsTable[GroupByKey]=DiscreteStatsTable[[#This Row],[GroupByKey]])*DiscreteStatsTable[Average]))</f>
        <v>0</v>
      </c>
      <c r="T104" s="5" cm="1">
        <f t="array" ref="T104">MIN(IF((DiscreteStatsTable[GroupByKey]=DiscreteStatsTable[[#This Row],[GroupByKey]]),(DiscreteStatsTable[GroupByKey]=DiscreteStatsTable[[#This Row],[GroupByKey]])*DiscreteStatsTable[Minimum]))</f>
        <v>0</v>
      </c>
      <c r="U104" s="5" cm="1">
        <f t="array" ref="U104">MAX(IF((DiscreteStatsTable[GroupByKey]=DiscreteStatsTable[[#This Row],[GroupByKey]]),(DiscreteStatsTable[GroupByKey]=DiscreteStatsTable[[#This Row],[GroupByKey]])*DiscreteStatsTable[Maximum]))</f>
        <v>0</v>
      </c>
      <c r="V104" s="5" cm="1">
        <f t="array" ref="V104">IFERROR(AVERAGE(IF((DiscreteStatsTable[GroupByKey]=DiscreteStatsTable[[#This Row],[GroupByKey]]),(DiscreteStatsTable[GroupByKey]=DiscreteStatsTable[[#This Row],[GroupByKey]])*DiscreteStatsTable[NumberObservations])),0)</f>
        <v>3.62</v>
      </c>
      <c r="W104" s="5">
        <f>IF((DiscreteStatsTable[[#This Row],[RepsRequested]]&gt;1),DiscreteStatsTable[[#This Row],[HalfWidth]],DiscreteStatsTable[[#This Row],[BatchMeansHalfWidth]])</f>
        <v>0</v>
      </c>
      <c r="X104" s="5" cm="1">
        <f t="array" ref="X104">COUNT(IF((DiscreteStatsTable[GroupByKey]=DiscreteStatsTable[[#This Row],[GroupByKey]]),(DiscreteStatsTable[GroupByKey]=DiscreteStatsTable[[#This Row],[GroupByKey]])*DiscreteStatsTable[Replication]))</f>
        <v>50</v>
      </c>
      <c r="Y104" s="5">
        <f>IF(DiscreteStatsTable[[#This Row],[RepsRequested]]=DiscreteStatsTable[[#This Row],[RepsWithStatObserved]],1,0)</f>
        <v>1</v>
      </c>
    </row>
    <row r="105" spans="1:25" x14ac:dyDescent="0.35">
      <c r="A105" t="s">
        <v>66</v>
      </c>
      <c r="B105" t="s">
        <v>69</v>
      </c>
      <c r="C105">
        <v>18</v>
      </c>
      <c r="D105" t="s">
        <v>70</v>
      </c>
      <c r="E105" t="s">
        <v>73</v>
      </c>
      <c r="F105" t="s">
        <v>72</v>
      </c>
      <c r="G105">
        <v>0</v>
      </c>
      <c r="H105">
        <v>2E+20</v>
      </c>
      <c r="I105">
        <v>0</v>
      </c>
      <c r="J105">
        <v>0</v>
      </c>
      <c r="K105">
        <v>5</v>
      </c>
      <c r="L105" s="5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105" s="5" cm="1">
        <f t="array" ref="M105">MAX(IF((ProjectInfoTable[ProjectName]=DiscreteStatsTable[[#This Row],[ProjectName]]),(ProjectInfoTable[ProjectName]=DiscreteStatsTable[[#This Row],[ProjectName]])*ProjectInfoTable[NumberOfReplications]))</f>
        <v>50</v>
      </c>
      <c r="N105" s="5" cm="1">
        <f t="array" ref="N105">IFERROR(AVERAGE(IF((DiscreteStatsTable[GroupByKey]=DiscreteStatsTable[[#This Row],[GroupByKey]]),(DiscreteStatsTable[GroupByKey]=DiscreteStatsTable[[#This Row],[GroupByKey]])*DiscreteStatsTable[Average])),0)</f>
        <v>0</v>
      </c>
      <c r="O105" s="5" cm="1">
        <f t="array" ref="O105">IFERROR(_xlfn.STDEV.S(IF((DiscreteStatsTable[GroupByKey]=DiscreteStatsTable[[#This Row],[GroupByKey]]),(DiscreteStatsTable[GroupByKey]=DiscreteStatsTable[[#This Row],[GroupByKey]])*DiscreteStatsTable[Average])),0)</f>
        <v>0</v>
      </c>
      <c r="P105" s="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 s="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" s="5" cm="1">
        <f t="array" ref="R105">MIN(IF((DiscreteStatsTable[GroupByKey]=DiscreteStatsTable[[#This Row],[GroupByKey]]),(DiscreteStatsTable[GroupByKey]=DiscreteStatsTable[[#This Row],[GroupByKey]])*DiscreteStatsTable[Average]))</f>
        <v>0</v>
      </c>
      <c r="S105" s="5" cm="1">
        <f t="array" ref="S105">MAX(IF((DiscreteStatsTable[GroupByKey]=DiscreteStatsTable[[#This Row],[GroupByKey]]),(DiscreteStatsTable[GroupByKey]=DiscreteStatsTable[[#This Row],[GroupByKey]])*DiscreteStatsTable[Average]))</f>
        <v>0</v>
      </c>
      <c r="T105" s="5" cm="1">
        <f t="array" ref="T105">MIN(IF((DiscreteStatsTable[GroupByKey]=DiscreteStatsTable[[#This Row],[GroupByKey]]),(DiscreteStatsTable[GroupByKey]=DiscreteStatsTable[[#This Row],[GroupByKey]])*DiscreteStatsTable[Minimum]))</f>
        <v>0</v>
      </c>
      <c r="U105" s="5" cm="1">
        <f t="array" ref="U105">MAX(IF((DiscreteStatsTable[GroupByKey]=DiscreteStatsTable[[#This Row],[GroupByKey]]),(DiscreteStatsTable[GroupByKey]=DiscreteStatsTable[[#This Row],[GroupByKey]])*DiscreteStatsTable[Maximum]))</f>
        <v>0</v>
      </c>
      <c r="V105" s="5" cm="1">
        <f t="array" ref="V105">IFERROR(AVERAGE(IF((DiscreteStatsTable[GroupByKey]=DiscreteStatsTable[[#This Row],[GroupByKey]]),(DiscreteStatsTable[GroupByKey]=DiscreteStatsTable[[#This Row],[GroupByKey]])*DiscreteStatsTable[NumberObservations])),0)</f>
        <v>3.62</v>
      </c>
      <c r="W105" s="5">
        <f>IF((DiscreteStatsTable[[#This Row],[RepsRequested]]&gt;1),DiscreteStatsTable[[#This Row],[HalfWidth]],DiscreteStatsTable[[#This Row],[BatchMeansHalfWidth]])</f>
        <v>0</v>
      </c>
      <c r="X105" s="5" cm="1">
        <f t="array" ref="X105">COUNT(IF((DiscreteStatsTable[GroupByKey]=DiscreteStatsTable[[#This Row],[GroupByKey]]),(DiscreteStatsTable[GroupByKey]=DiscreteStatsTable[[#This Row],[GroupByKey]])*DiscreteStatsTable[Replication]))</f>
        <v>50</v>
      </c>
      <c r="Y105" s="5">
        <f>IF(DiscreteStatsTable[[#This Row],[RepsRequested]]=DiscreteStatsTable[[#This Row],[RepsWithStatObserved]],1,0)</f>
        <v>1</v>
      </c>
    </row>
    <row r="106" spans="1:25" x14ac:dyDescent="0.35">
      <c r="A106" t="s">
        <v>66</v>
      </c>
      <c r="B106" t="s">
        <v>69</v>
      </c>
      <c r="C106">
        <v>18</v>
      </c>
      <c r="D106" t="s">
        <v>70</v>
      </c>
      <c r="E106" t="s">
        <v>74</v>
      </c>
      <c r="F106" t="s">
        <v>72</v>
      </c>
      <c r="G106">
        <v>1.6342264652107701</v>
      </c>
      <c r="H106">
        <v>2E+20</v>
      </c>
      <c r="I106">
        <v>0.950892178910972</v>
      </c>
      <c r="J106">
        <v>2.4463955493923999</v>
      </c>
      <c r="K106">
        <v>5</v>
      </c>
      <c r="L106" s="5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106" s="5" cm="1">
        <f t="array" ref="M106">MAX(IF((ProjectInfoTable[ProjectName]=DiscreteStatsTable[[#This Row],[ProjectName]]),(ProjectInfoTable[ProjectName]=DiscreteStatsTable[[#This Row],[ProjectName]])*ProjectInfoTable[NumberOfReplications]))</f>
        <v>50</v>
      </c>
      <c r="N106" s="5" cm="1">
        <f t="array" ref="N106">IFERROR(AVERAGE(IF((DiscreteStatsTable[GroupByKey]=DiscreteStatsTable[[#This Row],[GroupByKey]]),(DiscreteStatsTable[GroupByKey]=DiscreteStatsTable[[#This Row],[GroupByKey]])*DiscreteStatsTable[Average])),0)</f>
        <v>3.5363894499532775</v>
      </c>
      <c r="O106" s="5" cm="1">
        <f t="array" ref="O106">IFERROR(_xlfn.STDEV.S(IF((DiscreteStatsTable[GroupByKey]=DiscreteStatsTable[[#This Row],[GroupByKey]]),(DiscreteStatsTable[GroupByKey]=DiscreteStatsTable[[#This Row],[GroupByKey]])*DiscreteStatsTable[Average])),0)</f>
        <v>1.1766434570133149</v>
      </c>
      <c r="P106" s="5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 s="5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0.33439837052280896</v>
      </c>
      <c r="R106" s="5" cm="1">
        <f t="array" ref="R106">MIN(IF((DiscreteStatsTable[GroupByKey]=DiscreteStatsTable[[#This Row],[GroupByKey]]),(DiscreteStatsTable[GroupByKey]=DiscreteStatsTable[[#This Row],[GroupByKey]])*DiscreteStatsTable[Average]))</f>
        <v>1.6342264652107701</v>
      </c>
      <c r="S106" s="5" cm="1">
        <f t="array" ref="S106">MAX(IF((DiscreteStatsTable[GroupByKey]=DiscreteStatsTable[[#This Row],[GroupByKey]]),(DiscreteStatsTable[GroupByKey]=DiscreteStatsTable[[#This Row],[GroupByKey]])*DiscreteStatsTable[Average]))</f>
        <v>6.5527373550837904</v>
      </c>
      <c r="T106" s="5" cm="1">
        <f t="array" ref="T106">MIN(IF((DiscreteStatsTable[GroupByKey]=DiscreteStatsTable[[#This Row],[GroupByKey]]),(DiscreteStatsTable[GroupByKey]=DiscreteStatsTable[[#This Row],[GroupByKey]])*DiscreteStatsTable[Minimum]))</f>
        <v>0.58847912081681497</v>
      </c>
      <c r="U106" s="5" cm="1">
        <f t="array" ref="U106">MAX(IF((DiscreteStatsTable[GroupByKey]=DiscreteStatsTable[[#This Row],[GroupByKey]]),(DiscreteStatsTable[GroupByKey]=DiscreteStatsTable[[#This Row],[GroupByKey]])*DiscreteStatsTable[Maximum]))</f>
        <v>8.7476494546828292</v>
      </c>
      <c r="V106" s="5" cm="1">
        <f t="array" ref="V106">IFERROR(AVERAGE(IF((DiscreteStatsTable[GroupByKey]=DiscreteStatsTable[[#This Row],[GroupByKey]]),(DiscreteStatsTable[GroupByKey]=DiscreteStatsTable[[#This Row],[GroupByKey]])*DiscreteStatsTable[NumberObservations])),0)</f>
        <v>3.62</v>
      </c>
      <c r="W106" s="5">
        <f>IF((DiscreteStatsTable[[#This Row],[RepsRequested]]&gt;1),DiscreteStatsTable[[#This Row],[HalfWidth]],DiscreteStatsTable[[#This Row],[BatchMeansHalfWidth]])</f>
        <v>0.33439837052280896</v>
      </c>
      <c r="X106" s="5" cm="1">
        <f t="array" ref="X106">COUNT(IF((DiscreteStatsTable[GroupByKey]=DiscreteStatsTable[[#This Row],[GroupByKey]]),(DiscreteStatsTable[GroupByKey]=DiscreteStatsTable[[#This Row],[GroupByKey]])*DiscreteStatsTable[Replication]))</f>
        <v>50</v>
      </c>
      <c r="Y106" s="5">
        <f>IF(DiscreteStatsTable[[#This Row],[RepsRequested]]=DiscreteStatsTable[[#This Row],[RepsWithStatObserved]],1,0)</f>
        <v>1</v>
      </c>
    </row>
    <row r="107" spans="1:25" x14ac:dyDescent="0.35">
      <c r="A107" t="s">
        <v>66</v>
      </c>
      <c r="B107" t="s">
        <v>69</v>
      </c>
      <c r="C107">
        <v>18</v>
      </c>
      <c r="D107" t="s">
        <v>70</v>
      </c>
      <c r="E107" t="s">
        <v>75</v>
      </c>
      <c r="F107" t="s">
        <v>72</v>
      </c>
      <c r="G107">
        <v>0</v>
      </c>
      <c r="H107">
        <v>2E+20</v>
      </c>
      <c r="I107">
        <v>0</v>
      </c>
      <c r="J107">
        <v>0</v>
      </c>
      <c r="K107">
        <v>5</v>
      </c>
      <c r="L107" s="5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107" s="5" cm="1">
        <f t="array" ref="M107">MAX(IF((ProjectInfoTable[ProjectName]=DiscreteStatsTable[[#This Row],[ProjectName]]),(ProjectInfoTable[ProjectName]=DiscreteStatsTable[[#This Row],[ProjectName]])*ProjectInfoTable[NumberOfReplications]))</f>
        <v>50</v>
      </c>
      <c r="N107" s="5" cm="1">
        <f t="array" ref="N107">IFERROR(AVERAGE(IF((DiscreteStatsTable[GroupByKey]=DiscreteStatsTable[[#This Row],[GroupByKey]]),(DiscreteStatsTable[GroupByKey]=DiscreteStatsTable[[#This Row],[GroupByKey]])*DiscreteStatsTable[Average])),0)</f>
        <v>0</v>
      </c>
      <c r="O107" s="5" cm="1">
        <f t="array" ref="O107">IFERROR(_xlfn.STDEV.S(IF((DiscreteStatsTable[GroupByKey]=DiscreteStatsTable[[#This Row],[GroupByKey]]),(DiscreteStatsTable[GroupByKey]=DiscreteStatsTable[[#This Row],[GroupByKey]])*DiscreteStatsTable[Average])),0)</f>
        <v>0</v>
      </c>
      <c r="P107" s="5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 s="5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" s="5" cm="1">
        <f t="array" ref="R107">MIN(IF((DiscreteStatsTable[GroupByKey]=DiscreteStatsTable[[#This Row],[GroupByKey]]),(DiscreteStatsTable[GroupByKey]=DiscreteStatsTable[[#This Row],[GroupByKey]])*DiscreteStatsTable[Average]))</f>
        <v>0</v>
      </c>
      <c r="S107" s="5" cm="1">
        <f t="array" ref="S107">MAX(IF((DiscreteStatsTable[GroupByKey]=DiscreteStatsTable[[#This Row],[GroupByKey]]),(DiscreteStatsTable[GroupByKey]=DiscreteStatsTable[[#This Row],[GroupByKey]])*DiscreteStatsTable[Average]))</f>
        <v>0</v>
      </c>
      <c r="T107" s="5" cm="1">
        <f t="array" ref="T107">MIN(IF((DiscreteStatsTable[GroupByKey]=DiscreteStatsTable[[#This Row],[GroupByKey]]),(DiscreteStatsTable[GroupByKey]=DiscreteStatsTable[[#This Row],[GroupByKey]])*DiscreteStatsTable[Minimum]))</f>
        <v>0</v>
      </c>
      <c r="U107" s="5" cm="1">
        <f t="array" ref="U107">MAX(IF((DiscreteStatsTable[GroupByKey]=DiscreteStatsTable[[#This Row],[GroupByKey]]),(DiscreteStatsTable[GroupByKey]=DiscreteStatsTable[[#This Row],[GroupByKey]])*DiscreteStatsTable[Maximum]))</f>
        <v>0</v>
      </c>
      <c r="V107" s="5" cm="1">
        <f t="array" ref="V107">IFERROR(AVERAGE(IF((DiscreteStatsTable[GroupByKey]=DiscreteStatsTable[[#This Row],[GroupByKey]]),(DiscreteStatsTable[GroupByKey]=DiscreteStatsTable[[#This Row],[GroupByKey]])*DiscreteStatsTable[NumberObservations])),0)</f>
        <v>3.62</v>
      </c>
      <c r="W107" s="5">
        <f>IF((DiscreteStatsTable[[#This Row],[RepsRequested]]&gt;1),DiscreteStatsTable[[#This Row],[HalfWidth]],DiscreteStatsTable[[#This Row],[BatchMeansHalfWidth]])</f>
        <v>0</v>
      </c>
      <c r="X107" s="5" cm="1">
        <f t="array" ref="X107">COUNT(IF((DiscreteStatsTable[GroupByKey]=DiscreteStatsTable[[#This Row],[GroupByKey]]),(DiscreteStatsTable[GroupByKey]=DiscreteStatsTable[[#This Row],[GroupByKey]])*DiscreteStatsTable[Replication]))</f>
        <v>50</v>
      </c>
      <c r="Y107" s="5">
        <f>IF(DiscreteStatsTable[[#This Row],[RepsRequested]]=DiscreteStatsTable[[#This Row],[RepsWithStatObserved]],1,0)</f>
        <v>1</v>
      </c>
    </row>
    <row r="108" spans="1:25" x14ac:dyDescent="0.35">
      <c r="A108" t="s">
        <v>66</v>
      </c>
      <c r="B108" t="s">
        <v>69</v>
      </c>
      <c r="C108">
        <v>18</v>
      </c>
      <c r="D108" t="s">
        <v>70</v>
      </c>
      <c r="E108" t="s">
        <v>76</v>
      </c>
      <c r="F108" t="s">
        <v>72</v>
      </c>
      <c r="G108">
        <v>1.45170216989989</v>
      </c>
      <c r="H108">
        <v>2E+20</v>
      </c>
      <c r="I108">
        <v>0.950892178910972</v>
      </c>
      <c r="J108">
        <v>2.4463955493923999</v>
      </c>
      <c r="K108">
        <v>5</v>
      </c>
      <c r="L108" s="5" t="str">
        <f>DiscreteStatsTable[[#This Row],[ProjectName]]&amp;DiscreteStatsTable[[#This Row],[Name]]&amp;DiscreteStatsTable[[#This Row],[Type]]&amp;DiscreteStatsTable[[#This Row],[Source]]</f>
        <v>Unnamed ProjectArquivosVA TimeEntity</v>
      </c>
      <c r="M108" s="5" cm="1">
        <f t="array" ref="M108">MAX(IF((ProjectInfoTable[ProjectName]=DiscreteStatsTable[[#This Row],[ProjectName]]),(ProjectInfoTable[ProjectName]=DiscreteStatsTable[[#This Row],[ProjectName]])*ProjectInfoTable[NumberOfReplications]))</f>
        <v>50</v>
      </c>
      <c r="N108" s="5" cm="1">
        <f t="array" ref="N108">IFERROR(AVERAGE(IF((DiscreteStatsTable[GroupByKey]=DiscreteStatsTable[[#This Row],[GroupByKey]]),(DiscreteStatsTable[GroupByKey]=DiscreteStatsTable[[#This Row],[GroupByKey]])*DiscreteStatsTable[Average])),0)</f>
        <v>2.3123810058270009</v>
      </c>
      <c r="O108" s="5" cm="1">
        <f t="array" ref="O108">IFERROR(_xlfn.STDEV.S(IF((DiscreteStatsTable[GroupByKey]=DiscreteStatsTable[[#This Row],[GroupByKey]]),(DiscreteStatsTable[GroupByKey]=DiscreteStatsTable[[#This Row],[GroupByKey]])*DiscreteStatsTable[Average])),0)</f>
        <v>0.47735516285795621</v>
      </c>
      <c r="P108" s="5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 s="5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0.13566283623888314</v>
      </c>
      <c r="R108" s="5" cm="1">
        <f t="array" ref="R108">MIN(IF((DiscreteStatsTable[GroupByKey]=DiscreteStatsTable[[#This Row],[GroupByKey]]),(DiscreteStatsTable[GroupByKey]=DiscreteStatsTable[[#This Row],[GroupByKey]])*DiscreteStatsTable[Average]))</f>
        <v>1.3773415743205399</v>
      </c>
      <c r="S108" s="5" cm="1">
        <f t="array" ref="S108">MAX(IF((DiscreteStatsTable[GroupByKey]=DiscreteStatsTable[[#This Row],[GroupByKey]]),(DiscreteStatsTable[GroupByKey]=DiscreteStatsTable[[#This Row],[GroupByKey]])*DiscreteStatsTable[Average]))</f>
        <v>3.3139161730180202</v>
      </c>
      <c r="T108" s="5" cm="1">
        <f t="array" ref="T108">MIN(IF((DiscreteStatsTable[GroupByKey]=DiscreteStatsTable[[#This Row],[GroupByKey]]),(DiscreteStatsTable[GroupByKey]=DiscreteStatsTable[[#This Row],[GroupByKey]])*DiscreteStatsTable[Minimum]))</f>
        <v>0.58847912081681497</v>
      </c>
      <c r="U108" s="5" cm="1">
        <f t="array" ref="U108">MAX(IF((DiscreteStatsTable[GroupByKey]=DiscreteStatsTable[[#This Row],[GroupByKey]]),(DiscreteStatsTable[GroupByKey]=DiscreteStatsTable[[#This Row],[GroupByKey]])*DiscreteStatsTable[Maximum]))</f>
        <v>4.9756405925629998</v>
      </c>
      <c r="V108" s="5" cm="1">
        <f t="array" ref="V108">IFERROR(AVERAGE(IF((DiscreteStatsTable[GroupByKey]=DiscreteStatsTable[[#This Row],[GroupByKey]]),(DiscreteStatsTable[GroupByKey]=DiscreteStatsTable[[#This Row],[GroupByKey]])*DiscreteStatsTable[NumberObservations])),0)</f>
        <v>3.62</v>
      </c>
      <c r="W108" s="5">
        <f>IF((DiscreteStatsTable[[#This Row],[RepsRequested]]&gt;1),DiscreteStatsTable[[#This Row],[HalfWidth]],DiscreteStatsTable[[#This Row],[BatchMeansHalfWidth]])</f>
        <v>0.13566283623888314</v>
      </c>
      <c r="X108" s="5" cm="1">
        <f t="array" ref="X108">COUNT(IF((DiscreteStatsTable[GroupByKey]=DiscreteStatsTable[[#This Row],[GroupByKey]]),(DiscreteStatsTable[GroupByKey]=DiscreteStatsTable[[#This Row],[GroupByKey]])*DiscreteStatsTable[Replication]))</f>
        <v>50</v>
      </c>
      <c r="Y108" s="5">
        <f>IF(DiscreteStatsTable[[#This Row],[RepsRequested]]=DiscreteStatsTable[[#This Row],[RepsWithStatObserved]],1,0)</f>
        <v>1</v>
      </c>
    </row>
    <row r="109" spans="1:25" x14ac:dyDescent="0.35">
      <c r="A109" t="s">
        <v>66</v>
      </c>
      <c r="B109" t="s">
        <v>69</v>
      </c>
      <c r="C109">
        <v>18</v>
      </c>
      <c r="D109" t="s">
        <v>70</v>
      </c>
      <c r="E109" t="s">
        <v>77</v>
      </c>
      <c r="F109" t="s">
        <v>72</v>
      </c>
      <c r="G109">
        <v>0.18252429531088099</v>
      </c>
      <c r="H109">
        <v>2E+20</v>
      </c>
      <c r="I109">
        <v>0</v>
      </c>
      <c r="J109">
        <v>0.91262147655440595</v>
      </c>
      <c r="K109">
        <v>5</v>
      </c>
      <c r="L109" s="5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109" s="5" cm="1">
        <f t="array" ref="M109">MAX(IF((ProjectInfoTable[ProjectName]=DiscreteStatsTable[[#This Row],[ProjectName]]),(ProjectInfoTable[ProjectName]=DiscreteStatsTable[[#This Row],[ProjectName]])*ProjectInfoTable[NumberOfReplications]))</f>
        <v>50</v>
      </c>
      <c r="N109" s="5" cm="1">
        <f t="array" ref="N109">IFERROR(AVERAGE(IF((DiscreteStatsTable[GroupByKey]=DiscreteStatsTable[[#This Row],[GroupByKey]]),(DiscreteStatsTable[GroupByKey]=DiscreteStatsTable[[#This Row],[GroupByKey]])*DiscreteStatsTable[Average])),0)</f>
        <v>1.2240084441262762</v>
      </c>
      <c r="O109" s="5" cm="1">
        <f t="array" ref="O109">IFERROR(_xlfn.STDEV.S(IF((DiscreteStatsTable[GroupByKey]=DiscreteStatsTable[[#This Row],[GroupByKey]]),(DiscreteStatsTable[GroupByKey]=DiscreteStatsTable[[#This Row],[GroupByKey]])*DiscreteStatsTable[Average])),0)</f>
        <v>0.89867905452837749</v>
      </c>
      <c r="P109" s="5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 s="5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0.2554017613968404</v>
      </c>
      <c r="R109" s="5" cm="1">
        <f t="array" ref="R109">MIN(IF((DiscreteStatsTable[GroupByKey]=DiscreteStatsTable[[#This Row],[GroupByKey]]),(DiscreteStatsTable[GroupByKey]=DiscreteStatsTable[[#This Row],[GroupByKey]])*DiscreteStatsTable[Average]))</f>
        <v>0</v>
      </c>
      <c r="S109" s="5" cm="1">
        <f t="array" ref="S109">MAX(IF((DiscreteStatsTable[GroupByKey]=DiscreteStatsTable[[#This Row],[GroupByKey]]),(DiscreteStatsTable[GroupByKey]=DiscreteStatsTable[[#This Row],[GroupByKey]])*DiscreteStatsTable[Average]))</f>
        <v>3.4345522286517598</v>
      </c>
      <c r="T109" s="5" cm="1">
        <f t="array" ref="T109">MIN(IF((DiscreteStatsTable[GroupByKey]=DiscreteStatsTable[[#This Row],[GroupByKey]]),(DiscreteStatsTable[GroupByKey]=DiscreteStatsTable[[#This Row],[GroupByKey]])*DiscreteStatsTable[Minimum]))</f>
        <v>0</v>
      </c>
      <c r="U109" s="5" cm="1">
        <f t="array" ref="U109">MAX(IF((DiscreteStatsTable[GroupByKey]=DiscreteStatsTable[[#This Row],[GroupByKey]]),(DiscreteStatsTable[GroupByKey]=DiscreteStatsTable[[#This Row],[GroupByKey]])*DiscreteStatsTable[Maximum]))</f>
        <v>6.7563093676697896</v>
      </c>
      <c r="V109" s="5" cm="1">
        <f t="array" ref="V109">IFERROR(AVERAGE(IF((DiscreteStatsTable[GroupByKey]=DiscreteStatsTable[[#This Row],[GroupByKey]]),(DiscreteStatsTable[GroupByKey]=DiscreteStatsTable[[#This Row],[GroupByKey]])*DiscreteStatsTable[NumberObservations])),0)</f>
        <v>3.62</v>
      </c>
      <c r="W109" s="5">
        <f>IF((DiscreteStatsTable[[#This Row],[RepsRequested]]&gt;1),DiscreteStatsTable[[#This Row],[HalfWidth]],DiscreteStatsTable[[#This Row],[BatchMeansHalfWidth]])</f>
        <v>0.2554017613968404</v>
      </c>
      <c r="X109" s="5" cm="1">
        <f t="array" ref="X109">COUNT(IF((DiscreteStatsTable[GroupByKey]=DiscreteStatsTable[[#This Row],[GroupByKey]]),(DiscreteStatsTable[GroupByKey]=DiscreteStatsTable[[#This Row],[GroupByKey]])*DiscreteStatsTable[Replication]))</f>
        <v>50</v>
      </c>
      <c r="Y109" s="5">
        <f>IF(DiscreteStatsTable[[#This Row],[RepsRequested]]=DiscreteStatsTable[[#This Row],[RepsWithStatObserved]],1,0)</f>
        <v>1</v>
      </c>
    </row>
    <row r="110" spans="1:25" x14ac:dyDescent="0.35">
      <c r="A110" t="s">
        <v>66</v>
      </c>
      <c r="B110" t="s">
        <v>69</v>
      </c>
      <c r="C110">
        <v>19</v>
      </c>
      <c r="D110" t="s">
        <v>70</v>
      </c>
      <c r="E110" t="s">
        <v>71</v>
      </c>
      <c r="F110" t="s">
        <v>72</v>
      </c>
      <c r="G110">
        <v>0</v>
      </c>
      <c r="H110">
        <v>2E+20</v>
      </c>
      <c r="I110">
        <v>0</v>
      </c>
      <c r="J110">
        <v>0</v>
      </c>
      <c r="K110">
        <v>4</v>
      </c>
      <c r="L110" s="5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110" s="5" cm="1">
        <f t="array" ref="M110">MAX(IF((ProjectInfoTable[ProjectName]=DiscreteStatsTable[[#This Row],[ProjectName]]),(ProjectInfoTable[ProjectName]=DiscreteStatsTable[[#This Row],[ProjectName]])*ProjectInfoTable[NumberOfReplications]))</f>
        <v>50</v>
      </c>
      <c r="N110" s="5" cm="1">
        <f t="array" ref="N110">IFERROR(AVERAGE(IF((DiscreteStatsTable[GroupByKey]=DiscreteStatsTable[[#This Row],[GroupByKey]]),(DiscreteStatsTable[GroupByKey]=DiscreteStatsTable[[#This Row],[GroupByKey]])*DiscreteStatsTable[Average])),0)</f>
        <v>0</v>
      </c>
      <c r="O110" s="5" cm="1">
        <f t="array" ref="O110">IFERROR(_xlfn.STDEV.S(IF((DiscreteStatsTable[GroupByKey]=DiscreteStatsTable[[#This Row],[GroupByKey]]),(DiscreteStatsTable[GroupByKey]=DiscreteStatsTable[[#This Row],[GroupByKey]])*DiscreteStatsTable[Average])),0)</f>
        <v>0</v>
      </c>
      <c r="P110" s="5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 s="5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" s="5" cm="1">
        <f t="array" ref="R110">MIN(IF((DiscreteStatsTable[GroupByKey]=DiscreteStatsTable[[#This Row],[GroupByKey]]),(DiscreteStatsTable[GroupByKey]=DiscreteStatsTable[[#This Row],[GroupByKey]])*DiscreteStatsTable[Average]))</f>
        <v>0</v>
      </c>
      <c r="S110" s="5" cm="1">
        <f t="array" ref="S110">MAX(IF((DiscreteStatsTable[GroupByKey]=DiscreteStatsTable[[#This Row],[GroupByKey]]),(DiscreteStatsTable[GroupByKey]=DiscreteStatsTable[[#This Row],[GroupByKey]])*DiscreteStatsTable[Average]))</f>
        <v>0</v>
      </c>
      <c r="T110" s="5" cm="1">
        <f t="array" ref="T110">MIN(IF((DiscreteStatsTable[GroupByKey]=DiscreteStatsTable[[#This Row],[GroupByKey]]),(DiscreteStatsTable[GroupByKey]=DiscreteStatsTable[[#This Row],[GroupByKey]])*DiscreteStatsTable[Minimum]))</f>
        <v>0</v>
      </c>
      <c r="U110" s="5" cm="1">
        <f t="array" ref="U110">MAX(IF((DiscreteStatsTable[GroupByKey]=DiscreteStatsTable[[#This Row],[GroupByKey]]),(DiscreteStatsTable[GroupByKey]=DiscreteStatsTable[[#This Row],[GroupByKey]])*DiscreteStatsTable[Maximum]))</f>
        <v>0</v>
      </c>
      <c r="V110" s="5" cm="1">
        <f t="array" ref="V110">IFERROR(AVERAGE(IF((DiscreteStatsTable[GroupByKey]=DiscreteStatsTable[[#This Row],[GroupByKey]]),(DiscreteStatsTable[GroupByKey]=DiscreteStatsTable[[#This Row],[GroupByKey]])*DiscreteStatsTable[NumberObservations])),0)</f>
        <v>3.62</v>
      </c>
      <c r="W110" s="5">
        <f>IF((DiscreteStatsTable[[#This Row],[RepsRequested]]&gt;1),DiscreteStatsTable[[#This Row],[HalfWidth]],DiscreteStatsTable[[#This Row],[BatchMeansHalfWidth]])</f>
        <v>0</v>
      </c>
      <c r="X110" s="5" cm="1">
        <f t="array" ref="X110">COUNT(IF((DiscreteStatsTable[GroupByKey]=DiscreteStatsTable[[#This Row],[GroupByKey]]),(DiscreteStatsTable[GroupByKey]=DiscreteStatsTable[[#This Row],[GroupByKey]])*DiscreteStatsTable[Replication]))</f>
        <v>50</v>
      </c>
      <c r="Y110" s="5">
        <f>IF(DiscreteStatsTable[[#This Row],[RepsRequested]]=DiscreteStatsTable[[#This Row],[RepsWithStatObserved]],1,0)</f>
        <v>1</v>
      </c>
    </row>
    <row r="111" spans="1:25" x14ac:dyDescent="0.35">
      <c r="A111" t="s">
        <v>66</v>
      </c>
      <c r="B111" t="s">
        <v>69</v>
      </c>
      <c r="C111">
        <v>19</v>
      </c>
      <c r="D111" t="s">
        <v>70</v>
      </c>
      <c r="E111" t="s">
        <v>73</v>
      </c>
      <c r="F111" t="s">
        <v>72</v>
      </c>
      <c r="G111">
        <v>0</v>
      </c>
      <c r="H111">
        <v>2E+20</v>
      </c>
      <c r="I111">
        <v>0</v>
      </c>
      <c r="J111">
        <v>0</v>
      </c>
      <c r="K111">
        <v>4</v>
      </c>
      <c r="L111" s="5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111" s="5" cm="1">
        <f t="array" ref="M111">MAX(IF((ProjectInfoTable[ProjectName]=DiscreteStatsTable[[#This Row],[ProjectName]]),(ProjectInfoTable[ProjectName]=DiscreteStatsTable[[#This Row],[ProjectName]])*ProjectInfoTable[NumberOfReplications]))</f>
        <v>50</v>
      </c>
      <c r="N111" s="5" cm="1">
        <f t="array" ref="N111">IFERROR(AVERAGE(IF((DiscreteStatsTable[GroupByKey]=DiscreteStatsTable[[#This Row],[GroupByKey]]),(DiscreteStatsTable[GroupByKey]=DiscreteStatsTable[[#This Row],[GroupByKey]])*DiscreteStatsTable[Average])),0)</f>
        <v>0</v>
      </c>
      <c r="O111" s="5" cm="1">
        <f t="array" ref="O111">IFERROR(_xlfn.STDEV.S(IF((DiscreteStatsTable[GroupByKey]=DiscreteStatsTable[[#This Row],[GroupByKey]]),(DiscreteStatsTable[GroupByKey]=DiscreteStatsTable[[#This Row],[GroupByKey]])*DiscreteStatsTable[Average])),0)</f>
        <v>0</v>
      </c>
      <c r="P111" s="5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 s="5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" s="5" cm="1">
        <f t="array" ref="R111">MIN(IF((DiscreteStatsTable[GroupByKey]=DiscreteStatsTable[[#This Row],[GroupByKey]]),(DiscreteStatsTable[GroupByKey]=DiscreteStatsTable[[#This Row],[GroupByKey]])*DiscreteStatsTable[Average]))</f>
        <v>0</v>
      </c>
      <c r="S111" s="5" cm="1">
        <f t="array" ref="S111">MAX(IF((DiscreteStatsTable[GroupByKey]=DiscreteStatsTable[[#This Row],[GroupByKey]]),(DiscreteStatsTable[GroupByKey]=DiscreteStatsTable[[#This Row],[GroupByKey]])*DiscreteStatsTable[Average]))</f>
        <v>0</v>
      </c>
      <c r="T111" s="5" cm="1">
        <f t="array" ref="T111">MIN(IF((DiscreteStatsTable[GroupByKey]=DiscreteStatsTable[[#This Row],[GroupByKey]]),(DiscreteStatsTable[GroupByKey]=DiscreteStatsTable[[#This Row],[GroupByKey]])*DiscreteStatsTable[Minimum]))</f>
        <v>0</v>
      </c>
      <c r="U111" s="5" cm="1">
        <f t="array" ref="U111">MAX(IF((DiscreteStatsTable[GroupByKey]=DiscreteStatsTable[[#This Row],[GroupByKey]]),(DiscreteStatsTable[GroupByKey]=DiscreteStatsTable[[#This Row],[GroupByKey]])*DiscreteStatsTable[Maximum]))</f>
        <v>0</v>
      </c>
      <c r="V111" s="5" cm="1">
        <f t="array" ref="V111">IFERROR(AVERAGE(IF((DiscreteStatsTable[GroupByKey]=DiscreteStatsTable[[#This Row],[GroupByKey]]),(DiscreteStatsTable[GroupByKey]=DiscreteStatsTable[[#This Row],[GroupByKey]])*DiscreteStatsTable[NumberObservations])),0)</f>
        <v>3.62</v>
      </c>
      <c r="W111" s="5">
        <f>IF((DiscreteStatsTable[[#This Row],[RepsRequested]]&gt;1),DiscreteStatsTable[[#This Row],[HalfWidth]],DiscreteStatsTable[[#This Row],[BatchMeansHalfWidth]])</f>
        <v>0</v>
      </c>
      <c r="X111" s="5" cm="1">
        <f t="array" ref="X111">COUNT(IF((DiscreteStatsTable[GroupByKey]=DiscreteStatsTable[[#This Row],[GroupByKey]]),(DiscreteStatsTable[GroupByKey]=DiscreteStatsTable[[#This Row],[GroupByKey]])*DiscreteStatsTable[Replication]))</f>
        <v>50</v>
      </c>
      <c r="Y111" s="5">
        <f>IF(DiscreteStatsTable[[#This Row],[RepsRequested]]=DiscreteStatsTable[[#This Row],[RepsWithStatObserved]],1,0)</f>
        <v>1</v>
      </c>
    </row>
    <row r="112" spans="1:25" x14ac:dyDescent="0.35">
      <c r="A112" t="s">
        <v>66</v>
      </c>
      <c r="B112" t="s">
        <v>69</v>
      </c>
      <c r="C112">
        <v>19</v>
      </c>
      <c r="D112" t="s">
        <v>70</v>
      </c>
      <c r="E112" t="s">
        <v>74</v>
      </c>
      <c r="F112" t="s">
        <v>72</v>
      </c>
      <c r="G112">
        <v>4.0449692319874799</v>
      </c>
      <c r="H112">
        <v>2E+20</v>
      </c>
      <c r="I112">
        <v>1.6785738720938701</v>
      </c>
      <c r="J112">
        <v>6.0888117895772202</v>
      </c>
      <c r="K112">
        <v>4</v>
      </c>
      <c r="L112" s="5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112" s="5" cm="1">
        <f t="array" ref="M112">MAX(IF((ProjectInfoTable[ProjectName]=DiscreteStatsTable[[#This Row],[ProjectName]]),(ProjectInfoTable[ProjectName]=DiscreteStatsTable[[#This Row],[ProjectName]])*ProjectInfoTable[NumberOfReplications]))</f>
        <v>50</v>
      </c>
      <c r="N112" s="5" cm="1">
        <f t="array" ref="N112">IFERROR(AVERAGE(IF((DiscreteStatsTable[GroupByKey]=DiscreteStatsTable[[#This Row],[GroupByKey]]),(DiscreteStatsTable[GroupByKey]=DiscreteStatsTable[[#This Row],[GroupByKey]])*DiscreteStatsTable[Average])),0)</f>
        <v>3.5363894499532775</v>
      </c>
      <c r="O112" s="5" cm="1">
        <f t="array" ref="O112">IFERROR(_xlfn.STDEV.S(IF((DiscreteStatsTable[GroupByKey]=DiscreteStatsTable[[#This Row],[GroupByKey]]),(DiscreteStatsTable[GroupByKey]=DiscreteStatsTable[[#This Row],[GroupByKey]])*DiscreteStatsTable[Average])),0)</f>
        <v>1.1766434570133149</v>
      </c>
      <c r="P112" s="5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 s="5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0.33439837052280896</v>
      </c>
      <c r="R112" s="5" cm="1">
        <f t="array" ref="R112">MIN(IF((DiscreteStatsTable[GroupByKey]=DiscreteStatsTable[[#This Row],[GroupByKey]]),(DiscreteStatsTable[GroupByKey]=DiscreteStatsTable[[#This Row],[GroupByKey]])*DiscreteStatsTable[Average]))</f>
        <v>1.6342264652107701</v>
      </c>
      <c r="S112" s="5" cm="1">
        <f t="array" ref="S112">MAX(IF((DiscreteStatsTable[GroupByKey]=DiscreteStatsTable[[#This Row],[GroupByKey]]),(DiscreteStatsTable[GroupByKey]=DiscreteStatsTable[[#This Row],[GroupByKey]])*DiscreteStatsTable[Average]))</f>
        <v>6.5527373550837904</v>
      </c>
      <c r="T112" s="5" cm="1">
        <f t="array" ref="T112">MIN(IF((DiscreteStatsTable[GroupByKey]=DiscreteStatsTable[[#This Row],[GroupByKey]]),(DiscreteStatsTable[GroupByKey]=DiscreteStatsTable[[#This Row],[GroupByKey]])*DiscreteStatsTable[Minimum]))</f>
        <v>0.58847912081681497</v>
      </c>
      <c r="U112" s="5" cm="1">
        <f t="array" ref="U112">MAX(IF((DiscreteStatsTable[GroupByKey]=DiscreteStatsTable[[#This Row],[GroupByKey]]),(DiscreteStatsTable[GroupByKey]=DiscreteStatsTable[[#This Row],[GroupByKey]])*DiscreteStatsTable[Maximum]))</f>
        <v>8.7476494546828292</v>
      </c>
      <c r="V112" s="5" cm="1">
        <f t="array" ref="V112">IFERROR(AVERAGE(IF((DiscreteStatsTable[GroupByKey]=DiscreteStatsTable[[#This Row],[GroupByKey]]),(DiscreteStatsTable[GroupByKey]=DiscreteStatsTable[[#This Row],[GroupByKey]])*DiscreteStatsTable[NumberObservations])),0)</f>
        <v>3.62</v>
      </c>
      <c r="W112" s="5">
        <f>IF((DiscreteStatsTable[[#This Row],[RepsRequested]]&gt;1),DiscreteStatsTable[[#This Row],[HalfWidth]],DiscreteStatsTable[[#This Row],[BatchMeansHalfWidth]])</f>
        <v>0.33439837052280896</v>
      </c>
      <c r="X112" s="5" cm="1">
        <f t="array" ref="X112">COUNT(IF((DiscreteStatsTable[GroupByKey]=DiscreteStatsTable[[#This Row],[GroupByKey]]),(DiscreteStatsTable[GroupByKey]=DiscreteStatsTable[[#This Row],[GroupByKey]])*DiscreteStatsTable[Replication]))</f>
        <v>50</v>
      </c>
      <c r="Y112" s="5">
        <f>IF(DiscreteStatsTable[[#This Row],[RepsRequested]]=DiscreteStatsTable[[#This Row],[RepsWithStatObserved]],1,0)</f>
        <v>1</v>
      </c>
    </row>
    <row r="113" spans="1:25" x14ac:dyDescent="0.35">
      <c r="A113" t="s">
        <v>66</v>
      </c>
      <c r="B113" t="s">
        <v>69</v>
      </c>
      <c r="C113">
        <v>19</v>
      </c>
      <c r="D113" t="s">
        <v>70</v>
      </c>
      <c r="E113" t="s">
        <v>75</v>
      </c>
      <c r="F113" t="s">
        <v>72</v>
      </c>
      <c r="G113">
        <v>0</v>
      </c>
      <c r="H113">
        <v>2E+20</v>
      </c>
      <c r="I113">
        <v>0</v>
      </c>
      <c r="J113">
        <v>0</v>
      </c>
      <c r="K113">
        <v>4</v>
      </c>
      <c r="L113" s="5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113" s="5" cm="1">
        <f t="array" ref="M113">MAX(IF((ProjectInfoTable[ProjectName]=DiscreteStatsTable[[#This Row],[ProjectName]]),(ProjectInfoTable[ProjectName]=DiscreteStatsTable[[#This Row],[ProjectName]])*ProjectInfoTable[NumberOfReplications]))</f>
        <v>50</v>
      </c>
      <c r="N113" s="5" cm="1">
        <f t="array" ref="N113">IFERROR(AVERAGE(IF((DiscreteStatsTable[GroupByKey]=DiscreteStatsTable[[#This Row],[GroupByKey]]),(DiscreteStatsTable[GroupByKey]=DiscreteStatsTable[[#This Row],[GroupByKey]])*DiscreteStatsTable[Average])),0)</f>
        <v>0</v>
      </c>
      <c r="O113" s="5" cm="1">
        <f t="array" ref="O113">IFERROR(_xlfn.STDEV.S(IF((DiscreteStatsTable[GroupByKey]=DiscreteStatsTable[[#This Row],[GroupByKey]]),(DiscreteStatsTable[GroupByKey]=DiscreteStatsTable[[#This Row],[GroupByKey]])*DiscreteStatsTable[Average])),0)</f>
        <v>0</v>
      </c>
      <c r="P113" s="5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 s="5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" s="5" cm="1">
        <f t="array" ref="R113">MIN(IF((DiscreteStatsTable[GroupByKey]=DiscreteStatsTable[[#This Row],[GroupByKey]]),(DiscreteStatsTable[GroupByKey]=DiscreteStatsTable[[#This Row],[GroupByKey]])*DiscreteStatsTable[Average]))</f>
        <v>0</v>
      </c>
      <c r="S113" s="5" cm="1">
        <f t="array" ref="S113">MAX(IF((DiscreteStatsTable[GroupByKey]=DiscreteStatsTable[[#This Row],[GroupByKey]]),(DiscreteStatsTable[GroupByKey]=DiscreteStatsTable[[#This Row],[GroupByKey]])*DiscreteStatsTable[Average]))</f>
        <v>0</v>
      </c>
      <c r="T113" s="5" cm="1">
        <f t="array" ref="T113">MIN(IF((DiscreteStatsTable[GroupByKey]=DiscreteStatsTable[[#This Row],[GroupByKey]]),(DiscreteStatsTable[GroupByKey]=DiscreteStatsTable[[#This Row],[GroupByKey]])*DiscreteStatsTable[Minimum]))</f>
        <v>0</v>
      </c>
      <c r="U113" s="5" cm="1">
        <f t="array" ref="U113">MAX(IF((DiscreteStatsTable[GroupByKey]=DiscreteStatsTable[[#This Row],[GroupByKey]]),(DiscreteStatsTable[GroupByKey]=DiscreteStatsTable[[#This Row],[GroupByKey]])*DiscreteStatsTable[Maximum]))</f>
        <v>0</v>
      </c>
      <c r="V113" s="5" cm="1">
        <f t="array" ref="V113">IFERROR(AVERAGE(IF((DiscreteStatsTable[GroupByKey]=DiscreteStatsTable[[#This Row],[GroupByKey]]),(DiscreteStatsTable[GroupByKey]=DiscreteStatsTable[[#This Row],[GroupByKey]])*DiscreteStatsTable[NumberObservations])),0)</f>
        <v>3.62</v>
      </c>
      <c r="W113" s="5">
        <f>IF((DiscreteStatsTable[[#This Row],[RepsRequested]]&gt;1),DiscreteStatsTable[[#This Row],[HalfWidth]],DiscreteStatsTable[[#This Row],[BatchMeansHalfWidth]])</f>
        <v>0</v>
      </c>
      <c r="X113" s="5" cm="1">
        <f t="array" ref="X113">COUNT(IF((DiscreteStatsTable[GroupByKey]=DiscreteStatsTable[[#This Row],[GroupByKey]]),(DiscreteStatsTable[GroupByKey]=DiscreteStatsTable[[#This Row],[GroupByKey]])*DiscreteStatsTable[Replication]))</f>
        <v>50</v>
      </c>
      <c r="Y113" s="5">
        <f>IF(DiscreteStatsTable[[#This Row],[RepsRequested]]=DiscreteStatsTable[[#This Row],[RepsWithStatObserved]],1,0)</f>
        <v>1</v>
      </c>
    </row>
    <row r="114" spans="1:25" x14ac:dyDescent="0.35">
      <c r="A114" t="s">
        <v>66</v>
      </c>
      <c r="B114" t="s">
        <v>69</v>
      </c>
      <c r="C114">
        <v>19</v>
      </c>
      <c r="D114" t="s">
        <v>70</v>
      </c>
      <c r="E114" t="s">
        <v>76</v>
      </c>
      <c r="F114" t="s">
        <v>72</v>
      </c>
      <c r="G114">
        <v>2.4476028308928401</v>
      </c>
      <c r="H114">
        <v>2E+20</v>
      </c>
      <c r="I114">
        <v>1.6785738720938701</v>
      </c>
      <c r="J114">
        <v>3.3651500484599</v>
      </c>
      <c r="K114">
        <v>4</v>
      </c>
      <c r="L114" s="5" t="str">
        <f>DiscreteStatsTable[[#This Row],[ProjectName]]&amp;DiscreteStatsTable[[#This Row],[Name]]&amp;DiscreteStatsTable[[#This Row],[Type]]&amp;DiscreteStatsTable[[#This Row],[Source]]</f>
        <v>Unnamed ProjectArquivosVA TimeEntity</v>
      </c>
      <c r="M114" s="5" cm="1">
        <f t="array" ref="M114">MAX(IF((ProjectInfoTable[ProjectName]=DiscreteStatsTable[[#This Row],[ProjectName]]),(ProjectInfoTable[ProjectName]=DiscreteStatsTable[[#This Row],[ProjectName]])*ProjectInfoTable[NumberOfReplications]))</f>
        <v>50</v>
      </c>
      <c r="N114" s="5" cm="1">
        <f t="array" ref="N114">IFERROR(AVERAGE(IF((DiscreteStatsTable[GroupByKey]=DiscreteStatsTable[[#This Row],[GroupByKey]]),(DiscreteStatsTable[GroupByKey]=DiscreteStatsTable[[#This Row],[GroupByKey]])*DiscreteStatsTable[Average])),0)</f>
        <v>2.3123810058270009</v>
      </c>
      <c r="O114" s="5" cm="1">
        <f t="array" ref="O114">IFERROR(_xlfn.STDEV.S(IF((DiscreteStatsTable[GroupByKey]=DiscreteStatsTable[[#This Row],[GroupByKey]]),(DiscreteStatsTable[GroupByKey]=DiscreteStatsTable[[#This Row],[GroupByKey]])*DiscreteStatsTable[Average])),0)</f>
        <v>0.47735516285795621</v>
      </c>
      <c r="P114" s="5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 s="5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0.13566283623888314</v>
      </c>
      <c r="R114" s="5" cm="1">
        <f t="array" ref="R114">MIN(IF((DiscreteStatsTable[GroupByKey]=DiscreteStatsTable[[#This Row],[GroupByKey]]),(DiscreteStatsTable[GroupByKey]=DiscreteStatsTable[[#This Row],[GroupByKey]])*DiscreteStatsTable[Average]))</f>
        <v>1.3773415743205399</v>
      </c>
      <c r="S114" s="5" cm="1">
        <f t="array" ref="S114">MAX(IF((DiscreteStatsTable[GroupByKey]=DiscreteStatsTable[[#This Row],[GroupByKey]]),(DiscreteStatsTable[GroupByKey]=DiscreteStatsTable[[#This Row],[GroupByKey]])*DiscreteStatsTable[Average]))</f>
        <v>3.3139161730180202</v>
      </c>
      <c r="T114" s="5" cm="1">
        <f t="array" ref="T114">MIN(IF((DiscreteStatsTable[GroupByKey]=DiscreteStatsTable[[#This Row],[GroupByKey]]),(DiscreteStatsTable[GroupByKey]=DiscreteStatsTable[[#This Row],[GroupByKey]])*DiscreteStatsTable[Minimum]))</f>
        <v>0.58847912081681497</v>
      </c>
      <c r="U114" s="5" cm="1">
        <f t="array" ref="U114">MAX(IF((DiscreteStatsTable[GroupByKey]=DiscreteStatsTable[[#This Row],[GroupByKey]]),(DiscreteStatsTable[GroupByKey]=DiscreteStatsTable[[#This Row],[GroupByKey]])*DiscreteStatsTable[Maximum]))</f>
        <v>4.9756405925629998</v>
      </c>
      <c r="V114" s="5" cm="1">
        <f t="array" ref="V114">IFERROR(AVERAGE(IF((DiscreteStatsTable[GroupByKey]=DiscreteStatsTable[[#This Row],[GroupByKey]]),(DiscreteStatsTable[GroupByKey]=DiscreteStatsTable[[#This Row],[GroupByKey]])*DiscreteStatsTable[NumberObservations])),0)</f>
        <v>3.62</v>
      </c>
      <c r="W114" s="5">
        <f>IF((DiscreteStatsTable[[#This Row],[RepsRequested]]&gt;1),DiscreteStatsTable[[#This Row],[HalfWidth]],DiscreteStatsTable[[#This Row],[BatchMeansHalfWidth]])</f>
        <v>0.13566283623888314</v>
      </c>
      <c r="X114" s="5" cm="1">
        <f t="array" ref="X114">COUNT(IF((DiscreteStatsTable[GroupByKey]=DiscreteStatsTable[[#This Row],[GroupByKey]]),(DiscreteStatsTable[GroupByKey]=DiscreteStatsTable[[#This Row],[GroupByKey]])*DiscreteStatsTable[Replication]))</f>
        <v>50</v>
      </c>
      <c r="Y114" s="5">
        <f>IF(DiscreteStatsTable[[#This Row],[RepsRequested]]=DiscreteStatsTable[[#This Row],[RepsWithStatObserved]],1,0)</f>
        <v>1</v>
      </c>
    </row>
    <row r="115" spans="1:25" x14ac:dyDescent="0.35">
      <c r="A115" t="s">
        <v>66</v>
      </c>
      <c r="B115" t="s">
        <v>69</v>
      </c>
      <c r="C115">
        <v>19</v>
      </c>
      <c r="D115" t="s">
        <v>70</v>
      </c>
      <c r="E115" t="s">
        <v>77</v>
      </c>
      <c r="F115" t="s">
        <v>72</v>
      </c>
      <c r="G115">
        <v>1.59736640109464</v>
      </c>
      <c r="H115">
        <v>2E+20</v>
      </c>
      <c r="I115">
        <v>0</v>
      </c>
      <c r="J115">
        <v>2.7236617411173198</v>
      </c>
      <c r="K115">
        <v>4</v>
      </c>
      <c r="L115" s="5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115" s="5" cm="1">
        <f t="array" ref="M115">MAX(IF((ProjectInfoTable[ProjectName]=DiscreteStatsTable[[#This Row],[ProjectName]]),(ProjectInfoTable[ProjectName]=DiscreteStatsTable[[#This Row],[ProjectName]])*ProjectInfoTable[NumberOfReplications]))</f>
        <v>50</v>
      </c>
      <c r="N115" s="5" cm="1">
        <f t="array" ref="N115">IFERROR(AVERAGE(IF((DiscreteStatsTable[GroupByKey]=DiscreteStatsTable[[#This Row],[GroupByKey]]),(DiscreteStatsTable[GroupByKey]=DiscreteStatsTable[[#This Row],[GroupByKey]])*DiscreteStatsTable[Average])),0)</f>
        <v>1.2240084441262762</v>
      </c>
      <c r="O115" s="5" cm="1">
        <f t="array" ref="O115">IFERROR(_xlfn.STDEV.S(IF((DiscreteStatsTable[GroupByKey]=DiscreteStatsTable[[#This Row],[GroupByKey]]),(DiscreteStatsTable[GroupByKey]=DiscreteStatsTable[[#This Row],[GroupByKey]])*DiscreteStatsTable[Average])),0)</f>
        <v>0.89867905452837749</v>
      </c>
      <c r="P115" s="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 s="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0.2554017613968404</v>
      </c>
      <c r="R115" s="5" cm="1">
        <f t="array" ref="R115">MIN(IF((DiscreteStatsTable[GroupByKey]=DiscreteStatsTable[[#This Row],[GroupByKey]]),(DiscreteStatsTable[GroupByKey]=DiscreteStatsTable[[#This Row],[GroupByKey]])*DiscreteStatsTable[Average]))</f>
        <v>0</v>
      </c>
      <c r="S115" s="5" cm="1">
        <f t="array" ref="S115">MAX(IF((DiscreteStatsTable[GroupByKey]=DiscreteStatsTable[[#This Row],[GroupByKey]]),(DiscreteStatsTable[GroupByKey]=DiscreteStatsTable[[#This Row],[GroupByKey]])*DiscreteStatsTable[Average]))</f>
        <v>3.4345522286517598</v>
      </c>
      <c r="T115" s="5" cm="1">
        <f t="array" ref="T115">MIN(IF((DiscreteStatsTable[GroupByKey]=DiscreteStatsTable[[#This Row],[GroupByKey]]),(DiscreteStatsTable[GroupByKey]=DiscreteStatsTable[[#This Row],[GroupByKey]])*DiscreteStatsTable[Minimum]))</f>
        <v>0</v>
      </c>
      <c r="U115" s="5" cm="1">
        <f t="array" ref="U115">MAX(IF((DiscreteStatsTable[GroupByKey]=DiscreteStatsTable[[#This Row],[GroupByKey]]),(DiscreteStatsTable[GroupByKey]=DiscreteStatsTable[[#This Row],[GroupByKey]])*DiscreteStatsTable[Maximum]))</f>
        <v>6.7563093676697896</v>
      </c>
      <c r="V115" s="5" cm="1">
        <f t="array" ref="V115">IFERROR(AVERAGE(IF((DiscreteStatsTable[GroupByKey]=DiscreteStatsTable[[#This Row],[GroupByKey]]),(DiscreteStatsTable[GroupByKey]=DiscreteStatsTable[[#This Row],[GroupByKey]])*DiscreteStatsTable[NumberObservations])),0)</f>
        <v>3.62</v>
      </c>
      <c r="W115" s="5">
        <f>IF((DiscreteStatsTable[[#This Row],[RepsRequested]]&gt;1),DiscreteStatsTable[[#This Row],[HalfWidth]],DiscreteStatsTable[[#This Row],[BatchMeansHalfWidth]])</f>
        <v>0.2554017613968404</v>
      </c>
      <c r="X115" s="5" cm="1">
        <f t="array" ref="X115">COUNT(IF((DiscreteStatsTable[GroupByKey]=DiscreteStatsTable[[#This Row],[GroupByKey]]),(DiscreteStatsTable[GroupByKey]=DiscreteStatsTable[[#This Row],[GroupByKey]])*DiscreteStatsTable[Replication]))</f>
        <v>50</v>
      </c>
      <c r="Y115" s="5">
        <f>IF(DiscreteStatsTable[[#This Row],[RepsRequested]]=DiscreteStatsTable[[#This Row],[RepsWithStatObserved]],1,0)</f>
        <v>1</v>
      </c>
    </row>
    <row r="116" spans="1:25" x14ac:dyDescent="0.35">
      <c r="A116" t="s">
        <v>66</v>
      </c>
      <c r="B116" t="s">
        <v>69</v>
      </c>
      <c r="C116">
        <v>20</v>
      </c>
      <c r="D116" t="s">
        <v>70</v>
      </c>
      <c r="E116" t="s">
        <v>71</v>
      </c>
      <c r="F116" t="s">
        <v>72</v>
      </c>
      <c r="G116">
        <v>0</v>
      </c>
      <c r="H116">
        <v>2E+20</v>
      </c>
      <c r="I116">
        <v>0</v>
      </c>
      <c r="J116">
        <v>0</v>
      </c>
      <c r="K116">
        <v>4</v>
      </c>
      <c r="L116" s="5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116" s="5" cm="1">
        <f t="array" ref="M116">MAX(IF((ProjectInfoTable[ProjectName]=DiscreteStatsTable[[#This Row],[ProjectName]]),(ProjectInfoTable[ProjectName]=DiscreteStatsTable[[#This Row],[ProjectName]])*ProjectInfoTable[NumberOfReplications]))</f>
        <v>50</v>
      </c>
      <c r="N116" s="5" cm="1">
        <f t="array" ref="N116">IFERROR(AVERAGE(IF((DiscreteStatsTable[GroupByKey]=DiscreteStatsTable[[#This Row],[GroupByKey]]),(DiscreteStatsTable[GroupByKey]=DiscreteStatsTable[[#This Row],[GroupByKey]])*DiscreteStatsTable[Average])),0)</f>
        <v>0</v>
      </c>
      <c r="O116" s="5" cm="1">
        <f t="array" ref="O116">IFERROR(_xlfn.STDEV.S(IF((DiscreteStatsTable[GroupByKey]=DiscreteStatsTable[[#This Row],[GroupByKey]]),(DiscreteStatsTable[GroupByKey]=DiscreteStatsTable[[#This Row],[GroupByKey]])*DiscreteStatsTable[Average])),0)</f>
        <v>0</v>
      </c>
      <c r="P116" s="5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 s="5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" s="5" cm="1">
        <f t="array" ref="R116">MIN(IF((DiscreteStatsTable[GroupByKey]=DiscreteStatsTable[[#This Row],[GroupByKey]]),(DiscreteStatsTable[GroupByKey]=DiscreteStatsTable[[#This Row],[GroupByKey]])*DiscreteStatsTable[Average]))</f>
        <v>0</v>
      </c>
      <c r="S116" s="5" cm="1">
        <f t="array" ref="S116">MAX(IF((DiscreteStatsTable[GroupByKey]=DiscreteStatsTable[[#This Row],[GroupByKey]]),(DiscreteStatsTable[GroupByKey]=DiscreteStatsTable[[#This Row],[GroupByKey]])*DiscreteStatsTable[Average]))</f>
        <v>0</v>
      </c>
      <c r="T116" s="5" cm="1">
        <f t="array" ref="T116">MIN(IF((DiscreteStatsTable[GroupByKey]=DiscreteStatsTable[[#This Row],[GroupByKey]]),(DiscreteStatsTable[GroupByKey]=DiscreteStatsTable[[#This Row],[GroupByKey]])*DiscreteStatsTable[Minimum]))</f>
        <v>0</v>
      </c>
      <c r="U116" s="5" cm="1">
        <f t="array" ref="U116">MAX(IF((DiscreteStatsTable[GroupByKey]=DiscreteStatsTable[[#This Row],[GroupByKey]]),(DiscreteStatsTable[GroupByKey]=DiscreteStatsTable[[#This Row],[GroupByKey]])*DiscreteStatsTable[Maximum]))</f>
        <v>0</v>
      </c>
      <c r="V116" s="5" cm="1">
        <f t="array" ref="V116">IFERROR(AVERAGE(IF((DiscreteStatsTable[GroupByKey]=DiscreteStatsTable[[#This Row],[GroupByKey]]),(DiscreteStatsTable[GroupByKey]=DiscreteStatsTable[[#This Row],[GroupByKey]])*DiscreteStatsTable[NumberObservations])),0)</f>
        <v>3.62</v>
      </c>
      <c r="W116" s="5">
        <f>IF((DiscreteStatsTable[[#This Row],[RepsRequested]]&gt;1),DiscreteStatsTable[[#This Row],[HalfWidth]],DiscreteStatsTable[[#This Row],[BatchMeansHalfWidth]])</f>
        <v>0</v>
      </c>
      <c r="X116" s="5" cm="1">
        <f t="array" ref="X116">COUNT(IF((DiscreteStatsTable[GroupByKey]=DiscreteStatsTable[[#This Row],[GroupByKey]]),(DiscreteStatsTable[GroupByKey]=DiscreteStatsTable[[#This Row],[GroupByKey]])*DiscreteStatsTable[Replication]))</f>
        <v>50</v>
      </c>
      <c r="Y116" s="5">
        <f>IF(DiscreteStatsTable[[#This Row],[RepsRequested]]=DiscreteStatsTable[[#This Row],[RepsWithStatObserved]],1,0)</f>
        <v>1</v>
      </c>
    </row>
    <row r="117" spans="1:25" x14ac:dyDescent="0.35">
      <c r="A117" t="s">
        <v>66</v>
      </c>
      <c r="B117" t="s">
        <v>69</v>
      </c>
      <c r="C117">
        <v>20</v>
      </c>
      <c r="D117" t="s">
        <v>70</v>
      </c>
      <c r="E117" t="s">
        <v>73</v>
      </c>
      <c r="F117" t="s">
        <v>72</v>
      </c>
      <c r="G117">
        <v>0</v>
      </c>
      <c r="H117">
        <v>2E+20</v>
      </c>
      <c r="I117">
        <v>0</v>
      </c>
      <c r="J117">
        <v>0</v>
      </c>
      <c r="K117">
        <v>4</v>
      </c>
      <c r="L117" s="5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117" s="5" cm="1">
        <f t="array" ref="M117">MAX(IF((ProjectInfoTable[ProjectName]=DiscreteStatsTable[[#This Row],[ProjectName]]),(ProjectInfoTable[ProjectName]=DiscreteStatsTable[[#This Row],[ProjectName]])*ProjectInfoTable[NumberOfReplications]))</f>
        <v>50</v>
      </c>
      <c r="N117" s="5" cm="1">
        <f t="array" ref="N117">IFERROR(AVERAGE(IF((DiscreteStatsTable[GroupByKey]=DiscreteStatsTable[[#This Row],[GroupByKey]]),(DiscreteStatsTable[GroupByKey]=DiscreteStatsTable[[#This Row],[GroupByKey]])*DiscreteStatsTable[Average])),0)</f>
        <v>0</v>
      </c>
      <c r="O117" s="5" cm="1">
        <f t="array" ref="O117">IFERROR(_xlfn.STDEV.S(IF((DiscreteStatsTable[GroupByKey]=DiscreteStatsTable[[#This Row],[GroupByKey]]),(DiscreteStatsTable[GroupByKey]=DiscreteStatsTable[[#This Row],[GroupByKey]])*DiscreteStatsTable[Average])),0)</f>
        <v>0</v>
      </c>
      <c r="P117" s="5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 s="5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" s="5" cm="1">
        <f t="array" ref="R117">MIN(IF((DiscreteStatsTable[GroupByKey]=DiscreteStatsTable[[#This Row],[GroupByKey]]),(DiscreteStatsTable[GroupByKey]=DiscreteStatsTable[[#This Row],[GroupByKey]])*DiscreteStatsTable[Average]))</f>
        <v>0</v>
      </c>
      <c r="S117" s="5" cm="1">
        <f t="array" ref="S117">MAX(IF((DiscreteStatsTable[GroupByKey]=DiscreteStatsTable[[#This Row],[GroupByKey]]),(DiscreteStatsTable[GroupByKey]=DiscreteStatsTable[[#This Row],[GroupByKey]])*DiscreteStatsTable[Average]))</f>
        <v>0</v>
      </c>
      <c r="T117" s="5" cm="1">
        <f t="array" ref="T117">MIN(IF((DiscreteStatsTable[GroupByKey]=DiscreteStatsTable[[#This Row],[GroupByKey]]),(DiscreteStatsTable[GroupByKey]=DiscreteStatsTable[[#This Row],[GroupByKey]])*DiscreteStatsTable[Minimum]))</f>
        <v>0</v>
      </c>
      <c r="U117" s="5" cm="1">
        <f t="array" ref="U117">MAX(IF((DiscreteStatsTable[GroupByKey]=DiscreteStatsTable[[#This Row],[GroupByKey]]),(DiscreteStatsTable[GroupByKey]=DiscreteStatsTable[[#This Row],[GroupByKey]])*DiscreteStatsTable[Maximum]))</f>
        <v>0</v>
      </c>
      <c r="V117" s="5" cm="1">
        <f t="array" ref="V117">IFERROR(AVERAGE(IF((DiscreteStatsTable[GroupByKey]=DiscreteStatsTable[[#This Row],[GroupByKey]]),(DiscreteStatsTable[GroupByKey]=DiscreteStatsTable[[#This Row],[GroupByKey]])*DiscreteStatsTable[NumberObservations])),0)</f>
        <v>3.62</v>
      </c>
      <c r="W117" s="5">
        <f>IF((DiscreteStatsTable[[#This Row],[RepsRequested]]&gt;1),DiscreteStatsTable[[#This Row],[HalfWidth]],DiscreteStatsTable[[#This Row],[BatchMeansHalfWidth]])</f>
        <v>0</v>
      </c>
      <c r="X117" s="5" cm="1">
        <f t="array" ref="X117">COUNT(IF((DiscreteStatsTable[GroupByKey]=DiscreteStatsTable[[#This Row],[GroupByKey]]),(DiscreteStatsTable[GroupByKey]=DiscreteStatsTable[[#This Row],[GroupByKey]])*DiscreteStatsTable[Replication]))</f>
        <v>50</v>
      </c>
      <c r="Y117" s="5">
        <f>IF(DiscreteStatsTable[[#This Row],[RepsRequested]]=DiscreteStatsTable[[#This Row],[RepsWithStatObserved]],1,0)</f>
        <v>1</v>
      </c>
    </row>
    <row r="118" spans="1:25" x14ac:dyDescent="0.35">
      <c r="A118" t="s">
        <v>66</v>
      </c>
      <c r="B118" t="s">
        <v>69</v>
      </c>
      <c r="C118">
        <v>20</v>
      </c>
      <c r="D118" t="s">
        <v>70</v>
      </c>
      <c r="E118" t="s">
        <v>74</v>
      </c>
      <c r="F118" t="s">
        <v>72</v>
      </c>
      <c r="G118">
        <v>4.55138276395357</v>
      </c>
      <c r="H118">
        <v>2E+20</v>
      </c>
      <c r="I118">
        <v>1.35004570975563</v>
      </c>
      <c r="J118">
        <v>7.3915661677694997</v>
      </c>
      <c r="K118">
        <v>4</v>
      </c>
      <c r="L118" s="5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118" s="5" cm="1">
        <f t="array" ref="M118">MAX(IF((ProjectInfoTable[ProjectName]=DiscreteStatsTable[[#This Row],[ProjectName]]),(ProjectInfoTable[ProjectName]=DiscreteStatsTable[[#This Row],[ProjectName]])*ProjectInfoTable[NumberOfReplications]))</f>
        <v>50</v>
      </c>
      <c r="N118" s="5" cm="1">
        <f t="array" ref="N118">IFERROR(AVERAGE(IF((DiscreteStatsTable[GroupByKey]=DiscreteStatsTable[[#This Row],[GroupByKey]]),(DiscreteStatsTable[GroupByKey]=DiscreteStatsTable[[#This Row],[GroupByKey]])*DiscreteStatsTable[Average])),0)</f>
        <v>3.5363894499532775</v>
      </c>
      <c r="O118" s="5" cm="1">
        <f t="array" ref="O118">IFERROR(_xlfn.STDEV.S(IF((DiscreteStatsTable[GroupByKey]=DiscreteStatsTable[[#This Row],[GroupByKey]]),(DiscreteStatsTable[GroupByKey]=DiscreteStatsTable[[#This Row],[GroupByKey]])*DiscreteStatsTable[Average])),0)</f>
        <v>1.1766434570133149</v>
      </c>
      <c r="P118" s="5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 s="5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0.33439837052280896</v>
      </c>
      <c r="R118" s="5" cm="1">
        <f t="array" ref="R118">MIN(IF((DiscreteStatsTable[GroupByKey]=DiscreteStatsTable[[#This Row],[GroupByKey]]),(DiscreteStatsTable[GroupByKey]=DiscreteStatsTable[[#This Row],[GroupByKey]])*DiscreteStatsTable[Average]))</f>
        <v>1.6342264652107701</v>
      </c>
      <c r="S118" s="5" cm="1">
        <f t="array" ref="S118">MAX(IF((DiscreteStatsTable[GroupByKey]=DiscreteStatsTable[[#This Row],[GroupByKey]]),(DiscreteStatsTable[GroupByKey]=DiscreteStatsTable[[#This Row],[GroupByKey]])*DiscreteStatsTable[Average]))</f>
        <v>6.5527373550837904</v>
      </c>
      <c r="T118" s="5" cm="1">
        <f t="array" ref="T118">MIN(IF((DiscreteStatsTable[GroupByKey]=DiscreteStatsTable[[#This Row],[GroupByKey]]),(DiscreteStatsTable[GroupByKey]=DiscreteStatsTable[[#This Row],[GroupByKey]])*DiscreteStatsTable[Minimum]))</f>
        <v>0.58847912081681497</v>
      </c>
      <c r="U118" s="5" cm="1">
        <f t="array" ref="U118">MAX(IF((DiscreteStatsTable[GroupByKey]=DiscreteStatsTable[[#This Row],[GroupByKey]]),(DiscreteStatsTable[GroupByKey]=DiscreteStatsTable[[#This Row],[GroupByKey]])*DiscreteStatsTable[Maximum]))</f>
        <v>8.7476494546828292</v>
      </c>
      <c r="V118" s="5" cm="1">
        <f t="array" ref="V118">IFERROR(AVERAGE(IF((DiscreteStatsTable[GroupByKey]=DiscreteStatsTable[[#This Row],[GroupByKey]]),(DiscreteStatsTable[GroupByKey]=DiscreteStatsTable[[#This Row],[GroupByKey]])*DiscreteStatsTable[NumberObservations])),0)</f>
        <v>3.62</v>
      </c>
      <c r="W118" s="5">
        <f>IF((DiscreteStatsTable[[#This Row],[RepsRequested]]&gt;1),DiscreteStatsTable[[#This Row],[HalfWidth]],DiscreteStatsTable[[#This Row],[BatchMeansHalfWidth]])</f>
        <v>0.33439837052280896</v>
      </c>
      <c r="X118" s="5" cm="1">
        <f t="array" ref="X118">COUNT(IF((DiscreteStatsTable[GroupByKey]=DiscreteStatsTable[[#This Row],[GroupByKey]]),(DiscreteStatsTable[GroupByKey]=DiscreteStatsTable[[#This Row],[GroupByKey]])*DiscreteStatsTable[Replication]))</f>
        <v>50</v>
      </c>
      <c r="Y118" s="5">
        <f>IF(DiscreteStatsTable[[#This Row],[RepsRequested]]=DiscreteStatsTable[[#This Row],[RepsWithStatObserved]],1,0)</f>
        <v>1</v>
      </c>
    </row>
    <row r="119" spans="1:25" x14ac:dyDescent="0.35">
      <c r="A119" t="s">
        <v>66</v>
      </c>
      <c r="B119" t="s">
        <v>69</v>
      </c>
      <c r="C119">
        <v>20</v>
      </c>
      <c r="D119" t="s">
        <v>70</v>
      </c>
      <c r="E119" t="s">
        <v>75</v>
      </c>
      <c r="F119" t="s">
        <v>72</v>
      </c>
      <c r="G119">
        <v>0</v>
      </c>
      <c r="H119">
        <v>2E+20</v>
      </c>
      <c r="I119">
        <v>0</v>
      </c>
      <c r="J119">
        <v>0</v>
      </c>
      <c r="K119">
        <v>4</v>
      </c>
      <c r="L119" s="5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119" s="5" cm="1">
        <f t="array" ref="M119">MAX(IF((ProjectInfoTable[ProjectName]=DiscreteStatsTable[[#This Row],[ProjectName]]),(ProjectInfoTable[ProjectName]=DiscreteStatsTable[[#This Row],[ProjectName]])*ProjectInfoTable[NumberOfReplications]))</f>
        <v>50</v>
      </c>
      <c r="N119" s="5" cm="1">
        <f t="array" ref="N119">IFERROR(AVERAGE(IF((DiscreteStatsTable[GroupByKey]=DiscreteStatsTable[[#This Row],[GroupByKey]]),(DiscreteStatsTable[GroupByKey]=DiscreteStatsTable[[#This Row],[GroupByKey]])*DiscreteStatsTable[Average])),0)</f>
        <v>0</v>
      </c>
      <c r="O119" s="5" cm="1">
        <f t="array" ref="O119">IFERROR(_xlfn.STDEV.S(IF((DiscreteStatsTable[GroupByKey]=DiscreteStatsTable[[#This Row],[GroupByKey]]),(DiscreteStatsTable[GroupByKey]=DiscreteStatsTable[[#This Row],[GroupByKey]])*DiscreteStatsTable[Average])),0)</f>
        <v>0</v>
      </c>
      <c r="P119" s="5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 s="5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" s="5" cm="1">
        <f t="array" ref="R119">MIN(IF((DiscreteStatsTable[GroupByKey]=DiscreteStatsTable[[#This Row],[GroupByKey]]),(DiscreteStatsTable[GroupByKey]=DiscreteStatsTable[[#This Row],[GroupByKey]])*DiscreteStatsTable[Average]))</f>
        <v>0</v>
      </c>
      <c r="S119" s="5" cm="1">
        <f t="array" ref="S119">MAX(IF((DiscreteStatsTable[GroupByKey]=DiscreteStatsTable[[#This Row],[GroupByKey]]),(DiscreteStatsTable[GroupByKey]=DiscreteStatsTable[[#This Row],[GroupByKey]])*DiscreteStatsTable[Average]))</f>
        <v>0</v>
      </c>
      <c r="T119" s="5" cm="1">
        <f t="array" ref="T119">MIN(IF((DiscreteStatsTable[GroupByKey]=DiscreteStatsTable[[#This Row],[GroupByKey]]),(DiscreteStatsTable[GroupByKey]=DiscreteStatsTable[[#This Row],[GroupByKey]])*DiscreteStatsTable[Minimum]))</f>
        <v>0</v>
      </c>
      <c r="U119" s="5" cm="1">
        <f t="array" ref="U119">MAX(IF((DiscreteStatsTable[GroupByKey]=DiscreteStatsTable[[#This Row],[GroupByKey]]),(DiscreteStatsTable[GroupByKey]=DiscreteStatsTable[[#This Row],[GroupByKey]])*DiscreteStatsTable[Maximum]))</f>
        <v>0</v>
      </c>
      <c r="V119" s="5" cm="1">
        <f t="array" ref="V119">IFERROR(AVERAGE(IF((DiscreteStatsTable[GroupByKey]=DiscreteStatsTable[[#This Row],[GroupByKey]]),(DiscreteStatsTable[GroupByKey]=DiscreteStatsTable[[#This Row],[GroupByKey]])*DiscreteStatsTable[NumberObservations])),0)</f>
        <v>3.62</v>
      </c>
      <c r="W119" s="5">
        <f>IF((DiscreteStatsTable[[#This Row],[RepsRequested]]&gt;1),DiscreteStatsTable[[#This Row],[HalfWidth]],DiscreteStatsTable[[#This Row],[BatchMeansHalfWidth]])</f>
        <v>0</v>
      </c>
      <c r="X119" s="5" cm="1">
        <f t="array" ref="X119">COUNT(IF((DiscreteStatsTable[GroupByKey]=DiscreteStatsTable[[#This Row],[GroupByKey]]),(DiscreteStatsTable[GroupByKey]=DiscreteStatsTable[[#This Row],[GroupByKey]])*DiscreteStatsTable[Replication]))</f>
        <v>50</v>
      </c>
      <c r="Y119" s="5">
        <f>IF(DiscreteStatsTable[[#This Row],[RepsRequested]]=DiscreteStatsTable[[#This Row],[RepsWithStatObserved]],1,0)</f>
        <v>1</v>
      </c>
    </row>
    <row r="120" spans="1:25" x14ac:dyDescent="0.35">
      <c r="A120" t="s">
        <v>66</v>
      </c>
      <c r="B120" t="s">
        <v>69</v>
      </c>
      <c r="C120">
        <v>20</v>
      </c>
      <c r="D120" t="s">
        <v>70</v>
      </c>
      <c r="E120" t="s">
        <v>76</v>
      </c>
      <c r="F120" t="s">
        <v>72</v>
      </c>
      <c r="G120">
        <v>2.3114935093205098</v>
      </c>
      <c r="H120">
        <v>2E+20</v>
      </c>
      <c r="I120">
        <v>1.35004570975563</v>
      </c>
      <c r="J120">
        <v>3.0498607780970199</v>
      </c>
      <c r="K120">
        <v>4</v>
      </c>
      <c r="L120" s="5" t="str">
        <f>DiscreteStatsTable[[#This Row],[ProjectName]]&amp;DiscreteStatsTable[[#This Row],[Name]]&amp;DiscreteStatsTable[[#This Row],[Type]]&amp;DiscreteStatsTable[[#This Row],[Source]]</f>
        <v>Unnamed ProjectArquivosVA TimeEntity</v>
      </c>
      <c r="M120" s="5" cm="1">
        <f t="array" ref="M120">MAX(IF((ProjectInfoTable[ProjectName]=DiscreteStatsTable[[#This Row],[ProjectName]]),(ProjectInfoTable[ProjectName]=DiscreteStatsTable[[#This Row],[ProjectName]])*ProjectInfoTable[NumberOfReplications]))</f>
        <v>50</v>
      </c>
      <c r="N120" s="5" cm="1">
        <f t="array" ref="N120">IFERROR(AVERAGE(IF((DiscreteStatsTable[GroupByKey]=DiscreteStatsTable[[#This Row],[GroupByKey]]),(DiscreteStatsTable[GroupByKey]=DiscreteStatsTable[[#This Row],[GroupByKey]])*DiscreteStatsTable[Average])),0)</f>
        <v>2.3123810058270009</v>
      </c>
      <c r="O120" s="5" cm="1">
        <f t="array" ref="O120">IFERROR(_xlfn.STDEV.S(IF((DiscreteStatsTable[GroupByKey]=DiscreteStatsTable[[#This Row],[GroupByKey]]),(DiscreteStatsTable[GroupByKey]=DiscreteStatsTable[[#This Row],[GroupByKey]])*DiscreteStatsTable[Average])),0)</f>
        <v>0.47735516285795621</v>
      </c>
      <c r="P120" s="5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 s="5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0.13566283623888314</v>
      </c>
      <c r="R120" s="5" cm="1">
        <f t="array" ref="R120">MIN(IF((DiscreteStatsTable[GroupByKey]=DiscreteStatsTable[[#This Row],[GroupByKey]]),(DiscreteStatsTable[GroupByKey]=DiscreteStatsTable[[#This Row],[GroupByKey]])*DiscreteStatsTable[Average]))</f>
        <v>1.3773415743205399</v>
      </c>
      <c r="S120" s="5" cm="1">
        <f t="array" ref="S120">MAX(IF((DiscreteStatsTable[GroupByKey]=DiscreteStatsTable[[#This Row],[GroupByKey]]),(DiscreteStatsTable[GroupByKey]=DiscreteStatsTable[[#This Row],[GroupByKey]])*DiscreteStatsTable[Average]))</f>
        <v>3.3139161730180202</v>
      </c>
      <c r="T120" s="5" cm="1">
        <f t="array" ref="T120">MIN(IF((DiscreteStatsTable[GroupByKey]=DiscreteStatsTable[[#This Row],[GroupByKey]]),(DiscreteStatsTable[GroupByKey]=DiscreteStatsTable[[#This Row],[GroupByKey]])*DiscreteStatsTable[Minimum]))</f>
        <v>0.58847912081681497</v>
      </c>
      <c r="U120" s="5" cm="1">
        <f t="array" ref="U120">MAX(IF((DiscreteStatsTable[GroupByKey]=DiscreteStatsTable[[#This Row],[GroupByKey]]),(DiscreteStatsTable[GroupByKey]=DiscreteStatsTable[[#This Row],[GroupByKey]])*DiscreteStatsTable[Maximum]))</f>
        <v>4.9756405925629998</v>
      </c>
      <c r="V120" s="5" cm="1">
        <f t="array" ref="V120">IFERROR(AVERAGE(IF((DiscreteStatsTable[GroupByKey]=DiscreteStatsTable[[#This Row],[GroupByKey]]),(DiscreteStatsTable[GroupByKey]=DiscreteStatsTable[[#This Row],[GroupByKey]])*DiscreteStatsTable[NumberObservations])),0)</f>
        <v>3.62</v>
      </c>
      <c r="W120" s="5">
        <f>IF((DiscreteStatsTable[[#This Row],[RepsRequested]]&gt;1),DiscreteStatsTable[[#This Row],[HalfWidth]],DiscreteStatsTable[[#This Row],[BatchMeansHalfWidth]])</f>
        <v>0.13566283623888314</v>
      </c>
      <c r="X120" s="5" cm="1">
        <f t="array" ref="X120">COUNT(IF((DiscreteStatsTable[GroupByKey]=DiscreteStatsTable[[#This Row],[GroupByKey]]),(DiscreteStatsTable[GroupByKey]=DiscreteStatsTable[[#This Row],[GroupByKey]])*DiscreteStatsTable[Replication]))</f>
        <v>50</v>
      </c>
      <c r="Y120" s="5">
        <f>IF(DiscreteStatsTable[[#This Row],[RepsRequested]]=DiscreteStatsTable[[#This Row],[RepsWithStatObserved]],1,0)</f>
        <v>1</v>
      </c>
    </row>
    <row r="121" spans="1:25" x14ac:dyDescent="0.35">
      <c r="A121" t="s">
        <v>66</v>
      </c>
      <c r="B121" t="s">
        <v>69</v>
      </c>
      <c r="C121">
        <v>20</v>
      </c>
      <c r="D121" t="s">
        <v>70</v>
      </c>
      <c r="E121" t="s">
        <v>77</v>
      </c>
      <c r="F121" t="s">
        <v>72</v>
      </c>
      <c r="G121">
        <v>2.2398892546330602</v>
      </c>
      <c r="H121">
        <v>2E+20</v>
      </c>
      <c r="I121">
        <v>0</v>
      </c>
      <c r="J121">
        <v>5.3402972363664496</v>
      </c>
      <c r="K121">
        <v>4</v>
      </c>
      <c r="L121" s="5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121" s="5" cm="1">
        <f t="array" ref="M121">MAX(IF((ProjectInfoTable[ProjectName]=DiscreteStatsTable[[#This Row],[ProjectName]]),(ProjectInfoTable[ProjectName]=DiscreteStatsTable[[#This Row],[ProjectName]])*ProjectInfoTable[NumberOfReplications]))</f>
        <v>50</v>
      </c>
      <c r="N121" s="5" cm="1">
        <f t="array" ref="N121">IFERROR(AVERAGE(IF((DiscreteStatsTable[GroupByKey]=DiscreteStatsTable[[#This Row],[GroupByKey]]),(DiscreteStatsTable[GroupByKey]=DiscreteStatsTable[[#This Row],[GroupByKey]])*DiscreteStatsTable[Average])),0)</f>
        <v>1.2240084441262762</v>
      </c>
      <c r="O121" s="5" cm="1">
        <f t="array" ref="O121">IFERROR(_xlfn.STDEV.S(IF((DiscreteStatsTable[GroupByKey]=DiscreteStatsTable[[#This Row],[GroupByKey]]),(DiscreteStatsTable[GroupByKey]=DiscreteStatsTable[[#This Row],[GroupByKey]])*DiscreteStatsTable[Average])),0)</f>
        <v>0.89867905452837749</v>
      </c>
      <c r="P121" s="5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 s="5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0.2554017613968404</v>
      </c>
      <c r="R121" s="5" cm="1">
        <f t="array" ref="R121">MIN(IF((DiscreteStatsTable[GroupByKey]=DiscreteStatsTable[[#This Row],[GroupByKey]]),(DiscreteStatsTable[GroupByKey]=DiscreteStatsTable[[#This Row],[GroupByKey]])*DiscreteStatsTable[Average]))</f>
        <v>0</v>
      </c>
      <c r="S121" s="5" cm="1">
        <f t="array" ref="S121">MAX(IF((DiscreteStatsTable[GroupByKey]=DiscreteStatsTable[[#This Row],[GroupByKey]]),(DiscreteStatsTable[GroupByKey]=DiscreteStatsTable[[#This Row],[GroupByKey]])*DiscreteStatsTable[Average]))</f>
        <v>3.4345522286517598</v>
      </c>
      <c r="T121" s="5" cm="1">
        <f t="array" ref="T121">MIN(IF((DiscreteStatsTable[GroupByKey]=DiscreteStatsTable[[#This Row],[GroupByKey]]),(DiscreteStatsTable[GroupByKey]=DiscreteStatsTable[[#This Row],[GroupByKey]])*DiscreteStatsTable[Minimum]))</f>
        <v>0</v>
      </c>
      <c r="U121" s="5" cm="1">
        <f t="array" ref="U121">MAX(IF((DiscreteStatsTable[GroupByKey]=DiscreteStatsTable[[#This Row],[GroupByKey]]),(DiscreteStatsTable[GroupByKey]=DiscreteStatsTable[[#This Row],[GroupByKey]])*DiscreteStatsTable[Maximum]))</f>
        <v>6.7563093676697896</v>
      </c>
      <c r="V121" s="5" cm="1">
        <f t="array" ref="V121">IFERROR(AVERAGE(IF((DiscreteStatsTable[GroupByKey]=DiscreteStatsTable[[#This Row],[GroupByKey]]),(DiscreteStatsTable[GroupByKey]=DiscreteStatsTable[[#This Row],[GroupByKey]])*DiscreteStatsTable[NumberObservations])),0)</f>
        <v>3.62</v>
      </c>
      <c r="W121" s="5">
        <f>IF((DiscreteStatsTable[[#This Row],[RepsRequested]]&gt;1),DiscreteStatsTable[[#This Row],[HalfWidth]],DiscreteStatsTable[[#This Row],[BatchMeansHalfWidth]])</f>
        <v>0.2554017613968404</v>
      </c>
      <c r="X121" s="5" cm="1">
        <f t="array" ref="X121">COUNT(IF((DiscreteStatsTable[GroupByKey]=DiscreteStatsTable[[#This Row],[GroupByKey]]),(DiscreteStatsTable[GroupByKey]=DiscreteStatsTable[[#This Row],[GroupByKey]])*DiscreteStatsTable[Replication]))</f>
        <v>50</v>
      </c>
      <c r="Y121" s="5">
        <f>IF(DiscreteStatsTable[[#This Row],[RepsRequested]]=DiscreteStatsTable[[#This Row],[RepsWithStatObserved]],1,0)</f>
        <v>1</v>
      </c>
    </row>
    <row r="122" spans="1:25" x14ac:dyDescent="0.35">
      <c r="A122" t="s">
        <v>66</v>
      </c>
      <c r="B122" t="s">
        <v>69</v>
      </c>
      <c r="C122">
        <v>21</v>
      </c>
      <c r="D122" t="s">
        <v>70</v>
      </c>
      <c r="E122" t="s">
        <v>71</v>
      </c>
      <c r="F122" t="s">
        <v>72</v>
      </c>
      <c r="G122">
        <v>0</v>
      </c>
      <c r="H122">
        <v>2E+20</v>
      </c>
      <c r="I122">
        <v>0</v>
      </c>
      <c r="J122">
        <v>0</v>
      </c>
      <c r="K122">
        <v>3</v>
      </c>
      <c r="L122" s="5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122" s="5" cm="1">
        <f t="array" ref="M122">MAX(IF((ProjectInfoTable[ProjectName]=DiscreteStatsTable[[#This Row],[ProjectName]]),(ProjectInfoTable[ProjectName]=DiscreteStatsTable[[#This Row],[ProjectName]])*ProjectInfoTable[NumberOfReplications]))</f>
        <v>50</v>
      </c>
      <c r="N122" s="5" cm="1">
        <f t="array" ref="N122">IFERROR(AVERAGE(IF((DiscreteStatsTable[GroupByKey]=DiscreteStatsTable[[#This Row],[GroupByKey]]),(DiscreteStatsTable[GroupByKey]=DiscreteStatsTable[[#This Row],[GroupByKey]])*DiscreteStatsTable[Average])),0)</f>
        <v>0</v>
      </c>
      <c r="O122" s="5" cm="1">
        <f t="array" ref="O122">IFERROR(_xlfn.STDEV.S(IF((DiscreteStatsTable[GroupByKey]=DiscreteStatsTable[[#This Row],[GroupByKey]]),(DiscreteStatsTable[GroupByKey]=DiscreteStatsTable[[#This Row],[GroupByKey]])*DiscreteStatsTable[Average])),0)</f>
        <v>0</v>
      </c>
      <c r="P122" s="5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 s="5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" s="5" cm="1">
        <f t="array" ref="R122">MIN(IF((DiscreteStatsTable[GroupByKey]=DiscreteStatsTable[[#This Row],[GroupByKey]]),(DiscreteStatsTable[GroupByKey]=DiscreteStatsTable[[#This Row],[GroupByKey]])*DiscreteStatsTable[Average]))</f>
        <v>0</v>
      </c>
      <c r="S122" s="5" cm="1">
        <f t="array" ref="S122">MAX(IF((DiscreteStatsTable[GroupByKey]=DiscreteStatsTable[[#This Row],[GroupByKey]]),(DiscreteStatsTable[GroupByKey]=DiscreteStatsTable[[#This Row],[GroupByKey]])*DiscreteStatsTable[Average]))</f>
        <v>0</v>
      </c>
      <c r="T122" s="5" cm="1">
        <f t="array" ref="T122">MIN(IF((DiscreteStatsTable[GroupByKey]=DiscreteStatsTable[[#This Row],[GroupByKey]]),(DiscreteStatsTable[GroupByKey]=DiscreteStatsTable[[#This Row],[GroupByKey]])*DiscreteStatsTable[Minimum]))</f>
        <v>0</v>
      </c>
      <c r="U122" s="5" cm="1">
        <f t="array" ref="U122">MAX(IF((DiscreteStatsTable[GroupByKey]=DiscreteStatsTable[[#This Row],[GroupByKey]]),(DiscreteStatsTable[GroupByKey]=DiscreteStatsTable[[#This Row],[GroupByKey]])*DiscreteStatsTable[Maximum]))</f>
        <v>0</v>
      </c>
      <c r="V122" s="5" cm="1">
        <f t="array" ref="V122">IFERROR(AVERAGE(IF((DiscreteStatsTable[GroupByKey]=DiscreteStatsTable[[#This Row],[GroupByKey]]),(DiscreteStatsTable[GroupByKey]=DiscreteStatsTable[[#This Row],[GroupByKey]])*DiscreteStatsTable[NumberObservations])),0)</f>
        <v>3.62</v>
      </c>
      <c r="W122" s="5">
        <f>IF((DiscreteStatsTable[[#This Row],[RepsRequested]]&gt;1),DiscreteStatsTable[[#This Row],[HalfWidth]],DiscreteStatsTable[[#This Row],[BatchMeansHalfWidth]])</f>
        <v>0</v>
      </c>
      <c r="X122" s="5" cm="1">
        <f t="array" ref="X122">COUNT(IF((DiscreteStatsTable[GroupByKey]=DiscreteStatsTable[[#This Row],[GroupByKey]]),(DiscreteStatsTable[GroupByKey]=DiscreteStatsTable[[#This Row],[GroupByKey]])*DiscreteStatsTable[Replication]))</f>
        <v>50</v>
      </c>
      <c r="Y122" s="5">
        <f>IF(DiscreteStatsTable[[#This Row],[RepsRequested]]=DiscreteStatsTable[[#This Row],[RepsWithStatObserved]],1,0)</f>
        <v>1</v>
      </c>
    </row>
    <row r="123" spans="1:25" x14ac:dyDescent="0.35">
      <c r="A123" t="s">
        <v>66</v>
      </c>
      <c r="B123" t="s">
        <v>69</v>
      </c>
      <c r="C123">
        <v>21</v>
      </c>
      <c r="D123" t="s">
        <v>70</v>
      </c>
      <c r="E123" t="s">
        <v>73</v>
      </c>
      <c r="F123" t="s">
        <v>72</v>
      </c>
      <c r="G123">
        <v>0</v>
      </c>
      <c r="H123">
        <v>2E+20</v>
      </c>
      <c r="I123">
        <v>0</v>
      </c>
      <c r="J123">
        <v>0</v>
      </c>
      <c r="K123">
        <v>3</v>
      </c>
      <c r="L123" s="5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123" s="5" cm="1">
        <f t="array" ref="M123">MAX(IF((ProjectInfoTable[ProjectName]=DiscreteStatsTable[[#This Row],[ProjectName]]),(ProjectInfoTable[ProjectName]=DiscreteStatsTable[[#This Row],[ProjectName]])*ProjectInfoTable[NumberOfReplications]))</f>
        <v>50</v>
      </c>
      <c r="N123" s="5" cm="1">
        <f t="array" ref="N123">IFERROR(AVERAGE(IF((DiscreteStatsTable[GroupByKey]=DiscreteStatsTable[[#This Row],[GroupByKey]]),(DiscreteStatsTable[GroupByKey]=DiscreteStatsTable[[#This Row],[GroupByKey]])*DiscreteStatsTable[Average])),0)</f>
        <v>0</v>
      </c>
      <c r="O123" s="5" cm="1">
        <f t="array" ref="O123">IFERROR(_xlfn.STDEV.S(IF((DiscreteStatsTable[GroupByKey]=DiscreteStatsTable[[#This Row],[GroupByKey]]),(DiscreteStatsTable[GroupByKey]=DiscreteStatsTable[[#This Row],[GroupByKey]])*DiscreteStatsTable[Average])),0)</f>
        <v>0</v>
      </c>
      <c r="P123" s="5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 s="5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" s="5" cm="1">
        <f t="array" ref="R123">MIN(IF((DiscreteStatsTable[GroupByKey]=DiscreteStatsTable[[#This Row],[GroupByKey]]),(DiscreteStatsTable[GroupByKey]=DiscreteStatsTable[[#This Row],[GroupByKey]])*DiscreteStatsTable[Average]))</f>
        <v>0</v>
      </c>
      <c r="S123" s="5" cm="1">
        <f t="array" ref="S123">MAX(IF((DiscreteStatsTable[GroupByKey]=DiscreteStatsTable[[#This Row],[GroupByKey]]),(DiscreteStatsTable[GroupByKey]=DiscreteStatsTable[[#This Row],[GroupByKey]])*DiscreteStatsTable[Average]))</f>
        <v>0</v>
      </c>
      <c r="T123" s="5" cm="1">
        <f t="array" ref="T123">MIN(IF((DiscreteStatsTable[GroupByKey]=DiscreteStatsTable[[#This Row],[GroupByKey]]),(DiscreteStatsTable[GroupByKey]=DiscreteStatsTable[[#This Row],[GroupByKey]])*DiscreteStatsTable[Minimum]))</f>
        <v>0</v>
      </c>
      <c r="U123" s="5" cm="1">
        <f t="array" ref="U123">MAX(IF((DiscreteStatsTable[GroupByKey]=DiscreteStatsTable[[#This Row],[GroupByKey]]),(DiscreteStatsTable[GroupByKey]=DiscreteStatsTable[[#This Row],[GroupByKey]])*DiscreteStatsTable[Maximum]))</f>
        <v>0</v>
      </c>
      <c r="V123" s="5" cm="1">
        <f t="array" ref="V123">IFERROR(AVERAGE(IF((DiscreteStatsTable[GroupByKey]=DiscreteStatsTable[[#This Row],[GroupByKey]]),(DiscreteStatsTable[GroupByKey]=DiscreteStatsTable[[#This Row],[GroupByKey]])*DiscreteStatsTable[NumberObservations])),0)</f>
        <v>3.62</v>
      </c>
      <c r="W123" s="5">
        <f>IF((DiscreteStatsTable[[#This Row],[RepsRequested]]&gt;1),DiscreteStatsTable[[#This Row],[HalfWidth]],DiscreteStatsTable[[#This Row],[BatchMeansHalfWidth]])</f>
        <v>0</v>
      </c>
      <c r="X123" s="5" cm="1">
        <f t="array" ref="X123">COUNT(IF((DiscreteStatsTable[GroupByKey]=DiscreteStatsTable[[#This Row],[GroupByKey]]),(DiscreteStatsTable[GroupByKey]=DiscreteStatsTable[[#This Row],[GroupByKey]])*DiscreteStatsTable[Replication]))</f>
        <v>50</v>
      </c>
      <c r="Y123" s="5">
        <f>IF(DiscreteStatsTable[[#This Row],[RepsRequested]]=DiscreteStatsTable[[#This Row],[RepsWithStatObserved]],1,0)</f>
        <v>1</v>
      </c>
    </row>
    <row r="124" spans="1:25" x14ac:dyDescent="0.35">
      <c r="A124" t="s">
        <v>66</v>
      </c>
      <c r="B124" t="s">
        <v>69</v>
      </c>
      <c r="C124">
        <v>21</v>
      </c>
      <c r="D124" t="s">
        <v>70</v>
      </c>
      <c r="E124" t="s">
        <v>74</v>
      </c>
      <c r="F124" t="s">
        <v>72</v>
      </c>
      <c r="G124">
        <v>2.99785703453637</v>
      </c>
      <c r="H124">
        <v>2E+20</v>
      </c>
      <c r="I124">
        <v>2.6147589058817302</v>
      </c>
      <c r="J124">
        <v>3.3438725651846202</v>
      </c>
      <c r="K124">
        <v>3</v>
      </c>
      <c r="L124" s="5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124" s="5" cm="1">
        <f t="array" ref="M124">MAX(IF((ProjectInfoTable[ProjectName]=DiscreteStatsTable[[#This Row],[ProjectName]]),(ProjectInfoTable[ProjectName]=DiscreteStatsTable[[#This Row],[ProjectName]])*ProjectInfoTable[NumberOfReplications]))</f>
        <v>50</v>
      </c>
      <c r="N124" s="5" cm="1">
        <f t="array" ref="N124">IFERROR(AVERAGE(IF((DiscreteStatsTable[GroupByKey]=DiscreteStatsTable[[#This Row],[GroupByKey]]),(DiscreteStatsTable[GroupByKey]=DiscreteStatsTable[[#This Row],[GroupByKey]])*DiscreteStatsTable[Average])),0)</f>
        <v>3.5363894499532775</v>
      </c>
      <c r="O124" s="5" cm="1">
        <f t="array" ref="O124">IFERROR(_xlfn.STDEV.S(IF((DiscreteStatsTable[GroupByKey]=DiscreteStatsTable[[#This Row],[GroupByKey]]),(DiscreteStatsTable[GroupByKey]=DiscreteStatsTable[[#This Row],[GroupByKey]])*DiscreteStatsTable[Average])),0)</f>
        <v>1.1766434570133149</v>
      </c>
      <c r="P124" s="5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 s="5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0.33439837052280896</v>
      </c>
      <c r="R124" s="5" cm="1">
        <f t="array" ref="R124">MIN(IF((DiscreteStatsTable[GroupByKey]=DiscreteStatsTable[[#This Row],[GroupByKey]]),(DiscreteStatsTable[GroupByKey]=DiscreteStatsTable[[#This Row],[GroupByKey]])*DiscreteStatsTable[Average]))</f>
        <v>1.6342264652107701</v>
      </c>
      <c r="S124" s="5" cm="1">
        <f t="array" ref="S124">MAX(IF((DiscreteStatsTable[GroupByKey]=DiscreteStatsTable[[#This Row],[GroupByKey]]),(DiscreteStatsTable[GroupByKey]=DiscreteStatsTable[[#This Row],[GroupByKey]])*DiscreteStatsTable[Average]))</f>
        <v>6.5527373550837904</v>
      </c>
      <c r="T124" s="5" cm="1">
        <f t="array" ref="T124">MIN(IF((DiscreteStatsTable[GroupByKey]=DiscreteStatsTable[[#This Row],[GroupByKey]]),(DiscreteStatsTable[GroupByKey]=DiscreteStatsTable[[#This Row],[GroupByKey]])*DiscreteStatsTable[Minimum]))</f>
        <v>0.58847912081681497</v>
      </c>
      <c r="U124" s="5" cm="1">
        <f t="array" ref="U124">MAX(IF((DiscreteStatsTable[GroupByKey]=DiscreteStatsTable[[#This Row],[GroupByKey]]),(DiscreteStatsTable[GroupByKey]=DiscreteStatsTable[[#This Row],[GroupByKey]])*DiscreteStatsTable[Maximum]))</f>
        <v>8.7476494546828292</v>
      </c>
      <c r="V124" s="5" cm="1">
        <f t="array" ref="V124">IFERROR(AVERAGE(IF((DiscreteStatsTable[GroupByKey]=DiscreteStatsTable[[#This Row],[GroupByKey]]),(DiscreteStatsTable[GroupByKey]=DiscreteStatsTable[[#This Row],[GroupByKey]])*DiscreteStatsTable[NumberObservations])),0)</f>
        <v>3.62</v>
      </c>
      <c r="W124" s="5">
        <f>IF((DiscreteStatsTable[[#This Row],[RepsRequested]]&gt;1),DiscreteStatsTable[[#This Row],[HalfWidth]],DiscreteStatsTable[[#This Row],[BatchMeansHalfWidth]])</f>
        <v>0.33439837052280896</v>
      </c>
      <c r="X124" s="5" cm="1">
        <f t="array" ref="X124">COUNT(IF((DiscreteStatsTable[GroupByKey]=DiscreteStatsTable[[#This Row],[GroupByKey]]),(DiscreteStatsTable[GroupByKey]=DiscreteStatsTable[[#This Row],[GroupByKey]])*DiscreteStatsTable[Replication]))</f>
        <v>50</v>
      </c>
      <c r="Y124" s="5">
        <f>IF(DiscreteStatsTable[[#This Row],[RepsRequested]]=DiscreteStatsTable[[#This Row],[RepsWithStatObserved]],1,0)</f>
        <v>1</v>
      </c>
    </row>
    <row r="125" spans="1:25" x14ac:dyDescent="0.35">
      <c r="A125" t="s">
        <v>66</v>
      </c>
      <c r="B125" t="s">
        <v>69</v>
      </c>
      <c r="C125">
        <v>21</v>
      </c>
      <c r="D125" t="s">
        <v>70</v>
      </c>
      <c r="E125" t="s">
        <v>75</v>
      </c>
      <c r="F125" t="s">
        <v>72</v>
      </c>
      <c r="G125">
        <v>0</v>
      </c>
      <c r="H125">
        <v>2E+20</v>
      </c>
      <c r="I125">
        <v>0</v>
      </c>
      <c r="J125">
        <v>0</v>
      </c>
      <c r="K125">
        <v>3</v>
      </c>
      <c r="L125" s="5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125" s="5" cm="1">
        <f t="array" ref="M125">MAX(IF((ProjectInfoTable[ProjectName]=DiscreteStatsTable[[#This Row],[ProjectName]]),(ProjectInfoTable[ProjectName]=DiscreteStatsTable[[#This Row],[ProjectName]])*ProjectInfoTable[NumberOfReplications]))</f>
        <v>50</v>
      </c>
      <c r="N125" s="5" cm="1">
        <f t="array" ref="N125">IFERROR(AVERAGE(IF((DiscreteStatsTable[GroupByKey]=DiscreteStatsTable[[#This Row],[GroupByKey]]),(DiscreteStatsTable[GroupByKey]=DiscreteStatsTable[[#This Row],[GroupByKey]])*DiscreteStatsTable[Average])),0)</f>
        <v>0</v>
      </c>
      <c r="O125" s="5" cm="1">
        <f t="array" ref="O125">IFERROR(_xlfn.STDEV.S(IF((DiscreteStatsTable[GroupByKey]=DiscreteStatsTable[[#This Row],[GroupByKey]]),(DiscreteStatsTable[GroupByKey]=DiscreteStatsTable[[#This Row],[GroupByKey]])*DiscreteStatsTable[Average])),0)</f>
        <v>0</v>
      </c>
      <c r="P125" s="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 s="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" s="5" cm="1">
        <f t="array" ref="R125">MIN(IF((DiscreteStatsTable[GroupByKey]=DiscreteStatsTable[[#This Row],[GroupByKey]]),(DiscreteStatsTable[GroupByKey]=DiscreteStatsTable[[#This Row],[GroupByKey]])*DiscreteStatsTable[Average]))</f>
        <v>0</v>
      </c>
      <c r="S125" s="5" cm="1">
        <f t="array" ref="S125">MAX(IF((DiscreteStatsTable[GroupByKey]=DiscreteStatsTable[[#This Row],[GroupByKey]]),(DiscreteStatsTable[GroupByKey]=DiscreteStatsTable[[#This Row],[GroupByKey]])*DiscreteStatsTable[Average]))</f>
        <v>0</v>
      </c>
      <c r="T125" s="5" cm="1">
        <f t="array" ref="T125">MIN(IF((DiscreteStatsTable[GroupByKey]=DiscreteStatsTable[[#This Row],[GroupByKey]]),(DiscreteStatsTable[GroupByKey]=DiscreteStatsTable[[#This Row],[GroupByKey]])*DiscreteStatsTable[Minimum]))</f>
        <v>0</v>
      </c>
      <c r="U125" s="5" cm="1">
        <f t="array" ref="U125">MAX(IF((DiscreteStatsTable[GroupByKey]=DiscreteStatsTable[[#This Row],[GroupByKey]]),(DiscreteStatsTable[GroupByKey]=DiscreteStatsTable[[#This Row],[GroupByKey]])*DiscreteStatsTable[Maximum]))</f>
        <v>0</v>
      </c>
      <c r="V125" s="5" cm="1">
        <f t="array" ref="V125">IFERROR(AVERAGE(IF((DiscreteStatsTable[GroupByKey]=DiscreteStatsTable[[#This Row],[GroupByKey]]),(DiscreteStatsTable[GroupByKey]=DiscreteStatsTable[[#This Row],[GroupByKey]])*DiscreteStatsTable[NumberObservations])),0)</f>
        <v>3.62</v>
      </c>
      <c r="W125" s="5">
        <f>IF((DiscreteStatsTable[[#This Row],[RepsRequested]]&gt;1),DiscreteStatsTable[[#This Row],[HalfWidth]],DiscreteStatsTable[[#This Row],[BatchMeansHalfWidth]])</f>
        <v>0</v>
      </c>
      <c r="X125" s="5" cm="1">
        <f t="array" ref="X125">COUNT(IF((DiscreteStatsTable[GroupByKey]=DiscreteStatsTable[[#This Row],[GroupByKey]]),(DiscreteStatsTable[GroupByKey]=DiscreteStatsTable[[#This Row],[GroupByKey]])*DiscreteStatsTable[Replication]))</f>
        <v>50</v>
      </c>
      <c r="Y125" s="5">
        <f>IF(DiscreteStatsTable[[#This Row],[RepsRequested]]=DiscreteStatsTable[[#This Row],[RepsWithStatObserved]],1,0)</f>
        <v>1</v>
      </c>
    </row>
    <row r="126" spans="1:25" x14ac:dyDescent="0.35">
      <c r="A126" t="s">
        <v>66</v>
      </c>
      <c r="B126" t="s">
        <v>69</v>
      </c>
      <c r="C126">
        <v>21</v>
      </c>
      <c r="D126" t="s">
        <v>70</v>
      </c>
      <c r="E126" t="s">
        <v>76</v>
      </c>
      <c r="F126" t="s">
        <v>72</v>
      </c>
      <c r="G126">
        <v>2.9172233416282198</v>
      </c>
      <c r="H126">
        <v>2E+20</v>
      </c>
      <c r="I126">
        <v>2.6147589058817302</v>
      </c>
      <c r="J126">
        <v>3.3438725651846202</v>
      </c>
      <c r="K126">
        <v>3</v>
      </c>
      <c r="L126" s="5" t="str">
        <f>DiscreteStatsTable[[#This Row],[ProjectName]]&amp;DiscreteStatsTable[[#This Row],[Name]]&amp;DiscreteStatsTable[[#This Row],[Type]]&amp;DiscreteStatsTable[[#This Row],[Source]]</f>
        <v>Unnamed ProjectArquivosVA TimeEntity</v>
      </c>
      <c r="M126" s="5" cm="1">
        <f t="array" ref="M126">MAX(IF((ProjectInfoTable[ProjectName]=DiscreteStatsTable[[#This Row],[ProjectName]]),(ProjectInfoTable[ProjectName]=DiscreteStatsTable[[#This Row],[ProjectName]])*ProjectInfoTable[NumberOfReplications]))</f>
        <v>50</v>
      </c>
      <c r="N126" s="5" cm="1">
        <f t="array" ref="N126">IFERROR(AVERAGE(IF((DiscreteStatsTable[GroupByKey]=DiscreteStatsTable[[#This Row],[GroupByKey]]),(DiscreteStatsTable[GroupByKey]=DiscreteStatsTable[[#This Row],[GroupByKey]])*DiscreteStatsTable[Average])),0)</f>
        <v>2.3123810058270009</v>
      </c>
      <c r="O126" s="5" cm="1">
        <f t="array" ref="O126">IFERROR(_xlfn.STDEV.S(IF((DiscreteStatsTable[GroupByKey]=DiscreteStatsTable[[#This Row],[GroupByKey]]),(DiscreteStatsTable[GroupByKey]=DiscreteStatsTable[[#This Row],[GroupByKey]])*DiscreteStatsTable[Average])),0)</f>
        <v>0.47735516285795621</v>
      </c>
      <c r="P126" s="5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 s="5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0.13566283623888314</v>
      </c>
      <c r="R126" s="5" cm="1">
        <f t="array" ref="R126">MIN(IF((DiscreteStatsTable[GroupByKey]=DiscreteStatsTable[[#This Row],[GroupByKey]]),(DiscreteStatsTable[GroupByKey]=DiscreteStatsTable[[#This Row],[GroupByKey]])*DiscreteStatsTable[Average]))</f>
        <v>1.3773415743205399</v>
      </c>
      <c r="S126" s="5" cm="1">
        <f t="array" ref="S126">MAX(IF((DiscreteStatsTable[GroupByKey]=DiscreteStatsTable[[#This Row],[GroupByKey]]),(DiscreteStatsTable[GroupByKey]=DiscreteStatsTable[[#This Row],[GroupByKey]])*DiscreteStatsTable[Average]))</f>
        <v>3.3139161730180202</v>
      </c>
      <c r="T126" s="5" cm="1">
        <f t="array" ref="T126">MIN(IF((DiscreteStatsTable[GroupByKey]=DiscreteStatsTable[[#This Row],[GroupByKey]]),(DiscreteStatsTable[GroupByKey]=DiscreteStatsTable[[#This Row],[GroupByKey]])*DiscreteStatsTable[Minimum]))</f>
        <v>0.58847912081681497</v>
      </c>
      <c r="U126" s="5" cm="1">
        <f t="array" ref="U126">MAX(IF((DiscreteStatsTable[GroupByKey]=DiscreteStatsTable[[#This Row],[GroupByKey]]),(DiscreteStatsTable[GroupByKey]=DiscreteStatsTable[[#This Row],[GroupByKey]])*DiscreteStatsTable[Maximum]))</f>
        <v>4.9756405925629998</v>
      </c>
      <c r="V126" s="5" cm="1">
        <f t="array" ref="V126">IFERROR(AVERAGE(IF((DiscreteStatsTable[GroupByKey]=DiscreteStatsTable[[#This Row],[GroupByKey]]),(DiscreteStatsTable[GroupByKey]=DiscreteStatsTable[[#This Row],[GroupByKey]])*DiscreteStatsTable[NumberObservations])),0)</f>
        <v>3.62</v>
      </c>
      <c r="W126" s="5">
        <f>IF((DiscreteStatsTable[[#This Row],[RepsRequested]]&gt;1),DiscreteStatsTable[[#This Row],[HalfWidth]],DiscreteStatsTable[[#This Row],[BatchMeansHalfWidth]])</f>
        <v>0.13566283623888314</v>
      </c>
      <c r="X126" s="5" cm="1">
        <f t="array" ref="X126">COUNT(IF((DiscreteStatsTable[GroupByKey]=DiscreteStatsTable[[#This Row],[GroupByKey]]),(DiscreteStatsTable[GroupByKey]=DiscreteStatsTable[[#This Row],[GroupByKey]])*DiscreteStatsTable[Replication]))</f>
        <v>50</v>
      </c>
      <c r="Y126" s="5">
        <f>IF(DiscreteStatsTable[[#This Row],[RepsRequested]]=DiscreteStatsTable[[#This Row],[RepsWithStatObserved]],1,0)</f>
        <v>1</v>
      </c>
    </row>
    <row r="127" spans="1:25" x14ac:dyDescent="0.35">
      <c r="A127" t="s">
        <v>66</v>
      </c>
      <c r="B127" t="s">
        <v>69</v>
      </c>
      <c r="C127">
        <v>21</v>
      </c>
      <c r="D127" t="s">
        <v>70</v>
      </c>
      <c r="E127" t="s">
        <v>77</v>
      </c>
      <c r="F127" t="s">
        <v>72</v>
      </c>
      <c r="G127">
        <v>8.0633692908153698E-2</v>
      </c>
      <c r="H127">
        <v>2E+20</v>
      </c>
      <c r="I127">
        <v>0</v>
      </c>
      <c r="J127">
        <v>0.24190107872446101</v>
      </c>
      <c r="K127">
        <v>3</v>
      </c>
      <c r="L127" s="5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127" s="5" cm="1">
        <f t="array" ref="M127">MAX(IF((ProjectInfoTable[ProjectName]=DiscreteStatsTable[[#This Row],[ProjectName]]),(ProjectInfoTable[ProjectName]=DiscreteStatsTable[[#This Row],[ProjectName]])*ProjectInfoTable[NumberOfReplications]))</f>
        <v>50</v>
      </c>
      <c r="N127" s="5" cm="1">
        <f t="array" ref="N127">IFERROR(AVERAGE(IF((DiscreteStatsTable[GroupByKey]=DiscreteStatsTable[[#This Row],[GroupByKey]]),(DiscreteStatsTable[GroupByKey]=DiscreteStatsTable[[#This Row],[GroupByKey]])*DiscreteStatsTable[Average])),0)</f>
        <v>1.2240084441262762</v>
      </c>
      <c r="O127" s="5" cm="1">
        <f t="array" ref="O127">IFERROR(_xlfn.STDEV.S(IF((DiscreteStatsTable[GroupByKey]=DiscreteStatsTable[[#This Row],[GroupByKey]]),(DiscreteStatsTable[GroupByKey]=DiscreteStatsTable[[#This Row],[GroupByKey]])*DiscreteStatsTable[Average])),0)</f>
        <v>0.89867905452837749</v>
      </c>
      <c r="P127" s="5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 s="5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0.2554017613968404</v>
      </c>
      <c r="R127" s="5" cm="1">
        <f t="array" ref="R127">MIN(IF((DiscreteStatsTable[GroupByKey]=DiscreteStatsTable[[#This Row],[GroupByKey]]),(DiscreteStatsTable[GroupByKey]=DiscreteStatsTable[[#This Row],[GroupByKey]])*DiscreteStatsTable[Average]))</f>
        <v>0</v>
      </c>
      <c r="S127" s="5" cm="1">
        <f t="array" ref="S127">MAX(IF((DiscreteStatsTable[GroupByKey]=DiscreteStatsTable[[#This Row],[GroupByKey]]),(DiscreteStatsTable[GroupByKey]=DiscreteStatsTable[[#This Row],[GroupByKey]])*DiscreteStatsTable[Average]))</f>
        <v>3.4345522286517598</v>
      </c>
      <c r="T127" s="5" cm="1">
        <f t="array" ref="T127">MIN(IF((DiscreteStatsTable[GroupByKey]=DiscreteStatsTable[[#This Row],[GroupByKey]]),(DiscreteStatsTable[GroupByKey]=DiscreteStatsTable[[#This Row],[GroupByKey]])*DiscreteStatsTable[Minimum]))</f>
        <v>0</v>
      </c>
      <c r="U127" s="5" cm="1">
        <f t="array" ref="U127">MAX(IF((DiscreteStatsTable[GroupByKey]=DiscreteStatsTable[[#This Row],[GroupByKey]]),(DiscreteStatsTable[GroupByKey]=DiscreteStatsTable[[#This Row],[GroupByKey]])*DiscreteStatsTable[Maximum]))</f>
        <v>6.7563093676697896</v>
      </c>
      <c r="V127" s="5" cm="1">
        <f t="array" ref="V127">IFERROR(AVERAGE(IF((DiscreteStatsTable[GroupByKey]=DiscreteStatsTable[[#This Row],[GroupByKey]]),(DiscreteStatsTable[GroupByKey]=DiscreteStatsTable[[#This Row],[GroupByKey]])*DiscreteStatsTable[NumberObservations])),0)</f>
        <v>3.62</v>
      </c>
      <c r="W127" s="5">
        <f>IF((DiscreteStatsTable[[#This Row],[RepsRequested]]&gt;1),DiscreteStatsTable[[#This Row],[HalfWidth]],DiscreteStatsTable[[#This Row],[BatchMeansHalfWidth]])</f>
        <v>0.2554017613968404</v>
      </c>
      <c r="X127" s="5" cm="1">
        <f t="array" ref="X127">COUNT(IF((DiscreteStatsTable[GroupByKey]=DiscreteStatsTable[[#This Row],[GroupByKey]]),(DiscreteStatsTable[GroupByKey]=DiscreteStatsTable[[#This Row],[GroupByKey]])*DiscreteStatsTable[Replication]))</f>
        <v>50</v>
      </c>
      <c r="Y127" s="5">
        <f>IF(DiscreteStatsTable[[#This Row],[RepsRequested]]=DiscreteStatsTable[[#This Row],[RepsWithStatObserved]],1,0)</f>
        <v>1</v>
      </c>
    </row>
    <row r="128" spans="1:25" x14ac:dyDescent="0.35">
      <c r="A128" t="s">
        <v>66</v>
      </c>
      <c r="B128" t="s">
        <v>69</v>
      </c>
      <c r="C128">
        <v>22</v>
      </c>
      <c r="D128" t="s">
        <v>70</v>
      </c>
      <c r="E128" t="s">
        <v>71</v>
      </c>
      <c r="F128" t="s">
        <v>72</v>
      </c>
      <c r="G128">
        <v>0</v>
      </c>
      <c r="H128">
        <v>2E+20</v>
      </c>
      <c r="I128">
        <v>0</v>
      </c>
      <c r="J128">
        <v>0</v>
      </c>
      <c r="K128">
        <v>3</v>
      </c>
      <c r="L128" s="5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128" s="5" cm="1">
        <f t="array" ref="M128">MAX(IF((ProjectInfoTable[ProjectName]=DiscreteStatsTable[[#This Row],[ProjectName]]),(ProjectInfoTable[ProjectName]=DiscreteStatsTable[[#This Row],[ProjectName]])*ProjectInfoTable[NumberOfReplications]))</f>
        <v>50</v>
      </c>
      <c r="N128" s="5" cm="1">
        <f t="array" ref="N128">IFERROR(AVERAGE(IF((DiscreteStatsTable[GroupByKey]=DiscreteStatsTable[[#This Row],[GroupByKey]]),(DiscreteStatsTable[GroupByKey]=DiscreteStatsTable[[#This Row],[GroupByKey]])*DiscreteStatsTable[Average])),0)</f>
        <v>0</v>
      </c>
      <c r="O128" s="5" cm="1">
        <f t="array" ref="O128">IFERROR(_xlfn.STDEV.S(IF((DiscreteStatsTable[GroupByKey]=DiscreteStatsTable[[#This Row],[GroupByKey]]),(DiscreteStatsTable[GroupByKey]=DiscreteStatsTable[[#This Row],[GroupByKey]])*DiscreteStatsTable[Average])),0)</f>
        <v>0</v>
      </c>
      <c r="P128" s="5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 s="5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" s="5" cm="1">
        <f t="array" ref="R128">MIN(IF((DiscreteStatsTable[GroupByKey]=DiscreteStatsTable[[#This Row],[GroupByKey]]),(DiscreteStatsTable[GroupByKey]=DiscreteStatsTable[[#This Row],[GroupByKey]])*DiscreteStatsTable[Average]))</f>
        <v>0</v>
      </c>
      <c r="S128" s="5" cm="1">
        <f t="array" ref="S128">MAX(IF((DiscreteStatsTable[GroupByKey]=DiscreteStatsTable[[#This Row],[GroupByKey]]),(DiscreteStatsTable[GroupByKey]=DiscreteStatsTable[[#This Row],[GroupByKey]])*DiscreteStatsTable[Average]))</f>
        <v>0</v>
      </c>
      <c r="T128" s="5" cm="1">
        <f t="array" ref="T128">MIN(IF((DiscreteStatsTable[GroupByKey]=DiscreteStatsTable[[#This Row],[GroupByKey]]),(DiscreteStatsTable[GroupByKey]=DiscreteStatsTable[[#This Row],[GroupByKey]])*DiscreteStatsTable[Minimum]))</f>
        <v>0</v>
      </c>
      <c r="U128" s="5" cm="1">
        <f t="array" ref="U128">MAX(IF((DiscreteStatsTable[GroupByKey]=DiscreteStatsTable[[#This Row],[GroupByKey]]),(DiscreteStatsTable[GroupByKey]=DiscreteStatsTable[[#This Row],[GroupByKey]])*DiscreteStatsTable[Maximum]))</f>
        <v>0</v>
      </c>
      <c r="V128" s="5" cm="1">
        <f t="array" ref="V128">IFERROR(AVERAGE(IF((DiscreteStatsTable[GroupByKey]=DiscreteStatsTable[[#This Row],[GroupByKey]]),(DiscreteStatsTable[GroupByKey]=DiscreteStatsTable[[#This Row],[GroupByKey]])*DiscreteStatsTable[NumberObservations])),0)</f>
        <v>3.62</v>
      </c>
      <c r="W128" s="5">
        <f>IF((DiscreteStatsTable[[#This Row],[RepsRequested]]&gt;1),DiscreteStatsTable[[#This Row],[HalfWidth]],DiscreteStatsTable[[#This Row],[BatchMeansHalfWidth]])</f>
        <v>0</v>
      </c>
      <c r="X128" s="5" cm="1">
        <f t="array" ref="X128">COUNT(IF((DiscreteStatsTable[GroupByKey]=DiscreteStatsTable[[#This Row],[GroupByKey]]),(DiscreteStatsTable[GroupByKey]=DiscreteStatsTable[[#This Row],[GroupByKey]])*DiscreteStatsTable[Replication]))</f>
        <v>50</v>
      </c>
      <c r="Y128" s="5">
        <f>IF(DiscreteStatsTable[[#This Row],[RepsRequested]]=DiscreteStatsTable[[#This Row],[RepsWithStatObserved]],1,0)</f>
        <v>1</v>
      </c>
    </row>
    <row r="129" spans="1:25" x14ac:dyDescent="0.35">
      <c r="A129" t="s">
        <v>66</v>
      </c>
      <c r="B129" t="s">
        <v>69</v>
      </c>
      <c r="C129">
        <v>22</v>
      </c>
      <c r="D129" t="s">
        <v>70</v>
      </c>
      <c r="E129" t="s">
        <v>73</v>
      </c>
      <c r="F129" t="s">
        <v>72</v>
      </c>
      <c r="G129">
        <v>0</v>
      </c>
      <c r="H129">
        <v>2E+20</v>
      </c>
      <c r="I129">
        <v>0</v>
      </c>
      <c r="J129">
        <v>0</v>
      </c>
      <c r="K129">
        <v>3</v>
      </c>
      <c r="L129" s="5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129" s="5" cm="1">
        <f t="array" ref="M129">MAX(IF((ProjectInfoTable[ProjectName]=DiscreteStatsTable[[#This Row],[ProjectName]]),(ProjectInfoTable[ProjectName]=DiscreteStatsTable[[#This Row],[ProjectName]])*ProjectInfoTable[NumberOfReplications]))</f>
        <v>50</v>
      </c>
      <c r="N129" s="5" cm="1">
        <f t="array" ref="N129">IFERROR(AVERAGE(IF((DiscreteStatsTable[GroupByKey]=DiscreteStatsTable[[#This Row],[GroupByKey]]),(DiscreteStatsTable[GroupByKey]=DiscreteStatsTable[[#This Row],[GroupByKey]])*DiscreteStatsTable[Average])),0)</f>
        <v>0</v>
      </c>
      <c r="O129" s="5" cm="1">
        <f t="array" ref="O129">IFERROR(_xlfn.STDEV.S(IF((DiscreteStatsTable[GroupByKey]=DiscreteStatsTable[[#This Row],[GroupByKey]]),(DiscreteStatsTable[GroupByKey]=DiscreteStatsTable[[#This Row],[GroupByKey]])*DiscreteStatsTable[Average])),0)</f>
        <v>0</v>
      </c>
      <c r="P129" s="5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 s="5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" s="5" cm="1">
        <f t="array" ref="R129">MIN(IF((DiscreteStatsTable[GroupByKey]=DiscreteStatsTable[[#This Row],[GroupByKey]]),(DiscreteStatsTable[GroupByKey]=DiscreteStatsTable[[#This Row],[GroupByKey]])*DiscreteStatsTable[Average]))</f>
        <v>0</v>
      </c>
      <c r="S129" s="5" cm="1">
        <f t="array" ref="S129">MAX(IF((DiscreteStatsTable[GroupByKey]=DiscreteStatsTable[[#This Row],[GroupByKey]]),(DiscreteStatsTable[GroupByKey]=DiscreteStatsTable[[#This Row],[GroupByKey]])*DiscreteStatsTable[Average]))</f>
        <v>0</v>
      </c>
      <c r="T129" s="5" cm="1">
        <f t="array" ref="T129">MIN(IF((DiscreteStatsTable[GroupByKey]=DiscreteStatsTable[[#This Row],[GroupByKey]]),(DiscreteStatsTable[GroupByKey]=DiscreteStatsTable[[#This Row],[GroupByKey]])*DiscreteStatsTable[Minimum]))</f>
        <v>0</v>
      </c>
      <c r="U129" s="5" cm="1">
        <f t="array" ref="U129">MAX(IF((DiscreteStatsTable[GroupByKey]=DiscreteStatsTable[[#This Row],[GroupByKey]]),(DiscreteStatsTable[GroupByKey]=DiscreteStatsTable[[#This Row],[GroupByKey]])*DiscreteStatsTable[Maximum]))</f>
        <v>0</v>
      </c>
      <c r="V129" s="5" cm="1">
        <f t="array" ref="V129">IFERROR(AVERAGE(IF((DiscreteStatsTable[GroupByKey]=DiscreteStatsTable[[#This Row],[GroupByKey]]),(DiscreteStatsTable[GroupByKey]=DiscreteStatsTable[[#This Row],[GroupByKey]])*DiscreteStatsTable[NumberObservations])),0)</f>
        <v>3.62</v>
      </c>
      <c r="W129" s="5">
        <f>IF((DiscreteStatsTable[[#This Row],[RepsRequested]]&gt;1),DiscreteStatsTable[[#This Row],[HalfWidth]],DiscreteStatsTable[[#This Row],[BatchMeansHalfWidth]])</f>
        <v>0</v>
      </c>
      <c r="X129" s="5" cm="1">
        <f t="array" ref="X129">COUNT(IF((DiscreteStatsTable[GroupByKey]=DiscreteStatsTable[[#This Row],[GroupByKey]]),(DiscreteStatsTable[GroupByKey]=DiscreteStatsTable[[#This Row],[GroupByKey]])*DiscreteStatsTable[Replication]))</f>
        <v>50</v>
      </c>
      <c r="Y129" s="5">
        <f>IF(DiscreteStatsTable[[#This Row],[RepsRequested]]=DiscreteStatsTable[[#This Row],[RepsWithStatObserved]],1,0)</f>
        <v>1</v>
      </c>
    </row>
    <row r="130" spans="1:25" x14ac:dyDescent="0.35">
      <c r="A130" t="s">
        <v>66</v>
      </c>
      <c r="B130" t="s">
        <v>69</v>
      </c>
      <c r="C130">
        <v>22</v>
      </c>
      <c r="D130" t="s">
        <v>70</v>
      </c>
      <c r="E130" t="s">
        <v>74</v>
      </c>
      <c r="F130" t="s">
        <v>72</v>
      </c>
      <c r="G130">
        <v>2.2294111681228501</v>
      </c>
      <c r="H130">
        <v>2E+20</v>
      </c>
      <c r="I130">
        <v>1.9815962162685401</v>
      </c>
      <c r="J130">
        <v>2.4133503410527202</v>
      </c>
      <c r="K130">
        <v>3</v>
      </c>
      <c r="L130" s="5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130" s="5" cm="1">
        <f t="array" ref="M130">MAX(IF((ProjectInfoTable[ProjectName]=DiscreteStatsTable[[#This Row],[ProjectName]]),(ProjectInfoTable[ProjectName]=DiscreteStatsTable[[#This Row],[ProjectName]])*ProjectInfoTable[NumberOfReplications]))</f>
        <v>50</v>
      </c>
      <c r="N130" s="5" cm="1">
        <f t="array" ref="N130">IFERROR(AVERAGE(IF((DiscreteStatsTable[GroupByKey]=DiscreteStatsTable[[#This Row],[GroupByKey]]),(DiscreteStatsTable[GroupByKey]=DiscreteStatsTable[[#This Row],[GroupByKey]])*DiscreteStatsTable[Average])),0)</f>
        <v>3.5363894499532775</v>
      </c>
      <c r="O130" s="5" cm="1">
        <f t="array" ref="O130">IFERROR(_xlfn.STDEV.S(IF((DiscreteStatsTable[GroupByKey]=DiscreteStatsTable[[#This Row],[GroupByKey]]),(DiscreteStatsTable[GroupByKey]=DiscreteStatsTable[[#This Row],[GroupByKey]])*DiscreteStatsTable[Average])),0)</f>
        <v>1.1766434570133149</v>
      </c>
      <c r="P130" s="5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 s="5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0.33439837052280896</v>
      </c>
      <c r="R130" s="5" cm="1">
        <f t="array" ref="R130">MIN(IF((DiscreteStatsTable[GroupByKey]=DiscreteStatsTable[[#This Row],[GroupByKey]]),(DiscreteStatsTable[GroupByKey]=DiscreteStatsTable[[#This Row],[GroupByKey]])*DiscreteStatsTable[Average]))</f>
        <v>1.6342264652107701</v>
      </c>
      <c r="S130" s="5" cm="1">
        <f t="array" ref="S130">MAX(IF((DiscreteStatsTable[GroupByKey]=DiscreteStatsTable[[#This Row],[GroupByKey]]),(DiscreteStatsTable[GroupByKey]=DiscreteStatsTable[[#This Row],[GroupByKey]])*DiscreteStatsTable[Average]))</f>
        <v>6.5527373550837904</v>
      </c>
      <c r="T130" s="5" cm="1">
        <f t="array" ref="T130">MIN(IF((DiscreteStatsTable[GroupByKey]=DiscreteStatsTable[[#This Row],[GroupByKey]]),(DiscreteStatsTable[GroupByKey]=DiscreteStatsTable[[#This Row],[GroupByKey]])*DiscreteStatsTable[Minimum]))</f>
        <v>0.58847912081681497</v>
      </c>
      <c r="U130" s="5" cm="1">
        <f t="array" ref="U130">MAX(IF((DiscreteStatsTable[GroupByKey]=DiscreteStatsTable[[#This Row],[GroupByKey]]),(DiscreteStatsTable[GroupByKey]=DiscreteStatsTable[[#This Row],[GroupByKey]])*DiscreteStatsTable[Maximum]))</f>
        <v>8.7476494546828292</v>
      </c>
      <c r="V130" s="5" cm="1">
        <f t="array" ref="V130">IFERROR(AVERAGE(IF((DiscreteStatsTable[GroupByKey]=DiscreteStatsTable[[#This Row],[GroupByKey]]),(DiscreteStatsTable[GroupByKey]=DiscreteStatsTable[[#This Row],[GroupByKey]])*DiscreteStatsTable[NumberObservations])),0)</f>
        <v>3.62</v>
      </c>
      <c r="W130" s="5">
        <f>IF((DiscreteStatsTable[[#This Row],[RepsRequested]]&gt;1),DiscreteStatsTable[[#This Row],[HalfWidth]],DiscreteStatsTable[[#This Row],[BatchMeansHalfWidth]])</f>
        <v>0.33439837052280896</v>
      </c>
      <c r="X130" s="5" cm="1">
        <f t="array" ref="X130">COUNT(IF((DiscreteStatsTable[GroupByKey]=DiscreteStatsTable[[#This Row],[GroupByKey]]),(DiscreteStatsTable[GroupByKey]=DiscreteStatsTable[[#This Row],[GroupByKey]])*DiscreteStatsTable[Replication]))</f>
        <v>50</v>
      </c>
      <c r="Y130" s="5">
        <f>IF(DiscreteStatsTable[[#This Row],[RepsRequested]]=DiscreteStatsTable[[#This Row],[RepsWithStatObserved]],1,0)</f>
        <v>1</v>
      </c>
    </row>
    <row r="131" spans="1:25" x14ac:dyDescent="0.35">
      <c r="A131" t="s">
        <v>66</v>
      </c>
      <c r="B131" t="s">
        <v>69</v>
      </c>
      <c r="C131">
        <v>22</v>
      </c>
      <c r="D131" t="s">
        <v>70</v>
      </c>
      <c r="E131" t="s">
        <v>75</v>
      </c>
      <c r="F131" t="s">
        <v>72</v>
      </c>
      <c r="G131">
        <v>0</v>
      </c>
      <c r="H131">
        <v>2E+20</v>
      </c>
      <c r="I131">
        <v>0</v>
      </c>
      <c r="J131">
        <v>0</v>
      </c>
      <c r="K131">
        <v>3</v>
      </c>
      <c r="L131" s="5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131" s="5" cm="1">
        <f t="array" ref="M131">MAX(IF((ProjectInfoTable[ProjectName]=DiscreteStatsTable[[#This Row],[ProjectName]]),(ProjectInfoTable[ProjectName]=DiscreteStatsTable[[#This Row],[ProjectName]])*ProjectInfoTable[NumberOfReplications]))</f>
        <v>50</v>
      </c>
      <c r="N131" s="5" cm="1">
        <f t="array" ref="N131">IFERROR(AVERAGE(IF((DiscreteStatsTable[GroupByKey]=DiscreteStatsTable[[#This Row],[GroupByKey]]),(DiscreteStatsTable[GroupByKey]=DiscreteStatsTable[[#This Row],[GroupByKey]])*DiscreteStatsTable[Average])),0)</f>
        <v>0</v>
      </c>
      <c r="O131" s="5" cm="1">
        <f t="array" ref="O131">IFERROR(_xlfn.STDEV.S(IF((DiscreteStatsTable[GroupByKey]=DiscreteStatsTable[[#This Row],[GroupByKey]]),(DiscreteStatsTable[GroupByKey]=DiscreteStatsTable[[#This Row],[GroupByKey]])*DiscreteStatsTable[Average])),0)</f>
        <v>0</v>
      </c>
      <c r="P131" s="5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 s="5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" s="5" cm="1">
        <f t="array" ref="R131">MIN(IF((DiscreteStatsTable[GroupByKey]=DiscreteStatsTable[[#This Row],[GroupByKey]]),(DiscreteStatsTable[GroupByKey]=DiscreteStatsTable[[#This Row],[GroupByKey]])*DiscreteStatsTable[Average]))</f>
        <v>0</v>
      </c>
      <c r="S131" s="5" cm="1">
        <f t="array" ref="S131">MAX(IF((DiscreteStatsTable[GroupByKey]=DiscreteStatsTable[[#This Row],[GroupByKey]]),(DiscreteStatsTable[GroupByKey]=DiscreteStatsTable[[#This Row],[GroupByKey]])*DiscreteStatsTable[Average]))</f>
        <v>0</v>
      </c>
      <c r="T131" s="5" cm="1">
        <f t="array" ref="T131">MIN(IF((DiscreteStatsTable[GroupByKey]=DiscreteStatsTable[[#This Row],[GroupByKey]]),(DiscreteStatsTable[GroupByKey]=DiscreteStatsTable[[#This Row],[GroupByKey]])*DiscreteStatsTable[Minimum]))</f>
        <v>0</v>
      </c>
      <c r="U131" s="5" cm="1">
        <f t="array" ref="U131">MAX(IF((DiscreteStatsTable[GroupByKey]=DiscreteStatsTable[[#This Row],[GroupByKey]]),(DiscreteStatsTable[GroupByKey]=DiscreteStatsTable[[#This Row],[GroupByKey]])*DiscreteStatsTable[Maximum]))</f>
        <v>0</v>
      </c>
      <c r="V131" s="5" cm="1">
        <f t="array" ref="V131">IFERROR(AVERAGE(IF((DiscreteStatsTable[GroupByKey]=DiscreteStatsTable[[#This Row],[GroupByKey]]),(DiscreteStatsTable[GroupByKey]=DiscreteStatsTable[[#This Row],[GroupByKey]])*DiscreteStatsTable[NumberObservations])),0)</f>
        <v>3.62</v>
      </c>
      <c r="W131" s="5">
        <f>IF((DiscreteStatsTable[[#This Row],[RepsRequested]]&gt;1),DiscreteStatsTable[[#This Row],[HalfWidth]],DiscreteStatsTable[[#This Row],[BatchMeansHalfWidth]])</f>
        <v>0</v>
      </c>
      <c r="X131" s="5" cm="1">
        <f t="array" ref="X131">COUNT(IF((DiscreteStatsTable[GroupByKey]=DiscreteStatsTable[[#This Row],[GroupByKey]]),(DiscreteStatsTable[GroupByKey]=DiscreteStatsTable[[#This Row],[GroupByKey]])*DiscreteStatsTable[Replication]))</f>
        <v>50</v>
      </c>
      <c r="Y131" s="5">
        <f>IF(DiscreteStatsTable[[#This Row],[RepsRequested]]=DiscreteStatsTable[[#This Row],[RepsWithStatObserved]],1,0)</f>
        <v>1</v>
      </c>
    </row>
    <row r="132" spans="1:25" x14ac:dyDescent="0.35">
      <c r="A132" t="s">
        <v>66</v>
      </c>
      <c r="B132" t="s">
        <v>69</v>
      </c>
      <c r="C132">
        <v>22</v>
      </c>
      <c r="D132" t="s">
        <v>70</v>
      </c>
      <c r="E132" t="s">
        <v>76</v>
      </c>
      <c r="F132" t="s">
        <v>72</v>
      </c>
      <c r="G132">
        <v>2.2294111681228501</v>
      </c>
      <c r="H132">
        <v>2E+20</v>
      </c>
      <c r="I132">
        <v>1.9815962162685401</v>
      </c>
      <c r="J132">
        <v>2.4133503410527202</v>
      </c>
      <c r="K132">
        <v>3</v>
      </c>
      <c r="L132" s="5" t="str">
        <f>DiscreteStatsTable[[#This Row],[ProjectName]]&amp;DiscreteStatsTable[[#This Row],[Name]]&amp;DiscreteStatsTable[[#This Row],[Type]]&amp;DiscreteStatsTable[[#This Row],[Source]]</f>
        <v>Unnamed ProjectArquivosVA TimeEntity</v>
      </c>
      <c r="M132" s="5" cm="1">
        <f t="array" ref="M132">MAX(IF((ProjectInfoTable[ProjectName]=DiscreteStatsTable[[#This Row],[ProjectName]]),(ProjectInfoTable[ProjectName]=DiscreteStatsTable[[#This Row],[ProjectName]])*ProjectInfoTable[NumberOfReplications]))</f>
        <v>50</v>
      </c>
      <c r="N132" s="5" cm="1">
        <f t="array" ref="N132">IFERROR(AVERAGE(IF((DiscreteStatsTable[GroupByKey]=DiscreteStatsTable[[#This Row],[GroupByKey]]),(DiscreteStatsTable[GroupByKey]=DiscreteStatsTable[[#This Row],[GroupByKey]])*DiscreteStatsTable[Average])),0)</f>
        <v>2.3123810058270009</v>
      </c>
      <c r="O132" s="5" cm="1">
        <f t="array" ref="O132">IFERROR(_xlfn.STDEV.S(IF((DiscreteStatsTable[GroupByKey]=DiscreteStatsTable[[#This Row],[GroupByKey]]),(DiscreteStatsTable[GroupByKey]=DiscreteStatsTable[[#This Row],[GroupByKey]])*DiscreteStatsTable[Average])),0)</f>
        <v>0.47735516285795621</v>
      </c>
      <c r="P132" s="5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 s="5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0.13566283623888314</v>
      </c>
      <c r="R132" s="5" cm="1">
        <f t="array" ref="R132">MIN(IF((DiscreteStatsTable[GroupByKey]=DiscreteStatsTable[[#This Row],[GroupByKey]]),(DiscreteStatsTable[GroupByKey]=DiscreteStatsTable[[#This Row],[GroupByKey]])*DiscreteStatsTable[Average]))</f>
        <v>1.3773415743205399</v>
      </c>
      <c r="S132" s="5" cm="1">
        <f t="array" ref="S132">MAX(IF((DiscreteStatsTable[GroupByKey]=DiscreteStatsTable[[#This Row],[GroupByKey]]),(DiscreteStatsTable[GroupByKey]=DiscreteStatsTable[[#This Row],[GroupByKey]])*DiscreteStatsTable[Average]))</f>
        <v>3.3139161730180202</v>
      </c>
      <c r="T132" s="5" cm="1">
        <f t="array" ref="T132">MIN(IF((DiscreteStatsTable[GroupByKey]=DiscreteStatsTable[[#This Row],[GroupByKey]]),(DiscreteStatsTable[GroupByKey]=DiscreteStatsTable[[#This Row],[GroupByKey]])*DiscreteStatsTable[Minimum]))</f>
        <v>0.58847912081681497</v>
      </c>
      <c r="U132" s="5" cm="1">
        <f t="array" ref="U132">MAX(IF((DiscreteStatsTable[GroupByKey]=DiscreteStatsTable[[#This Row],[GroupByKey]]),(DiscreteStatsTable[GroupByKey]=DiscreteStatsTable[[#This Row],[GroupByKey]])*DiscreteStatsTable[Maximum]))</f>
        <v>4.9756405925629998</v>
      </c>
      <c r="V132" s="5" cm="1">
        <f t="array" ref="V132">IFERROR(AVERAGE(IF((DiscreteStatsTable[GroupByKey]=DiscreteStatsTable[[#This Row],[GroupByKey]]),(DiscreteStatsTable[GroupByKey]=DiscreteStatsTable[[#This Row],[GroupByKey]])*DiscreteStatsTable[NumberObservations])),0)</f>
        <v>3.62</v>
      </c>
      <c r="W132" s="5">
        <f>IF((DiscreteStatsTable[[#This Row],[RepsRequested]]&gt;1),DiscreteStatsTable[[#This Row],[HalfWidth]],DiscreteStatsTable[[#This Row],[BatchMeansHalfWidth]])</f>
        <v>0.13566283623888314</v>
      </c>
      <c r="X132" s="5" cm="1">
        <f t="array" ref="X132">COUNT(IF((DiscreteStatsTable[GroupByKey]=DiscreteStatsTable[[#This Row],[GroupByKey]]),(DiscreteStatsTable[GroupByKey]=DiscreteStatsTable[[#This Row],[GroupByKey]])*DiscreteStatsTable[Replication]))</f>
        <v>50</v>
      </c>
      <c r="Y132" s="5">
        <f>IF(DiscreteStatsTable[[#This Row],[RepsRequested]]=DiscreteStatsTable[[#This Row],[RepsWithStatObserved]],1,0)</f>
        <v>1</v>
      </c>
    </row>
    <row r="133" spans="1:25" x14ac:dyDescent="0.35">
      <c r="A133" t="s">
        <v>66</v>
      </c>
      <c r="B133" t="s">
        <v>69</v>
      </c>
      <c r="C133">
        <v>22</v>
      </c>
      <c r="D133" t="s">
        <v>70</v>
      </c>
      <c r="E133" t="s">
        <v>77</v>
      </c>
      <c r="F133" t="s">
        <v>72</v>
      </c>
      <c r="G133">
        <v>0</v>
      </c>
      <c r="H133">
        <v>2E+20</v>
      </c>
      <c r="I133">
        <v>0</v>
      </c>
      <c r="J133">
        <v>0</v>
      </c>
      <c r="K133">
        <v>3</v>
      </c>
      <c r="L133" s="5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133" s="5" cm="1">
        <f t="array" ref="M133">MAX(IF((ProjectInfoTable[ProjectName]=DiscreteStatsTable[[#This Row],[ProjectName]]),(ProjectInfoTable[ProjectName]=DiscreteStatsTable[[#This Row],[ProjectName]])*ProjectInfoTable[NumberOfReplications]))</f>
        <v>50</v>
      </c>
      <c r="N133" s="5" cm="1">
        <f t="array" ref="N133">IFERROR(AVERAGE(IF((DiscreteStatsTable[GroupByKey]=DiscreteStatsTable[[#This Row],[GroupByKey]]),(DiscreteStatsTable[GroupByKey]=DiscreteStatsTable[[#This Row],[GroupByKey]])*DiscreteStatsTable[Average])),0)</f>
        <v>1.2240084441262762</v>
      </c>
      <c r="O133" s="5" cm="1">
        <f t="array" ref="O133">IFERROR(_xlfn.STDEV.S(IF((DiscreteStatsTable[GroupByKey]=DiscreteStatsTable[[#This Row],[GroupByKey]]),(DiscreteStatsTable[GroupByKey]=DiscreteStatsTable[[#This Row],[GroupByKey]])*DiscreteStatsTable[Average])),0)</f>
        <v>0.89867905452837749</v>
      </c>
      <c r="P133" s="5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 s="5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0.2554017613968404</v>
      </c>
      <c r="R133" s="5" cm="1">
        <f t="array" ref="R133">MIN(IF((DiscreteStatsTable[GroupByKey]=DiscreteStatsTable[[#This Row],[GroupByKey]]),(DiscreteStatsTable[GroupByKey]=DiscreteStatsTable[[#This Row],[GroupByKey]])*DiscreteStatsTable[Average]))</f>
        <v>0</v>
      </c>
      <c r="S133" s="5" cm="1">
        <f t="array" ref="S133">MAX(IF((DiscreteStatsTable[GroupByKey]=DiscreteStatsTable[[#This Row],[GroupByKey]]),(DiscreteStatsTable[GroupByKey]=DiscreteStatsTable[[#This Row],[GroupByKey]])*DiscreteStatsTable[Average]))</f>
        <v>3.4345522286517598</v>
      </c>
      <c r="T133" s="5" cm="1">
        <f t="array" ref="T133">MIN(IF((DiscreteStatsTable[GroupByKey]=DiscreteStatsTable[[#This Row],[GroupByKey]]),(DiscreteStatsTable[GroupByKey]=DiscreteStatsTable[[#This Row],[GroupByKey]])*DiscreteStatsTable[Minimum]))</f>
        <v>0</v>
      </c>
      <c r="U133" s="5" cm="1">
        <f t="array" ref="U133">MAX(IF((DiscreteStatsTable[GroupByKey]=DiscreteStatsTable[[#This Row],[GroupByKey]]),(DiscreteStatsTable[GroupByKey]=DiscreteStatsTable[[#This Row],[GroupByKey]])*DiscreteStatsTable[Maximum]))</f>
        <v>6.7563093676697896</v>
      </c>
      <c r="V133" s="5" cm="1">
        <f t="array" ref="V133">IFERROR(AVERAGE(IF((DiscreteStatsTable[GroupByKey]=DiscreteStatsTable[[#This Row],[GroupByKey]]),(DiscreteStatsTable[GroupByKey]=DiscreteStatsTable[[#This Row],[GroupByKey]])*DiscreteStatsTable[NumberObservations])),0)</f>
        <v>3.62</v>
      </c>
      <c r="W133" s="5">
        <f>IF((DiscreteStatsTable[[#This Row],[RepsRequested]]&gt;1),DiscreteStatsTable[[#This Row],[HalfWidth]],DiscreteStatsTable[[#This Row],[BatchMeansHalfWidth]])</f>
        <v>0.2554017613968404</v>
      </c>
      <c r="X133" s="5" cm="1">
        <f t="array" ref="X133">COUNT(IF((DiscreteStatsTable[GroupByKey]=DiscreteStatsTable[[#This Row],[GroupByKey]]),(DiscreteStatsTable[GroupByKey]=DiscreteStatsTable[[#This Row],[GroupByKey]])*DiscreteStatsTable[Replication]))</f>
        <v>50</v>
      </c>
      <c r="Y133" s="5">
        <f>IF(DiscreteStatsTable[[#This Row],[RepsRequested]]=DiscreteStatsTable[[#This Row],[RepsWithStatObserved]],1,0)</f>
        <v>1</v>
      </c>
    </row>
    <row r="134" spans="1:25" x14ac:dyDescent="0.35">
      <c r="A134" t="s">
        <v>66</v>
      </c>
      <c r="B134" t="s">
        <v>69</v>
      </c>
      <c r="C134">
        <v>23</v>
      </c>
      <c r="D134" t="s">
        <v>70</v>
      </c>
      <c r="E134" t="s">
        <v>71</v>
      </c>
      <c r="F134" t="s">
        <v>72</v>
      </c>
      <c r="G134">
        <v>0</v>
      </c>
      <c r="H134">
        <v>2E+20</v>
      </c>
      <c r="I134">
        <v>0</v>
      </c>
      <c r="J134">
        <v>0</v>
      </c>
      <c r="K134">
        <v>5</v>
      </c>
      <c r="L134" s="5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134" s="5" cm="1">
        <f t="array" ref="M134">MAX(IF((ProjectInfoTable[ProjectName]=DiscreteStatsTable[[#This Row],[ProjectName]]),(ProjectInfoTable[ProjectName]=DiscreteStatsTable[[#This Row],[ProjectName]])*ProjectInfoTable[NumberOfReplications]))</f>
        <v>50</v>
      </c>
      <c r="N134" s="5" cm="1">
        <f t="array" ref="N134">IFERROR(AVERAGE(IF((DiscreteStatsTable[GroupByKey]=DiscreteStatsTable[[#This Row],[GroupByKey]]),(DiscreteStatsTable[GroupByKey]=DiscreteStatsTable[[#This Row],[GroupByKey]])*DiscreteStatsTable[Average])),0)</f>
        <v>0</v>
      </c>
      <c r="O134" s="5" cm="1">
        <f t="array" ref="O134">IFERROR(_xlfn.STDEV.S(IF((DiscreteStatsTable[GroupByKey]=DiscreteStatsTable[[#This Row],[GroupByKey]]),(DiscreteStatsTable[GroupByKey]=DiscreteStatsTable[[#This Row],[GroupByKey]])*DiscreteStatsTable[Average])),0)</f>
        <v>0</v>
      </c>
      <c r="P134" s="5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 s="5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" s="5" cm="1">
        <f t="array" ref="R134">MIN(IF((DiscreteStatsTable[GroupByKey]=DiscreteStatsTable[[#This Row],[GroupByKey]]),(DiscreteStatsTable[GroupByKey]=DiscreteStatsTable[[#This Row],[GroupByKey]])*DiscreteStatsTable[Average]))</f>
        <v>0</v>
      </c>
      <c r="S134" s="5" cm="1">
        <f t="array" ref="S134">MAX(IF((DiscreteStatsTable[GroupByKey]=DiscreteStatsTable[[#This Row],[GroupByKey]]),(DiscreteStatsTable[GroupByKey]=DiscreteStatsTable[[#This Row],[GroupByKey]])*DiscreteStatsTable[Average]))</f>
        <v>0</v>
      </c>
      <c r="T134" s="5" cm="1">
        <f t="array" ref="T134">MIN(IF((DiscreteStatsTable[GroupByKey]=DiscreteStatsTable[[#This Row],[GroupByKey]]),(DiscreteStatsTable[GroupByKey]=DiscreteStatsTable[[#This Row],[GroupByKey]])*DiscreteStatsTable[Minimum]))</f>
        <v>0</v>
      </c>
      <c r="U134" s="5" cm="1">
        <f t="array" ref="U134">MAX(IF((DiscreteStatsTable[GroupByKey]=DiscreteStatsTable[[#This Row],[GroupByKey]]),(DiscreteStatsTable[GroupByKey]=DiscreteStatsTable[[#This Row],[GroupByKey]])*DiscreteStatsTable[Maximum]))</f>
        <v>0</v>
      </c>
      <c r="V134" s="5" cm="1">
        <f t="array" ref="V134">IFERROR(AVERAGE(IF((DiscreteStatsTable[GroupByKey]=DiscreteStatsTable[[#This Row],[GroupByKey]]),(DiscreteStatsTable[GroupByKey]=DiscreteStatsTable[[#This Row],[GroupByKey]])*DiscreteStatsTable[NumberObservations])),0)</f>
        <v>3.62</v>
      </c>
      <c r="W134" s="5">
        <f>IF((DiscreteStatsTable[[#This Row],[RepsRequested]]&gt;1),DiscreteStatsTable[[#This Row],[HalfWidth]],DiscreteStatsTable[[#This Row],[BatchMeansHalfWidth]])</f>
        <v>0</v>
      </c>
      <c r="X134" s="5" cm="1">
        <f t="array" ref="X134">COUNT(IF((DiscreteStatsTable[GroupByKey]=DiscreteStatsTable[[#This Row],[GroupByKey]]),(DiscreteStatsTable[GroupByKey]=DiscreteStatsTable[[#This Row],[GroupByKey]])*DiscreteStatsTable[Replication]))</f>
        <v>50</v>
      </c>
      <c r="Y134" s="5">
        <f>IF(DiscreteStatsTable[[#This Row],[RepsRequested]]=DiscreteStatsTable[[#This Row],[RepsWithStatObserved]],1,0)</f>
        <v>1</v>
      </c>
    </row>
    <row r="135" spans="1:25" x14ac:dyDescent="0.35">
      <c r="A135" t="s">
        <v>66</v>
      </c>
      <c r="B135" t="s">
        <v>69</v>
      </c>
      <c r="C135">
        <v>23</v>
      </c>
      <c r="D135" t="s">
        <v>70</v>
      </c>
      <c r="E135" t="s">
        <v>73</v>
      </c>
      <c r="F135" t="s">
        <v>72</v>
      </c>
      <c r="G135">
        <v>0</v>
      </c>
      <c r="H135">
        <v>2E+20</v>
      </c>
      <c r="I135">
        <v>0</v>
      </c>
      <c r="J135">
        <v>0</v>
      </c>
      <c r="K135">
        <v>5</v>
      </c>
      <c r="L135" s="5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135" s="5" cm="1">
        <f t="array" ref="M135">MAX(IF((ProjectInfoTable[ProjectName]=DiscreteStatsTable[[#This Row],[ProjectName]]),(ProjectInfoTable[ProjectName]=DiscreteStatsTable[[#This Row],[ProjectName]])*ProjectInfoTable[NumberOfReplications]))</f>
        <v>50</v>
      </c>
      <c r="N135" s="5" cm="1">
        <f t="array" ref="N135">IFERROR(AVERAGE(IF((DiscreteStatsTable[GroupByKey]=DiscreteStatsTable[[#This Row],[GroupByKey]]),(DiscreteStatsTable[GroupByKey]=DiscreteStatsTable[[#This Row],[GroupByKey]])*DiscreteStatsTable[Average])),0)</f>
        <v>0</v>
      </c>
      <c r="O135" s="5" cm="1">
        <f t="array" ref="O135">IFERROR(_xlfn.STDEV.S(IF((DiscreteStatsTable[GroupByKey]=DiscreteStatsTable[[#This Row],[GroupByKey]]),(DiscreteStatsTable[GroupByKey]=DiscreteStatsTable[[#This Row],[GroupByKey]])*DiscreteStatsTable[Average])),0)</f>
        <v>0</v>
      </c>
      <c r="P135" s="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 s="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" s="5" cm="1">
        <f t="array" ref="R135">MIN(IF((DiscreteStatsTable[GroupByKey]=DiscreteStatsTable[[#This Row],[GroupByKey]]),(DiscreteStatsTable[GroupByKey]=DiscreteStatsTable[[#This Row],[GroupByKey]])*DiscreteStatsTable[Average]))</f>
        <v>0</v>
      </c>
      <c r="S135" s="5" cm="1">
        <f t="array" ref="S135">MAX(IF((DiscreteStatsTable[GroupByKey]=DiscreteStatsTable[[#This Row],[GroupByKey]]),(DiscreteStatsTable[GroupByKey]=DiscreteStatsTable[[#This Row],[GroupByKey]])*DiscreteStatsTable[Average]))</f>
        <v>0</v>
      </c>
      <c r="T135" s="5" cm="1">
        <f t="array" ref="T135">MIN(IF((DiscreteStatsTable[GroupByKey]=DiscreteStatsTable[[#This Row],[GroupByKey]]),(DiscreteStatsTable[GroupByKey]=DiscreteStatsTable[[#This Row],[GroupByKey]])*DiscreteStatsTable[Minimum]))</f>
        <v>0</v>
      </c>
      <c r="U135" s="5" cm="1">
        <f t="array" ref="U135">MAX(IF((DiscreteStatsTable[GroupByKey]=DiscreteStatsTable[[#This Row],[GroupByKey]]),(DiscreteStatsTable[GroupByKey]=DiscreteStatsTable[[#This Row],[GroupByKey]])*DiscreteStatsTable[Maximum]))</f>
        <v>0</v>
      </c>
      <c r="V135" s="5" cm="1">
        <f t="array" ref="V135">IFERROR(AVERAGE(IF((DiscreteStatsTable[GroupByKey]=DiscreteStatsTable[[#This Row],[GroupByKey]]),(DiscreteStatsTable[GroupByKey]=DiscreteStatsTable[[#This Row],[GroupByKey]])*DiscreteStatsTable[NumberObservations])),0)</f>
        <v>3.62</v>
      </c>
      <c r="W135" s="5">
        <f>IF((DiscreteStatsTable[[#This Row],[RepsRequested]]&gt;1),DiscreteStatsTable[[#This Row],[HalfWidth]],DiscreteStatsTable[[#This Row],[BatchMeansHalfWidth]])</f>
        <v>0</v>
      </c>
      <c r="X135" s="5" cm="1">
        <f t="array" ref="X135">COUNT(IF((DiscreteStatsTable[GroupByKey]=DiscreteStatsTable[[#This Row],[GroupByKey]]),(DiscreteStatsTable[GroupByKey]=DiscreteStatsTable[[#This Row],[GroupByKey]])*DiscreteStatsTable[Replication]))</f>
        <v>50</v>
      </c>
      <c r="Y135" s="5">
        <f>IF(DiscreteStatsTable[[#This Row],[RepsRequested]]=DiscreteStatsTable[[#This Row],[RepsWithStatObserved]],1,0)</f>
        <v>1</v>
      </c>
    </row>
    <row r="136" spans="1:25" x14ac:dyDescent="0.35">
      <c r="A136" t="s">
        <v>66</v>
      </c>
      <c r="B136" t="s">
        <v>69</v>
      </c>
      <c r="C136">
        <v>23</v>
      </c>
      <c r="D136" t="s">
        <v>70</v>
      </c>
      <c r="E136" t="s">
        <v>74</v>
      </c>
      <c r="F136" t="s">
        <v>72</v>
      </c>
      <c r="G136">
        <v>3.7569123258927002</v>
      </c>
      <c r="H136">
        <v>2E+20</v>
      </c>
      <c r="I136">
        <v>2.3439323689909299</v>
      </c>
      <c r="J136">
        <v>5.5381839384821099</v>
      </c>
      <c r="K136">
        <v>5</v>
      </c>
      <c r="L136" s="5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136" s="5" cm="1">
        <f t="array" ref="M136">MAX(IF((ProjectInfoTable[ProjectName]=DiscreteStatsTable[[#This Row],[ProjectName]]),(ProjectInfoTable[ProjectName]=DiscreteStatsTable[[#This Row],[ProjectName]])*ProjectInfoTable[NumberOfReplications]))</f>
        <v>50</v>
      </c>
      <c r="N136" s="5" cm="1">
        <f t="array" ref="N136">IFERROR(AVERAGE(IF((DiscreteStatsTable[GroupByKey]=DiscreteStatsTable[[#This Row],[GroupByKey]]),(DiscreteStatsTable[GroupByKey]=DiscreteStatsTable[[#This Row],[GroupByKey]])*DiscreteStatsTable[Average])),0)</f>
        <v>3.5363894499532775</v>
      </c>
      <c r="O136" s="5" cm="1">
        <f t="array" ref="O136">IFERROR(_xlfn.STDEV.S(IF((DiscreteStatsTable[GroupByKey]=DiscreteStatsTable[[#This Row],[GroupByKey]]),(DiscreteStatsTable[GroupByKey]=DiscreteStatsTable[[#This Row],[GroupByKey]])*DiscreteStatsTable[Average])),0)</f>
        <v>1.1766434570133149</v>
      </c>
      <c r="P136" s="5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 s="5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0.33439837052280896</v>
      </c>
      <c r="R136" s="5" cm="1">
        <f t="array" ref="R136">MIN(IF((DiscreteStatsTable[GroupByKey]=DiscreteStatsTable[[#This Row],[GroupByKey]]),(DiscreteStatsTable[GroupByKey]=DiscreteStatsTable[[#This Row],[GroupByKey]])*DiscreteStatsTable[Average]))</f>
        <v>1.6342264652107701</v>
      </c>
      <c r="S136" s="5" cm="1">
        <f t="array" ref="S136">MAX(IF((DiscreteStatsTable[GroupByKey]=DiscreteStatsTable[[#This Row],[GroupByKey]]),(DiscreteStatsTable[GroupByKey]=DiscreteStatsTable[[#This Row],[GroupByKey]])*DiscreteStatsTable[Average]))</f>
        <v>6.5527373550837904</v>
      </c>
      <c r="T136" s="5" cm="1">
        <f t="array" ref="T136">MIN(IF((DiscreteStatsTable[GroupByKey]=DiscreteStatsTable[[#This Row],[GroupByKey]]),(DiscreteStatsTable[GroupByKey]=DiscreteStatsTable[[#This Row],[GroupByKey]])*DiscreteStatsTable[Minimum]))</f>
        <v>0.58847912081681497</v>
      </c>
      <c r="U136" s="5" cm="1">
        <f t="array" ref="U136">MAX(IF((DiscreteStatsTable[GroupByKey]=DiscreteStatsTable[[#This Row],[GroupByKey]]),(DiscreteStatsTable[GroupByKey]=DiscreteStatsTable[[#This Row],[GroupByKey]])*DiscreteStatsTable[Maximum]))</f>
        <v>8.7476494546828292</v>
      </c>
      <c r="V136" s="5" cm="1">
        <f t="array" ref="V136">IFERROR(AVERAGE(IF((DiscreteStatsTable[GroupByKey]=DiscreteStatsTable[[#This Row],[GroupByKey]]),(DiscreteStatsTable[GroupByKey]=DiscreteStatsTable[[#This Row],[GroupByKey]])*DiscreteStatsTable[NumberObservations])),0)</f>
        <v>3.62</v>
      </c>
      <c r="W136" s="5">
        <f>IF((DiscreteStatsTable[[#This Row],[RepsRequested]]&gt;1),DiscreteStatsTable[[#This Row],[HalfWidth]],DiscreteStatsTable[[#This Row],[BatchMeansHalfWidth]])</f>
        <v>0.33439837052280896</v>
      </c>
      <c r="X136" s="5" cm="1">
        <f t="array" ref="X136">COUNT(IF((DiscreteStatsTable[GroupByKey]=DiscreteStatsTable[[#This Row],[GroupByKey]]),(DiscreteStatsTable[GroupByKey]=DiscreteStatsTable[[#This Row],[GroupByKey]])*DiscreteStatsTable[Replication]))</f>
        <v>50</v>
      </c>
      <c r="Y136" s="5">
        <f>IF(DiscreteStatsTable[[#This Row],[RepsRequested]]=DiscreteStatsTable[[#This Row],[RepsWithStatObserved]],1,0)</f>
        <v>1</v>
      </c>
    </row>
    <row r="137" spans="1:25" x14ac:dyDescent="0.35">
      <c r="A137" t="s">
        <v>66</v>
      </c>
      <c r="B137" t="s">
        <v>69</v>
      </c>
      <c r="C137">
        <v>23</v>
      </c>
      <c r="D137" t="s">
        <v>70</v>
      </c>
      <c r="E137" t="s">
        <v>75</v>
      </c>
      <c r="F137" t="s">
        <v>72</v>
      </c>
      <c r="G137">
        <v>0</v>
      </c>
      <c r="H137">
        <v>2E+20</v>
      </c>
      <c r="I137">
        <v>0</v>
      </c>
      <c r="J137">
        <v>0</v>
      </c>
      <c r="K137">
        <v>5</v>
      </c>
      <c r="L137" s="5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137" s="5" cm="1">
        <f t="array" ref="M137">MAX(IF((ProjectInfoTable[ProjectName]=DiscreteStatsTable[[#This Row],[ProjectName]]),(ProjectInfoTable[ProjectName]=DiscreteStatsTable[[#This Row],[ProjectName]])*ProjectInfoTable[NumberOfReplications]))</f>
        <v>50</v>
      </c>
      <c r="N137" s="5" cm="1">
        <f t="array" ref="N137">IFERROR(AVERAGE(IF((DiscreteStatsTable[GroupByKey]=DiscreteStatsTable[[#This Row],[GroupByKey]]),(DiscreteStatsTable[GroupByKey]=DiscreteStatsTable[[#This Row],[GroupByKey]])*DiscreteStatsTable[Average])),0)</f>
        <v>0</v>
      </c>
      <c r="O137" s="5" cm="1">
        <f t="array" ref="O137">IFERROR(_xlfn.STDEV.S(IF((DiscreteStatsTable[GroupByKey]=DiscreteStatsTable[[#This Row],[GroupByKey]]),(DiscreteStatsTable[GroupByKey]=DiscreteStatsTable[[#This Row],[GroupByKey]])*DiscreteStatsTable[Average])),0)</f>
        <v>0</v>
      </c>
      <c r="P137" s="5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 s="5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" s="5" cm="1">
        <f t="array" ref="R137">MIN(IF((DiscreteStatsTable[GroupByKey]=DiscreteStatsTable[[#This Row],[GroupByKey]]),(DiscreteStatsTable[GroupByKey]=DiscreteStatsTable[[#This Row],[GroupByKey]])*DiscreteStatsTable[Average]))</f>
        <v>0</v>
      </c>
      <c r="S137" s="5" cm="1">
        <f t="array" ref="S137">MAX(IF((DiscreteStatsTable[GroupByKey]=DiscreteStatsTable[[#This Row],[GroupByKey]]),(DiscreteStatsTable[GroupByKey]=DiscreteStatsTable[[#This Row],[GroupByKey]])*DiscreteStatsTable[Average]))</f>
        <v>0</v>
      </c>
      <c r="T137" s="5" cm="1">
        <f t="array" ref="T137">MIN(IF((DiscreteStatsTable[GroupByKey]=DiscreteStatsTable[[#This Row],[GroupByKey]]),(DiscreteStatsTable[GroupByKey]=DiscreteStatsTable[[#This Row],[GroupByKey]])*DiscreteStatsTable[Minimum]))</f>
        <v>0</v>
      </c>
      <c r="U137" s="5" cm="1">
        <f t="array" ref="U137">MAX(IF((DiscreteStatsTable[GroupByKey]=DiscreteStatsTable[[#This Row],[GroupByKey]]),(DiscreteStatsTable[GroupByKey]=DiscreteStatsTable[[#This Row],[GroupByKey]])*DiscreteStatsTable[Maximum]))</f>
        <v>0</v>
      </c>
      <c r="V137" s="5" cm="1">
        <f t="array" ref="V137">IFERROR(AVERAGE(IF((DiscreteStatsTable[GroupByKey]=DiscreteStatsTable[[#This Row],[GroupByKey]]),(DiscreteStatsTable[GroupByKey]=DiscreteStatsTable[[#This Row],[GroupByKey]])*DiscreteStatsTable[NumberObservations])),0)</f>
        <v>3.62</v>
      </c>
      <c r="W137" s="5">
        <f>IF((DiscreteStatsTable[[#This Row],[RepsRequested]]&gt;1),DiscreteStatsTable[[#This Row],[HalfWidth]],DiscreteStatsTable[[#This Row],[BatchMeansHalfWidth]])</f>
        <v>0</v>
      </c>
      <c r="X137" s="5" cm="1">
        <f t="array" ref="X137">COUNT(IF((DiscreteStatsTable[GroupByKey]=DiscreteStatsTable[[#This Row],[GroupByKey]]),(DiscreteStatsTable[GroupByKey]=DiscreteStatsTable[[#This Row],[GroupByKey]])*DiscreteStatsTable[Replication]))</f>
        <v>50</v>
      </c>
      <c r="Y137" s="5">
        <f>IF(DiscreteStatsTable[[#This Row],[RepsRequested]]=DiscreteStatsTable[[#This Row],[RepsWithStatObserved]],1,0)</f>
        <v>1</v>
      </c>
    </row>
    <row r="138" spans="1:25" x14ac:dyDescent="0.35">
      <c r="A138" t="s">
        <v>66</v>
      </c>
      <c r="B138" t="s">
        <v>69</v>
      </c>
      <c r="C138">
        <v>23</v>
      </c>
      <c r="D138" t="s">
        <v>70</v>
      </c>
      <c r="E138" t="s">
        <v>76</v>
      </c>
      <c r="F138" t="s">
        <v>72</v>
      </c>
      <c r="G138">
        <v>1.90083321302765</v>
      </c>
      <c r="H138">
        <v>2E+20</v>
      </c>
      <c r="I138">
        <v>1.0848713384637001</v>
      </c>
      <c r="J138">
        <v>2.6872679842465601</v>
      </c>
      <c r="K138">
        <v>5</v>
      </c>
      <c r="L138" s="5" t="str">
        <f>DiscreteStatsTable[[#This Row],[ProjectName]]&amp;DiscreteStatsTable[[#This Row],[Name]]&amp;DiscreteStatsTable[[#This Row],[Type]]&amp;DiscreteStatsTable[[#This Row],[Source]]</f>
        <v>Unnamed ProjectArquivosVA TimeEntity</v>
      </c>
      <c r="M138" s="5" cm="1">
        <f t="array" ref="M138">MAX(IF((ProjectInfoTable[ProjectName]=DiscreteStatsTable[[#This Row],[ProjectName]]),(ProjectInfoTable[ProjectName]=DiscreteStatsTable[[#This Row],[ProjectName]])*ProjectInfoTable[NumberOfReplications]))</f>
        <v>50</v>
      </c>
      <c r="N138" s="5" cm="1">
        <f t="array" ref="N138">IFERROR(AVERAGE(IF((DiscreteStatsTable[GroupByKey]=DiscreteStatsTable[[#This Row],[GroupByKey]]),(DiscreteStatsTable[GroupByKey]=DiscreteStatsTable[[#This Row],[GroupByKey]])*DiscreteStatsTable[Average])),0)</f>
        <v>2.3123810058270009</v>
      </c>
      <c r="O138" s="5" cm="1">
        <f t="array" ref="O138">IFERROR(_xlfn.STDEV.S(IF((DiscreteStatsTable[GroupByKey]=DiscreteStatsTable[[#This Row],[GroupByKey]]),(DiscreteStatsTable[GroupByKey]=DiscreteStatsTable[[#This Row],[GroupByKey]])*DiscreteStatsTable[Average])),0)</f>
        <v>0.47735516285795621</v>
      </c>
      <c r="P138" s="5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 s="5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0.13566283623888314</v>
      </c>
      <c r="R138" s="5" cm="1">
        <f t="array" ref="R138">MIN(IF((DiscreteStatsTable[GroupByKey]=DiscreteStatsTable[[#This Row],[GroupByKey]]),(DiscreteStatsTable[GroupByKey]=DiscreteStatsTable[[#This Row],[GroupByKey]])*DiscreteStatsTable[Average]))</f>
        <v>1.3773415743205399</v>
      </c>
      <c r="S138" s="5" cm="1">
        <f t="array" ref="S138">MAX(IF((DiscreteStatsTable[GroupByKey]=DiscreteStatsTable[[#This Row],[GroupByKey]]),(DiscreteStatsTable[GroupByKey]=DiscreteStatsTable[[#This Row],[GroupByKey]])*DiscreteStatsTable[Average]))</f>
        <v>3.3139161730180202</v>
      </c>
      <c r="T138" s="5" cm="1">
        <f t="array" ref="T138">MIN(IF((DiscreteStatsTable[GroupByKey]=DiscreteStatsTable[[#This Row],[GroupByKey]]),(DiscreteStatsTable[GroupByKey]=DiscreteStatsTable[[#This Row],[GroupByKey]])*DiscreteStatsTable[Minimum]))</f>
        <v>0.58847912081681497</v>
      </c>
      <c r="U138" s="5" cm="1">
        <f t="array" ref="U138">MAX(IF((DiscreteStatsTable[GroupByKey]=DiscreteStatsTable[[#This Row],[GroupByKey]]),(DiscreteStatsTable[GroupByKey]=DiscreteStatsTable[[#This Row],[GroupByKey]])*DiscreteStatsTable[Maximum]))</f>
        <v>4.9756405925629998</v>
      </c>
      <c r="V138" s="5" cm="1">
        <f t="array" ref="V138">IFERROR(AVERAGE(IF((DiscreteStatsTable[GroupByKey]=DiscreteStatsTable[[#This Row],[GroupByKey]]),(DiscreteStatsTable[GroupByKey]=DiscreteStatsTable[[#This Row],[GroupByKey]])*DiscreteStatsTable[NumberObservations])),0)</f>
        <v>3.62</v>
      </c>
      <c r="W138" s="5">
        <f>IF((DiscreteStatsTable[[#This Row],[RepsRequested]]&gt;1),DiscreteStatsTable[[#This Row],[HalfWidth]],DiscreteStatsTable[[#This Row],[BatchMeansHalfWidth]])</f>
        <v>0.13566283623888314</v>
      </c>
      <c r="X138" s="5" cm="1">
        <f t="array" ref="X138">COUNT(IF((DiscreteStatsTable[GroupByKey]=DiscreteStatsTable[[#This Row],[GroupByKey]]),(DiscreteStatsTable[GroupByKey]=DiscreteStatsTable[[#This Row],[GroupByKey]])*DiscreteStatsTable[Replication]))</f>
        <v>50</v>
      </c>
      <c r="Y138" s="5">
        <f>IF(DiscreteStatsTable[[#This Row],[RepsRequested]]=DiscreteStatsTable[[#This Row],[RepsWithStatObserved]],1,0)</f>
        <v>1</v>
      </c>
    </row>
    <row r="139" spans="1:25" x14ac:dyDescent="0.35">
      <c r="A139" t="s">
        <v>66</v>
      </c>
      <c r="B139" t="s">
        <v>69</v>
      </c>
      <c r="C139">
        <v>23</v>
      </c>
      <c r="D139" t="s">
        <v>70</v>
      </c>
      <c r="E139" t="s">
        <v>77</v>
      </c>
      <c r="F139" t="s">
        <v>72</v>
      </c>
      <c r="G139">
        <v>1.85607911286504</v>
      </c>
      <c r="H139">
        <v>2E+20</v>
      </c>
      <c r="I139">
        <v>0</v>
      </c>
      <c r="J139">
        <v>3.8127165153620899</v>
      </c>
      <c r="K139">
        <v>5</v>
      </c>
      <c r="L139" s="5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139" s="5" cm="1">
        <f t="array" ref="M139">MAX(IF((ProjectInfoTable[ProjectName]=DiscreteStatsTable[[#This Row],[ProjectName]]),(ProjectInfoTable[ProjectName]=DiscreteStatsTable[[#This Row],[ProjectName]])*ProjectInfoTable[NumberOfReplications]))</f>
        <v>50</v>
      </c>
      <c r="N139" s="5" cm="1">
        <f t="array" ref="N139">IFERROR(AVERAGE(IF((DiscreteStatsTable[GroupByKey]=DiscreteStatsTable[[#This Row],[GroupByKey]]),(DiscreteStatsTable[GroupByKey]=DiscreteStatsTable[[#This Row],[GroupByKey]])*DiscreteStatsTable[Average])),0)</f>
        <v>1.2240084441262762</v>
      </c>
      <c r="O139" s="5" cm="1">
        <f t="array" ref="O139">IFERROR(_xlfn.STDEV.S(IF((DiscreteStatsTable[GroupByKey]=DiscreteStatsTable[[#This Row],[GroupByKey]]),(DiscreteStatsTable[GroupByKey]=DiscreteStatsTable[[#This Row],[GroupByKey]])*DiscreteStatsTable[Average])),0)</f>
        <v>0.89867905452837749</v>
      </c>
      <c r="P139" s="5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 s="5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0.2554017613968404</v>
      </c>
      <c r="R139" s="5" cm="1">
        <f t="array" ref="R139">MIN(IF((DiscreteStatsTable[GroupByKey]=DiscreteStatsTable[[#This Row],[GroupByKey]]),(DiscreteStatsTable[GroupByKey]=DiscreteStatsTable[[#This Row],[GroupByKey]])*DiscreteStatsTable[Average]))</f>
        <v>0</v>
      </c>
      <c r="S139" s="5" cm="1">
        <f t="array" ref="S139">MAX(IF((DiscreteStatsTable[GroupByKey]=DiscreteStatsTable[[#This Row],[GroupByKey]]),(DiscreteStatsTable[GroupByKey]=DiscreteStatsTable[[#This Row],[GroupByKey]])*DiscreteStatsTable[Average]))</f>
        <v>3.4345522286517598</v>
      </c>
      <c r="T139" s="5" cm="1">
        <f t="array" ref="T139">MIN(IF((DiscreteStatsTable[GroupByKey]=DiscreteStatsTable[[#This Row],[GroupByKey]]),(DiscreteStatsTable[GroupByKey]=DiscreteStatsTable[[#This Row],[GroupByKey]])*DiscreteStatsTable[Minimum]))</f>
        <v>0</v>
      </c>
      <c r="U139" s="5" cm="1">
        <f t="array" ref="U139">MAX(IF((DiscreteStatsTable[GroupByKey]=DiscreteStatsTable[[#This Row],[GroupByKey]]),(DiscreteStatsTable[GroupByKey]=DiscreteStatsTable[[#This Row],[GroupByKey]])*DiscreteStatsTable[Maximum]))</f>
        <v>6.7563093676697896</v>
      </c>
      <c r="V139" s="5" cm="1">
        <f t="array" ref="V139">IFERROR(AVERAGE(IF((DiscreteStatsTable[GroupByKey]=DiscreteStatsTable[[#This Row],[GroupByKey]]),(DiscreteStatsTable[GroupByKey]=DiscreteStatsTable[[#This Row],[GroupByKey]])*DiscreteStatsTable[NumberObservations])),0)</f>
        <v>3.62</v>
      </c>
      <c r="W139" s="5">
        <f>IF((DiscreteStatsTable[[#This Row],[RepsRequested]]&gt;1),DiscreteStatsTable[[#This Row],[HalfWidth]],DiscreteStatsTable[[#This Row],[BatchMeansHalfWidth]])</f>
        <v>0.2554017613968404</v>
      </c>
      <c r="X139" s="5" cm="1">
        <f t="array" ref="X139">COUNT(IF((DiscreteStatsTable[GroupByKey]=DiscreteStatsTable[[#This Row],[GroupByKey]]),(DiscreteStatsTable[GroupByKey]=DiscreteStatsTable[[#This Row],[GroupByKey]])*DiscreteStatsTable[Replication]))</f>
        <v>50</v>
      </c>
      <c r="Y139" s="5">
        <f>IF(DiscreteStatsTable[[#This Row],[RepsRequested]]=DiscreteStatsTable[[#This Row],[RepsWithStatObserved]],1,0)</f>
        <v>1</v>
      </c>
    </row>
    <row r="140" spans="1:25" x14ac:dyDescent="0.35">
      <c r="A140" t="s">
        <v>66</v>
      </c>
      <c r="B140" t="s">
        <v>69</v>
      </c>
      <c r="C140">
        <v>24</v>
      </c>
      <c r="D140" t="s">
        <v>70</v>
      </c>
      <c r="E140" t="s">
        <v>71</v>
      </c>
      <c r="F140" t="s">
        <v>72</v>
      </c>
      <c r="G140">
        <v>0</v>
      </c>
      <c r="H140">
        <v>2E+20</v>
      </c>
      <c r="I140">
        <v>0</v>
      </c>
      <c r="J140">
        <v>0</v>
      </c>
      <c r="K140">
        <v>3</v>
      </c>
      <c r="L140" s="5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140" s="5" cm="1">
        <f t="array" ref="M140">MAX(IF((ProjectInfoTable[ProjectName]=DiscreteStatsTable[[#This Row],[ProjectName]]),(ProjectInfoTable[ProjectName]=DiscreteStatsTable[[#This Row],[ProjectName]])*ProjectInfoTable[NumberOfReplications]))</f>
        <v>50</v>
      </c>
      <c r="N140" s="5" cm="1">
        <f t="array" ref="N140">IFERROR(AVERAGE(IF((DiscreteStatsTable[GroupByKey]=DiscreteStatsTable[[#This Row],[GroupByKey]]),(DiscreteStatsTable[GroupByKey]=DiscreteStatsTable[[#This Row],[GroupByKey]])*DiscreteStatsTable[Average])),0)</f>
        <v>0</v>
      </c>
      <c r="O140" s="5" cm="1">
        <f t="array" ref="O140">IFERROR(_xlfn.STDEV.S(IF((DiscreteStatsTable[GroupByKey]=DiscreteStatsTable[[#This Row],[GroupByKey]]),(DiscreteStatsTable[GroupByKey]=DiscreteStatsTable[[#This Row],[GroupByKey]])*DiscreteStatsTable[Average])),0)</f>
        <v>0</v>
      </c>
      <c r="P140" s="5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 s="5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0" s="5" cm="1">
        <f t="array" ref="R140">MIN(IF((DiscreteStatsTable[GroupByKey]=DiscreteStatsTable[[#This Row],[GroupByKey]]),(DiscreteStatsTable[GroupByKey]=DiscreteStatsTable[[#This Row],[GroupByKey]])*DiscreteStatsTable[Average]))</f>
        <v>0</v>
      </c>
      <c r="S140" s="5" cm="1">
        <f t="array" ref="S140">MAX(IF((DiscreteStatsTable[GroupByKey]=DiscreteStatsTable[[#This Row],[GroupByKey]]),(DiscreteStatsTable[GroupByKey]=DiscreteStatsTable[[#This Row],[GroupByKey]])*DiscreteStatsTable[Average]))</f>
        <v>0</v>
      </c>
      <c r="T140" s="5" cm="1">
        <f t="array" ref="T140">MIN(IF((DiscreteStatsTable[GroupByKey]=DiscreteStatsTable[[#This Row],[GroupByKey]]),(DiscreteStatsTable[GroupByKey]=DiscreteStatsTable[[#This Row],[GroupByKey]])*DiscreteStatsTable[Minimum]))</f>
        <v>0</v>
      </c>
      <c r="U140" s="5" cm="1">
        <f t="array" ref="U140">MAX(IF((DiscreteStatsTable[GroupByKey]=DiscreteStatsTable[[#This Row],[GroupByKey]]),(DiscreteStatsTable[GroupByKey]=DiscreteStatsTable[[#This Row],[GroupByKey]])*DiscreteStatsTable[Maximum]))</f>
        <v>0</v>
      </c>
      <c r="V140" s="5" cm="1">
        <f t="array" ref="V140">IFERROR(AVERAGE(IF((DiscreteStatsTable[GroupByKey]=DiscreteStatsTable[[#This Row],[GroupByKey]]),(DiscreteStatsTable[GroupByKey]=DiscreteStatsTable[[#This Row],[GroupByKey]])*DiscreteStatsTable[NumberObservations])),0)</f>
        <v>3.62</v>
      </c>
      <c r="W140" s="5">
        <f>IF((DiscreteStatsTable[[#This Row],[RepsRequested]]&gt;1),DiscreteStatsTable[[#This Row],[HalfWidth]],DiscreteStatsTable[[#This Row],[BatchMeansHalfWidth]])</f>
        <v>0</v>
      </c>
      <c r="X140" s="5" cm="1">
        <f t="array" ref="X140">COUNT(IF((DiscreteStatsTable[GroupByKey]=DiscreteStatsTable[[#This Row],[GroupByKey]]),(DiscreteStatsTable[GroupByKey]=DiscreteStatsTable[[#This Row],[GroupByKey]])*DiscreteStatsTable[Replication]))</f>
        <v>50</v>
      </c>
      <c r="Y140" s="5">
        <f>IF(DiscreteStatsTable[[#This Row],[RepsRequested]]=DiscreteStatsTable[[#This Row],[RepsWithStatObserved]],1,0)</f>
        <v>1</v>
      </c>
    </row>
    <row r="141" spans="1:25" x14ac:dyDescent="0.35">
      <c r="A141" t="s">
        <v>66</v>
      </c>
      <c r="B141" t="s">
        <v>69</v>
      </c>
      <c r="C141">
        <v>24</v>
      </c>
      <c r="D141" t="s">
        <v>70</v>
      </c>
      <c r="E141" t="s">
        <v>73</v>
      </c>
      <c r="F141" t="s">
        <v>72</v>
      </c>
      <c r="G141">
        <v>0</v>
      </c>
      <c r="H141">
        <v>2E+20</v>
      </c>
      <c r="I141">
        <v>0</v>
      </c>
      <c r="J141">
        <v>0</v>
      </c>
      <c r="K141">
        <v>3</v>
      </c>
      <c r="L141" s="5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141" s="5" cm="1">
        <f t="array" ref="M141">MAX(IF((ProjectInfoTable[ProjectName]=DiscreteStatsTable[[#This Row],[ProjectName]]),(ProjectInfoTable[ProjectName]=DiscreteStatsTable[[#This Row],[ProjectName]])*ProjectInfoTable[NumberOfReplications]))</f>
        <v>50</v>
      </c>
      <c r="N141" s="5" cm="1">
        <f t="array" ref="N141">IFERROR(AVERAGE(IF((DiscreteStatsTable[GroupByKey]=DiscreteStatsTable[[#This Row],[GroupByKey]]),(DiscreteStatsTable[GroupByKey]=DiscreteStatsTable[[#This Row],[GroupByKey]])*DiscreteStatsTable[Average])),0)</f>
        <v>0</v>
      </c>
      <c r="O141" s="5" cm="1">
        <f t="array" ref="O141">IFERROR(_xlfn.STDEV.S(IF((DiscreteStatsTable[GroupByKey]=DiscreteStatsTable[[#This Row],[GroupByKey]]),(DiscreteStatsTable[GroupByKey]=DiscreteStatsTable[[#This Row],[GroupByKey]])*DiscreteStatsTable[Average])),0)</f>
        <v>0</v>
      </c>
      <c r="P141" s="5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 s="5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1" s="5" cm="1">
        <f t="array" ref="R141">MIN(IF((DiscreteStatsTable[GroupByKey]=DiscreteStatsTable[[#This Row],[GroupByKey]]),(DiscreteStatsTable[GroupByKey]=DiscreteStatsTable[[#This Row],[GroupByKey]])*DiscreteStatsTable[Average]))</f>
        <v>0</v>
      </c>
      <c r="S141" s="5" cm="1">
        <f t="array" ref="S141">MAX(IF((DiscreteStatsTable[GroupByKey]=DiscreteStatsTable[[#This Row],[GroupByKey]]),(DiscreteStatsTable[GroupByKey]=DiscreteStatsTable[[#This Row],[GroupByKey]])*DiscreteStatsTable[Average]))</f>
        <v>0</v>
      </c>
      <c r="T141" s="5" cm="1">
        <f t="array" ref="T141">MIN(IF((DiscreteStatsTable[GroupByKey]=DiscreteStatsTable[[#This Row],[GroupByKey]]),(DiscreteStatsTable[GroupByKey]=DiscreteStatsTable[[#This Row],[GroupByKey]])*DiscreteStatsTable[Minimum]))</f>
        <v>0</v>
      </c>
      <c r="U141" s="5" cm="1">
        <f t="array" ref="U141">MAX(IF((DiscreteStatsTable[GroupByKey]=DiscreteStatsTable[[#This Row],[GroupByKey]]),(DiscreteStatsTable[GroupByKey]=DiscreteStatsTable[[#This Row],[GroupByKey]])*DiscreteStatsTable[Maximum]))</f>
        <v>0</v>
      </c>
      <c r="V141" s="5" cm="1">
        <f t="array" ref="V141">IFERROR(AVERAGE(IF((DiscreteStatsTable[GroupByKey]=DiscreteStatsTable[[#This Row],[GroupByKey]]),(DiscreteStatsTable[GroupByKey]=DiscreteStatsTable[[#This Row],[GroupByKey]])*DiscreteStatsTable[NumberObservations])),0)</f>
        <v>3.62</v>
      </c>
      <c r="W141" s="5">
        <f>IF((DiscreteStatsTable[[#This Row],[RepsRequested]]&gt;1),DiscreteStatsTable[[#This Row],[HalfWidth]],DiscreteStatsTable[[#This Row],[BatchMeansHalfWidth]])</f>
        <v>0</v>
      </c>
      <c r="X141" s="5" cm="1">
        <f t="array" ref="X141">COUNT(IF((DiscreteStatsTable[GroupByKey]=DiscreteStatsTable[[#This Row],[GroupByKey]]),(DiscreteStatsTable[GroupByKey]=DiscreteStatsTable[[#This Row],[GroupByKey]])*DiscreteStatsTable[Replication]))</f>
        <v>50</v>
      </c>
      <c r="Y141" s="5">
        <f>IF(DiscreteStatsTable[[#This Row],[RepsRequested]]=DiscreteStatsTable[[#This Row],[RepsWithStatObserved]],1,0)</f>
        <v>1</v>
      </c>
    </row>
    <row r="142" spans="1:25" x14ac:dyDescent="0.35">
      <c r="A142" t="s">
        <v>66</v>
      </c>
      <c r="B142" t="s">
        <v>69</v>
      </c>
      <c r="C142">
        <v>24</v>
      </c>
      <c r="D142" t="s">
        <v>70</v>
      </c>
      <c r="E142" t="s">
        <v>74</v>
      </c>
      <c r="F142" t="s">
        <v>72</v>
      </c>
      <c r="G142">
        <v>3.0665619672337101</v>
      </c>
      <c r="H142">
        <v>2E+20</v>
      </c>
      <c r="I142">
        <v>1.5600200127957</v>
      </c>
      <c r="J142">
        <v>5.3173241658674302</v>
      </c>
      <c r="K142">
        <v>3</v>
      </c>
      <c r="L142" s="5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142" s="5" cm="1">
        <f t="array" ref="M142">MAX(IF((ProjectInfoTable[ProjectName]=DiscreteStatsTable[[#This Row],[ProjectName]]),(ProjectInfoTable[ProjectName]=DiscreteStatsTable[[#This Row],[ProjectName]])*ProjectInfoTable[NumberOfReplications]))</f>
        <v>50</v>
      </c>
      <c r="N142" s="5" cm="1">
        <f t="array" ref="N142">IFERROR(AVERAGE(IF((DiscreteStatsTable[GroupByKey]=DiscreteStatsTable[[#This Row],[GroupByKey]]),(DiscreteStatsTable[GroupByKey]=DiscreteStatsTable[[#This Row],[GroupByKey]])*DiscreteStatsTable[Average])),0)</f>
        <v>3.5363894499532775</v>
      </c>
      <c r="O142" s="5" cm="1">
        <f t="array" ref="O142">IFERROR(_xlfn.STDEV.S(IF((DiscreteStatsTable[GroupByKey]=DiscreteStatsTable[[#This Row],[GroupByKey]]),(DiscreteStatsTable[GroupByKey]=DiscreteStatsTable[[#This Row],[GroupByKey]])*DiscreteStatsTable[Average])),0)</f>
        <v>1.1766434570133149</v>
      </c>
      <c r="P142" s="5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 s="5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0.33439837052280896</v>
      </c>
      <c r="R142" s="5" cm="1">
        <f t="array" ref="R142">MIN(IF((DiscreteStatsTable[GroupByKey]=DiscreteStatsTable[[#This Row],[GroupByKey]]),(DiscreteStatsTable[GroupByKey]=DiscreteStatsTable[[#This Row],[GroupByKey]])*DiscreteStatsTable[Average]))</f>
        <v>1.6342264652107701</v>
      </c>
      <c r="S142" s="5" cm="1">
        <f t="array" ref="S142">MAX(IF((DiscreteStatsTable[GroupByKey]=DiscreteStatsTable[[#This Row],[GroupByKey]]),(DiscreteStatsTable[GroupByKey]=DiscreteStatsTable[[#This Row],[GroupByKey]])*DiscreteStatsTable[Average]))</f>
        <v>6.5527373550837904</v>
      </c>
      <c r="T142" s="5" cm="1">
        <f t="array" ref="T142">MIN(IF((DiscreteStatsTable[GroupByKey]=DiscreteStatsTable[[#This Row],[GroupByKey]]),(DiscreteStatsTable[GroupByKey]=DiscreteStatsTable[[#This Row],[GroupByKey]])*DiscreteStatsTable[Minimum]))</f>
        <v>0.58847912081681497</v>
      </c>
      <c r="U142" s="5" cm="1">
        <f t="array" ref="U142">MAX(IF((DiscreteStatsTable[GroupByKey]=DiscreteStatsTable[[#This Row],[GroupByKey]]),(DiscreteStatsTable[GroupByKey]=DiscreteStatsTable[[#This Row],[GroupByKey]])*DiscreteStatsTable[Maximum]))</f>
        <v>8.7476494546828292</v>
      </c>
      <c r="V142" s="5" cm="1">
        <f t="array" ref="V142">IFERROR(AVERAGE(IF((DiscreteStatsTable[GroupByKey]=DiscreteStatsTable[[#This Row],[GroupByKey]]),(DiscreteStatsTable[GroupByKey]=DiscreteStatsTable[[#This Row],[GroupByKey]])*DiscreteStatsTable[NumberObservations])),0)</f>
        <v>3.62</v>
      </c>
      <c r="W142" s="5">
        <f>IF((DiscreteStatsTable[[#This Row],[RepsRequested]]&gt;1),DiscreteStatsTable[[#This Row],[HalfWidth]],DiscreteStatsTable[[#This Row],[BatchMeansHalfWidth]])</f>
        <v>0.33439837052280896</v>
      </c>
      <c r="X142" s="5" cm="1">
        <f t="array" ref="X142">COUNT(IF((DiscreteStatsTable[GroupByKey]=DiscreteStatsTable[[#This Row],[GroupByKey]]),(DiscreteStatsTable[GroupByKey]=DiscreteStatsTable[[#This Row],[GroupByKey]])*DiscreteStatsTable[Replication]))</f>
        <v>50</v>
      </c>
      <c r="Y142" s="5">
        <f>IF(DiscreteStatsTable[[#This Row],[RepsRequested]]=DiscreteStatsTable[[#This Row],[RepsWithStatObserved]],1,0)</f>
        <v>1</v>
      </c>
    </row>
    <row r="143" spans="1:25" x14ac:dyDescent="0.35">
      <c r="A143" t="s">
        <v>66</v>
      </c>
      <c r="B143" t="s">
        <v>69</v>
      </c>
      <c r="C143">
        <v>24</v>
      </c>
      <c r="D143" t="s">
        <v>70</v>
      </c>
      <c r="E143" t="s">
        <v>75</v>
      </c>
      <c r="F143" t="s">
        <v>72</v>
      </c>
      <c r="G143">
        <v>0</v>
      </c>
      <c r="H143">
        <v>2E+20</v>
      </c>
      <c r="I143">
        <v>0</v>
      </c>
      <c r="J143">
        <v>0</v>
      </c>
      <c r="K143">
        <v>3</v>
      </c>
      <c r="L143" s="5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143" s="5" cm="1">
        <f t="array" ref="M143">MAX(IF((ProjectInfoTable[ProjectName]=DiscreteStatsTable[[#This Row],[ProjectName]]),(ProjectInfoTable[ProjectName]=DiscreteStatsTable[[#This Row],[ProjectName]])*ProjectInfoTable[NumberOfReplications]))</f>
        <v>50</v>
      </c>
      <c r="N143" s="5" cm="1">
        <f t="array" ref="N143">IFERROR(AVERAGE(IF((DiscreteStatsTable[GroupByKey]=DiscreteStatsTable[[#This Row],[GroupByKey]]),(DiscreteStatsTable[GroupByKey]=DiscreteStatsTable[[#This Row],[GroupByKey]])*DiscreteStatsTable[Average])),0)</f>
        <v>0</v>
      </c>
      <c r="O143" s="5" cm="1">
        <f t="array" ref="O143">IFERROR(_xlfn.STDEV.S(IF((DiscreteStatsTable[GroupByKey]=DiscreteStatsTable[[#This Row],[GroupByKey]]),(DiscreteStatsTable[GroupByKey]=DiscreteStatsTable[[#This Row],[GroupByKey]])*DiscreteStatsTable[Average])),0)</f>
        <v>0</v>
      </c>
      <c r="P143" s="5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 s="5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3" s="5" cm="1">
        <f t="array" ref="R143">MIN(IF((DiscreteStatsTable[GroupByKey]=DiscreteStatsTable[[#This Row],[GroupByKey]]),(DiscreteStatsTable[GroupByKey]=DiscreteStatsTable[[#This Row],[GroupByKey]])*DiscreteStatsTable[Average]))</f>
        <v>0</v>
      </c>
      <c r="S143" s="5" cm="1">
        <f t="array" ref="S143">MAX(IF((DiscreteStatsTable[GroupByKey]=DiscreteStatsTable[[#This Row],[GroupByKey]]),(DiscreteStatsTable[GroupByKey]=DiscreteStatsTable[[#This Row],[GroupByKey]])*DiscreteStatsTable[Average]))</f>
        <v>0</v>
      </c>
      <c r="T143" s="5" cm="1">
        <f t="array" ref="T143">MIN(IF((DiscreteStatsTable[GroupByKey]=DiscreteStatsTable[[#This Row],[GroupByKey]]),(DiscreteStatsTable[GroupByKey]=DiscreteStatsTable[[#This Row],[GroupByKey]])*DiscreteStatsTable[Minimum]))</f>
        <v>0</v>
      </c>
      <c r="U143" s="5" cm="1">
        <f t="array" ref="U143">MAX(IF((DiscreteStatsTable[GroupByKey]=DiscreteStatsTable[[#This Row],[GroupByKey]]),(DiscreteStatsTable[GroupByKey]=DiscreteStatsTable[[#This Row],[GroupByKey]])*DiscreteStatsTable[Maximum]))</f>
        <v>0</v>
      </c>
      <c r="V143" s="5" cm="1">
        <f t="array" ref="V143">IFERROR(AVERAGE(IF((DiscreteStatsTable[GroupByKey]=DiscreteStatsTable[[#This Row],[GroupByKey]]),(DiscreteStatsTable[GroupByKey]=DiscreteStatsTable[[#This Row],[GroupByKey]])*DiscreteStatsTable[NumberObservations])),0)</f>
        <v>3.62</v>
      </c>
      <c r="W143" s="5">
        <f>IF((DiscreteStatsTable[[#This Row],[RepsRequested]]&gt;1),DiscreteStatsTable[[#This Row],[HalfWidth]],DiscreteStatsTable[[#This Row],[BatchMeansHalfWidth]])</f>
        <v>0</v>
      </c>
      <c r="X143" s="5" cm="1">
        <f t="array" ref="X143">COUNT(IF((DiscreteStatsTable[GroupByKey]=DiscreteStatsTable[[#This Row],[GroupByKey]]),(DiscreteStatsTable[GroupByKey]=DiscreteStatsTable[[#This Row],[GroupByKey]])*DiscreteStatsTable[Replication]))</f>
        <v>50</v>
      </c>
      <c r="Y143" s="5">
        <f>IF(DiscreteStatsTable[[#This Row],[RepsRequested]]=DiscreteStatsTable[[#This Row],[RepsWithStatObserved]],1,0)</f>
        <v>1</v>
      </c>
    </row>
    <row r="144" spans="1:25" x14ac:dyDescent="0.35">
      <c r="A144" t="s">
        <v>66</v>
      </c>
      <c r="B144" t="s">
        <v>69</v>
      </c>
      <c r="C144">
        <v>24</v>
      </c>
      <c r="D144" t="s">
        <v>70</v>
      </c>
      <c r="E144" t="s">
        <v>76</v>
      </c>
      <c r="F144" t="s">
        <v>72</v>
      </c>
      <c r="G144">
        <v>2.6122605973457702</v>
      </c>
      <c r="H144">
        <v>2E+20</v>
      </c>
      <c r="I144">
        <v>1.1973802949935699</v>
      </c>
      <c r="J144">
        <v>4.3170597740057302</v>
      </c>
      <c r="K144">
        <v>3</v>
      </c>
      <c r="L144" s="5" t="str">
        <f>DiscreteStatsTable[[#This Row],[ProjectName]]&amp;DiscreteStatsTable[[#This Row],[Name]]&amp;DiscreteStatsTable[[#This Row],[Type]]&amp;DiscreteStatsTable[[#This Row],[Source]]</f>
        <v>Unnamed ProjectArquivosVA TimeEntity</v>
      </c>
      <c r="M144" s="5" cm="1">
        <f t="array" ref="M144">MAX(IF((ProjectInfoTable[ProjectName]=DiscreteStatsTable[[#This Row],[ProjectName]]),(ProjectInfoTable[ProjectName]=DiscreteStatsTable[[#This Row],[ProjectName]])*ProjectInfoTable[NumberOfReplications]))</f>
        <v>50</v>
      </c>
      <c r="N144" s="5" cm="1">
        <f t="array" ref="N144">IFERROR(AVERAGE(IF((DiscreteStatsTable[GroupByKey]=DiscreteStatsTable[[#This Row],[GroupByKey]]),(DiscreteStatsTable[GroupByKey]=DiscreteStatsTable[[#This Row],[GroupByKey]])*DiscreteStatsTable[Average])),0)</f>
        <v>2.3123810058270009</v>
      </c>
      <c r="O144" s="5" cm="1">
        <f t="array" ref="O144">IFERROR(_xlfn.STDEV.S(IF((DiscreteStatsTable[GroupByKey]=DiscreteStatsTable[[#This Row],[GroupByKey]]),(DiscreteStatsTable[GroupByKey]=DiscreteStatsTable[[#This Row],[GroupByKey]])*DiscreteStatsTable[Average])),0)</f>
        <v>0.47735516285795621</v>
      </c>
      <c r="P144" s="5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 s="5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0.13566283623888314</v>
      </c>
      <c r="R144" s="5" cm="1">
        <f t="array" ref="R144">MIN(IF((DiscreteStatsTable[GroupByKey]=DiscreteStatsTable[[#This Row],[GroupByKey]]),(DiscreteStatsTable[GroupByKey]=DiscreteStatsTable[[#This Row],[GroupByKey]])*DiscreteStatsTable[Average]))</f>
        <v>1.3773415743205399</v>
      </c>
      <c r="S144" s="5" cm="1">
        <f t="array" ref="S144">MAX(IF((DiscreteStatsTable[GroupByKey]=DiscreteStatsTable[[#This Row],[GroupByKey]]),(DiscreteStatsTable[GroupByKey]=DiscreteStatsTable[[#This Row],[GroupByKey]])*DiscreteStatsTable[Average]))</f>
        <v>3.3139161730180202</v>
      </c>
      <c r="T144" s="5" cm="1">
        <f t="array" ref="T144">MIN(IF((DiscreteStatsTable[GroupByKey]=DiscreteStatsTable[[#This Row],[GroupByKey]]),(DiscreteStatsTable[GroupByKey]=DiscreteStatsTable[[#This Row],[GroupByKey]])*DiscreteStatsTable[Minimum]))</f>
        <v>0.58847912081681497</v>
      </c>
      <c r="U144" s="5" cm="1">
        <f t="array" ref="U144">MAX(IF((DiscreteStatsTable[GroupByKey]=DiscreteStatsTable[[#This Row],[GroupByKey]]),(DiscreteStatsTable[GroupByKey]=DiscreteStatsTable[[#This Row],[GroupByKey]])*DiscreteStatsTable[Maximum]))</f>
        <v>4.9756405925629998</v>
      </c>
      <c r="V144" s="5" cm="1">
        <f t="array" ref="V144">IFERROR(AVERAGE(IF((DiscreteStatsTable[GroupByKey]=DiscreteStatsTable[[#This Row],[GroupByKey]]),(DiscreteStatsTable[GroupByKey]=DiscreteStatsTable[[#This Row],[GroupByKey]])*DiscreteStatsTable[NumberObservations])),0)</f>
        <v>3.62</v>
      </c>
      <c r="W144" s="5">
        <f>IF((DiscreteStatsTable[[#This Row],[RepsRequested]]&gt;1),DiscreteStatsTable[[#This Row],[HalfWidth]],DiscreteStatsTable[[#This Row],[BatchMeansHalfWidth]])</f>
        <v>0.13566283623888314</v>
      </c>
      <c r="X144" s="5" cm="1">
        <f t="array" ref="X144">COUNT(IF((DiscreteStatsTable[GroupByKey]=DiscreteStatsTable[[#This Row],[GroupByKey]]),(DiscreteStatsTable[GroupByKey]=DiscreteStatsTable[[#This Row],[GroupByKey]])*DiscreteStatsTable[Replication]))</f>
        <v>50</v>
      </c>
      <c r="Y144" s="5">
        <f>IF(DiscreteStatsTable[[#This Row],[RepsRequested]]=DiscreteStatsTable[[#This Row],[RepsWithStatObserved]],1,0)</f>
        <v>1</v>
      </c>
    </row>
    <row r="145" spans="1:25" x14ac:dyDescent="0.35">
      <c r="A145" t="s">
        <v>66</v>
      </c>
      <c r="B145" t="s">
        <v>69</v>
      </c>
      <c r="C145">
        <v>24</v>
      </c>
      <c r="D145" t="s">
        <v>70</v>
      </c>
      <c r="E145" t="s">
        <v>77</v>
      </c>
      <c r="F145" t="s">
        <v>72</v>
      </c>
      <c r="G145">
        <v>0.45430136988794201</v>
      </c>
      <c r="H145">
        <v>2E+20</v>
      </c>
      <c r="I145">
        <v>0</v>
      </c>
      <c r="J145">
        <v>1.0002643918617</v>
      </c>
      <c r="K145">
        <v>3</v>
      </c>
      <c r="L145" s="5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145" s="5" cm="1">
        <f t="array" ref="M145">MAX(IF((ProjectInfoTable[ProjectName]=DiscreteStatsTable[[#This Row],[ProjectName]]),(ProjectInfoTable[ProjectName]=DiscreteStatsTable[[#This Row],[ProjectName]])*ProjectInfoTable[NumberOfReplications]))</f>
        <v>50</v>
      </c>
      <c r="N145" s="5" cm="1">
        <f t="array" ref="N145">IFERROR(AVERAGE(IF((DiscreteStatsTable[GroupByKey]=DiscreteStatsTable[[#This Row],[GroupByKey]]),(DiscreteStatsTable[GroupByKey]=DiscreteStatsTable[[#This Row],[GroupByKey]])*DiscreteStatsTable[Average])),0)</f>
        <v>1.2240084441262762</v>
      </c>
      <c r="O145" s="5" cm="1">
        <f t="array" ref="O145">IFERROR(_xlfn.STDEV.S(IF((DiscreteStatsTable[GroupByKey]=DiscreteStatsTable[[#This Row],[GroupByKey]]),(DiscreteStatsTable[GroupByKey]=DiscreteStatsTable[[#This Row],[GroupByKey]])*DiscreteStatsTable[Average])),0)</f>
        <v>0.89867905452837749</v>
      </c>
      <c r="P145" s="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 s="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0.2554017613968404</v>
      </c>
      <c r="R145" s="5" cm="1">
        <f t="array" ref="R145">MIN(IF((DiscreteStatsTable[GroupByKey]=DiscreteStatsTable[[#This Row],[GroupByKey]]),(DiscreteStatsTable[GroupByKey]=DiscreteStatsTable[[#This Row],[GroupByKey]])*DiscreteStatsTable[Average]))</f>
        <v>0</v>
      </c>
      <c r="S145" s="5" cm="1">
        <f t="array" ref="S145">MAX(IF((DiscreteStatsTable[GroupByKey]=DiscreteStatsTable[[#This Row],[GroupByKey]]),(DiscreteStatsTable[GroupByKey]=DiscreteStatsTable[[#This Row],[GroupByKey]])*DiscreteStatsTable[Average]))</f>
        <v>3.4345522286517598</v>
      </c>
      <c r="T145" s="5" cm="1">
        <f t="array" ref="T145">MIN(IF((DiscreteStatsTable[GroupByKey]=DiscreteStatsTable[[#This Row],[GroupByKey]]),(DiscreteStatsTable[GroupByKey]=DiscreteStatsTable[[#This Row],[GroupByKey]])*DiscreteStatsTable[Minimum]))</f>
        <v>0</v>
      </c>
      <c r="U145" s="5" cm="1">
        <f t="array" ref="U145">MAX(IF((DiscreteStatsTable[GroupByKey]=DiscreteStatsTable[[#This Row],[GroupByKey]]),(DiscreteStatsTable[GroupByKey]=DiscreteStatsTable[[#This Row],[GroupByKey]])*DiscreteStatsTable[Maximum]))</f>
        <v>6.7563093676697896</v>
      </c>
      <c r="V145" s="5" cm="1">
        <f t="array" ref="V145">IFERROR(AVERAGE(IF((DiscreteStatsTable[GroupByKey]=DiscreteStatsTable[[#This Row],[GroupByKey]]),(DiscreteStatsTable[GroupByKey]=DiscreteStatsTable[[#This Row],[GroupByKey]])*DiscreteStatsTable[NumberObservations])),0)</f>
        <v>3.62</v>
      </c>
      <c r="W145" s="5">
        <f>IF((DiscreteStatsTable[[#This Row],[RepsRequested]]&gt;1),DiscreteStatsTable[[#This Row],[HalfWidth]],DiscreteStatsTable[[#This Row],[BatchMeansHalfWidth]])</f>
        <v>0.2554017613968404</v>
      </c>
      <c r="X145" s="5" cm="1">
        <f t="array" ref="X145">COUNT(IF((DiscreteStatsTable[GroupByKey]=DiscreteStatsTable[[#This Row],[GroupByKey]]),(DiscreteStatsTable[GroupByKey]=DiscreteStatsTable[[#This Row],[GroupByKey]])*DiscreteStatsTable[Replication]))</f>
        <v>50</v>
      </c>
      <c r="Y145" s="5">
        <f>IF(DiscreteStatsTable[[#This Row],[RepsRequested]]=DiscreteStatsTable[[#This Row],[RepsWithStatObserved]],1,0)</f>
        <v>1</v>
      </c>
    </row>
    <row r="146" spans="1:25" x14ac:dyDescent="0.35">
      <c r="A146" t="s">
        <v>66</v>
      </c>
      <c r="B146" t="s">
        <v>69</v>
      </c>
      <c r="C146">
        <v>25</v>
      </c>
      <c r="D146" t="s">
        <v>70</v>
      </c>
      <c r="E146" t="s">
        <v>71</v>
      </c>
      <c r="F146" t="s">
        <v>72</v>
      </c>
      <c r="G146">
        <v>0</v>
      </c>
      <c r="H146">
        <v>2E+20</v>
      </c>
      <c r="I146">
        <v>0</v>
      </c>
      <c r="J146">
        <v>0</v>
      </c>
      <c r="K146">
        <v>4</v>
      </c>
      <c r="L146" s="5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146" s="5" cm="1">
        <f t="array" ref="M146">MAX(IF((ProjectInfoTable[ProjectName]=DiscreteStatsTable[[#This Row],[ProjectName]]),(ProjectInfoTable[ProjectName]=DiscreteStatsTable[[#This Row],[ProjectName]])*ProjectInfoTable[NumberOfReplications]))</f>
        <v>50</v>
      </c>
      <c r="N146" s="5" cm="1">
        <f t="array" ref="N146">IFERROR(AVERAGE(IF((DiscreteStatsTable[GroupByKey]=DiscreteStatsTable[[#This Row],[GroupByKey]]),(DiscreteStatsTable[GroupByKey]=DiscreteStatsTable[[#This Row],[GroupByKey]])*DiscreteStatsTable[Average])),0)</f>
        <v>0</v>
      </c>
      <c r="O146" s="5" cm="1">
        <f t="array" ref="O146">IFERROR(_xlfn.STDEV.S(IF((DiscreteStatsTable[GroupByKey]=DiscreteStatsTable[[#This Row],[GroupByKey]]),(DiscreteStatsTable[GroupByKey]=DiscreteStatsTable[[#This Row],[GroupByKey]])*DiscreteStatsTable[Average])),0)</f>
        <v>0</v>
      </c>
      <c r="P146" s="5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 s="5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6" s="5" cm="1">
        <f t="array" ref="R146">MIN(IF((DiscreteStatsTable[GroupByKey]=DiscreteStatsTable[[#This Row],[GroupByKey]]),(DiscreteStatsTable[GroupByKey]=DiscreteStatsTable[[#This Row],[GroupByKey]])*DiscreteStatsTable[Average]))</f>
        <v>0</v>
      </c>
      <c r="S146" s="5" cm="1">
        <f t="array" ref="S146">MAX(IF((DiscreteStatsTable[GroupByKey]=DiscreteStatsTable[[#This Row],[GroupByKey]]),(DiscreteStatsTable[GroupByKey]=DiscreteStatsTable[[#This Row],[GroupByKey]])*DiscreteStatsTable[Average]))</f>
        <v>0</v>
      </c>
      <c r="T146" s="5" cm="1">
        <f t="array" ref="T146">MIN(IF((DiscreteStatsTable[GroupByKey]=DiscreteStatsTable[[#This Row],[GroupByKey]]),(DiscreteStatsTable[GroupByKey]=DiscreteStatsTable[[#This Row],[GroupByKey]])*DiscreteStatsTable[Minimum]))</f>
        <v>0</v>
      </c>
      <c r="U146" s="5" cm="1">
        <f t="array" ref="U146">MAX(IF((DiscreteStatsTable[GroupByKey]=DiscreteStatsTable[[#This Row],[GroupByKey]]),(DiscreteStatsTable[GroupByKey]=DiscreteStatsTable[[#This Row],[GroupByKey]])*DiscreteStatsTable[Maximum]))</f>
        <v>0</v>
      </c>
      <c r="V146" s="5" cm="1">
        <f t="array" ref="V146">IFERROR(AVERAGE(IF((DiscreteStatsTable[GroupByKey]=DiscreteStatsTable[[#This Row],[GroupByKey]]),(DiscreteStatsTable[GroupByKey]=DiscreteStatsTable[[#This Row],[GroupByKey]])*DiscreteStatsTable[NumberObservations])),0)</f>
        <v>3.62</v>
      </c>
      <c r="W146" s="5">
        <f>IF((DiscreteStatsTable[[#This Row],[RepsRequested]]&gt;1),DiscreteStatsTable[[#This Row],[HalfWidth]],DiscreteStatsTable[[#This Row],[BatchMeansHalfWidth]])</f>
        <v>0</v>
      </c>
      <c r="X146" s="5" cm="1">
        <f t="array" ref="X146">COUNT(IF((DiscreteStatsTable[GroupByKey]=DiscreteStatsTable[[#This Row],[GroupByKey]]),(DiscreteStatsTable[GroupByKey]=DiscreteStatsTable[[#This Row],[GroupByKey]])*DiscreteStatsTable[Replication]))</f>
        <v>50</v>
      </c>
      <c r="Y146" s="5">
        <f>IF(DiscreteStatsTable[[#This Row],[RepsRequested]]=DiscreteStatsTable[[#This Row],[RepsWithStatObserved]],1,0)</f>
        <v>1</v>
      </c>
    </row>
    <row r="147" spans="1:25" x14ac:dyDescent="0.35">
      <c r="A147" t="s">
        <v>66</v>
      </c>
      <c r="B147" t="s">
        <v>69</v>
      </c>
      <c r="C147">
        <v>25</v>
      </c>
      <c r="D147" t="s">
        <v>70</v>
      </c>
      <c r="E147" t="s">
        <v>73</v>
      </c>
      <c r="F147" t="s">
        <v>72</v>
      </c>
      <c r="G147">
        <v>0</v>
      </c>
      <c r="H147">
        <v>2E+20</v>
      </c>
      <c r="I147">
        <v>0</v>
      </c>
      <c r="J147">
        <v>0</v>
      </c>
      <c r="K147">
        <v>4</v>
      </c>
      <c r="L147" s="5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147" s="5" cm="1">
        <f t="array" ref="M147">MAX(IF((ProjectInfoTable[ProjectName]=DiscreteStatsTable[[#This Row],[ProjectName]]),(ProjectInfoTable[ProjectName]=DiscreteStatsTable[[#This Row],[ProjectName]])*ProjectInfoTable[NumberOfReplications]))</f>
        <v>50</v>
      </c>
      <c r="N147" s="5" cm="1">
        <f t="array" ref="N147">IFERROR(AVERAGE(IF((DiscreteStatsTable[GroupByKey]=DiscreteStatsTable[[#This Row],[GroupByKey]]),(DiscreteStatsTable[GroupByKey]=DiscreteStatsTable[[#This Row],[GroupByKey]])*DiscreteStatsTable[Average])),0)</f>
        <v>0</v>
      </c>
      <c r="O147" s="5" cm="1">
        <f t="array" ref="O147">IFERROR(_xlfn.STDEV.S(IF((DiscreteStatsTable[GroupByKey]=DiscreteStatsTable[[#This Row],[GroupByKey]]),(DiscreteStatsTable[GroupByKey]=DiscreteStatsTable[[#This Row],[GroupByKey]])*DiscreteStatsTable[Average])),0)</f>
        <v>0</v>
      </c>
      <c r="P147" s="5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 s="5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7" s="5" cm="1">
        <f t="array" ref="R147">MIN(IF((DiscreteStatsTable[GroupByKey]=DiscreteStatsTable[[#This Row],[GroupByKey]]),(DiscreteStatsTable[GroupByKey]=DiscreteStatsTable[[#This Row],[GroupByKey]])*DiscreteStatsTable[Average]))</f>
        <v>0</v>
      </c>
      <c r="S147" s="5" cm="1">
        <f t="array" ref="S147">MAX(IF((DiscreteStatsTable[GroupByKey]=DiscreteStatsTable[[#This Row],[GroupByKey]]),(DiscreteStatsTable[GroupByKey]=DiscreteStatsTable[[#This Row],[GroupByKey]])*DiscreteStatsTable[Average]))</f>
        <v>0</v>
      </c>
      <c r="T147" s="5" cm="1">
        <f t="array" ref="T147">MIN(IF((DiscreteStatsTable[GroupByKey]=DiscreteStatsTable[[#This Row],[GroupByKey]]),(DiscreteStatsTable[GroupByKey]=DiscreteStatsTable[[#This Row],[GroupByKey]])*DiscreteStatsTable[Minimum]))</f>
        <v>0</v>
      </c>
      <c r="U147" s="5" cm="1">
        <f t="array" ref="U147">MAX(IF((DiscreteStatsTable[GroupByKey]=DiscreteStatsTable[[#This Row],[GroupByKey]]),(DiscreteStatsTable[GroupByKey]=DiscreteStatsTable[[#This Row],[GroupByKey]])*DiscreteStatsTable[Maximum]))</f>
        <v>0</v>
      </c>
      <c r="V147" s="5" cm="1">
        <f t="array" ref="V147">IFERROR(AVERAGE(IF((DiscreteStatsTable[GroupByKey]=DiscreteStatsTable[[#This Row],[GroupByKey]]),(DiscreteStatsTable[GroupByKey]=DiscreteStatsTable[[#This Row],[GroupByKey]])*DiscreteStatsTable[NumberObservations])),0)</f>
        <v>3.62</v>
      </c>
      <c r="W147" s="5">
        <f>IF((DiscreteStatsTable[[#This Row],[RepsRequested]]&gt;1),DiscreteStatsTable[[#This Row],[HalfWidth]],DiscreteStatsTable[[#This Row],[BatchMeansHalfWidth]])</f>
        <v>0</v>
      </c>
      <c r="X147" s="5" cm="1">
        <f t="array" ref="X147">COUNT(IF((DiscreteStatsTable[GroupByKey]=DiscreteStatsTable[[#This Row],[GroupByKey]]),(DiscreteStatsTable[GroupByKey]=DiscreteStatsTable[[#This Row],[GroupByKey]])*DiscreteStatsTable[Replication]))</f>
        <v>50</v>
      </c>
      <c r="Y147" s="5">
        <f>IF(DiscreteStatsTable[[#This Row],[RepsRequested]]=DiscreteStatsTable[[#This Row],[RepsWithStatObserved]],1,0)</f>
        <v>1</v>
      </c>
    </row>
    <row r="148" spans="1:25" x14ac:dyDescent="0.35">
      <c r="A148" t="s">
        <v>66</v>
      </c>
      <c r="B148" t="s">
        <v>69</v>
      </c>
      <c r="C148">
        <v>25</v>
      </c>
      <c r="D148" t="s">
        <v>70</v>
      </c>
      <c r="E148" t="s">
        <v>74</v>
      </c>
      <c r="F148" t="s">
        <v>72</v>
      </c>
      <c r="G148">
        <v>2.63352843435902</v>
      </c>
      <c r="H148">
        <v>2E+20</v>
      </c>
      <c r="I148">
        <v>0.99589656480891398</v>
      </c>
      <c r="J148">
        <v>4.3782304552252604</v>
      </c>
      <c r="K148">
        <v>4</v>
      </c>
      <c r="L148" s="5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148" s="5" cm="1">
        <f t="array" ref="M148">MAX(IF((ProjectInfoTable[ProjectName]=DiscreteStatsTable[[#This Row],[ProjectName]]),(ProjectInfoTable[ProjectName]=DiscreteStatsTable[[#This Row],[ProjectName]])*ProjectInfoTable[NumberOfReplications]))</f>
        <v>50</v>
      </c>
      <c r="N148" s="5" cm="1">
        <f t="array" ref="N148">IFERROR(AVERAGE(IF((DiscreteStatsTable[GroupByKey]=DiscreteStatsTable[[#This Row],[GroupByKey]]),(DiscreteStatsTable[GroupByKey]=DiscreteStatsTable[[#This Row],[GroupByKey]])*DiscreteStatsTable[Average])),0)</f>
        <v>3.5363894499532775</v>
      </c>
      <c r="O148" s="5" cm="1">
        <f t="array" ref="O148">IFERROR(_xlfn.STDEV.S(IF((DiscreteStatsTable[GroupByKey]=DiscreteStatsTable[[#This Row],[GroupByKey]]),(DiscreteStatsTable[GroupByKey]=DiscreteStatsTable[[#This Row],[GroupByKey]])*DiscreteStatsTable[Average])),0)</f>
        <v>1.1766434570133149</v>
      </c>
      <c r="P148" s="5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 s="5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0.33439837052280896</v>
      </c>
      <c r="R148" s="5" cm="1">
        <f t="array" ref="R148">MIN(IF((DiscreteStatsTable[GroupByKey]=DiscreteStatsTable[[#This Row],[GroupByKey]]),(DiscreteStatsTable[GroupByKey]=DiscreteStatsTable[[#This Row],[GroupByKey]])*DiscreteStatsTable[Average]))</f>
        <v>1.6342264652107701</v>
      </c>
      <c r="S148" s="5" cm="1">
        <f t="array" ref="S148">MAX(IF((DiscreteStatsTable[GroupByKey]=DiscreteStatsTable[[#This Row],[GroupByKey]]),(DiscreteStatsTable[GroupByKey]=DiscreteStatsTable[[#This Row],[GroupByKey]])*DiscreteStatsTable[Average]))</f>
        <v>6.5527373550837904</v>
      </c>
      <c r="T148" s="5" cm="1">
        <f t="array" ref="T148">MIN(IF((DiscreteStatsTable[GroupByKey]=DiscreteStatsTable[[#This Row],[GroupByKey]]),(DiscreteStatsTable[GroupByKey]=DiscreteStatsTable[[#This Row],[GroupByKey]])*DiscreteStatsTable[Minimum]))</f>
        <v>0.58847912081681497</v>
      </c>
      <c r="U148" s="5" cm="1">
        <f t="array" ref="U148">MAX(IF((DiscreteStatsTable[GroupByKey]=DiscreteStatsTable[[#This Row],[GroupByKey]]),(DiscreteStatsTable[GroupByKey]=DiscreteStatsTable[[#This Row],[GroupByKey]])*DiscreteStatsTable[Maximum]))</f>
        <v>8.7476494546828292</v>
      </c>
      <c r="V148" s="5" cm="1">
        <f t="array" ref="V148">IFERROR(AVERAGE(IF((DiscreteStatsTable[GroupByKey]=DiscreteStatsTable[[#This Row],[GroupByKey]]),(DiscreteStatsTable[GroupByKey]=DiscreteStatsTable[[#This Row],[GroupByKey]])*DiscreteStatsTable[NumberObservations])),0)</f>
        <v>3.62</v>
      </c>
      <c r="W148" s="5">
        <f>IF((DiscreteStatsTable[[#This Row],[RepsRequested]]&gt;1),DiscreteStatsTable[[#This Row],[HalfWidth]],DiscreteStatsTable[[#This Row],[BatchMeansHalfWidth]])</f>
        <v>0.33439837052280896</v>
      </c>
      <c r="X148" s="5" cm="1">
        <f t="array" ref="X148">COUNT(IF((DiscreteStatsTable[GroupByKey]=DiscreteStatsTable[[#This Row],[GroupByKey]]),(DiscreteStatsTable[GroupByKey]=DiscreteStatsTable[[#This Row],[GroupByKey]])*DiscreteStatsTable[Replication]))</f>
        <v>50</v>
      </c>
      <c r="Y148" s="5">
        <f>IF(DiscreteStatsTable[[#This Row],[RepsRequested]]=DiscreteStatsTable[[#This Row],[RepsWithStatObserved]],1,0)</f>
        <v>1</v>
      </c>
    </row>
    <row r="149" spans="1:25" x14ac:dyDescent="0.35">
      <c r="A149" t="s">
        <v>66</v>
      </c>
      <c r="B149" t="s">
        <v>69</v>
      </c>
      <c r="C149">
        <v>25</v>
      </c>
      <c r="D149" t="s">
        <v>70</v>
      </c>
      <c r="E149" t="s">
        <v>75</v>
      </c>
      <c r="F149" t="s">
        <v>72</v>
      </c>
      <c r="G149">
        <v>0</v>
      </c>
      <c r="H149">
        <v>2E+20</v>
      </c>
      <c r="I149">
        <v>0</v>
      </c>
      <c r="J149">
        <v>0</v>
      </c>
      <c r="K149">
        <v>4</v>
      </c>
      <c r="L149" s="5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149" s="5" cm="1">
        <f t="array" ref="M149">MAX(IF((ProjectInfoTable[ProjectName]=DiscreteStatsTable[[#This Row],[ProjectName]]),(ProjectInfoTable[ProjectName]=DiscreteStatsTable[[#This Row],[ProjectName]])*ProjectInfoTable[NumberOfReplications]))</f>
        <v>50</v>
      </c>
      <c r="N149" s="5" cm="1">
        <f t="array" ref="N149">IFERROR(AVERAGE(IF((DiscreteStatsTable[GroupByKey]=DiscreteStatsTable[[#This Row],[GroupByKey]]),(DiscreteStatsTable[GroupByKey]=DiscreteStatsTable[[#This Row],[GroupByKey]])*DiscreteStatsTable[Average])),0)</f>
        <v>0</v>
      </c>
      <c r="O149" s="5" cm="1">
        <f t="array" ref="O149">IFERROR(_xlfn.STDEV.S(IF((DiscreteStatsTable[GroupByKey]=DiscreteStatsTable[[#This Row],[GroupByKey]]),(DiscreteStatsTable[GroupByKey]=DiscreteStatsTable[[#This Row],[GroupByKey]])*DiscreteStatsTable[Average])),0)</f>
        <v>0</v>
      </c>
      <c r="P149" s="5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 s="5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9" s="5" cm="1">
        <f t="array" ref="R149">MIN(IF((DiscreteStatsTable[GroupByKey]=DiscreteStatsTable[[#This Row],[GroupByKey]]),(DiscreteStatsTable[GroupByKey]=DiscreteStatsTable[[#This Row],[GroupByKey]])*DiscreteStatsTable[Average]))</f>
        <v>0</v>
      </c>
      <c r="S149" s="5" cm="1">
        <f t="array" ref="S149">MAX(IF((DiscreteStatsTable[GroupByKey]=DiscreteStatsTable[[#This Row],[GroupByKey]]),(DiscreteStatsTable[GroupByKey]=DiscreteStatsTable[[#This Row],[GroupByKey]])*DiscreteStatsTable[Average]))</f>
        <v>0</v>
      </c>
      <c r="T149" s="5" cm="1">
        <f t="array" ref="T149">MIN(IF((DiscreteStatsTable[GroupByKey]=DiscreteStatsTable[[#This Row],[GroupByKey]]),(DiscreteStatsTable[GroupByKey]=DiscreteStatsTable[[#This Row],[GroupByKey]])*DiscreteStatsTable[Minimum]))</f>
        <v>0</v>
      </c>
      <c r="U149" s="5" cm="1">
        <f t="array" ref="U149">MAX(IF((DiscreteStatsTable[GroupByKey]=DiscreteStatsTable[[#This Row],[GroupByKey]]),(DiscreteStatsTable[GroupByKey]=DiscreteStatsTable[[#This Row],[GroupByKey]])*DiscreteStatsTable[Maximum]))</f>
        <v>0</v>
      </c>
      <c r="V149" s="5" cm="1">
        <f t="array" ref="V149">IFERROR(AVERAGE(IF((DiscreteStatsTable[GroupByKey]=DiscreteStatsTable[[#This Row],[GroupByKey]]),(DiscreteStatsTable[GroupByKey]=DiscreteStatsTable[[#This Row],[GroupByKey]])*DiscreteStatsTable[NumberObservations])),0)</f>
        <v>3.62</v>
      </c>
      <c r="W149" s="5">
        <f>IF((DiscreteStatsTable[[#This Row],[RepsRequested]]&gt;1),DiscreteStatsTable[[#This Row],[HalfWidth]],DiscreteStatsTable[[#This Row],[BatchMeansHalfWidth]])</f>
        <v>0</v>
      </c>
      <c r="X149" s="5" cm="1">
        <f t="array" ref="X149">COUNT(IF((DiscreteStatsTable[GroupByKey]=DiscreteStatsTable[[#This Row],[GroupByKey]]),(DiscreteStatsTable[GroupByKey]=DiscreteStatsTable[[#This Row],[GroupByKey]])*DiscreteStatsTable[Replication]))</f>
        <v>50</v>
      </c>
      <c r="Y149" s="5">
        <f>IF(DiscreteStatsTable[[#This Row],[RepsRequested]]=DiscreteStatsTable[[#This Row],[RepsWithStatObserved]],1,0)</f>
        <v>1</v>
      </c>
    </row>
    <row r="150" spans="1:25" x14ac:dyDescent="0.35">
      <c r="A150" t="s">
        <v>66</v>
      </c>
      <c r="B150" t="s">
        <v>69</v>
      </c>
      <c r="C150">
        <v>25</v>
      </c>
      <c r="D150" t="s">
        <v>70</v>
      </c>
      <c r="E150" t="s">
        <v>76</v>
      </c>
      <c r="F150" t="s">
        <v>72</v>
      </c>
      <c r="G150">
        <v>1.90716581035837</v>
      </c>
      <c r="H150">
        <v>2E+20</v>
      </c>
      <c r="I150">
        <v>0.99589656480891398</v>
      </c>
      <c r="J150">
        <v>2.96353084964628</v>
      </c>
      <c r="K150">
        <v>4</v>
      </c>
      <c r="L150" s="5" t="str">
        <f>DiscreteStatsTable[[#This Row],[ProjectName]]&amp;DiscreteStatsTable[[#This Row],[Name]]&amp;DiscreteStatsTable[[#This Row],[Type]]&amp;DiscreteStatsTable[[#This Row],[Source]]</f>
        <v>Unnamed ProjectArquivosVA TimeEntity</v>
      </c>
      <c r="M150" s="5" cm="1">
        <f t="array" ref="M150">MAX(IF((ProjectInfoTable[ProjectName]=DiscreteStatsTable[[#This Row],[ProjectName]]),(ProjectInfoTable[ProjectName]=DiscreteStatsTable[[#This Row],[ProjectName]])*ProjectInfoTable[NumberOfReplications]))</f>
        <v>50</v>
      </c>
      <c r="N150" s="5" cm="1">
        <f t="array" ref="N150">IFERROR(AVERAGE(IF((DiscreteStatsTable[GroupByKey]=DiscreteStatsTable[[#This Row],[GroupByKey]]),(DiscreteStatsTable[GroupByKey]=DiscreteStatsTable[[#This Row],[GroupByKey]])*DiscreteStatsTable[Average])),0)</f>
        <v>2.3123810058270009</v>
      </c>
      <c r="O150" s="5" cm="1">
        <f t="array" ref="O150">IFERROR(_xlfn.STDEV.S(IF((DiscreteStatsTable[GroupByKey]=DiscreteStatsTable[[#This Row],[GroupByKey]]),(DiscreteStatsTable[GroupByKey]=DiscreteStatsTable[[#This Row],[GroupByKey]])*DiscreteStatsTable[Average])),0)</f>
        <v>0.47735516285795621</v>
      </c>
      <c r="P150" s="5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 s="5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0.13566283623888314</v>
      </c>
      <c r="R150" s="5" cm="1">
        <f t="array" ref="R150">MIN(IF((DiscreteStatsTable[GroupByKey]=DiscreteStatsTable[[#This Row],[GroupByKey]]),(DiscreteStatsTable[GroupByKey]=DiscreteStatsTable[[#This Row],[GroupByKey]])*DiscreteStatsTable[Average]))</f>
        <v>1.3773415743205399</v>
      </c>
      <c r="S150" s="5" cm="1">
        <f t="array" ref="S150">MAX(IF((DiscreteStatsTable[GroupByKey]=DiscreteStatsTable[[#This Row],[GroupByKey]]),(DiscreteStatsTable[GroupByKey]=DiscreteStatsTable[[#This Row],[GroupByKey]])*DiscreteStatsTable[Average]))</f>
        <v>3.3139161730180202</v>
      </c>
      <c r="T150" s="5" cm="1">
        <f t="array" ref="T150">MIN(IF((DiscreteStatsTable[GroupByKey]=DiscreteStatsTable[[#This Row],[GroupByKey]]),(DiscreteStatsTable[GroupByKey]=DiscreteStatsTable[[#This Row],[GroupByKey]])*DiscreteStatsTable[Minimum]))</f>
        <v>0.58847912081681497</v>
      </c>
      <c r="U150" s="5" cm="1">
        <f t="array" ref="U150">MAX(IF((DiscreteStatsTable[GroupByKey]=DiscreteStatsTable[[#This Row],[GroupByKey]]),(DiscreteStatsTable[GroupByKey]=DiscreteStatsTable[[#This Row],[GroupByKey]])*DiscreteStatsTable[Maximum]))</f>
        <v>4.9756405925629998</v>
      </c>
      <c r="V150" s="5" cm="1">
        <f t="array" ref="V150">IFERROR(AVERAGE(IF((DiscreteStatsTable[GroupByKey]=DiscreteStatsTable[[#This Row],[GroupByKey]]),(DiscreteStatsTable[GroupByKey]=DiscreteStatsTable[[#This Row],[GroupByKey]])*DiscreteStatsTable[NumberObservations])),0)</f>
        <v>3.62</v>
      </c>
      <c r="W150" s="5">
        <f>IF((DiscreteStatsTable[[#This Row],[RepsRequested]]&gt;1),DiscreteStatsTable[[#This Row],[HalfWidth]],DiscreteStatsTable[[#This Row],[BatchMeansHalfWidth]])</f>
        <v>0.13566283623888314</v>
      </c>
      <c r="X150" s="5" cm="1">
        <f t="array" ref="X150">COUNT(IF((DiscreteStatsTable[GroupByKey]=DiscreteStatsTable[[#This Row],[GroupByKey]]),(DiscreteStatsTable[GroupByKey]=DiscreteStatsTable[[#This Row],[GroupByKey]])*DiscreteStatsTable[Replication]))</f>
        <v>50</v>
      </c>
      <c r="Y150" s="5">
        <f>IF(DiscreteStatsTable[[#This Row],[RepsRequested]]=DiscreteStatsTable[[#This Row],[RepsWithStatObserved]],1,0)</f>
        <v>1</v>
      </c>
    </row>
    <row r="151" spans="1:25" x14ac:dyDescent="0.35">
      <c r="A151" t="s">
        <v>66</v>
      </c>
      <c r="B151" t="s">
        <v>69</v>
      </c>
      <c r="C151">
        <v>25</v>
      </c>
      <c r="D151" t="s">
        <v>70</v>
      </c>
      <c r="E151" t="s">
        <v>77</v>
      </c>
      <c r="F151" t="s">
        <v>72</v>
      </c>
      <c r="G151">
        <v>0.726362624000645</v>
      </c>
      <c r="H151">
        <v>2E+20</v>
      </c>
      <c r="I151">
        <v>0</v>
      </c>
      <c r="J151">
        <v>1.4907508904236</v>
      </c>
      <c r="K151">
        <v>4</v>
      </c>
      <c r="L151" s="5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151" s="5" cm="1">
        <f t="array" ref="M151">MAX(IF((ProjectInfoTable[ProjectName]=DiscreteStatsTable[[#This Row],[ProjectName]]),(ProjectInfoTable[ProjectName]=DiscreteStatsTable[[#This Row],[ProjectName]])*ProjectInfoTable[NumberOfReplications]))</f>
        <v>50</v>
      </c>
      <c r="N151" s="5" cm="1">
        <f t="array" ref="N151">IFERROR(AVERAGE(IF((DiscreteStatsTable[GroupByKey]=DiscreteStatsTable[[#This Row],[GroupByKey]]),(DiscreteStatsTable[GroupByKey]=DiscreteStatsTable[[#This Row],[GroupByKey]])*DiscreteStatsTable[Average])),0)</f>
        <v>1.2240084441262762</v>
      </c>
      <c r="O151" s="5" cm="1">
        <f t="array" ref="O151">IFERROR(_xlfn.STDEV.S(IF((DiscreteStatsTable[GroupByKey]=DiscreteStatsTable[[#This Row],[GroupByKey]]),(DiscreteStatsTable[GroupByKey]=DiscreteStatsTable[[#This Row],[GroupByKey]])*DiscreteStatsTable[Average])),0)</f>
        <v>0.89867905452837749</v>
      </c>
      <c r="P151" s="5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 s="5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0.2554017613968404</v>
      </c>
      <c r="R151" s="5" cm="1">
        <f t="array" ref="R151">MIN(IF((DiscreteStatsTable[GroupByKey]=DiscreteStatsTable[[#This Row],[GroupByKey]]),(DiscreteStatsTable[GroupByKey]=DiscreteStatsTable[[#This Row],[GroupByKey]])*DiscreteStatsTable[Average]))</f>
        <v>0</v>
      </c>
      <c r="S151" s="5" cm="1">
        <f t="array" ref="S151">MAX(IF((DiscreteStatsTable[GroupByKey]=DiscreteStatsTable[[#This Row],[GroupByKey]]),(DiscreteStatsTable[GroupByKey]=DiscreteStatsTable[[#This Row],[GroupByKey]])*DiscreteStatsTable[Average]))</f>
        <v>3.4345522286517598</v>
      </c>
      <c r="T151" s="5" cm="1">
        <f t="array" ref="T151">MIN(IF((DiscreteStatsTable[GroupByKey]=DiscreteStatsTable[[#This Row],[GroupByKey]]),(DiscreteStatsTable[GroupByKey]=DiscreteStatsTable[[#This Row],[GroupByKey]])*DiscreteStatsTable[Minimum]))</f>
        <v>0</v>
      </c>
      <c r="U151" s="5" cm="1">
        <f t="array" ref="U151">MAX(IF((DiscreteStatsTable[GroupByKey]=DiscreteStatsTable[[#This Row],[GroupByKey]]),(DiscreteStatsTable[GroupByKey]=DiscreteStatsTable[[#This Row],[GroupByKey]])*DiscreteStatsTable[Maximum]))</f>
        <v>6.7563093676697896</v>
      </c>
      <c r="V151" s="5" cm="1">
        <f t="array" ref="V151">IFERROR(AVERAGE(IF((DiscreteStatsTable[GroupByKey]=DiscreteStatsTable[[#This Row],[GroupByKey]]),(DiscreteStatsTable[GroupByKey]=DiscreteStatsTable[[#This Row],[GroupByKey]])*DiscreteStatsTable[NumberObservations])),0)</f>
        <v>3.62</v>
      </c>
      <c r="W151" s="5">
        <f>IF((DiscreteStatsTable[[#This Row],[RepsRequested]]&gt;1),DiscreteStatsTable[[#This Row],[HalfWidth]],DiscreteStatsTable[[#This Row],[BatchMeansHalfWidth]])</f>
        <v>0.2554017613968404</v>
      </c>
      <c r="X151" s="5" cm="1">
        <f t="array" ref="X151">COUNT(IF((DiscreteStatsTable[GroupByKey]=DiscreteStatsTable[[#This Row],[GroupByKey]]),(DiscreteStatsTable[GroupByKey]=DiscreteStatsTable[[#This Row],[GroupByKey]])*DiscreteStatsTable[Replication]))</f>
        <v>50</v>
      </c>
      <c r="Y151" s="5">
        <f>IF(DiscreteStatsTable[[#This Row],[RepsRequested]]=DiscreteStatsTable[[#This Row],[RepsWithStatObserved]],1,0)</f>
        <v>1</v>
      </c>
    </row>
    <row r="152" spans="1:25" x14ac:dyDescent="0.35">
      <c r="A152" t="s">
        <v>66</v>
      </c>
      <c r="B152" t="s">
        <v>69</v>
      </c>
      <c r="C152">
        <v>26</v>
      </c>
      <c r="D152" t="s">
        <v>70</v>
      </c>
      <c r="E152" t="s">
        <v>71</v>
      </c>
      <c r="F152" t="s">
        <v>72</v>
      </c>
      <c r="G152">
        <v>0</v>
      </c>
      <c r="H152">
        <v>2E+20</v>
      </c>
      <c r="I152">
        <v>0</v>
      </c>
      <c r="J152">
        <v>0</v>
      </c>
      <c r="K152">
        <v>3</v>
      </c>
      <c r="L152" s="5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152" s="5" cm="1">
        <f t="array" ref="M152">MAX(IF((ProjectInfoTable[ProjectName]=DiscreteStatsTable[[#This Row],[ProjectName]]),(ProjectInfoTable[ProjectName]=DiscreteStatsTable[[#This Row],[ProjectName]])*ProjectInfoTable[NumberOfReplications]))</f>
        <v>50</v>
      </c>
      <c r="N152" s="5" cm="1">
        <f t="array" ref="N152">IFERROR(AVERAGE(IF((DiscreteStatsTable[GroupByKey]=DiscreteStatsTable[[#This Row],[GroupByKey]]),(DiscreteStatsTable[GroupByKey]=DiscreteStatsTable[[#This Row],[GroupByKey]])*DiscreteStatsTable[Average])),0)</f>
        <v>0</v>
      </c>
      <c r="O152" s="5" cm="1">
        <f t="array" ref="O152">IFERROR(_xlfn.STDEV.S(IF((DiscreteStatsTable[GroupByKey]=DiscreteStatsTable[[#This Row],[GroupByKey]]),(DiscreteStatsTable[GroupByKey]=DiscreteStatsTable[[#This Row],[GroupByKey]])*DiscreteStatsTable[Average])),0)</f>
        <v>0</v>
      </c>
      <c r="P152" s="5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 s="5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2" s="5" cm="1">
        <f t="array" ref="R152">MIN(IF((DiscreteStatsTable[GroupByKey]=DiscreteStatsTable[[#This Row],[GroupByKey]]),(DiscreteStatsTable[GroupByKey]=DiscreteStatsTable[[#This Row],[GroupByKey]])*DiscreteStatsTable[Average]))</f>
        <v>0</v>
      </c>
      <c r="S152" s="5" cm="1">
        <f t="array" ref="S152">MAX(IF((DiscreteStatsTable[GroupByKey]=DiscreteStatsTable[[#This Row],[GroupByKey]]),(DiscreteStatsTable[GroupByKey]=DiscreteStatsTable[[#This Row],[GroupByKey]])*DiscreteStatsTable[Average]))</f>
        <v>0</v>
      </c>
      <c r="T152" s="5" cm="1">
        <f t="array" ref="T152">MIN(IF((DiscreteStatsTable[GroupByKey]=DiscreteStatsTable[[#This Row],[GroupByKey]]),(DiscreteStatsTable[GroupByKey]=DiscreteStatsTable[[#This Row],[GroupByKey]])*DiscreteStatsTable[Minimum]))</f>
        <v>0</v>
      </c>
      <c r="U152" s="5" cm="1">
        <f t="array" ref="U152">MAX(IF((DiscreteStatsTable[GroupByKey]=DiscreteStatsTable[[#This Row],[GroupByKey]]),(DiscreteStatsTable[GroupByKey]=DiscreteStatsTable[[#This Row],[GroupByKey]])*DiscreteStatsTable[Maximum]))</f>
        <v>0</v>
      </c>
      <c r="V152" s="5" cm="1">
        <f t="array" ref="V152">IFERROR(AVERAGE(IF((DiscreteStatsTable[GroupByKey]=DiscreteStatsTable[[#This Row],[GroupByKey]]),(DiscreteStatsTable[GroupByKey]=DiscreteStatsTable[[#This Row],[GroupByKey]])*DiscreteStatsTable[NumberObservations])),0)</f>
        <v>3.62</v>
      </c>
      <c r="W152" s="5">
        <f>IF((DiscreteStatsTable[[#This Row],[RepsRequested]]&gt;1),DiscreteStatsTable[[#This Row],[HalfWidth]],DiscreteStatsTable[[#This Row],[BatchMeansHalfWidth]])</f>
        <v>0</v>
      </c>
      <c r="X152" s="5" cm="1">
        <f t="array" ref="X152">COUNT(IF((DiscreteStatsTable[GroupByKey]=DiscreteStatsTable[[#This Row],[GroupByKey]]),(DiscreteStatsTable[GroupByKey]=DiscreteStatsTable[[#This Row],[GroupByKey]])*DiscreteStatsTable[Replication]))</f>
        <v>50</v>
      </c>
      <c r="Y152" s="5">
        <f>IF(DiscreteStatsTable[[#This Row],[RepsRequested]]=DiscreteStatsTable[[#This Row],[RepsWithStatObserved]],1,0)</f>
        <v>1</v>
      </c>
    </row>
    <row r="153" spans="1:25" x14ac:dyDescent="0.35">
      <c r="A153" t="s">
        <v>66</v>
      </c>
      <c r="B153" t="s">
        <v>69</v>
      </c>
      <c r="C153">
        <v>26</v>
      </c>
      <c r="D153" t="s">
        <v>70</v>
      </c>
      <c r="E153" t="s">
        <v>73</v>
      </c>
      <c r="F153" t="s">
        <v>72</v>
      </c>
      <c r="G153">
        <v>0</v>
      </c>
      <c r="H153">
        <v>2E+20</v>
      </c>
      <c r="I153">
        <v>0</v>
      </c>
      <c r="J153">
        <v>0</v>
      </c>
      <c r="K153">
        <v>3</v>
      </c>
      <c r="L153" s="5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153" s="5" cm="1">
        <f t="array" ref="M153">MAX(IF((ProjectInfoTable[ProjectName]=DiscreteStatsTable[[#This Row],[ProjectName]]),(ProjectInfoTable[ProjectName]=DiscreteStatsTable[[#This Row],[ProjectName]])*ProjectInfoTable[NumberOfReplications]))</f>
        <v>50</v>
      </c>
      <c r="N153" s="5" cm="1">
        <f t="array" ref="N153">IFERROR(AVERAGE(IF((DiscreteStatsTable[GroupByKey]=DiscreteStatsTable[[#This Row],[GroupByKey]]),(DiscreteStatsTable[GroupByKey]=DiscreteStatsTable[[#This Row],[GroupByKey]])*DiscreteStatsTable[Average])),0)</f>
        <v>0</v>
      </c>
      <c r="O153" s="5" cm="1">
        <f t="array" ref="O153">IFERROR(_xlfn.STDEV.S(IF((DiscreteStatsTable[GroupByKey]=DiscreteStatsTable[[#This Row],[GroupByKey]]),(DiscreteStatsTable[GroupByKey]=DiscreteStatsTable[[#This Row],[GroupByKey]])*DiscreteStatsTable[Average])),0)</f>
        <v>0</v>
      </c>
      <c r="P153" s="5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 s="5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3" s="5" cm="1">
        <f t="array" ref="R153">MIN(IF((DiscreteStatsTable[GroupByKey]=DiscreteStatsTable[[#This Row],[GroupByKey]]),(DiscreteStatsTable[GroupByKey]=DiscreteStatsTable[[#This Row],[GroupByKey]])*DiscreteStatsTable[Average]))</f>
        <v>0</v>
      </c>
      <c r="S153" s="5" cm="1">
        <f t="array" ref="S153">MAX(IF((DiscreteStatsTable[GroupByKey]=DiscreteStatsTable[[#This Row],[GroupByKey]]),(DiscreteStatsTable[GroupByKey]=DiscreteStatsTable[[#This Row],[GroupByKey]])*DiscreteStatsTable[Average]))</f>
        <v>0</v>
      </c>
      <c r="T153" s="5" cm="1">
        <f t="array" ref="T153">MIN(IF((DiscreteStatsTable[GroupByKey]=DiscreteStatsTable[[#This Row],[GroupByKey]]),(DiscreteStatsTable[GroupByKey]=DiscreteStatsTable[[#This Row],[GroupByKey]])*DiscreteStatsTable[Minimum]))</f>
        <v>0</v>
      </c>
      <c r="U153" s="5" cm="1">
        <f t="array" ref="U153">MAX(IF((DiscreteStatsTable[GroupByKey]=DiscreteStatsTable[[#This Row],[GroupByKey]]),(DiscreteStatsTable[GroupByKey]=DiscreteStatsTable[[#This Row],[GroupByKey]])*DiscreteStatsTable[Maximum]))</f>
        <v>0</v>
      </c>
      <c r="V153" s="5" cm="1">
        <f t="array" ref="V153">IFERROR(AVERAGE(IF((DiscreteStatsTable[GroupByKey]=DiscreteStatsTable[[#This Row],[GroupByKey]]),(DiscreteStatsTable[GroupByKey]=DiscreteStatsTable[[#This Row],[GroupByKey]])*DiscreteStatsTable[NumberObservations])),0)</f>
        <v>3.62</v>
      </c>
      <c r="W153" s="5">
        <f>IF((DiscreteStatsTable[[#This Row],[RepsRequested]]&gt;1),DiscreteStatsTable[[#This Row],[HalfWidth]],DiscreteStatsTable[[#This Row],[BatchMeansHalfWidth]])</f>
        <v>0</v>
      </c>
      <c r="X153" s="5" cm="1">
        <f t="array" ref="X153">COUNT(IF((DiscreteStatsTable[GroupByKey]=DiscreteStatsTable[[#This Row],[GroupByKey]]),(DiscreteStatsTable[GroupByKey]=DiscreteStatsTable[[#This Row],[GroupByKey]])*DiscreteStatsTable[Replication]))</f>
        <v>50</v>
      </c>
      <c r="Y153" s="5">
        <f>IF(DiscreteStatsTable[[#This Row],[RepsRequested]]=DiscreteStatsTable[[#This Row],[RepsWithStatObserved]],1,0)</f>
        <v>1</v>
      </c>
    </row>
    <row r="154" spans="1:25" x14ac:dyDescent="0.35">
      <c r="A154" t="s">
        <v>66</v>
      </c>
      <c r="B154" t="s">
        <v>69</v>
      </c>
      <c r="C154">
        <v>26</v>
      </c>
      <c r="D154" t="s">
        <v>70</v>
      </c>
      <c r="E154" t="s">
        <v>74</v>
      </c>
      <c r="F154" t="s">
        <v>72</v>
      </c>
      <c r="G154">
        <v>4.0504665953907901</v>
      </c>
      <c r="H154">
        <v>2E+20</v>
      </c>
      <c r="I154">
        <v>3.5622901401544298</v>
      </c>
      <c r="J154">
        <v>4.7671725305033998</v>
      </c>
      <c r="K154">
        <v>3</v>
      </c>
      <c r="L154" s="5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154" s="5" cm="1">
        <f t="array" ref="M154">MAX(IF((ProjectInfoTable[ProjectName]=DiscreteStatsTable[[#This Row],[ProjectName]]),(ProjectInfoTable[ProjectName]=DiscreteStatsTable[[#This Row],[ProjectName]])*ProjectInfoTable[NumberOfReplications]))</f>
        <v>50</v>
      </c>
      <c r="N154" s="5" cm="1">
        <f t="array" ref="N154">IFERROR(AVERAGE(IF((DiscreteStatsTable[GroupByKey]=DiscreteStatsTable[[#This Row],[GroupByKey]]),(DiscreteStatsTable[GroupByKey]=DiscreteStatsTable[[#This Row],[GroupByKey]])*DiscreteStatsTable[Average])),0)</f>
        <v>3.5363894499532775</v>
      </c>
      <c r="O154" s="5" cm="1">
        <f t="array" ref="O154">IFERROR(_xlfn.STDEV.S(IF((DiscreteStatsTable[GroupByKey]=DiscreteStatsTable[[#This Row],[GroupByKey]]),(DiscreteStatsTable[GroupByKey]=DiscreteStatsTable[[#This Row],[GroupByKey]])*DiscreteStatsTable[Average])),0)</f>
        <v>1.1766434570133149</v>
      </c>
      <c r="P154" s="5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 s="5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0.33439837052280896</v>
      </c>
      <c r="R154" s="5" cm="1">
        <f t="array" ref="R154">MIN(IF((DiscreteStatsTable[GroupByKey]=DiscreteStatsTable[[#This Row],[GroupByKey]]),(DiscreteStatsTable[GroupByKey]=DiscreteStatsTable[[#This Row],[GroupByKey]])*DiscreteStatsTable[Average]))</f>
        <v>1.6342264652107701</v>
      </c>
      <c r="S154" s="5" cm="1">
        <f t="array" ref="S154">MAX(IF((DiscreteStatsTable[GroupByKey]=DiscreteStatsTable[[#This Row],[GroupByKey]]),(DiscreteStatsTable[GroupByKey]=DiscreteStatsTable[[#This Row],[GroupByKey]])*DiscreteStatsTable[Average]))</f>
        <v>6.5527373550837904</v>
      </c>
      <c r="T154" s="5" cm="1">
        <f t="array" ref="T154">MIN(IF((DiscreteStatsTable[GroupByKey]=DiscreteStatsTable[[#This Row],[GroupByKey]]),(DiscreteStatsTable[GroupByKey]=DiscreteStatsTable[[#This Row],[GroupByKey]])*DiscreteStatsTable[Minimum]))</f>
        <v>0.58847912081681497</v>
      </c>
      <c r="U154" s="5" cm="1">
        <f t="array" ref="U154">MAX(IF((DiscreteStatsTable[GroupByKey]=DiscreteStatsTable[[#This Row],[GroupByKey]]),(DiscreteStatsTable[GroupByKey]=DiscreteStatsTable[[#This Row],[GroupByKey]])*DiscreteStatsTable[Maximum]))</f>
        <v>8.7476494546828292</v>
      </c>
      <c r="V154" s="5" cm="1">
        <f t="array" ref="V154">IFERROR(AVERAGE(IF((DiscreteStatsTable[GroupByKey]=DiscreteStatsTable[[#This Row],[GroupByKey]]),(DiscreteStatsTable[GroupByKey]=DiscreteStatsTable[[#This Row],[GroupByKey]])*DiscreteStatsTable[NumberObservations])),0)</f>
        <v>3.62</v>
      </c>
      <c r="W154" s="5">
        <f>IF((DiscreteStatsTable[[#This Row],[RepsRequested]]&gt;1),DiscreteStatsTable[[#This Row],[HalfWidth]],DiscreteStatsTable[[#This Row],[BatchMeansHalfWidth]])</f>
        <v>0.33439837052280896</v>
      </c>
      <c r="X154" s="5" cm="1">
        <f t="array" ref="X154">COUNT(IF((DiscreteStatsTable[GroupByKey]=DiscreteStatsTable[[#This Row],[GroupByKey]]),(DiscreteStatsTable[GroupByKey]=DiscreteStatsTable[[#This Row],[GroupByKey]])*DiscreteStatsTable[Replication]))</f>
        <v>50</v>
      </c>
      <c r="Y154" s="5">
        <f>IF(DiscreteStatsTable[[#This Row],[RepsRequested]]=DiscreteStatsTable[[#This Row],[RepsWithStatObserved]],1,0)</f>
        <v>1</v>
      </c>
    </row>
    <row r="155" spans="1:25" x14ac:dyDescent="0.35">
      <c r="A155" t="s">
        <v>66</v>
      </c>
      <c r="B155" t="s">
        <v>69</v>
      </c>
      <c r="C155">
        <v>26</v>
      </c>
      <c r="D155" t="s">
        <v>70</v>
      </c>
      <c r="E155" t="s">
        <v>75</v>
      </c>
      <c r="F155" t="s">
        <v>72</v>
      </c>
      <c r="G155">
        <v>0</v>
      </c>
      <c r="H155">
        <v>2E+20</v>
      </c>
      <c r="I155">
        <v>0</v>
      </c>
      <c r="J155">
        <v>0</v>
      </c>
      <c r="K155">
        <v>3</v>
      </c>
      <c r="L155" s="5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155" s="5" cm="1">
        <f t="array" ref="M155">MAX(IF((ProjectInfoTable[ProjectName]=DiscreteStatsTable[[#This Row],[ProjectName]]),(ProjectInfoTable[ProjectName]=DiscreteStatsTable[[#This Row],[ProjectName]])*ProjectInfoTable[NumberOfReplications]))</f>
        <v>50</v>
      </c>
      <c r="N155" s="5" cm="1">
        <f t="array" ref="N155">IFERROR(AVERAGE(IF((DiscreteStatsTable[GroupByKey]=DiscreteStatsTable[[#This Row],[GroupByKey]]),(DiscreteStatsTable[GroupByKey]=DiscreteStatsTable[[#This Row],[GroupByKey]])*DiscreteStatsTable[Average])),0)</f>
        <v>0</v>
      </c>
      <c r="O155" s="5" cm="1">
        <f t="array" ref="O155">IFERROR(_xlfn.STDEV.S(IF((DiscreteStatsTable[GroupByKey]=DiscreteStatsTable[[#This Row],[GroupByKey]]),(DiscreteStatsTable[GroupByKey]=DiscreteStatsTable[[#This Row],[GroupByKey]])*DiscreteStatsTable[Average])),0)</f>
        <v>0</v>
      </c>
      <c r="P155" s="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 s="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5" s="5" cm="1">
        <f t="array" ref="R155">MIN(IF((DiscreteStatsTable[GroupByKey]=DiscreteStatsTable[[#This Row],[GroupByKey]]),(DiscreteStatsTable[GroupByKey]=DiscreteStatsTable[[#This Row],[GroupByKey]])*DiscreteStatsTable[Average]))</f>
        <v>0</v>
      </c>
      <c r="S155" s="5" cm="1">
        <f t="array" ref="S155">MAX(IF((DiscreteStatsTable[GroupByKey]=DiscreteStatsTable[[#This Row],[GroupByKey]]),(DiscreteStatsTable[GroupByKey]=DiscreteStatsTable[[#This Row],[GroupByKey]])*DiscreteStatsTable[Average]))</f>
        <v>0</v>
      </c>
      <c r="T155" s="5" cm="1">
        <f t="array" ref="T155">MIN(IF((DiscreteStatsTable[GroupByKey]=DiscreteStatsTable[[#This Row],[GroupByKey]]),(DiscreteStatsTable[GroupByKey]=DiscreteStatsTable[[#This Row],[GroupByKey]])*DiscreteStatsTable[Minimum]))</f>
        <v>0</v>
      </c>
      <c r="U155" s="5" cm="1">
        <f t="array" ref="U155">MAX(IF((DiscreteStatsTable[GroupByKey]=DiscreteStatsTable[[#This Row],[GroupByKey]]),(DiscreteStatsTable[GroupByKey]=DiscreteStatsTable[[#This Row],[GroupByKey]])*DiscreteStatsTable[Maximum]))</f>
        <v>0</v>
      </c>
      <c r="V155" s="5" cm="1">
        <f t="array" ref="V155">IFERROR(AVERAGE(IF((DiscreteStatsTable[GroupByKey]=DiscreteStatsTable[[#This Row],[GroupByKey]]),(DiscreteStatsTable[GroupByKey]=DiscreteStatsTable[[#This Row],[GroupByKey]])*DiscreteStatsTable[NumberObservations])),0)</f>
        <v>3.62</v>
      </c>
      <c r="W155" s="5">
        <f>IF((DiscreteStatsTable[[#This Row],[RepsRequested]]&gt;1),DiscreteStatsTable[[#This Row],[HalfWidth]],DiscreteStatsTable[[#This Row],[BatchMeansHalfWidth]])</f>
        <v>0</v>
      </c>
      <c r="X155" s="5" cm="1">
        <f t="array" ref="X155">COUNT(IF((DiscreteStatsTable[GroupByKey]=DiscreteStatsTable[[#This Row],[GroupByKey]]),(DiscreteStatsTable[GroupByKey]=DiscreteStatsTable[[#This Row],[GroupByKey]])*DiscreteStatsTable[Replication]))</f>
        <v>50</v>
      </c>
      <c r="Y155" s="5">
        <f>IF(DiscreteStatsTable[[#This Row],[RepsRequested]]=DiscreteStatsTable[[#This Row],[RepsWithStatObserved]],1,0)</f>
        <v>1</v>
      </c>
    </row>
    <row r="156" spans="1:25" x14ac:dyDescent="0.35">
      <c r="A156" t="s">
        <v>66</v>
      </c>
      <c r="B156" t="s">
        <v>69</v>
      </c>
      <c r="C156">
        <v>26</v>
      </c>
      <c r="D156" t="s">
        <v>70</v>
      </c>
      <c r="E156" t="s">
        <v>76</v>
      </c>
      <c r="F156" t="s">
        <v>72</v>
      </c>
      <c r="G156">
        <v>3.1818048470858802</v>
      </c>
      <c r="H156">
        <v>2E+20</v>
      </c>
      <c r="I156">
        <v>2.1611872855886598</v>
      </c>
      <c r="J156">
        <v>3.8219371155145501</v>
      </c>
      <c r="K156">
        <v>3</v>
      </c>
      <c r="L156" s="5" t="str">
        <f>DiscreteStatsTable[[#This Row],[ProjectName]]&amp;DiscreteStatsTable[[#This Row],[Name]]&amp;DiscreteStatsTable[[#This Row],[Type]]&amp;DiscreteStatsTable[[#This Row],[Source]]</f>
        <v>Unnamed ProjectArquivosVA TimeEntity</v>
      </c>
      <c r="M156" s="5" cm="1">
        <f t="array" ref="M156">MAX(IF((ProjectInfoTable[ProjectName]=DiscreteStatsTable[[#This Row],[ProjectName]]),(ProjectInfoTable[ProjectName]=DiscreteStatsTable[[#This Row],[ProjectName]])*ProjectInfoTable[NumberOfReplications]))</f>
        <v>50</v>
      </c>
      <c r="N156" s="5" cm="1">
        <f t="array" ref="N156">IFERROR(AVERAGE(IF((DiscreteStatsTable[GroupByKey]=DiscreteStatsTable[[#This Row],[GroupByKey]]),(DiscreteStatsTable[GroupByKey]=DiscreteStatsTable[[#This Row],[GroupByKey]])*DiscreteStatsTable[Average])),0)</f>
        <v>2.3123810058270009</v>
      </c>
      <c r="O156" s="5" cm="1">
        <f t="array" ref="O156">IFERROR(_xlfn.STDEV.S(IF((DiscreteStatsTable[GroupByKey]=DiscreteStatsTable[[#This Row],[GroupByKey]]),(DiscreteStatsTable[GroupByKey]=DiscreteStatsTable[[#This Row],[GroupByKey]])*DiscreteStatsTable[Average])),0)</f>
        <v>0.47735516285795621</v>
      </c>
      <c r="P156" s="5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 s="5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0.13566283623888314</v>
      </c>
      <c r="R156" s="5" cm="1">
        <f t="array" ref="R156">MIN(IF((DiscreteStatsTable[GroupByKey]=DiscreteStatsTable[[#This Row],[GroupByKey]]),(DiscreteStatsTable[GroupByKey]=DiscreteStatsTable[[#This Row],[GroupByKey]])*DiscreteStatsTable[Average]))</f>
        <v>1.3773415743205399</v>
      </c>
      <c r="S156" s="5" cm="1">
        <f t="array" ref="S156">MAX(IF((DiscreteStatsTable[GroupByKey]=DiscreteStatsTable[[#This Row],[GroupByKey]]),(DiscreteStatsTable[GroupByKey]=DiscreteStatsTable[[#This Row],[GroupByKey]])*DiscreteStatsTable[Average]))</f>
        <v>3.3139161730180202</v>
      </c>
      <c r="T156" s="5" cm="1">
        <f t="array" ref="T156">MIN(IF((DiscreteStatsTable[GroupByKey]=DiscreteStatsTable[[#This Row],[GroupByKey]]),(DiscreteStatsTable[GroupByKey]=DiscreteStatsTable[[#This Row],[GroupByKey]])*DiscreteStatsTable[Minimum]))</f>
        <v>0.58847912081681497</v>
      </c>
      <c r="U156" s="5" cm="1">
        <f t="array" ref="U156">MAX(IF((DiscreteStatsTable[GroupByKey]=DiscreteStatsTable[[#This Row],[GroupByKey]]),(DiscreteStatsTable[GroupByKey]=DiscreteStatsTable[[#This Row],[GroupByKey]])*DiscreteStatsTable[Maximum]))</f>
        <v>4.9756405925629998</v>
      </c>
      <c r="V156" s="5" cm="1">
        <f t="array" ref="V156">IFERROR(AVERAGE(IF((DiscreteStatsTable[GroupByKey]=DiscreteStatsTable[[#This Row],[GroupByKey]]),(DiscreteStatsTable[GroupByKey]=DiscreteStatsTable[[#This Row],[GroupByKey]])*DiscreteStatsTable[NumberObservations])),0)</f>
        <v>3.62</v>
      </c>
      <c r="W156" s="5">
        <f>IF((DiscreteStatsTable[[#This Row],[RepsRequested]]&gt;1),DiscreteStatsTable[[#This Row],[HalfWidth]],DiscreteStatsTable[[#This Row],[BatchMeansHalfWidth]])</f>
        <v>0.13566283623888314</v>
      </c>
      <c r="X156" s="5" cm="1">
        <f t="array" ref="X156">COUNT(IF((DiscreteStatsTable[GroupByKey]=DiscreteStatsTable[[#This Row],[GroupByKey]]),(DiscreteStatsTable[GroupByKey]=DiscreteStatsTable[[#This Row],[GroupByKey]])*DiscreteStatsTable[Replication]))</f>
        <v>50</v>
      </c>
      <c r="Y156" s="5">
        <f>IF(DiscreteStatsTable[[#This Row],[RepsRequested]]=DiscreteStatsTable[[#This Row],[RepsWithStatObserved]],1,0)</f>
        <v>1</v>
      </c>
    </row>
    <row r="157" spans="1:25" x14ac:dyDescent="0.35">
      <c r="A157" t="s">
        <v>66</v>
      </c>
      <c r="B157" t="s">
        <v>69</v>
      </c>
      <c r="C157">
        <v>26</v>
      </c>
      <c r="D157" t="s">
        <v>70</v>
      </c>
      <c r="E157" t="s">
        <v>77</v>
      </c>
      <c r="F157" t="s">
        <v>72</v>
      </c>
      <c r="G157">
        <v>0.86866174830491505</v>
      </c>
      <c r="H157">
        <v>2E+20</v>
      </c>
      <c r="I157">
        <v>0</v>
      </c>
      <c r="J157">
        <v>2.6059852449147498</v>
      </c>
      <c r="K157">
        <v>3</v>
      </c>
      <c r="L157" s="5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157" s="5" cm="1">
        <f t="array" ref="M157">MAX(IF((ProjectInfoTable[ProjectName]=DiscreteStatsTable[[#This Row],[ProjectName]]),(ProjectInfoTable[ProjectName]=DiscreteStatsTable[[#This Row],[ProjectName]])*ProjectInfoTable[NumberOfReplications]))</f>
        <v>50</v>
      </c>
      <c r="N157" s="5" cm="1">
        <f t="array" ref="N157">IFERROR(AVERAGE(IF((DiscreteStatsTable[GroupByKey]=DiscreteStatsTable[[#This Row],[GroupByKey]]),(DiscreteStatsTable[GroupByKey]=DiscreteStatsTable[[#This Row],[GroupByKey]])*DiscreteStatsTable[Average])),0)</f>
        <v>1.2240084441262762</v>
      </c>
      <c r="O157" s="5" cm="1">
        <f t="array" ref="O157">IFERROR(_xlfn.STDEV.S(IF((DiscreteStatsTable[GroupByKey]=DiscreteStatsTable[[#This Row],[GroupByKey]]),(DiscreteStatsTable[GroupByKey]=DiscreteStatsTable[[#This Row],[GroupByKey]])*DiscreteStatsTable[Average])),0)</f>
        <v>0.89867905452837749</v>
      </c>
      <c r="P157" s="5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 s="5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0.2554017613968404</v>
      </c>
      <c r="R157" s="5" cm="1">
        <f t="array" ref="R157">MIN(IF((DiscreteStatsTable[GroupByKey]=DiscreteStatsTable[[#This Row],[GroupByKey]]),(DiscreteStatsTable[GroupByKey]=DiscreteStatsTable[[#This Row],[GroupByKey]])*DiscreteStatsTable[Average]))</f>
        <v>0</v>
      </c>
      <c r="S157" s="5" cm="1">
        <f t="array" ref="S157">MAX(IF((DiscreteStatsTable[GroupByKey]=DiscreteStatsTable[[#This Row],[GroupByKey]]),(DiscreteStatsTable[GroupByKey]=DiscreteStatsTable[[#This Row],[GroupByKey]])*DiscreteStatsTable[Average]))</f>
        <v>3.4345522286517598</v>
      </c>
      <c r="T157" s="5" cm="1">
        <f t="array" ref="T157">MIN(IF((DiscreteStatsTable[GroupByKey]=DiscreteStatsTable[[#This Row],[GroupByKey]]),(DiscreteStatsTable[GroupByKey]=DiscreteStatsTable[[#This Row],[GroupByKey]])*DiscreteStatsTable[Minimum]))</f>
        <v>0</v>
      </c>
      <c r="U157" s="5" cm="1">
        <f t="array" ref="U157">MAX(IF((DiscreteStatsTable[GroupByKey]=DiscreteStatsTable[[#This Row],[GroupByKey]]),(DiscreteStatsTable[GroupByKey]=DiscreteStatsTable[[#This Row],[GroupByKey]])*DiscreteStatsTable[Maximum]))</f>
        <v>6.7563093676697896</v>
      </c>
      <c r="V157" s="5" cm="1">
        <f t="array" ref="V157">IFERROR(AVERAGE(IF((DiscreteStatsTable[GroupByKey]=DiscreteStatsTable[[#This Row],[GroupByKey]]),(DiscreteStatsTable[GroupByKey]=DiscreteStatsTable[[#This Row],[GroupByKey]])*DiscreteStatsTable[NumberObservations])),0)</f>
        <v>3.62</v>
      </c>
      <c r="W157" s="5">
        <f>IF((DiscreteStatsTable[[#This Row],[RepsRequested]]&gt;1),DiscreteStatsTable[[#This Row],[HalfWidth]],DiscreteStatsTable[[#This Row],[BatchMeansHalfWidth]])</f>
        <v>0.2554017613968404</v>
      </c>
      <c r="X157" s="5" cm="1">
        <f t="array" ref="X157">COUNT(IF((DiscreteStatsTable[GroupByKey]=DiscreteStatsTable[[#This Row],[GroupByKey]]),(DiscreteStatsTable[GroupByKey]=DiscreteStatsTable[[#This Row],[GroupByKey]])*DiscreteStatsTable[Replication]))</f>
        <v>50</v>
      </c>
      <c r="Y157" s="5">
        <f>IF(DiscreteStatsTable[[#This Row],[RepsRequested]]=DiscreteStatsTable[[#This Row],[RepsWithStatObserved]],1,0)</f>
        <v>1</v>
      </c>
    </row>
    <row r="158" spans="1:25" x14ac:dyDescent="0.35">
      <c r="A158" t="s">
        <v>66</v>
      </c>
      <c r="B158" t="s">
        <v>69</v>
      </c>
      <c r="C158">
        <v>27</v>
      </c>
      <c r="D158" t="s">
        <v>70</v>
      </c>
      <c r="E158" t="s">
        <v>71</v>
      </c>
      <c r="F158" t="s">
        <v>72</v>
      </c>
      <c r="G158">
        <v>0</v>
      </c>
      <c r="H158">
        <v>2E+20</v>
      </c>
      <c r="I158">
        <v>0</v>
      </c>
      <c r="J158">
        <v>0</v>
      </c>
      <c r="K158">
        <v>4</v>
      </c>
      <c r="L158" s="5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158" s="5" cm="1">
        <f t="array" ref="M158">MAX(IF((ProjectInfoTable[ProjectName]=DiscreteStatsTable[[#This Row],[ProjectName]]),(ProjectInfoTable[ProjectName]=DiscreteStatsTable[[#This Row],[ProjectName]])*ProjectInfoTable[NumberOfReplications]))</f>
        <v>50</v>
      </c>
      <c r="N158" s="5" cm="1">
        <f t="array" ref="N158">IFERROR(AVERAGE(IF((DiscreteStatsTable[GroupByKey]=DiscreteStatsTable[[#This Row],[GroupByKey]]),(DiscreteStatsTable[GroupByKey]=DiscreteStatsTable[[#This Row],[GroupByKey]])*DiscreteStatsTable[Average])),0)</f>
        <v>0</v>
      </c>
      <c r="O158" s="5" cm="1">
        <f t="array" ref="O158">IFERROR(_xlfn.STDEV.S(IF((DiscreteStatsTable[GroupByKey]=DiscreteStatsTable[[#This Row],[GroupByKey]]),(DiscreteStatsTable[GroupByKey]=DiscreteStatsTable[[#This Row],[GroupByKey]])*DiscreteStatsTable[Average])),0)</f>
        <v>0</v>
      </c>
      <c r="P158" s="5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 s="5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8" s="5" cm="1">
        <f t="array" ref="R158">MIN(IF((DiscreteStatsTable[GroupByKey]=DiscreteStatsTable[[#This Row],[GroupByKey]]),(DiscreteStatsTable[GroupByKey]=DiscreteStatsTable[[#This Row],[GroupByKey]])*DiscreteStatsTable[Average]))</f>
        <v>0</v>
      </c>
      <c r="S158" s="5" cm="1">
        <f t="array" ref="S158">MAX(IF((DiscreteStatsTable[GroupByKey]=DiscreteStatsTable[[#This Row],[GroupByKey]]),(DiscreteStatsTable[GroupByKey]=DiscreteStatsTable[[#This Row],[GroupByKey]])*DiscreteStatsTable[Average]))</f>
        <v>0</v>
      </c>
      <c r="T158" s="5" cm="1">
        <f t="array" ref="T158">MIN(IF((DiscreteStatsTable[GroupByKey]=DiscreteStatsTable[[#This Row],[GroupByKey]]),(DiscreteStatsTable[GroupByKey]=DiscreteStatsTable[[#This Row],[GroupByKey]])*DiscreteStatsTable[Minimum]))</f>
        <v>0</v>
      </c>
      <c r="U158" s="5" cm="1">
        <f t="array" ref="U158">MAX(IF((DiscreteStatsTable[GroupByKey]=DiscreteStatsTable[[#This Row],[GroupByKey]]),(DiscreteStatsTable[GroupByKey]=DiscreteStatsTable[[#This Row],[GroupByKey]])*DiscreteStatsTable[Maximum]))</f>
        <v>0</v>
      </c>
      <c r="V158" s="5" cm="1">
        <f t="array" ref="V158">IFERROR(AVERAGE(IF((DiscreteStatsTable[GroupByKey]=DiscreteStatsTable[[#This Row],[GroupByKey]]),(DiscreteStatsTable[GroupByKey]=DiscreteStatsTable[[#This Row],[GroupByKey]])*DiscreteStatsTable[NumberObservations])),0)</f>
        <v>3.62</v>
      </c>
      <c r="W158" s="5">
        <f>IF((DiscreteStatsTable[[#This Row],[RepsRequested]]&gt;1),DiscreteStatsTable[[#This Row],[HalfWidth]],DiscreteStatsTable[[#This Row],[BatchMeansHalfWidth]])</f>
        <v>0</v>
      </c>
      <c r="X158" s="5" cm="1">
        <f t="array" ref="X158">COUNT(IF((DiscreteStatsTable[GroupByKey]=DiscreteStatsTable[[#This Row],[GroupByKey]]),(DiscreteStatsTable[GroupByKey]=DiscreteStatsTable[[#This Row],[GroupByKey]])*DiscreteStatsTable[Replication]))</f>
        <v>50</v>
      </c>
      <c r="Y158" s="5">
        <f>IF(DiscreteStatsTable[[#This Row],[RepsRequested]]=DiscreteStatsTable[[#This Row],[RepsWithStatObserved]],1,0)</f>
        <v>1</v>
      </c>
    </row>
    <row r="159" spans="1:25" x14ac:dyDescent="0.35">
      <c r="A159" t="s">
        <v>66</v>
      </c>
      <c r="B159" t="s">
        <v>69</v>
      </c>
      <c r="C159">
        <v>27</v>
      </c>
      <c r="D159" t="s">
        <v>70</v>
      </c>
      <c r="E159" t="s">
        <v>73</v>
      </c>
      <c r="F159" t="s">
        <v>72</v>
      </c>
      <c r="G159">
        <v>0</v>
      </c>
      <c r="H159">
        <v>2E+20</v>
      </c>
      <c r="I159">
        <v>0</v>
      </c>
      <c r="J159">
        <v>0</v>
      </c>
      <c r="K159">
        <v>4</v>
      </c>
      <c r="L159" s="5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159" s="5" cm="1">
        <f t="array" ref="M159">MAX(IF((ProjectInfoTable[ProjectName]=DiscreteStatsTable[[#This Row],[ProjectName]]),(ProjectInfoTable[ProjectName]=DiscreteStatsTable[[#This Row],[ProjectName]])*ProjectInfoTable[NumberOfReplications]))</f>
        <v>50</v>
      </c>
      <c r="N159" s="5" cm="1">
        <f t="array" ref="N159">IFERROR(AVERAGE(IF((DiscreteStatsTable[GroupByKey]=DiscreteStatsTable[[#This Row],[GroupByKey]]),(DiscreteStatsTable[GroupByKey]=DiscreteStatsTable[[#This Row],[GroupByKey]])*DiscreteStatsTable[Average])),0)</f>
        <v>0</v>
      </c>
      <c r="O159" s="5" cm="1">
        <f t="array" ref="O159">IFERROR(_xlfn.STDEV.S(IF((DiscreteStatsTable[GroupByKey]=DiscreteStatsTable[[#This Row],[GroupByKey]]),(DiscreteStatsTable[GroupByKey]=DiscreteStatsTable[[#This Row],[GroupByKey]])*DiscreteStatsTable[Average])),0)</f>
        <v>0</v>
      </c>
      <c r="P159" s="5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 s="5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9" s="5" cm="1">
        <f t="array" ref="R159">MIN(IF((DiscreteStatsTable[GroupByKey]=DiscreteStatsTable[[#This Row],[GroupByKey]]),(DiscreteStatsTable[GroupByKey]=DiscreteStatsTable[[#This Row],[GroupByKey]])*DiscreteStatsTable[Average]))</f>
        <v>0</v>
      </c>
      <c r="S159" s="5" cm="1">
        <f t="array" ref="S159">MAX(IF((DiscreteStatsTable[GroupByKey]=DiscreteStatsTable[[#This Row],[GroupByKey]]),(DiscreteStatsTable[GroupByKey]=DiscreteStatsTable[[#This Row],[GroupByKey]])*DiscreteStatsTable[Average]))</f>
        <v>0</v>
      </c>
      <c r="T159" s="5" cm="1">
        <f t="array" ref="T159">MIN(IF((DiscreteStatsTable[GroupByKey]=DiscreteStatsTable[[#This Row],[GroupByKey]]),(DiscreteStatsTable[GroupByKey]=DiscreteStatsTable[[#This Row],[GroupByKey]])*DiscreteStatsTable[Minimum]))</f>
        <v>0</v>
      </c>
      <c r="U159" s="5" cm="1">
        <f t="array" ref="U159">MAX(IF((DiscreteStatsTable[GroupByKey]=DiscreteStatsTable[[#This Row],[GroupByKey]]),(DiscreteStatsTable[GroupByKey]=DiscreteStatsTable[[#This Row],[GroupByKey]])*DiscreteStatsTable[Maximum]))</f>
        <v>0</v>
      </c>
      <c r="V159" s="5" cm="1">
        <f t="array" ref="V159">IFERROR(AVERAGE(IF((DiscreteStatsTable[GroupByKey]=DiscreteStatsTable[[#This Row],[GroupByKey]]),(DiscreteStatsTable[GroupByKey]=DiscreteStatsTable[[#This Row],[GroupByKey]])*DiscreteStatsTable[NumberObservations])),0)</f>
        <v>3.62</v>
      </c>
      <c r="W159" s="5">
        <f>IF((DiscreteStatsTable[[#This Row],[RepsRequested]]&gt;1),DiscreteStatsTable[[#This Row],[HalfWidth]],DiscreteStatsTable[[#This Row],[BatchMeansHalfWidth]])</f>
        <v>0</v>
      </c>
      <c r="X159" s="5" cm="1">
        <f t="array" ref="X159">COUNT(IF((DiscreteStatsTable[GroupByKey]=DiscreteStatsTable[[#This Row],[GroupByKey]]),(DiscreteStatsTable[GroupByKey]=DiscreteStatsTable[[#This Row],[GroupByKey]])*DiscreteStatsTable[Replication]))</f>
        <v>50</v>
      </c>
      <c r="Y159" s="5">
        <f>IF(DiscreteStatsTable[[#This Row],[RepsRequested]]=DiscreteStatsTable[[#This Row],[RepsWithStatObserved]],1,0)</f>
        <v>1</v>
      </c>
    </row>
    <row r="160" spans="1:25" x14ac:dyDescent="0.35">
      <c r="A160" t="s">
        <v>66</v>
      </c>
      <c r="B160" t="s">
        <v>69</v>
      </c>
      <c r="C160">
        <v>27</v>
      </c>
      <c r="D160" t="s">
        <v>70</v>
      </c>
      <c r="E160" t="s">
        <v>74</v>
      </c>
      <c r="F160" t="s">
        <v>72</v>
      </c>
      <c r="G160">
        <v>4.7931659842887004</v>
      </c>
      <c r="H160">
        <v>2E+20</v>
      </c>
      <c r="I160">
        <v>1.82481267696958</v>
      </c>
      <c r="J160">
        <v>6.9433940310461297</v>
      </c>
      <c r="K160">
        <v>4</v>
      </c>
      <c r="L160" s="5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160" s="5" cm="1">
        <f t="array" ref="M160">MAX(IF((ProjectInfoTable[ProjectName]=DiscreteStatsTable[[#This Row],[ProjectName]]),(ProjectInfoTable[ProjectName]=DiscreteStatsTable[[#This Row],[ProjectName]])*ProjectInfoTable[NumberOfReplications]))</f>
        <v>50</v>
      </c>
      <c r="N160" s="5" cm="1">
        <f t="array" ref="N160">IFERROR(AVERAGE(IF((DiscreteStatsTable[GroupByKey]=DiscreteStatsTable[[#This Row],[GroupByKey]]),(DiscreteStatsTable[GroupByKey]=DiscreteStatsTable[[#This Row],[GroupByKey]])*DiscreteStatsTable[Average])),0)</f>
        <v>3.5363894499532775</v>
      </c>
      <c r="O160" s="5" cm="1">
        <f t="array" ref="O160">IFERROR(_xlfn.STDEV.S(IF((DiscreteStatsTable[GroupByKey]=DiscreteStatsTable[[#This Row],[GroupByKey]]),(DiscreteStatsTable[GroupByKey]=DiscreteStatsTable[[#This Row],[GroupByKey]])*DiscreteStatsTable[Average])),0)</f>
        <v>1.1766434570133149</v>
      </c>
      <c r="P160" s="5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 s="5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0.33439837052280896</v>
      </c>
      <c r="R160" s="5" cm="1">
        <f t="array" ref="R160">MIN(IF((DiscreteStatsTable[GroupByKey]=DiscreteStatsTable[[#This Row],[GroupByKey]]),(DiscreteStatsTable[GroupByKey]=DiscreteStatsTable[[#This Row],[GroupByKey]])*DiscreteStatsTable[Average]))</f>
        <v>1.6342264652107701</v>
      </c>
      <c r="S160" s="5" cm="1">
        <f t="array" ref="S160">MAX(IF((DiscreteStatsTable[GroupByKey]=DiscreteStatsTable[[#This Row],[GroupByKey]]),(DiscreteStatsTable[GroupByKey]=DiscreteStatsTable[[#This Row],[GroupByKey]])*DiscreteStatsTable[Average]))</f>
        <v>6.5527373550837904</v>
      </c>
      <c r="T160" s="5" cm="1">
        <f t="array" ref="T160">MIN(IF((DiscreteStatsTable[GroupByKey]=DiscreteStatsTable[[#This Row],[GroupByKey]]),(DiscreteStatsTable[GroupByKey]=DiscreteStatsTable[[#This Row],[GroupByKey]])*DiscreteStatsTable[Minimum]))</f>
        <v>0.58847912081681497</v>
      </c>
      <c r="U160" s="5" cm="1">
        <f t="array" ref="U160">MAX(IF((DiscreteStatsTable[GroupByKey]=DiscreteStatsTable[[#This Row],[GroupByKey]]),(DiscreteStatsTable[GroupByKey]=DiscreteStatsTable[[#This Row],[GroupByKey]])*DiscreteStatsTable[Maximum]))</f>
        <v>8.7476494546828292</v>
      </c>
      <c r="V160" s="5" cm="1">
        <f t="array" ref="V160">IFERROR(AVERAGE(IF((DiscreteStatsTable[GroupByKey]=DiscreteStatsTable[[#This Row],[GroupByKey]]),(DiscreteStatsTable[GroupByKey]=DiscreteStatsTable[[#This Row],[GroupByKey]])*DiscreteStatsTable[NumberObservations])),0)</f>
        <v>3.62</v>
      </c>
      <c r="W160" s="5">
        <f>IF((DiscreteStatsTable[[#This Row],[RepsRequested]]&gt;1),DiscreteStatsTable[[#This Row],[HalfWidth]],DiscreteStatsTable[[#This Row],[BatchMeansHalfWidth]])</f>
        <v>0.33439837052280896</v>
      </c>
      <c r="X160" s="5" cm="1">
        <f t="array" ref="X160">COUNT(IF((DiscreteStatsTable[GroupByKey]=DiscreteStatsTable[[#This Row],[GroupByKey]]),(DiscreteStatsTable[GroupByKey]=DiscreteStatsTable[[#This Row],[GroupByKey]])*DiscreteStatsTable[Replication]))</f>
        <v>50</v>
      </c>
      <c r="Y160" s="5">
        <f>IF(DiscreteStatsTable[[#This Row],[RepsRequested]]=DiscreteStatsTable[[#This Row],[RepsWithStatObserved]],1,0)</f>
        <v>1</v>
      </c>
    </row>
    <row r="161" spans="1:25" x14ac:dyDescent="0.35">
      <c r="A161" t="s">
        <v>66</v>
      </c>
      <c r="B161" t="s">
        <v>69</v>
      </c>
      <c r="C161">
        <v>27</v>
      </c>
      <c r="D161" t="s">
        <v>70</v>
      </c>
      <c r="E161" t="s">
        <v>75</v>
      </c>
      <c r="F161" t="s">
        <v>72</v>
      </c>
      <c r="G161">
        <v>0</v>
      </c>
      <c r="H161">
        <v>2E+20</v>
      </c>
      <c r="I161">
        <v>0</v>
      </c>
      <c r="J161">
        <v>0</v>
      </c>
      <c r="K161">
        <v>4</v>
      </c>
      <c r="L161" s="5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161" s="5" cm="1">
        <f t="array" ref="M161">MAX(IF((ProjectInfoTable[ProjectName]=DiscreteStatsTable[[#This Row],[ProjectName]]),(ProjectInfoTable[ProjectName]=DiscreteStatsTable[[#This Row],[ProjectName]])*ProjectInfoTable[NumberOfReplications]))</f>
        <v>50</v>
      </c>
      <c r="N161" s="5" cm="1">
        <f t="array" ref="N161">IFERROR(AVERAGE(IF((DiscreteStatsTable[GroupByKey]=DiscreteStatsTable[[#This Row],[GroupByKey]]),(DiscreteStatsTable[GroupByKey]=DiscreteStatsTable[[#This Row],[GroupByKey]])*DiscreteStatsTable[Average])),0)</f>
        <v>0</v>
      </c>
      <c r="O161" s="5" cm="1">
        <f t="array" ref="O161">IFERROR(_xlfn.STDEV.S(IF((DiscreteStatsTable[GroupByKey]=DiscreteStatsTable[[#This Row],[GroupByKey]]),(DiscreteStatsTable[GroupByKey]=DiscreteStatsTable[[#This Row],[GroupByKey]])*DiscreteStatsTable[Average])),0)</f>
        <v>0</v>
      </c>
      <c r="P161" s="5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 s="5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1" s="5" cm="1">
        <f t="array" ref="R161">MIN(IF((DiscreteStatsTable[GroupByKey]=DiscreteStatsTable[[#This Row],[GroupByKey]]),(DiscreteStatsTable[GroupByKey]=DiscreteStatsTable[[#This Row],[GroupByKey]])*DiscreteStatsTable[Average]))</f>
        <v>0</v>
      </c>
      <c r="S161" s="5" cm="1">
        <f t="array" ref="S161">MAX(IF((DiscreteStatsTable[GroupByKey]=DiscreteStatsTable[[#This Row],[GroupByKey]]),(DiscreteStatsTable[GroupByKey]=DiscreteStatsTable[[#This Row],[GroupByKey]])*DiscreteStatsTable[Average]))</f>
        <v>0</v>
      </c>
      <c r="T161" s="5" cm="1">
        <f t="array" ref="T161">MIN(IF((DiscreteStatsTable[GroupByKey]=DiscreteStatsTable[[#This Row],[GroupByKey]]),(DiscreteStatsTable[GroupByKey]=DiscreteStatsTable[[#This Row],[GroupByKey]])*DiscreteStatsTable[Minimum]))</f>
        <v>0</v>
      </c>
      <c r="U161" s="5" cm="1">
        <f t="array" ref="U161">MAX(IF((DiscreteStatsTable[GroupByKey]=DiscreteStatsTable[[#This Row],[GroupByKey]]),(DiscreteStatsTable[GroupByKey]=DiscreteStatsTable[[#This Row],[GroupByKey]])*DiscreteStatsTable[Maximum]))</f>
        <v>0</v>
      </c>
      <c r="V161" s="5" cm="1">
        <f t="array" ref="V161">IFERROR(AVERAGE(IF((DiscreteStatsTable[GroupByKey]=DiscreteStatsTable[[#This Row],[GroupByKey]]),(DiscreteStatsTable[GroupByKey]=DiscreteStatsTable[[#This Row],[GroupByKey]])*DiscreteStatsTable[NumberObservations])),0)</f>
        <v>3.62</v>
      </c>
      <c r="W161" s="5">
        <f>IF((DiscreteStatsTable[[#This Row],[RepsRequested]]&gt;1),DiscreteStatsTable[[#This Row],[HalfWidth]],DiscreteStatsTable[[#This Row],[BatchMeansHalfWidth]])</f>
        <v>0</v>
      </c>
      <c r="X161" s="5" cm="1">
        <f t="array" ref="X161">COUNT(IF((DiscreteStatsTable[GroupByKey]=DiscreteStatsTable[[#This Row],[GroupByKey]]),(DiscreteStatsTable[GroupByKey]=DiscreteStatsTable[[#This Row],[GroupByKey]])*DiscreteStatsTable[Replication]))</f>
        <v>50</v>
      </c>
      <c r="Y161" s="5">
        <f>IF(DiscreteStatsTable[[#This Row],[RepsRequested]]=DiscreteStatsTable[[#This Row],[RepsWithStatObserved]],1,0)</f>
        <v>1</v>
      </c>
    </row>
    <row r="162" spans="1:25" x14ac:dyDescent="0.35">
      <c r="A162" t="s">
        <v>66</v>
      </c>
      <c r="B162" t="s">
        <v>69</v>
      </c>
      <c r="C162">
        <v>27</v>
      </c>
      <c r="D162" t="s">
        <v>70</v>
      </c>
      <c r="E162" t="s">
        <v>76</v>
      </c>
      <c r="F162" t="s">
        <v>72</v>
      </c>
      <c r="G162">
        <v>2.2091501850894999</v>
      </c>
      <c r="H162">
        <v>2E+20</v>
      </c>
      <c r="I162">
        <v>1.82481267696958</v>
      </c>
      <c r="J162">
        <v>2.7266790352429702</v>
      </c>
      <c r="K162">
        <v>4</v>
      </c>
      <c r="L162" s="5" t="str">
        <f>DiscreteStatsTable[[#This Row],[ProjectName]]&amp;DiscreteStatsTable[[#This Row],[Name]]&amp;DiscreteStatsTable[[#This Row],[Type]]&amp;DiscreteStatsTable[[#This Row],[Source]]</f>
        <v>Unnamed ProjectArquivosVA TimeEntity</v>
      </c>
      <c r="M162" s="5" cm="1">
        <f t="array" ref="M162">MAX(IF((ProjectInfoTable[ProjectName]=DiscreteStatsTable[[#This Row],[ProjectName]]),(ProjectInfoTable[ProjectName]=DiscreteStatsTable[[#This Row],[ProjectName]])*ProjectInfoTable[NumberOfReplications]))</f>
        <v>50</v>
      </c>
      <c r="N162" s="5" cm="1">
        <f t="array" ref="N162">IFERROR(AVERAGE(IF((DiscreteStatsTable[GroupByKey]=DiscreteStatsTable[[#This Row],[GroupByKey]]),(DiscreteStatsTable[GroupByKey]=DiscreteStatsTable[[#This Row],[GroupByKey]])*DiscreteStatsTable[Average])),0)</f>
        <v>2.3123810058270009</v>
      </c>
      <c r="O162" s="5" cm="1">
        <f t="array" ref="O162">IFERROR(_xlfn.STDEV.S(IF((DiscreteStatsTable[GroupByKey]=DiscreteStatsTable[[#This Row],[GroupByKey]]),(DiscreteStatsTable[GroupByKey]=DiscreteStatsTable[[#This Row],[GroupByKey]])*DiscreteStatsTable[Average])),0)</f>
        <v>0.47735516285795621</v>
      </c>
      <c r="P162" s="5" cm="1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 s="5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0.13566283623888314</v>
      </c>
      <c r="R162" s="5" cm="1">
        <f t="array" ref="R162">MIN(IF((DiscreteStatsTable[GroupByKey]=DiscreteStatsTable[[#This Row],[GroupByKey]]),(DiscreteStatsTable[GroupByKey]=DiscreteStatsTable[[#This Row],[GroupByKey]])*DiscreteStatsTable[Average]))</f>
        <v>1.3773415743205399</v>
      </c>
      <c r="S162" s="5" cm="1">
        <f t="array" ref="S162">MAX(IF((DiscreteStatsTable[GroupByKey]=DiscreteStatsTable[[#This Row],[GroupByKey]]),(DiscreteStatsTable[GroupByKey]=DiscreteStatsTable[[#This Row],[GroupByKey]])*DiscreteStatsTable[Average]))</f>
        <v>3.3139161730180202</v>
      </c>
      <c r="T162" s="5" cm="1">
        <f t="array" ref="T162">MIN(IF((DiscreteStatsTable[GroupByKey]=DiscreteStatsTable[[#This Row],[GroupByKey]]),(DiscreteStatsTable[GroupByKey]=DiscreteStatsTable[[#This Row],[GroupByKey]])*DiscreteStatsTable[Minimum]))</f>
        <v>0.58847912081681497</v>
      </c>
      <c r="U162" s="5" cm="1">
        <f t="array" ref="U162">MAX(IF((DiscreteStatsTable[GroupByKey]=DiscreteStatsTable[[#This Row],[GroupByKey]]),(DiscreteStatsTable[GroupByKey]=DiscreteStatsTable[[#This Row],[GroupByKey]])*DiscreteStatsTable[Maximum]))</f>
        <v>4.9756405925629998</v>
      </c>
      <c r="V162" s="5" cm="1">
        <f t="array" ref="V162">IFERROR(AVERAGE(IF((DiscreteStatsTable[GroupByKey]=DiscreteStatsTable[[#This Row],[GroupByKey]]),(DiscreteStatsTable[GroupByKey]=DiscreteStatsTable[[#This Row],[GroupByKey]])*DiscreteStatsTable[NumberObservations])),0)</f>
        <v>3.62</v>
      </c>
      <c r="W162" s="5">
        <f>IF((DiscreteStatsTable[[#This Row],[RepsRequested]]&gt;1),DiscreteStatsTable[[#This Row],[HalfWidth]],DiscreteStatsTable[[#This Row],[BatchMeansHalfWidth]])</f>
        <v>0.13566283623888314</v>
      </c>
      <c r="X162" s="5" cm="1">
        <f t="array" ref="X162">COUNT(IF((DiscreteStatsTable[GroupByKey]=DiscreteStatsTable[[#This Row],[GroupByKey]]),(DiscreteStatsTable[GroupByKey]=DiscreteStatsTable[[#This Row],[GroupByKey]])*DiscreteStatsTable[Replication]))</f>
        <v>50</v>
      </c>
      <c r="Y162" s="5">
        <f>IF(DiscreteStatsTable[[#This Row],[RepsRequested]]=DiscreteStatsTable[[#This Row],[RepsWithStatObserved]],1,0)</f>
        <v>1</v>
      </c>
    </row>
    <row r="163" spans="1:25" x14ac:dyDescent="0.35">
      <c r="A163" t="s">
        <v>66</v>
      </c>
      <c r="B163" t="s">
        <v>69</v>
      </c>
      <c r="C163">
        <v>27</v>
      </c>
      <c r="D163" t="s">
        <v>70</v>
      </c>
      <c r="E163" t="s">
        <v>77</v>
      </c>
      <c r="F163" t="s">
        <v>72</v>
      </c>
      <c r="G163">
        <v>2.5840157991992001</v>
      </c>
      <c r="H163">
        <v>2E+20</v>
      </c>
      <c r="I163">
        <v>0</v>
      </c>
      <c r="J163">
        <v>5.0391782854032696</v>
      </c>
      <c r="K163">
        <v>4</v>
      </c>
      <c r="L163" s="5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163" s="5" cm="1">
        <f t="array" ref="M163">MAX(IF((ProjectInfoTable[ProjectName]=DiscreteStatsTable[[#This Row],[ProjectName]]),(ProjectInfoTable[ProjectName]=DiscreteStatsTable[[#This Row],[ProjectName]])*ProjectInfoTable[NumberOfReplications]))</f>
        <v>50</v>
      </c>
      <c r="N163" s="5" cm="1">
        <f t="array" ref="N163">IFERROR(AVERAGE(IF((DiscreteStatsTable[GroupByKey]=DiscreteStatsTable[[#This Row],[GroupByKey]]),(DiscreteStatsTable[GroupByKey]=DiscreteStatsTable[[#This Row],[GroupByKey]])*DiscreteStatsTable[Average])),0)</f>
        <v>1.2240084441262762</v>
      </c>
      <c r="O163" s="5" cm="1">
        <f t="array" ref="O163">IFERROR(_xlfn.STDEV.S(IF((DiscreteStatsTable[GroupByKey]=DiscreteStatsTable[[#This Row],[GroupByKey]]),(DiscreteStatsTable[GroupByKey]=DiscreteStatsTable[[#This Row],[GroupByKey]])*DiscreteStatsTable[Average])),0)</f>
        <v>0.89867905452837749</v>
      </c>
      <c r="P163" s="5" cm="1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 s="5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0.2554017613968404</v>
      </c>
      <c r="R163" s="5" cm="1">
        <f t="array" ref="R163">MIN(IF((DiscreteStatsTable[GroupByKey]=DiscreteStatsTable[[#This Row],[GroupByKey]]),(DiscreteStatsTable[GroupByKey]=DiscreteStatsTable[[#This Row],[GroupByKey]])*DiscreteStatsTable[Average]))</f>
        <v>0</v>
      </c>
      <c r="S163" s="5" cm="1">
        <f t="array" ref="S163">MAX(IF((DiscreteStatsTable[GroupByKey]=DiscreteStatsTable[[#This Row],[GroupByKey]]),(DiscreteStatsTable[GroupByKey]=DiscreteStatsTable[[#This Row],[GroupByKey]])*DiscreteStatsTable[Average]))</f>
        <v>3.4345522286517598</v>
      </c>
      <c r="T163" s="5" cm="1">
        <f t="array" ref="T163">MIN(IF((DiscreteStatsTable[GroupByKey]=DiscreteStatsTable[[#This Row],[GroupByKey]]),(DiscreteStatsTable[GroupByKey]=DiscreteStatsTable[[#This Row],[GroupByKey]])*DiscreteStatsTable[Minimum]))</f>
        <v>0</v>
      </c>
      <c r="U163" s="5" cm="1">
        <f t="array" ref="U163">MAX(IF((DiscreteStatsTable[GroupByKey]=DiscreteStatsTable[[#This Row],[GroupByKey]]),(DiscreteStatsTable[GroupByKey]=DiscreteStatsTable[[#This Row],[GroupByKey]])*DiscreteStatsTable[Maximum]))</f>
        <v>6.7563093676697896</v>
      </c>
      <c r="V163" s="5" cm="1">
        <f t="array" ref="V163">IFERROR(AVERAGE(IF((DiscreteStatsTable[GroupByKey]=DiscreteStatsTable[[#This Row],[GroupByKey]]),(DiscreteStatsTable[GroupByKey]=DiscreteStatsTable[[#This Row],[GroupByKey]])*DiscreteStatsTable[NumberObservations])),0)</f>
        <v>3.62</v>
      </c>
      <c r="W163" s="5">
        <f>IF((DiscreteStatsTable[[#This Row],[RepsRequested]]&gt;1),DiscreteStatsTable[[#This Row],[HalfWidth]],DiscreteStatsTable[[#This Row],[BatchMeansHalfWidth]])</f>
        <v>0.2554017613968404</v>
      </c>
      <c r="X163" s="5" cm="1">
        <f t="array" ref="X163">COUNT(IF((DiscreteStatsTable[GroupByKey]=DiscreteStatsTable[[#This Row],[GroupByKey]]),(DiscreteStatsTable[GroupByKey]=DiscreteStatsTable[[#This Row],[GroupByKey]])*DiscreteStatsTable[Replication]))</f>
        <v>50</v>
      </c>
      <c r="Y163" s="5">
        <f>IF(DiscreteStatsTable[[#This Row],[RepsRequested]]=DiscreteStatsTable[[#This Row],[RepsWithStatObserved]],1,0)</f>
        <v>1</v>
      </c>
    </row>
    <row r="164" spans="1:25" x14ac:dyDescent="0.35">
      <c r="A164" t="s">
        <v>66</v>
      </c>
      <c r="B164" t="s">
        <v>69</v>
      </c>
      <c r="C164">
        <v>28</v>
      </c>
      <c r="D164" t="s">
        <v>70</v>
      </c>
      <c r="E164" t="s">
        <v>71</v>
      </c>
      <c r="F164" t="s">
        <v>72</v>
      </c>
      <c r="G164">
        <v>0</v>
      </c>
      <c r="H164">
        <v>2E+20</v>
      </c>
      <c r="I164">
        <v>0</v>
      </c>
      <c r="J164">
        <v>0</v>
      </c>
      <c r="K164">
        <v>4</v>
      </c>
      <c r="L164" s="5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164" s="5" cm="1">
        <f t="array" ref="M164">MAX(IF((ProjectInfoTable[ProjectName]=DiscreteStatsTable[[#This Row],[ProjectName]]),(ProjectInfoTable[ProjectName]=DiscreteStatsTable[[#This Row],[ProjectName]])*ProjectInfoTable[NumberOfReplications]))</f>
        <v>50</v>
      </c>
      <c r="N164" s="5" cm="1">
        <f t="array" ref="N164">IFERROR(AVERAGE(IF((DiscreteStatsTable[GroupByKey]=DiscreteStatsTable[[#This Row],[GroupByKey]]),(DiscreteStatsTable[GroupByKey]=DiscreteStatsTable[[#This Row],[GroupByKey]])*DiscreteStatsTable[Average])),0)</f>
        <v>0</v>
      </c>
      <c r="O164" s="5" cm="1">
        <f t="array" ref="O164">IFERROR(_xlfn.STDEV.S(IF((DiscreteStatsTable[GroupByKey]=DiscreteStatsTable[[#This Row],[GroupByKey]]),(DiscreteStatsTable[GroupByKey]=DiscreteStatsTable[[#This Row],[GroupByKey]])*DiscreteStatsTable[Average])),0)</f>
        <v>0</v>
      </c>
      <c r="P164" s="5" cm="1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 s="5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4" s="5" cm="1">
        <f t="array" ref="R164">MIN(IF((DiscreteStatsTable[GroupByKey]=DiscreteStatsTable[[#This Row],[GroupByKey]]),(DiscreteStatsTable[GroupByKey]=DiscreteStatsTable[[#This Row],[GroupByKey]])*DiscreteStatsTable[Average]))</f>
        <v>0</v>
      </c>
      <c r="S164" s="5" cm="1">
        <f t="array" ref="S164">MAX(IF((DiscreteStatsTable[GroupByKey]=DiscreteStatsTable[[#This Row],[GroupByKey]]),(DiscreteStatsTable[GroupByKey]=DiscreteStatsTable[[#This Row],[GroupByKey]])*DiscreteStatsTable[Average]))</f>
        <v>0</v>
      </c>
      <c r="T164" s="5" cm="1">
        <f t="array" ref="T164">MIN(IF((DiscreteStatsTable[GroupByKey]=DiscreteStatsTable[[#This Row],[GroupByKey]]),(DiscreteStatsTable[GroupByKey]=DiscreteStatsTable[[#This Row],[GroupByKey]])*DiscreteStatsTable[Minimum]))</f>
        <v>0</v>
      </c>
      <c r="U164" s="5" cm="1">
        <f t="array" ref="U164">MAX(IF((DiscreteStatsTable[GroupByKey]=DiscreteStatsTable[[#This Row],[GroupByKey]]),(DiscreteStatsTable[GroupByKey]=DiscreteStatsTable[[#This Row],[GroupByKey]])*DiscreteStatsTable[Maximum]))</f>
        <v>0</v>
      </c>
      <c r="V164" s="5" cm="1">
        <f t="array" ref="V164">IFERROR(AVERAGE(IF((DiscreteStatsTable[GroupByKey]=DiscreteStatsTable[[#This Row],[GroupByKey]]),(DiscreteStatsTable[GroupByKey]=DiscreteStatsTable[[#This Row],[GroupByKey]])*DiscreteStatsTable[NumberObservations])),0)</f>
        <v>3.62</v>
      </c>
      <c r="W164" s="5">
        <f>IF((DiscreteStatsTable[[#This Row],[RepsRequested]]&gt;1),DiscreteStatsTable[[#This Row],[HalfWidth]],DiscreteStatsTable[[#This Row],[BatchMeansHalfWidth]])</f>
        <v>0</v>
      </c>
      <c r="X164" s="5" cm="1">
        <f t="array" ref="X164">COUNT(IF((DiscreteStatsTable[GroupByKey]=DiscreteStatsTable[[#This Row],[GroupByKey]]),(DiscreteStatsTable[GroupByKey]=DiscreteStatsTable[[#This Row],[GroupByKey]])*DiscreteStatsTable[Replication]))</f>
        <v>50</v>
      </c>
      <c r="Y164" s="5">
        <f>IF(DiscreteStatsTable[[#This Row],[RepsRequested]]=DiscreteStatsTable[[#This Row],[RepsWithStatObserved]],1,0)</f>
        <v>1</v>
      </c>
    </row>
    <row r="165" spans="1:25" x14ac:dyDescent="0.35">
      <c r="A165" t="s">
        <v>66</v>
      </c>
      <c r="B165" t="s">
        <v>69</v>
      </c>
      <c r="C165">
        <v>28</v>
      </c>
      <c r="D165" t="s">
        <v>70</v>
      </c>
      <c r="E165" t="s">
        <v>73</v>
      </c>
      <c r="F165" t="s">
        <v>72</v>
      </c>
      <c r="G165">
        <v>0</v>
      </c>
      <c r="H165">
        <v>2E+20</v>
      </c>
      <c r="I165">
        <v>0</v>
      </c>
      <c r="J165">
        <v>0</v>
      </c>
      <c r="K165">
        <v>4</v>
      </c>
      <c r="L165" s="5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165" s="5" cm="1">
        <f t="array" ref="M165">MAX(IF((ProjectInfoTable[ProjectName]=DiscreteStatsTable[[#This Row],[ProjectName]]),(ProjectInfoTable[ProjectName]=DiscreteStatsTable[[#This Row],[ProjectName]])*ProjectInfoTable[NumberOfReplications]))</f>
        <v>50</v>
      </c>
      <c r="N165" s="5" cm="1">
        <f t="array" ref="N165">IFERROR(AVERAGE(IF((DiscreteStatsTable[GroupByKey]=DiscreteStatsTable[[#This Row],[GroupByKey]]),(DiscreteStatsTable[GroupByKey]=DiscreteStatsTable[[#This Row],[GroupByKey]])*DiscreteStatsTable[Average])),0)</f>
        <v>0</v>
      </c>
      <c r="O165" s="5" cm="1">
        <f t="array" ref="O165">IFERROR(_xlfn.STDEV.S(IF((DiscreteStatsTable[GroupByKey]=DiscreteStatsTable[[#This Row],[GroupByKey]]),(DiscreteStatsTable[GroupByKey]=DiscreteStatsTable[[#This Row],[GroupByKey]])*DiscreteStatsTable[Average])),0)</f>
        <v>0</v>
      </c>
      <c r="P165" s="5" cm="1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 s="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5" s="5" cm="1">
        <f t="array" ref="R165">MIN(IF((DiscreteStatsTable[GroupByKey]=DiscreteStatsTable[[#This Row],[GroupByKey]]),(DiscreteStatsTable[GroupByKey]=DiscreteStatsTable[[#This Row],[GroupByKey]])*DiscreteStatsTable[Average]))</f>
        <v>0</v>
      </c>
      <c r="S165" s="5" cm="1">
        <f t="array" ref="S165">MAX(IF((DiscreteStatsTable[GroupByKey]=DiscreteStatsTable[[#This Row],[GroupByKey]]),(DiscreteStatsTable[GroupByKey]=DiscreteStatsTable[[#This Row],[GroupByKey]])*DiscreteStatsTable[Average]))</f>
        <v>0</v>
      </c>
      <c r="T165" s="5" cm="1">
        <f t="array" ref="T165">MIN(IF((DiscreteStatsTable[GroupByKey]=DiscreteStatsTable[[#This Row],[GroupByKey]]),(DiscreteStatsTable[GroupByKey]=DiscreteStatsTable[[#This Row],[GroupByKey]])*DiscreteStatsTable[Minimum]))</f>
        <v>0</v>
      </c>
      <c r="U165" s="5" cm="1">
        <f t="array" ref="U165">MAX(IF((DiscreteStatsTable[GroupByKey]=DiscreteStatsTable[[#This Row],[GroupByKey]]),(DiscreteStatsTable[GroupByKey]=DiscreteStatsTable[[#This Row],[GroupByKey]])*DiscreteStatsTable[Maximum]))</f>
        <v>0</v>
      </c>
      <c r="V165" s="5" cm="1">
        <f t="array" ref="V165">IFERROR(AVERAGE(IF((DiscreteStatsTable[GroupByKey]=DiscreteStatsTable[[#This Row],[GroupByKey]]),(DiscreteStatsTable[GroupByKey]=DiscreteStatsTable[[#This Row],[GroupByKey]])*DiscreteStatsTable[NumberObservations])),0)</f>
        <v>3.62</v>
      </c>
      <c r="W165" s="5">
        <f>IF((DiscreteStatsTable[[#This Row],[RepsRequested]]&gt;1),DiscreteStatsTable[[#This Row],[HalfWidth]],DiscreteStatsTable[[#This Row],[BatchMeansHalfWidth]])</f>
        <v>0</v>
      </c>
      <c r="X165" s="5" cm="1">
        <f t="array" ref="X165">COUNT(IF((DiscreteStatsTable[GroupByKey]=DiscreteStatsTable[[#This Row],[GroupByKey]]),(DiscreteStatsTable[GroupByKey]=DiscreteStatsTable[[#This Row],[GroupByKey]])*DiscreteStatsTable[Replication]))</f>
        <v>50</v>
      </c>
      <c r="Y165" s="5">
        <f>IF(DiscreteStatsTable[[#This Row],[RepsRequested]]=DiscreteStatsTable[[#This Row],[RepsWithStatObserved]],1,0)</f>
        <v>1</v>
      </c>
    </row>
    <row r="166" spans="1:25" x14ac:dyDescent="0.35">
      <c r="A166" t="s">
        <v>66</v>
      </c>
      <c r="B166" t="s">
        <v>69</v>
      </c>
      <c r="C166">
        <v>28</v>
      </c>
      <c r="D166" t="s">
        <v>70</v>
      </c>
      <c r="E166" t="s">
        <v>74</v>
      </c>
      <c r="F166" t="s">
        <v>72</v>
      </c>
      <c r="G166">
        <v>2.85346805606367</v>
      </c>
      <c r="H166">
        <v>2E+20</v>
      </c>
      <c r="I166">
        <v>2.2439072164434402</v>
      </c>
      <c r="J166">
        <v>3.6453831863688202</v>
      </c>
      <c r="K166">
        <v>4</v>
      </c>
      <c r="L166" s="5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166" s="5" cm="1">
        <f t="array" ref="M166">MAX(IF((ProjectInfoTable[ProjectName]=DiscreteStatsTable[[#This Row],[ProjectName]]),(ProjectInfoTable[ProjectName]=DiscreteStatsTable[[#This Row],[ProjectName]])*ProjectInfoTable[NumberOfReplications]))</f>
        <v>50</v>
      </c>
      <c r="N166" s="5" cm="1">
        <f t="array" ref="N166">IFERROR(AVERAGE(IF((DiscreteStatsTable[GroupByKey]=DiscreteStatsTable[[#This Row],[GroupByKey]]),(DiscreteStatsTable[GroupByKey]=DiscreteStatsTable[[#This Row],[GroupByKey]])*DiscreteStatsTable[Average])),0)</f>
        <v>3.5363894499532775</v>
      </c>
      <c r="O166" s="5" cm="1">
        <f t="array" ref="O166">IFERROR(_xlfn.STDEV.S(IF((DiscreteStatsTable[GroupByKey]=DiscreteStatsTable[[#This Row],[GroupByKey]]),(DiscreteStatsTable[GroupByKey]=DiscreteStatsTable[[#This Row],[GroupByKey]])*DiscreteStatsTable[Average])),0)</f>
        <v>1.1766434570133149</v>
      </c>
      <c r="P166" s="5" cm="1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 s="5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0.33439837052280896</v>
      </c>
      <c r="R166" s="5" cm="1">
        <f t="array" ref="R166">MIN(IF((DiscreteStatsTable[GroupByKey]=DiscreteStatsTable[[#This Row],[GroupByKey]]),(DiscreteStatsTable[GroupByKey]=DiscreteStatsTable[[#This Row],[GroupByKey]])*DiscreteStatsTable[Average]))</f>
        <v>1.6342264652107701</v>
      </c>
      <c r="S166" s="5" cm="1">
        <f t="array" ref="S166">MAX(IF((DiscreteStatsTable[GroupByKey]=DiscreteStatsTable[[#This Row],[GroupByKey]]),(DiscreteStatsTable[GroupByKey]=DiscreteStatsTable[[#This Row],[GroupByKey]])*DiscreteStatsTable[Average]))</f>
        <v>6.5527373550837904</v>
      </c>
      <c r="T166" s="5" cm="1">
        <f t="array" ref="T166">MIN(IF((DiscreteStatsTable[GroupByKey]=DiscreteStatsTable[[#This Row],[GroupByKey]]),(DiscreteStatsTable[GroupByKey]=DiscreteStatsTable[[#This Row],[GroupByKey]])*DiscreteStatsTable[Minimum]))</f>
        <v>0.58847912081681497</v>
      </c>
      <c r="U166" s="5" cm="1">
        <f t="array" ref="U166">MAX(IF((DiscreteStatsTable[GroupByKey]=DiscreteStatsTable[[#This Row],[GroupByKey]]),(DiscreteStatsTable[GroupByKey]=DiscreteStatsTable[[#This Row],[GroupByKey]])*DiscreteStatsTable[Maximum]))</f>
        <v>8.7476494546828292</v>
      </c>
      <c r="V166" s="5" cm="1">
        <f t="array" ref="V166">IFERROR(AVERAGE(IF((DiscreteStatsTable[GroupByKey]=DiscreteStatsTable[[#This Row],[GroupByKey]]),(DiscreteStatsTable[GroupByKey]=DiscreteStatsTable[[#This Row],[GroupByKey]])*DiscreteStatsTable[NumberObservations])),0)</f>
        <v>3.62</v>
      </c>
      <c r="W166" s="5">
        <f>IF((DiscreteStatsTable[[#This Row],[RepsRequested]]&gt;1),DiscreteStatsTable[[#This Row],[HalfWidth]],DiscreteStatsTable[[#This Row],[BatchMeansHalfWidth]])</f>
        <v>0.33439837052280896</v>
      </c>
      <c r="X166" s="5" cm="1">
        <f t="array" ref="X166">COUNT(IF((DiscreteStatsTable[GroupByKey]=DiscreteStatsTable[[#This Row],[GroupByKey]]),(DiscreteStatsTable[GroupByKey]=DiscreteStatsTable[[#This Row],[GroupByKey]])*DiscreteStatsTable[Replication]))</f>
        <v>50</v>
      </c>
      <c r="Y166" s="5">
        <f>IF(DiscreteStatsTable[[#This Row],[RepsRequested]]=DiscreteStatsTable[[#This Row],[RepsWithStatObserved]],1,0)</f>
        <v>1</v>
      </c>
    </row>
    <row r="167" spans="1:25" x14ac:dyDescent="0.35">
      <c r="A167" t="s">
        <v>66</v>
      </c>
      <c r="B167" t="s">
        <v>69</v>
      </c>
      <c r="C167">
        <v>28</v>
      </c>
      <c r="D167" t="s">
        <v>70</v>
      </c>
      <c r="E167" t="s">
        <v>75</v>
      </c>
      <c r="F167" t="s">
        <v>72</v>
      </c>
      <c r="G167">
        <v>0</v>
      </c>
      <c r="H167">
        <v>2E+20</v>
      </c>
      <c r="I167">
        <v>0</v>
      </c>
      <c r="J167">
        <v>0</v>
      </c>
      <c r="K167">
        <v>4</v>
      </c>
      <c r="L167" s="5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167" s="5" cm="1">
        <f t="array" ref="M167">MAX(IF((ProjectInfoTable[ProjectName]=DiscreteStatsTable[[#This Row],[ProjectName]]),(ProjectInfoTable[ProjectName]=DiscreteStatsTable[[#This Row],[ProjectName]])*ProjectInfoTable[NumberOfReplications]))</f>
        <v>50</v>
      </c>
      <c r="N167" s="5" cm="1">
        <f t="array" ref="N167">IFERROR(AVERAGE(IF((DiscreteStatsTable[GroupByKey]=DiscreteStatsTable[[#This Row],[GroupByKey]]),(DiscreteStatsTable[GroupByKey]=DiscreteStatsTable[[#This Row],[GroupByKey]])*DiscreteStatsTable[Average])),0)</f>
        <v>0</v>
      </c>
      <c r="O167" s="5" cm="1">
        <f t="array" ref="O167">IFERROR(_xlfn.STDEV.S(IF((DiscreteStatsTable[GroupByKey]=DiscreteStatsTable[[#This Row],[GroupByKey]]),(DiscreteStatsTable[GroupByKey]=DiscreteStatsTable[[#This Row],[GroupByKey]])*DiscreteStatsTable[Average])),0)</f>
        <v>0</v>
      </c>
      <c r="P167" s="5" cm="1">
        <f t="array" ref="P167">MAX(IF((ProjectInfoTable[ProjectName]=DiscreteStatsTable[[#This Row],[ProjectName]]),(ProjectInfoTable[ProjectName]=DiscreteStatsTable[[#This Row],[ProjectName]])*ProjectInfoTable[ConfidenceInterval]))</f>
        <v>0.95</v>
      </c>
      <c r="Q167" s="5">
        <f>IF(AND(DiscreteStatsTable[[#This Row],[RepsWithStatObserved]]=1,Y167=0),200000000000000000000,IFERROR(_xlfn.T.INV.2T(1 -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7" s="5" cm="1">
        <f t="array" ref="R167">MIN(IF((DiscreteStatsTable[GroupByKey]=DiscreteStatsTable[[#This Row],[GroupByKey]]),(DiscreteStatsTable[GroupByKey]=DiscreteStatsTable[[#This Row],[GroupByKey]])*DiscreteStatsTable[Average]))</f>
        <v>0</v>
      </c>
      <c r="S167" s="5" cm="1">
        <f t="array" ref="S167">MAX(IF((DiscreteStatsTable[GroupByKey]=DiscreteStatsTable[[#This Row],[GroupByKey]]),(DiscreteStatsTable[GroupByKey]=DiscreteStatsTable[[#This Row],[GroupByKey]])*DiscreteStatsTable[Average]))</f>
        <v>0</v>
      </c>
      <c r="T167" s="5" cm="1">
        <f t="array" ref="T167">MIN(IF((DiscreteStatsTable[GroupByKey]=DiscreteStatsTable[[#This Row],[GroupByKey]]),(DiscreteStatsTable[GroupByKey]=DiscreteStatsTable[[#This Row],[GroupByKey]])*DiscreteStatsTable[Minimum]))</f>
        <v>0</v>
      </c>
      <c r="U167" s="5" cm="1">
        <f t="array" ref="U167">MAX(IF((DiscreteStatsTable[GroupByKey]=DiscreteStatsTable[[#This Row],[GroupByKey]]),(DiscreteStatsTable[GroupByKey]=DiscreteStatsTable[[#This Row],[GroupByKey]])*DiscreteStatsTable[Maximum]))</f>
        <v>0</v>
      </c>
      <c r="V167" s="5" cm="1">
        <f t="array" ref="V167">IFERROR(AVERAGE(IF((DiscreteStatsTable[GroupByKey]=DiscreteStatsTable[[#This Row],[GroupByKey]]),(DiscreteStatsTable[GroupByKey]=DiscreteStatsTable[[#This Row],[GroupByKey]])*DiscreteStatsTable[NumberObservations])),0)</f>
        <v>3.62</v>
      </c>
      <c r="W167" s="5">
        <f>IF((DiscreteStatsTable[[#This Row],[RepsRequested]]&gt;1),DiscreteStatsTable[[#This Row],[HalfWidth]],DiscreteStatsTable[[#This Row],[BatchMeansHalfWidth]])</f>
        <v>0</v>
      </c>
      <c r="X167" s="5" cm="1">
        <f t="array" ref="X167">COUNT(IF((DiscreteStatsTable[GroupByKey]=DiscreteStatsTable[[#This Row],[GroupByKey]]),(DiscreteStatsTable[GroupByKey]=DiscreteStatsTable[[#This Row],[GroupByKey]])*DiscreteStatsTable[Replication]))</f>
        <v>50</v>
      </c>
      <c r="Y167" s="5">
        <f>IF(DiscreteStatsTable[[#This Row],[RepsRequested]]=DiscreteStatsTable[[#This Row],[RepsWithStatObserved]],1,0)</f>
        <v>1</v>
      </c>
    </row>
    <row r="168" spans="1:25" x14ac:dyDescent="0.35">
      <c r="A168" t="s">
        <v>66</v>
      </c>
      <c r="B168" t="s">
        <v>69</v>
      </c>
      <c r="C168">
        <v>28</v>
      </c>
      <c r="D168" t="s">
        <v>70</v>
      </c>
      <c r="E168" t="s">
        <v>76</v>
      </c>
      <c r="F168" t="s">
        <v>72</v>
      </c>
      <c r="G168">
        <v>1.9065785602163601</v>
      </c>
      <c r="H168">
        <v>2E+20</v>
      </c>
      <c r="I168">
        <v>0.95206914087916295</v>
      </c>
      <c r="J168">
        <v>2.5926983869971401</v>
      </c>
      <c r="K168">
        <v>4</v>
      </c>
      <c r="L168" s="5" t="str">
        <f>DiscreteStatsTable[[#This Row],[ProjectName]]&amp;DiscreteStatsTable[[#This Row],[Name]]&amp;DiscreteStatsTable[[#This Row],[Type]]&amp;DiscreteStatsTable[[#This Row],[Source]]</f>
        <v>Unnamed ProjectArquivosVA TimeEntity</v>
      </c>
      <c r="M168" s="5" cm="1">
        <f t="array" ref="M168">MAX(IF((ProjectInfoTable[ProjectName]=DiscreteStatsTable[[#This Row],[ProjectName]]),(ProjectInfoTable[ProjectName]=DiscreteStatsTable[[#This Row],[ProjectName]])*ProjectInfoTable[NumberOfReplications]))</f>
        <v>50</v>
      </c>
      <c r="N168" s="5" cm="1">
        <f t="array" ref="N168">IFERROR(AVERAGE(IF((DiscreteStatsTable[GroupByKey]=DiscreteStatsTable[[#This Row],[GroupByKey]]),(DiscreteStatsTable[GroupByKey]=DiscreteStatsTable[[#This Row],[GroupByKey]])*DiscreteStatsTable[Average])),0)</f>
        <v>2.3123810058270009</v>
      </c>
      <c r="O168" s="5" cm="1">
        <f t="array" ref="O168">IFERROR(_xlfn.STDEV.S(IF((DiscreteStatsTable[GroupByKey]=DiscreteStatsTable[[#This Row],[GroupByKey]]),(DiscreteStatsTable[GroupByKey]=DiscreteStatsTable[[#This Row],[GroupByKey]])*DiscreteStatsTable[Average])),0)</f>
        <v>0.47735516285795621</v>
      </c>
      <c r="P168" s="5" cm="1">
        <f t="array" ref="P168">MAX(IF((ProjectInfoTable[ProjectName]=DiscreteStatsTable[[#This Row],[ProjectName]]),(ProjectInfoTable[ProjectName]=DiscreteStatsTable[[#This Row],[ProjectName]])*ProjectInfoTable[ConfidenceInterval]))</f>
        <v>0.95</v>
      </c>
      <c r="Q168" s="5">
        <f>IF(AND(DiscreteStatsTable[[#This Row],[RepsWithStatObserved]]=1,Y168=0),200000000000000000000,IFERROR(_xlfn.T.INV.2T(1 -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0.13566283623888314</v>
      </c>
      <c r="R168" s="5" cm="1">
        <f t="array" ref="R168">MIN(IF((DiscreteStatsTable[GroupByKey]=DiscreteStatsTable[[#This Row],[GroupByKey]]),(DiscreteStatsTable[GroupByKey]=DiscreteStatsTable[[#This Row],[GroupByKey]])*DiscreteStatsTable[Average]))</f>
        <v>1.3773415743205399</v>
      </c>
      <c r="S168" s="5" cm="1">
        <f t="array" ref="S168">MAX(IF((DiscreteStatsTable[GroupByKey]=DiscreteStatsTable[[#This Row],[GroupByKey]]),(DiscreteStatsTable[GroupByKey]=DiscreteStatsTable[[#This Row],[GroupByKey]])*DiscreteStatsTable[Average]))</f>
        <v>3.3139161730180202</v>
      </c>
      <c r="T168" s="5" cm="1">
        <f t="array" ref="T168">MIN(IF((DiscreteStatsTable[GroupByKey]=DiscreteStatsTable[[#This Row],[GroupByKey]]),(DiscreteStatsTable[GroupByKey]=DiscreteStatsTable[[#This Row],[GroupByKey]])*DiscreteStatsTable[Minimum]))</f>
        <v>0.58847912081681497</v>
      </c>
      <c r="U168" s="5" cm="1">
        <f t="array" ref="U168">MAX(IF((DiscreteStatsTable[GroupByKey]=DiscreteStatsTable[[#This Row],[GroupByKey]]),(DiscreteStatsTable[GroupByKey]=DiscreteStatsTable[[#This Row],[GroupByKey]])*DiscreteStatsTable[Maximum]))</f>
        <v>4.9756405925629998</v>
      </c>
      <c r="V168" s="5" cm="1">
        <f t="array" ref="V168">IFERROR(AVERAGE(IF((DiscreteStatsTable[GroupByKey]=DiscreteStatsTable[[#This Row],[GroupByKey]]),(DiscreteStatsTable[GroupByKey]=DiscreteStatsTable[[#This Row],[GroupByKey]])*DiscreteStatsTable[NumberObservations])),0)</f>
        <v>3.62</v>
      </c>
      <c r="W168" s="5">
        <f>IF((DiscreteStatsTable[[#This Row],[RepsRequested]]&gt;1),DiscreteStatsTable[[#This Row],[HalfWidth]],DiscreteStatsTable[[#This Row],[BatchMeansHalfWidth]])</f>
        <v>0.13566283623888314</v>
      </c>
      <c r="X168" s="5" cm="1">
        <f t="array" ref="X168">COUNT(IF((DiscreteStatsTable[GroupByKey]=DiscreteStatsTable[[#This Row],[GroupByKey]]),(DiscreteStatsTable[GroupByKey]=DiscreteStatsTable[[#This Row],[GroupByKey]])*DiscreteStatsTable[Replication]))</f>
        <v>50</v>
      </c>
      <c r="Y168" s="5">
        <f>IF(DiscreteStatsTable[[#This Row],[RepsRequested]]=DiscreteStatsTable[[#This Row],[RepsWithStatObserved]],1,0)</f>
        <v>1</v>
      </c>
    </row>
    <row r="169" spans="1:25" x14ac:dyDescent="0.35">
      <c r="A169" t="s">
        <v>66</v>
      </c>
      <c r="B169" t="s">
        <v>69</v>
      </c>
      <c r="C169">
        <v>28</v>
      </c>
      <c r="D169" t="s">
        <v>70</v>
      </c>
      <c r="E169" t="s">
        <v>77</v>
      </c>
      <c r="F169" t="s">
        <v>72</v>
      </c>
      <c r="G169">
        <v>0.94688949584730997</v>
      </c>
      <c r="H169">
        <v>2E+20</v>
      </c>
      <c r="I169">
        <v>0</v>
      </c>
      <c r="J169">
        <v>1.9413415473659901</v>
      </c>
      <c r="K169">
        <v>4</v>
      </c>
      <c r="L169" s="5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169" s="5" cm="1">
        <f t="array" ref="M169">MAX(IF((ProjectInfoTable[ProjectName]=DiscreteStatsTable[[#This Row],[ProjectName]]),(ProjectInfoTable[ProjectName]=DiscreteStatsTable[[#This Row],[ProjectName]])*ProjectInfoTable[NumberOfReplications]))</f>
        <v>50</v>
      </c>
      <c r="N169" s="5" cm="1">
        <f t="array" ref="N169">IFERROR(AVERAGE(IF((DiscreteStatsTable[GroupByKey]=DiscreteStatsTable[[#This Row],[GroupByKey]]),(DiscreteStatsTable[GroupByKey]=DiscreteStatsTable[[#This Row],[GroupByKey]])*DiscreteStatsTable[Average])),0)</f>
        <v>1.2240084441262762</v>
      </c>
      <c r="O169" s="5" cm="1">
        <f t="array" ref="O169">IFERROR(_xlfn.STDEV.S(IF((DiscreteStatsTable[GroupByKey]=DiscreteStatsTable[[#This Row],[GroupByKey]]),(DiscreteStatsTable[GroupByKey]=DiscreteStatsTable[[#This Row],[GroupByKey]])*DiscreteStatsTable[Average])),0)</f>
        <v>0.89867905452837749</v>
      </c>
      <c r="P169" s="5" cm="1">
        <f t="array" ref="P169">MAX(IF((ProjectInfoTable[ProjectName]=DiscreteStatsTable[[#This Row],[ProjectName]]),(ProjectInfoTable[ProjectName]=DiscreteStatsTable[[#This Row],[ProjectName]])*ProjectInfoTable[ConfidenceInterval]))</f>
        <v>0.95</v>
      </c>
      <c r="Q169" s="5">
        <f>IF(AND(DiscreteStatsTable[[#This Row],[RepsWithStatObserved]]=1,Y169=0),200000000000000000000,IFERROR(_xlfn.T.INV.2T(1 -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0.2554017613968404</v>
      </c>
      <c r="R169" s="5" cm="1">
        <f t="array" ref="R169">MIN(IF((DiscreteStatsTable[GroupByKey]=DiscreteStatsTable[[#This Row],[GroupByKey]]),(DiscreteStatsTable[GroupByKey]=DiscreteStatsTable[[#This Row],[GroupByKey]])*DiscreteStatsTable[Average]))</f>
        <v>0</v>
      </c>
      <c r="S169" s="5" cm="1">
        <f t="array" ref="S169">MAX(IF((DiscreteStatsTable[GroupByKey]=DiscreteStatsTable[[#This Row],[GroupByKey]]),(DiscreteStatsTable[GroupByKey]=DiscreteStatsTable[[#This Row],[GroupByKey]])*DiscreteStatsTable[Average]))</f>
        <v>3.4345522286517598</v>
      </c>
      <c r="T169" s="5" cm="1">
        <f t="array" ref="T169">MIN(IF((DiscreteStatsTable[GroupByKey]=DiscreteStatsTable[[#This Row],[GroupByKey]]),(DiscreteStatsTable[GroupByKey]=DiscreteStatsTable[[#This Row],[GroupByKey]])*DiscreteStatsTable[Minimum]))</f>
        <v>0</v>
      </c>
      <c r="U169" s="5" cm="1">
        <f t="array" ref="U169">MAX(IF((DiscreteStatsTable[GroupByKey]=DiscreteStatsTable[[#This Row],[GroupByKey]]),(DiscreteStatsTable[GroupByKey]=DiscreteStatsTable[[#This Row],[GroupByKey]])*DiscreteStatsTable[Maximum]))</f>
        <v>6.7563093676697896</v>
      </c>
      <c r="V169" s="5" cm="1">
        <f t="array" ref="V169">IFERROR(AVERAGE(IF((DiscreteStatsTable[GroupByKey]=DiscreteStatsTable[[#This Row],[GroupByKey]]),(DiscreteStatsTable[GroupByKey]=DiscreteStatsTable[[#This Row],[GroupByKey]])*DiscreteStatsTable[NumberObservations])),0)</f>
        <v>3.62</v>
      </c>
      <c r="W169" s="5">
        <f>IF((DiscreteStatsTable[[#This Row],[RepsRequested]]&gt;1),DiscreteStatsTable[[#This Row],[HalfWidth]],DiscreteStatsTable[[#This Row],[BatchMeansHalfWidth]])</f>
        <v>0.2554017613968404</v>
      </c>
      <c r="X169" s="5" cm="1">
        <f t="array" ref="X169">COUNT(IF((DiscreteStatsTable[GroupByKey]=DiscreteStatsTable[[#This Row],[GroupByKey]]),(DiscreteStatsTable[GroupByKey]=DiscreteStatsTable[[#This Row],[GroupByKey]])*DiscreteStatsTable[Replication]))</f>
        <v>50</v>
      </c>
      <c r="Y169" s="5">
        <f>IF(DiscreteStatsTable[[#This Row],[RepsRequested]]=DiscreteStatsTable[[#This Row],[RepsWithStatObserved]],1,0)</f>
        <v>1</v>
      </c>
    </row>
    <row r="170" spans="1:25" x14ac:dyDescent="0.35">
      <c r="A170" t="s">
        <v>66</v>
      </c>
      <c r="B170" t="s">
        <v>69</v>
      </c>
      <c r="C170">
        <v>29</v>
      </c>
      <c r="D170" t="s">
        <v>70</v>
      </c>
      <c r="E170" t="s">
        <v>71</v>
      </c>
      <c r="F170" t="s">
        <v>72</v>
      </c>
      <c r="G170">
        <v>0</v>
      </c>
      <c r="H170">
        <v>2E+20</v>
      </c>
      <c r="I170">
        <v>0</v>
      </c>
      <c r="J170">
        <v>0</v>
      </c>
      <c r="K170">
        <v>4</v>
      </c>
      <c r="L170" s="5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170" s="5" cm="1">
        <f t="array" ref="M170">MAX(IF((ProjectInfoTable[ProjectName]=DiscreteStatsTable[[#This Row],[ProjectName]]),(ProjectInfoTable[ProjectName]=DiscreteStatsTable[[#This Row],[ProjectName]])*ProjectInfoTable[NumberOfReplications]))</f>
        <v>50</v>
      </c>
      <c r="N170" s="5" cm="1">
        <f t="array" ref="N170">IFERROR(AVERAGE(IF((DiscreteStatsTable[GroupByKey]=DiscreteStatsTable[[#This Row],[GroupByKey]]),(DiscreteStatsTable[GroupByKey]=DiscreteStatsTable[[#This Row],[GroupByKey]])*DiscreteStatsTable[Average])),0)</f>
        <v>0</v>
      </c>
      <c r="O170" s="5" cm="1">
        <f t="array" ref="O170">IFERROR(_xlfn.STDEV.S(IF((DiscreteStatsTable[GroupByKey]=DiscreteStatsTable[[#This Row],[GroupByKey]]),(DiscreteStatsTable[GroupByKey]=DiscreteStatsTable[[#This Row],[GroupByKey]])*DiscreteStatsTable[Average])),0)</f>
        <v>0</v>
      </c>
      <c r="P170" s="5" cm="1">
        <f t="array" ref="P170">MAX(IF((ProjectInfoTable[ProjectName]=DiscreteStatsTable[[#This Row],[ProjectName]]),(ProjectInfoTable[ProjectName]=DiscreteStatsTable[[#This Row],[ProjectName]])*ProjectInfoTable[ConfidenceInterval]))</f>
        <v>0.95</v>
      </c>
      <c r="Q170" s="5">
        <f>IF(AND(DiscreteStatsTable[[#This Row],[RepsWithStatObserved]]=1,Y170=0),200000000000000000000,IFERROR(_xlfn.T.INV.2T(1 -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" s="5" cm="1">
        <f t="array" ref="R170">MIN(IF((DiscreteStatsTable[GroupByKey]=DiscreteStatsTable[[#This Row],[GroupByKey]]),(DiscreteStatsTable[GroupByKey]=DiscreteStatsTable[[#This Row],[GroupByKey]])*DiscreteStatsTable[Average]))</f>
        <v>0</v>
      </c>
      <c r="S170" s="5" cm="1">
        <f t="array" ref="S170">MAX(IF((DiscreteStatsTable[GroupByKey]=DiscreteStatsTable[[#This Row],[GroupByKey]]),(DiscreteStatsTable[GroupByKey]=DiscreteStatsTable[[#This Row],[GroupByKey]])*DiscreteStatsTable[Average]))</f>
        <v>0</v>
      </c>
      <c r="T170" s="5" cm="1">
        <f t="array" ref="T170">MIN(IF((DiscreteStatsTable[GroupByKey]=DiscreteStatsTable[[#This Row],[GroupByKey]]),(DiscreteStatsTable[GroupByKey]=DiscreteStatsTable[[#This Row],[GroupByKey]])*DiscreteStatsTable[Minimum]))</f>
        <v>0</v>
      </c>
      <c r="U170" s="5" cm="1">
        <f t="array" ref="U170">MAX(IF((DiscreteStatsTable[GroupByKey]=DiscreteStatsTable[[#This Row],[GroupByKey]]),(DiscreteStatsTable[GroupByKey]=DiscreteStatsTable[[#This Row],[GroupByKey]])*DiscreteStatsTable[Maximum]))</f>
        <v>0</v>
      </c>
      <c r="V170" s="5" cm="1">
        <f t="array" ref="V170">IFERROR(AVERAGE(IF((DiscreteStatsTable[GroupByKey]=DiscreteStatsTable[[#This Row],[GroupByKey]]),(DiscreteStatsTable[GroupByKey]=DiscreteStatsTable[[#This Row],[GroupByKey]])*DiscreteStatsTable[NumberObservations])),0)</f>
        <v>3.62</v>
      </c>
      <c r="W170" s="5">
        <f>IF((DiscreteStatsTable[[#This Row],[RepsRequested]]&gt;1),DiscreteStatsTable[[#This Row],[HalfWidth]],DiscreteStatsTable[[#This Row],[BatchMeansHalfWidth]])</f>
        <v>0</v>
      </c>
      <c r="X170" s="5" cm="1">
        <f t="array" ref="X170">COUNT(IF((DiscreteStatsTable[GroupByKey]=DiscreteStatsTable[[#This Row],[GroupByKey]]),(DiscreteStatsTable[GroupByKey]=DiscreteStatsTable[[#This Row],[GroupByKey]])*DiscreteStatsTable[Replication]))</f>
        <v>50</v>
      </c>
      <c r="Y170" s="5">
        <f>IF(DiscreteStatsTable[[#This Row],[RepsRequested]]=DiscreteStatsTable[[#This Row],[RepsWithStatObserved]],1,0)</f>
        <v>1</v>
      </c>
    </row>
    <row r="171" spans="1:25" x14ac:dyDescent="0.35">
      <c r="A171" t="s">
        <v>66</v>
      </c>
      <c r="B171" t="s">
        <v>69</v>
      </c>
      <c r="C171">
        <v>29</v>
      </c>
      <c r="D171" t="s">
        <v>70</v>
      </c>
      <c r="E171" t="s">
        <v>73</v>
      </c>
      <c r="F171" t="s">
        <v>72</v>
      </c>
      <c r="G171">
        <v>0</v>
      </c>
      <c r="H171">
        <v>2E+20</v>
      </c>
      <c r="I171">
        <v>0</v>
      </c>
      <c r="J171">
        <v>0</v>
      </c>
      <c r="K171">
        <v>4</v>
      </c>
      <c r="L171" s="5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171" s="5" cm="1">
        <f t="array" ref="M171">MAX(IF((ProjectInfoTable[ProjectName]=DiscreteStatsTable[[#This Row],[ProjectName]]),(ProjectInfoTable[ProjectName]=DiscreteStatsTable[[#This Row],[ProjectName]])*ProjectInfoTable[NumberOfReplications]))</f>
        <v>50</v>
      </c>
      <c r="N171" s="5" cm="1">
        <f t="array" ref="N171">IFERROR(AVERAGE(IF((DiscreteStatsTable[GroupByKey]=DiscreteStatsTable[[#This Row],[GroupByKey]]),(DiscreteStatsTable[GroupByKey]=DiscreteStatsTable[[#This Row],[GroupByKey]])*DiscreteStatsTable[Average])),0)</f>
        <v>0</v>
      </c>
      <c r="O171" s="5" cm="1">
        <f t="array" ref="O171">IFERROR(_xlfn.STDEV.S(IF((DiscreteStatsTable[GroupByKey]=DiscreteStatsTable[[#This Row],[GroupByKey]]),(DiscreteStatsTable[GroupByKey]=DiscreteStatsTable[[#This Row],[GroupByKey]])*DiscreteStatsTable[Average])),0)</f>
        <v>0</v>
      </c>
      <c r="P171" s="5" cm="1">
        <f t="array" ref="P171">MAX(IF((ProjectInfoTable[ProjectName]=DiscreteStatsTable[[#This Row],[ProjectName]]),(ProjectInfoTable[ProjectName]=DiscreteStatsTable[[#This Row],[ProjectName]])*ProjectInfoTable[ConfidenceInterval]))</f>
        <v>0.95</v>
      </c>
      <c r="Q171" s="5">
        <f>IF(AND(DiscreteStatsTable[[#This Row],[RepsWithStatObserved]]=1,Y171=0),200000000000000000000,IFERROR(_xlfn.T.INV.2T(1 -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" s="5" cm="1">
        <f t="array" ref="R171">MIN(IF((DiscreteStatsTable[GroupByKey]=DiscreteStatsTable[[#This Row],[GroupByKey]]),(DiscreteStatsTable[GroupByKey]=DiscreteStatsTable[[#This Row],[GroupByKey]])*DiscreteStatsTable[Average]))</f>
        <v>0</v>
      </c>
      <c r="S171" s="5" cm="1">
        <f t="array" ref="S171">MAX(IF((DiscreteStatsTable[GroupByKey]=DiscreteStatsTable[[#This Row],[GroupByKey]]),(DiscreteStatsTable[GroupByKey]=DiscreteStatsTable[[#This Row],[GroupByKey]])*DiscreteStatsTable[Average]))</f>
        <v>0</v>
      </c>
      <c r="T171" s="5" cm="1">
        <f t="array" ref="T171">MIN(IF((DiscreteStatsTable[GroupByKey]=DiscreteStatsTable[[#This Row],[GroupByKey]]),(DiscreteStatsTable[GroupByKey]=DiscreteStatsTable[[#This Row],[GroupByKey]])*DiscreteStatsTable[Minimum]))</f>
        <v>0</v>
      </c>
      <c r="U171" s="5" cm="1">
        <f t="array" ref="U171">MAX(IF((DiscreteStatsTable[GroupByKey]=DiscreteStatsTable[[#This Row],[GroupByKey]]),(DiscreteStatsTable[GroupByKey]=DiscreteStatsTable[[#This Row],[GroupByKey]])*DiscreteStatsTable[Maximum]))</f>
        <v>0</v>
      </c>
      <c r="V171" s="5" cm="1">
        <f t="array" ref="V171">IFERROR(AVERAGE(IF((DiscreteStatsTable[GroupByKey]=DiscreteStatsTable[[#This Row],[GroupByKey]]),(DiscreteStatsTable[GroupByKey]=DiscreteStatsTable[[#This Row],[GroupByKey]])*DiscreteStatsTable[NumberObservations])),0)</f>
        <v>3.62</v>
      </c>
      <c r="W171" s="5">
        <f>IF((DiscreteStatsTable[[#This Row],[RepsRequested]]&gt;1),DiscreteStatsTable[[#This Row],[HalfWidth]],DiscreteStatsTable[[#This Row],[BatchMeansHalfWidth]])</f>
        <v>0</v>
      </c>
      <c r="X171" s="5" cm="1">
        <f t="array" ref="X171">COUNT(IF((DiscreteStatsTable[GroupByKey]=DiscreteStatsTable[[#This Row],[GroupByKey]]),(DiscreteStatsTable[GroupByKey]=DiscreteStatsTable[[#This Row],[GroupByKey]])*DiscreteStatsTable[Replication]))</f>
        <v>50</v>
      </c>
      <c r="Y171" s="5">
        <f>IF(DiscreteStatsTable[[#This Row],[RepsRequested]]=DiscreteStatsTable[[#This Row],[RepsWithStatObserved]],1,0)</f>
        <v>1</v>
      </c>
    </row>
    <row r="172" spans="1:25" x14ac:dyDescent="0.35">
      <c r="A172" t="s">
        <v>66</v>
      </c>
      <c r="B172" t="s">
        <v>69</v>
      </c>
      <c r="C172">
        <v>29</v>
      </c>
      <c r="D172" t="s">
        <v>70</v>
      </c>
      <c r="E172" t="s">
        <v>74</v>
      </c>
      <c r="F172" t="s">
        <v>72</v>
      </c>
      <c r="G172">
        <v>5.0212068441155697</v>
      </c>
      <c r="H172">
        <v>2E+20</v>
      </c>
      <c r="I172">
        <v>2.7081629579480602</v>
      </c>
      <c r="J172">
        <v>7.3070358857188502</v>
      </c>
      <c r="K172">
        <v>4</v>
      </c>
      <c r="L172" s="5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172" s="5" cm="1">
        <f t="array" ref="M172">MAX(IF((ProjectInfoTable[ProjectName]=DiscreteStatsTable[[#This Row],[ProjectName]]),(ProjectInfoTable[ProjectName]=DiscreteStatsTable[[#This Row],[ProjectName]])*ProjectInfoTable[NumberOfReplications]))</f>
        <v>50</v>
      </c>
      <c r="N172" s="5" cm="1">
        <f t="array" ref="N172">IFERROR(AVERAGE(IF((DiscreteStatsTable[GroupByKey]=DiscreteStatsTable[[#This Row],[GroupByKey]]),(DiscreteStatsTable[GroupByKey]=DiscreteStatsTable[[#This Row],[GroupByKey]])*DiscreteStatsTable[Average])),0)</f>
        <v>3.5363894499532775</v>
      </c>
      <c r="O172" s="5" cm="1">
        <f t="array" ref="O172">IFERROR(_xlfn.STDEV.S(IF((DiscreteStatsTable[GroupByKey]=DiscreteStatsTable[[#This Row],[GroupByKey]]),(DiscreteStatsTable[GroupByKey]=DiscreteStatsTable[[#This Row],[GroupByKey]])*DiscreteStatsTable[Average])),0)</f>
        <v>1.1766434570133149</v>
      </c>
      <c r="P172" s="5" cm="1">
        <f t="array" ref="P172">MAX(IF((ProjectInfoTable[ProjectName]=DiscreteStatsTable[[#This Row],[ProjectName]]),(ProjectInfoTable[ProjectName]=DiscreteStatsTable[[#This Row],[ProjectName]])*ProjectInfoTable[ConfidenceInterval]))</f>
        <v>0.95</v>
      </c>
      <c r="Q172" s="5">
        <f>IF(AND(DiscreteStatsTable[[#This Row],[RepsWithStatObserved]]=1,Y172=0),200000000000000000000,IFERROR(_xlfn.T.INV.2T(1 -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0.33439837052280896</v>
      </c>
      <c r="R172" s="5" cm="1">
        <f t="array" ref="R172">MIN(IF((DiscreteStatsTable[GroupByKey]=DiscreteStatsTable[[#This Row],[GroupByKey]]),(DiscreteStatsTable[GroupByKey]=DiscreteStatsTable[[#This Row],[GroupByKey]])*DiscreteStatsTable[Average]))</f>
        <v>1.6342264652107701</v>
      </c>
      <c r="S172" s="5" cm="1">
        <f t="array" ref="S172">MAX(IF((DiscreteStatsTable[GroupByKey]=DiscreteStatsTable[[#This Row],[GroupByKey]]),(DiscreteStatsTable[GroupByKey]=DiscreteStatsTable[[#This Row],[GroupByKey]])*DiscreteStatsTable[Average]))</f>
        <v>6.5527373550837904</v>
      </c>
      <c r="T172" s="5" cm="1">
        <f t="array" ref="T172">MIN(IF((DiscreteStatsTable[GroupByKey]=DiscreteStatsTable[[#This Row],[GroupByKey]]),(DiscreteStatsTable[GroupByKey]=DiscreteStatsTable[[#This Row],[GroupByKey]])*DiscreteStatsTable[Minimum]))</f>
        <v>0.58847912081681497</v>
      </c>
      <c r="U172" s="5" cm="1">
        <f t="array" ref="U172">MAX(IF((DiscreteStatsTable[GroupByKey]=DiscreteStatsTable[[#This Row],[GroupByKey]]),(DiscreteStatsTable[GroupByKey]=DiscreteStatsTable[[#This Row],[GroupByKey]])*DiscreteStatsTable[Maximum]))</f>
        <v>8.7476494546828292</v>
      </c>
      <c r="V172" s="5" cm="1">
        <f t="array" ref="V172">IFERROR(AVERAGE(IF((DiscreteStatsTable[GroupByKey]=DiscreteStatsTable[[#This Row],[GroupByKey]]),(DiscreteStatsTable[GroupByKey]=DiscreteStatsTable[[#This Row],[GroupByKey]])*DiscreteStatsTable[NumberObservations])),0)</f>
        <v>3.62</v>
      </c>
      <c r="W172" s="5">
        <f>IF((DiscreteStatsTable[[#This Row],[RepsRequested]]&gt;1),DiscreteStatsTable[[#This Row],[HalfWidth]],DiscreteStatsTable[[#This Row],[BatchMeansHalfWidth]])</f>
        <v>0.33439837052280896</v>
      </c>
      <c r="X172" s="5" cm="1">
        <f t="array" ref="X172">COUNT(IF((DiscreteStatsTable[GroupByKey]=DiscreteStatsTable[[#This Row],[GroupByKey]]),(DiscreteStatsTable[GroupByKey]=DiscreteStatsTable[[#This Row],[GroupByKey]])*DiscreteStatsTable[Replication]))</f>
        <v>50</v>
      </c>
      <c r="Y172" s="5">
        <f>IF(DiscreteStatsTable[[#This Row],[RepsRequested]]=DiscreteStatsTable[[#This Row],[RepsWithStatObserved]],1,0)</f>
        <v>1</v>
      </c>
    </row>
    <row r="173" spans="1:25" x14ac:dyDescent="0.35">
      <c r="A173" t="s">
        <v>66</v>
      </c>
      <c r="B173" t="s">
        <v>69</v>
      </c>
      <c r="C173">
        <v>29</v>
      </c>
      <c r="D173" t="s">
        <v>70</v>
      </c>
      <c r="E173" t="s">
        <v>75</v>
      </c>
      <c r="F173" t="s">
        <v>72</v>
      </c>
      <c r="G173">
        <v>0</v>
      </c>
      <c r="H173">
        <v>2E+20</v>
      </c>
      <c r="I173">
        <v>0</v>
      </c>
      <c r="J173">
        <v>0</v>
      </c>
      <c r="K173">
        <v>4</v>
      </c>
      <c r="L173" s="5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173" s="5" cm="1">
        <f t="array" ref="M173">MAX(IF((ProjectInfoTable[ProjectName]=DiscreteStatsTable[[#This Row],[ProjectName]]),(ProjectInfoTable[ProjectName]=DiscreteStatsTable[[#This Row],[ProjectName]])*ProjectInfoTable[NumberOfReplications]))</f>
        <v>50</v>
      </c>
      <c r="N173" s="5" cm="1">
        <f t="array" ref="N173">IFERROR(AVERAGE(IF((DiscreteStatsTable[GroupByKey]=DiscreteStatsTable[[#This Row],[GroupByKey]]),(DiscreteStatsTable[GroupByKey]=DiscreteStatsTable[[#This Row],[GroupByKey]])*DiscreteStatsTable[Average])),0)</f>
        <v>0</v>
      </c>
      <c r="O173" s="5" cm="1">
        <f t="array" ref="O173">IFERROR(_xlfn.STDEV.S(IF((DiscreteStatsTable[GroupByKey]=DiscreteStatsTable[[#This Row],[GroupByKey]]),(DiscreteStatsTable[GroupByKey]=DiscreteStatsTable[[#This Row],[GroupByKey]])*DiscreteStatsTable[Average])),0)</f>
        <v>0</v>
      </c>
      <c r="P173" s="5" cm="1">
        <f t="array" ref="P173">MAX(IF((ProjectInfoTable[ProjectName]=DiscreteStatsTable[[#This Row],[ProjectName]]),(ProjectInfoTable[ProjectName]=DiscreteStatsTable[[#This Row],[ProjectName]])*ProjectInfoTable[ConfidenceInterval]))</f>
        <v>0.95</v>
      </c>
      <c r="Q173" s="5">
        <f>IF(AND(DiscreteStatsTable[[#This Row],[RepsWithStatObserved]]=1,Y173=0),200000000000000000000,IFERROR(_xlfn.T.INV.2T(1 -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" s="5" cm="1">
        <f t="array" ref="R173">MIN(IF((DiscreteStatsTable[GroupByKey]=DiscreteStatsTable[[#This Row],[GroupByKey]]),(DiscreteStatsTable[GroupByKey]=DiscreteStatsTable[[#This Row],[GroupByKey]])*DiscreteStatsTable[Average]))</f>
        <v>0</v>
      </c>
      <c r="S173" s="5" cm="1">
        <f t="array" ref="S173">MAX(IF((DiscreteStatsTable[GroupByKey]=DiscreteStatsTable[[#This Row],[GroupByKey]]),(DiscreteStatsTable[GroupByKey]=DiscreteStatsTable[[#This Row],[GroupByKey]])*DiscreteStatsTable[Average]))</f>
        <v>0</v>
      </c>
      <c r="T173" s="5" cm="1">
        <f t="array" ref="T173">MIN(IF((DiscreteStatsTable[GroupByKey]=DiscreteStatsTable[[#This Row],[GroupByKey]]),(DiscreteStatsTable[GroupByKey]=DiscreteStatsTable[[#This Row],[GroupByKey]])*DiscreteStatsTable[Minimum]))</f>
        <v>0</v>
      </c>
      <c r="U173" s="5" cm="1">
        <f t="array" ref="U173">MAX(IF((DiscreteStatsTable[GroupByKey]=DiscreteStatsTable[[#This Row],[GroupByKey]]),(DiscreteStatsTable[GroupByKey]=DiscreteStatsTable[[#This Row],[GroupByKey]])*DiscreteStatsTable[Maximum]))</f>
        <v>0</v>
      </c>
      <c r="V173" s="5" cm="1">
        <f t="array" ref="V173">IFERROR(AVERAGE(IF((DiscreteStatsTable[GroupByKey]=DiscreteStatsTable[[#This Row],[GroupByKey]]),(DiscreteStatsTable[GroupByKey]=DiscreteStatsTable[[#This Row],[GroupByKey]])*DiscreteStatsTable[NumberObservations])),0)</f>
        <v>3.62</v>
      </c>
      <c r="W173" s="5">
        <f>IF((DiscreteStatsTable[[#This Row],[RepsRequested]]&gt;1),DiscreteStatsTable[[#This Row],[HalfWidth]],DiscreteStatsTable[[#This Row],[BatchMeansHalfWidth]])</f>
        <v>0</v>
      </c>
      <c r="X173" s="5" cm="1">
        <f t="array" ref="X173">COUNT(IF((DiscreteStatsTable[GroupByKey]=DiscreteStatsTable[[#This Row],[GroupByKey]]),(DiscreteStatsTable[GroupByKey]=DiscreteStatsTable[[#This Row],[GroupByKey]])*DiscreteStatsTable[Replication]))</f>
        <v>50</v>
      </c>
      <c r="Y173" s="5">
        <f>IF(DiscreteStatsTable[[#This Row],[RepsRequested]]=DiscreteStatsTable[[#This Row],[RepsWithStatObserved]],1,0)</f>
        <v>1</v>
      </c>
    </row>
    <row r="174" spans="1:25" x14ac:dyDescent="0.35">
      <c r="A174" t="s">
        <v>66</v>
      </c>
      <c r="B174" t="s">
        <v>69</v>
      </c>
      <c r="C174">
        <v>29</v>
      </c>
      <c r="D174" t="s">
        <v>70</v>
      </c>
      <c r="E174" t="s">
        <v>76</v>
      </c>
      <c r="F174" t="s">
        <v>72</v>
      </c>
      <c r="G174">
        <v>2.35658796855224</v>
      </c>
      <c r="H174">
        <v>2E+20</v>
      </c>
      <c r="I174">
        <v>1.64342235506808</v>
      </c>
      <c r="J174">
        <v>2.7081629579480602</v>
      </c>
      <c r="K174">
        <v>4</v>
      </c>
      <c r="L174" s="5" t="str">
        <f>DiscreteStatsTable[[#This Row],[ProjectName]]&amp;DiscreteStatsTable[[#This Row],[Name]]&amp;DiscreteStatsTable[[#This Row],[Type]]&amp;DiscreteStatsTable[[#This Row],[Source]]</f>
        <v>Unnamed ProjectArquivosVA TimeEntity</v>
      </c>
      <c r="M174" s="5" cm="1">
        <f t="array" ref="M174">MAX(IF((ProjectInfoTable[ProjectName]=DiscreteStatsTable[[#This Row],[ProjectName]]),(ProjectInfoTable[ProjectName]=DiscreteStatsTable[[#This Row],[ProjectName]])*ProjectInfoTable[NumberOfReplications]))</f>
        <v>50</v>
      </c>
      <c r="N174" s="5" cm="1">
        <f t="array" ref="N174">IFERROR(AVERAGE(IF((DiscreteStatsTable[GroupByKey]=DiscreteStatsTable[[#This Row],[GroupByKey]]),(DiscreteStatsTable[GroupByKey]=DiscreteStatsTable[[#This Row],[GroupByKey]])*DiscreteStatsTable[Average])),0)</f>
        <v>2.3123810058270009</v>
      </c>
      <c r="O174" s="5" cm="1">
        <f t="array" ref="O174">IFERROR(_xlfn.STDEV.S(IF((DiscreteStatsTable[GroupByKey]=DiscreteStatsTable[[#This Row],[GroupByKey]]),(DiscreteStatsTable[GroupByKey]=DiscreteStatsTable[[#This Row],[GroupByKey]])*DiscreteStatsTable[Average])),0)</f>
        <v>0.47735516285795621</v>
      </c>
      <c r="P174" s="5" cm="1">
        <f t="array" ref="P174">MAX(IF((ProjectInfoTable[ProjectName]=DiscreteStatsTable[[#This Row],[ProjectName]]),(ProjectInfoTable[ProjectName]=DiscreteStatsTable[[#This Row],[ProjectName]])*ProjectInfoTable[ConfidenceInterval]))</f>
        <v>0.95</v>
      </c>
      <c r="Q174" s="5">
        <f>IF(AND(DiscreteStatsTable[[#This Row],[RepsWithStatObserved]]=1,Y174=0),200000000000000000000,IFERROR(_xlfn.T.INV.2T(1 -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0.13566283623888314</v>
      </c>
      <c r="R174" s="5" cm="1">
        <f t="array" ref="R174">MIN(IF((DiscreteStatsTable[GroupByKey]=DiscreteStatsTable[[#This Row],[GroupByKey]]),(DiscreteStatsTable[GroupByKey]=DiscreteStatsTable[[#This Row],[GroupByKey]])*DiscreteStatsTable[Average]))</f>
        <v>1.3773415743205399</v>
      </c>
      <c r="S174" s="5" cm="1">
        <f t="array" ref="S174">MAX(IF((DiscreteStatsTable[GroupByKey]=DiscreteStatsTable[[#This Row],[GroupByKey]]),(DiscreteStatsTable[GroupByKey]=DiscreteStatsTable[[#This Row],[GroupByKey]])*DiscreteStatsTable[Average]))</f>
        <v>3.3139161730180202</v>
      </c>
      <c r="T174" s="5" cm="1">
        <f t="array" ref="T174">MIN(IF((DiscreteStatsTable[GroupByKey]=DiscreteStatsTable[[#This Row],[GroupByKey]]),(DiscreteStatsTable[GroupByKey]=DiscreteStatsTable[[#This Row],[GroupByKey]])*DiscreteStatsTable[Minimum]))</f>
        <v>0.58847912081681497</v>
      </c>
      <c r="U174" s="5" cm="1">
        <f t="array" ref="U174">MAX(IF((DiscreteStatsTable[GroupByKey]=DiscreteStatsTable[[#This Row],[GroupByKey]]),(DiscreteStatsTable[GroupByKey]=DiscreteStatsTable[[#This Row],[GroupByKey]])*DiscreteStatsTable[Maximum]))</f>
        <v>4.9756405925629998</v>
      </c>
      <c r="V174" s="5" cm="1">
        <f t="array" ref="V174">IFERROR(AVERAGE(IF((DiscreteStatsTable[GroupByKey]=DiscreteStatsTable[[#This Row],[GroupByKey]]),(DiscreteStatsTable[GroupByKey]=DiscreteStatsTable[[#This Row],[GroupByKey]])*DiscreteStatsTable[NumberObservations])),0)</f>
        <v>3.62</v>
      </c>
      <c r="W174" s="5">
        <f>IF((DiscreteStatsTable[[#This Row],[RepsRequested]]&gt;1),DiscreteStatsTable[[#This Row],[HalfWidth]],DiscreteStatsTable[[#This Row],[BatchMeansHalfWidth]])</f>
        <v>0.13566283623888314</v>
      </c>
      <c r="X174" s="5" cm="1">
        <f t="array" ref="X174">COUNT(IF((DiscreteStatsTable[GroupByKey]=DiscreteStatsTable[[#This Row],[GroupByKey]]),(DiscreteStatsTable[GroupByKey]=DiscreteStatsTable[[#This Row],[GroupByKey]])*DiscreteStatsTable[Replication]))</f>
        <v>50</v>
      </c>
      <c r="Y174" s="5">
        <f>IF(DiscreteStatsTable[[#This Row],[RepsRequested]]=DiscreteStatsTable[[#This Row],[RepsWithStatObserved]],1,0)</f>
        <v>1</v>
      </c>
    </row>
    <row r="175" spans="1:25" x14ac:dyDescent="0.35">
      <c r="A175" t="s">
        <v>66</v>
      </c>
      <c r="B175" t="s">
        <v>69</v>
      </c>
      <c r="C175">
        <v>29</v>
      </c>
      <c r="D175" t="s">
        <v>70</v>
      </c>
      <c r="E175" t="s">
        <v>77</v>
      </c>
      <c r="F175" t="s">
        <v>72</v>
      </c>
      <c r="G175">
        <v>2.6646188755633302</v>
      </c>
      <c r="H175">
        <v>2E+20</v>
      </c>
      <c r="I175">
        <v>0</v>
      </c>
      <c r="J175">
        <v>4.6886647189490498</v>
      </c>
      <c r="K175">
        <v>4</v>
      </c>
      <c r="L175" s="5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175" s="5" cm="1">
        <f t="array" ref="M175">MAX(IF((ProjectInfoTable[ProjectName]=DiscreteStatsTable[[#This Row],[ProjectName]]),(ProjectInfoTable[ProjectName]=DiscreteStatsTable[[#This Row],[ProjectName]])*ProjectInfoTable[NumberOfReplications]))</f>
        <v>50</v>
      </c>
      <c r="N175" s="5" cm="1">
        <f t="array" ref="N175">IFERROR(AVERAGE(IF((DiscreteStatsTable[GroupByKey]=DiscreteStatsTable[[#This Row],[GroupByKey]]),(DiscreteStatsTable[GroupByKey]=DiscreteStatsTable[[#This Row],[GroupByKey]])*DiscreteStatsTable[Average])),0)</f>
        <v>1.2240084441262762</v>
      </c>
      <c r="O175" s="5" cm="1">
        <f t="array" ref="O175">IFERROR(_xlfn.STDEV.S(IF((DiscreteStatsTable[GroupByKey]=DiscreteStatsTable[[#This Row],[GroupByKey]]),(DiscreteStatsTable[GroupByKey]=DiscreteStatsTable[[#This Row],[GroupByKey]])*DiscreteStatsTable[Average])),0)</f>
        <v>0.89867905452837749</v>
      </c>
      <c r="P175" s="5" cm="1">
        <f t="array" ref="P175">MAX(IF((ProjectInfoTable[ProjectName]=DiscreteStatsTable[[#This Row],[ProjectName]]),(ProjectInfoTable[ProjectName]=DiscreteStatsTable[[#This Row],[ProjectName]])*ProjectInfoTable[ConfidenceInterval]))</f>
        <v>0.95</v>
      </c>
      <c r="Q175" s="5">
        <f>IF(AND(DiscreteStatsTable[[#This Row],[RepsWithStatObserved]]=1,Y175=0),200000000000000000000,IFERROR(_xlfn.T.INV.2T(1 -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0.2554017613968404</v>
      </c>
      <c r="R175" s="5" cm="1">
        <f t="array" ref="R175">MIN(IF((DiscreteStatsTable[GroupByKey]=DiscreteStatsTable[[#This Row],[GroupByKey]]),(DiscreteStatsTable[GroupByKey]=DiscreteStatsTable[[#This Row],[GroupByKey]])*DiscreteStatsTable[Average]))</f>
        <v>0</v>
      </c>
      <c r="S175" s="5" cm="1">
        <f t="array" ref="S175">MAX(IF((DiscreteStatsTable[GroupByKey]=DiscreteStatsTable[[#This Row],[GroupByKey]]),(DiscreteStatsTable[GroupByKey]=DiscreteStatsTable[[#This Row],[GroupByKey]])*DiscreteStatsTable[Average]))</f>
        <v>3.4345522286517598</v>
      </c>
      <c r="T175" s="5" cm="1">
        <f t="array" ref="T175">MIN(IF((DiscreteStatsTable[GroupByKey]=DiscreteStatsTable[[#This Row],[GroupByKey]]),(DiscreteStatsTable[GroupByKey]=DiscreteStatsTable[[#This Row],[GroupByKey]])*DiscreteStatsTable[Minimum]))</f>
        <v>0</v>
      </c>
      <c r="U175" s="5" cm="1">
        <f t="array" ref="U175">MAX(IF((DiscreteStatsTable[GroupByKey]=DiscreteStatsTable[[#This Row],[GroupByKey]]),(DiscreteStatsTable[GroupByKey]=DiscreteStatsTable[[#This Row],[GroupByKey]])*DiscreteStatsTable[Maximum]))</f>
        <v>6.7563093676697896</v>
      </c>
      <c r="V175" s="5" cm="1">
        <f t="array" ref="V175">IFERROR(AVERAGE(IF((DiscreteStatsTable[GroupByKey]=DiscreteStatsTable[[#This Row],[GroupByKey]]),(DiscreteStatsTable[GroupByKey]=DiscreteStatsTable[[#This Row],[GroupByKey]])*DiscreteStatsTable[NumberObservations])),0)</f>
        <v>3.62</v>
      </c>
      <c r="W175" s="5">
        <f>IF((DiscreteStatsTable[[#This Row],[RepsRequested]]&gt;1),DiscreteStatsTable[[#This Row],[HalfWidth]],DiscreteStatsTable[[#This Row],[BatchMeansHalfWidth]])</f>
        <v>0.2554017613968404</v>
      </c>
      <c r="X175" s="5" cm="1">
        <f t="array" ref="X175">COUNT(IF((DiscreteStatsTable[GroupByKey]=DiscreteStatsTable[[#This Row],[GroupByKey]]),(DiscreteStatsTable[GroupByKey]=DiscreteStatsTable[[#This Row],[GroupByKey]])*DiscreteStatsTable[Replication]))</f>
        <v>50</v>
      </c>
      <c r="Y175" s="5">
        <f>IF(DiscreteStatsTable[[#This Row],[RepsRequested]]=DiscreteStatsTable[[#This Row],[RepsWithStatObserved]],1,0)</f>
        <v>1</v>
      </c>
    </row>
    <row r="176" spans="1:25" x14ac:dyDescent="0.35">
      <c r="A176" t="s">
        <v>66</v>
      </c>
      <c r="B176" t="s">
        <v>69</v>
      </c>
      <c r="C176">
        <v>30</v>
      </c>
      <c r="D176" t="s">
        <v>70</v>
      </c>
      <c r="E176" t="s">
        <v>71</v>
      </c>
      <c r="F176" t="s">
        <v>72</v>
      </c>
      <c r="G176">
        <v>0</v>
      </c>
      <c r="H176">
        <v>2E+20</v>
      </c>
      <c r="I176">
        <v>0</v>
      </c>
      <c r="J176">
        <v>0</v>
      </c>
      <c r="K176">
        <v>5</v>
      </c>
      <c r="L176" s="5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176" s="5" cm="1">
        <f t="array" ref="M176">MAX(IF((ProjectInfoTable[ProjectName]=DiscreteStatsTable[[#This Row],[ProjectName]]),(ProjectInfoTable[ProjectName]=DiscreteStatsTable[[#This Row],[ProjectName]])*ProjectInfoTable[NumberOfReplications]))</f>
        <v>50</v>
      </c>
      <c r="N176" s="5" cm="1">
        <f t="array" ref="N176">IFERROR(AVERAGE(IF((DiscreteStatsTable[GroupByKey]=DiscreteStatsTable[[#This Row],[GroupByKey]]),(DiscreteStatsTable[GroupByKey]=DiscreteStatsTable[[#This Row],[GroupByKey]])*DiscreteStatsTable[Average])),0)</f>
        <v>0</v>
      </c>
      <c r="O176" s="5" cm="1">
        <f t="array" ref="O176">IFERROR(_xlfn.STDEV.S(IF((DiscreteStatsTable[GroupByKey]=DiscreteStatsTable[[#This Row],[GroupByKey]]),(DiscreteStatsTable[GroupByKey]=DiscreteStatsTable[[#This Row],[GroupByKey]])*DiscreteStatsTable[Average])),0)</f>
        <v>0</v>
      </c>
      <c r="P176" s="5" cm="1">
        <f t="array" ref="P176">MAX(IF((ProjectInfoTable[ProjectName]=DiscreteStatsTable[[#This Row],[ProjectName]]),(ProjectInfoTable[ProjectName]=DiscreteStatsTable[[#This Row],[ProjectName]])*ProjectInfoTable[ConfidenceInterval]))</f>
        <v>0.95</v>
      </c>
      <c r="Q176" s="5">
        <f>IF(AND(DiscreteStatsTable[[#This Row],[RepsWithStatObserved]]=1,Y176=0),200000000000000000000,IFERROR(_xlfn.T.INV.2T(1 -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" s="5" cm="1">
        <f t="array" ref="R176">MIN(IF((DiscreteStatsTable[GroupByKey]=DiscreteStatsTable[[#This Row],[GroupByKey]]),(DiscreteStatsTable[GroupByKey]=DiscreteStatsTable[[#This Row],[GroupByKey]])*DiscreteStatsTable[Average]))</f>
        <v>0</v>
      </c>
      <c r="S176" s="5" cm="1">
        <f t="array" ref="S176">MAX(IF((DiscreteStatsTable[GroupByKey]=DiscreteStatsTable[[#This Row],[GroupByKey]]),(DiscreteStatsTable[GroupByKey]=DiscreteStatsTable[[#This Row],[GroupByKey]])*DiscreteStatsTable[Average]))</f>
        <v>0</v>
      </c>
      <c r="T176" s="5" cm="1">
        <f t="array" ref="T176">MIN(IF((DiscreteStatsTable[GroupByKey]=DiscreteStatsTable[[#This Row],[GroupByKey]]),(DiscreteStatsTable[GroupByKey]=DiscreteStatsTable[[#This Row],[GroupByKey]])*DiscreteStatsTable[Minimum]))</f>
        <v>0</v>
      </c>
      <c r="U176" s="5" cm="1">
        <f t="array" ref="U176">MAX(IF((DiscreteStatsTable[GroupByKey]=DiscreteStatsTable[[#This Row],[GroupByKey]]),(DiscreteStatsTable[GroupByKey]=DiscreteStatsTable[[#This Row],[GroupByKey]])*DiscreteStatsTable[Maximum]))</f>
        <v>0</v>
      </c>
      <c r="V176" s="5" cm="1">
        <f t="array" ref="V176">IFERROR(AVERAGE(IF((DiscreteStatsTable[GroupByKey]=DiscreteStatsTable[[#This Row],[GroupByKey]]),(DiscreteStatsTable[GroupByKey]=DiscreteStatsTable[[#This Row],[GroupByKey]])*DiscreteStatsTable[NumberObservations])),0)</f>
        <v>3.62</v>
      </c>
      <c r="W176" s="5">
        <f>IF((DiscreteStatsTable[[#This Row],[RepsRequested]]&gt;1),DiscreteStatsTable[[#This Row],[HalfWidth]],DiscreteStatsTable[[#This Row],[BatchMeansHalfWidth]])</f>
        <v>0</v>
      </c>
      <c r="X176" s="5" cm="1">
        <f t="array" ref="X176">COUNT(IF((DiscreteStatsTable[GroupByKey]=DiscreteStatsTable[[#This Row],[GroupByKey]]),(DiscreteStatsTable[GroupByKey]=DiscreteStatsTable[[#This Row],[GroupByKey]])*DiscreteStatsTable[Replication]))</f>
        <v>50</v>
      </c>
      <c r="Y176" s="5">
        <f>IF(DiscreteStatsTable[[#This Row],[RepsRequested]]=DiscreteStatsTable[[#This Row],[RepsWithStatObserved]],1,0)</f>
        <v>1</v>
      </c>
    </row>
    <row r="177" spans="1:25" x14ac:dyDescent="0.35">
      <c r="A177" t="s">
        <v>66</v>
      </c>
      <c r="B177" t="s">
        <v>69</v>
      </c>
      <c r="C177">
        <v>30</v>
      </c>
      <c r="D177" t="s">
        <v>70</v>
      </c>
      <c r="E177" t="s">
        <v>73</v>
      </c>
      <c r="F177" t="s">
        <v>72</v>
      </c>
      <c r="G177">
        <v>0</v>
      </c>
      <c r="H177">
        <v>2E+20</v>
      </c>
      <c r="I177">
        <v>0</v>
      </c>
      <c r="J177">
        <v>0</v>
      </c>
      <c r="K177">
        <v>5</v>
      </c>
      <c r="L177" s="5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177" s="5" cm="1">
        <f t="array" ref="M177">MAX(IF((ProjectInfoTable[ProjectName]=DiscreteStatsTable[[#This Row],[ProjectName]]),(ProjectInfoTable[ProjectName]=DiscreteStatsTable[[#This Row],[ProjectName]])*ProjectInfoTable[NumberOfReplications]))</f>
        <v>50</v>
      </c>
      <c r="N177" s="5" cm="1">
        <f t="array" ref="N177">IFERROR(AVERAGE(IF((DiscreteStatsTable[GroupByKey]=DiscreteStatsTable[[#This Row],[GroupByKey]]),(DiscreteStatsTable[GroupByKey]=DiscreteStatsTable[[#This Row],[GroupByKey]])*DiscreteStatsTable[Average])),0)</f>
        <v>0</v>
      </c>
      <c r="O177" s="5" cm="1">
        <f t="array" ref="O177">IFERROR(_xlfn.STDEV.S(IF((DiscreteStatsTable[GroupByKey]=DiscreteStatsTable[[#This Row],[GroupByKey]]),(DiscreteStatsTable[GroupByKey]=DiscreteStatsTable[[#This Row],[GroupByKey]])*DiscreteStatsTable[Average])),0)</f>
        <v>0</v>
      </c>
      <c r="P177" s="5" cm="1">
        <f t="array" ref="P177">MAX(IF((ProjectInfoTable[ProjectName]=DiscreteStatsTable[[#This Row],[ProjectName]]),(ProjectInfoTable[ProjectName]=DiscreteStatsTable[[#This Row],[ProjectName]])*ProjectInfoTable[ConfidenceInterval]))</f>
        <v>0.95</v>
      </c>
      <c r="Q177" s="5">
        <f>IF(AND(DiscreteStatsTable[[#This Row],[RepsWithStatObserved]]=1,Y177=0),200000000000000000000,IFERROR(_xlfn.T.INV.2T(1 -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" s="5" cm="1">
        <f t="array" ref="R177">MIN(IF((DiscreteStatsTable[GroupByKey]=DiscreteStatsTable[[#This Row],[GroupByKey]]),(DiscreteStatsTable[GroupByKey]=DiscreteStatsTable[[#This Row],[GroupByKey]])*DiscreteStatsTable[Average]))</f>
        <v>0</v>
      </c>
      <c r="S177" s="5" cm="1">
        <f t="array" ref="S177">MAX(IF((DiscreteStatsTable[GroupByKey]=DiscreteStatsTable[[#This Row],[GroupByKey]]),(DiscreteStatsTable[GroupByKey]=DiscreteStatsTable[[#This Row],[GroupByKey]])*DiscreteStatsTable[Average]))</f>
        <v>0</v>
      </c>
      <c r="T177" s="5" cm="1">
        <f t="array" ref="T177">MIN(IF((DiscreteStatsTable[GroupByKey]=DiscreteStatsTable[[#This Row],[GroupByKey]]),(DiscreteStatsTable[GroupByKey]=DiscreteStatsTable[[#This Row],[GroupByKey]])*DiscreteStatsTable[Minimum]))</f>
        <v>0</v>
      </c>
      <c r="U177" s="5" cm="1">
        <f t="array" ref="U177">MAX(IF((DiscreteStatsTable[GroupByKey]=DiscreteStatsTable[[#This Row],[GroupByKey]]),(DiscreteStatsTable[GroupByKey]=DiscreteStatsTable[[#This Row],[GroupByKey]])*DiscreteStatsTable[Maximum]))</f>
        <v>0</v>
      </c>
      <c r="V177" s="5" cm="1">
        <f t="array" ref="V177">IFERROR(AVERAGE(IF((DiscreteStatsTable[GroupByKey]=DiscreteStatsTable[[#This Row],[GroupByKey]]),(DiscreteStatsTable[GroupByKey]=DiscreteStatsTable[[#This Row],[GroupByKey]])*DiscreteStatsTable[NumberObservations])),0)</f>
        <v>3.62</v>
      </c>
      <c r="W177" s="5">
        <f>IF((DiscreteStatsTable[[#This Row],[RepsRequested]]&gt;1),DiscreteStatsTable[[#This Row],[HalfWidth]],DiscreteStatsTable[[#This Row],[BatchMeansHalfWidth]])</f>
        <v>0</v>
      </c>
      <c r="X177" s="5" cm="1">
        <f t="array" ref="X177">COUNT(IF((DiscreteStatsTable[GroupByKey]=DiscreteStatsTable[[#This Row],[GroupByKey]]),(DiscreteStatsTable[GroupByKey]=DiscreteStatsTable[[#This Row],[GroupByKey]])*DiscreteStatsTable[Replication]))</f>
        <v>50</v>
      </c>
      <c r="Y177" s="5">
        <f>IF(DiscreteStatsTable[[#This Row],[RepsRequested]]=DiscreteStatsTable[[#This Row],[RepsWithStatObserved]],1,0)</f>
        <v>1</v>
      </c>
    </row>
    <row r="178" spans="1:25" x14ac:dyDescent="0.35">
      <c r="A178" t="s">
        <v>66</v>
      </c>
      <c r="B178" t="s">
        <v>69</v>
      </c>
      <c r="C178">
        <v>30</v>
      </c>
      <c r="D178" t="s">
        <v>70</v>
      </c>
      <c r="E178" t="s">
        <v>74</v>
      </c>
      <c r="F178" t="s">
        <v>72</v>
      </c>
      <c r="G178">
        <v>2.2781467387495602</v>
      </c>
      <c r="H178">
        <v>2E+20</v>
      </c>
      <c r="I178">
        <v>0.74895921082646899</v>
      </c>
      <c r="J178">
        <v>4.2795457843344797</v>
      </c>
      <c r="K178">
        <v>5</v>
      </c>
      <c r="L178" s="5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178" s="5" cm="1">
        <f t="array" ref="M178">MAX(IF((ProjectInfoTable[ProjectName]=DiscreteStatsTable[[#This Row],[ProjectName]]),(ProjectInfoTable[ProjectName]=DiscreteStatsTable[[#This Row],[ProjectName]])*ProjectInfoTable[NumberOfReplications]))</f>
        <v>50</v>
      </c>
      <c r="N178" s="5" cm="1">
        <f t="array" ref="N178">IFERROR(AVERAGE(IF((DiscreteStatsTable[GroupByKey]=DiscreteStatsTable[[#This Row],[GroupByKey]]),(DiscreteStatsTable[GroupByKey]=DiscreteStatsTable[[#This Row],[GroupByKey]])*DiscreteStatsTable[Average])),0)</f>
        <v>3.5363894499532775</v>
      </c>
      <c r="O178" s="5" cm="1">
        <f t="array" ref="O178">IFERROR(_xlfn.STDEV.S(IF((DiscreteStatsTable[GroupByKey]=DiscreteStatsTable[[#This Row],[GroupByKey]]),(DiscreteStatsTable[GroupByKey]=DiscreteStatsTable[[#This Row],[GroupByKey]])*DiscreteStatsTable[Average])),0)</f>
        <v>1.1766434570133149</v>
      </c>
      <c r="P178" s="5" cm="1">
        <f t="array" ref="P178">MAX(IF((ProjectInfoTable[ProjectName]=DiscreteStatsTable[[#This Row],[ProjectName]]),(ProjectInfoTable[ProjectName]=DiscreteStatsTable[[#This Row],[ProjectName]])*ProjectInfoTable[ConfidenceInterval]))</f>
        <v>0.95</v>
      </c>
      <c r="Q178" s="5">
        <f>IF(AND(DiscreteStatsTable[[#This Row],[RepsWithStatObserved]]=1,Y178=0),200000000000000000000,IFERROR(_xlfn.T.INV.2T(1 -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0.33439837052280896</v>
      </c>
      <c r="R178" s="5" cm="1">
        <f t="array" ref="R178">MIN(IF((DiscreteStatsTable[GroupByKey]=DiscreteStatsTable[[#This Row],[GroupByKey]]),(DiscreteStatsTable[GroupByKey]=DiscreteStatsTable[[#This Row],[GroupByKey]])*DiscreteStatsTable[Average]))</f>
        <v>1.6342264652107701</v>
      </c>
      <c r="S178" s="5" cm="1">
        <f t="array" ref="S178">MAX(IF((DiscreteStatsTable[GroupByKey]=DiscreteStatsTable[[#This Row],[GroupByKey]]),(DiscreteStatsTable[GroupByKey]=DiscreteStatsTable[[#This Row],[GroupByKey]])*DiscreteStatsTable[Average]))</f>
        <v>6.5527373550837904</v>
      </c>
      <c r="T178" s="5" cm="1">
        <f t="array" ref="T178">MIN(IF((DiscreteStatsTable[GroupByKey]=DiscreteStatsTable[[#This Row],[GroupByKey]]),(DiscreteStatsTable[GroupByKey]=DiscreteStatsTable[[#This Row],[GroupByKey]])*DiscreteStatsTable[Minimum]))</f>
        <v>0.58847912081681497</v>
      </c>
      <c r="U178" s="5" cm="1">
        <f t="array" ref="U178">MAX(IF((DiscreteStatsTable[GroupByKey]=DiscreteStatsTable[[#This Row],[GroupByKey]]),(DiscreteStatsTable[GroupByKey]=DiscreteStatsTable[[#This Row],[GroupByKey]])*DiscreteStatsTable[Maximum]))</f>
        <v>8.7476494546828292</v>
      </c>
      <c r="V178" s="5" cm="1">
        <f t="array" ref="V178">IFERROR(AVERAGE(IF((DiscreteStatsTable[GroupByKey]=DiscreteStatsTable[[#This Row],[GroupByKey]]),(DiscreteStatsTable[GroupByKey]=DiscreteStatsTable[[#This Row],[GroupByKey]])*DiscreteStatsTable[NumberObservations])),0)</f>
        <v>3.62</v>
      </c>
      <c r="W178" s="5">
        <f>IF((DiscreteStatsTable[[#This Row],[RepsRequested]]&gt;1),DiscreteStatsTable[[#This Row],[HalfWidth]],DiscreteStatsTable[[#This Row],[BatchMeansHalfWidth]])</f>
        <v>0.33439837052280896</v>
      </c>
      <c r="X178" s="5" cm="1">
        <f t="array" ref="X178">COUNT(IF((DiscreteStatsTable[GroupByKey]=DiscreteStatsTable[[#This Row],[GroupByKey]]),(DiscreteStatsTable[GroupByKey]=DiscreteStatsTable[[#This Row],[GroupByKey]])*DiscreteStatsTable[Replication]))</f>
        <v>50</v>
      </c>
      <c r="Y178" s="5">
        <f>IF(DiscreteStatsTable[[#This Row],[RepsRequested]]=DiscreteStatsTable[[#This Row],[RepsWithStatObserved]],1,0)</f>
        <v>1</v>
      </c>
    </row>
    <row r="179" spans="1:25" x14ac:dyDescent="0.35">
      <c r="A179" t="s">
        <v>66</v>
      </c>
      <c r="B179" t="s">
        <v>69</v>
      </c>
      <c r="C179">
        <v>30</v>
      </c>
      <c r="D179" t="s">
        <v>70</v>
      </c>
      <c r="E179" t="s">
        <v>75</v>
      </c>
      <c r="F179" t="s">
        <v>72</v>
      </c>
      <c r="G179">
        <v>0</v>
      </c>
      <c r="H179">
        <v>2E+20</v>
      </c>
      <c r="I179">
        <v>0</v>
      </c>
      <c r="J179">
        <v>0</v>
      </c>
      <c r="K179">
        <v>5</v>
      </c>
      <c r="L179" s="5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179" s="5" cm="1">
        <f t="array" ref="M179">MAX(IF((ProjectInfoTable[ProjectName]=DiscreteStatsTable[[#This Row],[ProjectName]]),(ProjectInfoTable[ProjectName]=DiscreteStatsTable[[#This Row],[ProjectName]])*ProjectInfoTable[NumberOfReplications]))</f>
        <v>50</v>
      </c>
      <c r="N179" s="5" cm="1">
        <f t="array" ref="N179">IFERROR(AVERAGE(IF((DiscreteStatsTable[GroupByKey]=DiscreteStatsTable[[#This Row],[GroupByKey]]),(DiscreteStatsTable[GroupByKey]=DiscreteStatsTable[[#This Row],[GroupByKey]])*DiscreteStatsTable[Average])),0)</f>
        <v>0</v>
      </c>
      <c r="O179" s="5" cm="1">
        <f t="array" ref="O179">IFERROR(_xlfn.STDEV.S(IF((DiscreteStatsTable[GroupByKey]=DiscreteStatsTable[[#This Row],[GroupByKey]]),(DiscreteStatsTable[GroupByKey]=DiscreteStatsTable[[#This Row],[GroupByKey]])*DiscreteStatsTable[Average])),0)</f>
        <v>0</v>
      </c>
      <c r="P179" s="5" cm="1">
        <f t="array" ref="P179">MAX(IF((ProjectInfoTable[ProjectName]=DiscreteStatsTable[[#This Row],[ProjectName]]),(ProjectInfoTable[ProjectName]=DiscreteStatsTable[[#This Row],[ProjectName]])*ProjectInfoTable[ConfidenceInterval]))</f>
        <v>0.95</v>
      </c>
      <c r="Q179" s="5">
        <f>IF(AND(DiscreteStatsTable[[#This Row],[RepsWithStatObserved]]=1,Y179=0),200000000000000000000,IFERROR(_xlfn.T.INV.2T(1 -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" s="5" cm="1">
        <f t="array" ref="R179">MIN(IF((DiscreteStatsTable[GroupByKey]=DiscreteStatsTable[[#This Row],[GroupByKey]]),(DiscreteStatsTable[GroupByKey]=DiscreteStatsTable[[#This Row],[GroupByKey]])*DiscreteStatsTable[Average]))</f>
        <v>0</v>
      </c>
      <c r="S179" s="5" cm="1">
        <f t="array" ref="S179">MAX(IF((DiscreteStatsTable[GroupByKey]=DiscreteStatsTable[[#This Row],[GroupByKey]]),(DiscreteStatsTable[GroupByKey]=DiscreteStatsTable[[#This Row],[GroupByKey]])*DiscreteStatsTable[Average]))</f>
        <v>0</v>
      </c>
      <c r="T179" s="5" cm="1">
        <f t="array" ref="T179">MIN(IF((DiscreteStatsTable[GroupByKey]=DiscreteStatsTable[[#This Row],[GroupByKey]]),(DiscreteStatsTable[GroupByKey]=DiscreteStatsTable[[#This Row],[GroupByKey]])*DiscreteStatsTable[Minimum]))</f>
        <v>0</v>
      </c>
      <c r="U179" s="5" cm="1">
        <f t="array" ref="U179">MAX(IF((DiscreteStatsTable[GroupByKey]=DiscreteStatsTable[[#This Row],[GroupByKey]]),(DiscreteStatsTable[GroupByKey]=DiscreteStatsTable[[#This Row],[GroupByKey]])*DiscreteStatsTable[Maximum]))</f>
        <v>0</v>
      </c>
      <c r="V179" s="5" cm="1">
        <f t="array" ref="V179">IFERROR(AVERAGE(IF((DiscreteStatsTable[GroupByKey]=DiscreteStatsTable[[#This Row],[GroupByKey]]),(DiscreteStatsTable[GroupByKey]=DiscreteStatsTable[[#This Row],[GroupByKey]])*DiscreteStatsTable[NumberObservations])),0)</f>
        <v>3.62</v>
      </c>
      <c r="W179" s="5">
        <f>IF((DiscreteStatsTable[[#This Row],[RepsRequested]]&gt;1),DiscreteStatsTable[[#This Row],[HalfWidth]],DiscreteStatsTable[[#This Row],[BatchMeansHalfWidth]])</f>
        <v>0</v>
      </c>
      <c r="X179" s="5" cm="1">
        <f t="array" ref="X179">COUNT(IF((DiscreteStatsTable[GroupByKey]=DiscreteStatsTable[[#This Row],[GroupByKey]]),(DiscreteStatsTable[GroupByKey]=DiscreteStatsTable[[#This Row],[GroupByKey]])*DiscreteStatsTable[Replication]))</f>
        <v>50</v>
      </c>
      <c r="Y179" s="5">
        <f>IF(DiscreteStatsTable[[#This Row],[RepsRequested]]=DiscreteStatsTable[[#This Row],[RepsWithStatObserved]],1,0)</f>
        <v>1</v>
      </c>
    </row>
    <row r="180" spans="1:25" x14ac:dyDescent="0.35">
      <c r="A180" t="s">
        <v>66</v>
      </c>
      <c r="B180" t="s">
        <v>69</v>
      </c>
      <c r="C180">
        <v>30</v>
      </c>
      <c r="D180" t="s">
        <v>70</v>
      </c>
      <c r="E180" t="s">
        <v>76</v>
      </c>
      <c r="F180" t="s">
        <v>72</v>
      </c>
      <c r="G180">
        <v>1.3773415743205399</v>
      </c>
      <c r="H180">
        <v>2E+20</v>
      </c>
      <c r="I180">
        <v>0.74895921082646899</v>
      </c>
      <c r="J180">
        <v>2.1287234720595301</v>
      </c>
      <c r="K180">
        <v>5</v>
      </c>
      <c r="L180" s="5" t="str">
        <f>DiscreteStatsTable[[#This Row],[ProjectName]]&amp;DiscreteStatsTable[[#This Row],[Name]]&amp;DiscreteStatsTable[[#This Row],[Type]]&amp;DiscreteStatsTable[[#This Row],[Source]]</f>
        <v>Unnamed ProjectArquivosVA TimeEntity</v>
      </c>
      <c r="M180" s="5" cm="1">
        <f t="array" ref="M180">MAX(IF((ProjectInfoTable[ProjectName]=DiscreteStatsTable[[#This Row],[ProjectName]]),(ProjectInfoTable[ProjectName]=DiscreteStatsTable[[#This Row],[ProjectName]])*ProjectInfoTable[NumberOfReplications]))</f>
        <v>50</v>
      </c>
      <c r="N180" s="5" cm="1">
        <f t="array" ref="N180">IFERROR(AVERAGE(IF((DiscreteStatsTable[GroupByKey]=DiscreteStatsTable[[#This Row],[GroupByKey]]),(DiscreteStatsTable[GroupByKey]=DiscreteStatsTable[[#This Row],[GroupByKey]])*DiscreteStatsTable[Average])),0)</f>
        <v>2.3123810058270009</v>
      </c>
      <c r="O180" s="5" cm="1">
        <f t="array" ref="O180">IFERROR(_xlfn.STDEV.S(IF((DiscreteStatsTable[GroupByKey]=DiscreteStatsTable[[#This Row],[GroupByKey]]),(DiscreteStatsTable[GroupByKey]=DiscreteStatsTable[[#This Row],[GroupByKey]])*DiscreteStatsTable[Average])),0)</f>
        <v>0.47735516285795621</v>
      </c>
      <c r="P180" s="5" cm="1">
        <f t="array" ref="P180">MAX(IF((ProjectInfoTable[ProjectName]=DiscreteStatsTable[[#This Row],[ProjectName]]),(ProjectInfoTable[ProjectName]=DiscreteStatsTable[[#This Row],[ProjectName]])*ProjectInfoTable[ConfidenceInterval]))</f>
        <v>0.95</v>
      </c>
      <c r="Q180" s="5">
        <f>IF(AND(DiscreteStatsTable[[#This Row],[RepsWithStatObserved]]=1,Y180=0),200000000000000000000,IFERROR(_xlfn.T.INV.2T(1 -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0.13566283623888314</v>
      </c>
      <c r="R180" s="5" cm="1">
        <f t="array" ref="R180">MIN(IF((DiscreteStatsTable[GroupByKey]=DiscreteStatsTable[[#This Row],[GroupByKey]]),(DiscreteStatsTable[GroupByKey]=DiscreteStatsTable[[#This Row],[GroupByKey]])*DiscreteStatsTable[Average]))</f>
        <v>1.3773415743205399</v>
      </c>
      <c r="S180" s="5" cm="1">
        <f t="array" ref="S180">MAX(IF((DiscreteStatsTable[GroupByKey]=DiscreteStatsTable[[#This Row],[GroupByKey]]),(DiscreteStatsTable[GroupByKey]=DiscreteStatsTable[[#This Row],[GroupByKey]])*DiscreteStatsTable[Average]))</f>
        <v>3.3139161730180202</v>
      </c>
      <c r="T180" s="5" cm="1">
        <f t="array" ref="T180">MIN(IF((DiscreteStatsTable[GroupByKey]=DiscreteStatsTable[[#This Row],[GroupByKey]]),(DiscreteStatsTable[GroupByKey]=DiscreteStatsTable[[#This Row],[GroupByKey]])*DiscreteStatsTable[Minimum]))</f>
        <v>0.58847912081681497</v>
      </c>
      <c r="U180" s="5" cm="1">
        <f t="array" ref="U180">MAX(IF((DiscreteStatsTable[GroupByKey]=DiscreteStatsTable[[#This Row],[GroupByKey]]),(DiscreteStatsTable[GroupByKey]=DiscreteStatsTable[[#This Row],[GroupByKey]])*DiscreteStatsTable[Maximum]))</f>
        <v>4.9756405925629998</v>
      </c>
      <c r="V180" s="5" cm="1">
        <f t="array" ref="V180">IFERROR(AVERAGE(IF((DiscreteStatsTable[GroupByKey]=DiscreteStatsTable[[#This Row],[GroupByKey]]),(DiscreteStatsTable[GroupByKey]=DiscreteStatsTable[[#This Row],[GroupByKey]])*DiscreteStatsTable[NumberObservations])),0)</f>
        <v>3.62</v>
      </c>
      <c r="W180" s="5">
        <f>IF((DiscreteStatsTable[[#This Row],[RepsRequested]]&gt;1),DiscreteStatsTable[[#This Row],[HalfWidth]],DiscreteStatsTable[[#This Row],[BatchMeansHalfWidth]])</f>
        <v>0.13566283623888314</v>
      </c>
      <c r="X180" s="5" cm="1">
        <f t="array" ref="X180">COUNT(IF((DiscreteStatsTable[GroupByKey]=DiscreteStatsTable[[#This Row],[GroupByKey]]),(DiscreteStatsTable[GroupByKey]=DiscreteStatsTable[[#This Row],[GroupByKey]])*DiscreteStatsTable[Replication]))</f>
        <v>50</v>
      </c>
      <c r="Y180" s="5">
        <f>IF(DiscreteStatsTable[[#This Row],[RepsRequested]]=DiscreteStatsTable[[#This Row],[RepsWithStatObserved]],1,0)</f>
        <v>1</v>
      </c>
    </row>
    <row r="181" spans="1:25" x14ac:dyDescent="0.35">
      <c r="A181" t="s">
        <v>66</v>
      </c>
      <c r="B181" t="s">
        <v>69</v>
      </c>
      <c r="C181">
        <v>30</v>
      </c>
      <c r="D181" t="s">
        <v>70</v>
      </c>
      <c r="E181" t="s">
        <v>77</v>
      </c>
      <c r="F181" t="s">
        <v>72</v>
      </c>
      <c r="G181">
        <v>0.90080516442902403</v>
      </c>
      <c r="H181">
        <v>2E+20</v>
      </c>
      <c r="I181">
        <v>0</v>
      </c>
      <c r="J181">
        <v>2.1508223122749599</v>
      </c>
      <c r="K181">
        <v>5</v>
      </c>
      <c r="L181" s="5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181" s="5" cm="1">
        <f t="array" ref="M181">MAX(IF((ProjectInfoTable[ProjectName]=DiscreteStatsTable[[#This Row],[ProjectName]]),(ProjectInfoTable[ProjectName]=DiscreteStatsTable[[#This Row],[ProjectName]])*ProjectInfoTable[NumberOfReplications]))</f>
        <v>50</v>
      </c>
      <c r="N181" s="5" cm="1">
        <f t="array" ref="N181">IFERROR(AVERAGE(IF((DiscreteStatsTable[GroupByKey]=DiscreteStatsTable[[#This Row],[GroupByKey]]),(DiscreteStatsTable[GroupByKey]=DiscreteStatsTable[[#This Row],[GroupByKey]])*DiscreteStatsTable[Average])),0)</f>
        <v>1.2240084441262762</v>
      </c>
      <c r="O181" s="5" cm="1">
        <f t="array" ref="O181">IFERROR(_xlfn.STDEV.S(IF((DiscreteStatsTable[GroupByKey]=DiscreteStatsTable[[#This Row],[GroupByKey]]),(DiscreteStatsTable[GroupByKey]=DiscreteStatsTable[[#This Row],[GroupByKey]])*DiscreteStatsTable[Average])),0)</f>
        <v>0.89867905452837749</v>
      </c>
      <c r="P181" s="5" cm="1">
        <f t="array" ref="P181">MAX(IF((ProjectInfoTable[ProjectName]=DiscreteStatsTable[[#This Row],[ProjectName]]),(ProjectInfoTable[ProjectName]=DiscreteStatsTable[[#This Row],[ProjectName]])*ProjectInfoTable[ConfidenceInterval]))</f>
        <v>0.95</v>
      </c>
      <c r="Q181" s="5">
        <f>IF(AND(DiscreteStatsTable[[#This Row],[RepsWithStatObserved]]=1,Y181=0),200000000000000000000,IFERROR(_xlfn.T.INV.2T(1 -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0.2554017613968404</v>
      </c>
      <c r="R181" s="5" cm="1">
        <f t="array" ref="R181">MIN(IF((DiscreteStatsTable[GroupByKey]=DiscreteStatsTable[[#This Row],[GroupByKey]]),(DiscreteStatsTable[GroupByKey]=DiscreteStatsTable[[#This Row],[GroupByKey]])*DiscreteStatsTable[Average]))</f>
        <v>0</v>
      </c>
      <c r="S181" s="5" cm="1">
        <f t="array" ref="S181">MAX(IF((DiscreteStatsTable[GroupByKey]=DiscreteStatsTable[[#This Row],[GroupByKey]]),(DiscreteStatsTable[GroupByKey]=DiscreteStatsTable[[#This Row],[GroupByKey]])*DiscreteStatsTable[Average]))</f>
        <v>3.4345522286517598</v>
      </c>
      <c r="T181" s="5" cm="1">
        <f t="array" ref="T181">MIN(IF((DiscreteStatsTable[GroupByKey]=DiscreteStatsTable[[#This Row],[GroupByKey]]),(DiscreteStatsTable[GroupByKey]=DiscreteStatsTable[[#This Row],[GroupByKey]])*DiscreteStatsTable[Minimum]))</f>
        <v>0</v>
      </c>
      <c r="U181" s="5" cm="1">
        <f t="array" ref="U181">MAX(IF((DiscreteStatsTable[GroupByKey]=DiscreteStatsTable[[#This Row],[GroupByKey]]),(DiscreteStatsTable[GroupByKey]=DiscreteStatsTable[[#This Row],[GroupByKey]])*DiscreteStatsTable[Maximum]))</f>
        <v>6.7563093676697896</v>
      </c>
      <c r="V181" s="5" cm="1">
        <f t="array" ref="V181">IFERROR(AVERAGE(IF((DiscreteStatsTable[GroupByKey]=DiscreteStatsTable[[#This Row],[GroupByKey]]),(DiscreteStatsTable[GroupByKey]=DiscreteStatsTable[[#This Row],[GroupByKey]])*DiscreteStatsTable[NumberObservations])),0)</f>
        <v>3.62</v>
      </c>
      <c r="W181" s="5">
        <f>IF((DiscreteStatsTable[[#This Row],[RepsRequested]]&gt;1),DiscreteStatsTable[[#This Row],[HalfWidth]],DiscreteStatsTable[[#This Row],[BatchMeansHalfWidth]])</f>
        <v>0.2554017613968404</v>
      </c>
      <c r="X181" s="5" cm="1">
        <f t="array" ref="X181">COUNT(IF((DiscreteStatsTable[GroupByKey]=DiscreteStatsTable[[#This Row],[GroupByKey]]),(DiscreteStatsTable[GroupByKey]=DiscreteStatsTable[[#This Row],[GroupByKey]])*DiscreteStatsTable[Replication]))</f>
        <v>50</v>
      </c>
      <c r="Y181" s="5">
        <f>IF(DiscreteStatsTable[[#This Row],[RepsRequested]]=DiscreteStatsTable[[#This Row],[RepsWithStatObserved]],1,0)</f>
        <v>1</v>
      </c>
    </row>
    <row r="182" spans="1:25" x14ac:dyDescent="0.35">
      <c r="A182" t="s">
        <v>66</v>
      </c>
      <c r="B182" t="s">
        <v>69</v>
      </c>
      <c r="C182">
        <v>31</v>
      </c>
      <c r="D182" t="s">
        <v>70</v>
      </c>
      <c r="E182" t="s">
        <v>71</v>
      </c>
      <c r="F182" t="s">
        <v>72</v>
      </c>
      <c r="G182">
        <v>0</v>
      </c>
      <c r="H182">
        <v>2E+20</v>
      </c>
      <c r="I182">
        <v>0</v>
      </c>
      <c r="J182">
        <v>0</v>
      </c>
      <c r="K182">
        <v>3</v>
      </c>
      <c r="L182" s="5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182" s="5" cm="1">
        <f t="array" ref="M182">MAX(IF((ProjectInfoTable[ProjectName]=DiscreteStatsTable[[#This Row],[ProjectName]]),(ProjectInfoTable[ProjectName]=DiscreteStatsTable[[#This Row],[ProjectName]])*ProjectInfoTable[NumberOfReplications]))</f>
        <v>50</v>
      </c>
      <c r="N182" s="5" cm="1">
        <f t="array" ref="N182">IFERROR(AVERAGE(IF((DiscreteStatsTable[GroupByKey]=DiscreteStatsTable[[#This Row],[GroupByKey]]),(DiscreteStatsTable[GroupByKey]=DiscreteStatsTable[[#This Row],[GroupByKey]])*DiscreteStatsTable[Average])),0)</f>
        <v>0</v>
      </c>
      <c r="O182" s="5" cm="1">
        <f t="array" ref="O182">IFERROR(_xlfn.STDEV.S(IF((DiscreteStatsTable[GroupByKey]=DiscreteStatsTable[[#This Row],[GroupByKey]]),(DiscreteStatsTable[GroupByKey]=DiscreteStatsTable[[#This Row],[GroupByKey]])*DiscreteStatsTable[Average])),0)</f>
        <v>0</v>
      </c>
      <c r="P182" s="5" cm="1">
        <f t="array" ref="P182">MAX(IF((ProjectInfoTable[ProjectName]=DiscreteStatsTable[[#This Row],[ProjectName]]),(ProjectInfoTable[ProjectName]=DiscreteStatsTable[[#This Row],[ProjectName]])*ProjectInfoTable[ConfidenceInterval]))</f>
        <v>0.95</v>
      </c>
      <c r="Q182" s="5">
        <f>IF(AND(DiscreteStatsTable[[#This Row],[RepsWithStatObserved]]=1,Y182=0),200000000000000000000,IFERROR(_xlfn.T.INV.2T(1 -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2" s="5" cm="1">
        <f t="array" ref="R182">MIN(IF((DiscreteStatsTable[GroupByKey]=DiscreteStatsTable[[#This Row],[GroupByKey]]),(DiscreteStatsTable[GroupByKey]=DiscreteStatsTable[[#This Row],[GroupByKey]])*DiscreteStatsTable[Average]))</f>
        <v>0</v>
      </c>
      <c r="S182" s="5" cm="1">
        <f t="array" ref="S182">MAX(IF((DiscreteStatsTable[GroupByKey]=DiscreteStatsTable[[#This Row],[GroupByKey]]),(DiscreteStatsTable[GroupByKey]=DiscreteStatsTable[[#This Row],[GroupByKey]])*DiscreteStatsTable[Average]))</f>
        <v>0</v>
      </c>
      <c r="T182" s="5" cm="1">
        <f t="array" ref="T182">MIN(IF((DiscreteStatsTable[GroupByKey]=DiscreteStatsTable[[#This Row],[GroupByKey]]),(DiscreteStatsTable[GroupByKey]=DiscreteStatsTable[[#This Row],[GroupByKey]])*DiscreteStatsTable[Minimum]))</f>
        <v>0</v>
      </c>
      <c r="U182" s="5" cm="1">
        <f t="array" ref="U182">MAX(IF((DiscreteStatsTable[GroupByKey]=DiscreteStatsTable[[#This Row],[GroupByKey]]),(DiscreteStatsTable[GroupByKey]=DiscreteStatsTable[[#This Row],[GroupByKey]])*DiscreteStatsTable[Maximum]))</f>
        <v>0</v>
      </c>
      <c r="V182" s="5" cm="1">
        <f t="array" ref="V182">IFERROR(AVERAGE(IF((DiscreteStatsTable[GroupByKey]=DiscreteStatsTable[[#This Row],[GroupByKey]]),(DiscreteStatsTable[GroupByKey]=DiscreteStatsTable[[#This Row],[GroupByKey]])*DiscreteStatsTable[NumberObservations])),0)</f>
        <v>3.62</v>
      </c>
      <c r="W182" s="5">
        <f>IF((DiscreteStatsTable[[#This Row],[RepsRequested]]&gt;1),DiscreteStatsTable[[#This Row],[HalfWidth]],DiscreteStatsTable[[#This Row],[BatchMeansHalfWidth]])</f>
        <v>0</v>
      </c>
      <c r="X182" s="5" cm="1">
        <f t="array" ref="X182">COUNT(IF((DiscreteStatsTable[GroupByKey]=DiscreteStatsTable[[#This Row],[GroupByKey]]),(DiscreteStatsTable[GroupByKey]=DiscreteStatsTable[[#This Row],[GroupByKey]])*DiscreteStatsTable[Replication]))</f>
        <v>50</v>
      </c>
      <c r="Y182" s="5">
        <f>IF(DiscreteStatsTable[[#This Row],[RepsRequested]]=DiscreteStatsTable[[#This Row],[RepsWithStatObserved]],1,0)</f>
        <v>1</v>
      </c>
    </row>
    <row r="183" spans="1:25" x14ac:dyDescent="0.35">
      <c r="A183" t="s">
        <v>66</v>
      </c>
      <c r="B183" t="s">
        <v>69</v>
      </c>
      <c r="C183">
        <v>31</v>
      </c>
      <c r="D183" t="s">
        <v>70</v>
      </c>
      <c r="E183" t="s">
        <v>73</v>
      </c>
      <c r="F183" t="s">
        <v>72</v>
      </c>
      <c r="G183">
        <v>0</v>
      </c>
      <c r="H183">
        <v>2E+20</v>
      </c>
      <c r="I183">
        <v>0</v>
      </c>
      <c r="J183">
        <v>0</v>
      </c>
      <c r="K183">
        <v>3</v>
      </c>
      <c r="L183" s="5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183" s="5" cm="1">
        <f t="array" ref="M183">MAX(IF((ProjectInfoTable[ProjectName]=DiscreteStatsTable[[#This Row],[ProjectName]]),(ProjectInfoTable[ProjectName]=DiscreteStatsTable[[#This Row],[ProjectName]])*ProjectInfoTable[NumberOfReplications]))</f>
        <v>50</v>
      </c>
      <c r="N183" s="5" cm="1">
        <f t="array" ref="N183">IFERROR(AVERAGE(IF((DiscreteStatsTable[GroupByKey]=DiscreteStatsTable[[#This Row],[GroupByKey]]),(DiscreteStatsTable[GroupByKey]=DiscreteStatsTable[[#This Row],[GroupByKey]])*DiscreteStatsTable[Average])),0)</f>
        <v>0</v>
      </c>
      <c r="O183" s="5" cm="1">
        <f t="array" ref="O183">IFERROR(_xlfn.STDEV.S(IF((DiscreteStatsTable[GroupByKey]=DiscreteStatsTable[[#This Row],[GroupByKey]]),(DiscreteStatsTable[GroupByKey]=DiscreteStatsTable[[#This Row],[GroupByKey]])*DiscreteStatsTable[Average])),0)</f>
        <v>0</v>
      </c>
      <c r="P183" s="5" cm="1">
        <f t="array" ref="P183">MAX(IF((ProjectInfoTable[ProjectName]=DiscreteStatsTable[[#This Row],[ProjectName]]),(ProjectInfoTable[ProjectName]=DiscreteStatsTable[[#This Row],[ProjectName]])*ProjectInfoTable[ConfidenceInterval]))</f>
        <v>0.95</v>
      </c>
      <c r="Q183" s="5">
        <f>IF(AND(DiscreteStatsTable[[#This Row],[RepsWithStatObserved]]=1,Y183=0),200000000000000000000,IFERROR(_xlfn.T.INV.2T(1 -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3" s="5" cm="1">
        <f t="array" ref="R183">MIN(IF((DiscreteStatsTable[GroupByKey]=DiscreteStatsTable[[#This Row],[GroupByKey]]),(DiscreteStatsTable[GroupByKey]=DiscreteStatsTable[[#This Row],[GroupByKey]])*DiscreteStatsTable[Average]))</f>
        <v>0</v>
      </c>
      <c r="S183" s="5" cm="1">
        <f t="array" ref="S183">MAX(IF((DiscreteStatsTable[GroupByKey]=DiscreteStatsTable[[#This Row],[GroupByKey]]),(DiscreteStatsTable[GroupByKey]=DiscreteStatsTable[[#This Row],[GroupByKey]])*DiscreteStatsTable[Average]))</f>
        <v>0</v>
      </c>
      <c r="T183" s="5" cm="1">
        <f t="array" ref="T183">MIN(IF((DiscreteStatsTable[GroupByKey]=DiscreteStatsTable[[#This Row],[GroupByKey]]),(DiscreteStatsTable[GroupByKey]=DiscreteStatsTable[[#This Row],[GroupByKey]])*DiscreteStatsTable[Minimum]))</f>
        <v>0</v>
      </c>
      <c r="U183" s="5" cm="1">
        <f t="array" ref="U183">MAX(IF((DiscreteStatsTable[GroupByKey]=DiscreteStatsTable[[#This Row],[GroupByKey]]),(DiscreteStatsTable[GroupByKey]=DiscreteStatsTable[[#This Row],[GroupByKey]])*DiscreteStatsTable[Maximum]))</f>
        <v>0</v>
      </c>
      <c r="V183" s="5" cm="1">
        <f t="array" ref="V183">IFERROR(AVERAGE(IF((DiscreteStatsTable[GroupByKey]=DiscreteStatsTable[[#This Row],[GroupByKey]]),(DiscreteStatsTable[GroupByKey]=DiscreteStatsTable[[#This Row],[GroupByKey]])*DiscreteStatsTable[NumberObservations])),0)</f>
        <v>3.62</v>
      </c>
      <c r="W183" s="5">
        <f>IF((DiscreteStatsTable[[#This Row],[RepsRequested]]&gt;1),DiscreteStatsTable[[#This Row],[HalfWidth]],DiscreteStatsTable[[#This Row],[BatchMeansHalfWidth]])</f>
        <v>0</v>
      </c>
      <c r="X183" s="5" cm="1">
        <f t="array" ref="X183">COUNT(IF((DiscreteStatsTable[GroupByKey]=DiscreteStatsTable[[#This Row],[GroupByKey]]),(DiscreteStatsTable[GroupByKey]=DiscreteStatsTable[[#This Row],[GroupByKey]])*DiscreteStatsTable[Replication]))</f>
        <v>50</v>
      </c>
      <c r="Y183" s="5">
        <f>IF(DiscreteStatsTable[[#This Row],[RepsRequested]]=DiscreteStatsTable[[#This Row],[RepsWithStatObserved]],1,0)</f>
        <v>1</v>
      </c>
    </row>
    <row r="184" spans="1:25" x14ac:dyDescent="0.35">
      <c r="A184" t="s">
        <v>66</v>
      </c>
      <c r="B184" t="s">
        <v>69</v>
      </c>
      <c r="C184">
        <v>31</v>
      </c>
      <c r="D184" t="s">
        <v>70</v>
      </c>
      <c r="E184" t="s">
        <v>74</v>
      </c>
      <c r="F184" t="s">
        <v>72</v>
      </c>
      <c r="G184">
        <v>2.9930544994655799</v>
      </c>
      <c r="H184">
        <v>2E+20</v>
      </c>
      <c r="I184">
        <v>2.24512182059792</v>
      </c>
      <c r="J184">
        <v>3.6893716900742102</v>
      </c>
      <c r="K184">
        <v>3</v>
      </c>
      <c r="L184" s="5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184" s="5" cm="1">
        <f t="array" ref="M184">MAX(IF((ProjectInfoTable[ProjectName]=DiscreteStatsTable[[#This Row],[ProjectName]]),(ProjectInfoTable[ProjectName]=DiscreteStatsTable[[#This Row],[ProjectName]])*ProjectInfoTable[NumberOfReplications]))</f>
        <v>50</v>
      </c>
      <c r="N184" s="5" cm="1">
        <f t="array" ref="N184">IFERROR(AVERAGE(IF((DiscreteStatsTable[GroupByKey]=DiscreteStatsTable[[#This Row],[GroupByKey]]),(DiscreteStatsTable[GroupByKey]=DiscreteStatsTable[[#This Row],[GroupByKey]])*DiscreteStatsTable[Average])),0)</f>
        <v>3.5363894499532775</v>
      </c>
      <c r="O184" s="5" cm="1">
        <f t="array" ref="O184">IFERROR(_xlfn.STDEV.S(IF((DiscreteStatsTable[GroupByKey]=DiscreteStatsTable[[#This Row],[GroupByKey]]),(DiscreteStatsTable[GroupByKey]=DiscreteStatsTable[[#This Row],[GroupByKey]])*DiscreteStatsTable[Average])),0)</f>
        <v>1.1766434570133149</v>
      </c>
      <c r="P184" s="5" cm="1">
        <f t="array" ref="P184">MAX(IF((ProjectInfoTable[ProjectName]=DiscreteStatsTable[[#This Row],[ProjectName]]),(ProjectInfoTable[ProjectName]=DiscreteStatsTable[[#This Row],[ProjectName]])*ProjectInfoTable[ConfidenceInterval]))</f>
        <v>0.95</v>
      </c>
      <c r="Q184" s="5">
        <f>IF(AND(DiscreteStatsTable[[#This Row],[RepsWithStatObserved]]=1,Y184=0),200000000000000000000,IFERROR(_xlfn.T.INV.2T(1 -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0.33439837052280896</v>
      </c>
      <c r="R184" s="5" cm="1">
        <f t="array" ref="R184">MIN(IF((DiscreteStatsTable[GroupByKey]=DiscreteStatsTable[[#This Row],[GroupByKey]]),(DiscreteStatsTable[GroupByKey]=DiscreteStatsTable[[#This Row],[GroupByKey]])*DiscreteStatsTable[Average]))</f>
        <v>1.6342264652107701</v>
      </c>
      <c r="S184" s="5" cm="1">
        <f t="array" ref="S184">MAX(IF((DiscreteStatsTable[GroupByKey]=DiscreteStatsTable[[#This Row],[GroupByKey]]),(DiscreteStatsTable[GroupByKey]=DiscreteStatsTable[[#This Row],[GroupByKey]])*DiscreteStatsTable[Average]))</f>
        <v>6.5527373550837904</v>
      </c>
      <c r="T184" s="5" cm="1">
        <f t="array" ref="T184">MIN(IF((DiscreteStatsTable[GroupByKey]=DiscreteStatsTable[[#This Row],[GroupByKey]]),(DiscreteStatsTable[GroupByKey]=DiscreteStatsTable[[#This Row],[GroupByKey]])*DiscreteStatsTable[Minimum]))</f>
        <v>0.58847912081681497</v>
      </c>
      <c r="U184" s="5" cm="1">
        <f t="array" ref="U184">MAX(IF((DiscreteStatsTable[GroupByKey]=DiscreteStatsTable[[#This Row],[GroupByKey]]),(DiscreteStatsTable[GroupByKey]=DiscreteStatsTable[[#This Row],[GroupByKey]])*DiscreteStatsTable[Maximum]))</f>
        <v>8.7476494546828292</v>
      </c>
      <c r="V184" s="5" cm="1">
        <f t="array" ref="V184">IFERROR(AVERAGE(IF((DiscreteStatsTable[GroupByKey]=DiscreteStatsTable[[#This Row],[GroupByKey]]),(DiscreteStatsTable[GroupByKey]=DiscreteStatsTable[[#This Row],[GroupByKey]])*DiscreteStatsTable[NumberObservations])),0)</f>
        <v>3.62</v>
      </c>
      <c r="W184" s="5">
        <f>IF((DiscreteStatsTable[[#This Row],[RepsRequested]]&gt;1),DiscreteStatsTable[[#This Row],[HalfWidth]],DiscreteStatsTable[[#This Row],[BatchMeansHalfWidth]])</f>
        <v>0.33439837052280896</v>
      </c>
      <c r="X184" s="5" cm="1">
        <f t="array" ref="X184">COUNT(IF((DiscreteStatsTable[GroupByKey]=DiscreteStatsTable[[#This Row],[GroupByKey]]),(DiscreteStatsTable[GroupByKey]=DiscreteStatsTable[[#This Row],[GroupByKey]])*DiscreteStatsTable[Replication]))</f>
        <v>50</v>
      </c>
      <c r="Y184" s="5">
        <f>IF(DiscreteStatsTable[[#This Row],[RepsRequested]]=DiscreteStatsTable[[#This Row],[RepsWithStatObserved]],1,0)</f>
        <v>1</v>
      </c>
    </row>
    <row r="185" spans="1:25" x14ac:dyDescent="0.35">
      <c r="A185" t="s">
        <v>66</v>
      </c>
      <c r="B185" t="s">
        <v>69</v>
      </c>
      <c r="C185">
        <v>31</v>
      </c>
      <c r="D185" t="s">
        <v>70</v>
      </c>
      <c r="E185" t="s">
        <v>75</v>
      </c>
      <c r="F185" t="s">
        <v>72</v>
      </c>
      <c r="G185">
        <v>0</v>
      </c>
      <c r="H185">
        <v>2E+20</v>
      </c>
      <c r="I185">
        <v>0</v>
      </c>
      <c r="J185">
        <v>0</v>
      </c>
      <c r="K185">
        <v>3</v>
      </c>
      <c r="L185" s="5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185" s="5" cm="1">
        <f t="array" ref="M185">MAX(IF((ProjectInfoTable[ProjectName]=DiscreteStatsTable[[#This Row],[ProjectName]]),(ProjectInfoTable[ProjectName]=DiscreteStatsTable[[#This Row],[ProjectName]])*ProjectInfoTable[NumberOfReplications]))</f>
        <v>50</v>
      </c>
      <c r="N185" s="5" cm="1">
        <f t="array" ref="N185">IFERROR(AVERAGE(IF((DiscreteStatsTable[GroupByKey]=DiscreteStatsTable[[#This Row],[GroupByKey]]),(DiscreteStatsTable[GroupByKey]=DiscreteStatsTable[[#This Row],[GroupByKey]])*DiscreteStatsTable[Average])),0)</f>
        <v>0</v>
      </c>
      <c r="O185" s="5" cm="1">
        <f t="array" ref="O185">IFERROR(_xlfn.STDEV.S(IF((DiscreteStatsTable[GroupByKey]=DiscreteStatsTable[[#This Row],[GroupByKey]]),(DiscreteStatsTable[GroupByKey]=DiscreteStatsTable[[#This Row],[GroupByKey]])*DiscreteStatsTable[Average])),0)</f>
        <v>0</v>
      </c>
      <c r="P185" s="5" cm="1">
        <f t="array" ref="P185">MAX(IF((ProjectInfoTable[ProjectName]=DiscreteStatsTable[[#This Row],[ProjectName]]),(ProjectInfoTable[ProjectName]=DiscreteStatsTable[[#This Row],[ProjectName]])*ProjectInfoTable[ConfidenceInterval]))</f>
        <v>0.95</v>
      </c>
      <c r="Q185" s="5">
        <f>IF(AND(DiscreteStatsTable[[#This Row],[RepsWithStatObserved]]=1,Y185=0),200000000000000000000,IFERROR(_xlfn.T.INV.2T(1 -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5" s="5" cm="1">
        <f t="array" ref="R185">MIN(IF((DiscreteStatsTable[GroupByKey]=DiscreteStatsTable[[#This Row],[GroupByKey]]),(DiscreteStatsTable[GroupByKey]=DiscreteStatsTable[[#This Row],[GroupByKey]])*DiscreteStatsTable[Average]))</f>
        <v>0</v>
      </c>
      <c r="S185" s="5" cm="1">
        <f t="array" ref="S185">MAX(IF((DiscreteStatsTable[GroupByKey]=DiscreteStatsTable[[#This Row],[GroupByKey]]),(DiscreteStatsTable[GroupByKey]=DiscreteStatsTable[[#This Row],[GroupByKey]])*DiscreteStatsTable[Average]))</f>
        <v>0</v>
      </c>
      <c r="T185" s="5" cm="1">
        <f t="array" ref="T185">MIN(IF((DiscreteStatsTable[GroupByKey]=DiscreteStatsTable[[#This Row],[GroupByKey]]),(DiscreteStatsTable[GroupByKey]=DiscreteStatsTable[[#This Row],[GroupByKey]])*DiscreteStatsTable[Minimum]))</f>
        <v>0</v>
      </c>
      <c r="U185" s="5" cm="1">
        <f t="array" ref="U185">MAX(IF((DiscreteStatsTable[GroupByKey]=DiscreteStatsTable[[#This Row],[GroupByKey]]),(DiscreteStatsTable[GroupByKey]=DiscreteStatsTable[[#This Row],[GroupByKey]])*DiscreteStatsTable[Maximum]))</f>
        <v>0</v>
      </c>
      <c r="V185" s="5" cm="1">
        <f t="array" ref="V185">IFERROR(AVERAGE(IF((DiscreteStatsTable[GroupByKey]=DiscreteStatsTable[[#This Row],[GroupByKey]]),(DiscreteStatsTable[GroupByKey]=DiscreteStatsTable[[#This Row],[GroupByKey]])*DiscreteStatsTable[NumberObservations])),0)</f>
        <v>3.62</v>
      </c>
      <c r="W185" s="5">
        <f>IF((DiscreteStatsTable[[#This Row],[RepsRequested]]&gt;1),DiscreteStatsTable[[#This Row],[HalfWidth]],DiscreteStatsTable[[#This Row],[BatchMeansHalfWidth]])</f>
        <v>0</v>
      </c>
      <c r="X185" s="5" cm="1">
        <f t="array" ref="X185">COUNT(IF((DiscreteStatsTable[GroupByKey]=DiscreteStatsTable[[#This Row],[GroupByKey]]),(DiscreteStatsTable[GroupByKey]=DiscreteStatsTable[[#This Row],[GroupByKey]])*DiscreteStatsTable[Replication]))</f>
        <v>50</v>
      </c>
      <c r="Y185" s="5">
        <f>IF(DiscreteStatsTable[[#This Row],[RepsRequested]]=DiscreteStatsTable[[#This Row],[RepsWithStatObserved]],1,0)</f>
        <v>1</v>
      </c>
    </row>
    <row r="186" spans="1:25" x14ac:dyDescent="0.35">
      <c r="A186" t="s">
        <v>66</v>
      </c>
      <c r="B186" t="s">
        <v>69</v>
      </c>
      <c r="C186">
        <v>31</v>
      </c>
      <c r="D186" t="s">
        <v>70</v>
      </c>
      <c r="E186" t="s">
        <v>76</v>
      </c>
      <c r="F186" t="s">
        <v>72</v>
      </c>
      <c r="G186">
        <v>2.31793423074663</v>
      </c>
      <c r="H186">
        <v>2E+20</v>
      </c>
      <c r="I186">
        <v>1.8649599988629499</v>
      </c>
      <c r="J186">
        <v>2.8437208727790102</v>
      </c>
      <c r="K186">
        <v>3</v>
      </c>
      <c r="L186" s="5" t="str">
        <f>DiscreteStatsTable[[#This Row],[ProjectName]]&amp;DiscreteStatsTable[[#This Row],[Name]]&amp;DiscreteStatsTable[[#This Row],[Type]]&amp;DiscreteStatsTable[[#This Row],[Source]]</f>
        <v>Unnamed ProjectArquivosVA TimeEntity</v>
      </c>
      <c r="M186" s="5" cm="1">
        <f t="array" ref="M186">MAX(IF((ProjectInfoTable[ProjectName]=DiscreteStatsTable[[#This Row],[ProjectName]]),(ProjectInfoTable[ProjectName]=DiscreteStatsTable[[#This Row],[ProjectName]])*ProjectInfoTable[NumberOfReplications]))</f>
        <v>50</v>
      </c>
      <c r="N186" s="5" cm="1">
        <f t="array" ref="N186">IFERROR(AVERAGE(IF((DiscreteStatsTable[GroupByKey]=DiscreteStatsTable[[#This Row],[GroupByKey]]),(DiscreteStatsTable[GroupByKey]=DiscreteStatsTable[[#This Row],[GroupByKey]])*DiscreteStatsTable[Average])),0)</f>
        <v>2.3123810058270009</v>
      </c>
      <c r="O186" s="5" cm="1">
        <f t="array" ref="O186">IFERROR(_xlfn.STDEV.S(IF((DiscreteStatsTable[GroupByKey]=DiscreteStatsTable[[#This Row],[GroupByKey]]),(DiscreteStatsTable[GroupByKey]=DiscreteStatsTable[[#This Row],[GroupByKey]])*DiscreteStatsTable[Average])),0)</f>
        <v>0.47735516285795621</v>
      </c>
      <c r="P186" s="5" cm="1">
        <f t="array" ref="P186">MAX(IF((ProjectInfoTable[ProjectName]=DiscreteStatsTable[[#This Row],[ProjectName]]),(ProjectInfoTable[ProjectName]=DiscreteStatsTable[[#This Row],[ProjectName]])*ProjectInfoTable[ConfidenceInterval]))</f>
        <v>0.95</v>
      </c>
      <c r="Q186" s="5">
        <f>IF(AND(DiscreteStatsTable[[#This Row],[RepsWithStatObserved]]=1,Y186=0),200000000000000000000,IFERROR(_xlfn.T.INV.2T(1 -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0.13566283623888314</v>
      </c>
      <c r="R186" s="5" cm="1">
        <f t="array" ref="R186">MIN(IF((DiscreteStatsTable[GroupByKey]=DiscreteStatsTable[[#This Row],[GroupByKey]]),(DiscreteStatsTable[GroupByKey]=DiscreteStatsTable[[#This Row],[GroupByKey]])*DiscreteStatsTable[Average]))</f>
        <v>1.3773415743205399</v>
      </c>
      <c r="S186" s="5" cm="1">
        <f t="array" ref="S186">MAX(IF((DiscreteStatsTable[GroupByKey]=DiscreteStatsTable[[#This Row],[GroupByKey]]),(DiscreteStatsTable[GroupByKey]=DiscreteStatsTable[[#This Row],[GroupByKey]])*DiscreteStatsTable[Average]))</f>
        <v>3.3139161730180202</v>
      </c>
      <c r="T186" s="5" cm="1">
        <f t="array" ref="T186">MIN(IF((DiscreteStatsTable[GroupByKey]=DiscreteStatsTable[[#This Row],[GroupByKey]]),(DiscreteStatsTable[GroupByKey]=DiscreteStatsTable[[#This Row],[GroupByKey]])*DiscreteStatsTable[Minimum]))</f>
        <v>0.58847912081681497</v>
      </c>
      <c r="U186" s="5" cm="1">
        <f t="array" ref="U186">MAX(IF((DiscreteStatsTable[GroupByKey]=DiscreteStatsTable[[#This Row],[GroupByKey]]),(DiscreteStatsTable[GroupByKey]=DiscreteStatsTable[[#This Row],[GroupByKey]])*DiscreteStatsTable[Maximum]))</f>
        <v>4.9756405925629998</v>
      </c>
      <c r="V186" s="5" cm="1">
        <f t="array" ref="V186">IFERROR(AVERAGE(IF((DiscreteStatsTable[GroupByKey]=DiscreteStatsTable[[#This Row],[GroupByKey]]),(DiscreteStatsTable[GroupByKey]=DiscreteStatsTable[[#This Row],[GroupByKey]])*DiscreteStatsTable[NumberObservations])),0)</f>
        <v>3.62</v>
      </c>
      <c r="W186" s="5">
        <f>IF((DiscreteStatsTable[[#This Row],[RepsRequested]]&gt;1),DiscreteStatsTable[[#This Row],[HalfWidth]],DiscreteStatsTable[[#This Row],[BatchMeansHalfWidth]])</f>
        <v>0.13566283623888314</v>
      </c>
      <c r="X186" s="5" cm="1">
        <f t="array" ref="X186">COUNT(IF((DiscreteStatsTable[GroupByKey]=DiscreteStatsTable[[#This Row],[GroupByKey]]),(DiscreteStatsTable[GroupByKey]=DiscreteStatsTable[[#This Row],[GroupByKey]])*DiscreteStatsTable[Replication]))</f>
        <v>50</v>
      </c>
      <c r="Y186" s="5">
        <f>IF(DiscreteStatsTable[[#This Row],[RepsRequested]]=DiscreteStatsTable[[#This Row],[RepsWithStatObserved]],1,0)</f>
        <v>1</v>
      </c>
    </row>
    <row r="187" spans="1:25" x14ac:dyDescent="0.35">
      <c r="A187" t="s">
        <v>66</v>
      </c>
      <c r="B187" t="s">
        <v>69</v>
      </c>
      <c r="C187">
        <v>31</v>
      </c>
      <c r="D187" t="s">
        <v>70</v>
      </c>
      <c r="E187" t="s">
        <v>77</v>
      </c>
      <c r="F187" t="s">
        <v>72</v>
      </c>
      <c r="G187">
        <v>0.67512026871895303</v>
      </c>
      <c r="H187">
        <v>2E+20</v>
      </c>
      <c r="I187">
        <v>0</v>
      </c>
      <c r="J187">
        <v>1.17970998886166</v>
      </c>
      <c r="K187">
        <v>3</v>
      </c>
      <c r="L187" s="5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187" s="5" cm="1">
        <f t="array" ref="M187">MAX(IF((ProjectInfoTable[ProjectName]=DiscreteStatsTable[[#This Row],[ProjectName]]),(ProjectInfoTable[ProjectName]=DiscreteStatsTable[[#This Row],[ProjectName]])*ProjectInfoTable[NumberOfReplications]))</f>
        <v>50</v>
      </c>
      <c r="N187" s="5" cm="1">
        <f t="array" ref="N187">IFERROR(AVERAGE(IF((DiscreteStatsTable[GroupByKey]=DiscreteStatsTable[[#This Row],[GroupByKey]]),(DiscreteStatsTable[GroupByKey]=DiscreteStatsTable[[#This Row],[GroupByKey]])*DiscreteStatsTable[Average])),0)</f>
        <v>1.2240084441262762</v>
      </c>
      <c r="O187" s="5" cm="1">
        <f t="array" ref="O187">IFERROR(_xlfn.STDEV.S(IF((DiscreteStatsTable[GroupByKey]=DiscreteStatsTable[[#This Row],[GroupByKey]]),(DiscreteStatsTable[GroupByKey]=DiscreteStatsTable[[#This Row],[GroupByKey]])*DiscreteStatsTable[Average])),0)</f>
        <v>0.89867905452837749</v>
      </c>
      <c r="P187" s="5" cm="1">
        <f t="array" ref="P187">MAX(IF((ProjectInfoTable[ProjectName]=DiscreteStatsTable[[#This Row],[ProjectName]]),(ProjectInfoTable[ProjectName]=DiscreteStatsTable[[#This Row],[ProjectName]])*ProjectInfoTable[ConfidenceInterval]))</f>
        <v>0.95</v>
      </c>
      <c r="Q187" s="5">
        <f>IF(AND(DiscreteStatsTable[[#This Row],[RepsWithStatObserved]]=1,Y187=0),200000000000000000000,IFERROR(_xlfn.T.INV.2T(1 -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0.2554017613968404</v>
      </c>
      <c r="R187" s="5" cm="1">
        <f t="array" ref="R187">MIN(IF((DiscreteStatsTable[GroupByKey]=DiscreteStatsTable[[#This Row],[GroupByKey]]),(DiscreteStatsTable[GroupByKey]=DiscreteStatsTable[[#This Row],[GroupByKey]])*DiscreteStatsTable[Average]))</f>
        <v>0</v>
      </c>
      <c r="S187" s="5" cm="1">
        <f t="array" ref="S187">MAX(IF((DiscreteStatsTable[GroupByKey]=DiscreteStatsTable[[#This Row],[GroupByKey]]),(DiscreteStatsTable[GroupByKey]=DiscreteStatsTable[[#This Row],[GroupByKey]])*DiscreteStatsTable[Average]))</f>
        <v>3.4345522286517598</v>
      </c>
      <c r="T187" s="5" cm="1">
        <f t="array" ref="T187">MIN(IF((DiscreteStatsTable[GroupByKey]=DiscreteStatsTable[[#This Row],[GroupByKey]]),(DiscreteStatsTable[GroupByKey]=DiscreteStatsTable[[#This Row],[GroupByKey]])*DiscreteStatsTable[Minimum]))</f>
        <v>0</v>
      </c>
      <c r="U187" s="5" cm="1">
        <f t="array" ref="U187">MAX(IF((DiscreteStatsTable[GroupByKey]=DiscreteStatsTable[[#This Row],[GroupByKey]]),(DiscreteStatsTable[GroupByKey]=DiscreteStatsTable[[#This Row],[GroupByKey]])*DiscreteStatsTable[Maximum]))</f>
        <v>6.7563093676697896</v>
      </c>
      <c r="V187" s="5" cm="1">
        <f t="array" ref="V187">IFERROR(AVERAGE(IF((DiscreteStatsTable[GroupByKey]=DiscreteStatsTable[[#This Row],[GroupByKey]]),(DiscreteStatsTable[GroupByKey]=DiscreteStatsTable[[#This Row],[GroupByKey]])*DiscreteStatsTable[NumberObservations])),0)</f>
        <v>3.62</v>
      </c>
      <c r="W187" s="5">
        <f>IF((DiscreteStatsTable[[#This Row],[RepsRequested]]&gt;1),DiscreteStatsTable[[#This Row],[HalfWidth]],DiscreteStatsTable[[#This Row],[BatchMeansHalfWidth]])</f>
        <v>0.2554017613968404</v>
      </c>
      <c r="X187" s="5" cm="1">
        <f t="array" ref="X187">COUNT(IF((DiscreteStatsTable[GroupByKey]=DiscreteStatsTable[[#This Row],[GroupByKey]]),(DiscreteStatsTable[GroupByKey]=DiscreteStatsTable[[#This Row],[GroupByKey]])*DiscreteStatsTable[Replication]))</f>
        <v>50</v>
      </c>
      <c r="Y187" s="5">
        <f>IF(DiscreteStatsTable[[#This Row],[RepsRequested]]=DiscreteStatsTable[[#This Row],[RepsWithStatObserved]],1,0)</f>
        <v>1</v>
      </c>
    </row>
    <row r="188" spans="1:25" x14ac:dyDescent="0.35">
      <c r="A188" t="s">
        <v>66</v>
      </c>
      <c r="B188" t="s">
        <v>69</v>
      </c>
      <c r="C188">
        <v>32</v>
      </c>
      <c r="D188" t="s">
        <v>70</v>
      </c>
      <c r="E188" t="s">
        <v>71</v>
      </c>
      <c r="F188" t="s">
        <v>72</v>
      </c>
      <c r="G188">
        <v>0</v>
      </c>
      <c r="H188">
        <v>2E+20</v>
      </c>
      <c r="I188">
        <v>0</v>
      </c>
      <c r="J188">
        <v>0</v>
      </c>
      <c r="K188">
        <v>2</v>
      </c>
      <c r="L188" s="5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188" s="5" cm="1">
        <f t="array" ref="M188">MAX(IF((ProjectInfoTable[ProjectName]=DiscreteStatsTable[[#This Row],[ProjectName]]),(ProjectInfoTable[ProjectName]=DiscreteStatsTable[[#This Row],[ProjectName]])*ProjectInfoTable[NumberOfReplications]))</f>
        <v>50</v>
      </c>
      <c r="N188" s="5" cm="1">
        <f t="array" ref="N188">IFERROR(AVERAGE(IF((DiscreteStatsTable[GroupByKey]=DiscreteStatsTable[[#This Row],[GroupByKey]]),(DiscreteStatsTable[GroupByKey]=DiscreteStatsTable[[#This Row],[GroupByKey]])*DiscreteStatsTable[Average])),0)</f>
        <v>0</v>
      </c>
      <c r="O188" s="5" cm="1">
        <f t="array" ref="O188">IFERROR(_xlfn.STDEV.S(IF((DiscreteStatsTable[GroupByKey]=DiscreteStatsTable[[#This Row],[GroupByKey]]),(DiscreteStatsTable[GroupByKey]=DiscreteStatsTable[[#This Row],[GroupByKey]])*DiscreteStatsTable[Average])),0)</f>
        <v>0</v>
      </c>
      <c r="P188" s="5" cm="1">
        <f t="array" ref="P188">MAX(IF((ProjectInfoTable[ProjectName]=DiscreteStatsTable[[#This Row],[ProjectName]]),(ProjectInfoTable[ProjectName]=DiscreteStatsTable[[#This Row],[ProjectName]])*ProjectInfoTable[ConfidenceInterval]))</f>
        <v>0.95</v>
      </c>
      <c r="Q188" s="5">
        <f>IF(AND(DiscreteStatsTable[[#This Row],[RepsWithStatObserved]]=1,Y188=0),200000000000000000000,IFERROR(_xlfn.T.INV.2T(1 -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8" s="5" cm="1">
        <f t="array" ref="R188">MIN(IF((DiscreteStatsTable[GroupByKey]=DiscreteStatsTable[[#This Row],[GroupByKey]]),(DiscreteStatsTable[GroupByKey]=DiscreteStatsTable[[#This Row],[GroupByKey]])*DiscreteStatsTable[Average]))</f>
        <v>0</v>
      </c>
      <c r="S188" s="5" cm="1">
        <f t="array" ref="S188">MAX(IF((DiscreteStatsTable[GroupByKey]=DiscreteStatsTable[[#This Row],[GroupByKey]]),(DiscreteStatsTable[GroupByKey]=DiscreteStatsTable[[#This Row],[GroupByKey]])*DiscreteStatsTable[Average]))</f>
        <v>0</v>
      </c>
      <c r="T188" s="5" cm="1">
        <f t="array" ref="T188">MIN(IF((DiscreteStatsTable[GroupByKey]=DiscreteStatsTable[[#This Row],[GroupByKey]]),(DiscreteStatsTable[GroupByKey]=DiscreteStatsTable[[#This Row],[GroupByKey]])*DiscreteStatsTable[Minimum]))</f>
        <v>0</v>
      </c>
      <c r="U188" s="5" cm="1">
        <f t="array" ref="U188">MAX(IF((DiscreteStatsTable[GroupByKey]=DiscreteStatsTable[[#This Row],[GroupByKey]]),(DiscreteStatsTable[GroupByKey]=DiscreteStatsTable[[#This Row],[GroupByKey]])*DiscreteStatsTable[Maximum]))</f>
        <v>0</v>
      </c>
      <c r="V188" s="5" cm="1">
        <f t="array" ref="V188">IFERROR(AVERAGE(IF((DiscreteStatsTable[GroupByKey]=DiscreteStatsTable[[#This Row],[GroupByKey]]),(DiscreteStatsTable[GroupByKey]=DiscreteStatsTable[[#This Row],[GroupByKey]])*DiscreteStatsTable[NumberObservations])),0)</f>
        <v>3.62</v>
      </c>
      <c r="W188" s="5">
        <f>IF((DiscreteStatsTable[[#This Row],[RepsRequested]]&gt;1),DiscreteStatsTable[[#This Row],[HalfWidth]],DiscreteStatsTable[[#This Row],[BatchMeansHalfWidth]])</f>
        <v>0</v>
      </c>
      <c r="X188" s="5" cm="1">
        <f t="array" ref="X188">COUNT(IF((DiscreteStatsTable[GroupByKey]=DiscreteStatsTable[[#This Row],[GroupByKey]]),(DiscreteStatsTable[GroupByKey]=DiscreteStatsTable[[#This Row],[GroupByKey]])*DiscreteStatsTable[Replication]))</f>
        <v>50</v>
      </c>
      <c r="Y188" s="5">
        <f>IF(DiscreteStatsTable[[#This Row],[RepsRequested]]=DiscreteStatsTable[[#This Row],[RepsWithStatObserved]],1,0)</f>
        <v>1</v>
      </c>
    </row>
    <row r="189" spans="1:25" x14ac:dyDescent="0.35">
      <c r="A189" t="s">
        <v>66</v>
      </c>
      <c r="B189" t="s">
        <v>69</v>
      </c>
      <c r="C189">
        <v>32</v>
      </c>
      <c r="D189" t="s">
        <v>70</v>
      </c>
      <c r="E189" t="s">
        <v>73</v>
      </c>
      <c r="F189" t="s">
        <v>72</v>
      </c>
      <c r="G189">
        <v>0</v>
      </c>
      <c r="H189">
        <v>2E+20</v>
      </c>
      <c r="I189">
        <v>0</v>
      </c>
      <c r="J189">
        <v>0</v>
      </c>
      <c r="K189">
        <v>2</v>
      </c>
      <c r="L189" s="5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189" s="5" cm="1">
        <f t="array" ref="M189">MAX(IF((ProjectInfoTable[ProjectName]=DiscreteStatsTable[[#This Row],[ProjectName]]),(ProjectInfoTable[ProjectName]=DiscreteStatsTable[[#This Row],[ProjectName]])*ProjectInfoTable[NumberOfReplications]))</f>
        <v>50</v>
      </c>
      <c r="N189" s="5" cm="1">
        <f t="array" ref="N189">IFERROR(AVERAGE(IF((DiscreteStatsTable[GroupByKey]=DiscreteStatsTable[[#This Row],[GroupByKey]]),(DiscreteStatsTable[GroupByKey]=DiscreteStatsTable[[#This Row],[GroupByKey]])*DiscreteStatsTable[Average])),0)</f>
        <v>0</v>
      </c>
      <c r="O189" s="5" cm="1">
        <f t="array" ref="O189">IFERROR(_xlfn.STDEV.S(IF((DiscreteStatsTable[GroupByKey]=DiscreteStatsTable[[#This Row],[GroupByKey]]),(DiscreteStatsTable[GroupByKey]=DiscreteStatsTable[[#This Row],[GroupByKey]])*DiscreteStatsTable[Average])),0)</f>
        <v>0</v>
      </c>
      <c r="P189" s="5" cm="1">
        <f t="array" ref="P189">MAX(IF((ProjectInfoTable[ProjectName]=DiscreteStatsTable[[#This Row],[ProjectName]]),(ProjectInfoTable[ProjectName]=DiscreteStatsTable[[#This Row],[ProjectName]])*ProjectInfoTable[ConfidenceInterval]))</f>
        <v>0.95</v>
      </c>
      <c r="Q189" s="5">
        <f>IF(AND(DiscreteStatsTable[[#This Row],[RepsWithStatObserved]]=1,Y189=0),200000000000000000000,IFERROR(_xlfn.T.INV.2T(1 -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89" s="5" cm="1">
        <f t="array" ref="R189">MIN(IF((DiscreteStatsTable[GroupByKey]=DiscreteStatsTable[[#This Row],[GroupByKey]]),(DiscreteStatsTable[GroupByKey]=DiscreteStatsTable[[#This Row],[GroupByKey]])*DiscreteStatsTable[Average]))</f>
        <v>0</v>
      </c>
      <c r="S189" s="5" cm="1">
        <f t="array" ref="S189">MAX(IF((DiscreteStatsTable[GroupByKey]=DiscreteStatsTable[[#This Row],[GroupByKey]]),(DiscreteStatsTable[GroupByKey]=DiscreteStatsTable[[#This Row],[GroupByKey]])*DiscreteStatsTable[Average]))</f>
        <v>0</v>
      </c>
      <c r="T189" s="5" cm="1">
        <f t="array" ref="T189">MIN(IF((DiscreteStatsTable[GroupByKey]=DiscreteStatsTable[[#This Row],[GroupByKey]]),(DiscreteStatsTable[GroupByKey]=DiscreteStatsTable[[#This Row],[GroupByKey]])*DiscreteStatsTable[Minimum]))</f>
        <v>0</v>
      </c>
      <c r="U189" s="5" cm="1">
        <f t="array" ref="U189">MAX(IF((DiscreteStatsTable[GroupByKey]=DiscreteStatsTable[[#This Row],[GroupByKey]]),(DiscreteStatsTable[GroupByKey]=DiscreteStatsTable[[#This Row],[GroupByKey]])*DiscreteStatsTable[Maximum]))</f>
        <v>0</v>
      </c>
      <c r="V189" s="5" cm="1">
        <f t="array" ref="V189">IFERROR(AVERAGE(IF((DiscreteStatsTable[GroupByKey]=DiscreteStatsTable[[#This Row],[GroupByKey]]),(DiscreteStatsTable[GroupByKey]=DiscreteStatsTable[[#This Row],[GroupByKey]])*DiscreteStatsTable[NumberObservations])),0)</f>
        <v>3.62</v>
      </c>
      <c r="W189" s="5">
        <f>IF((DiscreteStatsTable[[#This Row],[RepsRequested]]&gt;1),DiscreteStatsTable[[#This Row],[HalfWidth]],DiscreteStatsTable[[#This Row],[BatchMeansHalfWidth]])</f>
        <v>0</v>
      </c>
      <c r="X189" s="5" cm="1">
        <f t="array" ref="X189">COUNT(IF((DiscreteStatsTable[GroupByKey]=DiscreteStatsTable[[#This Row],[GroupByKey]]),(DiscreteStatsTable[GroupByKey]=DiscreteStatsTable[[#This Row],[GroupByKey]])*DiscreteStatsTable[Replication]))</f>
        <v>50</v>
      </c>
      <c r="Y189" s="5">
        <f>IF(DiscreteStatsTable[[#This Row],[RepsRequested]]=DiscreteStatsTable[[#This Row],[RepsWithStatObserved]],1,0)</f>
        <v>1</v>
      </c>
    </row>
    <row r="190" spans="1:25" x14ac:dyDescent="0.35">
      <c r="A190" t="s">
        <v>66</v>
      </c>
      <c r="B190" t="s">
        <v>69</v>
      </c>
      <c r="C190">
        <v>32</v>
      </c>
      <c r="D190" t="s">
        <v>70</v>
      </c>
      <c r="E190" t="s">
        <v>74</v>
      </c>
      <c r="F190" t="s">
        <v>72</v>
      </c>
      <c r="G190">
        <v>2.6088884466715201</v>
      </c>
      <c r="H190">
        <v>2E+20</v>
      </c>
      <c r="I190">
        <v>1.46872073909846</v>
      </c>
      <c r="J190">
        <v>3.7490561542445802</v>
      </c>
      <c r="K190">
        <v>2</v>
      </c>
      <c r="L190" s="5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190" s="5" cm="1">
        <f t="array" ref="M190">MAX(IF((ProjectInfoTable[ProjectName]=DiscreteStatsTable[[#This Row],[ProjectName]]),(ProjectInfoTable[ProjectName]=DiscreteStatsTable[[#This Row],[ProjectName]])*ProjectInfoTable[NumberOfReplications]))</f>
        <v>50</v>
      </c>
      <c r="N190" s="5" cm="1">
        <f t="array" ref="N190">IFERROR(AVERAGE(IF((DiscreteStatsTable[GroupByKey]=DiscreteStatsTable[[#This Row],[GroupByKey]]),(DiscreteStatsTable[GroupByKey]=DiscreteStatsTable[[#This Row],[GroupByKey]])*DiscreteStatsTable[Average])),0)</f>
        <v>3.5363894499532775</v>
      </c>
      <c r="O190" s="5" cm="1">
        <f t="array" ref="O190">IFERROR(_xlfn.STDEV.S(IF((DiscreteStatsTable[GroupByKey]=DiscreteStatsTable[[#This Row],[GroupByKey]]),(DiscreteStatsTable[GroupByKey]=DiscreteStatsTable[[#This Row],[GroupByKey]])*DiscreteStatsTable[Average])),0)</f>
        <v>1.1766434570133149</v>
      </c>
      <c r="P190" s="5" cm="1">
        <f t="array" ref="P190">MAX(IF((ProjectInfoTable[ProjectName]=DiscreteStatsTable[[#This Row],[ProjectName]]),(ProjectInfoTable[ProjectName]=DiscreteStatsTable[[#This Row],[ProjectName]])*ProjectInfoTable[ConfidenceInterval]))</f>
        <v>0.95</v>
      </c>
      <c r="Q190" s="5">
        <f>IF(AND(DiscreteStatsTable[[#This Row],[RepsWithStatObserved]]=1,Y190=0),200000000000000000000,IFERROR(_xlfn.T.INV.2T(1 -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0.33439837052280896</v>
      </c>
      <c r="R190" s="5" cm="1">
        <f t="array" ref="R190">MIN(IF((DiscreteStatsTable[GroupByKey]=DiscreteStatsTable[[#This Row],[GroupByKey]]),(DiscreteStatsTable[GroupByKey]=DiscreteStatsTable[[#This Row],[GroupByKey]])*DiscreteStatsTable[Average]))</f>
        <v>1.6342264652107701</v>
      </c>
      <c r="S190" s="5" cm="1">
        <f t="array" ref="S190">MAX(IF((DiscreteStatsTable[GroupByKey]=DiscreteStatsTable[[#This Row],[GroupByKey]]),(DiscreteStatsTable[GroupByKey]=DiscreteStatsTable[[#This Row],[GroupByKey]])*DiscreteStatsTable[Average]))</f>
        <v>6.5527373550837904</v>
      </c>
      <c r="T190" s="5" cm="1">
        <f t="array" ref="T190">MIN(IF((DiscreteStatsTable[GroupByKey]=DiscreteStatsTable[[#This Row],[GroupByKey]]),(DiscreteStatsTable[GroupByKey]=DiscreteStatsTable[[#This Row],[GroupByKey]])*DiscreteStatsTable[Minimum]))</f>
        <v>0.58847912081681497</v>
      </c>
      <c r="U190" s="5" cm="1">
        <f t="array" ref="U190">MAX(IF((DiscreteStatsTable[GroupByKey]=DiscreteStatsTable[[#This Row],[GroupByKey]]),(DiscreteStatsTable[GroupByKey]=DiscreteStatsTable[[#This Row],[GroupByKey]])*DiscreteStatsTable[Maximum]))</f>
        <v>8.7476494546828292</v>
      </c>
      <c r="V190" s="5" cm="1">
        <f t="array" ref="V190">IFERROR(AVERAGE(IF((DiscreteStatsTable[GroupByKey]=DiscreteStatsTable[[#This Row],[GroupByKey]]),(DiscreteStatsTable[GroupByKey]=DiscreteStatsTable[[#This Row],[GroupByKey]])*DiscreteStatsTable[NumberObservations])),0)</f>
        <v>3.62</v>
      </c>
      <c r="W190" s="5">
        <f>IF((DiscreteStatsTable[[#This Row],[RepsRequested]]&gt;1),DiscreteStatsTable[[#This Row],[HalfWidth]],DiscreteStatsTable[[#This Row],[BatchMeansHalfWidth]])</f>
        <v>0.33439837052280896</v>
      </c>
      <c r="X190" s="5" cm="1">
        <f t="array" ref="X190">COUNT(IF((DiscreteStatsTable[GroupByKey]=DiscreteStatsTable[[#This Row],[GroupByKey]]),(DiscreteStatsTable[GroupByKey]=DiscreteStatsTable[[#This Row],[GroupByKey]])*DiscreteStatsTable[Replication]))</f>
        <v>50</v>
      </c>
      <c r="Y190" s="5">
        <f>IF(DiscreteStatsTable[[#This Row],[RepsRequested]]=DiscreteStatsTable[[#This Row],[RepsWithStatObserved]],1,0)</f>
        <v>1</v>
      </c>
    </row>
    <row r="191" spans="1:25" x14ac:dyDescent="0.35">
      <c r="A191" t="s">
        <v>66</v>
      </c>
      <c r="B191" t="s">
        <v>69</v>
      </c>
      <c r="C191">
        <v>32</v>
      </c>
      <c r="D191" t="s">
        <v>70</v>
      </c>
      <c r="E191" t="s">
        <v>75</v>
      </c>
      <c r="F191" t="s">
        <v>72</v>
      </c>
      <c r="G191">
        <v>0</v>
      </c>
      <c r="H191">
        <v>2E+20</v>
      </c>
      <c r="I191">
        <v>0</v>
      </c>
      <c r="J191">
        <v>0</v>
      </c>
      <c r="K191">
        <v>2</v>
      </c>
      <c r="L191" s="5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191" s="5" cm="1">
        <f t="array" ref="M191">MAX(IF((ProjectInfoTable[ProjectName]=DiscreteStatsTable[[#This Row],[ProjectName]]),(ProjectInfoTable[ProjectName]=DiscreteStatsTable[[#This Row],[ProjectName]])*ProjectInfoTable[NumberOfReplications]))</f>
        <v>50</v>
      </c>
      <c r="N191" s="5" cm="1">
        <f t="array" ref="N191">IFERROR(AVERAGE(IF((DiscreteStatsTable[GroupByKey]=DiscreteStatsTable[[#This Row],[GroupByKey]]),(DiscreteStatsTable[GroupByKey]=DiscreteStatsTable[[#This Row],[GroupByKey]])*DiscreteStatsTable[Average])),0)</f>
        <v>0</v>
      </c>
      <c r="O191" s="5" cm="1">
        <f t="array" ref="O191">IFERROR(_xlfn.STDEV.S(IF((DiscreteStatsTable[GroupByKey]=DiscreteStatsTable[[#This Row],[GroupByKey]]),(DiscreteStatsTable[GroupByKey]=DiscreteStatsTable[[#This Row],[GroupByKey]])*DiscreteStatsTable[Average])),0)</f>
        <v>0</v>
      </c>
      <c r="P191" s="5" cm="1">
        <f t="array" ref="P191">MAX(IF((ProjectInfoTable[ProjectName]=DiscreteStatsTable[[#This Row],[ProjectName]]),(ProjectInfoTable[ProjectName]=DiscreteStatsTable[[#This Row],[ProjectName]])*ProjectInfoTable[ConfidenceInterval]))</f>
        <v>0.95</v>
      </c>
      <c r="Q191" s="5">
        <f>IF(AND(DiscreteStatsTable[[#This Row],[RepsWithStatObserved]]=1,Y191=0),200000000000000000000,IFERROR(_xlfn.T.INV.2T(1 -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1" s="5" cm="1">
        <f t="array" ref="R191">MIN(IF((DiscreteStatsTable[GroupByKey]=DiscreteStatsTable[[#This Row],[GroupByKey]]),(DiscreteStatsTable[GroupByKey]=DiscreteStatsTable[[#This Row],[GroupByKey]])*DiscreteStatsTable[Average]))</f>
        <v>0</v>
      </c>
      <c r="S191" s="5" cm="1">
        <f t="array" ref="S191">MAX(IF((DiscreteStatsTable[GroupByKey]=DiscreteStatsTable[[#This Row],[GroupByKey]]),(DiscreteStatsTable[GroupByKey]=DiscreteStatsTable[[#This Row],[GroupByKey]])*DiscreteStatsTable[Average]))</f>
        <v>0</v>
      </c>
      <c r="T191" s="5" cm="1">
        <f t="array" ref="T191">MIN(IF((DiscreteStatsTable[GroupByKey]=DiscreteStatsTable[[#This Row],[GroupByKey]]),(DiscreteStatsTable[GroupByKey]=DiscreteStatsTable[[#This Row],[GroupByKey]])*DiscreteStatsTable[Minimum]))</f>
        <v>0</v>
      </c>
      <c r="U191" s="5" cm="1">
        <f t="array" ref="U191">MAX(IF((DiscreteStatsTable[GroupByKey]=DiscreteStatsTable[[#This Row],[GroupByKey]]),(DiscreteStatsTable[GroupByKey]=DiscreteStatsTable[[#This Row],[GroupByKey]])*DiscreteStatsTable[Maximum]))</f>
        <v>0</v>
      </c>
      <c r="V191" s="5" cm="1">
        <f t="array" ref="V191">IFERROR(AVERAGE(IF((DiscreteStatsTable[GroupByKey]=DiscreteStatsTable[[#This Row],[GroupByKey]]),(DiscreteStatsTable[GroupByKey]=DiscreteStatsTable[[#This Row],[GroupByKey]])*DiscreteStatsTable[NumberObservations])),0)</f>
        <v>3.62</v>
      </c>
      <c r="W191" s="5">
        <f>IF((DiscreteStatsTable[[#This Row],[RepsRequested]]&gt;1),DiscreteStatsTable[[#This Row],[HalfWidth]],DiscreteStatsTable[[#This Row],[BatchMeansHalfWidth]])</f>
        <v>0</v>
      </c>
      <c r="X191" s="5" cm="1">
        <f t="array" ref="X191">COUNT(IF((DiscreteStatsTable[GroupByKey]=DiscreteStatsTable[[#This Row],[GroupByKey]]),(DiscreteStatsTable[GroupByKey]=DiscreteStatsTable[[#This Row],[GroupByKey]])*DiscreteStatsTable[Replication]))</f>
        <v>50</v>
      </c>
      <c r="Y191" s="5">
        <f>IF(DiscreteStatsTable[[#This Row],[RepsRequested]]=DiscreteStatsTable[[#This Row],[RepsWithStatObserved]],1,0)</f>
        <v>1</v>
      </c>
    </row>
    <row r="192" spans="1:25" x14ac:dyDescent="0.35">
      <c r="A192" t="s">
        <v>66</v>
      </c>
      <c r="B192" t="s">
        <v>69</v>
      </c>
      <c r="C192">
        <v>32</v>
      </c>
      <c r="D192" t="s">
        <v>70</v>
      </c>
      <c r="E192" t="s">
        <v>76</v>
      </c>
      <c r="F192" t="s">
        <v>72</v>
      </c>
      <c r="G192">
        <v>2.6088884466715201</v>
      </c>
      <c r="H192">
        <v>2E+20</v>
      </c>
      <c r="I192">
        <v>1.46872073909846</v>
      </c>
      <c r="J192">
        <v>3.7490561542445802</v>
      </c>
      <c r="K192">
        <v>2</v>
      </c>
      <c r="L192" s="5" t="str">
        <f>DiscreteStatsTable[[#This Row],[ProjectName]]&amp;DiscreteStatsTable[[#This Row],[Name]]&amp;DiscreteStatsTable[[#This Row],[Type]]&amp;DiscreteStatsTable[[#This Row],[Source]]</f>
        <v>Unnamed ProjectArquivosVA TimeEntity</v>
      </c>
      <c r="M192" s="5" cm="1">
        <f t="array" ref="M192">MAX(IF((ProjectInfoTable[ProjectName]=DiscreteStatsTable[[#This Row],[ProjectName]]),(ProjectInfoTable[ProjectName]=DiscreteStatsTable[[#This Row],[ProjectName]])*ProjectInfoTable[NumberOfReplications]))</f>
        <v>50</v>
      </c>
      <c r="N192" s="5" cm="1">
        <f t="array" ref="N192">IFERROR(AVERAGE(IF((DiscreteStatsTable[GroupByKey]=DiscreteStatsTable[[#This Row],[GroupByKey]]),(DiscreteStatsTable[GroupByKey]=DiscreteStatsTable[[#This Row],[GroupByKey]])*DiscreteStatsTable[Average])),0)</f>
        <v>2.3123810058270009</v>
      </c>
      <c r="O192" s="5" cm="1">
        <f t="array" ref="O192">IFERROR(_xlfn.STDEV.S(IF((DiscreteStatsTable[GroupByKey]=DiscreteStatsTable[[#This Row],[GroupByKey]]),(DiscreteStatsTable[GroupByKey]=DiscreteStatsTable[[#This Row],[GroupByKey]])*DiscreteStatsTable[Average])),0)</f>
        <v>0.47735516285795621</v>
      </c>
      <c r="P192" s="5" cm="1">
        <f t="array" ref="P192">MAX(IF((ProjectInfoTable[ProjectName]=DiscreteStatsTable[[#This Row],[ProjectName]]),(ProjectInfoTable[ProjectName]=DiscreteStatsTable[[#This Row],[ProjectName]])*ProjectInfoTable[ConfidenceInterval]))</f>
        <v>0.95</v>
      </c>
      <c r="Q192" s="5">
        <f>IF(AND(DiscreteStatsTable[[#This Row],[RepsWithStatObserved]]=1,Y192=0),200000000000000000000,IFERROR(_xlfn.T.INV.2T(1 -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0.13566283623888314</v>
      </c>
      <c r="R192" s="5" cm="1">
        <f t="array" ref="R192">MIN(IF((DiscreteStatsTable[GroupByKey]=DiscreteStatsTable[[#This Row],[GroupByKey]]),(DiscreteStatsTable[GroupByKey]=DiscreteStatsTable[[#This Row],[GroupByKey]])*DiscreteStatsTable[Average]))</f>
        <v>1.3773415743205399</v>
      </c>
      <c r="S192" s="5" cm="1">
        <f t="array" ref="S192">MAX(IF((DiscreteStatsTable[GroupByKey]=DiscreteStatsTable[[#This Row],[GroupByKey]]),(DiscreteStatsTable[GroupByKey]=DiscreteStatsTable[[#This Row],[GroupByKey]])*DiscreteStatsTable[Average]))</f>
        <v>3.3139161730180202</v>
      </c>
      <c r="T192" s="5" cm="1">
        <f t="array" ref="T192">MIN(IF((DiscreteStatsTable[GroupByKey]=DiscreteStatsTable[[#This Row],[GroupByKey]]),(DiscreteStatsTable[GroupByKey]=DiscreteStatsTable[[#This Row],[GroupByKey]])*DiscreteStatsTable[Minimum]))</f>
        <v>0.58847912081681497</v>
      </c>
      <c r="U192" s="5" cm="1">
        <f t="array" ref="U192">MAX(IF((DiscreteStatsTable[GroupByKey]=DiscreteStatsTable[[#This Row],[GroupByKey]]),(DiscreteStatsTable[GroupByKey]=DiscreteStatsTable[[#This Row],[GroupByKey]])*DiscreteStatsTable[Maximum]))</f>
        <v>4.9756405925629998</v>
      </c>
      <c r="V192" s="5" cm="1">
        <f t="array" ref="V192">IFERROR(AVERAGE(IF((DiscreteStatsTable[GroupByKey]=DiscreteStatsTable[[#This Row],[GroupByKey]]),(DiscreteStatsTable[GroupByKey]=DiscreteStatsTable[[#This Row],[GroupByKey]])*DiscreteStatsTable[NumberObservations])),0)</f>
        <v>3.62</v>
      </c>
      <c r="W192" s="5">
        <f>IF((DiscreteStatsTable[[#This Row],[RepsRequested]]&gt;1),DiscreteStatsTable[[#This Row],[HalfWidth]],DiscreteStatsTable[[#This Row],[BatchMeansHalfWidth]])</f>
        <v>0.13566283623888314</v>
      </c>
      <c r="X192" s="5" cm="1">
        <f t="array" ref="X192">COUNT(IF((DiscreteStatsTable[GroupByKey]=DiscreteStatsTable[[#This Row],[GroupByKey]]),(DiscreteStatsTable[GroupByKey]=DiscreteStatsTable[[#This Row],[GroupByKey]])*DiscreteStatsTable[Replication]))</f>
        <v>50</v>
      </c>
      <c r="Y192" s="5">
        <f>IF(DiscreteStatsTable[[#This Row],[RepsRequested]]=DiscreteStatsTable[[#This Row],[RepsWithStatObserved]],1,0)</f>
        <v>1</v>
      </c>
    </row>
    <row r="193" spans="1:25" x14ac:dyDescent="0.35">
      <c r="A193" t="s">
        <v>66</v>
      </c>
      <c r="B193" t="s">
        <v>69</v>
      </c>
      <c r="C193">
        <v>32</v>
      </c>
      <c r="D193" t="s">
        <v>70</v>
      </c>
      <c r="E193" t="s">
        <v>77</v>
      </c>
      <c r="F193" t="s">
        <v>72</v>
      </c>
      <c r="G193">
        <v>0</v>
      </c>
      <c r="H193">
        <v>2E+20</v>
      </c>
      <c r="I193">
        <v>0</v>
      </c>
      <c r="J193">
        <v>0</v>
      </c>
      <c r="K193">
        <v>2</v>
      </c>
      <c r="L193" s="5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193" s="5" cm="1">
        <f t="array" ref="M193">MAX(IF((ProjectInfoTable[ProjectName]=DiscreteStatsTable[[#This Row],[ProjectName]]),(ProjectInfoTable[ProjectName]=DiscreteStatsTable[[#This Row],[ProjectName]])*ProjectInfoTable[NumberOfReplications]))</f>
        <v>50</v>
      </c>
      <c r="N193" s="5" cm="1">
        <f t="array" ref="N193">IFERROR(AVERAGE(IF((DiscreteStatsTable[GroupByKey]=DiscreteStatsTable[[#This Row],[GroupByKey]]),(DiscreteStatsTable[GroupByKey]=DiscreteStatsTable[[#This Row],[GroupByKey]])*DiscreteStatsTable[Average])),0)</f>
        <v>1.2240084441262762</v>
      </c>
      <c r="O193" s="5" cm="1">
        <f t="array" ref="O193">IFERROR(_xlfn.STDEV.S(IF((DiscreteStatsTable[GroupByKey]=DiscreteStatsTable[[#This Row],[GroupByKey]]),(DiscreteStatsTable[GroupByKey]=DiscreteStatsTable[[#This Row],[GroupByKey]])*DiscreteStatsTable[Average])),0)</f>
        <v>0.89867905452837749</v>
      </c>
      <c r="P193" s="5" cm="1">
        <f t="array" ref="P193">MAX(IF((ProjectInfoTable[ProjectName]=DiscreteStatsTable[[#This Row],[ProjectName]]),(ProjectInfoTable[ProjectName]=DiscreteStatsTable[[#This Row],[ProjectName]])*ProjectInfoTable[ConfidenceInterval]))</f>
        <v>0.95</v>
      </c>
      <c r="Q193" s="5">
        <f>IF(AND(DiscreteStatsTable[[#This Row],[RepsWithStatObserved]]=1,Y193=0),200000000000000000000,IFERROR(_xlfn.T.INV.2T(1 -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0.2554017613968404</v>
      </c>
      <c r="R193" s="5" cm="1">
        <f t="array" ref="R193">MIN(IF((DiscreteStatsTable[GroupByKey]=DiscreteStatsTable[[#This Row],[GroupByKey]]),(DiscreteStatsTable[GroupByKey]=DiscreteStatsTable[[#This Row],[GroupByKey]])*DiscreteStatsTable[Average]))</f>
        <v>0</v>
      </c>
      <c r="S193" s="5" cm="1">
        <f t="array" ref="S193">MAX(IF((DiscreteStatsTable[GroupByKey]=DiscreteStatsTable[[#This Row],[GroupByKey]]),(DiscreteStatsTable[GroupByKey]=DiscreteStatsTable[[#This Row],[GroupByKey]])*DiscreteStatsTable[Average]))</f>
        <v>3.4345522286517598</v>
      </c>
      <c r="T193" s="5" cm="1">
        <f t="array" ref="T193">MIN(IF((DiscreteStatsTable[GroupByKey]=DiscreteStatsTable[[#This Row],[GroupByKey]]),(DiscreteStatsTable[GroupByKey]=DiscreteStatsTable[[#This Row],[GroupByKey]])*DiscreteStatsTable[Minimum]))</f>
        <v>0</v>
      </c>
      <c r="U193" s="5" cm="1">
        <f t="array" ref="U193">MAX(IF((DiscreteStatsTable[GroupByKey]=DiscreteStatsTable[[#This Row],[GroupByKey]]),(DiscreteStatsTable[GroupByKey]=DiscreteStatsTable[[#This Row],[GroupByKey]])*DiscreteStatsTable[Maximum]))</f>
        <v>6.7563093676697896</v>
      </c>
      <c r="V193" s="5" cm="1">
        <f t="array" ref="V193">IFERROR(AVERAGE(IF((DiscreteStatsTable[GroupByKey]=DiscreteStatsTable[[#This Row],[GroupByKey]]),(DiscreteStatsTable[GroupByKey]=DiscreteStatsTable[[#This Row],[GroupByKey]])*DiscreteStatsTable[NumberObservations])),0)</f>
        <v>3.62</v>
      </c>
      <c r="W193" s="5">
        <f>IF((DiscreteStatsTable[[#This Row],[RepsRequested]]&gt;1),DiscreteStatsTable[[#This Row],[HalfWidth]],DiscreteStatsTable[[#This Row],[BatchMeansHalfWidth]])</f>
        <v>0.2554017613968404</v>
      </c>
      <c r="X193" s="5" cm="1">
        <f t="array" ref="X193">COUNT(IF((DiscreteStatsTable[GroupByKey]=DiscreteStatsTable[[#This Row],[GroupByKey]]),(DiscreteStatsTable[GroupByKey]=DiscreteStatsTable[[#This Row],[GroupByKey]])*DiscreteStatsTable[Replication]))</f>
        <v>50</v>
      </c>
      <c r="Y193" s="5">
        <f>IF(DiscreteStatsTable[[#This Row],[RepsRequested]]=DiscreteStatsTable[[#This Row],[RepsWithStatObserved]],1,0)</f>
        <v>1</v>
      </c>
    </row>
    <row r="194" spans="1:25" x14ac:dyDescent="0.35">
      <c r="A194" t="s">
        <v>66</v>
      </c>
      <c r="B194" t="s">
        <v>69</v>
      </c>
      <c r="C194">
        <v>33</v>
      </c>
      <c r="D194" t="s">
        <v>70</v>
      </c>
      <c r="E194" t="s">
        <v>71</v>
      </c>
      <c r="F194" t="s">
        <v>72</v>
      </c>
      <c r="G194">
        <v>0</v>
      </c>
      <c r="H194">
        <v>2E+20</v>
      </c>
      <c r="I194">
        <v>0</v>
      </c>
      <c r="J194">
        <v>0</v>
      </c>
      <c r="K194">
        <v>5</v>
      </c>
      <c r="L194" s="5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194" s="5" cm="1">
        <f t="array" ref="M194">MAX(IF((ProjectInfoTable[ProjectName]=DiscreteStatsTable[[#This Row],[ProjectName]]),(ProjectInfoTable[ProjectName]=DiscreteStatsTable[[#This Row],[ProjectName]])*ProjectInfoTable[NumberOfReplications]))</f>
        <v>50</v>
      </c>
      <c r="N194" s="5" cm="1">
        <f t="array" ref="N194">IFERROR(AVERAGE(IF((DiscreteStatsTable[GroupByKey]=DiscreteStatsTable[[#This Row],[GroupByKey]]),(DiscreteStatsTable[GroupByKey]=DiscreteStatsTable[[#This Row],[GroupByKey]])*DiscreteStatsTable[Average])),0)</f>
        <v>0</v>
      </c>
      <c r="O194" s="5" cm="1">
        <f t="array" ref="O194">IFERROR(_xlfn.STDEV.S(IF((DiscreteStatsTable[GroupByKey]=DiscreteStatsTable[[#This Row],[GroupByKey]]),(DiscreteStatsTable[GroupByKey]=DiscreteStatsTable[[#This Row],[GroupByKey]])*DiscreteStatsTable[Average])),0)</f>
        <v>0</v>
      </c>
      <c r="P194" s="5" cm="1">
        <f t="array" ref="P194">MAX(IF((ProjectInfoTable[ProjectName]=DiscreteStatsTable[[#This Row],[ProjectName]]),(ProjectInfoTable[ProjectName]=DiscreteStatsTable[[#This Row],[ProjectName]])*ProjectInfoTable[ConfidenceInterval]))</f>
        <v>0.95</v>
      </c>
      <c r="Q194" s="5">
        <f>IF(AND(DiscreteStatsTable[[#This Row],[RepsWithStatObserved]]=1,Y194=0),200000000000000000000,IFERROR(_xlfn.T.INV.2T(1 -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4" s="5" cm="1">
        <f t="array" ref="R194">MIN(IF((DiscreteStatsTable[GroupByKey]=DiscreteStatsTable[[#This Row],[GroupByKey]]),(DiscreteStatsTable[GroupByKey]=DiscreteStatsTable[[#This Row],[GroupByKey]])*DiscreteStatsTable[Average]))</f>
        <v>0</v>
      </c>
      <c r="S194" s="5" cm="1">
        <f t="array" ref="S194">MAX(IF((DiscreteStatsTable[GroupByKey]=DiscreteStatsTable[[#This Row],[GroupByKey]]),(DiscreteStatsTable[GroupByKey]=DiscreteStatsTable[[#This Row],[GroupByKey]])*DiscreteStatsTable[Average]))</f>
        <v>0</v>
      </c>
      <c r="T194" s="5" cm="1">
        <f t="array" ref="T194">MIN(IF((DiscreteStatsTable[GroupByKey]=DiscreteStatsTable[[#This Row],[GroupByKey]]),(DiscreteStatsTable[GroupByKey]=DiscreteStatsTable[[#This Row],[GroupByKey]])*DiscreteStatsTable[Minimum]))</f>
        <v>0</v>
      </c>
      <c r="U194" s="5" cm="1">
        <f t="array" ref="U194">MAX(IF((DiscreteStatsTable[GroupByKey]=DiscreteStatsTable[[#This Row],[GroupByKey]]),(DiscreteStatsTable[GroupByKey]=DiscreteStatsTable[[#This Row],[GroupByKey]])*DiscreteStatsTable[Maximum]))</f>
        <v>0</v>
      </c>
      <c r="V194" s="5" cm="1">
        <f t="array" ref="V194">IFERROR(AVERAGE(IF((DiscreteStatsTable[GroupByKey]=DiscreteStatsTable[[#This Row],[GroupByKey]]),(DiscreteStatsTable[GroupByKey]=DiscreteStatsTable[[#This Row],[GroupByKey]])*DiscreteStatsTable[NumberObservations])),0)</f>
        <v>3.62</v>
      </c>
      <c r="W194" s="5">
        <f>IF((DiscreteStatsTable[[#This Row],[RepsRequested]]&gt;1),DiscreteStatsTable[[#This Row],[HalfWidth]],DiscreteStatsTable[[#This Row],[BatchMeansHalfWidth]])</f>
        <v>0</v>
      </c>
      <c r="X194" s="5" cm="1">
        <f t="array" ref="X194">COUNT(IF((DiscreteStatsTable[GroupByKey]=DiscreteStatsTable[[#This Row],[GroupByKey]]),(DiscreteStatsTable[GroupByKey]=DiscreteStatsTable[[#This Row],[GroupByKey]])*DiscreteStatsTable[Replication]))</f>
        <v>50</v>
      </c>
      <c r="Y194" s="5">
        <f>IF(DiscreteStatsTable[[#This Row],[RepsRequested]]=DiscreteStatsTable[[#This Row],[RepsWithStatObserved]],1,0)</f>
        <v>1</v>
      </c>
    </row>
    <row r="195" spans="1:25" x14ac:dyDescent="0.35">
      <c r="A195" t="s">
        <v>66</v>
      </c>
      <c r="B195" t="s">
        <v>69</v>
      </c>
      <c r="C195">
        <v>33</v>
      </c>
      <c r="D195" t="s">
        <v>70</v>
      </c>
      <c r="E195" t="s">
        <v>73</v>
      </c>
      <c r="F195" t="s">
        <v>72</v>
      </c>
      <c r="G195">
        <v>0</v>
      </c>
      <c r="H195">
        <v>2E+20</v>
      </c>
      <c r="I195">
        <v>0</v>
      </c>
      <c r="J195">
        <v>0</v>
      </c>
      <c r="K195">
        <v>5</v>
      </c>
      <c r="L195" s="5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195" s="5" cm="1">
        <f t="array" ref="M195">MAX(IF((ProjectInfoTable[ProjectName]=DiscreteStatsTable[[#This Row],[ProjectName]]),(ProjectInfoTable[ProjectName]=DiscreteStatsTable[[#This Row],[ProjectName]])*ProjectInfoTable[NumberOfReplications]))</f>
        <v>50</v>
      </c>
      <c r="N195" s="5" cm="1">
        <f t="array" ref="N195">IFERROR(AVERAGE(IF((DiscreteStatsTable[GroupByKey]=DiscreteStatsTable[[#This Row],[GroupByKey]]),(DiscreteStatsTable[GroupByKey]=DiscreteStatsTable[[#This Row],[GroupByKey]])*DiscreteStatsTable[Average])),0)</f>
        <v>0</v>
      </c>
      <c r="O195" s="5" cm="1">
        <f t="array" ref="O195">IFERROR(_xlfn.STDEV.S(IF((DiscreteStatsTable[GroupByKey]=DiscreteStatsTable[[#This Row],[GroupByKey]]),(DiscreteStatsTable[GroupByKey]=DiscreteStatsTable[[#This Row],[GroupByKey]])*DiscreteStatsTable[Average])),0)</f>
        <v>0</v>
      </c>
      <c r="P195" s="5" cm="1">
        <f t="array" ref="P195">MAX(IF((ProjectInfoTable[ProjectName]=DiscreteStatsTable[[#This Row],[ProjectName]]),(ProjectInfoTable[ProjectName]=DiscreteStatsTable[[#This Row],[ProjectName]])*ProjectInfoTable[ConfidenceInterval]))</f>
        <v>0.95</v>
      </c>
      <c r="Q195" s="5">
        <f>IF(AND(DiscreteStatsTable[[#This Row],[RepsWithStatObserved]]=1,Y195=0),200000000000000000000,IFERROR(_xlfn.T.INV.2T(1 -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5" s="5" cm="1">
        <f t="array" ref="R195">MIN(IF((DiscreteStatsTable[GroupByKey]=DiscreteStatsTable[[#This Row],[GroupByKey]]),(DiscreteStatsTable[GroupByKey]=DiscreteStatsTable[[#This Row],[GroupByKey]])*DiscreteStatsTable[Average]))</f>
        <v>0</v>
      </c>
      <c r="S195" s="5" cm="1">
        <f t="array" ref="S195">MAX(IF((DiscreteStatsTable[GroupByKey]=DiscreteStatsTable[[#This Row],[GroupByKey]]),(DiscreteStatsTable[GroupByKey]=DiscreteStatsTable[[#This Row],[GroupByKey]])*DiscreteStatsTable[Average]))</f>
        <v>0</v>
      </c>
      <c r="T195" s="5" cm="1">
        <f t="array" ref="T195">MIN(IF((DiscreteStatsTable[GroupByKey]=DiscreteStatsTable[[#This Row],[GroupByKey]]),(DiscreteStatsTable[GroupByKey]=DiscreteStatsTable[[#This Row],[GroupByKey]])*DiscreteStatsTable[Minimum]))</f>
        <v>0</v>
      </c>
      <c r="U195" s="5" cm="1">
        <f t="array" ref="U195">MAX(IF((DiscreteStatsTable[GroupByKey]=DiscreteStatsTable[[#This Row],[GroupByKey]]),(DiscreteStatsTable[GroupByKey]=DiscreteStatsTable[[#This Row],[GroupByKey]])*DiscreteStatsTable[Maximum]))</f>
        <v>0</v>
      </c>
      <c r="V195" s="5" cm="1">
        <f t="array" ref="V195">IFERROR(AVERAGE(IF((DiscreteStatsTable[GroupByKey]=DiscreteStatsTable[[#This Row],[GroupByKey]]),(DiscreteStatsTable[GroupByKey]=DiscreteStatsTable[[#This Row],[GroupByKey]])*DiscreteStatsTable[NumberObservations])),0)</f>
        <v>3.62</v>
      </c>
      <c r="W195" s="5">
        <f>IF((DiscreteStatsTable[[#This Row],[RepsRequested]]&gt;1),DiscreteStatsTable[[#This Row],[HalfWidth]],DiscreteStatsTable[[#This Row],[BatchMeansHalfWidth]])</f>
        <v>0</v>
      </c>
      <c r="X195" s="5" cm="1">
        <f t="array" ref="X195">COUNT(IF((DiscreteStatsTable[GroupByKey]=DiscreteStatsTable[[#This Row],[GroupByKey]]),(DiscreteStatsTable[GroupByKey]=DiscreteStatsTable[[#This Row],[GroupByKey]])*DiscreteStatsTable[Replication]))</f>
        <v>50</v>
      </c>
      <c r="Y195" s="5">
        <f>IF(DiscreteStatsTable[[#This Row],[RepsRequested]]=DiscreteStatsTable[[#This Row],[RepsWithStatObserved]],1,0)</f>
        <v>1</v>
      </c>
    </row>
    <row r="196" spans="1:25" x14ac:dyDescent="0.35">
      <c r="A196" t="s">
        <v>66</v>
      </c>
      <c r="B196" t="s">
        <v>69</v>
      </c>
      <c r="C196">
        <v>33</v>
      </c>
      <c r="D196" t="s">
        <v>70</v>
      </c>
      <c r="E196" t="s">
        <v>74</v>
      </c>
      <c r="F196" t="s">
        <v>72</v>
      </c>
      <c r="G196">
        <v>4.757579402487</v>
      </c>
      <c r="H196">
        <v>2E+20</v>
      </c>
      <c r="I196">
        <v>2.1449297451201899</v>
      </c>
      <c r="J196">
        <v>7.4028865180869197</v>
      </c>
      <c r="K196">
        <v>5</v>
      </c>
      <c r="L196" s="5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196" s="5" cm="1">
        <f t="array" ref="M196">MAX(IF((ProjectInfoTable[ProjectName]=DiscreteStatsTable[[#This Row],[ProjectName]]),(ProjectInfoTable[ProjectName]=DiscreteStatsTable[[#This Row],[ProjectName]])*ProjectInfoTable[NumberOfReplications]))</f>
        <v>50</v>
      </c>
      <c r="N196" s="5" cm="1">
        <f t="array" ref="N196">IFERROR(AVERAGE(IF((DiscreteStatsTable[GroupByKey]=DiscreteStatsTable[[#This Row],[GroupByKey]]),(DiscreteStatsTable[GroupByKey]=DiscreteStatsTable[[#This Row],[GroupByKey]])*DiscreteStatsTable[Average])),0)</f>
        <v>3.5363894499532775</v>
      </c>
      <c r="O196" s="5" cm="1">
        <f t="array" ref="O196">IFERROR(_xlfn.STDEV.S(IF((DiscreteStatsTable[GroupByKey]=DiscreteStatsTable[[#This Row],[GroupByKey]]),(DiscreteStatsTable[GroupByKey]=DiscreteStatsTable[[#This Row],[GroupByKey]])*DiscreteStatsTable[Average])),0)</f>
        <v>1.1766434570133149</v>
      </c>
      <c r="P196" s="5" cm="1">
        <f t="array" ref="P196">MAX(IF((ProjectInfoTable[ProjectName]=DiscreteStatsTable[[#This Row],[ProjectName]]),(ProjectInfoTable[ProjectName]=DiscreteStatsTable[[#This Row],[ProjectName]])*ProjectInfoTable[ConfidenceInterval]))</f>
        <v>0.95</v>
      </c>
      <c r="Q196" s="5">
        <f>IF(AND(DiscreteStatsTable[[#This Row],[RepsWithStatObserved]]=1,Y196=0),200000000000000000000,IFERROR(_xlfn.T.INV.2T(1 -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0.33439837052280896</v>
      </c>
      <c r="R196" s="5" cm="1">
        <f t="array" ref="R196">MIN(IF((DiscreteStatsTable[GroupByKey]=DiscreteStatsTable[[#This Row],[GroupByKey]]),(DiscreteStatsTable[GroupByKey]=DiscreteStatsTable[[#This Row],[GroupByKey]])*DiscreteStatsTable[Average]))</f>
        <v>1.6342264652107701</v>
      </c>
      <c r="S196" s="5" cm="1">
        <f t="array" ref="S196">MAX(IF((DiscreteStatsTable[GroupByKey]=DiscreteStatsTable[[#This Row],[GroupByKey]]),(DiscreteStatsTable[GroupByKey]=DiscreteStatsTable[[#This Row],[GroupByKey]])*DiscreteStatsTable[Average]))</f>
        <v>6.5527373550837904</v>
      </c>
      <c r="T196" s="5" cm="1">
        <f t="array" ref="T196">MIN(IF((DiscreteStatsTable[GroupByKey]=DiscreteStatsTable[[#This Row],[GroupByKey]]),(DiscreteStatsTable[GroupByKey]=DiscreteStatsTable[[#This Row],[GroupByKey]])*DiscreteStatsTable[Minimum]))</f>
        <v>0.58847912081681497</v>
      </c>
      <c r="U196" s="5" cm="1">
        <f t="array" ref="U196">MAX(IF((DiscreteStatsTable[GroupByKey]=DiscreteStatsTable[[#This Row],[GroupByKey]]),(DiscreteStatsTable[GroupByKey]=DiscreteStatsTable[[#This Row],[GroupByKey]])*DiscreteStatsTable[Maximum]))</f>
        <v>8.7476494546828292</v>
      </c>
      <c r="V196" s="5" cm="1">
        <f t="array" ref="V196">IFERROR(AVERAGE(IF((DiscreteStatsTable[GroupByKey]=DiscreteStatsTable[[#This Row],[GroupByKey]]),(DiscreteStatsTable[GroupByKey]=DiscreteStatsTable[[#This Row],[GroupByKey]])*DiscreteStatsTable[NumberObservations])),0)</f>
        <v>3.62</v>
      </c>
      <c r="W196" s="5">
        <f>IF((DiscreteStatsTable[[#This Row],[RepsRequested]]&gt;1),DiscreteStatsTable[[#This Row],[HalfWidth]],DiscreteStatsTable[[#This Row],[BatchMeansHalfWidth]])</f>
        <v>0.33439837052280896</v>
      </c>
      <c r="X196" s="5" cm="1">
        <f t="array" ref="X196">COUNT(IF((DiscreteStatsTable[GroupByKey]=DiscreteStatsTable[[#This Row],[GroupByKey]]),(DiscreteStatsTable[GroupByKey]=DiscreteStatsTable[[#This Row],[GroupByKey]])*DiscreteStatsTable[Replication]))</f>
        <v>50</v>
      </c>
      <c r="Y196" s="5">
        <f>IF(DiscreteStatsTable[[#This Row],[RepsRequested]]=DiscreteStatsTable[[#This Row],[RepsWithStatObserved]],1,0)</f>
        <v>1</v>
      </c>
    </row>
    <row r="197" spans="1:25" x14ac:dyDescent="0.35">
      <c r="A197" t="s">
        <v>66</v>
      </c>
      <c r="B197" t="s">
        <v>69</v>
      </c>
      <c r="C197">
        <v>33</v>
      </c>
      <c r="D197" t="s">
        <v>70</v>
      </c>
      <c r="E197" t="s">
        <v>75</v>
      </c>
      <c r="F197" t="s">
        <v>72</v>
      </c>
      <c r="G197">
        <v>0</v>
      </c>
      <c r="H197">
        <v>2E+20</v>
      </c>
      <c r="I197">
        <v>0</v>
      </c>
      <c r="J197">
        <v>0</v>
      </c>
      <c r="K197">
        <v>5</v>
      </c>
      <c r="L197" s="5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197" s="5" cm="1">
        <f t="array" ref="M197">MAX(IF((ProjectInfoTable[ProjectName]=DiscreteStatsTable[[#This Row],[ProjectName]]),(ProjectInfoTable[ProjectName]=DiscreteStatsTable[[#This Row],[ProjectName]])*ProjectInfoTable[NumberOfReplications]))</f>
        <v>50</v>
      </c>
      <c r="N197" s="5" cm="1">
        <f t="array" ref="N197">IFERROR(AVERAGE(IF((DiscreteStatsTable[GroupByKey]=DiscreteStatsTable[[#This Row],[GroupByKey]]),(DiscreteStatsTable[GroupByKey]=DiscreteStatsTable[[#This Row],[GroupByKey]])*DiscreteStatsTable[Average])),0)</f>
        <v>0</v>
      </c>
      <c r="O197" s="5" cm="1">
        <f t="array" ref="O197">IFERROR(_xlfn.STDEV.S(IF((DiscreteStatsTable[GroupByKey]=DiscreteStatsTable[[#This Row],[GroupByKey]]),(DiscreteStatsTable[GroupByKey]=DiscreteStatsTable[[#This Row],[GroupByKey]])*DiscreteStatsTable[Average])),0)</f>
        <v>0</v>
      </c>
      <c r="P197" s="5" cm="1">
        <f t="array" ref="P197">MAX(IF((ProjectInfoTable[ProjectName]=DiscreteStatsTable[[#This Row],[ProjectName]]),(ProjectInfoTable[ProjectName]=DiscreteStatsTable[[#This Row],[ProjectName]])*ProjectInfoTable[ConfidenceInterval]))</f>
        <v>0.95</v>
      </c>
      <c r="Q197" s="5">
        <f>IF(AND(DiscreteStatsTable[[#This Row],[RepsWithStatObserved]]=1,Y197=0),200000000000000000000,IFERROR(_xlfn.T.INV.2T(1 -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7" s="5" cm="1">
        <f t="array" ref="R197">MIN(IF((DiscreteStatsTable[GroupByKey]=DiscreteStatsTable[[#This Row],[GroupByKey]]),(DiscreteStatsTable[GroupByKey]=DiscreteStatsTable[[#This Row],[GroupByKey]])*DiscreteStatsTable[Average]))</f>
        <v>0</v>
      </c>
      <c r="S197" s="5" cm="1">
        <f t="array" ref="S197">MAX(IF((DiscreteStatsTable[GroupByKey]=DiscreteStatsTable[[#This Row],[GroupByKey]]),(DiscreteStatsTable[GroupByKey]=DiscreteStatsTable[[#This Row],[GroupByKey]])*DiscreteStatsTable[Average]))</f>
        <v>0</v>
      </c>
      <c r="T197" s="5" cm="1">
        <f t="array" ref="T197">MIN(IF((DiscreteStatsTable[GroupByKey]=DiscreteStatsTable[[#This Row],[GroupByKey]]),(DiscreteStatsTable[GroupByKey]=DiscreteStatsTable[[#This Row],[GroupByKey]])*DiscreteStatsTable[Minimum]))</f>
        <v>0</v>
      </c>
      <c r="U197" s="5" cm="1">
        <f t="array" ref="U197">MAX(IF((DiscreteStatsTable[GroupByKey]=DiscreteStatsTable[[#This Row],[GroupByKey]]),(DiscreteStatsTable[GroupByKey]=DiscreteStatsTable[[#This Row],[GroupByKey]])*DiscreteStatsTable[Maximum]))</f>
        <v>0</v>
      </c>
      <c r="V197" s="5" cm="1">
        <f t="array" ref="V197">IFERROR(AVERAGE(IF((DiscreteStatsTable[GroupByKey]=DiscreteStatsTable[[#This Row],[GroupByKey]]),(DiscreteStatsTable[GroupByKey]=DiscreteStatsTable[[#This Row],[GroupByKey]])*DiscreteStatsTable[NumberObservations])),0)</f>
        <v>3.62</v>
      </c>
      <c r="W197" s="5">
        <f>IF((DiscreteStatsTable[[#This Row],[RepsRequested]]&gt;1),DiscreteStatsTable[[#This Row],[HalfWidth]],DiscreteStatsTable[[#This Row],[BatchMeansHalfWidth]])</f>
        <v>0</v>
      </c>
      <c r="X197" s="5" cm="1">
        <f t="array" ref="X197">COUNT(IF((DiscreteStatsTable[GroupByKey]=DiscreteStatsTable[[#This Row],[GroupByKey]]),(DiscreteStatsTable[GroupByKey]=DiscreteStatsTable[[#This Row],[GroupByKey]])*DiscreteStatsTable[Replication]))</f>
        <v>50</v>
      </c>
      <c r="Y197" s="5">
        <f>IF(DiscreteStatsTable[[#This Row],[RepsRequested]]=DiscreteStatsTable[[#This Row],[RepsWithStatObserved]],1,0)</f>
        <v>1</v>
      </c>
    </row>
    <row r="198" spans="1:25" x14ac:dyDescent="0.35">
      <c r="A198" t="s">
        <v>66</v>
      </c>
      <c r="B198" t="s">
        <v>69</v>
      </c>
      <c r="C198">
        <v>33</v>
      </c>
      <c r="D198" t="s">
        <v>70</v>
      </c>
      <c r="E198" t="s">
        <v>76</v>
      </c>
      <c r="F198" t="s">
        <v>72</v>
      </c>
      <c r="G198">
        <v>1.9826563251809799</v>
      </c>
      <c r="H198">
        <v>2E+20</v>
      </c>
      <c r="I198">
        <v>0.88846669541249801</v>
      </c>
      <c r="J198">
        <v>2.5553727616154802</v>
      </c>
      <c r="K198">
        <v>5</v>
      </c>
      <c r="L198" s="5" t="str">
        <f>DiscreteStatsTable[[#This Row],[ProjectName]]&amp;DiscreteStatsTable[[#This Row],[Name]]&amp;DiscreteStatsTable[[#This Row],[Type]]&amp;DiscreteStatsTable[[#This Row],[Source]]</f>
        <v>Unnamed ProjectArquivosVA TimeEntity</v>
      </c>
      <c r="M198" s="5" cm="1">
        <f t="array" ref="M198">MAX(IF((ProjectInfoTable[ProjectName]=DiscreteStatsTable[[#This Row],[ProjectName]]),(ProjectInfoTable[ProjectName]=DiscreteStatsTable[[#This Row],[ProjectName]])*ProjectInfoTable[NumberOfReplications]))</f>
        <v>50</v>
      </c>
      <c r="N198" s="5" cm="1">
        <f t="array" ref="N198">IFERROR(AVERAGE(IF((DiscreteStatsTable[GroupByKey]=DiscreteStatsTable[[#This Row],[GroupByKey]]),(DiscreteStatsTable[GroupByKey]=DiscreteStatsTable[[#This Row],[GroupByKey]])*DiscreteStatsTable[Average])),0)</f>
        <v>2.3123810058270009</v>
      </c>
      <c r="O198" s="5" cm="1">
        <f t="array" ref="O198">IFERROR(_xlfn.STDEV.S(IF((DiscreteStatsTable[GroupByKey]=DiscreteStatsTable[[#This Row],[GroupByKey]]),(DiscreteStatsTable[GroupByKey]=DiscreteStatsTable[[#This Row],[GroupByKey]])*DiscreteStatsTable[Average])),0)</f>
        <v>0.47735516285795621</v>
      </c>
      <c r="P198" s="5" cm="1">
        <f t="array" ref="P198">MAX(IF((ProjectInfoTable[ProjectName]=DiscreteStatsTable[[#This Row],[ProjectName]]),(ProjectInfoTable[ProjectName]=DiscreteStatsTable[[#This Row],[ProjectName]])*ProjectInfoTable[ConfidenceInterval]))</f>
        <v>0.95</v>
      </c>
      <c r="Q198" s="5">
        <f>IF(AND(DiscreteStatsTable[[#This Row],[RepsWithStatObserved]]=1,Y198=0),200000000000000000000,IFERROR(_xlfn.T.INV.2T(1 -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0.13566283623888314</v>
      </c>
      <c r="R198" s="5" cm="1">
        <f t="array" ref="R198">MIN(IF((DiscreteStatsTable[GroupByKey]=DiscreteStatsTable[[#This Row],[GroupByKey]]),(DiscreteStatsTable[GroupByKey]=DiscreteStatsTable[[#This Row],[GroupByKey]])*DiscreteStatsTable[Average]))</f>
        <v>1.3773415743205399</v>
      </c>
      <c r="S198" s="5" cm="1">
        <f t="array" ref="S198">MAX(IF((DiscreteStatsTable[GroupByKey]=DiscreteStatsTable[[#This Row],[GroupByKey]]),(DiscreteStatsTable[GroupByKey]=DiscreteStatsTable[[#This Row],[GroupByKey]])*DiscreteStatsTable[Average]))</f>
        <v>3.3139161730180202</v>
      </c>
      <c r="T198" s="5" cm="1">
        <f t="array" ref="T198">MIN(IF((DiscreteStatsTable[GroupByKey]=DiscreteStatsTable[[#This Row],[GroupByKey]]),(DiscreteStatsTable[GroupByKey]=DiscreteStatsTable[[#This Row],[GroupByKey]])*DiscreteStatsTable[Minimum]))</f>
        <v>0.58847912081681497</v>
      </c>
      <c r="U198" s="5" cm="1">
        <f t="array" ref="U198">MAX(IF((DiscreteStatsTable[GroupByKey]=DiscreteStatsTable[[#This Row],[GroupByKey]]),(DiscreteStatsTable[GroupByKey]=DiscreteStatsTable[[#This Row],[GroupByKey]])*DiscreteStatsTable[Maximum]))</f>
        <v>4.9756405925629998</v>
      </c>
      <c r="V198" s="5" cm="1">
        <f t="array" ref="V198">IFERROR(AVERAGE(IF((DiscreteStatsTable[GroupByKey]=DiscreteStatsTable[[#This Row],[GroupByKey]]),(DiscreteStatsTable[GroupByKey]=DiscreteStatsTable[[#This Row],[GroupByKey]])*DiscreteStatsTable[NumberObservations])),0)</f>
        <v>3.62</v>
      </c>
      <c r="W198" s="5">
        <f>IF((DiscreteStatsTable[[#This Row],[RepsRequested]]&gt;1),DiscreteStatsTable[[#This Row],[HalfWidth]],DiscreteStatsTable[[#This Row],[BatchMeansHalfWidth]])</f>
        <v>0.13566283623888314</v>
      </c>
      <c r="X198" s="5" cm="1">
        <f t="array" ref="X198">COUNT(IF((DiscreteStatsTable[GroupByKey]=DiscreteStatsTable[[#This Row],[GroupByKey]]),(DiscreteStatsTable[GroupByKey]=DiscreteStatsTable[[#This Row],[GroupByKey]])*DiscreteStatsTable[Replication]))</f>
        <v>50</v>
      </c>
      <c r="Y198" s="5">
        <f>IF(DiscreteStatsTable[[#This Row],[RepsRequested]]=DiscreteStatsTable[[#This Row],[RepsWithStatObserved]],1,0)</f>
        <v>1</v>
      </c>
    </row>
    <row r="199" spans="1:25" x14ac:dyDescent="0.35">
      <c r="A199" t="s">
        <v>66</v>
      </c>
      <c r="B199" t="s">
        <v>69</v>
      </c>
      <c r="C199">
        <v>33</v>
      </c>
      <c r="D199" t="s">
        <v>70</v>
      </c>
      <c r="E199" t="s">
        <v>77</v>
      </c>
      <c r="F199" t="s">
        <v>72</v>
      </c>
      <c r="G199">
        <v>2.7749230773060201</v>
      </c>
      <c r="H199">
        <v>2E+20</v>
      </c>
      <c r="I199">
        <v>0</v>
      </c>
      <c r="J199">
        <v>4.8475137564714501</v>
      </c>
      <c r="K199">
        <v>5</v>
      </c>
      <c r="L199" s="5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199" s="5" cm="1">
        <f t="array" ref="M199">MAX(IF((ProjectInfoTable[ProjectName]=DiscreteStatsTable[[#This Row],[ProjectName]]),(ProjectInfoTable[ProjectName]=DiscreteStatsTable[[#This Row],[ProjectName]])*ProjectInfoTable[NumberOfReplications]))</f>
        <v>50</v>
      </c>
      <c r="N199" s="5" cm="1">
        <f t="array" ref="N199">IFERROR(AVERAGE(IF((DiscreteStatsTable[GroupByKey]=DiscreteStatsTable[[#This Row],[GroupByKey]]),(DiscreteStatsTable[GroupByKey]=DiscreteStatsTable[[#This Row],[GroupByKey]])*DiscreteStatsTable[Average])),0)</f>
        <v>1.2240084441262762</v>
      </c>
      <c r="O199" s="5" cm="1">
        <f t="array" ref="O199">IFERROR(_xlfn.STDEV.S(IF((DiscreteStatsTable[GroupByKey]=DiscreteStatsTable[[#This Row],[GroupByKey]]),(DiscreteStatsTable[GroupByKey]=DiscreteStatsTable[[#This Row],[GroupByKey]])*DiscreteStatsTable[Average])),0)</f>
        <v>0.89867905452837749</v>
      </c>
      <c r="P199" s="5" cm="1">
        <f t="array" ref="P199">MAX(IF((ProjectInfoTable[ProjectName]=DiscreteStatsTable[[#This Row],[ProjectName]]),(ProjectInfoTable[ProjectName]=DiscreteStatsTable[[#This Row],[ProjectName]])*ProjectInfoTable[ConfidenceInterval]))</f>
        <v>0.95</v>
      </c>
      <c r="Q199" s="5">
        <f>IF(AND(DiscreteStatsTable[[#This Row],[RepsWithStatObserved]]=1,Y199=0),200000000000000000000,IFERROR(_xlfn.T.INV.2T(1 -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0.2554017613968404</v>
      </c>
      <c r="R199" s="5" cm="1">
        <f t="array" ref="R199">MIN(IF((DiscreteStatsTable[GroupByKey]=DiscreteStatsTable[[#This Row],[GroupByKey]]),(DiscreteStatsTable[GroupByKey]=DiscreteStatsTable[[#This Row],[GroupByKey]])*DiscreteStatsTable[Average]))</f>
        <v>0</v>
      </c>
      <c r="S199" s="5" cm="1">
        <f t="array" ref="S199">MAX(IF((DiscreteStatsTable[GroupByKey]=DiscreteStatsTable[[#This Row],[GroupByKey]]),(DiscreteStatsTable[GroupByKey]=DiscreteStatsTable[[#This Row],[GroupByKey]])*DiscreteStatsTable[Average]))</f>
        <v>3.4345522286517598</v>
      </c>
      <c r="T199" s="5" cm="1">
        <f t="array" ref="T199">MIN(IF((DiscreteStatsTable[GroupByKey]=DiscreteStatsTable[[#This Row],[GroupByKey]]),(DiscreteStatsTable[GroupByKey]=DiscreteStatsTable[[#This Row],[GroupByKey]])*DiscreteStatsTable[Minimum]))</f>
        <v>0</v>
      </c>
      <c r="U199" s="5" cm="1">
        <f t="array" ref="U199">MAX(IF((DiscreteStatsTable[GroupByKey]=DiscreteStatsTable[[#This Row],[GroupByKey]]),(DiscreteStatsTable[GroupByKey]=DiscreteStatsTable[[#This Row],[GroupByKey]])*DiscreteStatsTable[Maximum]))</f>
        <v>6.7563093676697896</v>
      </c>
      <c r="V199" s="5" cm="1">
        <f t="array" ref="V199">IFERROR(AVERAGE(IF((DiscreteStatsTable[GroupByKey]=DiscreteStatsTable[[#This Row],[GroupByKey]]),(DiscreteStatsTable[GroupByKey]=DiscreteStatsTable[[#This Row],[GroupByKey]])*DiscreteStatsTable[NumberObservations])),0)</f>
        <v>3.62</v>
      </c>
      <c r="W199" s="5">
        <f>IF((DiscreteStatsTable[[#This Row],[RepsRequested]]&gt;1),DiscreteStatsTable[[#This Row],[HalfWidth]],DiscreteStatsTable[[#This Row],[BatchMeansHalfWidth]])</f>
        <v>0.2554017613968404</v>
      </c>
      <c r="X199" s="5" cm="1">
        <f t="array" ref="X199">COUNT(IF((DiscreteStatsTable[GroupByKey]=DiscreteStatsTable[[#This Row],[GroupByKey]]),(DiscreteStatsTable[GroupByKey]=DiscreteStatsTable[[#This Row],[GroupByKey]])*DiscreteStatsTable[Replication]))</f>
        <v>50</v>
      </c>
      <c r="Y199" s="5">
        <f>IF(DiscreteStatsTable[[#This Row],[RepsRequested]]=DiscreteStatsTable[[#This Row],[RepsWithStatObserved]],1,0)</f>
        <v>1</v>
      </c>
    </row>
    <row r="200" spans="1:25" x14ac:dyDescent="0.35">
      <c r="A200" t="s">
        <v>66</v>
      </c>
      <c r="B200" t="s">
        <v>69</v>
      </c>
      <c r="C200">
        <v>34</v>
      </c>
      <c r="D200" t="s">
        <v>70</v>
      </c>
      <c r="E200" t="s">
        <v>71</v>
      </c>
      <c r="F200" t="s">
        <v>72</v>
      </c>
      <c r="G200">
        <v>0</v>
      </c>
      <c r="H200">
        <v>2E+20</v>
      </c>
      <c r="I200">
        <v>0</v>
      </c>
      <c r="J200">
        <v>0</v>
      </c>
      <c r="K200">
        <v>5</v>
      </c>
      <c r="L200" s="5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200" s="5" cm="1">
        <f t="array" ref="M200">MAX(IF((ProjectInfoTable[ProjectName]=DiscreteStatsTable[[#This Row],[ProjectName]]),(ProjectInfoTable[ProjectName]=DiscreteStatsTable[[#This Row],[ProjectName]])*ProjectInfoTable[NumberOfReplications]))</f>
        <v>50</v>
      </c>
      <c r="N200" s="5" cm="1">
        <f t="array" ref="N200">IFERROR(AVERAGE(IF((DiscreteStatsTable[GroupByKey]=DiscreteStatsTable[[#This Row],[GroupByKey]]),(DiscreteStatsTable[GroupByKey]=DiscreteStatsTable[[#This Row],[GroupByKey]])*DiscreteStatsTable[Average])),0)</f>
        <v>0</v>
      </c>
      <c r="O200" s="5" cm="1">
        <f t="array" ref="O200">IFERROR(_xlfn.STDEV.S(IF((DiscreteStatsTable[GroupByKey]=DiscreteStatsTable[[#This Row],[GroupByKey]]),(DiscreteStatsTable[GroupByKey]=DiscreteStatsTable[[#This Row],[GroupByKey]])*DiscreteStatsTable[Average])),0)</f>
        <v>0</v>
      </c>
      <c r="P200" s="5" cm="1">
        <f t="array" ref="P200">MAX(IF((ProjectInfoTable[ProjectName]=DiscreteStatsTable[[#This Row],[ProjectName]]),(ProjectInfoTable[ProjectName]=DiscreteStatsTable[[#This Row],[ProjectName]])*ProjectInfoTable[ConfidenceInterval]))</f>
        <v>0.95</v>
      </c>
      <c r="Q200" s="5">
        <f>IF(AND(DiscreteStatsTable[[#This Row],[RepsWithStatObserved]]=1,Y200=0),200000000000000000000,IFERROR(_xlfn.T.INV.2T(1 -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0" s="5" cm="1">
        <f t="array" ref="R200">MIN(IF((DiscreteStatsTable[GroupByKey]=DiscreteStatsTable[[#This Row],[GroupByKey]]),(DiscreteStatsTable[GroupByKey]=DiscreteStatsTable[[#This Row],[GroupByKey]])*DiscreteStatsTable[Average]))</f>
        <v>0</v>
      </c>
      <c r="S200" s="5" cm="1">
        <f t="array" ref="S200">MAX(IF((DiscreteStatsTable[GroupByKey]=DiscreteStatsTable[[#This Row],[GroupByKey]]),(DiscreteStatsTable[GroupByKey]=DiscreteStatsTable[[#This Row],[GroupByKey]])*DiscreteStatsTable[Average]))</f>
        <v>0</v>
      </c>
      <c r="T200" s="5" cm="1">
        <f t="array" ref="T200">MIN(IF((DiscreteStatsTable[GroupByKey]=DiscreteStatsTable[[#This Row],[GroupByKey]]),(DiscreteStatsTable[GroupByKey]=DiscreteStatsTable[[#This Row],[GroupByKey]])*DiscreteStatsTable[Minimum]))</f>
        <v>0</v>
      </c>
      <c r="U200" s="5" cm="1">
        <f t="array" ref="U200">MAX(IF((DiscreteStatsTable[GroupByKey]=DiscreteStatsTable[[#This Row],[GroupByKey]]),(DiscreteStatsTable[GroupByKey]=DiscreteStatsTable[[#This Row],[GroupByKey]])*DiscreteStatsTable[Maximum]))</f>
        <v>0</v>
      </c>
      <c r="V200" s="5" cm="1">
        <f t="array" ref="V200">IFERROR(AVERAGE(IF((DiscreteStatsTable[GroupByKey]=DiscreteStatsTable[[#This Row],[GroupByKey]]),(DiscreteStatsTable[GroupByKey]=DiscreteStatsTable[[#This Row],[GroupByKey]])*DiscreteStatsTable[NumberObservations])),0)</f>
        <v>3.62</v>
      </c>
      <c r="W200" s="5">
        <f>IF((DiscreteStatsTable[[#This Row],[RepsRequested]]&gt;1),DiscreteStatsTable[[#This Row],[HalfWidth]],DiscreteStatsTable[[#This Row],[BatchMeansHalfWidth]])</f>
        <v>0</v>
      </c>
      <c r="X200" s="5" cm="1">
        <f t="array" ref="X200">COUNT(IF((DiscreteStatsTable[GroupByKey]=DiscreteStatsTable[[#This Row],[GroupByKey]]),(DiscreteStatsTable[GroupByKey]=DiscreteStatsTable[[#This Row],[GroupByKey]])*DiscreteStatsTable[Replication]))</f>
        <v>50</v>
      </c>
      <c r="Y200" s="5">
        <f>IF(DiscreteStatsTable[[#This Row],[RepsRequested]]=DiscreteStatsTable[[#This Row],[RepsWithStatObserved]],1,0)</f>
        <v>1</v>
      </c>
    </row>
    <row r="201" spans="1:25" x14ac:dyDescent="0.35">
      <c r="A201" t="s">
        <v>66</v>
      </c>
      <c r="B201" t="s">
        <v>69</v>
      </c>
      <c r="C201">
        <v>34</v>
      </c>
      <c r="D201" t="s">
        <v>70</v>
      </c>
      <c r="E201" t="s">
        <v>73</v>
      </c>
      <c r="F201" t="s">
        <v>72</v>
      </c>
      <c r="G201">
        <v>0</v>
      </c>
      <c r="H201">
        <v>2E+20</v>
      </c>
      <c r="I201">
        <v>0</v>
      </c>
      <c r="J201">
        <v>0</v>
      </c>
      <c r="K201">
        <v>5</v>
      </c>
      <c r="L201" s="5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201" s="5" cm="1">
        <f t="array" ref="M201">MAX(IF((ProjectInfoTable[ProjectName]=DiscreteStatsTable[[#This Row],[ProjectName]]),(ProjectInfoTable[ProjectName]=DiscreteStatsTable[[#This Row],[ProjectName]])*ProjectInfoTable[NumberOfReplications]))</f>
        <v>50</v>
      </c>
      <c r="N201" s="5" cm="1">
        <f t="array" ref="N201">IFERROR(AVERAGE(IF((DiscreteStatsTable[GroupByKey]=DiscreteStatsTable[[#This Row],[GroupByKey]]),(DiscreteStatsTable[GroupByKey]=DiscreteStatsTable[[#This Row],[GroupByKey]])*DiscreteStatsTable[Average])),0)</f>
        <v>0</v>
      </c>
      <c r="O201" s="5" cm="1">
        <f t="array" ref="O201">IFERROR(_xlfn.STDEV.S(IF((DiscreteStatsTable[GroupByKey]=DiscreteStatsTable[[#This Row],[GroupByKey]]),(DiscreteStatsTable[GroupByKey]=DiscreteStatsTable[[#This Row],[GroupByKey]])*DiscreteStatsTable[Average])),0)</f>
        <v>0</v>
      </c>
      <c r="P201" s="5" cm="1">
        <f t="array" ref="P201">MAX(IF((ProjectInfoTable[ProjectName]=DiscreteStatsTable[[#This Row],[ProjectName]]),(ProjectInfoTable[ProjectName]=DiscreteStatsTable[[#This Row],[ProjectName]])*ProjectInfoTable[ConfidenceInterval]))</f>
        <v>0.95</v>
      </c>
      <c r="Q201" s="5">
        <f>IF(AND(DiscreteStatsTable[[#This Row],[RepsWithStatObserved]]=1,Y201=0),200000000000000000000,IFERROR(_xlfn.T.INV.2T(1 -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1" s="5" cm="1">
        <f t="array" ref="R201">MIN(IF((DiscreteStatsTable[GroupByKey]=DiscreteStatsTable[[#This Row],[GroupByKey]]),(DiscreteStatsTable[GroupByKey]=DiscreteStatsTable[[#This Row],[GroupByKey]])*DiscreteStatsTable[Average]))</f>
        <v>0</v>
      </c>
      <c r="S201" s="5" cm="1">
        <f t="array" ref="S201">MAX(IF((DiscreteStatsTable[GroupByKey]=DiscreteStatsTable[[#This Row],[GroupByKey]]),(DiscreteStatsTable[GroupByKey]=DiscreteStatsTable[[#This Row],[GroupByKey]])*DiscreteStatsTable[Average]))</f>
        <v>0</v>
      </c>
      <c r="T201" s="5" cm="1">
        <f t="array" ref="T201">MIN(IF((DiscreteStatsTable[GroupByKey]=DiscreteStatsTable[[#This Row],[GroupByKey]]),(DiscreteStatsTable[GroupByKey]=DiscreteStatsTable[[#This Row],[GroupByKey]])*DiscreteStatsTable[Minimum]))</f>
        <v>0</v>
      </c>
      <c r="U201" s="5" cm="1">
        <f t="array" ref="U201">MAX(IF((DiscreteStatsTable[GroupByKey]=DiscreteStatsTable[[#This Row],[GroupByKey]]),(DiscreteStatsTable[GroupByKey]=DiscreteStatsTable[[#This Row],[GroupByKey]])*DiscreteStatsTable[Maximum]))</f>
        <v>0</v>
      </c>
      <c r="V201" s="5" cm="1">
        <f t="array" ref="V201">IFERROR(AVERAGE(IF((DiscreteStatsTable[GroupByKey]=DiscreteStatsTable[[#This Row],[GroupByKey]]),(DiscreteStatsTable[GroupByKey]=DiscreteStatsTable[[#This Row],[GroupByKey]])*DiscreteStatsTable[NumberObservations])),0)</f>
        <v>3.62</v>
      </c>
      <c r="W201" s="5">
        <f>IF((DiscreteStatsTable[[#This Row],[RepsRequested]]&gt;1),DiscreteStatsTable[[#This Row],[HalfWidth]],DiscreteStatsTable[[#This Row],[BatchMeansHalfWidth]])</f>
        <v>0</v>
      </c>
      <c r="X201" s="5" cm="1">
        <f t="array" ref="X201">COUNT(IF((DiscreteStatsTable[GroupByKey]=DiscreteStatsTable[[#This Row],[GroupByKey]]),(DiscreteStatsTable[GroupByKey]=DiscreteStatsTable[[#This Row],[GroupByKey]])*DiscreteStatsTable[Replication]))</f>
        <v>50</v>
      </c>
      <c r="Y201" s="5">
        <f>IF(DiscreteStatsTable[[#This Row],[RepsRequested]]=DiscreteStatsTable[[#This Row],[RepsWithStatObserved]],1,0)</f>
        <v>1</v>
      </c>
    </row>
    <row r="202" spans="1:25" x14ac:dyDescent="0.35">
      <c r="A202" t="s">
        <v>66</v>
      </c>
      <c r="B202" t="s">
        <v>69</v>
      </c>
      <c r="C202">
        <v>34</v>
      </c>
      <c r="D202" t="s">
        <v>70</v>
      </c>
      <c r="E202" t="s">
        <v>74</v>
      </c>
      <c r="F202" t="s">
        <v>72</v>
      </c>
      <c r="G202">
        <v>3.8481187546254501</v>
      </c>
      <c r="H202">
        <v>2E+20</v>
      </c>
      <c r="I202">
        <v>1.0020187737398301</v>
      </c>
      <c r="J202">
        <v>6.7069089882939199</v>
      </c>
      <c r="K202">
        <v>5</v>
      </c>
      <c r="L202" s="5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202" s="5" cm="1">
        <f t="array" ref="M202">MAX(IF((ProjectInfoTable[ProjectName]=DiscreteStatsTable[[#This Row],[ProjectName]]),(ProjectInfoTable[ProjectName]=DiscreteStatsTable[[#This Row],[ProjectName]])*ProjectInfoTable[NumberOfReplications]))</f>
        <v>50</v>
      </c>
      <c r="N202" s="5" cm="1">
        <f t="array" ref="N202">IFERROR(AVERAGE(IF((DiscreteStatsTable[GroupByKey]=DiscreteStatsTable[[#This Row],[GroupByKey]]),(DiscreteStatsTable[GroupByKey]=DiscreteStatsTable[[#This Row],[GroupByKey]])*DiscreteStatsTable[Average])),0)</f>
        <v>3.5363894499532775</v>
      </c>
      <c r="O202" s="5" cm="1">
        <f t="array" ref="O202">IFERROR(_xlfn.STDEV.S(IF((DiscreteStatsTable[GroupByKey]=DiscreteStatsTable[[#This Row],[GroupByKey]]),(DiscreteStatsTable[GroupByKey]=DiscreteStatsTable[[#This Row],[GroupByKey]])*DiscreteStatsTable[Average])),0)</f>
        <v>1.1766434570133149</v>
      </c>
      <c r="P202" s="5" cm="1">
        <f t="array" ref="P202">MAX(IF((ProjectInfoTable[ProjectName]=DiscreteStatsTable[[#This Row],[ProjectName]]),(ProjectInfoTable[ProjectName]=DiscreteStatsTable[[#This Row],[ProjectName]])*ProjectInfoTable[ConfidenceInterval]))</f>
        <v>0.95</v>
      </c>
      <c r="Q202" s="5">
        <f>IF(AND(DiscreteStatsTable[[#This Row],[RepsWithStatObserved]]=1,Y202=0),200000000000000000000,IFERROR(_xlfn.T.INV.2T(1 -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0.33439837052280896</v>
      </c>
      <c r="R202" s="5" cm="1">
        <f t="array" ref="R202">MIN(IF((DiscreteStatsTable[GroupByKey]=DiscreteStatsTable[[#This Row],[GroupByKey]]),(DiscreteStatsTable[GroupByKey]=DiscreteStatsTable[[#This Row],[GroupByKey]])*DiscreteStatsTable[Average]))</f>
        <v>1.6342264652107701</v>
      </c>
      <c r="S202" s="5" cm="1">
        <f t="array" ref="S202">MAX(IF((DiscreteStatsTable[GroupByKey]=DiscreteStatsTable[[#This Row],[GroupByKey]]),(DiscreteStatsTable[GroupByKey]=DiscreteStatsTable[[#This Row],[GroupByKey]])*DiscreteStatsTable[Average]))</f>
        <v>6.5527373550837904</v>
      </c>
      <c r="T202" s="5" cm="1">
        <f t="array" ref="T202">MIN(IF((DiscreteStatsTable[GroupByKey]=DiscreteStatsTable[[#This Row],[GroupByKey]]),(DiscreteStatsTable[GroupByKey]=DiscreteStatsTable[[#This Row],[GroupByKey]])*DiscreteStatsTable[Minimum]))</f>
        <v>0.58847912081681497</v>
      </c>
      <c r="U202" s="5" cm="1">
        <f t="array" ref="U202">MAX(IF((DiscreteStatsTable[GroupByKey]=DiscreteStatsTable[[#This Row],[GroupByKey]]),(DiscreteStatsTable[GroupByKey]=DiscreteStatsTable[[#This Row],[GroupByKey]])*DiscreteStatsTable[Maximum]))</f>
        <v>8.7476494546828292</v>
      </c>
      <c r="V202" s="5" cm="1">
        <f t="array" ref="V202">IFERROR(AVERAGE(IF((DiscreteStatsTable[GroupByKey]=DiscreteStatsTable[[#This Row],[GroupByKey]]),(DiscreteStatsTable[GroupByKey]=DiscreteStatsTable[[#This Row],[GroupByKey]])*DiscreteStatsTable[NumberObservations])),0)</f>
        <v>3.62</v>
      </c>
      <c r="W202" s="5">
        <f>IF((DiscreteStatsTable[[#This Row],[RepsRequested]]&gt;1),DiscreteStatsTable[[#This Row],[HalfWidth]],DiscreteStatsTable[[#This Row],[BatchMeansHalfWidth]])</f>
        <v>0.33439837052280896</v>
      </c>
      <c r="X202" s="5" cm="1">
        <f t="array" ref="X202">COUNT(IF((DiscreteStatsTable[GroupByKey]=DiscreteStatsTable[[#This Row],[GroupByKey]]),(DiscreteStatsTable[GroupByKey]=DiscreteStatsTable[[#This Row],[GroupByKey]])*DiscreteStatsTable[Replication]))</f>
        <v>50</v>
      </c>
      <c r="Y202" s="5">
        <f>IF(DiscreteStatsTable[[#This Row],[RepsRequested]]=DiscreteStatsTable[[#This Row],[RepsWithStatObserved]],1,0)</f>
        <v>1</v>
      </c>
    </row>
    <row r="203" spans="1:25" x14ac:dyDescent="0.35">
      <c r="A203" t="s">
        <v>66</v>
      </c>
      <c r="B203" t="s">
        <v>69</v>
      </c>
      <c r="C203">
        <v>34</v>
      </c>
      <c r="D203" t="s">
        <v>70</v>
      </c>
      <c r="E203" t="s">
        <v>75</v>
      </c>
      <c r="F203" t="s">
        <v>72</v>
      </c>
      <c r="G203">
        <v>0</v>
      </c>
      <c r="H203">
        <v>2E+20</v>
      </c>
      <c r="I203">
        <v>0</v>
      </c>
      <c r="J203">
        <v>0</v>
      </c>
      <c r="K203">
        <v>5</v>
      </c>
      <c r="L203" s="5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203" s="5" cm="1">
        <f t="array" ref="M203">MAX(IF((ProjectInfoTable[ProjectName]=DiscreteStatsTable[[#This Row],[ProjectName]]),(ProjectInfoTable[ProjectName]=DiscreteStatsTable[[#This Row],[ProjectName]])*ProjectInfoTable[NumberOfReplications]))</f>
        <v>50</v>
      </c>
      <c r="N203" s="5" cm="1">
        <f t="array" ref="N203">IFERROR(AVERAGE(IF((DiscreteStatsTable[GroupByKey]=DiscreteStatsTable[[#This Row],[GroupByKey]]),(DiscreteStatsTable[GroupByKey]=DiscreteStatsTable[[#This Row],[GroupByKey]])*DiscreteStatsTable[Average])),0)</f>
        <v>0</v>
      </c>
      <c r="O203" s="5" cm="1">
        <f t="array" ref="O203">IFERROR(_xlfn.STDEV.S(IF((DiscreteStatsTable[GroupByKey]=DiscreteStatsTable[[#This Row],[GroupByKey]]),(DiscreteStatsTable[GroupByKey]=DiscreteStatsTable[[#This Row],[GroupByKey]])*DiscreteStatsTable[Average])),0)</f>
        <v>0</v>
      </c>
      <c r="P203" s="5" cm="1">
        <f t="array" ref="P203">MAX(IF((ProjectInfoTable[ProjectName]=DiscreteStatsTable[[#This Row],[ProjectName]]),(ProjectInfoTable[ProjectName]=DiscreteStatsTable[[#This Row],[ProjectName]])*ProjectInfoTable[ConfidenceInterval]))</f>
        <v>0.95</v>
      </c>
      <c r="Q203" s="5">
        <f>IF(AND(DiscreteStatsTable[[#This Row],[RepsWithStatObserved]]=1,Y203=0),200000000000000000000,IFERROR(_xlfn.T.INV.2T(1 -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3" s="5" cm="1">
        <f t="array" ref="R203">MIN(IF((DiscreteStatsTable[GroupByKey]=DiscreteStatsTable[[#This Row],[GroupByKey]]),(DiscreteStatsTable[GroupByKey]=DiscreteStatsTable[[#This Row],[GroupByKey]])*DiscreteStatsTable[Average]))</f>
        <v>0</v>
      </c>
      <c r="S203" s="5" cm="1">
        <f t="array" ref="S203">MAX(IF((DiscreteStatsTable[GroupByKey]=DiscreteStatsTable[[#This Row],[GroupByKey]]),(DiscreteStatsTable[GroupByKey]=DiscreteStatsTable[[#This Row],[GroupByKey]])*DiscreteStatsTable[Average]))</f>
        <v>0</v>
      </c>
      <c r="T203" s="5" cm="1">
        <f t="array" ref="T203">MIN(IF((DiscreteStatsTable[GroupByKey]=DiscreteStatsTable[[#This Row],[GroupByKey]]),(DiscreteStatsTable[GroupByKey]=DiscreteStatsTable[[#This Row],[GroupByKey]])*DiscreteStatsTable[Minimum]))</f>
        <v>0</v>
      </c>
      <c r="U203" s="5" cm="1">
        <f t="array" ref="U203">MAX(IF((DiscreteStatsTable[GroupByKey]=DiscreteStatsTable[[#This Row],[GroupByKey]]),(DiscreteStatsTable[GroupByKey]=DiscreteStatsTable[[#This Row],[GroupByKey]])*DiscreteStatsTable[Maximum]))</f>
        <v>0</v>
      </c>
      <c r="V203" s="5" cm="1">
        <f t="array" ref="V203">IFERROR(AVERAGE(IF((DiscreteStatsTable[GroupByKey]=DiscreteStatsTable[[#This Row],[GroupByKey]]),(DiscreteStatsTable[GroupByKey]=DiscreteStatsTable[[#This Row],[GroupByKey]])*DiscreteStatsTable[NumberObservations])),0)</f>
        <v>3.62</v>
      </c>
      <c r="W203" s="5">
        <f>IF((DiscreteStatsTable[[#This Row],[RepsRequested]]&gt;1),DiscreteStatsTable[[#This Row],[HalfWidth]],DiscreteStatsTable[[#This Row],[BatchMeansHalfWidth]])</f>
        <v>0</v>
      </c>
      <c r="X203" s="5" cm="1">
        <f t="array" ref="X203">COUNT(IF((DiscreteStatsTable[GroupByKey]=DiscreteStatsTable[[#This Row],[GroupByKey]]),(DiscreteStatsTable[GroupByKey]=DiscreteStatsTable[[#This Row],[GroupByKey]])*DiscreteStatsTable[Replication]))</f>
        <v>50</v>
      </c>
      <c r="Y203" s="5">
        <f>IF(DiscreteStatsTable[[#This Row],[RepsRequested]]=DiscreteStatsTable[[#This Row],[RepsWithStatObserved]],1,0)</f>
        <v>1</v>
      </c>
    </row>
    <row r="204" spans="1:25" x14ac:dyDescent="0.35">
      <c r="A204" t="s">
        <v>66</v>
      </c>
      <c r="B204" t="s">
        <v>69</v>
      </c>
      <c r="C204">
        <v>34</v>
      </c>
      <c r="D204" t="s">
        <v>70</v>
      </c>
      <c r="E204" t="s">
        <v>76</v>
      </c>
      <c r="F204" t="s">
        <v>72</v>
      </c>
      <c r="G204">
        <v>1.97270222889249</v>
      </c>
      <c r="H204">
        <v>2E+20</v>
      </c>
      <c r="I204">
        <v>1.0020187737398301</v>
      </c>
      <c r="J204">
        <v>3.2041020584914501</v>
      </c>
      <c r="K204">
        <v>5</v>
      </c>
      <c r="L204" s="5" t="str">
        <f>DiscreteStatsTable[[#This Row],[ProjectName]]&amp;DiscreteStatsTable[[#This Row],[Name]]&amp;DiscreteStatsTable[[#This Row],[Type]]&amp;DiscreteStatsTable[[#This Row],[Source]]</f>
        <v>Unnamed ProjectArquivosVA TimeEntity</v>
      </c>
      <c r="M204" s="5" cm="1">
        <f t="array" ref="M204">MAX(IF((ProjectInfoTable[ProjectName]=DiscreteStatsTable[[#This Row],[ProjectName]]),(ProjectInfoTable[ProjectName]=DiscreteStatsTable[[#This Row],[ProjectName]])*ProjectInfoTable[NumberOfReplications]))</f>
        <v>50</v>
      </c>
      <c r="N204" s="5" cm="1">
        <f t="array" ref="N204">IFERROR(AVERAGE(IF((DiscreteStatsTable[GroupByKey]=DiscreteStatsTable[[#This Row],[GroupByKey]]),(DiscreteStatsTable[GroupByKey]=DiscreteStatsTable[[#This Row],[GroupByKey]])*DiscreteStatsTable[Average])),0)</f>
        <v>2.3123810058270009</v>
      </c>
      <c r="O204" s="5" cm="1">
        <f t="array" ref="O204">IFERROR(_xlfn.STDEV.S(IF((DiscreteStatsTable[GroupByKey]=DiscreteStatsTable[[#This Row],[GroupByKey]]),(DiscreteStatsTable[GroupByKey]=DiscreteStatsTable[[#This Row],[GroupByKey]])*DiscreteStatsTable[Average])),0)</f>
        <v>0.47735516285795621</v>
      </c>
      <c r="P204" s="5" cm="1">
        <f t="array" ref="P204">MAX(IF((ProjectInfoTable[ProjectName]=DiscreteStatsTable[[#This Row],[ProjectName]]),(ProjectInfoTable[ProjectName]=DiscreteStatsTable[[#This Row],[ProjectName]])*ProjectInfoTable[ConfidenceInterval]))</f>
        <v>0.95</v>
      </c>
      <c r="Q204" s="5">
        <f>IF(AND(DiscreteStatsTable[[#This Row],[RepsWithStatObserved]]=1,Y204=0),200000000000000000000,IFERROR(_xlfn.T.INV.2T(1 -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0.13566283623888314</v>
      </c>
      <c r="R204" s="5" cm="1">
        <f t="array" ref="R204">MIN(IF((DiscreteStatsTable[GroupByKey]=DiscreteStatsTable[[#This Row],[GroupByKey]]),(DiscreteStatsTable[GroupByKey]=DiscreteStatsTable[[#This Row],[GroupByKey]])*DiscreteStatsTable[Average]))</f>
        <v>1.3773415743205399</v>
      </c>
      <c r="S204" s="5" cm="1">
        <f t="array" ref="S204">MAX(IF((DiscreteStatsTable[GroupByKey]=DiscreteStatsTable[[#This Row],[GroupByKey]]),(DiscreteStatsTable[GroupByKey]=DiscreteStatsTable[[#This Row],[GroupByKey]])*DiscreteStatsTable[Average]))</f>
        <v>3.3139161730180202</v>
      </c>
      <c r="T204" s="5" cm="1">
        <f t="array" ref="T204">MIN(IF((DiscreteStatsTable[GroupByKey]=DiscreteStatsTable[[#This Row],[GroupByKey]]),(DiscreteStatsTable[GroupByKey]=DiscreteStatsTable[[#This Row],[GroupByKey]])*DiscreteStatsTable[Minimum]))</f>
        <v>0.58847912081681497</v>
      </c>
      <c r="U204" s="5" cm="1">
        <f t="array" ref="U204">MAX(IF((DiscreteStatsTable[GroupByKey]=DiscreteStatsTable[[#This Row],[GroupByKey]]),(DiscreteStatsTable[GroupByKey]=DiscreteStatsTable[[#This Row],[GroupByKey]])*DiscreteStatsTable[Maximum]))</f>
        <v>4.9756405925629998</v>
      </c>
      <c r="V204" s="5" cm="1">
        <f t="array" ref="V204">IFERROR(AVERAGE(IF((DiscreteStatsTable[GroupByKey]=DiscreteStatsTable[[#This Row],[GroupByKey]]),(DiscreteStatsTable[GroupByKey]=DiscreteStatsTable[[#This Row],[GroupByKey]])*DiscreteStatsTable[NumberObservations])),0)</f>
        <v>3.62</v>
      </c>
      <c r="W204" s="5">
        <f>IF((DiscreteStatsTable[[#This Row],[RepsRequested]]&gt;1),DiscreteStatsTable[[#This Row],[HalfWidth]],DiscreteStatsTable[[#This Row],[BatchMeansHalfWidth]])</f>
        <v>0.13566283623888314</v>
      </c>
      <c r="X204" s="5" cm="1">
        <f t="array" ref="X204">COUNT(IF((DiscreteStatsTable[GroupByKey]=DiscreteStatsTable[[#This Row],[GroupByKey]]),(DiscreteStatsTable[GroupByKey]=DiscreteStatsTable[[#This Row],[GroupByKey]])*DiscreteStatsTable[Replication]))</f>
        <v>50</v>
      </c>
      <c r="Y204" s="5">
        <f>IF(DiscreteStatsTable[[#This Row],[RepsRequested]]=DiscreteStatsTable[[#This Row],[RepsWithStatObserved]],1,0)</f>
        <v>1</v>
      </c>
    </row>
    <row r="205" spans="1:25" x14ac:dyDescent="0.35">
      <c r="A205" t="s">
        <v>66</v>
      </c>
      <c r="B205" t="s">
        <v>69</v>
      </c>
      <c r="C205">
        <v>34</v>
      </c>
      <c r="D205" t="s">
        <v>70</v>
      </c>
      <c r="E205" t="s">
        <v>77</v>
      </c>
      <c r="F205" t="s">
        <v>72</v>
      </c>
      <c r="G205">
        <v>1.87541652573297</v>
      </c>
      <c r="H205">
        <v>2E+20</v>
      </c>
      <c r="I205">
        <v>0</v>
      </c>
      <c r="J205">
        <v>3.5028069298024702</v>
      </c>
      <c r="K205">
        <v>5</v>
      </c>
      <c r="L205" s="5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205" s="5" cm="1">
        <f t="array" ref="M205">MAX(IF((ProjectInfoTable[ProjectName]=DiscreteStatsTable[[#This Row],[ProjectName]]),(ProjectInfoTable[ProjectName]=DiscreteStatsTable[[#This Row],[ProjectName]])*ProjectInfoTable[NumberOfReplications]))</f>
        <v>50</v>
      </c>
      <c r="N205" s="5" cm="1">
        <f t="array" ref="N205">IFERROR(AVERAGE(IF((DiscreteStatsTable[GroupByKey]=DiscreteStatsTable[[#This Row],[GroupByKey]]),(DiscreteStatsTable[GroupByKey]=DiscreteStatsTable[[#This Row],[GroupByKey]])*DiscreteStatsTable[Average])),0)</f>
        <v>1.2240084441262762</v>
      </c>
      <c r="O205" s="5" cm="1">
        <f t="array" ref="O205">IFERROR(_xlfn.STDEV.S(IF((DiscreteStatsTable[GroupByKey]=DiscreteStatsTable[[#This Row],[GroupByKey]]),(DiscreteStatsTable[GroupByKey]=DiscreteStatsTable[[#This Row],[GroupByKey]])*DiscreteStatsTable[Average])),0)</f>
        <v>0.89867905452837749</v>
      </c>
      <c r="P205" s="5" cm="1">
        <f t="array" ref="P205">MAX(IF((ProjectInfoTable[ProjectName]=DiscreteStatsTable[[#This Row],[ProjectName]]),(ProjectInfoTable[ProjectName]=DiscreteStatsTable[[#This Row],[ProjectName]])*ProjectInfoTable[ConfidenceInterval]))</f>
        <v>0.95</v>
      </c>
      <c r="Q205" s="5">
        <f>IF(AND(DiscreteStatsTable[[#This Row],[RepsWithStatObserved]]=1,Y205=0),200000000000000000000,IFERROR(_xlfn.T.INV.2T(1 -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0.2554017613968404</v>
      </c>
      <c r="R205" s="5" cm="1">
        <f t="array" ref="R205">MIN(IF((DiscreteStatsTable[GroupByKey]=DiscreteStatsTable[[#This Row],[GroupByKey]]),(DiscreteStatsTable[GroupByKey]=DiscreteStatsTable[[#This Row],[GroupByKey]])*DiscreteStatsTable[Average]))</f>
        <v>0</v>
      </c>
      <c r="S205" s="5" cm="1">
        <f t="array" ref="S205">MAX(IF((DiscreteStatsTable[GroupByKey]=DiscreteStatsTable[[#This Row],[GroupByKey]]),(DiscreteStatsTable[GroupByKey]=DiscreteStatsTable[[#This Row],[GroupByKey]])*DiscreteStatsTable[Average]))</f>
        <v>3.4345522286517598</v>
      </c>
      <c r="T205" s="5" cm="1">
        <f t="array" ref="T205">MIN(IF((DiscreteStatsTable[GroupByKey]=DiscreteStatsTable[[#This Row],[GroupByKey]]),(DiscreteStatsTable[GroupByKey]=DiscreteStatsTable[[#This Row],[GroupByKey]])*DiscreteStatsTable[Minimum]))</f>
        <v>0</v>
      </c>
      <c r="U205" s="5" cm="1">
        <f t="array" ref="U205">MAX(IF((DiscreteStatsTable[GroupByKey]=DiscreteStatsTable[[#This Row],[GroupByKey]]),(DiscreteStatsTable[GroupByKey]=DiscreteStatsTable[[#This Row],[GroupByKey]])*DiscreteStatsTable[Maximum]))</f>
        <v>6.7563093676697896</v>
      </c>
      <c r="V205" s="5" cm="1">
        <f t="array" ref="V205">IFERROR(AVERAGE(IF((DiscreteStatsTable[GroupByKey]=DiscreteStatsTable[[#This Row],[GroupByKey]]),(DiscreteStatsTable[GroupByKey]=DiscreteStatsTable[[#This Row],[GroupByKey]])*DiscreteStatsTable[NumberObservations])),0)</f>
        <v>3.62</v>
      </c>
      <c r="W205" s="5">
        <f>IF((DiscreteStatsTable[[#This Row],[RepsRequested]]&gt;1),DiscreteStatsTable[[#This Row],[HalfWidth]],DiscreteStatsTable[[#This Row],[BatchMeansHalfWidth]])</f>
        <v>0.2554017613968404</v>
      </c>
      <c r="X205" s="5" cm="1">
        <f t="array" ref="X205">COUNT(IF((DiscreteStatsTable[GroupByKey]=DiscreteStatsTable[[#This Row],[GroupByKey]]),(DiscreteStatsTable[GroupByKey]=DiscreteStatsTable[[#This Row],[GroupByKey]])*DiscreteStatsTable[Replication]))</f>
        <v>50</v>
      </c>
      <c r="Y205" s="5">
        <f>IF(DiscreteStatsTable[[#This Row],[RepsRequested]]=DiscreteStatsTable[[#This Row],[RepsWithStatObserved]],1,0)</f>
        <v>1</v>
      </c>
    </row>
    <row r="206" spans="1:25" x14ac:dyDescent="0.35">
      <c r="A206" t="s">
        <v>66</v>
      </c>
      <c r="B206" t="s">
        <v>69</v>
      </c>
      <c r="C206">
        <v>35</v>
      </c>
      <c r="D206" t="s">
        <v>70</v>
      </c>
      <c r="E206" t="s">
        <v>71</v>
      </c>
      <c r="F206" t="s">
        <v>72</v>
      </c>
      <c r="G206">
        <v>0</v>
      </c>
      <c r="H206">
        <v>2E+20</v>
      </c>
      <c r="I206">
        <v>0</v>
      </c>
      <c r="J206">
        <v>0</v>
      </c>
      <c r="K206">
        <v>5</v>
      </c>
      <c r="L206" s="5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206" s="5" cm="1">
        <f t="array" ref="M206">MAX(IF((ProjectInfoTable[ProjectName]=DiscreteStatsTable[[#This Row],[ProjectName]]),(ProjectInfoTable[ProjectName]=DiscreteStatsTable[[#This Row],[ProjectName]])*ProjectInfoTable[NumberOfReplications]))</f>
        <v>50</v>
      </c>
      <c r="N206" s="5" cm="1">
        <f t="array" ref="N206">IFERROR(AVERAGE(IF((DiscreteStatsTable[GroupByKey]=DiscreteStatsTable[[#This Row],[GroupByKey]]),(DiscreteStatsTable[GroupByKey]=DiscreteStatsTable[[#This Row],[GroupByKey]])*DiscreteStatsTable[Average])),0)</f>
        <v>0</v>
      </c>
      <c r="O206" s="5" cm="1">
        <f t="array" ref="O206">IFERROR(_xlfn.STDEV.S(IF((DiscreteStatsTable[GroupByKey]=DiscreteStatsTable[[#This Row],[GroupByKey]]),(DiscreteStatsTable[GroupByKey]=DiscreteStatsTable[[#This Row],[GroupByKey]])*DiscreteStatsTable[Average])),0)</f>
        <v>0</v>
      </c>
      <c r="P206" s="5" cm="1">
        <f t="array" ref="P206">MAX(IF((ProjectInfoTable[ProjectName]=DiscreteStatsTable[[#This Row],[ProjectName]]),(ProjectInfoTable[ProjectName]=DiscreteStatsTable[[#This Row],[ProjectName]])*ProjectInfoTable[ConfidenceInterval]))</f>
        <v>0.95</v>
      </c>
      <c r="Q206" s="5">
        <f>IF(AND(DiscreteStatsTable[[#This Row],[RepsWithStatObserved]]=1,Y206=0),200000000000000000000,IFERROR(_xlfn.T.INV.2T(1 -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6" s="5" cm="1">
        <f t="array" ref="R206">MIN(IF((DiscreteStatsTable[GroupByKey]=DiscreteStatsTable[[#This Row],[GroupByKey]]),(DiscreteStatsTable[GroupByKey]=DiscreteStatsTable[[#This Row],[GroupByKey]])*DiscreteStatsTable[Average]))</f>
        <v>0</v>
      </c>
      <c r="S206" s="5" cm="1">
        <f t="array" ref="S206">MAX(IF((DiscreteStatsTable[GroupByKey]=DiscreteStatsTable[[#This Row],[GroupByKey]]),(DiscreteStatsTable[GroupByKey]=DiscreteStatsTable[[#This Row],[GroupByKey]])*DiscreteStatsTable[Average]))</f>
        <v>0</v>
      </c>
      <c r="T206" s="5" cm="1">
        <f t="array" ref="T206">MIN(IF((DiscreteStatsTable[GroupByKey]=DiscreteStatsTable[[#This Row],[GroupByKey]]),(DiscreteStatsTable[GroupByKey]=DiscreteStatsTable[[#This Row],[GroupByKey]])*DiscreteStatsTable[Minimum]))</f>
        <v>0</v>
      </c>
      <c r="U206" s="5" cm="1">
        <f t="array" ref="U206">MAX(IF((DiscreteStatsTable[GroupByKey]=DiscreteStatsTable[[#This Row],[GroupByKey]]),(DiscreteStatsTable[GroupByKey]=DiscreteStatsTable[[#This Row],[GroupByKey]])*DiscreteStatsTable[Maximum]))</f>
        <v>0</v>
      </c>
      <c r="V206" s="5" cm="1">
        <f t="array" ref="V206">IFERROR(AVERAGE(IF((DiscreteStatsTable[GroupByKey]=DiscreteStatsTable[[#This Row],[GroupByKey]]),(DiscreteStatsTable[GroupByKey]=DiscreteStatsTable[[#This Row],[GroupByKey]])*DiscreteStatsTable[NumberObservations])),0)</f>
        <v>3.62</v>
      </c>
      <c r="W206" s="5">
        <f>IF((DiscreteStatsTable[[#This Row],[RepsRequested]]&gt;1),DiscreteStatsTable[[#This Row],[HalfWidth]],DiscreteStatsTable[[#This Row],[BatchMeansHalfWidth]])</f>
        <v>0</v>
      </c>
      <c r="X206" s="5" cm="1">
        <f t="array" ref="X206">COUNT(IF((DiscreteStatsTable[GroupByKey]=DiscreteStatsTable[[#This Row],[GroupByKey]]),(DiscreteStatsTable[GroupByKey]=DiscreteStatsTable[[#This Row],[GroupByKey]])*DiscreteStatsTable[Replication]))</f>
        <v>50</v>
      </c>
      <c r="Y206" s="5">
        <f>IF(DiscreteStatsTable[[#This Row],[RepsRequested]]=DiscreteStatsTable[[#This Row],[RepsWithStatObserved]],1,0)</f>
        <v>1</v>
      </c>
    </row>
    <row r="207" spans="1:25" x14ac:dyDescent="0.35">
      <c r="A207" t="s">
        <v>66</v>
      </c>
      <c r="B207" t="s">
        <v>69</v>
      </c>
      <c r="C207">
        <v>35</v>
      </c>
      <c r="D207" t="s">
        <v>70</v>
      </c>
      <c r="E207" t="s">
        <v>73</v>
      </c>
      <c r="F207" t="s">
        <v>72</v>
      </c>
      <c r="G207">
        <v>0</v>
      </c>
      <c r="H207">
        <v>2E+20</v>
      </c>
      <c r="I207">
        <v>0</v>
      </c>
      <c r="J207">
        <v>0</v>
      </c>
      <c r="K207">
        <v>5</v>
      </c>
      <c r="L207" s="5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207" s="5" cm="1">
        <f t="array" ref="M207">MAX(IF((ProjectInfoTable[ProjectName]=DiscreteStatsTable[[#This Row],[ProjectName]]),(ProjectInfoTable[ProjectName]=DiscreteStatsTable[[#This Row],[ProjectName]])*ProjectInfoTable[NumberOfReplications]))</f>
        <v>50</v>
      </c>
      <c r="N207" s="5" cm="1">
        <f t="array" ref="N207">IFERROR(AVERAGE(IF((DiscreteStatsTable[GroupByKey]=DiscreteStatsTable[[#This Row],[GroupByKey]]),(DiscreteStatsTable[GroupByKey]=DiscreteStatsTable[[#This Row],[GroupByKey]])*DiscreteStatsTable[Average])),0)</f>
        <v>0</v>
      </c>
      <c r="O207" s="5" cm="1">
        <f t="array" ref="O207">IFERROR(_xlfn.STDEV.S(IF((DiscreteStatsTable[GroupByKey]=DiscreteStatsTable[[#This Row],[GroupByKey]]),(DiscreteStatsTable[GroupByKey]=DiscreteStatsTable[[#This Row],[GroupByKey]])*DiscreteStatsTable[Average])),0)</f>
        <v>0</v>
      </c>
      <c r="P207" s="5" cm="1">
        <f t="array" ref="P207">MAX(IF((ProjectInfoTable[ProjectName]=DiscreteStatsTable[[#This Row],[ProjectName]]),(ProjectInfoTable[ProjectName]=DiscreteStatsTable[[#This Row],[ProjectName]])*ProjectInfoTable[ConfidenceInterval]))</f>
        <v>0.95</v>
      </c>
      <c r="Q207" s="5">
        <f>IF(AND(DiscreteStatsTable[[#This Row],[RepsWithStatObserved]]=1,Y207=0),200000000000000000000,IFERROR(_xlfn.T.INV.2T(1 -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7" s="5" cm="1">
        <f t="array" ref="R207">MIN(IF((DiscreteStatsTable[GroupByKey]=DiscreteStatsTable[[#This Row],[GroupByKey]]),(DiscreteStatsTable[GroupByKey]=DiscreteStatsTable[[#This Row],[GroupByKey]])*DiscreteStatsTable[Average]))</f>
        <v>0</v>
      </c>
      <c r="S207" s="5" cm="1">
        <f t="array" ref="S207">MAX(IF((DiscreteStatsTable[GroupByKey]=DiscreteStatsTable[[#This Row],[GroupByKey]]),(DiscreteStatsTable[GroupByKey]=DiscreteStatsTable[[#This Row],[GroupByKey]])*DiscreteStatsTable[Average]))</f>
        <v>0</v>
      </c>
      <c r="T207" s="5" cm="1">
        <f t="array" ref="T207">MIN(IF((DiscreteStatsTable[GroupByKey]=DiscreteStatsTable[[#This Row],[GroupByKey]]),(DiscreteStatsTable[GroupByKey]=DiscreteStatsTable[[#This Row],[GroupByKey]])*DiscreteStatsTable[Minimum]))</f>
        <v>0</v>
      </c>
      <c r="U207" s="5" cm="1">
        <f t="array" ref="U207">MAX(IF((DiscreteStatsTable[GroupByKey]=DiscreteStatsTable[[#This Row],[GroupByKey]]),(DiscreteStatsTable[GroupByKey]=DiscreteStatsTable[[#This Row],[GroupByKey]])*DiscreteStatsTable[Maximum]))</f>
        <v>0</v>
      </c>
      <c r="V207" s="5" cm="1">
        <f t="array" ref="V207">IFERROR(AVERAGE(IF((DiscreteStatsTable[GroupByKey]=DiscreteStatsTable[[#This Row],[GroupByKey]]),(DiscreteStatsTable[GroupByKey]=DiscreteStatsTable[[#This Row],[GroupByKey]])*DiscreteStatsTable[NumberObservations])),0)</f>
        <v>3.62</v>
      </c>
      <c r="W207" s="5">
        <f>IF((DiscreteStatsTable[[#This Row],[RepsRequested]]&gt;1),DiscreteStatsTable[[#This Row],[HalfWidth]],DiscreteStatsTable[[#This Row],[BatchMeansHalfWidth]])</f>
        <v>0</v>
      </c>
      <c r="X207" s="5" cm="1">
        <f t="array" ref="X207">COUNT(IF((DiscreteStatsTable[GroupByKey]=DiscreteStatsTable[[#This Row],[GroupByKey]]),(DiscreteStatsTable[GroupByKey]=DiscreteStatsTable[[#This Row],[GroupByKey]])*DiscreteStatsTable[Replication]))</f>
        <v>50</v>
      </c>
      <c r="Y207" s="5">
        <f>IF(DiscreteStatsTable[[#This Row],[RepsRequested]]=DiscreteStatsTable[[#This Row],[RepsWithStatObserved]],1,0)</f>
        <v>1</v>
      </c>
    </row>
    <row r="208" spans="1:25" x14ac:dyDescent="0.35">
      <c r="A208" t="s">
        <v>66</v>
      </c>
      <c r="B208" t="s">
        <v>69</v>
      </c>
      <c r="C208">
        <v>35</v>
      </c>
      <c r="D208" t="s">
        <v>70</v>
      </c>
      <c r="E208" t="s">
        <v>74</v>
      </c>
      <c r="F208" t="s">
        <v>72</v>
      </c>
      <c r="G208">
        <v>4.0826173768626299</v>
      </c>
      <c r="H208">
        <v>2E+20</v>
      </c>
      <c r="I208">
        <v>1.7154021844557901</v>
      </c>
      <c r="J208">
        <v>5.4013904763544902</v>
      </c>
      <c r="K208">
        <v>5</v>
      </c>
      <c r="L208" s="5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208" s="5" cm="1">
        <f t="array" ref="M208">MAX(IF((ProjectInfoTable[ProjectName]=DiscreteStatsTable[[#This Row],[ProjectName]]),(ProjectInfoTable[ProjectName]=DiscreteStatsTable[[#This Row],[ProjectName]])*ProjectInfoTable[NumberOfReplications]))</f>
        <v>50</v>
      </c>
      <c r="N208" s="5" cm="1">
        <f t="array" ref="N208">IFERROR(AVERAGE(IF((DiscreteStatsTable[GroupByKey]=DiscreteStatsTable[[#This Row],[GroupByKey]]),(DiscreteStatsTable[GroupByKey]=DiscreteStatsTable[[#This Row],[GroupByKey]])*DiscreteStatsTable[Average])),0)</f>
        <v>3.5363894499532775</v>
      </c>
      <c r="O208" s="5" cm="1">
        <f t="array" ref="O208">IFERROR(_xlfn.STDEV.S(IF((DiscreteStatsTable[GroupByKey]=DiscreteStatsTable[[#This Row],[GroupByKey]]),(DiscreteStatsTable[GroupByKey]=DiscreteStatsTable[[#This Row],[GroupByKey]])*DiscreteStatsTable[Average])),0)</f>
        <v>1.1766434570133149</v>
      </c>
      <c r="P208" s="5" cm="1">
        <f t="array" ref="P208">MAX(IF((ProjectInfoTable[ProjectName]=DiscreteStatsTable[[#This Row],[ProjectName]]),(ProjectInfoTable[ProjectName]=DiscreteStatsTable[[#This Row],[ProjectName]])*ProjectInfoTable[ConfidenceInterval]))</f>
        <v>0.95</v>
      </c>
      <c r="Q208" s="5">
        <f>IF(AND(DiscreteStatsTable[[#This Row],[RepsWithStatObserved]]=1,Y208=0),200000000000000000000,IFERROR(_xlfn.T.INV.2T(1 -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0.33439837052280896</v>
      </c>
      <c r="R208" s="5" cm="1">
        <f t="array" ref="R208">MIN(IF((DiscreteStatsTable[GroupByKey]=DiscreteStatsTable[[#This Row],[GroupByKey]]),(DiscreteStatsTable[GroupByKey]=DiscreteStatsTable[[#This Row],[GroupByKey]])*DiscreteStatsTable[Average]))</f>
        <v>1.6342264652107701</v>
      </c>
      <c r="S208" s="5" cm="1">
        <f t="array" ref="S208">MAX(IF((DiscreteStatsTable[GroupByKey]=DiscreteStatsTable[[#This Row],[GroupByKey]]),(DiscreteStatsTable[GroupByKey]=DiscreteStatsTable[[#This Row],[GroupByKey]])*DiscreteStatsTable[Average]))</f>
        <v>6.5527373550837904</v>
      </c>
      <c r="T208" s="5" cm="1">
        <f t="array" ref="T208">MIN(IF((DiscreteStatsTable[GroupByKey]=DiscreteStatsTable[[#This Row],[GroupByKey]]),(DiscreteStatsTable[GroupByKey]=DiscreteStatsTable[[#This Row],[GroupByKey]])*DiscreteStatsTable[Minimum]))</f>
        <v>0.58847912081681497</v>
      </c>
      <c r="U208" s="5" cm="1">
        <f t="array" ref="U208">MAX(IF((DiscreteStatsTable[GroupByKey]=DiscreteStatsTable[[#This Row],[GroupByKey]]),(DiscreteStatsTable[GroupByKey]=DiscreteStatsTable[[#This Row],[GroupByKey]])*DiscreteStatsTable[Maximum]))</f>
        <v>8.7476494546828292</v>
      </c>
      <c r="V208" s="5" cm="1">
        <f t="array" ref="V208">IFERROR(AVERAGE(IF((DiscreteStatsTable[GroupByKey]=DiscreteStatsTable[[#This Row],[GroupByKey]]),(DiscreteStatsTable[GroupByKey]=DiscreteStatsTable[[#This Row],[GroupByKey]])*DiscreteStatsTable[NumberObservations])),0)</f>
        <v>3.62</v>
      </c>
      <c r="W208" s="5">
        <f>IF((DiscreteStatsTable[[#This Row],[RepsRequested]]&gt;1),DiscreteStatsTable[[#This Row],[HalfWidth]],DiscreteStatsTable[[#This Row],[BatchMeansHalfWidth]])</f>
        <v>0.33439837052280896</v>
      </c>
      <c r="X208" s="5" cm="1">
        <f t="array" ref="X208">COUNT(IF((DiscreteStatsTable[GroupByKey]=DiscreteStatsTable[[#This Row],[GroupByKey]]),(DiscreteStatsTable[GroupByKey]=DiscreteStatsTable[[#This Row],[GroupByKey]])*DiscreteStatsTable[Replication]))</f>
        <v>50</v>
      </c>
      <c r="Y208" s="5">
        <f>IF(DiscreteStatsTable[[#This Row],[RepsRequested]]=DiscreteStatsTable[[#This Row],[RepsWithStatObserved]],1,0)</f>
        <v>1</v>
      </c>
    </row>
    <row r="209" spans="1:25" x14ac:dyDescent="0.35">
      <c r="A209" t="s">
        <v>66</v>
      </c>
      <c r="B209" t="s">
        <v>69</v>
      </c>
      <c r="C209">
        <v>35</v>
      </c>
      <c r="D209" t="s">
        <v>70</v>
      </c>
      <c r="E209" t="s">
        <v>75</v>
      </c>
      <c r="F209" t="s">
        <v>72</v>
      </c>
      <c r="G209">
        <v>0</v>
      </c>
      <c r="H209">
        <v>2E+20</v>
      </c>
      <c r="I209">
        <v>0</v>
      </c>
      <c r="J209">
        <v>0</v>
      </c>
      <c r="K209">
        <v>5</v>
      </c>
      <c r="L209" s="5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209" s="5" cm="1">
        <f t="array" ref="M209">MAX(IF((ProjectInfoTable[ProjectName]=DiscreteStatsTable[[#This Row],[ProjectName]]),(ProjectInfoTable[ProjectName]=DiscreteStatsTable[[#This Row],[ProjectName]])*ProjectInfoTable[NumberOfReplications]))</f>
        <v>50</v>
      </c>
      <c r="N209" s="5" cm="1">
        <f t="array" ref="N209">IFERROR(AVERAGE(IF((DiscreteStatsTable[GroupByKey]=DiscreteStatsTable[[#This Row],[GroupByKey]]),(DiscreteStatsTable[GroupByKey]=DiscreteStatsTable[[#This Row],[GroupByKey]])*DiscreteStatsTable[Average])),0)</f>
        <v>0</v>
      </c>
      <c r="O209" s="5" cm="1">
        <f t="array" ref="O209">IFERROR(_xlfn.STDEV.S(IF((DiscreteStatsTable[GroupByKey]=DiscreteStatsTable[[#This Row],[GroupByKey]]),(DiscreteStatsTable[GroupByKey]=DiscreteStatsTable[[#This Row],[GroupByKey]])*DiscreteStatsTable[Average])),0)</f>
        <v>0</v>
      </c>
      <c r="P209" s="5" cm="1">
        <f t="array" ref="P209">MAX(IF((ProjectInfoTable[ProjectName]=DiscreteStatsTable[[#This Row],[ProjectName]]),(ProjectInfoTable[ProjectName]=DiscreteStatsTable[[#This Row],[ProjectName]])*ProjectInfoTable[ConfidenceInterval]))</f>
        <v>0.95</v>
      </c>
      <c r="Q209" s="5">
        <f>IF(AND(DiscreteStatsTable[[#This Row],[RepsWithStatObserved]]=1,Y209=0),200000000000000000000,IFERROR(_xlfn.T.INV.2T(1 -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9" s="5" cm="1">
        <f t="array" ref="R209">MIN(IF((DiscreteStatsTable[GroupByKey]=DiscreteStatsTable[[#This Row],[GroupByKey]]),(DiscreteStatsTable[GroupByKey]=DiscreteStatsTable[[#This Row],[GroupByKey]])*DiscreteStatsTable[Average]))</f>
        <v>0</v>
      </c>
      <c r="S209" s="5" cm="1">
        <f t="array" ref="S209">MAX(IF((DiscreteStatsTable[GroupByKey]=DiscreteStatsTable[[#This Row],[GroupByKey]]),(DiscreteStatsTable[GroupByKey]=DiscreteStatsTable[[#This Row],[GroupByKey]])*DiscreteStatsTable[Average]))</f>
        <v>0</v>
      </c>
      <c r="T209" s="5" cm="1">
        <f t="array" ref="T209">MIN(IF((DiscreteStatsTable[GroupByKey]=DiscreteStatsTable[[#This Row],[GroupByKey]]),(DiscreteStatsTable[GroupByKey]=DiscreteStatsTable[[#This Row],[GroupByKey]])*DiscreteStatsTable[Minimum]))</f>
        <v>0</v>
      </c>
      <c r="U209" s="5" cm="1">
        <f t="array" ref="U209">MAX(IF((DiscreteStatsTable[GroupByKey]=DiscreteStatsTable[[#This Row],[GroupByKey]]),(DiscreteStatsTable[GroupByKey]=DiscreteStatsTable[[#This Row],[GroupByKey]])*DiscreteStatsTable[Maximum]))</f>
        <v>0</v>
      </c>
      <c r="V209" s="5" cm="1">
        <f t="array" ref="V209">IFERROR(AVERAGE(IF((DiscreteStatsTable[GroupByKey]=DiscreteStatsTable[[#This Row],[GroupByKey]]),(DiscreteStatsTable[GroupByKey]=DiscreteStatsTable[[#This Row],[GroupByKey]])*DiscreteStatsTable[NumberObservations])),0)</f>
        <v>3.62</v>
      </c>
      <c r="W209" s="5">
        <f>IF((DiscreteStatsTable[[#This Row],[RepsRequested]]&gt;1),DiscreteStatsTable[[#This Row],[HalfWidth]],DiscreteStatsTable[[#This Row],[BatchMeansHalfWidth]])</f>
        <v>0</v>
      </c>
      <c r="X209" s="5" cm="1">
        <f t="array" ref="X209">COUNT(IF((DiscreteStatsTable[GroupByKey]=DiscreteStatsTable[[#This Row],[GroupByKey]]),(DiscreteStatsTable[GroupByKey]=DiscreteStatsTable[[#This Row],[GroupByKey]])*DiscreteStatsTable[Replication]))</f>
        <v>50</v>
      </c>
      <c r="Y209" s="5">
        <f>IF(DiscreteStatsTable[[#This Row],[RepsRequested]]=DiscreteStatsTable[[#This Row],[RepsWithStatObserved]],1,0)</f>
        <v>1</v>
      </c>
    </row>
    <row r="210" spans="1:25" x14ac:dyDescent="0.35">
      <c r="A210" t="s">
        <v>66</v>
      </c>
      <c r="B210" t="s">
        <v>69</v>
      </c>
      <c r="C210">
        <v>35</v>
      </c>
      <c r="D210" t="s">
        <v>70</v>
      </c>
      <c r="E210" t="s">
        <v>76</v>
      </c>
      <c r="F210" t="s">
        <v>72</v>
      </c>
      <c r="G210">
        <v>1.8870461177846001</v>
      </c>
      <c r="H210">
        <v>2E+20</v>
      </c>
      <c r="I210">
        <v>1.08499327670541</v>
      </c>
      <c r="J210">
        <v>2.9916868787278301</v>
      </c>
      <c r="K210">
        <v>5</v>
      </c>
      <c r="L210" s="5" t="str">
        <f>DiscreteStatsTable[[#This Row],[ProjectName]]&amp;DiscreteStatsTable[[#This Row],[Name]]&amp;DiscreteStatsTable[[#This Row],[Type]]&amp;DiscreteStatsTable[[#This Row],[Source]]</f>
        <v>Unnamed ProjectArquivosVA TimeEntity</v>
      </c>
      <c r="M210" s="5" cm="1">
        <f t="array" ref="M210">MAX(IF((ProjectInfoTable[ProjectName]=DiscreteStatsTable[[#This Row],[ProjectName]]),(ProjectInfoTable[ProjectName]=DiscreteStatsTable[[#This Row],[ProjectName]])*ProjectInfoTable[NumberOfReplications]))</f>
        <v>50</v>
      </c>
      <c r="N210" s="5" cm="1">
        <f t="array" ref="N210">IFERROR(AVERAGE(IF((DiscreteStatsTable[GroupByKey]=DiscreteStatsTable[[#This Row],[GroupByKey]]),(DiscreteStatsTable[GroupByKey]=DiscreteStatsTable[[#This Row],[GroupByKey]])*DiscreteStatsTable[Average])),0)</f>
        <v>2.3123810058270009</v>
      </c>
      <c r="O210" s="5" cm="1">
        <f t="array" ref="O210">IFERROR(_xlfn.STDEV.S(IF((DiscreteStatsTable[GroupByKey]=DiscreteStatsTable[[#This Row],[GroupByKey]]),(DiscreteStatsTable[GroupByKey]=DiscreteStatsTable[[#This Row],[GroupByKey]])*DiscreteStatsTable[Average])),0)</f>
        <v>0.47735516285795621</v>
      </c>
      <c r="P210" s="5" cm="1">
        <f t="array" ref="P210">MAX(IF((ProjectInfoTable[ProjectName]=DiscreteStatsTable[[#This Row],[ProjectName]]),(ProjectInfoTable[ProjectName]=DiscreteStatsTable[[#This Row],[ProjectName]])*ProjectInfoTable[ConfidenceInterval]))</f>
        <v>0.95</v>
      </c>
      <c r="Q210" s="5">
        <f>IF(AND(DiscreteStatsTable[[#This Row],[RepsWithStatObserved]]=1,Y210=0),200000000000000000000,IFERROR(_xlfn.T.INV.2T(1 -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0.13566283623888314</v>
      </c>
      <c r="R210" s="5" cm="1">
        <f t="array" ref="R210">MIN(IF((DiscreteStatsTable[GroupByKey]=DiscreteStatsTable[[#This Row],[GroupByKey]]),(DiscreteStatsTable[GroupByKey]=DiscreteStatsTable[[#This Row],[GroupByKey]])*DiscreteStatsTable[Average]))</f>
        <v>1.3773415743205399</v>
      </c>
      <c r="S210" s="5" cm="1">
        <f t="array" ref="S210">MAX(IF((DiscreteStatsTable[GroupByKey]=DiscreteStatsTable[[#This Row],[GroupByKey]]),(DiscreteStatsTable[GroupByKey]=DiscreteStatsTable[[#This Row],[GroupByKey]])*DiscreteStatsTable[Average]))</f>
        <v>3.3139161730180202</v>
      </c>
      <c r="T210" s="5" cm="1">
        <f t="array" ref="T210">MIN(IF((DiscreteStatsTable[GroupByKey]=DiscreteStatsTable[[#This Row],[GroupByKey]]),(DiscreteStatsTable[GroupByKey]=DiscreteStatsTable[[#This Row],[GroupByKey]])*DiscreteStatsTable[Minimum]))</f>
        <v>0.58847912081681497</v>
      </c>
      <c r="U210" s="5" cm="1">
        <f t="array" ref="U210">MAX(IF((DiscreteStatsTable[GroupByKey]=DiscreteStatsTable[[#This Row],[GroupByKey]]),(DiscreteStatsTable[GroupByKey]=DiscreteStatsTable[[#This Row],[GroupByKey]])*DiscreteStatsTable[Maximum]))</f>
        <v>4.9756405925629998</v>
      </c>
      <c r="V210" s="5" cm="1">
        <f t="array" ref="V210">IFERROR(AVERAGE(IF((DiscreteStatsTable[GroupByKey]=DiscreteStatsTable[[#This Row],[GroupByKey]]),(DiscreteStatsTable[GroupByKey]=DiscreteStatsTable[[#This Row],[GroupByKey]])*DiscreteStatsTable[NumberObservations])),0)</f>
        <v>3.62</v>
      </c>
      <c r="W210" s="5">
        <f>IF((DiscreteStatsTable[[#This Row],[RepsRequested]]&gt;1),DiscreteStatsTable[[#This Row],[HalfWidth]],DiscreteStatsTable[[#This Row],[BatchMeansHalfWidth]])</f>
        <v>0.13566283623888314</v>
      </c>
      <c r="X210" s="5" cm="1">
        <f t="array" ref="X210">COUNT(IF((DiscreteStatsTable[GroupByKey]=DiscreteStatsTable[[#This Row],[GroupByKey]]),(DiscreteStatsTable[GroupByKey]=DiscreteStatsTable[[#This Row],[GroupByKey]])*DiscreteStatsTable[Replication]))</f>
        <v>50</v>
      </c>
      <c r="Y210" s="5">
        <f>IF(DiscreteStatsTable[[#This Row],[RepsRequested]]=DiscreteStatsTable[[#This Row],[RepsWithStatObserved]],1,0)</f>
        <v>1</v>
      </c>
    </row>
    <row r="211" spans="1:25" x14ac:dyDescent="0.35">
      <c r="A211" t="s">
        <v>66</v>
      </c>
      <c r="B211" t="s">
        <v>69</v>
      </c>
      <c r="C211">
        <v>35</v>
      </c>
      <c r="D211" t="s">
        <v>70</v>
      </c>
      <c r="E211" t="s">
        <v>77</v>
      </c>
      <c r="F211" t="s">
        <v>72</v>
      </c>
      <c r="G211">
        <v>2.1955712590780201</v>
      </c>
      <c r="H211">
        <v>2E+20</v>
      </c>
      <c r="I211">
        <v>0</v>
      </c>
      <c r="J211">
        <v>3.8948755395015899</v>
      </c>
      <c r="K211">
        <v>5</v>
      </c>
      <c r="L211" s="5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211" s="5" cm="1">
        <f t="array" ref="M211">MAX(IF((ProjectInfoTable[ProjectName]=DiscreteStatsTable[[#This Row],[ProjectName]]),(ProjectInfoTable[ProjectName]=DiscreteStatsTable[[#This Row],[ProjectName]])*ProjectInfoTable[NumberOfReplications]))</f>
        <v>50</v>
      </c>
      <c r="N211" s="5" cm="1">
        <f t="array" ref="N211">IFERROR(AVERAGE(IF((DiscreteStatsTable[GroupByKey]=DiscreteStatsTable[[#This Row],[GroupByKey]]),(DiscreteStatsTable[GroupByKey]=DiscreteStatsTable[[#This Row],[GroupByKey]])*DiscreteStatsTable[Average])),0)</f>
        <v>1.2240084441262762</v>
      </c>
      <c r="O211" s="5" cm="1">
        <f t="array" ref="O211">IFERROR(_xlfn.STDEV.S(IF((DiscreteStatsTable[GroupByKey]=DiscreteStatsTable[[#This Row],[GroupByKey]]),(DiscreteStatsTable[GroupByKey]=DiscreteStatsTable[[#This Row],[GroupByKey]])*DiscreteStatsTable[Average])),0)</f>
        <v>0.89867905452837749</v>
      </c>
      <c r="P211" s="5" cm="1">
        <f t="array" ref="P211">MAX(IF((ProjectInfoTable[ProjectName]=DiscreteStatsTable[[#This Row],[ProjectName]]),(ProjectInfoTable[ProjectName]=DiscreteStatsTable[[#This Row],[ProjectName]])*ProjectInfoTable[ConfidenceInterval]))</f>
        <v>0.95</v>
      </c>
      <c r="Q211" s="5">
        <f>IF(AND(DiscreteStatsTable[[#This Row],[RepsWithStatObserved]]=1,Y211=0),200000000000000000000,IFERROR(_xlfn.T.INV.2T(1 -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0.2554017613968404</v>
      </c>
      <c r="R211" s="5" cm="1">
        <f t="array" ref="R211">MIN(IF((DiscreteStatsTable[GroupByKey]=DiscreteStatsTable[[#This Row],[GroupByKey]]),(DiscreteStatsTable[GroupByKey]=DiscreteStatsTable[[#This Row],[GroupByKey]])*DiscreteStatsTable[Average]))</f>
        <v>0</v>
      </c>
      <c r="S211" s="5" cm="1">
        <f t="array" ref="S211">MAX(IF((DiscreteStatsTable[GroupByKey]=DiscreteStatsTable[[#This Row],[GroupByKey]]),(DiscreteStatsTable[GroupByKey]=DiscreteStatsTable[[#This Row],[GroupByKey]])*DiscreteStatsTable[Average]))</f>
        <v>3.4345522286517598</v>
      </c>
      <c r="T211" s="5" cm="1">
        <f t="array" ref="T211">MIN(IF((DiscreteStatsTable[GroupByKey]=DiscreteStatsTable[[#This Row],[GroupByKey]]),(DiscreteStatsTable[GroupByKey]=DiscreteStatsTable[[#This Row],[GroupByKey]])*DiscreteStatsTable[Minimum]))</f>
        <v>0</v>
      </c>
      <c r="U211" s="5" cm="1">
        <f t="array" ref="U211">MAX(IF((DiscreteStatsTable[GroupByKey]=DiscreteStatsTable[[#This Row],[GroupByKey]]),(DiscreteStatsTable[GroupByKey]=DiscreteStatsTable[[#This Row],[GroupByKey]])*DiscreteStatsTable[Maximum]))</f>
        <v>6.7563093676697896</v>
      </c>
      <c r="V211" s="5" cm="1">
        <f t="array" ref="V211">IFERROR(AVERAGE(IF((DiscreteStatsTable[GroupByKey]=DiscreteStatsTable[[#This Row],[GroupByKey]]),(DiscreteStatsTable[GroupByKey]=DiscreteStatsTable[[#This Row],[GroupByKey]])*DiscreteStatsTable[NumberObservations])),0)</f>
        <v>3.62</v>
      </c>
      <c r="W211" s="5">
        <f>IF((DiscreteStatsTable[[#This Row],[RepsRequested]]&gt;1),DiscreteStatsTable[[#This Row],[HalfWidth]],DiscreteStatsTable[[#This Row],[BatchMeansHalfWidth]])</f>
        <v>0.2554017613968404</v>
      </c>
      <c r="X211" s="5" cm="1">
        <f t="array" ref="X211">COUNT(IF((DiscreteStatsTable[GroupByKey]=DiscreteStatsTable[[#This Row],[GroupByKey]]),(DiscreteStatsTable[GroupByKey]=DiscreteStatsTable[[#This Row],[GroupByKey]])*DiscreteStatsTable[Replication]))</f>
        <v>50</v>
      </c>
      <c r="Y211" s="5">
        <f>IF(DiscreteStatsTable[[#This Row],[RepsRequested]]=DiscreteStatsTable[[#This Row],[RepsWithStatObserved]],1,0)</f>
        <v>1</v>
      </c>
    </row>
    <row r="212" spans="1:25" x14ac:dyDescent="0.35">
      <c r="A212" t="s">
        <v>66</v>
      </c>
      <c r="B212" t="s">
        <v>69</v>
      </c>
      <c r="C212">
        <v>36</v>
      </c>
      <c r="D212" t="s">
        <v>70</v>
      </c>
      <c r="E212" t="s">
        <v>71</v>
      </c>
      <c r="F212" t="s">
        <v>72</v>
      </c>
      <c r="G212">
        <v>0</v>
      </c>
      <c r="H212">
        <v>2E+20</v>
      </c>
      <c r="I212">
        <v>0</v>
      </c>
      <c r="J212">
        <v>0</v>
      </c>
      <c r="K212">
        <v>4</v>
      </c>
      <c r="L212" s="5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212" s="5" cm="1">
        <f t="array" ref="M212">MAX(IF((ProjectInfoTable[ProjectName]=DiscreteStatsTable[[#This Row],[ProjectName]]),(ProjectInfoTable[ProjectName]=DiscreteStatsTable[[#This Row],[ProjectName]])*ProjectInfoTable[NumberOfReplications]))</f>
        <v>50</v>
      </c>
      <c r="N212" s="5" cm="1">
        <f t="array" ref="N212">IFERROR(AVERAGE(IF((DiscreteStatsTable[GroupByKey]=DiscreteStatsTable[[#This Row],[GroupByKey]]),(DiscreteStatsTable[GroupByKey]=DiscreteStatsTable[[#This Row],[GroupByKey]])*DiscreteStatsTable[Average])),0)</f>
        <v>0</v>
      </c>
      <c r="O212" s="5" cm="1">
        <f t="array" ref="O212">IFERROR(_xlfn.STDEV.S(IF((DiscreteStatsTable[GroupByKey]=DiscreteStatsTable[[#This Row],[GroupByKey]]),(DiscreteStatsTable[GroupByKey]=DiscreteStatsTable[[#This Row],[GroupByKey]])*DiscreteStatsTable[Average])),0)</f>
        <v>0</v>
      </c>
      <c r="P212" s="5" cm="1">
        <f t="array" ref="P212">MAX(IF((ProjectInfoTable[ProjectName]=DiscreteStatsTable[[#This Row],[ProjectName]]),(ProjectInfoTable[ProjectName]=DiscreteStatsTable[[#This Row],[ProjectName]])*ProjectInfoTable[ConfidenceInterval]))</f>
        <v>0.95</v>
      </c>
      <c r="Q212" s="5">
        <f>IF(AND(DiscreteStatsTable[[#This Row],[RepsWithStatObserved]]=1,Y212=0),200000000000000000000,IFERROR(_xlfn.T.INV.2T(1 -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2" s="5" cm="1">
        <f t="array" ref="R212">MIN(IF((DiscreteStatsTable[GroupByKey]=DiscreteStatsTable[[#This Row],[GroupByKey]]),(DiscreteStatsTable[GroupByKey]=DiscreteStatsTable[[#This Row],[GroupByKey]])*DiscreteStatsTable[Average]))</f>
        <v>0</v>
      </c>
      <c r="S212" s="5" cm="1">
        <f t="array" ref="S212">MAX(IF((DiscreteStatsTable[GroupByKey]=DiscreteStatsTable[[#This Row],[GroupByKey]]),(DiscreteStatsTable[GroupByKey]=DiscreteStatsTable[[#This Row],[GroupByKey]])*DiscreteStatsTable[Average]))</f>
        <v>0</v>
      </c>
      <c r="T212" s="5" cm="1">
        <f t="array" ref="T212">MIN(IF((DiscreteStatsTable[GroupByKey]=DiscreteStatsTable[[#This Row],[GroupByKey]]),(DiscreteStatsTable[GroupByKey]=DiscreteStatsTable[[#This Row],[GroupByKey]])*DiscreteStatsTable[Minimum]))</f>
        <v>0</v>
      </c>
      <c r="U212" s="5" cm="1">
        <f t="array" ref="U212">MAX(IF((DiscreteStatsTable[GroupByKey]=DiscreteStatsTable[[#This Row],[GroupByKey]]),(DiscreteStatsTable[GroupByKey]=DiscreteStatsTable[[#This Row],[GroupByKey]])*DiscreteStatsTable[Maximum]))</f>
        <v>0</v>
      </c>
      <c r="V212" s="5" cm="1">
        <f t="array" ref="V212">IFERROR(AVERAGE(IF((DiscreteStatsTable[GroupByKey]=DiscreteStatsTable[[#This Row],[GroupByKey]]),(DiscreteStatsTable[GroupByKey]=DiscreteStatsTable[[#This Row],[GroupByKey]])*DiscreteStatsTable[NumberObservations])),0)</f>
        <v>3.62</v>
      </c>
      <c r="W212" s="5">
        <f>IF((DiscreteStatsTable[[#This Row],[RepsRequested]]&gt;1),DiscreteStatsTable[[#This Row],[HalfWidth]],DiscreteStatsTable[[#This Row],[BatchMeansHalfWidth]])</f>
        <v>0</v>
      </c>
      <c r="X212" s="5" cm="1">
        <f t="array" ref="X212">COUNT(IF((DiscreteStatsTable[GroupByKey]=DiscreteStatsTable[[#This Row],[GroupByKey]]),(DiscreteStatsTable[GroupByKey]=DiscreteStatsTable[[#This Row],[GroupByKey]])*DiscreteStatsTable[Replication]))</f>
        <v>50</v>
      </c>
      <c r="Y212" s="5">
        <f>IF(DiscreteStatsTable[[#This Row],[RepsRequested]]=DiscreteStatsTable[[#This Row],[RepsWithStatObserved]],1,0)</f>
        <v>1</v>
      </c>
    </row>
    <row r="213" spans="1:25" x14ac:dyDescent="0.35">
      <c r="A213" t="s">
        <v>66</v>
      </c>
      <c r="B213" t="s">
        <v>69</v>
      </c>
      <c r="C213">
        <v>36</v>
      </c>
      <c r="D213" t="s">
        <v>70</v>
      </c>
      <c r="E213" t="s">
        <v>73</v>
      </c>
      <c r="F213" t="s">
        <v>72</v>
      </c>
      <c r="G213">
        <v>0</v>
      </c>
      <c r="H213">
        <v>2E+20</v>
      </c>
      <c r="I213">
        <v>0</v>
      </c>
      <c r="J213">
        <v>0</v>
      </c>
      <c r="K213">
        <v>4</v>
      </c>
      <c r="L213" s="5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213" s="5" cm="1">
        <f t="array" ref="M213">MAX(IF((ProjectInfoTable[ProjectName]=DiscreteStatsTable[[#This Row],[ProjectName]]),(ProjectInfoTable[ProjectName]=DiscreteStatsTable[[#This Row],[ProjectName]])*ProjectInfoTable[NumberOfReplications]))</f>
        <v>50</v>
      </c>
      <c r="N213" s="5" cm="1">
        <f t="array" ref="N213">IFERROR(AVERAGE(IF((DiscreteStatsTable[GroupByKey]=DiscreteStatsTable[[#This Row],[GroupByKey]]),(DiscreteStatsTable[GroupByKey]=DiscreteStatsTable[[#This Row],[GroupByKey]])*DiscreteStatsTable[Average])),0)</f>
        <v>0</v>
      </c>
      <c r="O213" s="5" cm="1">
        <f t="array" ref="O213">IFERROR(_xlfn.STDEV.S(IF((DiscreteStatsTable[GroupByKey]=DiscreteStatsTable[[#This Row],[GroupByKey]]),(DiscreteStatsTable[GroupByKey]=DiscreteStatsTable[[#This Row],[GroupByKey]])*DiscreteStatsTable[Average])),0)</f>
        <v>0</v>
      </c>
      <c r="P213" s="5" cm="1">
        <f t="array" ref="P213">MAX(IF((ProjectInfoTable[ProjectName]=DiscreteStatsTable[[#This Row],[ProjectName]]),(ProjectInfoTable[ProjectName]=DiscreteStatsTable[[#This Row],[ProjectName]])*ProjectInfoTable[ConfidenceInterval]))</f>
        <v>0.95</v>
      </c>
      <c r="Q213" s="5">
        <f>IF(AND(DiscreteStatsTable[[#This Row],[RepsWithStatObserved]]=1,Y213=0),200000000000000000000,IFERROR(_xlfn.T.INV.2T(1 -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3" s="5" cm="1">
        <f t="array" ref="R213">MIN(IF((DiscreteStatsTable[GroupByKey]=DiscreteStatsTable[[#This Row],[GroupByKey]]),(DiscreteStatsTable[GroupByKey]=DiscreteStatsTable[[#This Row],[GroupByKey]])*DiscreteStatsTable[Average]))</f>
        <v>0</v>
      </c>
      <c r="S213" s="5" cm="1">
        <f t="array" ref="S213">MAX(IF((DiscreteStatsTable[GroupByKey]=DiscreteStatsTable[[#This Row],[GroupByKey]]),(DiscreteStatsTable[GroupByKey]=DiscreteStatsTable[[#This Row],[GroupByKey]])*DiscreteStatsTable[Average]))</f>
        <v>0</v>
      </c>
      <c r="T213" s="5" cm="1">
        <f t="array" ref="T213">MIN(IF((DiscreteStatsTable[GroupByKey]=DiscreteStatsTable[[#This Row],[GroupByKey]]),(DiscreteStatsTable[GroupByKey]=DiscreteStatsTable[[#This Row],[GroupByKey]])*DiscreteStatsTable[Minimum]))</f>
        <v>0</v>
      </c>
      <c r="U213" s="5" cm="1">
        <f t="array" ref="U213">MAX(IF((DiscreteStatsTable[GroupByKey]=DiscreteStatsTable[[#This Row],[GroupByKey]]),(DiscreteStatsTable[GroupByKey]=DiscreteStatsTable[[#This Row],[GroupByKey]])*DiscreteStatsTable[Maximum]))</f>
        <v>0</v>
      </c>
      <c r="V213" s="5" cm="1">
        <f t="array" ref="V213">IFERROR(AVERAGE(IF((DiscreteStatsTable[GroupByKey]=DiscreteStatsTable[[#This Row],[GroupByKey]]),(DiscreteStatsTable[GroupByKey]=DiscreteStatsTable[[#This Row],[GroupByKey]])*DiscreteStatsTable[NumberObservations])),0)</f>
        <v>3.62</v>
      </c>
      <c r="W213" s="5">
        <f>IF((DiscreteStatsTable[[#This Row],[RepsRequested]]&gt;1),DiscreteStatsTable[[#This Row],[HalfWidth]],DiscreteStatsTable[[#This Row],[BatchMeansHalfWidth]])</f>
        <v>0</v>
      </c>
      <c r="X213" s="5" cm="1">
        <f t="array" ref="X213">COUNT(IF((DiscreteStatsTable[GroupByKey]=DiscreteStatsTable[[#This Row],[GroupByKey]]),(DiscreteStatsTable[GroupByKey]=DiscreteStatsTable[[#This Row],[GroupByKey]])*DiscreteStatsTable[Replication]))</f>
        <v>50</v>
      </c>
      <c r="Y213" s="5">
        <f>IF(DiscreteStatsTable[[#This Row],[RepsRequested]]=DiscreteStatsTable[[#This Row],[RepsWithStatObserved]],1,0)</f>
        <v>1</v>
      </c>
    </row>
    <row r="214" spans="1:25" x14ac:dyDescent="0.35">
      <c r="A214" t="s">
        <v>66</v>
      </c>
      <c r="B214" t="s">
        <v>69</v>
      </c>
      <c r="C214">
        <v>36</v>
      </c>
      <c r="D214" t="s">
        <v>70</v>
      </c>
      <c r="E214" t="s">
        <v>74</v>
      </c>
      <c r="F214" t="s">
        <v>72</v>
      </c>
      <c r="G214">
        <v>3.22796978812553</v>
      </c>
      <c r="H214">
        <v>2E+20</v>
      </c>
      <c r="I214">
        <v>1.3909313453304899</v>
      </c>
      <c r="J214">
        <v>5.5129190200837499</v>
      </c>
      <c r="K214">
        <v>4</v>
      </c>
      <c r="L214" s="5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214" s="5" cm="1">
        <f t="array" ref="M214">MAX(IF((ProjectInfoTable[ProjectName]=DiscreteStatsTable[[#This Row],[ProjectName]]),(ProjectInfoTable[ProjectName]=DiscreteStatsTable[[#This Row],[ProjectName]])*ProjectInfoTable[NumberOfReplications]))</f>
        <v>50</v>
      </c>
      <c r="N214" s="5" cm="1">
        <f t="array" ref="N214">IFERROR(AVERAGE(IF((DiscreteStatsTable[GroupByKey]=DiscreteStatsTable[[#This Row],[GroupByKey]]),(DiscreteStatsTable[GroupByKey]=DiscreteStatsTable[[#This Row],[GroupByKey]])*DiscreteStatsTable[Average])),0)</f>
        <v>3.5363894499532775</v>
      </c>
      <c r="O214" s="5" cm="1">
        <f t="array" ref="O214">IFERROR(_xlfn.STDEV.S(IF((DiscreteStatsTable[GroupByKey]=DiscreteStatsTable[[#This Row],[GroupByKey]]),(DiscreteStatsTable[GroupByKey]=DiscreteStatsTable[[#This Row],[GroupByKey]])*DiscreteStatsTable[Average])),0)</f>
        <v>1.1766434570133149</v>
      </c>
      <c r="P214" s="5" cm="1">
        <f t="array" ref="P214">MAX(IF((ProjectInfoTable[ProjectName]=DiscreteStatsTable[[#This Row],[ProjectName]]),(ProjectInfoTable[ProjectName]=DiscreteStatsTable[[#This Row],[ProjectName]])*ProjectInfoTable[ConfidenceInterval]))</f>
        <v>0.95</v>
      </c>
      <c r="Q214" s="5">
        <f>IF(AND(DiscreteStatsTable[[#This Row],[RepsWithStatObserved]]=1,Y214=0),200000000000000000000,IFERROR(_xlfn.T.INV.2T(1 -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0.33439837052280896</v>
      </c>
      <c r="R214" s="5" cm="1">
        <f t="array" ref="R214">MIN(IF((DiscreteStatsTable[GroupByKey]=DiscreteStatsTable[[#This Row],[GroupByKey]]),(DiscreteStatsTable[GroupByKey]=DiscreteStatsTable[[#This Row],[GroupByKey]])*DiscreteStatsTable[Average]))</f>
        <v>1.6342264652107701</v>
      </c>
      <c r="S214" s="5" cm="1">
        <f t="array" ref="S214">MAX(IF((DiscreteStatsTable[GroupByKey]=DiscreteStatsTable[[#This Row],[GroupByKey]]),(DiscreteStatsTable[GroupByKey]=DiscreteStatsTable[[#This Row],[GroupByKey]])*DiscreteStatsTable[Average]))</f>
        <v>6.5527373550837904</v>
      </c>
      <c r="T214" s="5" cm="1">
        <f t="array" ref="T214">MIN(IF((DiscreteStatsTable[GroupByKey]=DiscreteStatsTable[[#This Row],[GroupByKey]]),(DiscreteStatsTable[GroupByKey]=DiscreteStatsTable[[#This Row],[GroupByKey]])*DiscreteStatsTable[Minimum]))</f>
        <v>0.58847912081681497</v>
      </c>
      <c r="U214" s="5" cm="1">
        <f t="array" ref="U214">MAX(IF((DiscreteStatsTable[GroupByKey]=DiscreteStatsTable[[#This Row],[GroupByKey]]),(DiscreteStatsTable[GroupByKey]=DiscreteStatsTable[[#This Row],[GroupByKey]])*DiscreteStatsTable[Maximum]))</f>
        <v>8.7476494546828292</v>
      </c>
      <c r="V214" s="5" cm="1">
        <f t="array" ref="V214">IFERROR(AVERAGE(IF((DiscreteStatsTable[GroupByKey]=DiscreteStatsTable[[#This Row],[GroupByKey]]),(DiscreteStatsTable[GroupByKey]=DiscreteStatsTable[[#This Row],[GroupByKey]])*DiscreteStatsTable[NumberObservations])),0)</f>
        <v>3.62</v>
      </c>
      <c r="W214" s="5">
        <f>IF((DiscreteStatsTable[[#This Row],[RepsRequested]]&gt;1),DiscreteStatsTable[[#This Row],[HalfWidth]],DiscreteStatsTable[[#This Row],[BatchMeansHalfWidth]])</f>
        <v>0.33439837052280896</v>
      </c>
      <c r="X214" s="5" cm="1">
        <f t="array" ref="X214">COUNT(IF((DiscreteStatsTable[GroupByKey]=DiscreteStatsTable[[#This Row],[GroupByKey]]),(DiscreteStatsTable[GroupByKey]=DiscreteStatsTable[[#This Row],[GroupByKey]])*DiscreteStatsTable[Replication]))</f>
        <v>50</v>
      </c>
      <c r="Y214" s="5">
        <f>IF(DiscreteStatsTable[[#This Row],[RepsRequested]]=DiscreteStatsTable[[#This Row],[RepsWithStatObserved]],1,0)</f>
        <v>1</v>
      </c>
    </row>
    <row r="215" spans="1:25" x14ac:dyDescent="0.35">
      <c r="A215" t="s">
        <v>66</v>
      </c>
      <c r="B215" t="s">
        <v>69</v>
      </c>
      <c r="C215">
        <v>36</v>
      </c>
      <c r="D215" t="s">
        <v>70</v>
      </c>
      <c r="E215" t="s">
        <v>75</v>
      </c>
      <c r="F215" t="s">
        <v>72</v>
      </c>
      <c r="G215">
        <v>0</v>
      </c>
      <c r="H215">
        <v>2E+20</v>
      </c>
      <c r="I215">
        <v>0</v>
      </c>
      <c r="J215">
        <v>0</v>
      </c>
      <c r="K215">
        <v>4</v>
      </c>
      <c r="L215" s="5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215" s="5" cm="1">
        <f t="array" ref="M215">MAX(IF((ProjectInfoTable[ProjectName]=DiscreteStatsTable[[#This Row],[ProjectName]]),(ProjectInfoTable[ProjectName]=DiscreteStatsTable[[#This Row],[ProjectName]])*ProjectInfoTable[NumberOfReplications]))</f>
        <v>50</v>
      </c>
      <c r="N215" s="5" cm="1">
        <f t="array" ref="N215">IFERROR(AVERAGE(IF((DiscreteStatsTable[GroupByKey]=DiscreteStatsTable[[#This Row],[GroupByKey]]),(DiscreteStatsTable[GroupByKey]=DiscreteStatsTable[[#This Row],[GroupByKey]])*DiscreteStatsTable[Average])),0)</f>
        <v>0</v>
      </c>
      <c r="O215" s="5" cm="1">
        <f t="array" ref="O215">IFERROR(_xlfn.STDEV.S(IF((DiscreteStatsTable[GroupByKey]=DiscreteStatsTable[[#This Row],[GroupByKey]]),(DiscreteStatsTable[GroupByKey]=DiscreteStatsTable[[#This Row],[GroupByKey]])*DiscreteStatsTable[Average])),0)</f>
        <v>0</v>
      </c>
      <c r="P215" s="5" cm="1">
        <f t="array" ref="P215">MAX(IF((ProjectInfoTable[ProjectName]=DiscreteStatsTable[[#This Row],[ProjectName]]),(ProjectInfoTable[ProjectName]=DiscreteStatsTable[[#This Row],[ProjectName]])*ProjectInfoTable[ConfidenceInterval]))</f>
        <v>0.95</v>
      </c>
      <c r="Q215" s="5">
        <f>IF(AND(DiscreteStatsTable[[#This Row],[RepsWithStatObserved]]=1,Y215=0),200000000000000000000,IFERROR(_xlfn.T.INV.2T(1 -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5" s="5" cm="1">
        <f t="array" ref="R215">MIN(IF((DiscreteStatsTable[GroupByKey]=DiscreteStatsTable[[#This Row],[GroupByKey]]),(DiscreteStatsTable[GroupByKey]=DiscreteStatsTable[[#This Row],[GroupByKey]])*DiscreteStatsTable[Average]))</f>
        <v>0</v>
      </c>
      <c r="S215" s="5" cm="1">
        <f t="array" ref="S215">MAX(IF((DiscreteStatsTable[GroupByKey]=DiscreteStatsTable[[#This Row],[GroupByKey]]),(DiscreteStatsTable[GroupByKey]=DiscreteStatsTable[[#This Row],[GroupByKey]])*DiscreteStatsTable[Average]))</f>
        <v>0</v>
      </c>
      <c r="T215" s="5" cm="1">
        <f t="array" ref="T215">MIN(IF((DiscreteStatsTable[GroupByKey]=DiscreteStatsTable[[#This Row],[GroupByKey]]),(DiscreteStatsTable[GroupByKey]=DiscreteStatsTable[[#This Row],[GroupByKey]])*DiscreteStatsTable[Minimum]))</f>
        <v>0</v>
      </c>
      <c r="U215" s="5" cm="1">
        <f t="array" ref="U215">MAX(IF((DiscreteStatsTable[GroupByKey]=DiscreteStatsTable[[#This Row],[GroupByKey]]),(DiscreteStatsTable[GroupByKey]=DiscreteStatsTable[[#This Row],[GroupByKey]])*DiscreteStatsTable[Maximum]))</f>
        <v>0</v>
      </c>
      <c r="V215" s="5" cm="1">
        <f t="array" ref="V215">IFERROR(AVERAGE(IF((DiscreteStatsTable[GroupByKey]=DiscreteStatsTable[[#This Row],[GroupByKey]]),(DiscreteStatsTable[GroupByKey]=DiscreteStatsTable[[#This Row],[GroupByKey]])*DiscreteStatsTable[NumberObservations])),0)</f>
        <v>3.62</v>
      </c>
      <c r="W215" s="5">
        <f>IF((DiscreteStatsTable[[#This Row],[RepsRequested]]&gt;1),DiscreteStatsTable[[#This Row],[HalfWidth]],DiscreteStatsTable[[#This Row],[BatchMeansHalfWidth]])</f>
        <v>0</v>
      </c>
      <c r="X215" s="5" cm="1">
        <f t="array" ref="X215">COUNT(IF((DiscreteStatsTable[GroupByKey]=DiscreteStatsTable[[#This Row],[GroupByKey]]),(DiscreteStatsTable[GroupByKey]=DiscreteStatsTable[[#This Row],[GroupByKey]])*DiscreteStatsTable[Replication]))</f>
        <v>50</v>
      </c>
      <c r="Y215" s="5">
        <f>IF(DiscreteStatsTable[[#This Row],[RepsRequested]]=DiscreteStatsTable[[#This Row],[RepsWithStatObserved]],1,0)</f>
        <v>1</v>
      </c>
    </row>
    <row r="216" spans="1:25" x14ac:dyDescent="0.35">
      <c r="A216" t="s">
        <v>66</v>
      </c>
      <c r="B216" t="s">
        <v>69</v>
      </c>
      <c r="C216">
        <v>36</v>
      </c>
      <c r="D216" t="s">
        <v>70</v>
      </c>
      <c r="E216" t="s">
        <v>76</v>
      </c>
      <c r="F216" t="s">
        <v>72</v>
      </c>
      <c r="G216">
        <v>2.04915773117445</v>
      </c>
      <c r="H216">
        <v>2E+20</v>
      </c>
      <c r="I216">
        <v>1.042376650844</v>
      </c>
      <c r="J216">
        <v>3.1395319408309499</v>
      </c>
      <c r="K216">
        <v>4</v>
      </c>
      <c r="L216" s="5" t="str">
        <f>DiscreteStatsTable[[#This Row],[ProjectName]]&amp;DiscreteStatsTable[[#This Row],[Name]]&amp;DiscreteStatsTable[[#This Row],[Type]]&amp;DiscreteStatsTable[[#This Row],[Source]]</f>
        <v>Unnamed ProjectArquivosVA TimeEntity</v>
      </c>
      <c r="M216" s="5" cm="1">
        <f t="array" ref="M216">MAX(IF((ProjectInfoTable[ProjectName]=DiscreteStatsTable[[#This Row],[ProjectName]]),(ProjectInfoTable[ProjectName]=DiscreteStatsTable[[#This Row],[ProjectName]])*ProjectInfoTable[NumberOfReplications]))</f>
        <v>50</v>
      </c>
      <c r="N216" s="5" cm="1">
        <f t="array" ref="N216">IFERROR(AVERAGE(IF((DiscreteStatsTable[GroupByKey]=DiscreteStatsTable[[#This Row],[GroupByKey]]),(DiscreteStatsTable[GroupByKey]=DiscreteStatsTable[[#This Row],[GroupByKey]])*DiscreteStatsTable[Average])),0)</f>
        <v>2.3123810058270009</v>
      </c>
      <c r="O216" s="5" cm="1">
        <f t="array" ref="O216">IFERROR(_xlfn.STDEV.S(IF((DiscreteStatsTable[GroupByKey]=DiscreteStatsTable[[#This Row],[GroupByKey]]),(DiscreteStatsTable[GroupByKey]=DiscreteStatsTable[[#This Row],[GroupByKey]])*DiscreteStatsTable[Average])),0)</f>
        <v>0.47735516285795621</v>
      </c>
      <c r="P216" s="5" cm="1">
        <f t="array" ref="P216">MAX(IF((ProjectInfoTable[ProjectName]=DiscreteStatsTable[[#This Row],[ProjectName]]),(ProjectInfoTable[ProjectName]=DiscreteStatsTable[[#This Row],[ProjectName]])*ProjectInfoTable[ConfidenceInterval]))</f>
        <v>0.95</v>
      </c>
      <c r="Q216" s="5">
        <f>IF(AND(DiscreteStatsTable[[#This Row],[RepsWithStatObserved]]=1,Y216=0),200000000000000000000,IFERROR(_xlfn.T.INV.2T(1 -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0.13566283623888314</v>
      </c>
      <c r="R216" s="5" cm="1">
        <f t="array" ref="R216">MIN(IF((DiscreteStatsTable[GroupByKey]=DiscreteStatsTable[[#This Row],[GroupByKey]]),(DiscreteStatsTable[GroupByKey]=DiscreteStatsTable[[#This Row],[GroupByKey]])*DiscreteStatsTable[Average]))</f>
        <v>1.3773415743205399</v>
      </c>
      <c r="S216" s="5" cm="1">
        <f t="array" ref="S216">MAX(IF((DiscreteStatsTable[GroupByKey]=DiscreteStatsTable[[#This Row],[GroupByKey]]),(DiscreteStatsTable[GroupByKey]=DiscreteStatsTable[[#This Row],[GroupByKey]])*DiscreteStatsTable[Average]))</f>
        <v>3.3139161730180202</v>
      </c>
      <c r="T216" s="5" cm="1">
        <f t="array" ref="T216">MIN(IF((DiscreteStatsTable[GroupByKey]=DiscreteStatsTable[[#This Row],[GroupByKey]]),(DiscreteStatsTable[GroupByKey]=DiscreteStatsTable[[#This Row],[GroupByKey]])*DiscreteStatsTable[Minimum]))</f>
        <v>0.58847912081681497</v>
      </c>
      <c r="U216" s="5" cm="1">
        <f t="array" ref="U216">MAX(IF((DiscreteStatsTable[GroupByKey]=DiscreteStatsTable[[#This Row],[GroupByKey]]),(DiscreteStatsTable[GroupByKey]=DiscreteStatsTable[[#This Row],[GroupByKey]])*DiscreteStatsTable[Maximum]))</f>
        <v>4.9756405925629998</v>
      </c>
      <c r="V216" s="5" cm="1">
        <f t="array" ref="V216">IFERROR(AVERAGE(IF((DiscreteStatsTable[GroupByKey]=DiscreteStatsTable[[#This Row],[GroupByKey]]),(DiscreteStatsTable[GroupByKey]=DiscreteStatsTable[[#This Row],[GroupByKey]])*DiscreteStatsTable[NumberObservations])),0)</f>
        <v>3.62</v>
      </c>
      <c r="W216" s="5">
        <f>IF((DiscreteStatsTable[[#This Row],[RepsRequested]]&gt;1),DiscreteStatsTable[[#This Row],[HalfWidth]],DiscreteStatsTable[[#This Row],[BatchMeansHalfWidth]])</f>
        <v>0.13566283623888314</v>
      </c>
      <c r="X216" s="5" cm="1">
        <f t="array" ref="X216">COUNT(IF((DiscreteStatsTable[GroupByKey]=DiscreteStatsTable[[#This Row],[GroupByKey]]),(DiscreteStatsTable[GroupByKey]=DiscreteStatsTable[[#This Row],[GroupByKey]])*DiscreteStatsTable[Replication]))</f>
        <v>50</v>
      </c>
      <c r="Y216" s="5">
        <f>IF(DiscreteStatsTable[[#This Row],[RepsRequested]]=DiscreteStatsTable[[#This Row],[RepsWithStatObserved]],1,0)</f>
        <v>1</v>
      </c>
    </row>
    <row r="217" spans="1:25" x14ac:dyDescent="0.35">
      <c r="A217" t="s">
        <v>66</v>
      </c>
      <c r="B217" t="s">
        <v>69</v>
      </c>
      <c r="C217">
        <v>36</v>
      </c>
      <c r="D217" t="s">
        <v>70</v>
      </c>
      <c r="E217" t="s">
        <v>77</v>
      </c>
      <c r="F217" t="s">
        <v>72</v>
      </c>
      <c r="G217">
        <v>1.17881205695108</v>
      </c>
      <c r="H217">
        <v>2E+20</v>
      </c>
      <c r="I217">
        <v>0</v>
      </c>
      <c r="J217">
        <v>2.8891280323913699</v>
      </c>
      <c r="K217">
        <v>4</v>
      </c>
      <c r="L217" s="5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217" s="5" cm="1">
        <f t="array" ref="M217">MAX(IF((ProjectInfoTable[ProjectName]=DiscreteStatsTable[[#This Row],[ProjectName]]),(ProjectInfoTable[ProjectName]=DiscreteStatsTable[[#This Row],[ProjectName]])*ProjectInfoTable[NumberOfReplications]))</f>
        <v>50</v>
      </c>
      <c r="N217" s="5" cm="1">
        <f t="array" ref="N217">IFERROR(AVERAGE(IF((DiscreteStatsTable[GroupByKey]=DiscreteStatsTable[[#This Row],[GroupByKey]]),(DiscreteStatsTable[GroupByKey]=DiscreteStatsTable[[#This Row],[GroupByKey]])*DiscreteStatsTable[Average])),0)</f>
        <v>1.2240084441262762</v>
      </c>
      <c r="O217" s="5" cm="1">
        <f t="array" ref="O217">IFERROR(_xlfn.STDEV.S(IF((DiscreteStatsTable[GroupByKey]=DiscreteStatsTable[[#This Row],[GroupByKey]]),(DiscreteStatsTable[GroupByKey]=DiscreteStatsTable[[#This Row],[GroupByKey]])*DiscreteStatsTable[Average])),0)</f>
        <v>0.89867905452837749</v>
      </c>
      <c r="P217" s="5" cm="1">
        <f t="array" ref="P217">MAX(IF((ProjectInfoTable[ProjectName]=DiscreteStatsTable[[#This Row],[ProjectName]]),(ProjectInfoTable[ProjectName]=DiscreteStatsTable[[#This Row],[ProjectName]])*ProjectInfoTable[ConfidenceInterval]))</f>
        <v>0.95</v>
      </c>
      <c r="Q217" s="5">
        <f>IF(AND(DiscreteStatsTable[[#This Row],[RepsWithStatObserved]]=1,Y217=0),200000000000000000000,IFERROR(_xlfn.T.INV.2T(1 -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0.2554017613968404</v>
      </c>
      <c r="R217" s="5" cm="1">
        <f t="array" ref="R217">MIN(IF((DiscreteStatsTable[GroupByKey]=DiscreteStatsTable[[#This Row],[GroupByKey]]),(DiscreteStatsTable[GroupByKey]=DiscreteStatsTable[[#This Row],[GroupByKey]])*DiscreteStatsTable[Average]))</f>
        <v>0</v>
      </c>
      <c r="S217" s="5" cm="1">
        <f t="array" ref="S217">MAX(IF((DiscreteStatsTable[GroupByKey]=DiscreteStatsTable[[#This Row],[GroupByKey]]),(DiscreteStatsTable[GroupByKey]=DiscreteStatsTable[[#This Row],[GroupByKey]])*DiscreteStatsTable[Average]))</f>
        <v>3.4345522286517598</v>
      </c>
      <c r="T217" s="5" cm="1">
        <f t="array" ref="T217">MIN(IF((DiscreteStatsTable[GroupByKey]=DiscreteStatsTable[[#This Row],[GroupByKey]]),(DiscreteStatsTable[GroupByKey]=DiscreteStatsTable[[#This Row],[GroupByKey]])*DiscreteStatsTable[Minimum]))</f>
        <v>0</v>
      </c>
      <c r="U217" s="5" cm="1">
        <f t="array" ref="U217">MAX(IF((DiscreteStatsTable[GroupByKey]=DiscreteStatsTable[[#This Row],[GroupByKey]]),(DiscreteStatsTable[GroupByKey]=DiscreteStatsTable[[#This Row],[GroupByKey]])*DiscreteStatsTable[Maximum]))</f>
        <v>6.7563093676697896</v>
      </c>
      <c r="V217" s="5" cm="1">
        <f t="array" ref="V217">IFERROR(AVERAGE(IF((DiscreteStatsTable[GroupByKey]=DiscreteStatsTable[[#This Row],[GroupByKey]]),(DiscreteStatsTable[GroupByKey]=DiscreteStatsTable[[#This Row],[GroupByKey]])*DiscreteStatsTable[NumberObservations])),0)</f>
        <v>3.62</v>
      </c>
      <c r="W217" s="5">
        <f>IF((DiscreteStatsTable[[#This Row],[RepsRequested]]&gt;1),DiscreteStatsTable[[#This Row],[HalfWidth]],DiscreteStatsTable[[#This Row],[BatchMeansHalfWidth]])</f>
        <v>0.2554017613968404</v>
      </c>
      <c r="X217" s="5" cm="1">
        <f t="array" ref="X217">COUNT(IF((DiscreteStatsTable[GroupByKey]=DiscreteStatsTable[[#This Row],[GroupByKey]]),(DiscreteStatsTable[GroupByKey]=DiscreteStatsTable[[#This Row],[GroupByKey]])*DiscreteStatsTable[Replication]))</f>
        <v>50</v>
      </c>
      <c r="Y217" s="5">
        <f>IF(DiscreteStatsTable[[#This Row],[RepsRequested]]=DiscreteStatsTable[[#This Row],[RepsWithStatObserved]],1,0)</f>
        <v>1</v>
      </c>
    </row>
    <row r="218" spans="1:25" x14ac:dyDescent="0.35">
      <c r="A218" t="s">
        <v>66</v>
      </c>
      <c r="B218" t="s">
        <v>69</v>
      </c>
      <c r="C218">
        <v>37</v>
      </c>
      <c r="D218" t="s">
        <v>70</v>
      </c>
      <c r="E218" t="s">
        <v>71</v>
      </c>
      <c r="F218" t="s">
        <v>72</v>
      </c>
      <c r="G218">
        <v>0</v>
      </c>
      <c r="H218">
        <v>2E+20</v>
      </c>
      <c r="I218">
        <v>0</v>
      </c>
      <c r="J218">
        <v>0</v>
      </c>
      <c r="K218">
        <v>3</v>
      </c>
      <c r="L218" s="5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218" s="5" cm="1">
        <f t="array" ref="M218">MAX(IF((ProjectInfoTable[ProjectName]=DiscreteStatsTable[[#This Row],[ProjectName]]),(ProjectInfoTable[ProjectName]=DiscreteStatsTable[[#This Row],[ProjectName]])*ProjectInfoTable[NumberOfReplications]))</f>
        <v>50</v>
      </c>
      <c r="N218" s="5" cm="1">
        <f t="array" ref="N218">IFERROR(AVERAGE(IF((DiscreteStatsTable[GroupByKey]=DiscreteStatsTable[[#This Row],[GroupByKey]]),(DiscreteStatsTable[GroupByKey]=DiscreteStatsTable[[#This Row],[GroupByKey]])*DiscreteStatsTable[Average])),0)</f>
        <v>0</v>
      </c>
      <c r="O218" s="5" cm="1">
        <f t="array" ref="O218">IFERROR(_xlfn.STDEV.S(IF((DiscreteStatsTable[GroupByKey]=DiscreteStatsTable[[#This Row],[GroupByKey]]),(DiscreteStatsTable[GroupByKey]=DiscreteStatsTable[[#This Row],[GroupByKey]])*DiscreteStatsTable[Average])),0)</f>
        <v>0</v>
      </c>
      <c r="P218" s="5" cm="1">
        <f t="array" ref="P218">MAX(IF((ProjectInfoTable[ProjectName]=DiscreteStatsTable[[#This Row],[ProjectName]]),(ProjectInfoTable[ProjectName]=DiscreteStatsTable[[#This Row],[ProjectName]])*ProjectInfoTable[ConfidenceInterval]))</f>
        <v>0.95</v>
      </c>
      <c r="Q218" s="5">
        <f>IF(AND(DiscreteStatsTable[[#This Row],[RepsWithStatObserved]]=1,Y218=0),200000000000000000000,IFERROR(_xlfn.T.INV.2T(1 -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8" s="5" cm="1">
        <f t="array" ref="R218">MIN(IF((DiscreteStatsTable[GroupByKey]=DiscreteStatsTable[[#This Row],[GroupByKey]]),(DiscreteStatsTable[GroupByKey]=DiscreteStatsTable[[#This Row],[GroupByKey]])*DiscreteStatsTable[Average]))</f>
        <v>0</v>
      </c>
      <c r="S218" s="5" cm="1">
        <f t="array" ref="S218">MAX(IF((DiscreteStatsTable[GroupByKey]=DiscreteStatsTable[[#This Row],[GroupByKey]]),(DiscreteStatsTable[GroupByKey]=DiscreteStatsTable[[#This Row],[GroupByKey]])*DiscreteStatsTable[Average]))</f>
        <v>0</v>
      </c>
      <c r="T218" s="5" cm="1">
        <f t="array" ref="T218">MIN(IF((DiscreteStatsTable[GroupByKey]=DiscreteStatsTable[[#This Row],[GroupByKey]]),(DiscreteStatsTable[GroupByKey]=DiscreteStatsTable[[#This Row],[GroupByKey]])*DiscreteStatsTable[Minimum]))</f>
        <v>0</v>
      </c>
      <c r="U218" s="5" cm="1">
        <f t="array" ref="U218">MAX(IF((DiscreteStatsTable[GroupByKey]=DiscreteStatsTable[[#This Row],[GroupByKey]]),(DiscreteStatsTable[GroupByKey]=DiscreteStatsTable[[#This Row],[GroupByKey]])*DiscreteStatsTable[Maximum]))</f>
        <v>0</v>
      </c>
      <c r="V218" s="5" cm="1">
        <f t="array" ref="V218">IFERROR(AVERAGE(IF((DiscreteStatsTable[GroupByKey]=DiscreteStatsTable[[#This Row],[GroupByKey]]),(DiscreteStatsTable[GroupByKey]=DiscreteStatsTable[[#This Row],[GroupByKey]])*DiscreteStatsTable[NumberObservations])),0)</f>
        <v>3.62</v>
      </c>
      <c r="W218" s="5">
        <f>IF((DiscreteStatsTable[[#This Row],[RepsRequested]]&gt;1),DiscreteStatsTable[[#This Row],[HalfWidth]],DiscreteStatsTable[[#This Row],[BatchMeansHalfWidth]])</f>
        <v>0</v>
      </c>
      <c r="X218" s="5" cm="1">
        <f t="array" ref="X218">COUNT(IF((DiscreteStatsTable[GroupByKey]=DiscreteStatsTable[[#This Row],[GroupByKey]]),(DiscreteStatsTable[GroupByKey]=DiscreteStatsTable[[#This Row],[GroupByKey]])*DiscreteStatsTable[Replication]))</f>
        <v>50</v>
      </c>
      <c r="Y218" s="5">
        <f>IF(DiscreteStatsTable[[#This Row],[RepsRequested]]=DiscreteStatsTable[[#This Row],[RepsWithStatObserved]],1,0)</f>
        <v>1</v>
      </c>
    </row>
    <row r="219" spans="1:25" x14ac:dyDescent="0.35">
      <c r="A219" t="s">
        <v>66</v>
      </c>
      <c r="B219" t="s">
        <v>69</v>
      </c>
      <c r="C219">
        <v>37</v>
      </c>
      <c r="D219" t="s">
        <v>70</v>
      </c>
      <c r="E219" t="s">
        <v>73</v>
      </c>
      <c r="F219" t="s">
        <v>72</v>
      </c>
      <c r="G219">
        <v>0</v>
      </c>
      <c r="H219">
        <v>2E+20</v>
      </c>
      <c r="I219">
        <v>0</v>
      </c>
      <c r="J219">
        <v>0</v>
      </c>
      <c r="K219">
        <v>3</v>
      </c>
      <c r="L219" s="5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219" s="5" cm="1">
        <f t="array" ref="M219">MAX(IF((ProjectInfoTable[ProjectName]=DiscreteStatsTable[[#This Row],[ProjectName]]),(ProjectInfoTable[ProjectName]=DiscreteStatsTable[[#This Row],[ProjectName]])*ProjectInfoTable[NumberOfReplications]))</f>
        <v>50</v>
      </c>
      <c r="N219" s="5" cm="1">
        <f t="array" ref="N219">IFERROR(AVERAGE(IF((DiscreteStatsTable[GroupByKey]=DiscreteStatsTable[[#This Row],[GroupByKey]]),(DiscreteStatsTable[GroupByKey]=DiscreteStatsTable[[#This Row],[GroupByKey]])*DiscreteStatsTable[Average])),0)</f>
        <v>0</v>
      </c>
      <c r="O219" s="5" cm="1">
        <f t="array" ref="O219">IFERROR(_xlfn.STDEV.S(IF((DiscreteStatsTable[GroupByKey]=DiscreteStatsTable[[#This Row],[GroupByKey]]),(DiscreteStatsTable[GroupByKey]=DiscreteStatsTable[[#This Row],[GroupByKey]])*DiscreteStatsTable[Average])),0)</f>
        <v>0</v>
      </c>
      <c r="P219" s="5" cm="1">
        <f t="array" ref="P219">MAX(IF((ProjectInfoTable[ProjectName]=DiscreteStatsTable[[#This Row],[ProjectName]]),(ProjectInfoTable[ProjectName]=DiscreteStatsTable[[#This Row],[ProjectName]])*ProjectInfoTable[ConfidenceInterval]))</f>
        <v>0.95</v>
      </c>
      <c r="Q219" s="5">
        <f>IF(AND(DiscreteStatsTable[[#This Row],[RepsWithStatObserved]]=1,Y219=0),200000000000000000000,IFERROR(_xlfn.T.INV.2T(1 -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9" s="5" cm="1">
        <f t="array" ref="R219">MIN(IF((DiscreteStatsTable[GroupByKey]=DiscreteStatsTable[[#This Row],[GroupByKey]]),(DiscreteStatsTable[GroupByKey]=DiscreteStatsTable[[#This Row],[GroupByKey]])*DiscreteStatsTable[Average]))</f>
        <v>0</v>
      </c>
      <c r="S219" s="5" cm="1">
        <f t="array" ref="S219">MAX(IF((DiscreteStatsTable[GroupByKey]=DiscreteStatsTable[[#This Row],[GroupByKey]]),(DiscreteStatsTable[GroupByKey]=DiscreteStatsTable[[#This Row],[GroupByKey]])*DiscreteStatsTable[Average]))</f>
        <v>0</v>
      </c>
      <c r="T219" s="5" cm="1">
        <f t="array" ref="T219">MIN(IF((DiscreteStatsTable[GroupByKey]=DiscreteStatsTable[[#This Row],[GroupByKey]]),(DiscreteStatsTable[GroupByKey]=DiscreteStatsTable[[#This Row],[GroupByKey]])*DiscreteStatsTable[Minimum]))</f>
        <v>0</v>
      </c>
      <c r="U219" s="5" cm="1">
        <f t="array" ref="U219">MAX(IF((DiscreteStatsTable[GroupByKey]=DiscreteStatsTable[[#This Row],[GroupByKey]]),(DiscreteStatsTable[GroupByKey]=DiscreteStatsTable[[#This Row],[GroupByKey]])*DiscreteStatsTable[Maximum]))</f>
        <v>0</v>
      </c>
      <c r="V219" s="5" cm="1">
        <f t="array" ref="V219">IFERROR(AVERAGE(IF((DiscreteStatsTable[GroupByKey]=DiscreteStatsTable[[#This Row],[GroupByKey]]),(DiscreteStatsTable[GroupByKey]=DiscreteStatsTable[[#This Row],[GroupByKey]])*DiscreteStatsTable[NumberObservations])),0)</f>
        <v>3.62</v>
      </c>
      <c r="W219" s="5">
        <f>IF((DiscreteStatsTable[[#This Row],[RepsRequested]]&gt;1),DiscreteStatsTable[[#This Row],[HalfWidth]],DiscreteStatsTable[[#This Row],[BatchMeansHalfWidth]])</f>
        <v>0</v>
      </c>
      <c r="X219" s="5" cm="1">
        <f t="array" ref="X219">COUNT(IF((DiscreteStatsTable[GroupByKey]=DiscreteStatsTable[[#This Row],[GroupByKey]]),(DiscreteStatsTable[GroupByKey]=DiscreteStatsTable[[#This Row],[GroupByKey]])*DiscreteStatsTable[Replication]))</f>
        <v>50</v>
      </c>
      <c r="Y219" s="5">
        <f>IF(DiscreteStatsTable[[#This Row],[RepsRequested]]=DiscreteStatsTable[[#This Row],[RepsWithStatObserved]],1,0)</f>
        <v>1</v>
      </c>
    </row>
    <row r="220" spans="1:25" x14ac:dyDescent="0.35">
      <c r="A220" t="s">
        <v>66</v>
      </c>
      <c r="B220" t="s">
        <v>69</v>
      </c>
      <c r="C220">
        <v>37</v>
      </c>
      <c r="D220" t="s">
        <v>70</v>
      </c>
      <c r="E220" t="s">
        <v>74</v>
      </c>
      <c r="F220" t="s">
        <v>72</v>
      </c>
      <c r="G220">
        <v>5.8120608309622002</v>
      </c>
      <c r="H220">
        <v>2E+20</v>
      </c>
      <c r="I220">
        <v>3.40498638304061</v>
      </c>
      <c r="J220">
        <v>8.7476494546828292</v>
      </c>
      <c r="K220">
        <v>3</v>
      </c>
      <c r="L220" s="5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220" s="5" cm="1">
        <f t="array" ref="M220">MAX(IF((ProjectInfoTable[ProjectName]=DiscreteStatsTable[[#This Row],[ProjectName]]),(ProjectInfoTable[ProjectName]=DiscreteStatsTable[[#This Row],[ProjectName]])*ProjectInfoTable[NumberOfReplications]))</f>
        <v>50</v>
      </c>
      <c r="N220" s="5" cm="1">
        <f t="array" ref="N220">IFERROR(AVERAGE(IF((DiscreteStatsTable[GroupByKey]=DiscreteStatsTable[[#This Row],[GroupByKey]]),(DiscreteStatsTable[GroupByKey]=DiscreteStatsTable[[#This Row],[GroupByKey]])*DiscreteStatsTable[Average])),0)</f>
        <v>3.5363894499532775</v>
      </c>
      <c r="O220" s="5" cm="1">
        <f t="array" ref="O220">IFERROR(_xlfn.STDEV.S(IF((DiscreteStatsTable[GroupByKey]=DiscreteStatsTable[[#This Row],[GroupByKey]]),(DiscreteStatsTable[GroupByKey]=DiscreteStatsTable[[#This Row],[GroupByKey]])*DiscreteStatsTable[Average])),0)</f>
        <v>1.1766434570133149</v>
      </c>
      <c r="P220" s="5" cm="1">
        <f t="array" ref="P220">MAX(IF((ProjectInfoTable[ProjectName]=DiscreteStatsTable[[#This Row],[ProjectName]]),(ProjectInfoTable[ProjectName]=DiscreteStatsTable[[#This Row],[ProjectName]])*ProjectInfoTable[ConfidenceInterval]))</f>
        <v>0.95</v>
      </c>
      <c r="Q220" s="5">
        <f>IF(AND(DiscreteStatsTable[[#This Row],[RepsWithStatObserved]]=1,Y220=0),200000000000000000000,IFERROR(_xlfn.T.INV.2T(1 -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0.33439837052280896</v>
      </c>
      <c r="R220" s="5" cm="1">
        <f t="array" ref="R220">MIN(IF((DiscreteStatsTable[GroupByKey]=DiscreteStatsTable[[#This Row],[GroupByKey]]),(DiscreteStatsTable[GroupByKey]=DiscreteStatsTable[[#This Row],[GroupByKey]])*DiscreteStatsTable[Average]))</f>
        <v>1.6342264652107701</v>
      </c>
      <c r="S220" s="5" cm="1">
        <f t="array" ref="S220">MAX(IF((DiscreteStatsTable[GroupByKey]=DiscreteStatsTable[[#This Row],[GroupByKey]]),(DiscreteStatsTable[GroupByKey]=DiscreteStatsTable[[#This Row],[GroupByKey]])*DiscreteStatsTable[Average]))</f>
        <v>6.5527373550837904</v>
      </c>
      <c r="T220" s="5" cm="1">
        <f t="array" ref="T220">MIN(IF((DiscreteStatsTable[GroupByKey]=DiscreteStatsTable[[#This Row],[GroupByKey]]),(DiscreteStatsTable[GroupByKey]=DiscreteStatsTable[[#This Row],[GroupByKey]])*DiscreteStatsTable[Minimum]))</f>
        <v>0.58847912081681497</v>
      </c>
      <c r="U220" s="5" cm="1">
        <f t="array" ref="U220">MAX(IF((DiscreteStatsTable[GroupByKey]=DiscreteStatsTable[[#This Row],[GroupByKey]]),(DiscreteStatsTable[GroupByKey]=DiscreteStatsTable[[#This Row],[GroupByKey]])*DiscreteStatsTable[Maximum]))</f>
        <v>8.7476494546828292</v>
      </c>
      <c r="V220" s="5" cm="1">
        <f t="array" ref="V220">IFERROR(AVERAGE(IF((DiscreteStatsTable[GroupByKey]=DiscreteStatsTable[[#This Row],[GroupByKey]]),(DiscreteStatsTable[GroupByKey]=DiscreteStatsTable[[#This Row],[GroupByKey]])*DiscreteStatsTable[NumberObservations])),0)</f>
        <v>3.62</v>
      </c>
      <c r="W220" s="5">
        <f>IF((DiscreteStatsTable[[#This Row],[RepsRequested]]&gt;1),DiscreteStatsTable[[#This Row],[HalfWidth]],DiscreteStatsTable[[#This Row],[BatchMeansHalfWidth]])</f>
        <v>0.33439837052280896</v>
      </c>
      <c r="X220" s="5" cm="1">
        <f t="array" ref="X220">COUNT(IF((DiscreteStatsTable[GroupByKey]=DiscreteStatsTable[[#This Row],[GroupByKey]]),(DiscreteStatsTable[GroupByKey]=DiscreteStatsTable[[#This Row],[GroupByKey]])*DiscreteStatsTable[Replication]))</f>
        <v>50</v>
      </c>
      <c r="Y220" s="5">
        <f>IF(DiscreteStatsTable[[#This Row],[RepsRequested]]=DiscreteStatsTable[[#This Row],[RepsWithStatObserved]],1,0)</f>
        <v>1</v>
      </c>
    </row>
    <row r="221" spans="1:25" x14ac:dyDescent="0.35">
      <c r="A221" t="s">
        <v>66</v>
      </c>
      <c r="B221" t="s">
        <v>69</v>
      </c>
      <c r="C221">
        <v>37</v>
      </c>
      <c r="D221" t="s">
        <v>70</v>
      </c>
      <c r="E221" t="s">
        <v>75</v>
      </c>
      <c r="F221" t="s">
        <v>72</v>
      </c>
      <c r="G221">
        <v>0</v>
      </c>
      <c r="H221">
        <v>2E+20</v>
      </c>
      <c r="I221">
        <v>0</v>
      </c>
      <c r="J221">
        <v>0</v>
      </c>
      <c r="K221">
        <v>3</v>
      </c>
      <c r="L221" s="5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221" s="5" cm="1">
        <f t="array" ref="M221">MAX(IF((ProjectInfoTable[ProjectName]=DiscreteStatsTable[[#This Row],[ProjectName]]),(ProjectInfoTable[ProjectName]=DiscreteStatsTable[[#This Row],[ProjectName]])*ProjectInfoTable[NumberOfReplications]))</f>
        <v>50</v>
      </c>
      <c r="N221" s="5" cm="1">
        <f t="array" ref="N221">IFERROR(AVERAGE(IF((DiscreteStatsTable[GroupByKey]=DiscreteStatsTable[[#This Row],[GroupByKey]]),(DiscreteStatsTable[GroupByKey]=DiscreteStatsTable[[#This Row],[GroupByKey]])*DiscreteStatsTable[Average])),0)</f>
        <v>0</v>
      </c>
      <c r="O221" s="5" cm="1">
        <f t="array" ref="O221">IFERROR(_xlfn.STDEV.S(IF((DiscreteStatsTable[GroupByKey]=DiscreteStatsTable[[#This Row],[GroupByKey]]),(DiscreteStatsTable[GroupByKey]=DiscreteStatsTable[[#This Row],[GroupByKey]])*DiscreteStatsTable[Average])),0)</f>
        <v>0</v>
      </c>
      <c r="P221" s="5" cm="1">
        <f t="array" ref="P221">MAX(IF((ProjectInfoTable[ProjectName]=DiscreteStatsTable[[#This Row],[ProjectName]]),(ProjectInfoTable[ProjectName]=DiscreteStatsTable[[#This Row],[ProjectName]])*ProjectInfoTable[ConfidenceInterval]))</f>
        <v>0.95</v>
      </c>
      <c r="Q221" s="5">
        <f>IF(AND(DiscreteStatsTable[[#This Row],[RepsWithStatObserved]]=1,Y221=0),200000000000000000000,IFERROR(_xlfn.T.INV.2T(1 -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1" s="5" cm="1">
        <f t="array" ref="R221">MIN(IF((DiscreteStatsTable[GroupByKey]=DiscreteStatsTable[[#This Row],[GroupByKey]]),(DiscreteStatsTable[GroupByKey]=DiscreteStatsTable[[#This Row],[GroupByKey]])*DiscreteStatsTable[Average]))</f>
        <v>0</v>
      </c>
      <c r="S221" s="5" cm="1">
        <f t="array" ref="S221">MAX(IF((DiscreteStatsTable[GroupByKey]=DiscreteStatsTable[[#This Row],[GroupByKey]]),(DiscreteStatsTable[GroupByKey]=DiscreteStatsTable[[#This Row],[GroupByKey]])*DiscreteStatsTable[Average]))</f>
        <v>0</v>
      </c>
      <c r="T221" s="5" cm="1">
        <f t="array" ref="T221">MIN(IF((DiscreteStatsTable[GroupByKey]=DiscreteStatsTable[[#This Row],[GroupByKey]]),(DiscreteStatsTable[GroupByKey]=DiscreteStatsTable[[#This Row],[GroupByKey]])*DiscreteStatsTable[Minimum]))</f>
        <v>0</v>
      </c>
      <c r="U221" s="5" cm="1">
        <f t="array" ref="U221">MAX(IF((DiscreteStatsTable[GroupByKey]=DiscreteStatsTable[[#This Row],[GroupByKey]]),(DiscreteStatsTable[GroupByKey]=DiscreteStatsTable[[#This Row],[GroupByKey]])*DiscreteStatsTable[Maximum]))</f>
        <v>0</v>
      </c>
      <c r="V221" s="5" cm="1">
        <f t="array" ref="V221">IFERROR(AVERAGE(IF((DiscreteStatsTable[GroupByKey]=DiscreteStatsTable[[#This Row],[GroupByKey]]),(DiscreteStatsTable[GroupByKey]=DiscreteStatsTable[[#This Row],[GroupByKey]])*DiscreteStatsTable[NumberObservations])),0)</f>
        <v>3.62</v>
      </c>
      <c r="W221" s="5">
        <f>IF((DiscreteStatsTable[[#This Row],[RepsRequested]]&gt;1),DiscreteStatsTable[[#This Row],[HalfWidth]],DiscreteStatsTable[[#This Row],[BatchMeansHalfWidth]])</f>
        <v>0</v>
      </c>
      <c r="X221" s="5" cm="1">
        <f t="array" ref="X221">COUNT(IF((DiscreteStatsTable[GroupByKey]=DiscreteStatsTable[[#This Row],[GroupByKey]]),(DiscreteStatsTable[GroupByKey]=DiscreteStatsTable[[#This Row],[GroupByKey]])*DiscreteStatsTable[Replication]))</f>
        <v>50</v>
      </c>
      <c r="Y221" s="5">
        <f>IF(DiscreteStatsTable[[#This Row],[RepsRequested]]=DiscreteStatsTable[[#This Row],[RepsWithStatObserved]],1,0)</f>
        <v>1</v>
      </c>
    </row>
    <row r="222" spans="1:25" x14ac:dyDescent="0.35">
      <c r="A222" t="s">
        <v>66</v>
      </c>
      <c r="B222" t="s">
        <v>69</v>
      </c>
      <c r="C222">
        <v>37</v>
      </c>
      <c r="D222" t="s">
        <v>70</v>
      </c>
      <c r="E222" t="s">
        <v>76</v>
      </c>
      <c r="F222" t="s">
        <v>72</v>
      </c>
      <c r="G222">
        <v>3.2669271102214101</v>
      </c>
      <c r="H222">
        <v>2E+20</v>
      </c>
      <c r="I222">
        <v>2.8070368869298399</v>
      </c>
      <c r="J222">
        <v>3.5887580606937699</v>
      </c>
      <c r="K222">
        <v>3</v>
      </c>
      <c r="L222" s="5" t="str">
        <f>DiscreteStatsTable[[#This Row],[ProjectName]]&amp;DiscreteStatsTable[[#This Row],[Name]]&amp;DiscreteStatsTable[[#This Row],[Type]]&amp;DiscreteStatsTable[[#This Row],[Source]]</f>
        <v>Unnamed ProjectArquivosVA TimeEntity</v>
      </c>
      <c r="M222" s="5" cm="1">
        <f t="array" ref="M222">MAX(IF((ProjectInfoTable[ProjectName]=DiscreteStatsTable[[#This Row],[ProjectName]]),(ProjectInfoTable[ProjectName]=DiscreteStatsTable[[#This Row],[ProjectName]])*ProjectInfoTable[NumberOfReplications]))</f>
        <v>50</v>
      </c>
      <c r="N222" s="5" cm="1">
        <f t="array" ref="N222">IFERROR(AVERAGE(IF((DiscreteStatsTable[GroupByKey]=DiscreteStatsTable[[#This Row],[GroupByKey]]),(DiscreteStatsTable[GroupByKey]=DiscreteStatsTable[[#This Row],[GroupByKey]])*DiscreteStatsTable[Average])),0)</f>
        <v>2.3123810058270009</v>
      </c>
      <c r="O222" s="5" cm="1">
        <f t="array" ref="O222">IFERROR(_xlfn.STDEV.S(IF((DiscreteStatsTable[GroupByKey]=DiscreteStatsTable[[#This Row],[GroupByKey]]),(DiscreteStatsTable[GroupByKey]=DiscreteStatsTable[[#This Row],[GroupByKey]])*DiscreteStatsTable[Average])),0)</f>
        <v>0.47735516285795621</v>
      </c>
      <c r="P222" s="5" cm="1">
        <f t="array" ref="P222">MAX(IF((ProjectInfoTable[ProjectName]=DiscreteStatsTable[[#This Row],[ProjectName]]),(ProjectInfoTable[ProjectName]=DiscreteStatsTable[[#This Row],[ProjectName]])*ProjectInfoTable[ConfidenceInterval]))</f>
        <v>0.95</v>
      </c>
      <c r="Q222" s="5">
        <f>IF(AND(DiscreteStatsTable[[#This Row],[RepsWithStatObserved]]=1,Y222=0),200000000000000000000,IFERROR(_xlfn.T.INV.2T(1 -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0.13566283623888314</v>
      </c>
      <c r="R222" s="5" cm="1">
        <f t="array" ref="R222">MIN(IF((DiscreteStatsTable[GroupByKey]=DiscreteStatsTable[[#This Row],[GroupByKey]]),(DiscreteStatsTable[GroupByKey]=DiscreteStatsTable[[#This Row],[GroupByKey]])*DiscreteStatsTable[Average]))</f>
        <v>1.3773415743205399</v>
      </c>
      <c r="S222" s="5" cm="1">
        <f t="array" ref="S222">MAX(IF((DiscreteStatsTable[GroupByKey]=DiscreteStatsTable[[#This Row],[GroupByKey]]),(DiscreteStatsTable[GroupByKey]=DiscreteStatsTable[[#This Row],[GroupByKey]])*DiscreteStatsTable[Average]))</f>
        <v>3.3139161730180202</v>
      </c>
      <c r="T222" s="5" cm="1">
        <f t="array" ref="T222">MIN(IF((DiscreteStatsTable[GroupByKey]=DiscreteStatsTable[[#This Row],[GroupByKey]]),(DiscreteStatsTable[GroupByKey]=DiscreteStatsTable[[#This Row],[GroupByKey]])*DiscreteStatsTable[Minimum]))</f>
        <v>0.58847912081681497</v>
      </c>
      <c r="U222" s="5" cm="1">
        <f t="array" ref="U222">MAX(IF((DiscreteStatsTable[GroupByKey]=DiscreteStatsTable[[#This Row],[GroupByKey]]),(DiscreteStatsTable[GroupByKey]=DiscreteStatsTable[[#This Row],[GroupByKey]])*DiscreteStatsTable[Maximum]))</f>
        <v>4.9756405925629998</v>
      </c>
      <c r="V222" s="5" cm="1">
        <f t="array" ref="V222">IFERROR(AVERAGE(IF((DiscreteStatsTable[GroupByKey]=DiscreteStatsTable[[#This Row],[GroupByKey]]),(DiscreteStatsTable[GroupByKey]=DiscreteStatsTable[[#This Row],[GroupByKey]])*DiscreteStatsTable[NumberObservations])),0)</f>
        <v>3.62</v>
      </c>
      <c r="W222" s="5">
        <f>IF((DiscreteStatsTable[[#This Row],[RepsRequested]]&gt;1),DiscreteStatsTable[[#This Row],[HalfWidth]],DiscreteStatsTable[[#This Row],[BatchMeansHalfWidth]])</f>
        <v>0.13566283623888314</v>
      </c>
      <c r="X222" s="5" cm="1">
        <f t="array" ref="X222">COUNT(IF((DiscreteStatsTable[GroupByKey]=DiscreteStatsTable[[#This Row],[GroupByKey]]),(DiscreteStatsTable[GroupByKey]=DiscreteStatsTable[[#This Row],[GroupByKey]])*DiscreteStatsTable[Replication]))</f>
        <v>50</v>
      </c>
      <c r="Y222" s="5">
        <f>IF(DiscreteStatsTable[[#This Row],[RepsRequested]]=DiscreteStatsTable[[#This Row],[RepsWithStatObserved]],1,0)</f>
        <v>1</v>
      </c>
    </row>
    <row r="223" spans="1:25" x14ac:dyDescent="0.35">
      <c r="A223" t="s">
        <v>66</v>
      </c>
      <c r="B223" t="s">
        <v>69</v>
      </c>
      <c r="C223">
        <v>37</v>
      </c>
      <c r="D223" t="s">
        <v>70</v>
      </c>
      <c r="E223" t="s">
        <v>77</v>
      </c>
      <c r="F223" t="s">
        <v>72</v>
      </c>
      <c r="G223">
        <v>2.54513372074079</v>
      </c>
      <c r="H223">
        <v>2E+20</v>
      </c>
      <c r="I223">
        <v>0</v>
      </c>
      <c r="J223">
        <v>5.1588913939890499</v>
      </c>
      <c r="K223">
        <v>3</v>
      </c>
      <c r="L223" s="5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223" s="5" cm="1">
        <f t="array" ref="M223">MAX(IF((ProjectInfoTable[ProjectName]=DiscreteStatsTable[[#This Row],[ProjectName]]),(ProjectInfoTable[ProjectName]=DiscreteStatsTable[[#This Row],[ProjectName]])*ProjectInfoTable[NumberOfReplications]))</f>
        <v>50</v>
      </c>
      <c r="N223" s="5" cm="1">
        <f t="array" ref="N223">IFERROR(AVERAGE(IF((DiscreteStatsTable[GroupByKey]=DiscreteStatsTable[[#This Row],[GroupByKey]]),(DiscreteStatsTable[GroupByKey]=DiscreteStatsTable[[#This Row],[GroupByKey]])*DiscreteStatsTable[Average])),0)</f>
        <v>1.2240084441262762</v>
      </c>
      <c r="O223" s="5" cm="1">
        <f t="array" ref="O223">IFERROR(_xlfn.STDEV.S(IF((DiscreteStatsTable[GroupByKey]=DiscreteStatsTable[[#This Row],[GroupByKey]]),(DiscreteStatsTable[GroupByKey]=DiscreteStatsTable[[#This Row],[GroupByKey]])*DiscreteStatsTable[Average])),0)</f>
        <v>0.89867905452837749</v>
      </c>
      <c r="P223" s="5" cm="1">
        <f t="array" ref="P223">MAX(IF((ProjectInfoTable[ProjectName]=DiscreteStatsTable[[#This Row],[ProjectName]]),(ProjectInfoTable[ProjectName]=DiscreteStatsTable[[#This Row],[ProjectName]])*ProjectInfoTable[ConfidenceInterval]))</f>
        <v>0.95</v>
      </c>
      <c r="Q223" s="5">
        <f>IF(AND(DiscreteStatsTable[[#This Row],[RepsWithStatObserved]]=1,Y223=0),200000000000000000000,IFERROR(_xlfn.T.INV.2T(1 -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0.2554017613968404</v>
      </c>
      <c r="R223" s="5" cm="1">
        <f t="array" ref="R223">MIN(IF((DiscreteStatsTable[GroupByKey]=DiscreteStatsTable[[#This Row],[GroupByKey]]),(DiscreteStatsTable[GroupByKey]=DiscreteStatsTable[[#This Row],[GroupByKey]])*DiscreteStatsTable[Average]))</f>
        <v>0</v>
      </c>
      <c r="S223" s="5" cm="1">
        <f t="array" ref="S223">MAX(IF((DiscreteStatsTable[GroupByKey]=DiscreteStatsTable[[#This Row],[GroupByKey]]),(DiscreteStatsTable[GroupByKey]=DiscreteStatsTable[[#This Row],[GroupByKey]])*DiscreteStatsTable[Average]))</f>
        <v>3.4345522286517598</v>
      </c>
      <c r="T223" s="5" cm="1">
        <f t="array" ref="T223">MIN(IF((DiscreteStatsTable[GroupByKey]=DiscreteStatsTable[[#This Row],[GroupByKey]]),(DiscreteStatsTable[GroupByKey]=DiscreteStatsTable[[#This Row],[GroupByKey]])*DiscreteStatsTable[Minimum]))</f>
        <v>0</v>
      </c>
      <c r="U223" s="5" cm="1">
        <f t="array" ref="U223">MAX(IF((DiscreteStatsTable[GroupByKey]=DiscreteStatsTable[[#This Row],[GroupByKey]]),(DiscreteStatsTable[GroupByKey]=DiscreteStatsTable[[#This Row],[GroupByKey]])*DiscreteStatsTable[Maximum]))</f>
        <v>6.7563093676697896</v>
      </c>
      <c r="V223" s="5" cm="1">
        <f t="array" ref="V223">IFERROR(AVERAGE(IF((DiscreteStatsTable[GroupByKey]=DiscreteStatsTable[[#This Row],[GroupByKey]]),(DiscreteStatsTable[GroupByKey]=DiscreteStatsTable[[#This Row],[GroupByKey]])*DiscreteStatsTable[NumberObservations])),0)</f>
        <v>3.62</v>
      </c>
      <c r="W223" s="5">
        <f>IF((DiscreteStatsTable[[#This Row],[RepsRequested]]&gt;1),DiscreteStatsTable[[#This Row],[HalfWidth]],DiscreteStatsTable[[#This Row],[BatchMeansHalfWidth]])</f>
        <v>0.2554017613968404</v>
      </c>
      <c r="X223" s="5" cm="1">
        <f t="array" ref="X223">COUNT(IF((DiscreteStatsTable[GroupByKey]=DiscreteStatsTable[[#This Row],[GroupByKey]]),(DiscreteStatsTable[GroupByKey]=DiscreteStatsTable[[#This Row],[GroupByKey]])*DiscreteStatsTable[Replication]))</f>
        <v>50</v>
      </c>
      <c r="Y223" s="5">
        <f>IF(DiscreteStatsTable[[#This Row],[RepsRequested]]=DiscreteStatsTable[[#This Row],[RepsWithStatObserved]],1,0)</f>
        <v>1</v>
      </c>
    </row>
    <row r="224" spans="1:25" x14ac:dyDescent="0.35">
      <c r="A224" t="s">
        <v>66</v>
      </c>
      <c r="B224" t="s">
        <v>69</v>
      </c>
      <c r="C224">
        <v>38</v>
      </c>
      <c r="D224" t="s">
        <v>70</v>
      </c>
      <c r="E224" t="s">
        <v>71</v>
      </c>
      <c r="F224" t="s">
        <v>72</v>
      </c>
      <c r="G224">
        <v>0</v>
      </c>
      <c r="H224">
        <v>2E+20</v>
      </c>
      <c r="I224">
        <v>0</v>
      </c>
      <c r="J224">
        <v>0</v>
      </c>
      <c r="K224">
        <v>3</v>
      </c>
      <c r="L224" s="5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224" s="5" cm="1">
        <f t="array" ref="M224">MAX(IF((ProjectInfoTable[ProjectName]=DiscreteStatsTable[[#This Row],[ProjectName]]),(ProjectInfoTable[ProjectName]=DiscreteStatsTable[[#This Row],[ProjectName]])*ProjectInfoTable[NumberOfReplications]))</f>
        <v>50</v>
      </c>
      <c r="N224" s="5" cm="1">
        <f t="array" ref="N224">IFERROR(AVERAGE(IF((DiscreteStatsTable[GroupByKey]=DiscreteStatsTable[[#This Row],[GroupByKey]]),(DiscreteStatsTable[GroupByKey]=DiscreteStatsTable[[#This Row],[GroupByKey]])*DiscreteStatsTable[Average])),0)</f>
        <v>0</v>
      </c>
      <c r="O224" s="5" cm="1">
        <f t="array" ref="O224">IFERROR(_xlfn.STDEV.S(IF((DiscreteStatsTable[GroupByKey]=DiscreteStatsTable[[#This Row],[GroupByKey]]),(DiscreteStatsTable[GroupByKey]=DiscreteStatsTable[[#This Row],[GroupByKey]])*DiscreteStatsTable[Average])),0)</f>
        <v>0</v>
      </c>
      <c r="P224" s="5" cm="1">
        <f t="array" ref="P224">MAX(IF((ProjectInfoTable[ProjectName]=DiscreteStatsTable[[#This Row],[ProjectName]]),(ProjectInfoTable[ProjectName]=DiscreteStatsTable[[#This Row],[ProjectName]])*ProjectInfoTable[ConfidenceInterval]))</f>
        <v>0.95</v>
      </c>
      <c r="Q224" s="5">
        <f>IF(AND(DiscreteStatsTable[[#This Row],[RepsWithStatObserved]]=1,Y224=0),200000000000000000000,IFERROR(_xlfn.T.INV.2T(1 -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4" s="5" cm="1">
        <f t="array" ref="R224">MIN(IF((DiscreteStatsTable[GroupByKey]=DiscreteStatsTable[[#This Row],[GroupByKey]]),(DiscreteStatsTable[GroupByKey]=DiscreteStatsTable[[#This Row],[GroupByKey]])*DiscreteStatsTable[Average]))</f>
        <v>0</v>
      </c>
      <c r="S224" s="5" cm="1">
        <f t="array" ref="S224">MAX(IF((DiscreteStatsTable[GroupByKey]=DiscreteStatsTable[[#This Row],[GroupByKey]]),(DiscreteStatsTable[GroupByKey]=DiscreteStatsTable[[#This Row],[GroupByKey]])*DiscreteStatsTable[Average]))</f>
        <v>0</v>
      </c>
      <c r="T224" s="5" cm="1">
        <f t="array" ref="T224">MIN(IF((DiscreteStatsTable[GroupByKey]=DiscreteStatsTable[[#This Row],[GroupByKey]]),(DiscreteStatsTable[GroupByKey]=DiscreteStatsTable[[#This Row],[GroupByKey]])*DiscreteStatsTable[Minimum]))</f>
        <v>0</v>
      </c>
      <c r="U224" s="5" cm="1">
        <f t="array" ref="U224">MAX(IF((DiscreteStatsTable[GroupByKey]=DiscreteStatsTable[[#This Row],[GroupByKey]]),(DiscreteStatsTable[GroupByKey]=DiscreteStatsTable[[#This Row],[GroupByKey]])*DiscreteStatsTable[Maximum]))</f>
        <v>0</v>
      </c>
      <c r="V224" s="5" cm="1">
        <f t="array" ref="V224">IFERROR(AVERAGE(IF((DiscreteStatsTable[GroupByKey]=DiscreteStatsTable[[#This Row],[GroupByKey]]),(DiscreteStatsTable[GroupByKey]=DiscreteStatsTable[[#This Row],[GroupByKey]])*DiscreteStatsTable[NumberObservations])),0)</f>
        <v>3.62</v>
      </c>
      <c r="W224" s="5">
        <f>IF((DiscreteStatsTable[[#This Row],[RepsRequested]]&gt;1),DiscreteStatsTable[[#This Row],[HalfWidth]],DiscreteStatsTable[[#This Row],[BatchMeansHalfWidth]])</f>
        <v>0</v>
      </c>
      <c r="X224" s="5" cm="1">
        <f t="array" ref="X224">COUNT(IF((DiscreteStatsTable[GroupByKey]=DiscreteStatsTable[[#This Row],[GroupByKey]]),(DiscreteStatsTable[GroupByKey]=DiscreteStatsTable[[#This Row],[GroupByKey]])*DiscreteStatsTable[Replication]))</f>
        <v>50</v>
      </c>
      <c r="Y224" s="5">
        <f>IF(DiscreteStatsTable[[#This Row],[RepsRequested]]=DiscreteStatsTable[[#This Row],[RepsWithStatObserved]],1,0)</f>
        <v>1</v>
      </c>
    </row>
    <row r="225" spans="1:25" x14ac:dyDescent="0.35">
      <c r="A225" t="s">
        <v>66</v>
      </c>
      <c r="B225" t="s">
        <v>69</v>
      </c>
      <c r="C225">
        <v>38</v>
      </c>
      <c r="D225" t="s">
        <v>70</v>
      </c>
      <c r="E225" t="s">
        <v>73</v>
      </c>
      <c r="F225" t="s">
        <v>72</v>
      </c>
      <c r="G225">
        <v>0</v>
      </c>
      <c r="H225">
        <v>2E+20</v>
      </c>
      <c r="I225">
        <v>0</v>
      </c>
      <c r="J225">
        <v>0</v>
      </c>
      <c r="K225">
        <v>3</v>
      </c>
      <c r="L225" s="5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225" s="5" cm="1">
        <f t="array" ref="M225">MAX(IF((ProjectInfoTable[ProjectName]=DiscreteStatsTable[[#This Row],[ProjectName]]),(ProjectInfoTable[ProjectName]=DiscreteStatsTable[[#This Row],[ProjectName]])*ProjectInfoTable[NumberOfReplications]))</f>
        <v>50</v>
      </c>
      <c r="N225" s="5" cm="1">
        <f t="array" ref="N225">IFERROR(AVERAGE(IF((DiscreteStatsTable[GroupByKey]=DiscreteStatsTable[[#This Row],[GroupByKey]]),(DiscreteStatsTable[GroupByKey]=DiscreteStatsTable[[#This Row],[GroupByKey]])*DiscreteStatsTable[Average])),0)</f>
        <v>0</v>
      </c>
      <c r="O225" s="5" cm="1">
        <f t="array" ref="O225">IFERROR(_xlfn.STDEV.S(IF((DiscreteStatsTable[GroupByKey]=DiscreteStatsTable[[#This Row],[GroupByKey]]),(DiscreteStatsTable[GroupByKey]=DiscreteStatsTable[[#This Row],[GroupByKey]])*DiscreteStatsTable[Average])),0)</f>
        <v>0</v>
      </c>
      <c r="P225" s="5" cm="1">
        <f t="array" ref="P225">MAX(IF((ProjectInfoTable[ProjectName]=DiscreteStatsTable[[#This Row],[ProjectName]]),(ProjectInfoTable[ProjectName]=DiscreteStatsTable[[#This Row],[ProjectName]])*ProjectInfoTable[ConfidenceInterval]))</f>
        <v>0.95</v>
      </c>
      <c r="Q225" s="5">
        <f>IF(AND(DiscreteStatsTable[[#This Row],[RepsWithStatObserved]]=1,Y225=0),200000000000000000000,IFERROR(_xlfn.T.INV.2T(1 -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5" s="5" cm="1">
        <f t="array" ref="R225">MIN(IF((DiscreteStatsTable[GroupByKey]=DiscreteStatsTable[[#This Row],[GroupByKey]]),(DiscreteStatsTable[GroupByKey]=DiscreteStatsTable[[#This Row],[GroupByKey]])*DiscreteStatsTable[Average]))</f>
        <v>0</v>
      </c>
      <c r="S225" s="5" cm="1">
        <f t="array" ref="S225">MAX(IF((DiscreteStatsTable[GroupByKey]=DiscreteStatsTable[[#This Row],[GroupByKey]]),(DiscreteStatsTable[GroupByKey]=DiscreteStatsTable[[#This Row],[GroupByKey]])*DiscreteStatsTable[Average]))</f>
        <v>0</v>
      </c>
      <c r="T225" s="5" cm="1">
        <f t="array" ref="T225">MIN(IF((DiscreteStatsTable[GroupByKey]=DiscreteStatsTable[[#This Row],[GroupByKey]]),(DiscreteStatsTable[GroupByKey]=DiscreteStatsTable[[#This Row],[GroupByKey]])*DiscreteStatsTable[Minimum]))</f>
        <v>0</v>
      </c>
      <c r="U225" s="5" cm="1">
        <f t="array" ref="U225">MAX(IF((DiscreteStatsTable[GroupByKey]=DiscreteStatsTable[[#This Row],[GroupByKey]]),(DiscreteStatsTable[GroupByKey]=DiscreteStatsTable[[#This Row],[GroupByKey]])*DiscreteStatsTable[Maximum]))</f>
        <v>0</v>
      </c>
      <c r="V225" s="5" cm="1">
        <f t="array" ref="V225">IFERROR(AVERAGE(IF((DiscreteStatsTable[GroupByKey]=DiscreteStatsTable[[#This Row],[GroupByKey]]),(DiscreteStatsTable[GroupByKey]=DiscreteStatsTable[[#This Row],[GroupByKey]])*DiscreteStatsTable[NumberObservations])),0)</f>
        <v>3.62</v>
      </c>
      <c r="W225" s="5">
        <f>IF((DiscreteStatsTable[[#This Row],[RepsRequested]]&gt;1),DiscreteStatsTable[[#This Row],[HalfWidth]],DiscreteStatsTable[[#This Row],[BatchMeansHalfWidth]])</f>
        <v>0</v>
      </c>
      <c r="X225" s="5" cm="1">
        <f t="array" ref="X225">COUNT(IF((DiscreteStatsTable[GroupByKey]=DiscreteStatsTable[[#This Row],[GroupByKey]]),(DiscreteStatsTable[GroupByKey]=DiscreteStatsTable[[#This Row],[GroupByKey]])*DiscreteStatsTable[Replication]))</f>
        <v>50</v>
      </c>
      <c r="Y225" s="5">
        <f>IF(DiscreteStatsTable[[#This Row],[RepsRequested]]=DiscreteStatsTable[[#This Row],[RepsWithStatObserved]],1,0)</f>
        <v>1</v>
      </c>
    </row>
    <row r="226" spans="1:25" x14ac:dyDescent="0.35">
      <c r="A226" t="s">
        <v>66</v>
      </c>
      <c r="B226" t="s">
        <v>69</v>
      </c>
      <c r="C226">
        <v>38</v>
      </c>
      <c r="D226" t="s">
        <v>70</v>
      </c>
      <c r="E226" t="s">
        <v>74</v>
      </c>
      <c r="F226" t="s">
        <v>72</v>
      </c>
      <c r="G226">
        <v>4.2594006896506897</v>
      </c>
      <c r="H226">
        <v>2E+20</v>
      </c>
      <c r="I226">
        <v>1.1777982576966</v>
      </c>
      <c r="J226">
        <v>6.7594234096946701</v>
      </c>
      <c r="K226">
        <v>3</v>
      </c>
      <c r="L226" s="5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226" s="5" cm="1">
        <f t="array" ref="M226">MAX(IF((ProjectInfoTable[ProjectName]=DiscreteStatsTable[[#This Row],[ProjectName]]),(ProjectInfoTable[ProjectName]=DiscreteStatsTable[[#This Row],[ProjectName]])*ProjectInfoTable[NumberOfReplications]))</f>
        <v>50</v>
      </c>
      <c r="N226" s="5" cm="1">
        <f t="array" ref="N226">IFERROR(AVERAGE(IF((DiscreteStatsTable[GroupByKey]=DiscreteStatsTable[[#This Row],[GroupByKey]]),(DiscreteStatsTable[GroupByKey]=DiscreteStatsTable[[#This Row],[GroupByKey]])*DiscreteStatsTable[Average])),0)</f>
        <v>3.5363894499532775</v>
      </c>
      <c r="O226" s="5" cm="1">
        <f t="array" ref="O226">IFERROR(_xlfn.STDEV.S(IF((DiscreteStatsTable[GroupByKey]=DiscreteStatsTable[[#This Row],[GroupByKey]]),(DiscreteStatsTable[GroupByKey]=DiscreteStatsTable[[#This Row],[GroupByKey]])*DiscreteStatsTable[Average])),0)</f>
        <v>1.1766434570133149</v>
      </c>
      <c r="P226" s="5" cm="1">
        <f t="array" ref="P226">MAX(IF((ProjectInfoTable[ProjectName]=DiscreteStatsTable[[#This Row],[ProjectName]]),(ProjectInfoTable[ProjectName]=DiscreteStatsTable[[#This Row],[ProjectName]])*ProjectInfoTable[ConfidenceInterval]))</f>
        <v>0.95</v>
      </c>
      <c r="Q226" s="5">
        <f>IF(AND(DiscreteStatsTable[[#This Row],[RepsWithStatObserved]]=1,Y226=0),200000000000000000000,IFERROR(_xlfn.T.INV.2T(1 -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0.33439837052280896</v>
      </c>
      <c r="R226" s="5" cm="1">
        <f t="array" ref="R226">MIN(IF((DiscreteStatsTable[GroupByKey]=DiscreteStatsTable[[#This Row],[GroupByKey]]),(DiscreteStatsTable[GroupByKey]=DiscreteStatsTable[[#This Row],[GroupByKey]])*DiscreteStatsTable[Average]))</f>
        <v>1.6342264652107701</v>
      </c>
      <c r="S226" s="5" cm="1">
        <f t="array" ref="S226">MAX(IF((DiscreteStatsTable[GroupByKey]=DiscreteStatsTable[[#This Row],[GroupByKey]]),(DiscreteStatsTable[GroupByKey]=DiscreteStatsTable[[#This Row],[GroupByKey]])*DiscreteStatsTable[Average]))</f>
        <v>6.5527373550837904</v>
      </c>
      <c r="T226" s="5" cm="1">
        <f t="array" ref="T226">MIN(IF((DiscreteStatsTable[GroupByKey]=DiscreteStatsTable[[#This Row],[GroupByKey]]),(DiscreteStatsTable[GroupByKey]=DiscreteStatsTable[[#This Row],[GroupByKey]])*DiscreteStatsTable[Minimum]))</f>
        <v>0.58847912081681497</v>
      </c>
      <c r="U226" s="5" cm="1">
        <f t="array" ref="U226">MAX(IF((DiscreteStatsTable[GroupByKey]=DiscreteStatsTable[[#This Row],[GroupByKey]]),(DiscreteStatsTable[GroupByKey]=DiscreteStatsTable[[#This Row],[GroupByKey]])*DiscreteStatsTable[Maximum]))</f>
        <v>8.7476494546828292</v>
      </c>
      <c r="V226" s="5" cm="1">
        <f t="array" ref="V226">IFERROR(AVERAGE(IF((DiscreteStatsTable[GroupByKey]=DiscreteStatsTable[[#This Row],[GroupByKey]]),(DiscreteStatsTable[GroupByKey]=DiscreteStatsTable[[#This Row],[GroupByKey]])*DiscreteStatsTable[NumberObservations])),0)</f>
        <v>3.62</v>
      </c>
      <c r="W226" s="5">
        <f>IF((DiscreteStatsTable[[#This Row],[RepsRequested]]&gt;1),DiscreteStatsTable[[#This Row],[HalfWidth]],DiscreteStatsTable[[#This Row],[BatchMeansHalfWidth]])</f>
        <v>0.33439837052280896</v>
      </c>
      <c r="X226" s="5" cm="1">
        <f t="array" ref="X226">COUNT(IF((DiscreteStatsTable[GroupByKey]=DiscreteStatsTable[[#This Row],[GroupByKey]]),(DiscreteStatsTable[GroupByKey]=DiscreteStatsTable[[#This Row],[GroupByKey]])*DiscreteStatsTable[Replication]))</f>
        <v>50</v>
      </c>
      <c r="Y226" s="5">
        <f>IF(DiscreteStatsTable[[#This Row],[RepsRequested]]=DiscreteStatsTable[[#This Row],[RepsWithStatObserved]],1,0)</f>
        <v>1</v>
      </c>
    </row>
    <row r="227" spans="1:25" x14ac:dyDescent="0.35">
      <c r="A227" t="s">
        <v>66</v>
      </c>
      <c r="B227" t="s">
        <v>69</v>
      </c>
      <c r="C227">
        <v>38</v>
      </c>
      <c r="D227" t="s">
        <v>70</v>
      </c>
      <c r="E227" t="s">
        <v>75</v>
      </c>
      <c r="F227" t="s">
        <v>72</v>
      </c>
      <c r="G227">
        <v>0</v>
      </c>
      <c r="H227">
        <v>2E+20</v>
      </c>
      <c r="I227">
        <v>0</v>
      </c>
      <c r="J227">
        <v>0</v>
      </c>
      <c r="K227">
        <v>3</v>
      </c>
      <c r="L227" s="5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227" s="5" cm="1">
        <f t="array" ref="M227">MAX(IF((ProjectInfoTable[ProjectName]=DiscreteStatsTable[[#This Row],[ProjectName]]),(ProjectInfoTable[ProjectName]=DiscreteStatsTable[[#This Row],[ProjectName]])*ProjectInfoTable[NumberOfReplications]))</f>
        <v>50</v>
      </c>
      <c r="N227" s="5" cm="1">
        <f t="array" ref="N227">IFERROR(AVERAGE(IF((DiscreteStatsTable[GroupByKey]=DiscreteStatsTable[[#This Row],[GroupByKey]]),(DiscreteStatsTable[GroupByKey]=DiscreteStatsTable[[#This Row],[GroupByKey]])*DiscreteStatsTable[Average])),0)</f>
        <v>0</v>
      </c>
      <c r="O227" s="5" cm="1">
        <f t="array" ref="O227">IFERROR(_xlfn.STDEV.S(IF((DiscreteStatsTable[GroupByKey]=DiscreteStatsTable[[#This Row],[GroupByKey]]),(DiscreteStatsTable[GroupByKey]=DiscreteStatsTable[[#This Row],[GroupByKey]])*DiscreteStatsTable[Average])),0)</f>
        <v>0</v>
      </c>
      <c r="P227" s="5" cm="1">
        <f t="array" ref="P227">MAX(IF((ProjectInfoTable[ProjectName]=DiscreteStatsTable[[#This Row],[ProjectName]]),(ProjectInfoTable[ProjectName]=DiscreteStatsTable[[#This Row],[ProjectName]])*ProjectInfoTable[ConfidenceInterval]))</f>
        <v>0.95</v>
      </c>
      <c r="Q227" s="5">
        <f>IF(AND(DiscreteStatsTable[[#This Row],[RepsWithStatObserved]]=1,Y227=0),200000000000000000000,IFERROR(_xlfn.T.INV.2T(1 -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27" s="5" cm="1">
        <f t="array" ref="R227">MIN(IF((DiscreteStatsTable[GroupByKey]=DiscreteStatsTable[[#This Row],[GroupByKey]]),(DiscreteStatsTable[GroupByKey]=DiscreteStatsTable[[#This Row],[GroupByKey]])*DiscreteStatsTable[Average]))</f>
        <v>0</v>
      </c>
      <c r="S227" s="5" cm="1">
        <f t="array" ref="S227">MAX(IF((DiscreteStatsTable[GroupByKey]=DiscreteStatsTable[[#This Row],[GroupByKey]]),(DiscreteStatsTable[GroupByKey]=DiscreteStatsTable[[#This Row],[GroupByKey]])*DiscreteStatsTable[Average]))</f>
        <v>0</v>
      </c>
      <c r="T227" s="5" cm="1">
        <f t="array" ref="T227">MIN(IF((DiscreteStatsTable[GroupByKey]=DiscreteStatsTable[[#This Row],[GroupByKey]]),(DiscreteStatsTable[GroupByKey]=DiscreteStatsTable[[#This Row],[GroupByKey]])*DiscreteStatsTable[Minimum]))</f>
        <v>0</v>
      </c>
      <c r="U227" s="5" cm="1">
        <f t="array" ref="U227">MAX(IF((DiscreteStatsTable[GroupByKey]=DiscreteStatsTable[[#This Row],[GroupByKey]]),(DiscreteStatsTable[GroupByKey]=DiscreteStatsTable[[#This Row],[GroupByKey]])*DiscreteStatsTable[Maximum]))</f>
        <v>0</v>
      </c>
      <c r="V227" s="5" cm="1">
        <f t="array" ref="V227">IFERROR(AVERAGE(IF((DiscreteStatsTable[GroupByKey]=DiscreteStatsTable[[#This Row],[GroupByKey]]),(DiscreteStatsTable[GroupByKey]=DiscreteStatsTable[[#This Row],[GroupByKey]])*DiscreteStatsTable[NumberObservations])),0)</f>
        <v>3.62</v>
      </c>
      <c r="W227" s="5">
        <f>IF((DiscreteStatsTable[[#This Row],[RepsRequested]]&gt;1),DiscreteStatsTable[[#This Row],[HalfWidth]],DiscreteStatsTable[[#This Row],[BatchMeansHalfWidth]])</f>
        <v>0</v>
      </c>
      <c r="X227" s="5" cm="1">
        <f t="array" ref="X227">COUNT(IF((DiscreteStatsTable[GroupByKey]=DiscreteStatsTable[[#This Row],[GroupByKey]]),(DiscreteStatsTable[GroupByKey]=DiscreteStatsTable[[#This Row],[GroupByKey]])*DiscreteStatsTable[Replication]))</f>
        <v>50</v>
      </c>
      <c r="Y227" s="5">
        <f>IF(DiscreteStatsTable[[#This Row],[RepsRequested]]=DiscreteStatsTable[[#This Row],[RepsWithStatObserved]],1,0)</f>
        <v>1</v>
      </c>
    </row>
    <row r="228" spans="1:25" x14ac:dyDescent="0.35">
      <c r="A228" t="s">
        <v>66</v>
      </c>
      <c r="B228" t="s">
        <v>69</v>
      </c>
      <c r="C228">
        <v>38</v>
      </c>
      <c r="D228" t="s">
        <v>70</v>
      </c>
      <c r="E228" t="s">
        <v>76</v>
      </c>
      <c r="F228" t="s">
        <v>72</v>
      </c>
      <c r="G228">
        <v>2.5332124317481499</v>
      </c>
      <c r="H228">
        <v>2E+20</v>
      </c>
      <c r="I228">
        <v>1.1777982576966</v>
      </c>
      <c r="J228">
        <v>4.0872625366312096</v>
      </c>
      <c r="K228">
        <v>3</v>
      </c>
      <c r="L228" s="5" t="str">
        <f>DiscreteStatsTable[[#This Row],[ProjectName]]&amp;DiscreteStatsTable[[#This Row],[Name]]&amp;DiscreteStatsTable[[#This Row],[Type]]&amp;DiscreteStatsTable[[#This Row],[Source]]</f>
        <v>Unnamed ProjectArquivosVA TimeEntity</v>
      </c>
      <c r="M228" s="5" cm="1">
        <f t="array" ref="M228">MAX(IF((ProjectInfoTable[ProjectName]=DiscreteStatsTable[[#This Row],[ProjectName]]),(ProjectInfoTable[ProjectName]=DiscreteStatsTable[[#This Row],[ProjectName]])*ProjectInfoTable[NumberOfReplications]))</f>
        <v>50</v>
      </c>
      <c r="N228" s="5" cm="1">
        <f t="array" ref="N228">IFERROR(AVERAGE(IF((DiscreteStatsTable[GroupByKey]=DiscreteStatsTable[[#This Row],[GroupByKey]]),(DiscreteStatsTable[GroupByKey]=DiscreteStatsTable[[#This Row],[GroupByKey]])*DiscreteStatsTable[Average])),0)</f>
        <v>2.3123810058270009</v>
      </c>
      <c r="O228" s="5" cm="1">
        <f t="array" ref="O228">IFERROR(_xlfn.STDEV.S(IF((DiscreteStatsTable[GroupByKey]=DiscreteStatsTable[[#This Row],[GroupByKey]]),(DiscreteStatsTable[GroupByKey]=DiscreteStatsTable[[#This Row],[GroupByKey]])*DiscreteStatsTable[Average])),0)</f>
        <v>0.47735516285795621</v>
      </c>
      <c r="P228" s="5" cm="1">
        <f t="array" ref="P228">MAX(IF((ProjectInfoTable[ProjectName]=DiscreteStatsTable[[#This Row],[ProjectName]]),(ProjectInfoTable[ProjectName]=DiscreteStatsTable[[#This Row],[ProjectName]])*ProjectInfoTable[ConfidenceInterval]))</f>
        <v>0.95</v>
      </c>
      <c r="Q228" s="5">
        <f>IF(AND(DiscreteStatsTable[[#This Row],[RepsWithStatObserved]]=1,Y228=0),200000000000000000000,IFERROR(_xlfn.T.INV.2T(1 -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0.13566283623888314</v>
      </c>
      <c r="R228" s="5" cm="1">
        <f t="array" ref="R228">MIN(IF((DiscreteStatsTable[GroupByKey]=DiscreteStatsTable[[#This Row],[GroupByKey]]),(DiscreteStatsTable[GroupByKey]=DiscreteStatsTable[[#This Row],[GroupByKey]])*DiscreteStatsTable[Average]))</f>
        <v>1.3773415743205399</v>
      </c>
      <c r="S228" s="5" cm="1">
        <f t="array" ref="S228">MAX(IF((DiscreteStatsTable[GroupByKey]=DiscreteStatsTable[[#This Row],[GroupByKey]]),(DiscreteStatsTable[GroupByKey]=DiscreteStatsTable[[#This Row],[GroupByKey]])*DiscreteStatsTable[Average]))</f>
        <v>3.3139161730180202</v>
      </c>
      <c r="T228" s="5" cm="1">
        <f t="array" ref="T228">MIN(IF((DiscreteStatsTable[GroupByKey]=DiscreteStatsTable[[#This Row],[GroupByKey]]),(DiscreteStatsTable[GroupByKey]=DiscreteStatsTable[[#This Row],[GroupByKey]])*DiscreteStatsTable[Minimum]))</f>
        <v>0.58847912081681497</v>
      </c>
      <c r="U228" s="5" cm="1">
        <f t="array" ref="U228">MAX(IF((DiscreteStatsTable[GroupByKey]=DiscreteStatsTable[[#This Row],[GroupByKey]]),(DiscreteStatsTable[GroupByKey]=DiscreteStatsTable[[#This Row],[GroupByKey]])*DiscreteStatsTable[Maximum]))</f>
        <v>4.9756405925629998</v>
      </c>
      <c r="V228" s="5" cm="1">
        <f t="array" ref="V228">IFERROR(AVERAGE(IF((DiscreteStatsTable[GroupByKey]=DiscreteStatsTable[[#This Row],[GroupByKey]]),(DiscreteStatsTable[GroupByKey]=DiscreteStatsTable[[#This Row],[GroupByKey]])*DiscreteStatsTable[NumberObservations])),0)</f>
        <v>3.62</v>
      </c>
      <c r="W228" s="5">
        <f>IF((DiscreteStatsTable[[#This Row],[RepsRequested]]&gt;1),DiscreteStatsTable[[#This Row],[HalfWidth]],DiscreteStatsTable[[#This Row],[BatchMeansHalfWidth]])</f>
        <v>0.13566283623888314</v>
      </c>
      <c r="X228" s="5" cm="1">
        <f t="array" ref="X228">COUNT(IF((DiscreteStatsTable[GroupByKey]=DiscreteStatsTable[[#This Row],[GroupByKey]]),(DiscreteStatsTable[GroupByKey]=DiscreteStatsTable[[#This Row],[GroupByKey]])*DiscreteStatsTable[Replication]))</f>
        <v>50</v>
      </c>
      <c r="Y228" s="5">
        <f>IF(DiscreteStatsTable[[#This Row],[RepsRequested]]=DiscreteStatsTable[[#This Row],[RepsWithStatObserved]],1,0)</f>
        <v>1</v>
      </c>
    </row>
    <row r="229" spans="1:25" x14ac:dyDescent="0.35">
      <c r="A229" t="s">
        <v>66</v>
      </c>
      <c r="B229" t="s">
        <v>69</v>
      </c>
      <c r="C229">
        <v>38</v>
      </c>
      <c r="D229" t="s">
        <v>70</v>
      </c>
      <c r="E229" t="s">
        <v>77</v>
      </c>
      <c r="F229" t="s">
        <v>72</v>
      </c>
      <c r="G229">
        <v>1.72618825790254</v>
      </c>
      <c r="H229">
        <v>2E+20</v>
      </c>
      <c r="I229">
        <v>0</v>
      </c>
      <c r="J229">
        <v>4.4248469087780196</v>
      </c>
      <c r="K229">
        <v>3</v>
      </c>
      <c r="L229" s="5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229" s="5" cm="1">
        <f t="array" ref="M229">MAX(IF((ProjectInfoTable[ProjectName]=DiscreteStatsTable[[#This Row],[ProjectName]]),(ProjectInfoTable[ProjectName]=DiscreteStatsTable[[#This Row],[ProjectName]])*ProjectInfoTable[NumberOfReplications]))</f>
        <v>50</v>
      </c>
      <c r="N229" s="5" cm="1">
        <f t="array" ref="N229">IFERROR(AVERAGE(IF((DiscreteStatsTable[GroupByKey]=DiscreteStatsTable[[#This Row],[GroupByKey]]),(DiscreteStatsTable[GroupByKey]=DiscreteStatsTable[[#This Row],[GroupByKey]])*DiscreteStatsTable[Average])),0)</f>
        <v>1.2240084441262762</v>
      </c>
      <c r="O229" s="5" cm="1">
        <f t="array" ref="O229">IFERROR(_xlfn.STDEV.S(IF((DiscreteStatsTable[GroupByKey]=DiscreteStatsTable[[#This Row],[GroupByKey]]),(DiscreteStatsTable[GroupByKey]=DiscreteStatsTable[[#This Row],[GroupByKey]])*DiscreteStatsTable[Average])),0)</f>
        <v>0.89867905452837749</v>
      </c>
      <c r="P229" s="5" cm="1">
        <f t="array" ref="P229">MAX(IF((ProjectInfoTable[ProjectName]=DiscreteStatsTable[[#This Row],[ProjectName]]),(ProjectInfoTable[ProjectName]=DiscreteStatsTable[[#This Row],[ProjectName]])*ProjectInfoTable[ConfidenceInterval]))</f>
        <v>0.95</v>
      </c>
      <c r="Q229" s="5">
        <f>IF(AND(DiscreteStatsTable[[#This Row],[RepsWithStatObserved]]=1,Y229=0),200000000000000000000,IFERROR(_xlfn.T.INV.2T(1 -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0.2554017613968404</v>
      </c>
      <c r="R229" s="5" cm="1">
        <f t="array" ref="R229">MIN(IF((DiscreteStatsTable[GroupByKey]=DiscreteStatsTable[[#This Row],[GroupByKey]]),(DiscreteStatsTable[GroupByKey]=DiscreteStatsTable[[#This Row],[GroupByKey]])*DiscreteStatsTable[Average]))</f>
        <v>0</v>
      </c>
      <c r="S229" s="5" cm="1">
        <f t="array" ref="S229">MAX(IF((DiscreteStatsTable[GroupByKey]=DiscreteStatsTable[[#This Row],[GroupByKey]]),(DiscreteStatsTable[GroupByKey]=DiscreteStatsTable[[#This Row],[GroupByKey]])*DiscreteStatsTable[Average]))</f>
        <v>3.4345522286517598</v>
      </c>
      <c r="T229" s="5" cm="1">
        <f t="array" ref="T229">MIN(IF((DiscreteStatsTable[GroupByKey]=DiscreteStatsTable[[#This Row],[GroupByKey]]),(DiscreteStatsTable[GroupByKey]=DiscreteStatsTable[[#This Row],[GroupByKey]])*DiscreteStatsTable[Minimum]))</f>
        <v>0</v>
      </c>
      <c r="U229" s="5" cm="1">
        <f t="array" ref="U229">MAX(IF((DiscreteStatsTable[GroupByKey]=DiscreteStatsTable[[#This Row],[GroupByKey]]),(DiscreteStatsTable[GroupByKey]=DiscreteStatsTable[[#This Row],[GroupByKey]])*DiscreteStatsTable[Maximum]))</f>
        <v>6.7563093676697896</v>
      </c>
      <c r="V229" s="5" cm="1">
        <f t="array" ref="V229">IFERROR(AVERAGE(IF((DiscreteStatsTable[GroupByKey]=DiscreteStatsTable[[#This Row],[GroupByKey]]),(DiscreteStatsTable[GroupByKey]=DiscreteStatsTable[[#This Row],[GroupByKey]])*DiscreteStatsTable[NumberObservations])),0)</f>
        <v>3.62</v>
      </c>
      <c r="W229" s="5">
        <f>IF((DiscreteStatsTable[[#This Row],[RepsRequested]]&gt;1),DiscreteStatsTable[[#This Row],[HalfWidth]],DiscreteStatsTable[[#This Row],[BatchMeansHalfWidth]])</f>
        <v>0.2554017613968404</v>
      </c>
      <c r="X229" s="5" cm="1">
        <f t="array" ref="X229">COUNT(IF((DiscreteStatsTable[GroupByKey]=DiscreteStatsTable[[#This Row],[GroupByKey]]),(DiscreteStatsTable[GroupByKey]=DiscreteStatsTable[[#This Row],[GroupByKey]])*DiscreteStatsTable[Replication]))</f>
        <v>50</v>
      </c>
      <c r="Y229" s="5">
        <f>IF(DiscreteStatsTable[[#This Row],[RepsRequested]]=DiscreteStatsTable[[#This Row],[RepsWithStatObserved]],1,0)</f>
        <v>1</v>
      </c>
    </row>
    <row r="230" spans="1:25" x14ac:dyDescent="0.35">
      <c r="A230" t="s">
        <v>66</v>
      </c>
      <c r="B230" t="s">
        <v>69</v>
      </c>
      <c r="C230">
        <v>39</v>
      </c>
      <c r="D230" t="s">
        <v>70</v>
      </c>
      <c r="E230" t="s">
        <v>71</v>
      </c>
      <c r="F230" t="s">
        <v>72</v>
      </c>
      <c r="G230">
        <v>0</v>
      </c>
      <c r="H230">
        <v>2E+20</v>
      </c>
      <c r="I230">
        <v>0</v>
      </c>
      <c r="J230">
        <v>0</v>
      </c>
      <c r="K230">
        <v>3</v>
      </c>
      <c r="L230" s="5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230" s="5" cm="1">
        <f t="array" ref="M230">MAX(IF((ProjectInfoTable[ProjectName]=DiscreteStatsTable[[#This Row],[ProjectName]]),(ProjectInfoTable[ProjectName]=DiscreteStatsTable[[#This Row],[ProjectName]])*ProjectInfoTable[NumberOfReplications]))</f>
        <v>50</v>
      </c>
      <c r="N230" s="5" cm="1">
        <f t="array" ref="N230">IFERROR(AVERAGE(IF((DiscreteStatsTable[GroupByKey]=DiscreteStatsTable[[#This Row],[GroupByKey]]),(DiscreteStatsTable[GroupByKey]=DiscreteStatsTable[[#This Row],[GroupByKey]])*DiscreteStatsTable[Average])),0)</f>
        <v>0</v>
      </c>
      <c r="O230" s="5" cm="1">
        <f t="array" ref="O230">IFERROR(_xlfn.STDEV.S(IF((DiscreteStatsTable[GroupByKey]=DiscreteStatsTable[[#This Row],[GroupByKey]]),(DiscreteStatsTable[GroupByKey]=DiscreteStatsTable[[#This Row],[GroupByKey]])*DiscreteStatsTable[Average])),0)</f>
        <v>0</v>
      </c>
      <c r="P230" s="5" cm="1">
        <f t="array" ref="P230">MAX(IF((ProjectInfoTable[ProjectName]=DiscreteStatsTable[[#This Row],[ProjectName]]),(ProjectInfoTable[ProjectName]=DiscreteStatsTable[[#This Row],[ProjectName]])*ProjectInfoTable[ConfidenceInterval]))</f>
        <v>0.95</v>
      </c>
      <c r="Q230" s="5">
        <f>IF(AND(DiscreteStatsTable[[#This Row],[RepsWithStatObserved]]=1,Y230=0),200000000000000000000,IFERROR(_xlfn.T.INV.2T(1 -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0" s="5" cm="1">
        <f t="array" ref="R230">MIN(IF((DiscreteStatsTable[GroupByKey]=DiscreteStatsTable[[#This Row],[GroupByKey]]),(DiscreteStatsTable[GroupByKey]=DiscreteStatsTable[[#This Row],[GroupByKey]])*DiscreteStatsTable[Average]))</f>
        <v>0</v>
      </c>
      <c r="S230" s="5" cm="1">
        <f t="array" ref="S230">MAX(IF((DiscreteStatsTable[GroupByKey]=DiscreteStatsTable[[#This Row],[GroupByKey]]),(DiscreteStatsTable[GroupByKey]=DiscreteStatsTable[[#This Row],[GroupByKey]])*DiscreteStatsTable[Average]))</f>
        <v>0</v>
      </c>
      <c r="T230" s="5" cm="1">
        <f t="array" ref="T230">MIN(IF((DiscreteStatsTable[GroupByKey]=DiscreteStatsTable[[#This Row],[GroupByKey]]),(DiscreteStatsTable[GroupByKey]=DiscreteStatsTable[[#This Row],[GroupByKey]])*DiscreteStatsTable[Minimum]))</f>
        <v>0</v>
      </c>
      <c r="U230" s="5" cm="1">
        <f t="array" ref="U230">MAX(IF((DiscreteStatsTable[GroupByKey]=DiscreteStatsTable[[#This Row],[GroupByKey]]),(DiscreteStatsTable[GroupByKey]=DiscreteStatsTable[[#This Row],[GroupByKey]])*DiscreteStatsTable[Maximum]))</f>
        <v>0</v>
      </c>
      <c r="V230" s="5" cm="1">
        <f t="array" ref="V230">IFERROR(AVERAGE(IF((DiscreteStatsTable[GroupByKey]=DiscreteStatsTable[[#This Row],[GroupByKey]]),(DiscreteStatsTable[GroupByKey]=DiscreteStatsTable[[#This Row],[GroupByKey]])*DiscreteStatsTable[NumberObservations])),0)</f>
        <v>3.62</v>
      </c>
      <c r="W230" s="5">
        <f>IF((DiscreteStatsTable[[#This Row],[RepsRequested]]&gt;1),DiscreteStatsTable[[#This Row],[HalfWidth]],DiscreteStatsTable[[#This Row],[BatchMeansHalfWidth]])</f>
        <v>0</v>
      </c>
      <c r="X230" s="5" cm="1">
        <f t="array" ref="X230">COUNT(IF((DiscreteStatsTable[GroupByKey]=DiscreteStatsTable[[#This Row],[GroupByKey]]),(DiscreteStatsTable[GroupByKey]=DiscreteStatsTable[[#This Row],[GroupByKey]])*DiscreteStatsTable[Replication]))</f>
        <v>50</v>
      </c>
      <c r="Y230" s="5">
        <f>IF(DiscreteStatsTable[[#This Row],[RepsRequested]]=DiscreteStatsTable[[#This Row],[RepsWithStatObserved]],1,0)</f>
        <v>1</v>
      </c>
    </row>
    <row r="231" spans="1:25" x14ac:dyDescent="0.35">
      <c r="A231" t="s">
        <v>66</v>
      </c>
      <c r="B231" t="s">
        <v>69</v>
      </c>
      <c r="C231">
        <v>39</v>
      </c>
      <c r="D231" t="s">
        <v>70</v>
      </c>
      <c r="E231" t="s">
        <v>73</v>
      </c>
      <c r="F231" t="s">
        <v>72</v>
      </c>
      <c r="G231">
        <v>0</v>
      </c>
      <c r="H231">
        <v>2E+20</v>
      </c>
      <c r="I231">
        <v>0</v>
      </c>
      <c r="J231">
        <v>0</v>
      </c>
      <c r="K231">
        <v>3</v>
      </c>
      <c r="L231" s="5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231" s="5" cm="1">
        <f t="array" ref="M231">MAX(IF((ProjectInfoTable[ProjectName]=DiscreteStatsTable[[#This Row],[ProjectName]]),(ProjectInfoTable[ProjectName]=DiscreteStatsTable[[#This Row],[ProjectName]])*ProjectInfoTable[NumberOfReplications]))</f>
        <v>50</v>
      </c>
      <c r="N231" s="5" cm="1">
        <f t="array" ref="N231">IFERROR(AVERAGE(IF((DiscreteStatsTable[GroupByKey]=DiscreteStatsTable[[#This Row],[GroupByKey]]),(DiscreteStatsTable[GroupByKey]=DiscreteStatsTable[[#This Row],[GroupByKey]])*DiscreteStatsTable[Average])),0)</f>
        <v>0</v>
      </c>
      <c r="O231" s="5" cm="1">
        <f t="array" ref="O231">IFERROR(_xlfn.STDEV.S(IF((DiscreteStatsTable[GroupByKey]=DiscreteStatsTable[[#This Row],[GroupByKey]]),(DiscreteStatsTable[GroupByKey]=DiscreteStatsTable[[#This Row],[GroupByKey]])*DiscreteStatsTable[Average])),0)</f>
        <v>0</v>
      </c>
      <c r="P231" s="5" cm="1">
        <f t="array" ref="P231">MAX(IF((ProjectInfoTable[ProjectName]=DiscreteStatsTable[[#This Row],[ProjectName]]),(ProjectInfoTable[ProjectName]=DiscreteStatsTable[[#This Row],[ProjectName]])*ProjectInfoTable[ConfidenceInterval]))</f>
        <v>0.95</v>
      </c>
      <c r="Q231" s="5">
        <f>IF(AND(DiscreteStatsTable[[#This Row],[RepsWithStatObserved]]=1,Y231=0),200000000000000000000,IFERROR(_xlfn.T.INV.2T(1 -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1" s="5" cm="1">
        <f t="array" ref="R231">MIN(IF((DiscreteStatsTable[GroupByKey]=DiscreteStatsTable[[#This Row],[GroupByKey]]),(DiscreteStatsTable[GroupByKey]=DiscreteStatsTable[[#This Row],[GroupByKey]])*DiscreteStatsTable[Average]))</f>
        <v>0</v>
      </c>
      <c r="S231" s="5" cm="1">
        <f t="array" ref="S231">MAX(IF((DiscreteStatsTable[GroupByKey]=DiscreteStatsTable[[#This Row],[GroupByKey]]),(DiscreteStatsTable[GroupByKey]=DiscreteStatsTable[[#This Row],[GroupByKey]])*DiscreteStatsTable[Average]))</f>
        <v>0</v>
      </c>
      <c r="T231" s="5" cm="1">
        <f t="array" ref="T231">MIN(IF((DiscreteStatsTable[GroupByKey]=DiscreteStatsTable[[#This Row],[GroupByKey]]),(DiscreteStatsTable[GroupByKey]=DiscreteStatsTable[[#This Row],[GroupByKey]])*DiscreteStatsTable[Minimum]))</f>
        <v>0</v>
      </c>
      <c r="U231" s="5" cm="1">
        <f t="array" ref="U231">MAX(IF((DiscreteStatsTable[GroupByKey]=DiscreteStatsTable[[#This Row],[GroupByKey]]),(DiscreteStatsTable[GroupByKey]=DiscreteStatsTable[[#This Row],[GroupByKey]])*DiscreteStatsTable[Maximum]))</f>
        <v>0</v>
      </c>
      <c r="V231" s="5" cm="1">
        <f t="array" ref="V231">IFERROR(AVERAGE(IF((DiscreteStatsTable[GroupByKey]=DiscreteStatsTable[[#This Row],[GroupByKey]]),(DiscreteStatsTable[GroupByKey]=DiscreteStatsTable[[#This Row],[GroupByKey]])*DiscreteStatsTable[NumberObservations])),0)</f>
        <v>3.62</v>
      </c>
      <c r="W231" s="5">
        <f>IF((DiscreteStatsTable[[#This Row],[RepsRequested]]&gt;1),DiscreteStatsTable[[#This Row],[HalfWidth]],DiscreteStatsTable[[#This Row],[BatchMeansHalfWidth]])</f>
        <v>0</v>
      </c>
      <c r="X231" s="5" cm="1">
        <f t="array" ref="X231">COUNT(IF((DiscreteStatsTable[GroupByKey]=DiscreteStatsTable[[#This Row],[GroupByKey]]),(DiscreteStatsTable[GroupByKey]=DiscreteStatsTable[[#This Row],[GroupByKey]])*DiscreteStatsTable[Replication]))</f>
        <v>50</v>
      </c>
      <c r="Y231" s="5">
        <f>IF(DiscreteStatsTable[[#This Row],[RepsRequested]]=DiscreteStatsTable[[#This Row],[RepsWithStatObserved]],1,0)</f>
        <v>1</v>
      </c>
    </row>
    <row r="232" spans="1:25" x14ac:dyDescent="0.35">
      <c r="A232" t="s">
        <v>66</v>
      </c>
      <c r="B232" t="s">
        <v>69</v>
      </c>
      <c r="C232">
        <v>39</v>
      </c>
      <c r="D232" t="s">
        <v>70</v>
      </c>
      <c r="E232" t="s">
        <v>74</v>
      </c>
      <c r="F232" t="s">
        <v>72</v>
      </c>
      <c r="G232">
        <v>3.6011102203193102</v>
      </c>
      <c r="H232">
        <v>2E+20</v>
      </c>
      <c r="I232">
        <v>1.6344799843381499</v>
      </c>
      <c r="J232">
        <v>5.7246484071848904</v>
      </c>
      <c r="K232">
        <v>3</v>
      </c>
      <c r="L232" s="5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232" s="5" cm="1">
        <f t="array" ref="M232">MAX(IF((ProjectInfoTable[ProjectName]=DiscreteStatsTable[[#This Row],[ProjectName]]),(ProjectInfoTable[ProjectName]=DiscreteStatsTable[[#This Row],[ProjectName]])*ProjectInfoTable[NumberOfReplications]))</f>
        <v>50</v>
      </c>
      <c r="N232" s="5" cm="1">
        <f t="array" ref="N232">IFERROR(AVERAGE(IF((DiscreteStatsTable[GroupByKey]=DiscreteStatsTable[[#This Row],[GroupByKey]]),(DiscreteStatsTable[GroupByKey]=DiscreteStatsTable[[#This Row],[GroupByKey]])*DiscreteStatsTable[Average])),0)</f>
        <v>3.5363894499532775</v>
      </c>
      <c r="O232" s="5" cm="1">
        <f t="array" ref="O232">IFERROR(_xlfn.STDEV.S(IF((DiscreteStatsTable[GroupByKey]=DiscreteStatsTable[[#This Row],[GroupByKey]]),(DiscreteStatsTable[GroupByKey]=DiscreteStatsTable[[#This Row],[GroupByKey]])*DiscreteStatsTable[Average])),0)</f>
        <v>1.1766434570133149</v>
      </c>
      <c r="P232" s="5" cm="1">
        <f t="array" ref="P232">MAX(IF((ProjectInfoTable[ProjectName]=DiscreteStatsTable[[#This Row],[ProjectName]]),(ProjectInfoTable[ProjectName]=DiscreteStatsTable[[#This Row],[ProjectName]])*ProjectInfoTable[ConfidenceInterval]))</f>
        <v>0.95</v>
      </c>
      <c r="Q232" s="5">
        <f>IF(AND(DiscreteStatsTable[[#This Row],[RepsWithStatObserved]]=1,Y232=0),200000000000000000000,IFERROR(_xlfn.T.INV.2T(1 -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0.33439837052280896</v>
      </c>
      <c r="R232" s="5" cm="1">
        <f t="array" ref="R232">MIN(IF((DiscreteStatsTable[GroupByKey]=DiscreteStatsTable[[#This Row],[GroupByKey]]),(DiscreteStatsTable[GroupByKey]=DiscreteStatsTable[[#This Row],[GroupByKey]])*DiscreteStatsTable[Average]))</f>
        <v>1.6342264652107701</v>
      </c>
      <c r="S232" s="5" cm="1">
        <f t="array" ref="S232">MAX(IF((DiscreteStatsTable[GroupByKey]=DiscreteStatsTable[[#This Row],[GroupByKey]]),(DiscreteStatsTable[GroupByKey]=DiscreteStatsTable[[#This Row],[GroupByKey]])*DiscreteStatsTable[Average]))</f>
        <v>6.5527373550837904</v>
      </c>
      <c r="T232" s="5" cm="1">
        <f t="array" ref="T232">MIN(IF((DiscreteStatsTable[GroupByKey]=DiscreteStatsTable[[#This Row],[GroupByKey]]),(DiscreteStatsTable[GroupByKey]=DiscreteStatsTable[[#This Row],[GroupByKey]])*DiscreteStatsTable[Minimum]))</f>
        <v>0.58847912081681497</v>
      </c>
      <c r="U232" s="5" cm="1">
        <f t="array" ref="U232">MAX(IF((DiscreteStatsTable[GroupByKey]=DiscreteStatsTable[[#This Row],[GroupByKey]]),(DiscreteStatsTable[GroupByKey]=DiscreteStatsTable[[#This Row],[GroupByKey]])*DiscreteStatsTable[Maximum]))</f>
        <v>8.7476494546828292</v>
      </c>
      <c r="V232" s="5" cm="1">
        <f t="array" ref="V232">IFERROR(AVERAGE(IF((DiscreteStatsTable[GroupByKey]=DiscreteStatsTable[[#This Row],[GroupByKey]]),(DiscreteStatsTable[GroupByKey]=DiscreteStatsTable[[#This Row],[GroupByKey]])*DiscreteStatsTable[NumberObservations])),0)</f>
        <v>3.62</v>
      </c>
      <c r="W232" s="5">
        <f>IF((DiscreteStatsTable[[#This Row],[RepsRequested]]&gt;1),DiscreteStatsTable[[#This Row],[HalfWidth]],DiscreteStatsTable[[#This Row],[BatchMeansHalfWidth]])</f>
        <v>0.33439837052280896</v>
      </c>
      <c r="X232" s="5" cm="1">
        <f t="array" ref="X232">COUNT(IF((DiscreteStatsTable[GroupByKey]=DiscreteStatsTable[[#This Row],[GroupByKey]]),(DiscreteStatsTable[GroupByKey]=DiscreteStatsTable[[#This Row],[GroupByKey]])*DiscreteStatsTable[Replication]))</f>
        <v>50</v>
      </c>
      <c r="Y232" s="5">
        <f>IF(DiscreteStatsTable[[#This Row],[RepsRequested]]=DiscreteStatsTable[[#This Row],[RepsWithStatObserved]],1,0)</f>
        <v>1</v>
      </c>
    </row>
    <row r="233" spans="1:25" x14ac:dyDescent="0.35">
      <c r="A233" t="s">
        <v>66</v>
      </c>
      <c r="B233" t="s">
        <v>69</v>
      </c>
      <c r="C233">
        <v>39</v>
      </c>
      <c r="D233" t="s">
        <v>70</v>
      </c>
      <c r="E233" t="s">
        <v>75</v>
      </c>
      <c r="F233" t="s">
        <v>72</v>
      </c>
      <c r="G233">
        <v>0</v>
      </c>
      <c r="H233">
        <v>2E+20</v>
      </c>
      <c r="I233">
        <v>0</v>
      </c>
      <c r="J233">
        <v>0</v>
      </c>
      <c r="K233">
        <v>3</v>
      </c>
      <c r="L233" s="5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233" s="5" cm="1">
        <f t="array" ref="M233">MAX(IF((ProjectInfoTable[ProjectName]=DiscreteStatsTable[[#This Row],[ProjectName]]),(ProjectInfoTable[ProjectName]=DiscreteStatsTable[[#This Row],[ProjectName]])*ProjectInfoTable[NumberOfReplications]))</f>
        <v>50</v>
      </c>
      <c r="N233" s="5" cm="1">
        <f t="array" ref="N233">IFERROR(AVERAGE(IF((DiscreteStatsTable[GroupByKey]=DiscreteStatsTable[[#This Row],[GroupByKey]]),(DiscreteStatsTable[GroupByKey]=DiscreteStatsTable[[#This Row],[GroupByKey]])*DiscreteStatsTable[Average])),0)</f>
        <v>0</v>
      </c>
      <c r="O233" s="5" cm="1">
        <f t="array" ref="O233">IFERROR(_xlfn.STDEV.S(IF((DiscreteStatsTable[GroupByKey]=DiscreteStatsTable[[#This Row],[GroupByKey]]),(DiscreteStatsTable[GroupByKey]=DiscreteStatsTable[[#This Row],[GroupByKey]])*DiscreteStatsTable[Average])),0)</f>
        <v>0</v>
      </c>
      <c r="P233" s="5" cm="1">
        <f t="array" ref="P233">MAX(IF((ProjectInfoTable[ProjectName]=DiscreteStatsTable[[#This Row],[ProjectName]]),(ProjectInfoTable[ProjectName]=DiscreteStatsTable[[#This Row],[ProjectName]])*ProjectInfoTable[ConfidenceInterval]))</f>
        <v>0.95</v>
      </c>
      <c r="Q233" s="5">
        <f>IF(AND(DiscreteStatsTable[[#This Row],[RepsWithStatObserved]]=1,Y233=0),200000000000000000000,IFERROR(_xlfn.T.INV.2T(1 -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3" s="5" cm="1">
        <f t="array" ref="R233">MIN(IF((DiscreteStatsTable[GroupByKey]=DiscreteStatsTable[[#This Row],[GroupByKey]]),(DiscreteStatsTable[GroupByKey]=DiscreteStatsTable[[#This Row],[GroupByKey]])*DiscreteStatsTable[Average]))</f>
        <v>0</v>
      </c>
      <c r="S233" s="5" cm="1">
        <f t="array" ref="S233">MAX(IF((DiscreteStatsTable[GroupByKey]=DiscreteStatsTable[[#This Row],[GroupByKey]]),(DiscreteStatsTable[GroupByKey]=DiscreteStatsTable[[#This Row],[GroupByKey]])*DiscreteStatsTable[Average]))</f>
        <v>0</v>
      </c>
      <c r="T233" s="5" cm="1">
        <f t="array" ref="T233">MIN(IF((DiscreteStatsTable[GroupByKey]=DiscreteStatsTable[[#This Row],[GroupByKey]]),(DiscreteStatsTable[GroupByKey]=DiscreteStatsTable[[#This Row],[GroupByKey]])*DiscreteStatsTable[Minimum]))</f>
        <v>0</v>
      </c>
      <c r="U233" s="5" cm="1">
        <f t="array" ref="U233">MAX(IF((DiscreteStatsTable[GroupByKey]=DiscreteStatsTable[[#This Row],[GroupByKey]]),(DiscreteStatsTable[GroupByKey]=DiscreteStatsTable[[#This Row],[GroupByKey]])*DiscreteStatsTable[Maximum]))</f>
        <v>0</v>
      </c>
      <c r="V233" s="5" cm="1">
        <f t="array" ref="V233">IFERROR(AVERAGE(IF((DiscreteStatsTable[GroupByKey]=DiscreteStatsTable[[#This Row],[GroupByKey]]),(DiscreteStatsTable[GroupByKey]=DiscreteStatsTable[[#This Row],[GroupByKey]])*DiscreteStatsTable[NumberObservations])),0)</f>
        <v>3.62</v>
      </c>
      <c r="W233" s="5">
        <f>IF((DiscreteStatsTable[[#This Row],[RepsRequested]]&gt;1),DiscreteStatsTable[[#This Row],[HalfWidth]],DiscreteStatsTable[[#This Row],[BatchMeansHalfWidth]])</f>
        <v>0</v>
      </c>
      <c r="X233" s="5" cm="1">
        <f t="array" ref="X233">COUNT(IF((DiscreteStatsTable[GroupByKey]=DiscreteStatsTable[[#This Row],[GroupByKey]]),(DiscreteStatsTable[GroupByKey]=DiscreteStatsTable[[#This Row],[GroupByKey]])*DiscreteStatsTable[Replication]))</f>
        <v>50</v>
      </c>
      <c r="Y233" s="5">
        <f>IF(DiscreteStatsTable[[#This Row],[RepsRequested]]=DiscreteStatsTable[[#This Row],[RepsWithStatObserved]],1,0)</f>
        <v>1</v>
      </c>
    </row>
    <row r="234" spans="1:25" x14ac:dyDescent="0.35">
      <c r="A234" t="s">
        <v>66</v>
      </c>
      <c r="B234" t="s">
        <v>69</v>
      </c>
      <c r="C234">
        <v>39</v>
      </c>
      <c r="D234" t="s">
        <v>70</v>
      </c>
      <c r="E234" t="s">
        <v>76</v>
      </c>
      <c r="F234" t="s">
        <v>72</v>
      </c>
      <c r="G234">
        <v>2.4660634492194502</v>
      </c>
      <c r="H234">
        <v>2E+20</v>
      </c>
      <c r="I234">
        <v>1.6344799843381499</v>
      </c>
      <c r="J234">
        <v>3.4442022694348799</v>
      </c>
      <c r="K234">
        <v>3</v>
      </c>
      <c r="L234" s="5" t="str">
        <f>DiscreteStatsTable[[#This Row],[ProjectName]]&amp;DiscreteStatsTable[[#This Row],[Name]]&amp;DiscreteStatsTable[[#This Row],[Type]]&amp;DiscreteStatsTable[[#This Row],[Source]]</f>
        <v>Unnamed ProjectArquivosVA TimeEntity</v>
      </c>
      <c r="M234" s="5" cm="1">
        <f t="array" ref="M234">MAX(IF((ProjectInfoTable[ProjectName]=DiscreteStatsTable[[#This Row],[ProjectName]]),(ProjectInfoTable[ProjectName]=DiscreteStatsTable[[#This Row],[ProjectName]])*ProjectInfoTable[NumberOfReplications]))</f>
        <v>50</v>
      </c>
      <c r="N234" s="5" cm="1">
        <f t="array" ref="N234">IFERROR(AVERAGE(IF((DiscreteStatsTable[GroupByKey]=DiscreteStatsTable[[#This Row],[GroupByKey]]),(DiscreteStatsTable[GroupByKey]=DiscreteStatsTable[[#This Row],[GroupByKey]])*DiscreteStatsTable[Average])),0)</f>
        <v>2.3123810058270009</v>
      </c>
      <c r="O234" s="5" cm="1">
        <f t="array" ref="O234">IFERROR(_xlfn.STDEV.S(IF((DiscreteStatsTable[GroupByKey]=DiscreteStatsTable[[#This Row],[GroupByKey]]),(DiscreteStatsTable[GroupByKey]=DiscreteStatsTable[[#This Row],[GroupByKey]])*DiscreteStatsTable[Average])),0)</f>
        <v>0.47735516285795621</v>
      </c>
      <c r="P234" s="5" cm="1">
        <f t="array" ref="P234">MAX(IF((ProjectInfoTable[ProjectName]=DiscreteStatsTable[[#This Row],[ProjectName]]),(ProjectInfoTable[ProjectName]=DiscreteStatsTable[[#This Row],[ProjectName]])*ProjectInfoTable[ConfidenceInterval]))</f>
        <v>0.95</v>
      </c>
      <c r="Q234" s="5">
        <f>IF(AND(DiscreteStatsTable[[#This Row],[RepsWithStatObserved]]=1,Y234=0),200000000000000000000,IFERROR(_xlfn.T.INV.2T(1 -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0.13566283623888314</v>
      </c>
      <c r="R234" s="5" cm="1">
        <f t="array" ref="R234">MIN(IF((DiscreteStatsTable[GroupByKey]=DiscreteStatsTable[[#This Row],[GroupByKey]]),(DiscreteStatsTable[GroupByKey]=DiscreteStatsTable[[#This Row],[GroupByKey]])*DiscreteStatsTable[Average]))</f>
        <v>1.3773415743205399</v>
      </c>
      <c r="S234" s="5" cm="1">
        <f t="array" ref="S234">MAX(IF((DiscreteStatsTable[GroupByKey]=DiscreteStatsTable[[#This Row],[GroupByKey]]),(DiscreteStatsTable[GroupByKey]=DiscreteStatsTable[[#This Row],[GroupByKey]])*DiscreteStatsTable[Average]))</f>
        <v>3.3139161730180202</v>
      </c>
      <c r="T234" s="5" cm="1">
        <f t="array" ref="T234">MIN(IF((DiscreteStatsTable[GroupByKey]=DiscreteStatsTable[[#This Row],[GroupByKey]]),(DiscreteStatsTable[GroupByKey]=DiscreteStatsTable[[#This Row],[GroupByKey]])*DiscreteStatsTable[Minimum]))</f>
        <v>0.58847912081681497</v>
      </c>
      <c r="U234" s="5" cm="1">
        <f t="array" ref="U234">MAX(IF((DiscreteStatsTable[GroupByKey]=DiscreteStatsTable[[#This Row],[GroupByKey]]),(DiscreteStatsTable[GroupByKey]=DiscreteStatsTable[[#This Row],[GroupByKey]])*DiscreteStatsTable[Maximum]))</f>
        <v>4.9756405925629998</v>
      </c>
      <c r="V234" s="5" cm="1">
        <f t="array" ref="V234">IFERROR(AVERAGE(IF((DiscreteStatsTable[GroupByKey]=DiscreteStatsTable[[#This Row],[GroupByKey]]),(DiscreteStatsTable[GroupByKey]=DiscreteStatsTable[[#This Row],[GroupByKey]])*DiscreteStatsTable[NumberObservations])),0)</f>
        <v>3.62</v>
      </c>
      <c r="W234" s="5">
        <f>IF((DiscreteStatsTable[[#This Row],[RepsRequested]]&gt;1),DiscreteStatsTable[[#This Row],[HalfWidth]],DiscreteStatsTable[[#This Row],[BatchMeansHalfWidth]])</f>
        <v>0.13566283623888314</v>
      </c>
      <c r="X234" s="5" cm="1">
        <f t="array" ref="X234">COUNT(IF((DiscreteStatsTable[GroupByKey]=DiscreteStatsTable[[#This Row],[GroupByKey]]),(DiscreteStatsTable[GroupByKey]=DiscreteStatsTable[[#This Row],[GroupByKey]])*DiscreteStatsTable[Replication]))</f>
        <v>50</v>
      </c>
      <c r="Y234" s="5">
        <f>IF(DiscreteStatsTable[[#This Row],[RepsRequested]]=DiscreteStatsTable[[#This Row],[RepsWithStatObserved]],1,0)</f>
        <v>1</v>
      </c>
    </row>
    <row r="235" spans="1:25" x14ac:dyDescent="0.35">
      <c r="A235" t="s">
        <v>66</v>
      </c>
      <c r="B235" t="s">
        <v>69</v>
      </c>
      <c r="C235">
        <v>39</v>
      </c>
      <c r="D235" t="s">
        <v>70</v>
      </c>
      <c r="E235" t="s">
        <v>77</v>
      </c>
      <c r="F235" t="s">
        <v>72</v>
      </c>
      <c r="G235">
        <v>1.13504677109986</v>
      </c>
      <c r="H235">
        <v>2E+20</v>
      </c>
      <c r="I235">
        <v>0</v>
      </c>
      <c r="J235">
        <v>3.4051403132995799</v>
      </c>
      <c r="K235">
        <v>3</v>
      </c>
      <c r="L235" s="5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235" s="5" cm="1">
        <f t="array" ref="M235">MAX(IF((ProjectInfoTable[ProjectName]=DiscreteStatsTable[[#This Row],[ProjectName]]),(ProjectInfoTable[ProjectName]=DiscreteStatsTable[[#This Row],[ProjectName]])*ProjectInfoTable[NumberOfReplications]))</f>
        <v>50</v>
      </c>
      <c r="N235" s="5" cm="1">
        <f t="array" ref="N235">IFERROR(AVERAGE(IF((DiscreteStatsTable[GroupByKey]=DiscreteStatsTable[[#This Row],[GroupByKey]]),(DiscreteStatsTable[GroupByKey]=DiscreteStatsTable[[#This Row],[GroupByKey]])*DiscreteStatsTable[Average])),0)</f>
        <v>1.2240084441262762</v>
      </c>
      <c r="O235" s="5" cm="1">
        <f t="array" ref="O235">IFERROR(_xlfn.STDEV.S(IF((DiscreteStatsTable[GroupByKey]=DiscreteStatsTable[[#This Row],[GroupByKey]]),(DiscreteStatsTable[GroupByKey]=DiscreteStatsTable[[#This Row],[GroupByKey]])*DiscreteStatsTable[Average])),0)</f>
        <v>0.89867905452837749</v>
      </c>
      <c r="P235" s="5" cm="1">
        <f t="array" ref="P235">MAX(IF((ProjectInfoTable[ProjectName]=DiscreteStatsTable[[#This Row],[ProjectName]]),(ProjectInfoTable[ProjectName]=DiscreteStatsTable[[#This Row],[ProjectName]])*ProjectInfoTable[ConfidenceInterval]))</f>
        <v>0.95</v>
      </c>
      <c r="Q235" s="5">
        <f>IF(AND(DiscreteStatsTable[[#This Row],[RepsWithStatObserved]]=1,Y235=0),200000000000000000000,IFERROR(_xlfn.T.INV.2T(1 -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0.2554017613968404</v>
      </c>
      <c r="R235" s="5" cm="1">
        <f t="array" ref="R235">MIN(IF((DiscreteStatsTable[GroupByKey]=DiscreteStatsTable[[#This Row],[GroupByKey]]),(DiscreteStatsTable[GroupByKey]=DiscreteStatsTable[[#This Row],[GroupByKey]])*DiscreteStatsTable[Average]))</f>
        <v>0</v>
      </c>
      <c r="S235" s="5" cm="1">
        <f t="array" ref="S235">MAX(IF((DiscreteStatsTable[GroupByKey]=DiscreteStatsTable[[#This Row],[GroupByKey]]),(DiscreteStatsTable[GroupByKey]=DiscreteStatsTable[[#This Row],[GroupByKey]])*DiscreteStatsTable[Average]))</f>
        <v>3.4345522286517598</v>
      </c>
      <c r="T235" s="5" cm="1">
        <f t="array" ref="T235">MIN(IF((DiscreteStatsTable[GroupByKey]=DiscreteStatsTable[[#This Row],[GroupByKey]]),(DiscreteStatsTable[GroupByKey]=DiscreteStatsTable[[#This Row],[GroupByKey]])*DiscreteStatsTable[Minimum]))</f>
        <v>0</v>
      </c>
      <c r="U235" s="5" cm="1">
        <f t="array" ref="U235">MAX(IF((DiscreteStatsTable[GroupByKey]=DiscreteStatsTable[[#This Row],[GroupByKey]]),(DiscreteStatsTable[GroupByKey]=DiscreteStatsTable[[#This Row],[GroupByKey]])*DiscreteStatsTable[Maximum]))</f>
        <v>6.7563093676697896</v>
      </c>
      <c r="V235" s="5" cm="1">
        <f t="array" ref="V235">IFERROR(AVERAGE(IF((DiscreteStatsTable[GroupByKey]=DiscreteStatsTable[[#This Row],[GroupByKey]]),(DiscreteStatsTable[GroupByKey]=DiscreteStatsTable[[#This Row],[GroupByKey]])*DiscreteStatsTable[NumberObservations])),0)</f>
        <v>3.62</v>
      </c>
      <c r="W235" s="5">
        <f>IF((DiscreteStatsTable[[#This Row],[RepsRequested]]&gt;1),DiscreteStatsTable[[#This Row],[HalfWidth]],DiscreteStatsTable[[#This Row],[BatchMeansHalfWidth]])</f>
        <v>0.2554017613968404</v>
      </c>
      <c r="X235" s="5" cm="1">
        <f t="array" ref="X235">COUNT(IF((DiscreteStatsTable[GroupByKey]=DiscreteStatsTable[[#This Row],[GroupByKey]]),(DiscreteStatsTable[GroupByKey]=DiscreteStatsTable[[#This Row],[GroupByKey]])*DiscreteStatsTable[Replication]))</f>
        <v>50</v>
      </c>
      <c r="Y235" s="5">
        <f>IF(DiscreteStatsTable[[#This Row],[RepsRequested]]=DiscreteStatsTable[[#This Row],[RepsWithStatObserved]],1,0)</f>
        <v>1</v>
      </c>
    </row>
    <row r="236" spans="1:25" x14ac:dyDescent="0.35">
      <c r="A236" t="s">
        <v>66</v>
      </c>
      <c r="B236" t="s">
        <v>69</v>
      </c>
      <c r="C236">
        <v>40</v>
      </c>
      <c r="D236" t="s">
        <v>70</v>
      </c>
      <c r="E236" t="s">
        <v>71</v>
      </c>
      <c r="F236" t="s">
        <v>72</v>
      </c>
      <c r="G236">
        <v>0</v>
      </c>
      <c r="H236">
        <v>2E+20</v>
      </c>
      <c r="I236">
        <v>0</v>
      </c>
      <c r="J236">
        <v>0</v>
      </c>
      <c r="K236">
        <v>4</v>
      </c>
      <c r="L236" s="5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236" s="5" cm="1">
        <f t="array" ref="M236">MAX(IF((ProjectInfoTable[ProjectName]=DiscreteStatsTable[[#This Row],[ProjectName]]),(ProjectInfoTable[ProjectName]=DiscreteStatsTable[[#This Row],[ProjectName]])*ProjectInfoTable[NumberOfReplications]))</f>
        <v>50</v>
      </c>
      <c r="N236" s="5" cm="1">
        <f t="array" ref="N236">IFERROR(AVERAGE(IF((DiscreteStatsTable[GroupByKey]=DiscreteStatsTable[[#This Row],[GroupByKey]]),(DiscreteStatsTable[GroupByKey]=DiscreteStatsTable[[#This Row],[GroupByKey]])*DiscreteStatsTable[Average])),0)</f>
        <v>0</v>
      </c>
      <c r="O236" s="5" cm="1">
        <f t="array" ref="O236">IFERROR(_xlfn.STDEV.S(IF((DiscreteStatsTable[GroupByKey]=DiscreteStatsTable[[#This Row],[GroupByKey]]),(DiscreteStatsTable[GroupByKey]=DiscreteStatsTable[[#This Row],[GroupByKey]])*DiscreteStatsTable[Average])),0)</f>
        <v>0</v>
      </c>
      <c r="P236" s="5" cm="1">
        <f t="array" ref="P236">MAX(IF((ProjectInfoTable[ProjectName]=DiscreteStatsTable[[#This Row],[ProjectName]]),(ProjectInfoTable[ProjectName]=DiscreteStatsTable[[#This Row],[ProjectName]])*ProjectInfoTable[ConfidenceInterval]))</f>
        <v>0.95</v>
      </c>
      <c r="Q236" s="5">
        <f>IF(AND(DiscreteStatsTable[[#This Row],[RepsWithStatObserved]]=1,Y236=0),200000000000000000000,IFERROR(_xlfn.T.INV.2T(1 -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6" s="5" cm="1">
        <f t="array" ref="R236">MIN(IF((DiscreteStatsTable[GroupByKey]=DiscreteStatsTable[[#This Row],[GroupByKey]]),(DiscreteStatsTable[GroupByKey]=DiscreteStatsTable[[#This Row],[GroupByKey]])*DiscreteStatsTable[Average]))</f>
        <v>0</v>
      </c>
      <c r="S236" s="5" cm="1">
        <f t="array" ref="S236">MAX(IF((DiscreteStatsTable[GroupByKey]=DiscreteStatsTable[[#This Row],[GroupByKey]]),(DiscreteStatsTable[GroupByKey]=DiscreteStatsTable[[#This Row],[GroupByKey]])*DiscreteStatsTable[Average]))</f>
        <v>0</v>
      </c>
      <c r="T236" s="5" cm="1">
        <f t="array" ref="T236">MIN(IF((DiscreteStatsTable[GroupByKey]=DiscreteStatsTable[[#This Row],[GroupByKey]]),(DiscreteStatsTable[GroupByKey]=DiscreteStatsTable[[#This Row],[GroupByKey]])*DiscreteStatsTable[Minimum]))</f>
        <v>0</v>
      </c>
      <c r="U236" s="5" cm="1">
        <f t="array" ref="U236">MAX(IF((DiscreteStatsTable[GroupByKey]=DiscreteStatsTable[[#This Row],[GroupByKey]]),(DiscreteStatsTable[GroupByKey]=DiscreteStatsTable[[#This Row],[GroupByKey]])*DiscreteStatsTable[Maximum]))</f>
        <v>0</v>
      </c>
      <c r="V236" s="5" cm="1">
        <f t="array" ref="V236">IFERROR(AVERAGE(IF((DiscreteStatsTable[GroupByKey]=DiscreteStatsTable[[#This Row],[GroupByKey]]),(DiscreteStatsTable[GroupByKey]=DiscreteStatsTable[[#This Row],[GroupByKey]])*DiscreteStatsTable[NumberObservations])),0)</f>
        <v>3.62</v>
      </c>
      <c r="W236" s="5">
        <f>IF((DiscreteStatsTable[[#This Row],[RepsRequested]]&gt;1),DiscreteStatsTable[[#This Row],[HalfWidth]],DiscreteStatsTable[[#This Row],[BatchMeansHalfWidth]])</f>
        <v>0</v>
      </c>
      <c r="X236" s="5" cm="1">
        <f t="array" ref="X236">COUNT(IF((DiscreteStatsTable[GroupByKey]=DiscreteStatsTable[[#This Row],[GroupByKey]]),(DiscreteStatsTable[GroupByKey]=DiscreteStatsTable[[#This Row],[GroupByKey]])*DiscreteStatsTable[Replication]))</f>
        <v>50</v>
      </c>
      <c r="Y236" s="5">
        <f>IF(DiscreteStatsTable[[#This Row],[RepsRequested]]=DiscreteStatsTable[[#This Row],[RepsWithStatObserved]],1,0)</f>
        <v>1</v>
      </c>
    </row>
    <row r="237" spans="1:25" x14ac:dyDescent="0.35">
      <c r="A237" t="s">
        <v>66</v>
      </c>
      <c r="B237" t="s">
        <v>69</v>
      </c>
      <c r="C237">
        <v>40</v>
      </c>
      <c r="D237" t="s">
        <v>70</v>
      </c>
      <c r="E237" t="s">
        <v>73</v>
      </c>
      <c r="F237" t="s">
        <v>72</v>
      </c>
      <c r="G237">
        <v>0</v>
      </c>
      <c r="H237">
        <v>2E+20</v>
      </c>
      <c r="I237">
        <v>0</v>
      </c>
      <c r="J237">
        <v>0</v>
      </c>
      <c r="K237">
        <v>4</v>
      </c>
      <c r="L237" s="5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237" s="5" cm="1">
        <f t="array" ref="M237">MAX(IF((ProjectInfoTable[ProjectName]=DiscreteStatsTable[[#This Row],[ProjectName]]),(ProjectInfoTable[ProjectName]=DiscreteStatsTable[[#This Row],[ProjectName]])*ProjectInfoTable[NumberOfReplications]))</f>
        <v>50</v>
      </c>
      <c r="N237" s="5" cm="1">
        <f t="array" ref="N237">IFERROR(AVERAGE(IF((DiscreteStatsTable[GroupByKey]=DiscreteStatsTable[[#This Row],[GroupByKey]]),(DiscreteStatsTable[GroupByKey]=DiscreteStatsTable[[#This Row],[GroupByKey]])*DiscreteStatsTable[Average])),0)</f>
        <v>0</v>
      </c>
      <c r="O237" s="5" cm="1">
        <f t="array" ref="O237">IFERROR(_xlfn.STDEV.S(IF((DiscreteStatsTable[GroupByKey]=DiscreteStatsTable[[#This Row],[GroupByKey]]),(DiscreteStatsTable[GroupByKey]=DiscreteStatsTable[[#This Row],[GroupByKey]])*DiscreteStatsTable[Average])),0)</f>
        <v>0</v>
      </c>
      <c r="P237" s="5" cm="1">
        <f t="array" ref="P237">MAX(IF((ProjectInfoTable[ProjectName]=DiscreteStatsTable[[#This Row],[ProjectName]]),(ProjectInfoTable[ProjectName]=DiscreteStatsTable[[#This Row],[ProjectName]])*ProjectInfoTable[ConfidenceInterval]))</f>
        <v>0.95</v>
      </c>
      <c r="Q237" s="5">
        <f>IF(AND(DiscreteStatsTable[[#This Row],[RepsWithStatObserved]]=1,Y237=0),200000000000000000000,IFERROR(_xlfn.T.INV.2T(1 -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7" s="5" cm="1">
        <f t="array" ref="R237">MIN(IF((DiscreteStatsTable[GroupByKey]=DiscreteStatsTable[[#This Row],[GroupByKey]]),(DiscreteStatsTable[GroupByKey]=DiscreteStatsTable[[#This Row],[GroupByKey]])*DiscreteStatsTable[Average]))</f>
        <v>0</v>
      </c>
      <c r="S237" s="5" cm="1">
        <f t="array" ref="S237">MAX(IF((DiscreteStatsTable[GroupByKey]=DiscreteStatsTable[[#This Row],[GroupByKey]]),(DiscreteStatsTable[GroupByKey]=DiscreteStatsTable[[#This Row],[GroupByKey]])*DiscreteStatsTable[Average]))</f>
        <v>0</v>
      </c>
      <c r="T237" s="5" cm="1">
        <f t="array" ref="T237">MIN(IF((DiscreteStatsTable[GroupByKey]=DiscreteStatsTable[[#This Row],[GroupByKey]]),(DiscreteStatsTable[GroupByKey]=DiscreteStatsTable[[#This Row],[GroupByKey]])*DiscreteStatsTable[Minimum]))</f>
        <v>0</v>
      </c>
      <c r="U237" s="5" cm="1">
        <f t="array" ref="U237">MAX(IF((DiscreteStatsTable[GroupByKey]=DiscreteStatsTable[[#This Row],[GroupByKey]]),(DiscreteStatsTable[GroupByKey]=DiscreteStatsTable[[#This Row],[GroupByKey]])*DiscreteStatsTable[Maximum]))</f>
        <v>0</v>
      </c>
      <c r="V237" s="5" cm="1">
        <f t="array" ref="V237">IFERROR(AVERAGE(IF((DiscreteStatsTable[GroupByKey]=DiscreteStatsTable[[#This Row],[GroupByKey]]),(DiscreteStatsTable[GroupByKey]=DiscreteStatsTable[[#This Row],[GroupByKey]])*DiscreteStatsTable[NumberObservations])),0)</f>
        <v>3.62</v>
      </c>
      <c r="W237" s="5">
        <f>IF((DiscreteStatsTable[[#This Row],[RepsRequested]]&gt;1),DiscreteStatsTable[[#This Row],[HalfWidth]],DiscreteStatsTable[[#This Row],[BatchMeansHalfWidth]])</f>
        <v>0</v>
      </c>
      <c r="X237" s="5" cm="1">
        <f t="array" ref="X237">COUNT(IF((DiscreteStatsTable[GroupByKey]=DiscreteStatsTable[[#This Row],[GroupByKey]]),(DiscreteStatsTable[GroupByKey]=DiscreteStatsTable[[#This Row],[GroupByKey]])*DiscreteStatsTable[Replication]))</f>
        <v>50</v>
      </c>
      <c r="Y237" s="5">
        <f>IF(DiscreteStatsTable[[#This Row],[RepsRequested]]=DiscreteStatsTable[[#This Row],[RepsWithStatObserved]],1,0)</f>
        <v>1</v>
      </c>
    </row>
    <row r="238" spans="1:25" x14ac:dyDescent="0.35">
      <c r="A238" t="s">
        <v>66</v>
      </c>
      <c r="B238" t="s">
        <v>69</v>
      </c>
      <c r="C238">
        <v>40</v>
      </c>
      <c r="D238" t="s">
        <v>70</v>
      </c>
      <c r="E238" t="s">
        <v>74</v>
      </c>
      <c r="F238" t="s">
        <v>72</v>
      </c>
      <c r="G238">
        <v>2.3201148514801502</v>
      </c>
      <c r="H238">
        <v>2E+20</v>
      </c>
      <c r="I238">
        <v>1.46055877666131</v>
      </c>
      <c r="J238">
        <v>3.2001178512525601</v>
      </c>
      <c r="K238">
        <v>4</v>
      </c>
      <c r="L238" s="5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238" s="5" cm="1">
        <f t="array" ref="M238">MAX(IF((ProjectInfoTable[ProjectName]=DiscreteStatsTable[[#This Row],[ProjectName]]),(ProjectInfoTable[ProjectName]=DiscreteStatsTable[[#This Row],[ProjectName]])*ProjectInfoTable[NumberOfReplications]))</f>
        <v>50</v>
      </c>
      <c r="N238" s="5" cm="1">
        <f t="array" ref="N238">IFERROR(AVERAGE(IF((DiscreteStatsTable[GroupByKey]=DiscreteStatsTable[[#This Row],[GroupByKey]]),(DiscreteStatsTable[GroupByKey]=DiscreteStatsTable[[#This Row],[GroupByKey]])*DiscreteStatsTable[Average])),0)</f>
        <v>3.5363894499532775</v>
      </c>
      <c r="O238" s="5" cm="1">
        <f t="array" ref="O238">IFERROR(_xlfn.STDEV.S(IF((DiscreteStatsTable[GroupByKey]=DiscreteStatsTable[[#This Row],[GroupByKey]]),(DiscreteStatsTable[GroupByKey]=DiscreteStatsTable[[#This Row],[GroupByKey]])*DiscreteStatsTable[Average])),0)</f>
        <v>1.1766434570133149</v>
      </c>
      <c r="P238" s="5" cm="1">
        <f t="array" ref="P238">MAX(IF((ProjectInfoTable[ProjectName]=DiscreteStatsTable[[#This Row],[ProjectName]]),(ProjectInfoTable[ProjectName]=DiscreteStatsTable[[#This Row],[ProjectName]])*ProjectInfoTable[ConfidenceInterval]))</f>
        <v>0.95</v>
      </c>
      <c r="Q238" s="5">
        <f>IF(AND(DiscreteStatsTable[[#This Row],[RepsWithStatObserved]]=1,Y238=0),200000000000000000000,IFERROR(_xlfn.T.INV.2T(1 -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0.33439837052280896</v>
      </c>
      <c r="R238" s="5" cm="1">
        <f t="array" ref="R238">MIN(IF((DiscreteStatsTable[GroupByKey]=DiscreteStatsTable[[#This Row],[GroupByKey]]),(DiscreteStatsTable[GroupByKey]=DiscreteStatsTable[[#This Row],[GroupByKey]])*DiscreteStatsTable[Average]))</f>
        <v>1.6342264652107701</v>
      </c>
      <c r="S238" s="5" cm="1">
        <f t="array" ref="S238">MAX(IF((DiscreteStatsTable[GroupByKey]=DiscreteStatsTable[[#This Row],[GroupByKey]]),(DiscreteStatsTable[GroupByKey]=DiscreteStatsTable[[#This Row],[GroupByKey]])*DiscreteStatsTable[Average]))</f>
        <v>6.5527373550837904</v>
      </c>
      <c r="T238" s="5" cm="1">
        <f t="array" ref="T238">MIN(IF((DiscreteStatsTable[GroupByKey]=DiscreteStatsTable[[#This Row],[GroupByKey]]),(DiscreteStatsTable[GroupByKey]=DiscreteStatsTable[[#This Row],[GroupByKey]])*DiscreteStatsTable[Minimum]))</f>
        <v>0.58847912081681497</v>
      </c>
      <c r="U238" s="5" cm="1">
        <f t="array" ref="U238">MAX(IF((DiscreteStatsTable[GroupByKey]=DiscreteStatsTable[[#This Row],[GroupByKey]]),(DiscreteStatsTable[GroupByKey]=DiscreteStatsTable[[#This Row],[GroupByKey]])*DiscreteStatsTable[Maximum]))</f>
        <v>8.7476494546828292</v>
      </c>
      <c r="V238" s="5" cm="1">
        <f t="array" ref="V238">IFERROR(AVERAGE(IF((DiscreteStatsTable[GroupByKey]=DiscreteStatsTable[[#This Row],[GroupByKey]]),(DiscreteStatsTable[GroupByKey]=DiscreteStatsTable[[#This Row],[GroupByKey]])*DiscreteStatsTable[NumberObservations])),0)</f>
        <v>3.62</v>
      </c>
      <c r="W238" s="5">
        <f>IF((DiscreteStatsTable[[#This Row],[RepsRequested]]&gt;1),DiscreteStatsTable[[#This Row],[HalfWidth]],DiscreteStatsTable[[#This Row],[BatchMeansHalfWidth]])</f>
        <v>0.33439837052280896</v>
      </c>
      <c r="X238" s="5" cm="1">
        <f t="array" ref="X238">COUNT(IF((DiscreteStatsTable[GroupByKey]=DiscreteStatsTable[[#This Row],[GroupByKey]]),(DiscreteStatsTable[GroupByKey]=DiscreteStatsTable[[#This Row],[GroupByKey]])*DiscreteStatsTable[Replication]))</f>
        <v>50</v>
      </c>
      <c r="Y238" s="5">
        <f>IF(DiscreteStatsTable[[#This Row],[RepsRequested]]=DiscreteStatsTable[[#This Row],[RepsWithStatObserved]],1,0)</f>
        <v>1</v>
      </c>
    </row>
    <row r="239" spans="1:25" x14ac:dyDescent="0.35">
      <c r="A239" t="s">
        <v>66</v>
      </c>
      <c r="B239" t="s">
        <v>69</v>
      </c>
      <c r="C239">
        <v>40</v>
      </c>
      <c r="D239" t="s">
        <v>70</v>
      </c>
      <c r="E239" t="s">
        <v>75</v>
      </c>
      <c r="F239" t="s">
        <v>72</v>
      </c>
      <c r="G239">
        <v>0</v>
      </c>
      <c r="H239">
        <v>2E+20</v>
      </c>
      <c r="I239">
        <v>0</v>
      </c>
      <c r="J239">
        <v>0</v>
      </c>
      <c r="K239">
        <v>4</v>
      </c>
      <c r="L239" s="5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239" s="5" cm="1">
        <f t="array" ref="M239">MAX(IF((ProjectInfoTable[ProjectName]=DiscreteStatsTable[[#This Row],[ProjectName]]),(ProjectInfoTable[ProjectName]=DiscreteStatsTable[[#This Row],[ProjectName]])*ProjectInfoTable[NumberOfReplications]))</f>
        <v>50</v>
      </c>
      <c r="N239" s="5" cm="1">
        <f t="array" ref="N239">IFERROR(AVERAGE(IF((DiscreteStatsTable[GroupByKey]=DiscreteStatsTable[[#This Row],[GroupByKey]]),(DiscreteStatsTable[GroupByKey]=DiscreteStatsTable[[#This Row],[GroupByKey]])*DiscreteStatsTable[Average])),0)</f>
        <v>0</v>
      </c>
      <c r="O239" s="5" cm="1">
        <f t="array" ref="O239">IFERROR(_xlfn.STDEV.S(IF((DiscreteStatsTable[GroupByKey]=DiscreteStatsTable[[#This Row],[GroupByKey]]),(DiscreteStatsTable[GroupByKey]=DiscreteStatsTable[[#This Row],[GroupByKey]])*DiscreteStatsTable[Average])),0)</f>
        <v>0</v>
      </c>
      <c r="P239" s="5" cm="1">
        <f t="array" ref="P239">MAX(IF((ProjectInfoTable[ProjectName]=DiscreteStatsTable[[#This Row],[ProjectName]]),(ProjectInfoTable[ProjectName]=DiscreteStatsTable[[#This Row],[ProjectName]])*ProjectInfoTable[ConfidenceInterval]))</f>
        <v>0.95</v>
      </c>
      <c r="Q239" s="5">
        <f>IF(AND(DiscreteStatsTable[[#This Row],[RepsWithStatObserved]]=1,Y239=0),200000000000000000000,IFERROR(_xlfn.T.INV.2T(1 -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9" s="5" cm="1">
        <f t="array" ref="R239">MIN(IF((DiscreteStatsTable[GroupByKey]=DiscreteStatsTable[[#This Row],[GroupByKey]]),(DiscreteStatsTable[GroupByKey]=DiscreteStatsTable[[#This Row],[GroupByKey]])*DiscreteStatsTable[Average]))</f>
        <v>0</v>
      </c>
      <c r="S239" s="5" cm="1">
        <f t="array" ref="S239">MAX(IF((DiscreteStatsTable[GroupByKey]=DiscreteStatsTable[[#This Row],[GroupByKey]]),(DiscreteStatsTable[GroupByKey]=DiscreteStatsTable[[#This Row],[GroupByKey]])*DiscreteStatsTable[Average]))</f>
        <v>0</v>
      </c>
      <c r="T239" s="5" cm="1">
        <f t="array" ref="T239">MIN(IF((DiscreteStatsTable[GroupByKey]=DiscreteStatsTable[[#This Row],[GroupByKey]]),(DiscreteStatsTable[GroupByKey]=DiscreteStatsTable[[#This Row],[GroupByKey]])*DiscreteStatsTable[Minimum]))</f>
        <v>0</v>
      </c>
      <c r="U239" s="5" cm="1">
        <f t="array" ref="U239">MAX(IF((DiscreteStatsTable[GroupByKey]=DiscreteStatsTable[[#This Row],[GroupByKey]]),(DiscreteStatsTable[GroupByKey]=DiscreteStatsTable[[#This Row],[GroupByKey]])*DiscreteStatsTable[Maximum]))</f>
        <v>0</v>
      </c>
      <c r="V239" s="5" cm="1">
        <f t="array" ref="V239">IFERROR(AVERAGE(IF((DiscreteStatsTable[GroupByKey]=DiscreteStatsTable[[#This Row],[GroupByKey]]),(DiscreteStatsTable[GroupByKey]=DiscreteStatsTable[[#This Row],[GroupByKey]])*DiscreteStatsTable[NumberObservations])),0)</f>
        <v>3.62</v>
      </c>
      <c r="W239" s="5">
        <f>IF((DiscreteStatsTable[[#This Row],[RepsRequested]]&gt;1),DiscreteStatsTable[[#This Row],[HalfWidth]],DiscreteStatsTable[[#This Row],[BatchMeansHalfWidth]])</f>
        <v>0</v>
      </c>
      <c r="X239" s="5" cm="1">
        <f t="array" ref="X239">COUNT(IF((DiscreteStatsTable[GroupByKey]=DiscreteStatsTable[[#This Row],[GroupByKey]]),(DiscreteStatsTable[GroupByKey]=DiscreteStatsTable[[#This Row],[GroupByKey]])*DiscreteStatsTable[Replication]))</f>
        <v>50</v>
      </c>
      <c r="Y239" s="5">
        <f>IF(DiscreteStatsTable[[#This Row],[RepsRequested]]=DiscreteStatsTable[[#This Row],[RepsWithStatObserved]],1,0)</f>
        <v>1</v>
      </c>
    </row>
    <row r="240" spans="1:25" x14ac:dyDescent="0.35">
      <c r="A240" t="s">
        <v>66</v>
      </c>
      <c r="B240" t="s">
        <v>69</v>
      </c>
      <c r="C240">
        <v>40</v>
      </c>
      <c r="D240" t="s">
        <v>70</v>
      </c>
      <c r="E240" t="s">
        <v>76</v>
      </c>
      <c r="F240" t="s">
        <v>72</v>
      </c>
      <c r="G240">
        <v>1.9436505740104499</v>
      </c>
      <c r="H240">
        <v>2E+20</v>
      </c>
      <c r="I240">
        <v>1.0328768911547801</v>
      </c>
      <c r="J240">
        <v>2.67976499508833</v>
      </c>
      <c r="K240">
        <v>4</v>
      </c>
      <c r="L240" s="5" t="str">
        <f>DiscreteStatsTable[[#This Row],[ProjectName]]&amp;DiscreteStatsTable[[#This Row],[Name]]&amp;DiscreteStatsTable[[#This Row],[Type]]&amp;DiscreteStatsTable[[#This Row],[Source]]</f>
        <v>Unnamed ProjectArquivosVA TimeEntity</v>
      </c>
      <c r="M240" s="5" cm="1">
        <f t="array" ref="M240">MAX(IF((ProjectInfoTable[ProjectName]=DiscreteStatsTable[[#This Row],[ProjectName]]),(ProjectInfoTable[ProjectName]=DiscreteStatsTable[[#This Row],[ProjectName]])*ProjectInfoTable[NumberOfReplications]))</f>
        <v>50</v>
      </c>
      <c r="N240" s="5" cm="1">
        <f t="array" ref="N240">IFERROR(AVERAGE(IF((DiscreteStatsTable[GroupByKey]=DiscreteStatsTable[[#This Row],[GroupByKey]]),(DiscreteStatsTable[GroupByKey]=DiscreteStatsTable[[#This Row],[GroupByKey]])*DiscreteStatsTable[Average])),0)</f>
        <v>2.3123810058270009</v>
      </c>
      <c r="O240" s="5" cm="1">
        <f t="array" ref="O240">IFERROR(_xlfn.STDEV.S(IF((DiscreteStatsTable[GroupByKey]=DiscreteStatsTable[[#This Row],[GroupByKey]]),(DiscreteStatsTable[GroupByKey]=DiscreteStatsTable[[#This Row],[GroupByKey]])*DiscreteStatsTable[Average])),0)</f>
        <v>0.47735516285795621</v>
      </c>
      <c r="P240" s="5" cm="1">
        <f t="array" ref="P240">MAX(IF((ProjectInfoTable[ProjectName]=DiscreteStatsTable[[#This Row],[ProjectName]]),(ProjectInfoTable[ProjectName]=DiscreteStatsTable[[#This Row],[ProjectName]])*ProjectInfoTable[ConfidenceInterval]))</f>
        <v>0.95</v>
      </c>
      <c r="Q240" s="5">
        <f>IF(AND(DiscreteStatsTable[[#This Row],[RepsWithStatObserved]]=1,Y240=0),200000000000000000000,IFERROR(_xlfn.T.INV.2T(1 -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0.13566283623888314</v>
      </c>
      <c r="R240" s="5" cm="1">
        <f t="array" ref="R240">MIN(IF((DiscreteStatsTable[GroupByKey]=DiscreteStatsTable[[#This Row],[GroupByKey]]),(DiscreteStatsTable[GroupByKey]=DiscreteStatsTable[[#This Row],[GroupByKey]])*DiscreteStatsTable[Average]))</f>
        <v>1.3773415743205399</v>
      </c>
      <c r="S240" s="5" cm="1">
        <f t="array" ref="S240">MAX(IF((DiscreteStatsTable[GroupByKey]=DiscreteStatsTable[[#This Row],[GroupByKey]]),(DiscreteStatsTable[GroupByKey]=DiscreteStatsTable[[#This Row],[GroupByKey]])*DiscreteStatsTable[Average]))</f>
        <v>3.3139161730180202</v>
      </c>
      <c r="T240" s="5" cm="1">
        <f t="array" ref="T240">MIN(IF((DiscreteStatsTable[GroupByKey]=DiscreteStatsTable[[#This Row],[GroupByKey]]),(DiscreteStatsTable[GroupByKey]=DiscreteStatsTable[[#This Row],[GroupByKey]])*DiscreteStatsTable[Minimum]))</f>
        <v>0.58847912081681497</v>
      </c>
      <c r="U240" s="5" cm="1">
        <f t="array" ref="U240">MAX(IF((DiscreteStatsTable[GroupByKey]=DiscreteStatsTable[[#This Row],[GroupByKey]]),(DiscreteStatsTable[GroupByKey]=DiscreteStatsTable[[#This Row],[GroupByKey]])*DiscreteStatsTable[Maximum]))</f>
        <v>4.9756405925629998</v>
      </c>
      <c r="V240" s="5" cm="1">
        <f t="array" ref="V240">IFERROR(AVERAGE(IF((DiscreteStatsTable[GroupByKey]=DiscreteStatsTable[[#This Row],[GroupByKey]]),(DiscreteStatsTable[GroupByKey]=DiscreteStatsTable[[#This Row],[GroupByKey]])*DiscreteStatsTable[NumberObservations])),0)</f>
        <v>3.62</v>
      </c>
      <c r="W240" s="5">
        <f>IF((DiscreteStatsTable[[#This Row],[RepsRequested]]&gt;1),DiscreteStatsTable[[#This Row],[HalfWidth]],DiscreteStatsTable[[#This Row],[BatchMeansHalfWidth]])</f>
        <v>0.13566283623888314</v>
      </c>
      <c r="X240" s="5" cm="1">
        <f t="array" ref="X240">COUNT(IF((DiscreteStatsTable[GroupByKey]=DiscreteStatsTable[[#This Row],[GroupByKey]]),(DiscreteStatsTable[GroupByKey]=DiscreteStatsTable[[#This Row],[GroupByKey]])*DiscreteStatsTable[Replication]))</f>
        <v>50</v>
      </c>
      <c r="Y240" s="5">
        <f>IF(DiscreteStatsTable[[#This Row],[RepsRequested]]=DiscreteStatsTable[[#This Row],[RepsWithStatObserved]],1,0)</f>
        <v>1</v>
      </c>
    </row>
    <row r="241" spans="1:25" x14ac:dyDescent="0.35">
      <c r="A241" t="s">
        <v>66</v>
      </c>
      <c r="B241" t="s">
        <v>69</v>
      </c>
      <c r="C241">
        <v>40</v>
      </c>
      <c r="D241" t="s">
        <v>70</v>
      </c>
      <c r="E241" t="s">
        <v>77</v>
      </c>
      <c r="F241" t="s">
        <v>72</v>
      </c>
      <c r="G241">
        <v>0.37646427746970601</v>
      </c>
      <c r="H241">
        <v>2E+20</v>
      </c>
      <c r="I241">
        <v>0</v>
      </c>
      <c r="J241">
        <v>0.98550425371459505</v>
      </c>
      <c r="K241">
        <v>4</v>
      </c>
      <c r="L241" s="5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241" s="5" cm="1">
        <f t="array" ref="M241">MAX(IF((ProjectInfoTable[ProjectName]=DiscreteStatsTable[[#This Row],[ProjectName]]),(ProjectInfoTable[ProjectName]=DiscreteStatsTable[[#This Row],[ProjectName]])*ProjectInfoTable[NumberOfReplications]))</f>
        <v>50</v>
      </c>
      <c r="N241" s="5" cm="1">
        <f t="array" ref="N241">IFERROR(AVERAGE(IF((DiscreteStatsTable[GroupByKey]=DiscreteStatsTable[[#This Row],[GroupByKey]]),(DiscreteStatsTable[GroupByKey]=DiscreteStatsTable[[#This Row],[GroupByKey]])*DiscreteStatsTable[Average])),0)</f>
        <v>1.2240084441262762</v>
      </c>
      <c r="O241" s="5" cm="1">
        <f t="array" ref="O241">IFERROR(_xlfn.STDEV.S(IF((DiscreteStatsTable[GroupByKey]=DiscreteStatsTable[[#This Row],[GroupByKey]]),(DiscreteStatsTable[GroupByKey]=DiscreteStatsTable[[#This Row],[GroupByKey]])*DiscreteStatsTable[Average])),0)</f>
        <v>0.89867905452837749</v>
      </c>
      <c r="P241" s="5" cm="1">
        <f t="array" ref="P241">MAX(IF((ProjectInfoTable[ProjectName]=DiscreteStatsTable[[#This Row],[ProjectName]]),(ProjectInfoTable[ProjectName]=DiscreteStatsTable[[#This Row],[ProjectName]])*ProjectInfoTable[ConfidenceInterval]))</f>
        <v>0.95</v>
      </c>
      <c r="Q241" s="5">
        <f>IF(AND(DiscreteStatsTable[[#This Row],[RepsWithStatObserved]]=1,Y241=0),200000000000000000000,IFERROR(_xlfn.T.INV.2T(1 -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0.2554017613968404</v>
      </c>
      <c r="R241" s="5" cm="1">
        <f t="array" ref="R241">MIN(IF((DiscreteStatsTable[GroupByKey]=DiscreteStatsTable[[#This Row],[GroupByKey]]),(DiscreteStatsTable[GroupByKey]=DiscreteStatsTable[[#This Row],[GroupByKey]])*DiscreteStatsTable[Average]))</f>
        <v>0</v>
      </c>
      <c r="S241" s="5" cm="1">
        <f t="array" ref="S241">MAX(IF((DiscreteStatsTable[GroupByKey]=DiscreteStatsTable[[#This Row],[GroupByKey]]),(DiscreteStatsTable[GroupByKey]=DiscreteStatsTable[[#This Row],[GroupByKey]])*DiscreteStatsTable[Average]))</f>
        <v>3.4345522286517598</v>
      </c>
      <c r="T241" s="5" cm="1">
        <f t="array" ref="T241">MIN(IF((DiscreteStatsTable[GroupByKey]=DiscreteStatsTable[[#This Row],[GroupByKey]]),(DiscreteStatsTable[GroupByKey]=DiscreteStatsTable[[#This Row],[GroupByKey]])*DiscreteStatsTable[Minimum]))</f>
        <v>0</v>
      </c>
      <c r="U241" s="5" cm="1">
        <f t="array" ref="U241">MAX(IF((DiscreteStatsTable[GroupByKey]=DiscreteStatsTable[[#This Row],[GroupByKey]]),(DiscreteStatsTable[GroupByKey]=DiscreteStatsTable[[#This Row],[GroupByKey]])*DiscreteStatsTable[Maximum]))</f>
        <v>6.7563093676697896</v>
      </c>
      <c r="V241" s="5" cm="1">
        <f t="array" ref="V241">IFERROR(AVERAGE(IF((DiscreteStatsTable[GroupByKey]=DiscreteStatsTable[[#This Row],[GroupByKey]]),(DiscreteStatsTable[GroupByKey]=DiscreteStatsTable[[#This Row],[GroupByKey]])*DiscreteStatsTable[NumberObservations])),0)</f>
        <v>3.62</v>
      </c>
      <c r="W241" s="5">
        <f>IF((DiscreteStatsTable[[#This Row],[RepsRequested]]&gt;1),DiscreteStatsTable[[#This Row],[HalfWidth]],DiscreteStatsTable[[#This Row],[BatchMeansHalfWidth]])</f>
        <v>0.2554017613968404</v>
      </c>
      <c r="X241" s="5" cm="1">
        <f t="array" ref="X241">COUNT(IF((DiscreteStatsTable[GroupByKey]=DiscreteStatsTable[[#This Row],[GroupByKey]]),(DiscreteStatsTable[GroupByKey]=DiscreteStatsTable[[#This Row],[GroupByKey]])*DiscreteStatsTable[Replication]))</f>
        <v>50</v>
      </c>
      <c r="Y241" s="5">
        <f>IF(DiscreteStatsTable[[#This Row],[RepsRequested]]=DiscreteStatsTable[[#This Row],[RepsWithStatObserved]],1,0)</f>
        <v>1</v>
      </c>
    </row>
    <row r="242" spans="1:25" x14ac:dyDescent="0.35">
      <c r="A242" t="s">
        <v>66</v>
      </c>
      <c r="B242" t="s">
        <v>69</v>
      </c>
      <c r="C242">
        <v>41</v>
      </c>
      <c r="D242" t="s">
        <v>70</v>
      </c>
      <c r="E242" t="s">
        <v>71</v>
      </c>
      <c r="F242" t="s">
        <v>72</v>
      </c>
      <c r="G242">
        <v>0</v>
      </c>
      <c r="H242">
        <v>2E+20</v>
      </c>
      <c r="I242">
        <v>0</v>
      </c>
      <c r="J242">
        <v>0</v>
      </c>
      <c r="K242">
        <v>3</v>
      </c>
      <c r="L242" s="5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242" s="5" cm="1">
        <f t="array" ref="M242">MAX(IF((ProjectInfoTable[ProjectName]=DiscreteStatsTable[[#This Row],[ProjectName]]),(ProjectInfoTable[ProjectName]=DiscreteStatsTable[[#This Row],[ProjectName]])*ProjectInfoTable[NumberOfReplications]))</f>
        <v>50</v>
      </c>
      <c r="N242" s="5" cm="1">
        <f t="array" ref="N242">IFERROR(AVERAGE(IF((DiscreteStatsTable[GroupByKey]=DiscreteStatsTable[[#This Row],[GroupByKey]]),(DiscreteStatsTable[GroupByKey]=DiscreteStatsTable[[#This Row],[GroupByKey]])*DiscreteStatsTable[Average])),0)</f>
        <v>0</v>
      </c>
      <c r="O242" s="5" cm="1">
        <f t="array" ref="O242">IFERROR(_xlfn.STDEV.S(IF((DiscreteStatsTable[GroupByKey]=DiscreteStatsTable[[#This Row],[GroupByKey]]),(DiscreteStatsTable[GroupByKey]=DiscreteStatsTable[[#This Row],[GroupByKey]])*DiscreteStatsTable[Average])),0)</f>
        <v>0</v>
      </c>
      <c r="P242" s="5" cm="1">
        <f t="array" ref="P242">MAX(IF((ProjectInfoTable[ProjectName]=DiscreteStatsTable[[#This Row],[ProjectName]]),(ProjectInfoTable[ProjectName]=DiscreteStatsTable[[#This Row],[ProjectName]])*ProjectInfoTable[ConfidenceInterval]))</f>
        <v>0.95</v>
      </c>
      <c r="Q242" s="5">
        <f>IF(AND(DiscreteStatsTable[[#This Row],[RepsWithStatObserved]]=1,Y242=0),200000000000000000000,IFERROR(_xlfn.T.INV.2T(1 -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2" s="5" cm="1">
        <f t="array" ref="R242">MIN(IF((DiscreteStatsTable[GroupByKey]=DiscreteStatsTable[[#This Row],[GroupByKey]]),(DiscreteStatsTable[GroupByKey]=DiscreteStatsTable[[#This Row],[GroupByKey]])*DiscreteStatsTable[Average]))</f>
        <v>0</v>
      </c>
      <c r="S242" s="5" cm="1">
        <f t="array" ref="S242">MAX(IF((DiscreteStatsTable[GroupByKey]=DiscreteStatsTable[[#This Row],[GroupByKey]]),(DiscreteStatsTable[GroupByKey]=DiscreteStatsTable[[#This Row],[GroupByKey]])*DiscreteStatsTable[Average]))</f>
        <v>0</v>
      </c>
      <c r="T242" s="5" cm="1">
        <f t="array" ref="T242">MIN(IF((DiscreteStatsTable[GroupByKey]=DiscreteStatsTable[[#This Row],[GroupByKey]]),(DiscreteStatsTable[GroupByKey]=DiscreteStatsTable[[#This Row],[GroupByKey]])*DiscreteStatsTable[Minimum]))</f>
        <v>0</v>
      </c>
      <c r="U242" s="5" cm="1">
        <f t="array" ref="U242">MAX(IF((DiscreteStatsTable[GroupByKey]=DiscreteStatsTable[[#This Row],[GroupByKey]]),(DiscreteStatsTable[GroupByKey]=DiscreteStatsTable[[#This Row],[GroupByKey]])*DiscreteStatsTable[Maximum]))</f>
        <v>0</v>
      </c>
      <c r="V242" s="5" cm="1">
        <f t="array" ref="V242">IFERROR(AVERAGE(IF((DiscreteStatsTable[GroupByKey]=DiscreteStatsTable[[#This Row],[GroupByKey]]),(DiscreteStatsTable[GroupByKey]=DiscreteStatsTable[[#This Row],[GroupByKey]])*DiscreteStatsTable[NumberObservations])),0)</f>
        <v>3.62</v>
      </c>
      <c r="W242" s="5">
        <f>IF((DiscreteStatsTable[[#This Row],[RepsRequested]]&gt;1),DiscreteStatsTable[[#This Row],[HalfWidth]],DiscreteStatsTable[[#This Row],[BatchMeansHalfWidth]])</f>
        <v>0</v>
      </c>
      <c r="X242" s="5" cm="1">
        <f t="array" ref="X242">COUNT(IF((DiscreteStatsTable[GroupByKey]=DiscreteStatsTable[[#This Row],[GroupByKey]]),(DiscreteStatsTable[GroupByKey]=DiscreteStatsTable[[#This Row],[GroupByKey]])*DiscreteStatsTable[Replication]))</f>
        <v>50</v>
      </c>
      <c r="Y242" s="5">
        <f>IF(DiscreteStatsTable[[#This Row],[RepsRequested]]=DiscreteStatsTable[[#This Row],[RepsWithStatObserved]],1,0)</f>
        <v>1</v>
      </c>
    </row>
    <row r="243" spans="1:25" x14ac:dyDescent="0.35">
      <c r="A243" t="s">
        <v>66</v>
      </c>
      <c r="B243" t="s">
        <v>69</v>
      </c>
      <c r="C243">
        <v>41</v>
      </c>
      <c r="D243" t="s">
        <v>70</v>
      </c>
      <c r="E243" t="s">
        <v>73</v>
      </c>
      <c r="F243" t="s">
        <v>72</v>
      </c>
      <c r="G243">
        <v>0</v>
      </c>
      <c r="H243">
        <v>2E+20</v>
      </c>
      <c r="I243">
        <v>0</v>
      </c>
      <c r="J243">
        <v>0</v>
      </c>
      <c r="K243">
        <v>3</v>
      </c>
      <c r="L243" s="5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243" s="5" cm="1">
        <f t="array" ref="M243">MAX(IF((ProjectInfoTable[ProjectName]=DiscreteStatsTable[[#This Row],[ProjectName]]),(ProjectInfoTable[ProjectName]=DiscreteStatsTable[[#This Row],[ProjectName]])*ProjectInfoTable[NumberOfReplications]))</f>
        <v>50</v>
      </c>
      <c r="N243" s="5" cm="1">
        <f t="array" ref="N243">IFERROR(AVERAGE(IF((DiscreteStatsTable[GroupByKey]=DiscreteStatsTable[[#This Row],[GroupByKey]]),(DiscreteStatsTable[GroupByKey]=DiscreteStatsTable[[#This Row],[GroupByKey]])*DiscreteStatsTable[Average])),0)</f>
        <v>0</v>
      </c>
      <c r="O243" s="5" cm="1">
        <f t="array" ref="O243">IFERROR(_xlfn.STDEV.S(IF((DiscreteStatsTable[GroupByKey]=DiscreteStatsTable[[#This Row],[GroupByKey]]),(DiscreteStatsTable[GroupByKey]=DiscreteStatsTable[[#This Row],[GroupByKey]])*DiscreteStatsTable[Average])),0)</f>
        <v>0</v>
      </c>
      <c r="P243" s="5" cm="1">
        <f t="array" ref="P243">MAX(IF((ProjectInfoTable[ProjectName]=DiscreteStatsTable[[#This Row],[ProjectName]]),(ProjectInfoTable[ProjectName]=DiscreteStatsTable[[#This Row],[ProjectName]])*ProjectInfoTable[ConfidenceInterval]))</f>
        <v>0.95</v>
      </c>
      <c r="Q243" s="5">
        <f>IF(AND(DiscreteStatsTable[[#This Row],[RepsWithStatObserved]]=1,Y243=0),200000000000000000000,IFERROR(_xlfn.T.INV.2T(1 -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3" s="5" cm="1">
        <f t="array" ref="R243">MIN(IF((DiscreteStatsTable[GroupByKey]=DiscreteStatsTable[[#This Row],[GroupByKey]]),(DiscreteStatsTable[GroupByKey]=DiscreteStatsTable[[#This Row],[GroupByKey]])*DiscreteStatsTable[Average]))</f>
        <v>0</v>
      </c>
      <c r="S243" s="5" cm="1">
        <f t="array" ref="S243">MAX(IF((DiscreteStatsTable[GroupByKey]=DiscreteStatsTable[[#This Row],[GroupByKey]]),(DiscreteStatsTable[GroupByKey]=DiscreteStatsTable[[#This Row],[GroupByKey]])*DiscreteStatsTable[Average]))</f>
        <v>0</v>
      </c>
      <c r="T243" s="5" cm="1">
        <f t="array" ref="T243">MIN(IF((DiscreteStatsTable[GroupByKey]=DiscreteStatsTable[[#This Row],[GroupByKey]]),(DiscreteStatsTable[GroupByKey]=DiscreteStatsTable[[#This Row],[GroupByKey]])*DiscreteStatsTable[Minimum]))</f>
        <v>0</v>
      </c>
      <c r="U243" s="5" cm="1">
        <f t="array" ref="U243">MAX(IF((DiscreteStatsTable[GroupByKey]=DiscreteStatsTable[[#This Row],[GroupByKey]]),(DiscreteStatsTable[GroupByKey]=DiscreteStatsTable[[#This Row],[GroupByKey]])*DiscreteStatsTable[Maximum]))</f>
        <v>0</v>
      </c>
      <c r="V243" s="5" cm="1">
        <f t="array" ref="V243">IFERROR(AVERAGE(IF((DiscreteStatsTable[GroupByKey]=DiscreteStatsTable[[#This Row],[GroupByKey]]),(DiscreteStatsTable[GroupByKey]=DiscreteStatsTable[[#This Row],[GroupByKey]])*DiscreteStatsTable[NumberObservations])),0)</f>
        <v>3.62</v>
      </c>
      <c r="W243" s="5">
        <f>IF((DiscreteStatsTable[[#This Row],[RepsRequested]]&gt;1),DiscreteStatsTable[[#This Row],[HalfWidth]],DiscreteStatsTable[[#This Row],[BatchMeansHalfWidth]])</f>
        <v>0</v>
      </c>
      <c r="X243" s="5" cm="1">
        <f t="array" ref="X243">COUNT(IF((DiscreteStatsTable[GroupByKey]=DiscreteStatsTable[[#This Row],[GroupByKey]]),(DiscreteStatsTable[GroupByKey]=DiscreteStatsTable[[#This Row],[GroupByKey]])*DiscreteStatsTable[Replication]))</f>
        <v>50</v>
      </c>
      <c r="Y243" s="5">
        <f>IF(DiscreteStatsTable[[#This Row],[RepsRequested]]=DiscreteStatsTable[[#This Row],[RepsWithStatObserved]],1,0)</f>
        <v>1</v>
      </c>
    </row>
    <row r="244" spans="1:25" x14ac:dyDescent="0.35">
      <c r="A244" t="s">
        <v>66</v>
      </c>
      <c r="B244" t="s">
        <v>69</v>
      </c>
      <c r="C244">
        <v>41</v>
      </c>
      <c r="D244" t="s">
        <v>70</v>
      </c>
      <c r="E244" t="s">
        <v>74</v>
      </c>
      <c r="F244" t="s">
        <v>72</v>
      </c>
      <c r="G244">
        <v>2.62459011553744</v>
      </c>
      <c r="H244">
        <v>2E+20</v>
      </c>
      <c r="I244">
        <v>2.4247501134706702</v>
      </c>
      <c r="J244">
        <v>2.83365711216917</v>
      </c>
      <c r="K244">
        <v>3</v>
      </c>
      <c r="L244" s="5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244" s="5" cm="1">
        <f t="array" ref="M244">MAX(IF((ProjectInfoTable[ProjectName]=DiscreteStatsTable[[#This Row],[ProjectName]]),(ProjectInfoTable[ProjectName]=DiscreteStatsTable[[#This Row],[ProjectName]])*ProjectInfoTable[NumberOfReplications]))</f>
        <v>50</v>
      </c>
      <c r="N244" s="5" cm="1">
        <f t="array" ref="N244">IFERROR(AVERAGE(IF((DiscreteStatsTable[GroupByKey]=DiscreteStatsTable[[#This Row],[GroupByKey]]),(DiscreteStatsTable[GroupByKey]=DiscreteStatsTable[[#This Row],[GroupByKey]])*DiscreteStatsTable[Average])),0)</f>
        <v>3.5363894499532775</v>
      </c>
      <c r="O244" s="5" cm="1">
        <f t="array" ref="O244">IFERROR(_xlfn.STDEV.S(IF((DiscreteStatsTable[GroupByKey]=DiscreteStatsTable[[#This Row],[GroupByKey]]),(DiscreteStatsTable[GroupByKey]=DiscreteStatsTable[[#This Row],[GroupByKey]])*DiscreteStatsTable[Average])),0)</f>
        <v>1.1766434570133149</v>
      </c>
      <c r="P244" s="5" cm="1">
        <f t="array" ref="P244">MAX(IF((ProjectInfoTable[ProjectName]=DiscreteStatsTable[[#This Row],[ProjectName]]),(ProjectInfoTable[ProjectName]=DiscreteStatsTable[[#This Row],[ProjectName]])*ProjectInfoTable[ConfidenceInterval]))</f>
        <v>0.95</v>
      </c>
      <c r="Q244" s="5">
        <f>IF(AND(DiscreteStatsTable[[#This Row],[RepsWithStatObserved]]=1,Y244=0),200000000000000000000,IFERROR(_xlfn.T.INV.2T(1 -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0.33439837052280896</v>
      </c>
      <c r="R244" s="5" cm="1">
        <f t="array" ref="R244">MIN(IF((DiscreteStatsTable[GroupByKey]=DiscreteStatsTable[[#This Row],[GroupByKey]]),(DiscreteStatsTable[GroupByKey]=DiscreteStatsTable[[#This Row],[GroupByKey]])*DiscreteStatsTable[Average]))</f>
        <v>1.6342264652107701</v>
      </c>
      <c r="S244" s="5" cm="1">
        <f t="array" ref="S244">MAX(IF((DiscreteStatsTable[GroupByKey]=DiscreteStatsTable[[#This Row],[GroupByKey]]),(DiscreteStatsTable[GroupByKey]=DiscreteStatsTable[[#This Row],[GroupByKey]])*DiscreteStatsTable[Average]))</f>
        <v>6.5527373550837904</v>
      </c>
      <c r="T244" s="5" cm="1">
        <f t="array" ref="T244">MIN(IF((DiscreteStatsTable[GroupByKey]=DiscreteStatsTable[[#This Row],[GroupByKey]]),(DiscreteStatsTable[GroupByKey]=DiscreteStatsTable[[#This Row],[GroupByKey]])*DiscreteStatsTable[Minimum]))</f>
        <v>0.58847912081681497</v>
      </c>
      <c r="U244" s="5" cm="1">
        <f t="array" ref="U244">MAX(IF((DiscreteStatsTable[GroupByKey]=DiscreteStatsTable[[#This Row],[GroupByKey]]),(DiscreteStatsTable[GroupByKey]=DiscreteStatsTable[[#This Row],[GroupByKey]])*DiscreteStatsTable[Maximum]))</f>
        <v>8.7476494546828292</v>
      </c>
      <c r="V244" s="5" cm="1">
        <f t="array" ref="V244">IFERROR(AVERAGE(IF((DiscreteStatsTable[GroupByKey]=DiscreteStatsTable[[#This Row],[GroupByKey]]),(DiscreteStatsTable[GroupByKey]=DiscreteStatsTable[[#This Row],[GroupByKey]])*DiscreteStatsTable[NumberObservations])),0)</f>
        <v>3.62</v>
      </c>
      <c r="W244" s="5">
        <f>IF((DiscreteStatsTable[[#This Row],[RepsRequested]]&gt;1),DiscreteStatsTable[[#This Row],[HalfWidth]],DiscreteStatsTable[[#This Row],[BatchMeansHalfWidth]])</f>
        <v>0.33439837052280896</v>
      </c>
      <c r="X244" s="5" cm="1">
        <f t="array" ref="X244">COUNT(IF((DiscreteStatsTable[GroupByKey]=DiscreteStatsTable[[#This Row],[GroupByKey]]),(DiscreteStatsTable[GroupByKey]=DiscreteStatsTable[[#This Row],[GroupByKey]])*DiscreteStatsTable[Replication]))</f>
        <v>50</v>
      </c>
      <c r="Y244" s="5">
        <f>IF(DiscreteStatsTable[[#This Row],[RepsRequested]]=DiscreteStatsTable[[#This Row],[RepsWithStatObserved]],1,0)</f>
        <v>1</v>
      </c>
    </row>
    <row r="245" spans="1:25" x14ac:dyDescent="0.35">
      <c r="A245" t="s">
        <v>66</v>
      </c>
      <c r="B245" t="s">
        <v>69</v>
      </c>
      <c r="C245">
        <v>41</v>
      </c>
      <c r="D245" t="s">
        <v>70</v>
      </c>
      <c r="E245" t="s">
        <v>75</v>
      </c>
      <c r="F245" t="s">
        <v>72</v>
      </c>
      <c r="G245">
        <v>0</v>
      </c>
      <c r="H245">
        <v>2E+20</v>
      </c>
      <c r="I245">
        <v>0</v>
      </c>
      <c r="J245">
        <v>0</v>
      </c>
      <c r="K245">
        <v>3</v>
      </c>
      <c r="L245" s="5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245" s="5" cm="1">
        <f t="array" ref="M245">MAX(IF((ProjectInfoTable[ProjectName]=DiscreteStatsTable[[#This Row],[ProjectName]]),(ProjectInfoTable[ProjectName]=DiscreteStatsTable[[#This Row],[ProjectName]])*ProjectInfoTable[NumberOfReplications]))</f>
        <v>50</v>
      </c>
      <c r="N245" s="5" cm="1">
        <f t="array" ref="N245">IFERROR(AVERAGE(IF((DiscreteStatsTable[GroupByKey]=DiscreteStatsTable[[#This Row],[GroupByKey]]),(DiscreteStatsTable[GroupByKey]=DiscreteStatsTable[[#This Row],[GroupByKey]])*DiscreteStatsTable[Average])),0)</f>
        <v>0</v>
      </c>
      <c r="O245" s="5" cm="1">
        <f t="array" ref="O245">IFERROR(_xlfn.STDEV.S(IF((DiscreteStatsTable[GroupByKey]=DiscreteStatsTable[[#This Row],[GroupByKey]]),(DiscreteStatsTable[GroupByKey]=DiscreteStatsTable[[#This Row],[GroupByKey]])*DiscreteStatsTable[Average])),0)</f>
        <v>0</v>
      </c>
      <c r="P245" s="5" cm="1">
        <f t="array" ref="P245">MAX(IF((ProjectInfoTable[ProjectName]=DiscreteStatsTable[[#This Row],[ProjectName]]),(ProjectInfoTable[ProjectName]=DiscreteStatsTable[[#This Row],[ProjectName]])*ProjectInfoTable[ConfidenceInterval]))</f>
        <v>0.95</v>
      </c>
      <c r="Q245" s="5">
        <f>IF(AND(DiscreteStatsTable[[#This Row],[RepsWithStatObserved]]=1,Y245=0),200000000000000000000,IFERROR(_xlfn.T.INV.2T(1 -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5" s="5" cm="1">
        <f t="array" ref="R245">MIN(IF((DiscreteStatsTable[GroupByKey]=DiscreteStatsTable[[#This Row],[GroupByKey]]),(DiscreteStatsTable[GroupByKey]=DiscreteStatsTable[[#This Row],[GroupByKey]])*DiscreteStatsTable[Average]))</f>
        <v>0</v>
      </c>
      <c r="S245" s="5" cm="1">
        <f t="array" ref="S245">MAX(IF((DiscreteStatsTable[GroupByKey]=DiscreteStatsTable[[#This Row],[GroupByKey]]),(DiscreteStatsTable[GroupByKey]=DiscreteStatsTable[[#This Row],[GroupByKey]])*DiscreteStatsTable[Average]))</f>
        <v>0</v>
      </c>
      <c r="T245" s="5" cm="1">
        <f t="array" ref="T245">MIN(IF((DiscreteStatsTable[GroupByKey]=DiscreteStatsTable[[#This Row],[GroupByKey]]),(DiscreteStatsTable[GroupByKey]=DiscreteStatsTable[[#This Row],[GroupByKey]])*DiscreteStatsTable[Minimum]))</f>
        <v>0</v>
      </c>
      <c r="U245" s="5" cm="1">
        <f t="array" ref="U245">MAX(IF((DiscreteStatsTable[GroupByKey]=DiscreteStatsTable[[#This Row],[GroupByKey]]),(DiscreteStatsTable[GroupByKey]=DiscreteStatsTable[[#This Row],[GroupByKey]])*DiscreteStatsTable[Maximum]))</f>
        <v>0</v>
      </c>
      <c r="V245" s="5" cm="1">
        <f t="array" ref="V245">IFERROR(AVERAGE(IF((DiscreteStatsTable[GroupByKey]=DiscreteStatsTable[[#This Row],[GroupByKey]]),(DiscreteStatsTable[GroupByKey]=DiscreteStatsTable[[#This Row],[GroupByKey]])*DiscreteStatsTable[NumberObservations])),0)</f>
        <v>3.62</v>
      </c>
      <c r="W245" s="5">
        <f>IF((DiscreteStatsTable[[#This Row],[RepsRequested]]&gt;1),DiscreteStatsTable[[#This Row],[HalfWidth]],DiscreteStatsTable[[#This Row],[BatchMeansHalfWidth]])</f>
        <v>0</v>
      </c>
      <c r="X245" s="5" cm="1">
        <f t="array" ref="X245">COUNT(IF((DiscreteStatsTable[GroupByKey]=DiscreteStatsTable[[#This Row],[GroupByKey]]),(DiscreteStatsTable[GroupByKey]=DiscreteStatsTable[[#This Row],[GroupByKey]])*DiscreteStatsTable[Replication]))</f>
        <v>50</v>
      </c>
      <c r="Y245" s="5">
        <f>IF(DiscreteStatsTable[[#This Row],[RepsRequested]]=DiscreteStatsTable[[#This Row],[RepsWithStatObserved]],1,0)</f>
        <v>1</v>
      </c>
    </row>
    <row r="246" spans="1:25" x14ac:dyDescent="0.35">
      <c r="A246" t="s">
        <v>66</v>
      </c>
      <c r="B246" t="s">
        <v>69</v>
      </c>
      <c r="C246">
        <v>41</v>
      </c>
      <c r="D246" t="s">
        <v>70</v>
      </c>
      <c r="E246" t="s">
        <v>76</v>
      </c>
      <c r="F246" t="s">
        <v>72</v>
      </c>
      <c r="G246">
        <v>2.49158910315274</v>
      </c>
      <c r="H246">
        <v>2E+20</v>
      </c>
      <c r="I246">
        <v>2.0257470763165601</v>
      </c>
      <c r="J246">
        <v>2.83365711216917</v>
      </c>
      <c r="K246">
        <v>3</v>
      </c>
      <c r="L246" s="5" t="str">
        <f>DiscreteStatsTable[[#This Row],[ProjectName]]&amp;DiscreteStatsTable[[#This Row],[Name]]&amp;DiscreteStatsTable[[#This Row],[Type]]&amp;DiscreteStatsTable[[#This Row],[Source]]</f>
        <v>Unnamed ProjectArquivosVA TimeEntity</v>
      </c>
      <c r="M246" s="5" cm="1">
        <f t="array" ref="M246">MAX(IF((ProjectInfoTable[ProjectName]=DiscreteStatsTable[[#This Row],[ProjectName]]),(ProjectInfoTable[ProjectName]=DiscreteStatsTable[[#This Row],[ProjectName]])*ProjectInfoTable[NumberOfReplications]))</f>
        <v>50</v>
      </c>
      <c r="N246" s="5" cm="1">
        <f t="array" ref="N246">IFERROR(AVERAGE(IF((DiscreteStatsTable[GroupByKey]=DiscreteStatsTable[[#This Row],[GroupByKey]]),(DiscreteStatsTable[GroupByKey]=DiscreteStatsTable[[#This Row],[GroupByKey]])*DiscreteStatsTable[Average])),0)</f>
        <v>2.3123810058270009</v>
      </c>
      <c r="O246" s="5" cm="1">
        <f t="array" ref="O246">IFERROR(_xlfn.STDEV.S(IF((DiscreteStatsTable[GroupByKey]=DiscreteStatsTable[[#This Row],[GroupByKey]]),(DiscreteStatsTable[GroupByKey]=DiscreteStatsTable[[#This Row],[GroupByKey]])*DiscreteStatsTable[Average])),0)</f>
        <v>0.47735516285795621</v>
      </c>
      <c r="P246" s="5" cm="1">
        <f t="array" ref="P246">MAX(IF((ProjectInfoTable[ProjectName]=DiscreteStatsTable[[#This Row],[ProjectName]]),(ProjectInfoTable[ProjectName]=DiscreteStatsTable[[#This Row],[ProjectName]])*ProjectInfoTable[ConfidenceInterval]))</f>
        <v>0.95</v>
      </c>
      <c r="Q246" s="5">
        <f>IF(AND(DiscreteStatsTable[[#This Row],[RepsWithStatObserved]]=1,Y246=0),200000000000000000000,IFERROR(_xlfn.T.INV.2T(1 -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0.13566283623888314</v>
      </c>
      <c r="R246" s="5" cm="1">
        <f t="array" ref="R246">MIN(IF((DiscreteStatsTable[GroupByKey]=DiscreteStatsTable[[#This Row],[GroupByKey]]),(DiscreteStatsTable[GroupByKey]=DiscreteStatsTable[[#This Row],[GroupByKey]])*DiscreteStatsTable[Average]))</f>
        <v>1.3773415743205399</v>
      </c>
      <c r="S246" s="5" cm="1">
        <f t="array" ref="S246">MAX(IF((DiscreteStatsTable[GroupByKey]=DiscreteStatsTable[[#This Row],[GroupByKey]]),(DiscreteStatsTable[GroupByKey]=DiscreteStatsTable[[#This Row],[GroupByKey]])*DiscreteStatsTable[Average]))</f>
        <v>3.3139161730180202</v>
      </c>
      <c r="T246" s="5" cm="1">
        <f t="array" ref="T246">MIN(IF((DiscreteStatsTable[GroupByKey]=DiscreteStatsTable[[#This Row],[GroupByKey]]),(DiscreteStatsTable[GroupByKey]=DiscreteStatsTable[[#This Row],[GroupByKey]])*DiscreteStatsTable[Minimum]))</f>
        <v>0.58847912081681497</v>
      </c>
      <c r="U246" s="5" cm="1">
        <f t="array" ref="U246">MAX(IF((DiscreteStatsTable[GroupByKey]=DiscreteStatsTable[[#This Row],[GroupByKey]]),(DiscreteStatsTable[GroupByKey]=DiscreteStatsTable[[#This Row],[GroupByKey]])*DiscreteStatsTable[Maximum]))</f>
        <v>4.9756405925629998</v>
      </c>
      <c r="V246" s="5" cm="1">
        <f t="array" ref="V246">IFERROR(AVERAGE(IF((DiscreteStatsTable[GroupByKey]=DiscreteStatsTable[[#This Row],[GroupByKey]]),(DiscreteStatsTable[GroupByKey]=DiscreteStatsTable[[#This Row],[GroupByKey]])*DiscreteStatsTable[NumberObservations])),0)</f>
        <v>3.62</v>
      </c>
      <c r="W246" s="5">
        <f>IF((DiscreteStatsTable[[#This Row],[RepsRequested]]&gt;1),DiscreteStatsTable[[#This Row],[HalfWidth]],DiscreteStatsTable[[#This Row],[BatchMeansHalfWidth]])</f>
        <v>0.13566283623888314</v>
      </c>
      <c r="X246" s="5" cm="1">
        <f t="array" ref="X246">COUNT(IF((DiscreteStatsTable[GroupByKey]=DiscreteStatsTable[[#This Row],[GroupByKey]]),(DiscreteStatsTable[GroupByKey]=DiscreteStatsTable[[#This Row],[GroupByKey]])*DiscreteStatsTable[Replication]))</f>
        <v>50</v>
      </c>
      <c r="Y246" s="5">
        <f>IF(DiscreteStatsTable[[#This Row],[RepsRequested]]=DiscreteStatsTable[[#This Row],[RepsWithStatObserved]],1,0)</f>
        <v>1</v>
      </c>
    </row>
    <row r="247" spans="1:25" x14ac:dyDescent="0.35">
      <c r="A247" t="s">
        <v>66</v>
      </c>
      <c r="B247" t="s">
        <v>69</v>
      </c>
      <c r="C247">
        <v>41</v>
      </c>
      <c r="D247" t="s">
        <v>70</v>
      </c>
      <c r="E247" t="s">
        <v>77</v>
      </c>
      <c r="F247" t="s">
        <v>72</v>
      </c>
      <c r="G247">
        <v>0.13300101238470199</v>
      </c>
      <c r="H247">
        <v>2E+20</v>
      </c>
      <c r="I247">
        <v>0</v>
      </c>
      <c r="J247">
        <v>0.39900303715410701</v>
      </c>
      <c r="K247">
        <v>3</v>
      </c>
      <c r="L247" s="5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247" s="5" cm="1">
        <f t="array" ref="M247">MAX(IF((ProjectInfoTable[ProjectName]=DiscreteStatsTable[[#This Row],[ProjectName]]),(ProjectInfoTable[ProjectName]=DiscreteStatsTable[[#This Row],[ProjectName]])*ProjectInfoTable[NumberOfReplications]))</f>
        <v>50</v>
      </c>
      <c r="N247" s="5" cm="1">
        <f t="array" ref="N247">IFERROR(AVERAGE(IF((DiscreteStatsTable[GroupByKey]=DiscreteStatsTable[[#This Row],[GroupByKey]]),(DiscreteStatsTable[GroupByKey]=DiscreteStatsTable[[#This Row],[GroupByKey]])*DiscreteStatsTable[Average])),0)</f>
        <v>1.2240084441262762</v>
      </c>
      <c r="O247" s="5" cm="1">
        <f t="array" ref="O247">IFERROR(_xlfn.STDEV.S(IF((DiscreteStatsTable[GroupByKey]=DiscreteStatsTable[[#This Row],[GroupByKey]]),(DiscreteStatsTable[GroupByKey]=DiscreteStatsTable[[#This Row],[GroupByKey]])*DiscreteStatsTable[Average])),0)</f>
        <v>0.89867905452837749</v>
      </c>
      <c r="P247" s="5" cm="1">
        <f t="array" ref="P247">MAX(IF((ProjectInfoTable[ProjectName]=DiscreteStatsTable[[#This Row],[ProjectName]]),(ProjectInfoTable[ProjectName]=DiscreteStatsTable[[#This Row],[ProjectName]])*ProjectInfoTable[ConfidenceInterval]))</f>
        <v>0.95</v>
      </c>
      <c r="Q247" s="5">
        <f>IF(AND(DiscreteStatsTable[[#This Row],[RepsWithStatObserved]]=1,Y247=0),200000000000000000000,IFERROR(_xlfn.T.INV.2T(1 -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0.2554017613968404</v>
      </c>
      <c r="R247" s="5" cm="1">
        <f t="array" ref="R247">MIN(IF((DiscreteStatsTable[GroupByKey]=DiscreteStatsTable[[#This Row],[GroupByKey]]),(DiscreteStatsTable[GroupByKey]=DiscreteStatsTable[[#This Row],[GroupByKey]])*DiscreteStatsTable[Average]))</f>
        <v>0</v>
      </c>
      <c r="S247" s="5" cm="1">
        <f t="array" ref="S247">MAX(IF((DiscreteStatsTable[GroupByKey]=DiscreteStatsTable[[#This Row],[GroupByKey]]),(DiscreteStatsTable[GroupByKey]=DiscreteStatsTable[[#This Row],[GroupByKey]])*DiscreteStatsTable[Average]))</f>
        <v>3.4345522286517598</v>
      </c>
      <c r="T247" s="5" cm="1">
        <f t="array" ref="T247">MIN(IF((DiscreteStatsTable[GroupByKey]=DiscreteStatsTable[[#This Row],[GroupByKey]]),(DiscreteStatsTable[GroupByKey]=DiscreteStatsTable[[#This Row],[GroupByKey]])*DiscreteStatsTable[Minimum]))</f>
        <v>0</v>
      </c>
      <c r="U247" s="5" cm="1">
        <f t="array" ref="U247">MAX(IF((DiscreteStatsTable[GroupByKey]=DiscreteStatsTable[[#This Row],[GroupByKey]]),(DiscreteStatsTable[GroupByKey]=DiscreteStatsTable[[#This Row],[GroupByKey]])*DiscreteStatsTable[Maximum]))</f>
        <v>6.7563093676697896</v>
      </c>
      <c r="V247" s="5" cm="1">
        <f t="array" ref="V247">IFERROR(AVERAGE(IF((DiscreteStatsTable[GroupByKey]=DiscreteStatsTable[[#This Row],[GroupByKey]]),(DiscreteStatsTable[GroupByKey]=DiscreteStatsTable[[#This Row],[GroupByKey]])*DiscreteStatsTable[NumberObservations])),0)</f>
        <v>3.62</v>
      </c>
      <c r="W247" s="5">
        <f>IF((DiscreteStatsTable[[#This Row],[RepsRequested]]&gt;1),DiscreteStatsTable[[#This Row],[HalfWidth]],DiscreteStatsTable[[#This Row],[BatchMeansHalfWidth]])</f>
        <v>0.2554017613968404</v>
      </c>
      <c r="X247" s="5" cm="1">
        <f t="array" ref="X247">COUNT(IF((DiscreteStatsTable[GroupByKey]=DiscreteStatsTable[[#This Row],[GroupByKey]]),(DiscreteStatsTable[GroupByKey]=DiscreteStatsTable[[#This Row],[GroupByKey]])*DiscreteStatsTable[Replication]))</f>
        <v>50</v>
      </c>
      <c r="Y247" s="5">
        <f>IF(DiscreteStatsTable[[#This Row],[RepsRequested]]=DiscreteStatsTable[[#This Row],[RepsWithStatObserved]],1,0)</f>
        <v>1</v>
      </c>
    </row>
    <row r="248" spans="1:25" x14ac:dyDescent="0.35">
      <c r="A248" t="s">
        <v>66</v>
      </c>
      <c r="B248" t="s">
        <v>69</v>
      </c>
      <c r="C248">
        <v>42</v>
      </c>
      <c r="D248" t="s">
        <v>70</v>
      </c>
      <c r="E248" t="s">
        <v>71</v>
      </c>
      <c r="F248" t="s">
        <v>72</v>
      </c>
      <c r="G248">
        <v>0</v>
      </c>
      <c r="H248">
        <v>2E+20</v>
      </c>
      <c r="I248">
        <v>0</v>
      </c>
      <c r="J248">
        <v>0</v>
      </c>
      <c r="K248">
        <v>4</v>
      </c>
      <c r="L248" s="5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248" s="5" cm="1">
        <f t="array" ref="M248">MAX(IF((ProjectInfoTable[ProjectName]=DiscreteStatsTable[[#This Row],[ProjectName]]),(ProjectInfoTable[ProjectName]=DiscreteStatsTable[[#This Row],[ProjectName]])*ProjectInfoTable[NumberOfReplications]))</f>
        <v>50</v>
      </c>
      <c r="N248" s="5" cm="1">
        <f t="array" ref="N248">IFERROR(AVERAGE(IF((DiscreteStatsTable[GroupByKey]=DiscreteStatsTable[[#This Row],[GroupByKey]]),(DiscreteStatsTable[GroupByKey]=DiscreteStatsTable[[#This Row],[GroupByKey]])*DiscreteStatsTable[Average])),0)</f>
        <v>0</v>
      </c>
      <c r="O248" s="5" cm="1">
        <f t="array" ref="O248">IFERROR(_xlfn.STDEV.S(IF((DiscreteStatsTable[GroupByKey]=DiscreteStatsTable[[#This Row],[GroupByKey]]),(DiscreteStatsTable[GroupByKey]=DiscreteStatsTable[[#This Row],[GroupByKey]])*DiscreteStatsTable[Average])),0)</f>
        <v>0</v>
      </c>
      <c r="P248" s="5" cm="1">
        <f t="array" ref="P248">MAX(IF((ProjectInfoTable[ProjectName]=DiscreteStatsTable[[#This Row],[ProjectName]]),(ProjectInfoTable[ProjectName]=DiscreteStatsTable[[#This Row],[ProjectName]])*ProjectInfoTable[ConfidenceInterval]))</f>
        <v>0.95</v>
      </c>
      <c r="Q248" s="5">
        <f>IF(AND(DiscreteStatsTable[[#This Row],[RepsWithStatObserved]]=1,Y248=0),200000000000000000000,IFERROR(_xlfn.T.INV.2T(1 -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8" s="5" cm="1">
        <f t="array" ref="R248">MIN(IF((DiscreteStatsTable[GroupByKey]=DiscreteStatsTable[[#This Row],[GroupByKey]]),(DiscreteStatsTable[GroupByKey]=DiscreteStatsTable[[#This Row],[GroupByKey]])*DiscreteStatsTable[Average]))</f>
        <v>0</v>
      </c>
      <c r="S248" s="5" cm="1">
        <f t="array" ref="S248">MAX(IF((DiscreteStatsTable[GroupByKey]=DiscreteStatsTable[[#This Row],[GroupByKey]]),(DiscreteStatsTable[GroupByKey]=DiscreteStatsTable[[#This Row],[GroupByKey]])*DiscreteStatsTable[Average]))</f>
        <v>0</v>
      </c>
      <c r="T248" s="5" cm="1">
        <f t="array" ref="T248">MIN(IF((DiscreteStatsTable[GroupByKey]=DiscreteStatsTable[[#This Row],[GroupByKey]]),(DiscreteStatsTable[GroupByKey]=DiscreteStatsTable[[#This Row],[GroupByKey]])*DiscreteStatsTable[Minimum]))</f>
        <v>0</v>
      </c>
      <c r="U248" s="5" cm="1">
        <f t="array" ref="U248">MAX(IF((DiscreteStatsTable[GroupByKey]=DiscreteStatsTable[[#This Row],[GroupByKey]]),(DiscreteStatsTable[GroupByKey]=DiscreteStatsTable[[#This Row],[GroupByKey]])*DiscreteStatsTable[Maximum]))</f>
        <v>0</v>
      </c>
      <c r="V248" s="5" cm="1">
        <f t="array" ref="V248">IFERROR(AVERAGE(IF((DiscreteStatsTable[GroupByKey]=DiscreteStatsTable[[#This Row],[GroupByKey]]),(DiscreteStatsTable[GroupByKey]=DiscreteStatsTable[[#This Row],[GroupByKey]])*DiscreteStatsTable[NumberObservations])),0)</f>
        <v>3.62</v>
      </c>
      <c r="W248" s="5">
        <f>IF((DiscreteStatsTable[[#This Row],[RepsRequested]]&gt;1),DiscreteStatsTable[[#This Row],[HalfWidth]],DiscreteStatsTable[[#This Row],[BatchMeansHalfWidth]])</f>
        <v>0</v>
      </c>
      <c r="X248" s="5" cm="1">
        <f t="array" ref="X248">COUNT(IF((DiscreteStatsTable[GroupByKey]=DiscreteStatsTable[[#This Row],[GroupByKey]]),(DiscreteStatsTable[GroupByKey]=DiscreteStatsTable[[#This Row],[GroupByKey]])*DiscreteStatsTable[Replication]))</f>
        <v>50</v>
      </c>
      <c r="Y248" s="5">
        <f>IF(DiscreteStatsTable[[#This Row],[RepsRequested]]=DiscreteStatsTable[[#This Row],[RepsWithStatObserved]],1,0)</f>
        <v>1</v>
      </c>
    </row>
    <row r="249" spans="1:25" x14ac:dyDescent="0.35">
      <c r="A249" t="s">
        <v>66</v>
      </c>
      <c r="B249" t="s">
        <v>69</v>
      </c>
      <c r="C249">
        <v>42</v>
      </c>
      <c r="D249" t="s">
        <v>70</v>
      </c>
      <c r="E249" t="s">
        <v>73</v>
      </c>
      <c r="F249" t="s">
        <v>72</v>
      </c>
      <c r="G249">
        <v>0</v>
      </c>
      <c r="H249">
        <v>2E+20</v>
      </c>
      <c r="I249">
        <v>0</v>
      </c>
      <c r="J249">
        <v>0</v>
      </c>
      <c r="K249">
        <v>4</v>
      </c>
      <c r="L249" s="5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249" s="5" cm="1">
        <f t="array" ref="M249">MAX(IF((ProjectInfoTable[ProjectName]=DiscreteStatsTable[[#This Row],[ProjectName]]),(ProjectInfoTable[ProjectName]=DiscreteStatsTable[[#This Row],[ProjectName]])*ProjectInfoTable[NumberOfReplications]))</f>
        <v>50</v>
      </c>
      <c r="N249" s="5" cm="1">
        <f t="array" ref="N249">IFERROR(AVERAGE(IF((DiscreteStatsTable[GroupByKey]=DiscreteStatsTable[[#This Row],[GroupByKey]]),(DiscreteStatsTable[GroupByKey]=DiscreteStatsTable[[#This Row],[GroupByKey]])*DiscreteStatsTable[Average])),0)</f>
        <v>0</v>
      </c>
      <c r="O249" s="5" cm="1">
        <f t="array" ref="O249">IFERROR(_xlfn.STDEV.S(IF((DiscreteStatsTable[GroupByKey]=DiscreteStatsTable[[#This Row],[GroupByKey]]),(DiscreteStatsTable[GroupByKey]=DiscreteStatsTable[[#This Row],[GroupByKey]])*DiscreteStatsTable[Average])),0)</f>
        <v>0</v>
      </c>
      <c r="P249" s="5" cm="1">
        <f t="array" ref="P249">MAX(IF((ProjectInfoTable[ProjectName]=DiscreteStatsTable[[#This Row],[ProjectName]]),(ProjectInfoTable[ProjectName]=DiscreteStatsTable[[#This Row],[ProjectName]])*ProjectInfoTable[ConfidenceInterval]))</f>
        <v>0.95</v>
      </c>
      <c r="Q249" s="5">
        <f>IF(AND(DiscreteStatsTable[[#This Row],[RepsWithStatObserved]]=1,Y249=0),200000000000000000000,IFERROR(_xlfn.T.INV.2T(1 -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49" s="5" cm="1">
        <f t="array" ref="R249">MIN(IF((DiscreteStatsTable[GroupByKey]=DiscreteStatsTable[[#This Row],[GroupByKey]]),(DiscreteStatsTable[GroupByKey]=DiscreteStatsTable[[#This Row],[GroupByKey]])*DiscreteStatsTable[Average]))</f>
        <v>0</v>
      </c>
      <c r="S249" s="5" cm="1">
        <f t="array" ref="S249">MAX(IF((DiscreteStatsTable[GroupByKey]=DiscreteStatsTable[[#This Row],[GroupByKey]]),(DiscreteStatsTable[GroupByKey]=DiscreteStatsTable[[#This Row],[GroupByKey]])*DiscreteStatsTable[Average]))</f>
        <v>0</v>
      </c>
      <c r="T249" s="5" cm="1">
        <f t="array" ref="T249">MIN(IF((DiscreteStatsTable[GroupByKey]=DiscreteStatsTable[[#This Row],[GroupByKey]]),(DiscreteStatsTable[GroupByKey]=DiscreteStatsTable[[#This Row],[GroupByKey]])*DiscreteStatsTable[Minimum]))</f>
        <v>0</v>
      </c>
      <c r="U249" s="5" cm="1">
        <f t="array" ref="U249">MAX(IF((DiscreteStatsTable[GroupByKey]=DiscreteStatsTable[[#This Row],[GroupByKey]]),(DiscreteStatsTable[GroupByKey]=DiscreteStatsTable[[#This Row],[GroupByKey]])*DiscreteStatsTable[Maximum]))</f>
        <v>0</v>
      </c>
      <c r="V249" s="5" cm="1">
        <f t="array" ref="V249">IFERROR(AVERAGE(IF((DiscreteStatsTable[GroupByKey]=DiscreteStatsTable[[#This Row],[GroupByKey]]),(DiscreteStatsTable[GroupByKey]=DiscreteStatsTable[[#This Row],[GroupByKey]])*DiscreteStatsTable[NumberObservations])),0)</f>
        <v>3.62</v>
      </c>
      <c r="W249" s="5">
        <f>IF((DiscreteStatsTable[[#This Row],[RepsRequested]]&gt;1),DiscreteStatsTable[[#This Row],[HalfWidth]],DiscreteStatsTable[[#This Row],[BatchMeansHalfWidth]])</f>
        <v>0</v>
      </c>
      <c r="X249" s="5" cm="1">
        <f t="array" ref="X249">COUNT(IF((DiscreteStatsTable[GroupByKey]=DiscreteStatsTable[[#This Row],[GroupByKey]]),(DiscreteStatsTable[GroupByKey]=DiscreteStatsTable[[#This Row],[GroupByKey]])*DiscreteStatsTable[Replication]))</f>
        <v>50</v>
      </c>
      <c r="Y249" s="5">
        <f>IF(DiscreteStatsTable[[#This Row],[RepsRequested]]=DiscreteStatsTable[[#This Row],[RepsWithStatObserved]],1,0)</f>
        <v>1</v>
      </c>
    </row>
    <row r="250" spans="1:25" x14ac:dyDescent="0.35">
      <c r="A250" t="s">
        <v>66</v>
      </c>
      <c r="B250" t="s">
        <v>69</v>
      </c>
      <c r="C250">
        <v>42</v>
      </c>
      <c r="D250" t="s">
        <v>70</v>
      </c>
      <c r="E250" t="s">
        <v>74</v>
      </c>
      <c r="F250" t="s">
        <v>72</v>
      </c>
      <c r="G250">
        <v>2.1597558064943101</v>
      </c>
      <c r="H250">
        <v>2E+20</v>
      </c>
      <c r="I250">
        <v>0.86430983194710498</v>
      </c>
      <c r="J250">
        <v>3.3786798283319701</v>
      </c>
      <c r="K250">
        <v>4</v>
      </c>
      <c r="L250" s="5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250" s="5" cm="1">
        <f t="array" ref="M250">MAX(IF((ProjectInfoTable[ProjectName]=DiscreteStatsTable[[#This Row],[ProjectName]]),(ProjectInfoTable[ProjectName]=DiscreteStatsTable[[#This Row],[ProjectName]])*ProjectInfoTable[NumberOfReplications]))</f>
        <v>50</v>
      </c>
      <c r="N250" s="5" cm="1">
        <f t="array" ref="N250">IFERROR(AVERAGE(IF((DiscreteStatsTable[GroupByKey]=DiscreteStatsTable[[#This Row],[GroupByKey]]),(DiscreteStatsTable[GroupByKey]=DiscreteStatsTable[[#This Row],[GroupByKey]])*DiscreteStatsTable[Average])),0)</f>
        <v>3.5363894499532775</v>
      </c>
      <c r="O250" s="5" cm="1">
        <f t="array" ref="O250">IFERROR(_xlfn.STDEV.S(IF((DiscreteStatsTable[GroupByKey]=DiscreteStatsTable[[#This Row],[GroupByKey]]),(DiscreteStatsTable[GroupByKey]=DiscreteStatsTable[[#This Row],[GroupByKey]])*DiscreteStatsTable[Average])),0)</f>
        <v>1.1766434570133149</v>
      </c>
      <c r="P250" s="5" cm="1">
        <f t="array" ref="P250">MAX(IF((ProjectInfoTable[ProjectName]=DiscreteStatsTable[[#This Row],[ProjectName]]),(ProjectInfoTable[ProjectName]=DiscreteStatsTable[[#This Row],[ProjectName]])*ProjectInfoTable[ConfidenceInterval]))</f>
        <v>0.95</v>
      </c>
      <c r="Q250" s="5">
        <f>IF(AND(DiscreteStatsTable[[#This Row],[RepsWithStatObserved]]=1,Y250=0),200000000000000000000,IFERROR(_xlfn.T.INV.2T(1 -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0.33439837052280896</v>
      </c>
      <c r="R250" s="5" cm="1">
        <f t="array" ref="R250">MIN(IF((DiscreteStatsTable[GroupByKey]=DiscreteStatsTable[[#This Row],[GroupByKey]]),(DiscreteStatsTable[GroupByKey]=DiscreteStatsTable[[#This Row],[GroupByKey]])*DiscreteStatsTable[Average]))</f>
        <v>1.6342264652107701</v>
      </c>
      <c r="S250" s="5" cm="1">
        <f t="array" ref="S250">MAX(IF((DiscreteStatsTable[GroupByKey]=DiscreteStatsTable[[#This Row],[GroupByKey]]),(DiscreteStatsTable[GroupByKey]=DiscreteStatsTable[[#This Row],[GroupByKey]])*DiscreteStatsTable[Average]))</f>
        <v>6.5527373550837904</v>
      </c>
      <c r="T250" s="5" cm="1">
        <f t="array" ref="T250">MIN(IF((DiscreteStatsTable[GroupByKey]=DiscreteStatsTable[[#This Row],[GroupByKey]]),(DiscreteStatsTable[GroupByKey]=DiscreteStatsTable[[#This Row],[GroupByKey]])*DiscreteStatsTable[Minimum]))</f>
        <v>0.58847912081681497</v>
      </c>
      <c r="U250" s="5" cm="1">
        <f t="array" ref="U250">MAX(IF((DiscreteStatsTable[GroupByKey]=DiscreteStatsTable[[#This Row],[GroupByKey]]),(DiscreteStatsTable[GroupByKey]=DiscreteStatsTable[[#This Row],[GroupByKey]])*DiscreteStatsTable[Maximum]))</f>
        <v>8.7476494546828292</v>
      </c>
      <c r="V250" s="5" cm="1">
        <f t="array" ref="V250">IFERROR(AVERAGE(IF((DiscreteStatsTable[GroupByKey]=DiscreteStatsTable[[#This Row],[GroupByKey]]),(DiscreteStatsTable[GroupByKey]=DiscreteStatsTable[[#This Row],[GroupByKey]])*DiscreteStatsTable[NumberObservations])),0)</f>
        <v>3.62</v>
      </c>
      <c r="W250" s="5">
        <f>IF((DiscreteStatsTable[[#This Row],[RepsRequested]]&gt;1),DiscreteStatsTable[[#This Row],[HalfWidth]],DiscreteStatsTable[[#This Row],[BatchMeansHalfWidth]])</f>
        <v>0.33439837052280896</v>
      </c>
      <c r="X250" s="5" cm="1">
        <f t="array" ref="X250">COUNT(IF((DiscreteStatsTable[GroupByKey]=DiscreteStatsTable[[#This Row],[GroupByKey]]),(DiscreteStatsTable[GroupByKey]=DiscreteStatsTable[[#This Row],[GroupByKey]])*DiscreteStatsTable[Replication]))</f>
        <v>50</v>
      </c>
      <c r="Y250" s="5">
        <f>IF(DiscreteStatsTable[[#This Row],[RepsRequested]]=DiscreteStatsTable[[#This Row],[RepsWithStatObserved]],1,0)</f>
        <v>1</v>
      </c>
    </row>
    <row r="251" spans="1:25" x14ac:dyDescent="0.35">
      <c r="A251" t="s">
        <v>66</v>
      </c>
      <c r="B251" t="s">
        <v>69</v>
      </c>
      <c r="C251">
        <v>42</v>
      </c>
      <c r="D251" t="s">
        <v>70</v>
      </c>
      <c r="E251" t="s">
        <v>75</v>
      </c>
      <c r="F251" t="s">
        <v>72</v>
      </c>
      <c r="G251">
        <v>0</v>
      </c>
      <c r="H251">
        <v>2E+20</v>
      </c>
      <c r="I251">
        <v>0</v>
      </c>
      <c r="J251">
        <v>0</v>
      </c>
      <c r="K251">
        <v>4</v>
      </c>
      <c r="L251" s="5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251" s="5" cm="1">
        <f t="array" ref="M251">MAX(IF((ProjectInfoTable[ProjectName]=DiscreteStatsTable[[#This Row],[ProjectName]]),(ProjectInfoTable[ProjectName]=DiscreteStatsTable[[#This Row],[ProjectName]])*ProjectInfoTable[NumberOfReplications]))</f>
        <v>50</v>
      </c>
      <c r="N251" s="5" cm="1">
        <f t="array" ref="N251">IFERROR(AVERAGE(IF((DiscreteStatsTable[GroupByKey]=DiscreteStatsTable[[#This Row],[GroupByKey]]),(DiscreteStatsTable[GroupByKey]=DiscreteStatsTable[[#This Row],[GroupByKey]])*DiscreteStatsTable[Average])),0)</f>
        <v>0</v>
      </c>
      <c r="O251" s="5" cm="1">
        <f t="array" ref="O251">IFERROR(_xlfn.STDEV.S(IF((DiscreteStatsTable[GroupByKey]=DiscreteStatsTable[[#This Row],[GroupByKey]]),(DiscreteStatsTable[GroupByKey]=DiscreteStatsTable[[#This Row],[GroupByKey]])*DiscreteStatsTable[Average])),0)</f>
        <v>0</v>
      </c>
      <c r="P251" s="5" cm="1">
        <f t="array" ref="P251">MAX(IF((ProjectInfoTable[ProjectName]=DiscreteStatsTable[[#This Row],[ProjectName]]),(ProjectInfoTable[ProjectName]=DiscreteStatsTable[[#This Row],[ProjectName]])*ProjectInfoTable[ConfidenceInterval]))</f>
        <v>0.95</v>
      </c>
      <c r="Q251" s="5">
        <f>IF(AND(DiscreteStatsTable[[#This Row],[RepsWithStatObserved]]=1,Y251=0),200000000000000000000,IFERROR(_xlfn.T.INV.2T(1 -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1" s="5" cm="1">
        <f t="array" ref="R251">MIN(IF((DiscreteStatsTable[GroupByKey]=DiscreteStatsTable[[#This Row],[GroupByKey]]),(DiscreteStatsTable[GroupByKey]=DiscreteStatsTable[[#This Row],[GroupByKey]])*DiscreteStatsTable[Average]))</f>
        <v>0</v>
      </c>
      <c r="S251" s="5" cm="1">
        <f t="array" ref="S251">MAX(IF((DiscreteStatsTable[GroupByKey]=DiscreteStatsTable[[#This Row],[GroupByKey]]),(DiscreteStatsTable[GroupByKey]=DiscreteStatsTable[[#This Row],[GroupByKey]])*DiscreteStatsTable[Average]))</f>
        <v>0</v>
      </c>
      <c r="T251" s="5" cm="1">
        <f t="array" ref="T251">MIN(IF((DiscreteStatsTable[GroupByKey]=DiscreteStatsTable[[#This Row],[GroupByKey]]),(DiscreteStatsTable[GroupByKey]=DiscreteStatsTable[[#This Row],[GroupByKey]])*DiscreteStatsTable[Minimum]))</f>
        <v>0</v>
      </c>
      <c r="U251" s="5" cm="1">
        <f t="array" ref="U251">MAX(IF((DiscreteStatsTable[GroupByKey]=DiscreteStatsTable[[#This Row],[GroupByKey]]),(DiscreteStatsTable[GroupByKey]=DiscreteStatsTable[[#This Row],[GroupByKey]])*DiscreteStatsTable[Maximum]))</f>
        <v>0</v>
      </c>
      <c r="V251" s="5" cm="1">
        <f t="array" ref="V251">IFERROR(AVERAGE(IF((DiscreteStatsTable[GroupByKey]=DiscreteStatsTable[[#This Row],[GroupByKey]]),(DiscreteStatsTable[GroupByKey]=DiscreteStatsTable[[#This Row],[GroupByKey]])*DiscreteStatsTable[NumberObservations])),0)</f>
        <v>3.62</v>
      </c>
      <c r="W251" s="5">
        <f>IF((DiscreteStatsTable[[#This Row],[RepsRequested]]&gt;1),DiscreteStatsTable[[#This Row],[HalfWidth]],DiscreteStatsTable[[#This Row],[BatchMeansHalfWidth]])</f>
        <v>0</v>
      </c>
      <c r="X251" s="5" cm="1">
        <f t="array" ref="X251">COUNT(IF((DiscreteStatsTable[GroupByKey]=DiscreteStatsTable[[#This Row],[GroupByKey]]),(DiscreteStatsTable[GroupByKey]=DiscreteStatsTable[[#This Row],[GroupByKey]])*DiscreteStatsTable[Replication]))</f>
        <v>50</v>
      </c>
      <c r="Y251" s="5">
        <f>IF(DiscreteStatsTable[[#This Row],[RepsRequested]]=DiscreteStatsTable[[#This Row],[RepsWithStatObserved]],1,0)</f>
        <v>1</v>
      </c>
    </row>
    <row r="252" spans="1:25" x14ac:dyDescent="0.35">
      <c r="A252" t="s">
        <v>66</v>
      </c>
      <c r="B252" t="s">
        <v>69</v>
      </c>
      <c r="C252">
        <v>42</v>
      </c>
      <c r="D252" t="s">
        <v>70</v>
      </c>
      <c r="E252" t="s">
        <v>76</v>
      </c>
      <c r="F252" t="s">
        <v>72</v>
      </c>
      <c r="G252">
        <v>1.77367886579057</v>
      </c>
      <c r="H252">
        <v>2E+20</v>
      </c>
      <c r="I252">
        <v>0.86430983194710498</v>
      </c>
      <c r="J252">
        <v>3.3786798283319701</v>
      </c>
      <c r="K252">
        <v>4</v>
      </c>
      <c r="L252" s="5" t="str">
        <f>DiscreteStatsTable[[#This Row],[ProjectName]]&amp;DiscreteStatsTable[[#This Row],[Name]]&amp;DiscreteStatsTable[[#This Row],[Type]]&amp;DiscreteStatsTable[[#This Row],[Source]]</f>
        <v>Unnamed ProjectArquivosVA TimeEntity</v>
      </c>
      <c r="M252" s="5" cm="1">
        <f t="array" ref="M252">MAX(IF((ProjectInfoTable[ProjectName]=DiscreteStatsTable[[#This Row],[ProjectName]]),(ProjectInfoTable[ProjectName]=DiscreteStatsTable[[#This Row],[ProjectName]])*ProjectInfoTable[NumberOfReplications]))</f>
        <v>50</v>
      </c>
      <c r="N252" s="5" cm="1">
        <f t="array" ref="N252">IFERROR(AVERAGE(IF((DiscreteStatsTable[GroupByKey]=DiscreteStatsTable[[#This Row],[GroupByKey]]),(DiscreteStatsTable[GroupByKey]=DiscreteStatsTable[[#This Row],[GroupByKey]])*DiscreteStatsTable[Average])),0)</f>
        <v>2.3123810058270009</v>
      </c>
      <c r="O252" s="5" cm="1">
        <f t="array" ref="O252">IFERROR(_xlfn.STDEV.S(IF((DiscreteStatsTable[GroupByKey]=DiscreteStatsTable[[#This Row],[GroupByKey]]),(DiscreteStatsTable[GroupByKey]=DiscreteStatsTable[[#This Row],[GroupByKey]])*DiscreteStatsTable[Average])),0)</f>
        <v>0.47735516285795621</v>
      </c>
      <c r="P252" s="5" cm="1">
        <f t="array" ref="P252">MAX(IF((ProjectInfoTable[ProjectName]=DiscreteStatsTable[[#This Row],[ProjectName]]),(ProjectInfoTable[ProjectName]=DiscreteStatsTable[[#This Row],[ProjectName]])*ProjectInfoTable[ConfidenceInterval]))</f>
        <v>0.95</v>
      </c>
      <c r="Q252" s="5">
        <f>IF(AND(DiscreteStatsTable[[#This Row],[RepsWithStatObserved]]=1,Y252=0),200000000000000000000,IFERROR(_xlfn.T.INV.2T(1 -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0.13566283623888314</v>
      </c>
      <c r="R252" s="5" cm="1">
        <f t="array" ref="R252">MIN(IF((DiscreteStatsTable[GroupByKey]=DiscreteStatsTable[[#This Row],[GroupByKey]]),(DiscreteStatsTable[GroupByKey]=DiscreteStatsTable[[#This Row],[GroupByKey]])*DiscreteStatsTable[Average]))</f>
        <v>1.3773415743205399</v>
      </c>
      <c r="S252" s="5" cm="1">
        <f t="array" ref="S252">MAX(IF((DiscreteStatsTable[GroupByKey]=DiscreteStatsTable[[#This Row],[GroupByKey]]),(DiscreteStatsTable[GroupByKey]=DiscreteStatsTable[[#This Row],[GroupByKey]])*DiscreteStatsTable[Average]))</f>
        <v>3.3139161730180202</v>
      </c>
      <c r="T252" s="5" cm="1">
        <f t="array" ref="T252">MIN(IF((DiscreteStatsTable[GroupByKey]=DiscreteStatsTable[[#This Row],[GroupByKey]]),(DiscreteStatsTable[GroupByKey]=DiscreteStatsTable[[#This Row],[GroupByKey]])*DiscreteStatsTable[Minimum]))</f>
        <v>0.58847912081681497</v>
      </c>
      <c r="U252" s="5" cm="1">
        <f t="array" ref="U252">MAX(IF((DiscreteStatsTable[GroupByKey]=DiscreteStatsTable[[#This Row],[GroupByKey]]),(DiscreteStatsTable[GroupByKey]=DiscreteStatsTable[[#This Row],[GroupByKey]])*DiscreteStatsTable[Maximum]))</f>
        <v>4.9756405925629998</v>
      </c>
      <c r="V252" s="5" cm="1">
        <f t="array" ref="V252">IFERROR(AVERAGE(IF((DiscreteStatsTable[GroupByKey]=DiscreteStatsTable[[#This Row],[GroupByKey]]),(DiscreteStatsTable[GroupByKey]=DiscreteStatsTable[[#This Row],[GroupByKey]])*DiscreteStatsTable[NumberObservations])),0)</f>
        <v>3.62</v>
      </c>
      <c r="W252" s="5">
        <f>IF((DiscreteStatsTable[[#This Row],[RepsRequested]]&gt;1),DiscreteStatsTable[[#This Row],[HalfWidth]],DiscreteStatsTable[[#This Row],[BatchMeansHalfWidth]])</f>
        <v>0.13566283623888314</v>
      </c>
      <c r="X252" s="5" cm="1">
        <f t="array" ref="X252">COUNT(IF((DiscreteStatsTable[GroupByKey]=DiscreteStatsTable[[#This Row],[GroupByKey]]),(DiscreteStatsTable[GroupByKey]=DiscreteStatsTable[[#This Row],[GroupByKey]])*DiscreteStatsTable[Replication]))</f>
        <v>50</v>
      </c>
      <c r="Y252" s="5">
        <f>IF(DiscreteStatsTable[[#This Row],[RepsRequested]]=DiscreteStatsTable[[#This Row],[RepsWithStatObserved]],1,0)</f>
        <v>1</v>
      </c>
    </row>
    <row r="253" spans="1:25" x14ac:dyDescent="0.35">
      <c r="A253" t="s">
        <v>66</v>
      </c>
      <c r="B253" t="s">
        <v>69</v>
      </c>
      <c r="C253">
        <v>42</v>
      </c>
      <c r="D253" t="s">
        <v>70</v>
      </c>
      <c r="E253" t="s">
        <v>77</v>
      </c>
      <c r="F253" t="s">
        <v>72</v>
      </c>
      <c r="G253">
        <v>0.38607694070374399</v>
      </c>
      <c r="H253">
        <v>2E+20</v>
      </c>
      <c r="I253">
        <v>0</v>
      </c>
      <c r="J253">
        <v>1.5443077628149799</v>
      </c>
      <c r="K253">
        <v>4</v>
      </c>
      <c r="L253" s="5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253" s="5" cm="1">
        <f t="array" ref="M253">MAX(IF((ProjectInfoTable[ProjectName]=DiscreteStatsTable[[#This Row],[ProjectName]]),(ProjectInfoTable[ProjectName]=DiscreteStatsTable[[#This Row],[ProjectName]])*ProjectInfoTable[NumberOfReplications]))</f>
        <v>50</v>
      </c>
      <c r="N253" s="5" cm="1">
        <f t="array" ref="N253">IFERROR(AVERAGE(IF((DiscreteStatsTable[GroupByKey]=DiscreteStatsTable[[#This Row],[GroupByKey]]),(DiscreteStatsTable[GroupByKey]=DiscreteStatsTable[[#This Row],[GroupByKey]])*DiscreteStatsTable[Average])),0)</f>
        <v>1.2240084441262762</v>
      </c>
      <c r="O253" s="5" cm="1">
        <f t="array" ref="O253">IFERROR(_xlfn.STDEV.S(IF((DiscreteStatsTable[GroupByKey]=DiscreteStatsTable[[#This Row],[GroupByKey]]),(DiscreteStatsTable[GroupByKey]=DiscreteStatsTable[[#This Row],[GroupByKey]])*DiscreteStatsTable[Average])),0)</f>
        <v>0.89867905452837749</v>
      </c>
      <c r="P253" s="5" cm="1">
        <f t="array" ref="P253">MAX(IF((ProjectInfoTable[ProjectName]=DiscreteStatsTable[[#This Row],[ProjectName]]),(ProjectInfoTable[ProjectName]=DiscreteStatsTable[[#This Row],[ProjectName]])*ProjectInfoTable[ConfidenceInterval]))</f>
        <v>0.95</v>
      </c>
      <c r="Q253" s="5">
        <f>IF(AND(DiscreteStatsTable[[#This Row],[RepsWithStatObserved]]=1,Y253=0),200000000000000000000,IFERROR(_xlfn.T.INV.2T(1 -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0.2554017613968404</v>
      </c>
      <c r="R253" s="5" cm="1">
        <f t="array" ref="R253">MIN(IF((DiscreteStatsTable[GroupByKey]=DiscreteStatsTable[[#This Row],[GroupByKey]]),(DiscreteStatsTable[GroupByKey]=DiscreteStatsTable[[#This Row],[GroupByKey]])*DiscreteStatsTable[Average]))</f>
        <v>0</v>
      </c>
      <c r="S253" s="5" cm="1">
        <f t="array" ref="S253">MAX(IF((DiscreteStatsTable[GroupByKey]=DiscreteStatsTable[[#This Row],[GroupByKey]]),(DiscreteStatsTable[GroupByKey]=DiscreteStatsTable[[#This Row],[GroupByKey]])*DiscreteStatsTable[Average]))</f>
        <v>3.4345522286517598</v>
      </c>
      <c r="T253" s="5" cm="1">
        <f t="array" ref="T253">MIN(IF((DiscreteStatsTable[GroupByKey]=DiscreteStatsTable[[#This Row],[GroupByKey]]),(DiscreteStatsTable[GroupByKey]=DiscreteStatsTable[[#This Row],[GroupByKey]])*DiscreteStatsTable[Minimum]))</f>
        <v>0</v>
      </c>
      <c r="U253" s="5" cm="1">
        <f t="array" ref="U253">MAX(IF((DiscreteStatsTable[GroupByKey]=DiscreteStatsTable[[#This Row],[GroupByKey]]),(DiscreteStatsTable[GroupByKey]=DiscreteStatsTable[[#This Row],[GroupByKey]])*DiscreteStatsTable[Maximum]))</f>
        <v>6.7563093676697896</v>
      </c>
      <c r="V253" s="5" cm="1">
        <f t="array" ref="V253">IFERROR(AVERAGE(IF((DiscreteStatsTable[GroupByKey]=DiscreteStatsTable[[#This Row],[GroupByKey]]),(DiscreteStatsTable[GroupByKey]=DiscreteStatsTable[[#This Row],[GroupByKey]])*DiscreteStatsTable[NumberObservations])),0)</f>
        <v>3.62</v>
      </c>
      <c r="W253" s="5">
        <f>IF((DiscreteStatsTable[[#This Row],[RepsRequested]]&gt;1),DiscreteStatsTable[[#This Row],[HalfWidth]],DiscreteStatsTable[[#This Row],[BatchMeansHalfWidth]])</f>
        <v>0.2554017613968404</v>
      </c>
      <c r="X253" s="5" cm="1">
        <f t="array" ref="X253">COUNT(IF((DiscreteStatsTable[GroupByKey]=DiscreteStatsTable[[#This Row],[GroupByKey]]),(DiscreteStatsTable[GroupByKey]=DiscreteStatsTable[[#This Row],[GroupByKey]])*DiscreteStatsTable[Replication]))</f>
        <v>50</v>
      </c>
      <c r="Y253" s="5">
        <f>IF(DiscreteStatsTable[[#This Row],[RepsRequested]]=DiscreteStatsTable[[#This Row],[RepsWithStatObserved]],1,0)</f>
        <v>1</v>
      </c>
    </row>
    <row r="254" spans="1:25" x14ac:dyDescent="0.35">
      <c r="A254" t="s">
        <v>66</v>
      </c>
      <c r="B254" t="s">
        <v>69</v>
      </c>
      <c r="C254">
        <v>43</v>
      </c>
      <c r="D254" t="s">
        <v>70</v>
      </c>
      <c r="E254" t="s">
        <v>71</v>
      </c>
      <c r="F254" t="s">
        <v>72</v>
      </c>
      <c r="G254">
        <v>0</v>
      </c>
      <c r="H254">
        <v>2E+20</v>
      </c>
      <c r="I254">
        <v>0</v>
      </c>
      <c r="J254">
        <v>0</v>
      </c>
      <c r="K254">
        <v>4</v>
      </c>
      <c r="L254" s="5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254" s="5" cm="1">
        <f t="array" ref="M254">MAX(IF((ProjectInfoTable[ProjectName]=DiscreteStatsTable[[#This Row],[ProjectName]]),(ProjectInfoTable[ProjectName]=DiscreteStatsTable[[#This Row],[ProjectName]])*ProjectInfoTable[NumberOfReplications]))</f>
        <v>50</v>
      </c>
      <c r="N254" s="5" cm="1">
        <f t="array" ref="N254">IFERROR(AVERAGE(IF((DiscreteStatsTable[GroupByKey]=DiscreteStatsTable[[#This Row],[GroupByKey]]),(DiscreteStatsTable[GroupByKey]=DiscreteStatsTable[[#This Row],[GroupByKey]])*DiscreteStatsTable[Average])),0)</f>
        <v>0</v>
      </c>
      <c r="O254" s="5" cm="1">
        <f t="array" ref="O254">IFERROR(_xlfn.STDEV.S(IF((DiscreteStatsTable[GroupByKey]=DiscreteStatsTable[[#This Row],[GroupByKey]]),(DiscreteStatsTable[GroupByKey]=DiscreteStatsTable[[#This Row],[GroupByKey]])*DiscreteStatsTable[Average])),0)</f>
        <v>0</v>
      </c>
      <c r="P254" s="5" cm="1">
        <f t="array" ref="P254">MAX(IF((ProjectInfoTable[ProjectName]=DiscreteStatsTable[[#This Row],[ProjectName]]),(ProjectInfoTable[ProjectName]=DiscreteStatsTable[[#This Row],[ProjectName]])*ProjectInfoTable[ConfidenceInterval]))</f>
        <v>0.95</v>
      </c>
      <c r="Q254" s="5">
        <f>IF(AND(DiscreteStatsTable[[#This Row],[RepsWithStatObserved]]=1,Y254=0),200000000000000000000,IFERROR(_xlfn.T.INV.2T(1 -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4" s="5" cm="1">
        <f t="array" ref="R254">MIN(IF((DiscreteStatsTable[GroupByKey]=DiscreteStatsTable[[#This Row],[GroupByKey]]),(DiscreteStatsTable[GroupByKey]=DiscreteStatsTable[[#This Row],[GroupByKey]])*DiscreteStatsTable[Average]))</f>
        <v>0</v>
      </c>
      <c r="S254" s="5" cm="1">
        <f t="array" ref="S254">MAX(IF((DiscreteStatsTable[GroupByKey]=DiscreteStatsTable[[#This Row],[GroupByKey]]),(DiscreteStatsTable[GroupByKey]=DiscreteStatsTable[[#This Row],[GroupByKey]])*DiscreteStatsTable[Average]))</f>
        <v>0</v>
      </c>
      <c r="T254" s="5" cm="1">
        <f t="array" ref="T254">MIN(IF((DiscreteStatsTable[GroupByKey]=DiscreteStatsTable[[#This Row],[GroupByKey]]),(DiscreteStatsTable[GroupByKey]=DiscreteStatsTable[[#This Row],[GroupByKey]])*DiscreteStatsTable[Minimum]))</f>
        <v>0</v>
      </c>
      <c r="U254" s="5" cm="1">
        <f t="array" ref="U254">MAX(IF((DiscreteStatsTable[GroupByKey]=DiscreteStatsTable[[#This Row],[GroupByKey]]),(DiscreteStatsTable[GroupByKey]=DiscreteStatsTable[[#This Row],[GroupByKey]])*DiscreteStatsTable[Maximum]))</f>
        <v>0</v>
      </c>
      <c r="V254" s="5" cm="1">
        <f t="array" ref="V254">IFERROR(AVERAGE(IF((DiscreteStatsTable[GroupByKey]=DiscreteStatsTable[[#This Row],[GroupByKey]]),(DiscreteStatsTable[GroupByKey]=DiscreteStatsTable[[#This Row],[GroupByKey]])*DiscreteStatsTable[NumberObservations])),0)</f>
        <v>3.62</v>
      </c>
      <c r="W254" s="5">
        <f>IF((DiscreteStatsTable[[#This Row],[RepsRequested]]&gt;1),DiscreteStatsTable[[#This Row],[HalfWidth]],DiscreteStatsTable[[#This Row],[BatchMeansHalfWidth]])</f>
        <v>0</v>
      </c>
      <c r="X254" s="5" cm="1">
        <f t="array" ref="X254">COUNT(IF((DiscreteStatsTable[GroupByKey]=DiscreteStatsTable[[#This Row],[GroupByKey]]),(DiscreteStatsTable[GroupByKey]=DiscreteStatsTable[[#This Row],[GroupByKey]])*DiscreteStatsTable[Replication]))</f>
        <v>50</v>
      </c>
      <c r="Y254" s="5">
        <f>IF(DiscreteStatsTable[[#This Row],[RepsRequested]]=DiscreteStatsTable[[#This Row],[RepsWithStatObserved]],1,0)</f>
        <v>1</v>
      </c>
    </row>
    <row r="255" spans="1:25" x14ac:dyDescent="0.35">
      <c r="A255" t="s">
        <v>66</v>
      </c>
      <c r="B255" t="s">
        <v>69</v>
      </c>
      <c r="C255">
        <v>43</v>
      </c>
      <c r="D255" t="s">
        <v>70</v>
      </c>
      <c r="E255" t="s">
        <v>73</v>
      </c>
      <c r="F255" t="s">
        <v>72</v>
      </c>
      <c r="G255">
        <v>0</v>
      </c>
      <c r="H255">
        <v>2E+20</v>
      </c>
      <c r="I255">
        <v>0</v>
      </c>
      <c r="J255">
        <v>0</v>
      </c>
      <c r="K255">
        <v>4</v>
      </c>
      <c r="L255" s="5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255" s="5" cm="1">
        <f t="array" ref="M255">MAX(IF((ProjectInfoTable[ProjectName]=DiscreteStatsTable[[#This Row],[ProjectName]]),(ProjectInfoTable[ProjectName]=DiscreteStatsTable[[#This Row],[ProjectName]])*ProjectInfoTable[NumberOfReplications]))</f>
        <v>50</v>
      </c>
      <c r="N255" s="5" cm="1">
        <f t="array" ref="N255">IFERROR(AVERAGE(IF((DiscreteStatsTable[GroupByKey]=DiscreteStatsTable[[#This Row],[GroupByKey]]),(DiscreteStatsTable[GroupByKey]=DiscreteStatsTable[[#This Row],[GroupByKey]])*DiscreteStatsTable[Average])),0)</f>
        <v>0</v>
      </c>
      <c r="O255" s="5" cm="1">
        <f t="array" ref="O255">IFERROR(_xlfn.STDEV.S(IF((DiscreteStatsTable[GroupByKey]=DiscreteStatsTable[[#This Row],[GroupByKey]]),(DiscreteStatsTable[GroupByKey]=DiscreteStatsTable[[#This Row],[GroupByKey]])*DiscreteStatsTable[Average])),0)</f>
        <v>0</v>
      </c>
      <c r="P255" s="5" cm="1">
        <f t="array" ref="P255">MAX(IF((ProjectInfoTable[ProjectName]=DiscreteStatsTable[[#This Row],[ProjectName]]),(ProjectInfoTable[ProjectName]=DiscreteStatsTable[[#This Row],[ProjectName]])*ProjectInfoTable[ConfidenceInterval]))</f>
        <v>0.95</v>
      </c>
      <c r="Q255" s="5">
        <f>IF(AND(DiscreteStatsTable[[#This Row],[RepsWithStatObserved]]=1,Y255=0),200000000000000000000,IFERROR(_xlfn.T.INV.2T(1 -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5" s="5" cm="1">
        <f t="array" ref="R255">MIN(IF((DiscreteStatsTable[GroupByKey]=DiscreteStatsTable[[#This Row],[GroupByKey]]),(DiscreteStatsTable[GroupByKey]=DiscreteStatsTable[[#This Row],[GroupByKey]])*DiscreteStatsTable[Average]))</f>
        <v>0</v>
      </c>
      <c r="S255" s="5" cm="1">
        <f t="array" ref="S255">MAX(IF((DiscreteStatsTable[GroupByKey]=DiscreteStatsTable[[#This Row],[GroupByKey]]),(DiscreteStatsTable[GroupByKey]=DiscreteStatsTable[[#This Row],[GroupByKey]])*DiscreteStatsTable[Average]))</f>
        <v>0</v>
      </c>
      <c r="T255" s="5" cm="1">
        <f t="array" ref="T255">MIN(IF((DiscreteStatsTable[GroupByKey]=DiscreteStatsTable[[#This Row],[GroupByKey]]),(DiscreteStatsTable[GroupByKey]=DiscreteStatsTable[[#This Row],[GroupByKey]])*DiscreteStatsTable[Minimum]))</f>
        <v>0</v>
      </c>
      <c r="U255" s="5" cm="1">
        <f t="array" ref="U255">MAX(IF((DiscreteStatsTable[GroupByKey]=DiscreteStatsTable[[#This Row],[GroupByKey]]),(DiscreteStatsTable[GroupByKey]=DiscreteStatsTable[[#This Row],[GroupByKey]])*DiscreteStatsTable[Maximum]))</f>
        <v>0</v>
      </c>
      <c r="V255" s="5" cm="1">
        <f t="array" ref="V255">IFERROR(AVERAGE(IF((DiscreteStatsTable[GroupByKey]=DiscreteStatsTable[[#This Row],[GroupByKey]]),(DiscreteStatsTable[GroupByKey]=DiscreteStatsTable[[#This Row],[GroupByKey]])*DiscreteStatsTable[NumberObservations])),0)</f>
        <v>3.62</v>
      </c>
      <c r="W255" s="5">
        <f>IF((DiscreteStatsTable[[#This Row],[RepsRequested]]&gt;1),DiscreteStatsTable[[#This Row],[HalfWidth]],DiscreteStatsTable[[#This Row],[BatchMeansHalfWidth]])</f>
        <v>0</v>
      </c>
      <c r="X255" s="5" cm="1">
        <f t="array" ref="X255">COUNT(IF((DiscreteStatsTable[GroupByKey]=DiscreteStatsTable[[#This Row],[GroupByKey]]),(DiscreteStatsTable[GroupByKey]=DiscreteStatsTable[[#This Row],[GroupByKey]])*DiscreteStatsTable[Replication]))</f>
        <v>50</v>
      </c>
      <c r="Y255" s="5">
        <f>IF(DiscreteStatsTable[[#This Row],[RepsRequested]]=DiscreteStatsTable[[#This Row],[RepsWithStatObserved]],1,0)</f>
        <v>1</v>
      </c>
    </row>
    <row r="256" spans="1:25" x14ac:dyDescent="0.35">
      <c r="A256" t="s">
        <v>66</v>
      </c>
      <c r="B256" t="s">
        <v>69</v>
      </c>
      <c r="C256">
        <v>43</v>
      </c>
      <c r="D256" t="s">
        <v>70</v>
      </c>
      <c r="E256" t="s">
        <v>74</v>
      </c>
      <c r="F256" t="s">
        <v>72</v>
      </c>
      <c r="G256">
        <v>2.5567110920184799</v>
      </c>
      <c r="H256">
        <v>2E+20</v>
      </c>
      <c r="I256">
        <v>1.7859040815523599</v>
      </c>
      <c r="J256">
        <v>4.3917033288679503</v>
      </c>
      <c r="K256">
        <v>4</v>
      </c>
      <c r="L256" s="5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256" s="5" cm="1">
        <f t="array" ref="M256">MAX(IF((ProjectInfoTable[ProjectName]=DiscreteStatsTable[[#This Row],[ProjectName]]),(ProjectInfoTable[ProjectName]=DiscreteStatsTable[[#This Row],[ProjectName]])*ProjectInfoTable[NumberOfReplications]))</f>
        <v>50</v>
      </c>
      <c r="N256" s="5" cm="1">
        <f t="array" ref="N256">IFERROR(AVERAGE(IF((DiscreteStatsTable[GroupByKey]=DiscreteStatsTable[[#This Row],[GroupByKey]]),(DiscreteStatsTable[GroupByKey]=DiscreteStatsTable[[#This Row],[GroupByKey]])*DiscreteStatsTable[Average])),0)</f>
        <v>3.5363894499532775</v>
      </c>
      <c r="O256" s="5" cm="1">
        <f t="array" ref="O256">IFERROR(_xlfn.STDEV.S(IF((DiscreteStatsTable[GroupByKey]=DiscreteStatsTable[[#This Row],[GroupByKey]]),(DiscreteStatsTable[GroupByKey]=DiscreteStatsTable[[#This Row],[GroupByKey]])*DiscreteStatsTable[Average])),0)</f>
        <v>1.1766434570133149</v>
      </c>
      <c r="P256" s="5" cm="1">
        <f t="array" ref="P256">MAX(IF((ProjectInfoTable[ProjectName]=DiscreteStatsTable[[#This Row],[ProjectName]]),(ProjectInfoTable[ProjectName]=DiscreteStatsTable[[#This Row],[ProjectName]])*ProjectInfoTable[ConfidenceInterval]))</f>
        <v>0.95</v>
      </c>
      <c r="Q256" s="5">
        <f>IF(AND(DiscreteStatsTable[[#This Row],[RepsWithStatObserved]]=1,Y256=0),200000000000000000000,IFERROR(_xlfn.T.INV.2T(1 -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0.33439837052280896</v>
      </c>
      <c r="R256" s="5" cm="1">
        <f t="array" ref="R256">MIN(IF((DiscreteStatsTable[GroupByKey]=DiscreteStatsTable[[#This Row],[GroupByKey]]),(DiscreteStatsTable[GroupByKey]=DiscreteStatsTable[[#This Row],[GroupByKey]])*DiscreteStatsTable[Average]))</f>
        <v>1.6342264652107701</v>
      </c>
      <c r="S256" s="5" cm="1">
        <f t="array" ref="S256">MAX(IF((DiscreteStatsTable[GroupByKey]=DiscreteStatsTable[[#This Row],[GroupByKey]]),(DiscreteStatsTable[GroupByKey]=DiscreteStatsTable[[#This Row],[GroupByKey]])*DiscreteStatsTable[Average]))</f>
        <v>6.5527373550837904</v>
      </c>
      <c r="T256" s="5" cm="1">
        <f t="array" ref="T256">MIN(IF((DiscreteStatsTable[GroupByKey]=DiscreteStatsTable[[#This Row],[GroupByKey]]),(DiscreteStatsTable[GroupByKey]=DiscreteStatsTable[[#This Row],[GroupByKey]])*DiscreteStatsTable[Minimum]))</f>
        <v>0.58847912081681497</v>
      </c>
      <c r="U256" s="5" cm="1">
        <f t="array" ref="U256">MAX(IF((DiscreteStatsTable[GroupByKey]=DiscreteStatsTable[[#This Row],[GroupByKey]]),(DiscreteStatsTable[GroupByKey]=DiscreteStatsTable[[#This Row],[GroupByKey]])*DiscreteStatsTable[Maximum]))</f>
        <v>8.7476494546828292</v>
      </c>
      <c r="V256" s="5" cm="1">
        <f t="array" ref="V256">IFERROR(AVERAGE(IF((DiscreteStatsTable[GroupByKey]=DiscreteStatsTable[[#This Row],[GroupByKey]]),(DiscreteStatsTable[GroupByKey]=DiscreteStatsTable[[#This Row],[GroupByKey]])*DiscreteStatsTable[NumberObservations])),0)</f>
        <v>3.62</v>
      </c>
      <c r="W256" s="5">
        <f>IF((DiscreteStatsTable[[#This Row],[RepsRequested]]&gt;1),DiscreteStatsTable[[#This Row],[HalfWidth]],DiscreteStatsTable[[#This Row],[BatchMeansHalfWidth]])</f>
        <v>0.33439837052280896</v>
      </c>
      <c r="X256" s="5" cm="1">
        <f t="array" ref="X256">COUNT(IF((DiscreteStatsTable[GroupByKey]=DiscreteStatsTable[[#This Row],[GroupByKey]]),(DiscreteStatsTable[GroupByKey]=DiscreteStatsTable[[#This Row],[GroupByKey]])*DiscreteStatsTable[Replication]))</f>
        <v>50</v>
      </c>
      <c r="Y256" s="5">
        <f>IF(DiscreteStatsTable[[#This Row],[RepsRequested]]=DiscreteStatsTable[[#This Row],[RepsWithStatObserved]],1,0)</f>
        <v>1</v>
      </c>
    </row>
    <row r="257" spans="1:25" x14ac:dyDescent="0.35">
      <c r="A257" t="s">
        <v>66</v>
      </c>
      <c r="B257" t="s">
        <v>69</v>
      </c>
      <c r="C257">
        <v>43</v>
      </c>
      <c r="D257" t="s">
        <v>70</v>
      </c>
      <c r="E257" t="s">
        <v>75</v>
      </c>
      <c r="F257" t="s">
        <v>72</v>
      </c>
      <c r="G257">
        <v>0</v>
      </c>
      <c r="H257">
        <v>2E+20</v>
      </c>
      <c r="I257">
        <v>0</v>
      </c>
      <c r="J257">
        <v>0</v>
      </c>
      <c r="K257">
        <v>4</v>
      </c>
      <c r="L257" s="5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257" s="5" cm="1">
        <f t="array" ref="M257">MAX(IF((ProjectInfoTable[ProjectName]=DiscreteStatsTable[[#This Row],[ProjectName]]),(ProjectInfoTable[ProjectName]=DiscreteStatsTable[[#This Row],[ProjectName]])*ProjectInfoTable[NumberOfReplications]))</f>
        <v>50</v>
      </c>
      <c r="N257" s="5" cm="1">
        <f t="array" ref="N257">IFERROR(AVERAGE(IF((DiscreteStatsTable[GroupByKey]=DiscreteStatsTable[[#This Row],[GroupByKey]]),(DiscreteStatsTable[GroupByKey]=DiscreteStatsTable[[#This Row],[GroupByKey]])*DiscreteStatsTable[Average])),0)</f>
        <v>0</v>
      </c>
      <c r="O257" s="5" cm="1">
        <f t="array" ref="O257">IFERROR(_xlfn.STDEV.S(IF((DiscreteStatsTable[GroupByKey]=DiscreteStatsTable[[#This Row],[GroupByKey]]),(DiscreteStatsTable[GroupByKey]=DiscreteStatsTable[[#This Row],[GroupByKey]])*DiscreteStatsTable[Average])),0)</f>
        <v>0</v>
      </c>
      <c r="P257" s="5" cm="1">
        <f t="array" ref="P257">MAX(IF((ProjectInfoTable[ProjectName]=DiscreteStatsTable[[#This Row],[ProjectName]]),(ProjectInfoTable[ProjectName]=DiscreteStatsTable[[#This Row],[ProjectName]])*ProjectInfoTable[ConfidenceInterval]))</f>
        <v>0.95</v>
      </c>
      <c r="Q257" s="5">
        <f>IF(AND(DiscreteStatsTable[[#This Row],[RepsWithStatObserved]]=1,Y257=0),200000000000000000000,IFERROR(_xlfn.T.INV.2T(1 -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7" s="5" cm="1">
        <f t="array" ref="R257">MIN(IF((DiscreteStatsTable[GroupByKey]=DiscreteStatsTable[[#This Row],[GroupByKey]]),(DiscreteStatsTable[GroupByKey]=DiscreteStatsTable[[#This Row],[GroupByKey]])*DiscreteStatsTable[Average]))</f>
        <v>0</v>
      </c>
      <c r="S257" s="5" cm="1">
        <f t="array" ref="S257">MAX(IF((DiscreteStatsTable[GroupByKey]=DiscreteStatsTable[[#This Row],[GroupByKey]]),(DiscreteStatsTable[GroupByKey]=DiscreteStatsTable[[#This Row],[GroupByKey]])*DiscreteStatsTable[Average]))</f>
        <v>0</v>
      </c>
      <c r="T257" s="5" cm="1">
        <f t="array" ref="T257">MIN(IF((DiscreteStatsTable[GroupByKey]=DiscreteStatsTable[[#This Row],[GroupByKey]]),(DiscreteStatsTable[GroupByKey]=DiscreteStatsTable[[#This Row],[GroupByKey]])*DiscreteStatsTable[Minimum]))</f>
        <v>0</v>
      </c>
      <c r="U257" s="5" cm="1">
        <f t="array" ref="U257">MAX(IF((DiscreteStatsTable[GroupByKey]=DiscreteStatsTable[[#This Row],[GroupByKey]]),(DiscreteStatsTable[GroupByKey]=DiscreteStatsTable[[#This Row],[GroupByKey]])*DiscreteStatsTable[Maximum]))</f>
        <v>0</v>
      </c>
      <c r="V257" s="5" cm="1">
        <f t="array" ref="V257">IFERROR(AVERAGE(IF((DiscreteStatsTable[GroupByKey]=DiscreteStatsTable[[#This Row],[GroupByKey]]),(DiscreteStatsTable[GroupByKey]=DiscreteStatsTable[[#This Row],[GroupByKey]])*DiscreteStatsTable[NumberObservations])),0)</f>
        <v>3.62</v>
      </c>
      <c r="W257" s="5">
        <f>IF((DiscreteStatsTable[[#This Row],[RepsRequested]]&gt;1),DiscreteStatsTable[[#This Row],[HalfWidth]],DiscreteStatsTable[[#This Row],[BatchMeansHalfWidth]])</f>
        <v>0</v>
      </c>
      <c r="X257" s="5" cm="1">
        <f t="array" ref="X257">COUNT(IF((DiscreteStatsTable[GroupByKey]=DiscreteStatsTable[[#This Row],[GroupByKey]]),(DiscreteStatsTable[GroupByKey]=DiscreteStatsTable[[#This Row],[GroupByKey]])*DiscreteStatsTable[Replication]))</f>
        <v>50</v>
      </c>
      <c r="Y257" s="5">
        <f>IF(DiscreteStatsTable[[#This Row],[RepsRequested]]=DiscreteStatsTable[[#This Row],[RepsWithStatObserved]],1,0)</f>
        <v>1</v>
      </c>
    </row>
    <row r="258" spans="1:25" x14ac:dyDescent="0.35">
      <c r="A258" t="s">
        <v>66</v>
      </c>
      <c r="B258" t="s">
        <v>69</v>
      </c>
      <c r="C258">
        <v>43</v>
      </c>
      <c r="D258" t="s">
        <v>70</v>
      </c>
      <c r="E258" t="s">
        <v>76</v>
      </c>
      <c r="F258" t="s">
        <v>72</v>
      </c>
      <c r="G258">
        <v>1.9036489169424899</v>
      </c>
      <c r="H258">
        <v>2E+20</v>
      </c>
      <c r="I258">
        <v>1.4310263618177299</v>
      </c>
      <c r="J258">
        <v>2.7643665864540798</v>
      </c>
      <c r="K258">
        <v>4</v>
      </c>
      <c r="L258" s="5" t="str">
        <f>DiscreteStatsTable[[#This Row],[ProjectName]]&amp;DiscreteStatsTable[[#This Row],[Name]]&amp;DiscreteStatsTable[[#This Row],[Type]]&amp;DiscreteStatsTable[[#This Row],[Source]]</f>
        <v>Unnamed ProjectArquivosVA TimeEntity</v>
      </c>
      <c r="M258" s="5" cm="1">
        <f t="array" ref="M258">MAX(IF((ProjectInfoTable[ProjectName]=DiscreteStatsTable[[#This Row],[ProjectName]]),(ProjectInfoTable[ProjectName]=DiscreteStatsTable[[#This Row],[ProjectName]])*ProjectInfoTable[NumberOfReplications]))</f>
        <v>50</v>
      </c>
      <c r="N258" s="5" cm="1">
        <f t="array" ref="N258">IFERROR(AVERAGE(IF((DiscreteStatsTable[GroupByKey]=DiscreteStatsTable[[#This Row],[GroupByKey]]),(DiscreteStatsTable[GroupByKey]=DiscreteStatsTable[[#This Row],[GroupByKey]])*DiscreteStatsTable[Average])),0)</f>
        <v>2.3123810058270009</v>
      </c>
      <c r="O258" s="5" cm="1">
        <f t="array" ref="O258">IFERROR(_xlfn.STDEV.S(IF((DiscreteStatsTable[GroupByKey]=DiscreteStatsTable[[#This Row],[GroupByKey]]),(DiscreteStatsTable[GroupByKey]=DiscreteStatsTable[[#This Row],[GroupByKey]])*DiscreteStatsTable[Average])),0)</f>
        <v>0.47735516285795621</v>
      </c>
      <c r="P258" s="5" cm="1">
        <f t="array" ref="P258">MAX(IF((ProjectInfoTable[ProjectName]=DiscreteStatsTable[[#This Row],[ProjectName]]),(ProjectInfoTable[ProjectName]=DiscreteStatsTable[[#This Row],[ProjectName]])*ProjectInfoTable[ConfidenceInterval]))</f>
        <v>0.95</v>
      </c>
      <c r="Q258" s="5">
        <f>IF(AND(DiscreteStatsTable[[#This Row],[RepsWithStatObserved]]=1,Y258=0),200000000000000000000,IFERROR(_xlfn.T.INV.2T(1 -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0.13566283623888314</v>
      </c>
      <c r="R258" s="5" cm="1">
        <f t="array" ref="R258">MIN(IF((DiscreteStatsTable[GroupByKey]=DiscreteStatsTable[[#This Row],[GroupByKey]]),(DiscreteStatsTable[GroupByKey]=DiscreteStatsTable[[#This Row],[GroupByKey]])*DiscreteStatsTable[Average]))</f>
        <v>1.3773415743205399</v>
      </c>
      <c r="S258" s="5" cm="1">
        <f t="array" ref="S258">MAX(IF((DiscreteStatsTable[GroupByKey]=DiscreteStatsTable[[#This Row],[GroupByKey]]),(DiscreteStatsTable[GroupByKey]=DiscreteStatsTable[[#This Row],[GroupByKey]])*DiscreteStatsTable[Average]))</f>
        <v>3.3139161730180202</v>
      </c>
      <c r="T258" s="5" cm="1">
        <f t="array" ref="T258">MIN(IF((DiscreteStatsTable[GroupByKey]=DiscreteStatsTable[[#This Row],[GroupByKey]]),(DiscreteStatsTable[GroupByKey]=DiscreteStatsTable[[#This Row],[GroupByKey]])*DiscreteStatsTable[Minimum]))</f>
        <v>0.58847912081681497</v>
      </c>
      <c r="U258" s="5" cm="1">
        <f t="array" ref="U258">MAX(IF((DiscreteStatsTable[GroupByKey]=DiscreteStatsTable[[#This Row],[GroupByKey]]),(DiscreteStatsTable[GroupByKey]=DiscreteStatsTable[[#This Row],[GroupByKey]])*DiscreteStatsTable[Maximum]))</f>
        <v>4.9756405925629998</v>
      </c>
      <c r="V258" s="5" cm="1">
        <f t="array" ref="V258">IFERROR(AVERAGE(IF((DiscreteStatsTable[GroupByKey]=DiscreteStatsTable[[#This Row],[GroupByKey]]),(DiscreteStatsTable[GroupByKey]=DiscreteStatsTable[[#This Row],[GroupByKey]])*DiscreteStatsTable[NumberObservations])),0)</f>
        <v>3.62</v>
      </c>
      <c r="W258" s="5">
        <f>IF((DiscreteStatsTable[[#This Row],[RepsRequested]]&gt;1),DiscreteStatsTable[[#This Row],[HalfWidth]],DiscreteStatsTable[[#This Row],[BatchMeansHalfWidth]])</f>
        <v>0.13566283623888314</v>
      </c>
      <c r="X258" s="5" cm="1">
        <f t="array" ref="X258">COUNT(IF((DiscreteStatsTable[GroupByKey]=DiscreteStatsTable[[#This Row],[GroupByKey]]),(DiscreteStatsTable[GroupByKey]=DiscreteStatsTable[[#This Row],[GroupByKey]])*DiscreteStatsTable[Replication]))</f>
        <v>50</v>
      </c>
      <c r="Y258" s="5">
        <f>IF(DiscreteStatsTable[[#This Row],[RepsRequested]]=DiscreteStatsTable[[#This Row],[RepsWithStatObserved]],1,0)</f>
        <v>1</v>
      </c>
    </row>
    <row r="259" spans="1:25" x14ac:dyDescent="0.35">
      <c r="A259" t="s">
        <v>66</v>
      </c>
      <c r="B259" t="s">
        <v>69</v>
      </c>
      <c r="C259">
        <v>43</v>
      </c>
      <c r="D259" t="s">
        <v>70</v>
      </c>
      <c r="E259" t="s">
        <v>77</v>
      </c>
      <c r="F259" t="s">
        <v>72</v>
      </c>
      <c r="G259">
        <v>0.65306217507598796</v>
      </c>
      <c r="H259">
        <v>2E+20</v>
      </c>
      <c r="I259">
        <v>0</v>
      </c>
      <c r="J259">
        <v>1.6273367424138701</v>
      </c>
      <c r="K259">
        <v>4</v>
      </c>
      <c r="L259" s="5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259" s="5" cm="1">
        <f t="array" ref="M259">MAX(IF((ProjectInfoTable[ProjectName]=DiscreteStatsTable[[#This Row],[ProjectName]]),(ProjectInfoTable[ProjectName]=DiscreteStatsTable[[#This Row],[ProjectName]])*ProjectInfoTable[NumberOfReplications]))</f>
        <v>50</v>
      </c>
      <c r="N259" s="5" cm="1">
        <f t="array" ref="N259">IFERROR(AVERAGE(IF((DiscreteStatsTable[GroupByKey]=DiscreteStatsTable[[#This Row],[GroupByKey]]),(DiscreteStatsTable[GroupByKey]=DiscreteStatsTable[[#This Row],[GroupByKey]])*DiscreteStatsTable[Average])),0)</f>
        <v>1.2240084441262762</v>
      </c>
      <c r="O259" s="5" cm="1">
        <f t="array" ref="O259">IFERROR(_xlfn.STDEV.S(IF((DiscreteStatsTable[GroupByKey]=DiscreteStatsTable[[#This Row],[GroupByKey]]),(DiscreteStatsTable[GroupByKey]=DiscreteStatsTable[[#This Row],[GroupByKey]])*DiscreteStatsTable[Average])),0)</f>
        <v>0.89867905452837749</v>
      </c>
      <c r="P259" s="5" cm="1">
        <f t="array" ref="P259">MAX(IF((ProjectInfoTable[ProjectName]=DiscreteStatsTable[[#This Row],[ProjectName]]),(ProjectInfoTable[ProjectName]=DiscreteStatsTable[[#This Row],[ProjectName]])*ProjectInfoTable[ConfidenceInterval]))</f>
        <v>0.95</v>
      </c>
      <c r="Q259" s="5">
        <f>IF(AND(DiscreteStatsTable[[#This Row],[RepsWithStatObserved]]=1,Y259=0),200000000000000000000,IFERROR(_xlfn.T.INV.2T(1 -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0.2554017613968404</v>
      </c>
      <c r="R259" s="5" cm="1">
        <f t="array" ref="R259">MIN(IF((DiscreteStatsTable[GroupByKey]=DiscreteStatsTable[[#This Row],[GroupByKey]]),(DiscreteStatsTable[GroupByKey]=DiscreteStatsTable[[#This Row],[GroupByKey]])*DiscreteStatsTable[Average]))</f>
        <v>0</v>
      </c>
      <c r="S259" s="5" cm="1">
        <f t="array" ref="S259">MAX(IF((DiscreteStatsTable[GroupByKey]=DiscreteStatsTable[[#This Row],[GroupByKey]]),(DiscreteStatsTable[GroupByKey]=DiscreteStatsTable[[#This Row],[GroupByKey]])*DiscreteStatsTable[Average]))</f>
        <v>3.4345522286517598</v>
      </c>
      <c r="T259" s="5" cm="1">
        <f t="array" ref="T259">MIN(IF((DiscreteStatsTable[GroupByKey]=DiscreteStatsTable[[#This Row],[GroupByKey]]),(DiscreteStatsTable[GroupByKey]=DiscreteStatsTable[[#This Row],[GroupByKey]])*DiscreteStatsTable[Minimum]))</f>
        <v>0</v>
      </c>
      <c r="U259" s="5" cm="1">
        <f t="array" ref="U259">MAX(IF((DiscreteStatsTable[GroupByKey]=DiscreteStatsTable[[#This Row],[GroupByKey]]),(DiscreteStatsTable[GroupByKey]=DiscreteStatsTable[[#This Row],[GroupByKey]])*DiscreteStatsTable[Maximum]))</f>
        <v>6.7563093676697896</v>
      </c>
      <c r="V259" s="5" cm="1">
        <f t="array" ref="V259">IFERROR(AVERAGE(IF((DiscreteStatsTable[GroupByKey]=DiscreteStatsTable[[#This Row],[GroupByKey]]),(DiscreteStatsTable[GroupByKey]=DiscreteStatsTable[[#This Row],[GroupByKey]])*DiscreteStatsTable[NumberObservations])),0)</f>
        <v>3.62</v>
      </c>
      <c r="W259" s="5">
        <f>IF((DiscreteStatsTable[[#This Row],[RepsRequested]]&gt;1),DiscreteStatsTable[[#This Row],[HalfWidth]],DiscreteStatsTable[[#This Row],[BatchMeansHalfWidth]])</f>
        <v>0.2554017613968404</v>
      </c>
      <c r="X259" s="5" cm="1">
        <f t="array" ref="X259">COUNT(IF((DiscreteStatsTable[GroupByKey]=DiscreteStatsTable[[#This Row],[GroupByKey]]),(DiscreteStatsTable[GroupByKey]=DiscreteStatsTable[[#This Row],[GroupByKey]])*DiscreteStatsTable[Replication]))</f>
        <v>50</v>
      </c>
      <c r="Y259" s="5">
        <f>IF(DiscreteStatsTable[[#This Row],[RepsRequested]]=DiscreteStatsTable[[#This Row],[RepsWithStatObserved]],1,0)</f>
        <v>1</v>
      </c>
    </row>
    <row r="260" spans="1:25" x14ac:dyDescent="0.35">
      <c r="A260" t="s">
        <v>66</v>
      </c>
      <c r="B260" t="s">
        <v>69</v>
      </c>
      <c r="C260">
        <v>44</v>
      </c>
      <c r="D260" t="s">
        <v>70</v>
      </c>
      <c r="E260" t="s">
        <v>71</v>
      </c>
      <c r="F260" t="s">
        <v>72</v>
      </c>
      <c r="G260">
        <v>0</v>
      </c>
      <c r="H260">
        <v>2E+20</v>
      </c>
      <c r="I260">
        <v>0</v>
      </c>
      <c r="J260">
        <v>0</v>
      </c>
      <c r="K260">
        <v>3</v>
      </c>
      <c r="L260" s="5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260" s="5" cm="1">
        <f t="array" ref="M260">MAX(IF((ProjectInfoTable[ProjectName]=DiscreteStatsTable[[#This Row],[ProjectName]]),(ProjectInfoTable[ProjectName]=DiscreteStatsTable[[#This Row],[ProjectName]])*ProjectInfoTable[NumberOfReplications]))</f>
        <v>50</v>
      </c>
      <c r="N260" s="5" cm="1">
        <f t="array" ref="N260">IFERROR(AVERAGE(IF((DiscreteStatsTable[GroupByKey]=DiscreteStatsTable[[#This Row],[GroupByKey]]),(DiscreteStatsTable[GroupByKey]=DiscreteStatsTable[[#This Row],[GroupByKey]])*DiscreteStatsTable[Average])),0)</f>
        <v>0</v>
      </c>
      <c r="O260" s="5" cm="1">
        <f t="array" ref="O260">IFERROR(_xlfn.STDEV.S(IF((DiscreteStatsTable[GroupByKey]=DiscreteStatsTable[[#This Row],[GroupByKey]]),(DiscreteStatsTable[GroupByKey]=DiscreteStatsTable[[#This Row],[GroupByKey]])*DiscreteStatsTable[Average])),0)</f>
        <v>0</v>
      </c>
      <c r="P260" s="5" cm="1">
        <f t="array" ref="P260">MAX(IF((ProjectInfoTable[ProjectName]=DiscreteStatsTable[[#This Row],[ProjectName]]),(ProjectInfoTable[ProjectName]=DiscreteStatsTable[[#This Row],[ProjectName]])*ProjectInfoTable[ConfidenceInterval]))</f>
        <v>0.95</v>
      </c>
      <c r="Q260" s="5">
        <f>IF(AND(DiscreteStatsTable[[#This Row],[RepsWithStatObserved]]=1,Y260=0),200000000000000000000,IFERROR(_xlfn.T.INV.2T(1 -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0" s="5" cm="1">
        <f t="array" ref="R260">MIN(IF((DiscreteStatsTable[GroupByKey]=DiscreteStatsTable[[#This Row],[GroupByKey]]),(DiscreteStatsTable[GroupByKey]=DiscreteStatsTable[[#This Row],[GroupByKey]])*DiscreteStatsTable[Average]))</f>
        <v>0</v>
      </c>
      <c r="S260" s="5" cm="1">
        <f t="array" ref="S260">MAX(IF((DiscreteStatsTable[GroupByKey]=DiscreteStatsTable[[#This Row],[GroupByKey]]),(DiscreteStatsTable[GroupByKey]=DiscreteStatsTable[[#This Row],[GroupByKey]])*DiscreteStatsTable[Average]))</f>
        <v>0</v>
      </c>
      <c r="T260" s="5" cm="1">
        <f t="array" ref="T260">MIN(IF((DiscreteStatsTable[GroupByKey]=DiscreteStatsTable[[#This Row],[GroupByKey]]),(DiscreteStatsTable[GroupByKey]=DiscreteStatsTable[[#This Row],[GroupByKey]])*DiscreteStatsTable[Minimum]))</f>
        <v>0</v>
      </c>
      <c r="U260" s="5" cm="1">
        <f t="array" ref="U260">MAX(IF((DiscreteStatsTable[GroupByKey]=DiscreteStatsTable[[#This Row],[GroupByKey]]),(DiscreteStatsTable[GroupByKey]=DiscreteStatsTable[[#This Row],[GroupByKey]])*DiscreteStatsTable[Maximum]))</f>
        <v>0</v>
      </c>
      <c r="V260" s="5" cm="1">
        <f t="array" ref="V260">IFERROR(AVERAGE(IF((DiscreteStatsTable[GroupByKey]=DiscreteStatsTable[[#This Row],[GroupByKey]]),(DiscreteStatsTable[GroupByKey]=DiscreteStatsTable[[#This Row],[GroupByKey]])*DiscreteStatsTable[NumberObservations])),0)</f>
        <v>3.62</v>
      </c>
      <c r="W260" s="5">
        <f>IF((DiscreteStatsTable[[#This Row],[RepsRequested]]&gt;1),DiscreteStatsTable[[#This Row],[HalfWidth]],DiscreteStatsTable[[#This Row],[BatchMeansHalfWidth]])</f>
        <v>0</v>
      </c>
      <c r="X260" s="5" cm="1">
        <f t="array" ref="X260">COUNT(IF((DiscreteStatsTable[GroupByKey]=DiscreteStatsTable[[#This Row],[GroupByKey]]),(DiscreteStatsTable[GroupByKey]=DiscreteStatsTable[[#This Row],[GroupByKey]])*DiscreteStatsTable[Replication]))</f>
        <v>50</v>
      </c>
      <c r="Y260" s="5">
        <f>IF(DiscreteStatsTable[[#This Row],[RepsRequested]]=DiscreteStatsTable[[#This Row],[RepsWithStatObserved]],1,0)</f>
        <v>1</v>
      </c>
    </row>
    <row r="261" spans="1:25" x14ac:dyDescent="0.35">
      <c r="A261" t="s">
        <v>66</v>
      </c>
      <c r="B261" t="s">
        <v>69</v>
      </c>
      <c r="C261">
        <v>44</v>
      </c>
      <c r="D261" t="s">
        <v>70</v>
      </c>
      <c r="E261" t="s">
        <v>73</v>
      </c>
      <c r="F261" t="s">
        <v>72</v>
      </c>
      <c r="G261">
        <v>0</v>
      </c>
      <c r="H261">
        <v>2E+20</v>
      </c>
      <c r="I261">
        <v>0</v>
      </c>
      <c r="J261">
        <v>0</v>
      </c>
      <c r="K261">
        <v>3</v>
      </c>
      <c r="L261" s="5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261" s="5" cm="1">
        <f t="array" ref="M261">MAX(IF((ProjectInfoTable[ProjectName]=DiscreteStatsTable[[#This Row],[ProjectName]]),(ProjectInfoTable[ProjectName]=DiscreteStatsTable[[#This Row],[ProjectName]])*ProjectInfoTable[NumberOfReplications]))</f>
        <v>50</v>
      </c>
      <c r="N261" s="5" cm="1">
        <f t="array" ref="N261">IFERROR(AVERAGE(IF((DiscreteStatsTable[GroupByKey]=DiscreteStatsTable[[#This Row],[GroupByKey]]),(DiscreteStatsTable[GroupByKey]=DiscreteStatsTable[[#This Row],[GroupByKey]])*DiscreteStatsTable[Average])),0)</f>
        <v>0</v>
      </c>
      <c r="O261" s="5" cm="1">
        <f t="array" ref="O261">IFERROR(_xlfn.STDEV.S(IF((DiscreteStatsTable[GroupByKey]=DiscreteStatsTable[[#This Row],[GroupByKey]]),(DiscreteStatsTable[GroupByKey]=DiscreteStatsTable[[#This Row],[GroupByKey]])*DiscreteStatsTable[Average])),0)</f>
        <v>0</v>
      </c>
      <c r="P261" s="5" cm="1">
        <f t="array" ref="P261">MAX(IF((ProjectInfoTable[ProjectName]=DiscreteStatsTable[[#This Row],[ProjectName]]),(ProjectInfoTable[ProjectName]=DiscreteStatsTable[[#This Row],[ProjectName]])*ProjectInfoTable[ConfidenceInterval]))</f>
        <v>0.95</v>
      </c>
      <c r="Q261" s="5">
        <f>IF(AND(DiscreteStatsTable[[#This Row],[RepsWithStatObserved]]=1,Y261=0),200000000000000000000,IFERROR(_xlfn.T.INV.2T(1 -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1" s="5" cm="1">
        <f t="array" ref="R261">MIN(IF((DiscreteStatsTable[GroupByKey]=DiscreteStatsTable[[#This Row],[GroupByKey]]),(DiscreteStatsTable[GroupByKey]=DiscreteStatsTable[[#This Row],[GroupByKey]])*DiscreteStatsTable[Average]))</f>
        <v>0</v>
      </c>
      <c r="S261" s="5" cm="1">
        <f t="array" ref="S261">MAX(IF((DiscreteStatsTable[GroupByKey]=DiscreteStatsTable[[#This Row],[GroupByKey]]),(DiscreteStatsTable[GroupByKey]=DiscreteStatsTable[[#This Row],[GroupByKey]])*DiscreteStatsTable[Average]))</f>
        <v>0</v>
      </c>
      <c r="T261" s="5" cm="1">
        <f t="array" ref="T261">MIN(IF((DiscreteStatsTable[GroupByKey]=DiscreteStatsTable[[#This Row],[GroupByKey]]),(DiscreteStatsTable[GroupByKey]=DiscreteStatsTable[[#This Row],[GroupByKey]])*DiscreteStatsTable[Minimum]))</f>
        <v>0</v>
      </c>
      <c r="U261" s="5" cm="1">
        <f t="array" ref="U261">MAX(IF((DiscreteStatsTable[GroupByKey]=DiscreteStatsTable[[#This Row],[GroupByKey]]),(DiscreteStatsTable[GroupByKey]=DiscreteStatsTable[[#This Row],[GroupByKey]])*DiscreteStatsTable[Maximum]))</f>
        <v>0</v>
      </c>
      <c r="V261" s="5" cm="1">
        <f t="array" ref="V261">IFERROR(AVERAGE(IF((DiscreteStatsTable[GroupByKey]=DiscreteStatsTable[[#This Row],[GroupByKey]]),(DiscreteStatsTable[GroupByKey]=DiscreteStatsTable[[#This Row],[GroupByKey]])*DiscreteStatsTable[NumberObservations])),0)</f>
        <v>3.62</v>
      </c>
      <c r="W261" s="5">
        <f>IF((DiscreteStatsTable[[#This Row],[RepsRequested]]&gt;1),DiscreteStatsTable[[#This Row],[HalfWidth]],DiscreteStatsTable[[#This Row],[BatchMeansHalfWidth]])</f>
        <v>0</v>
      </c>
      <c r="X261" s="5" cm="1">
        <f t="array" ref="X261">COUNT(IF((DiscreteStatsTable[GroupByKey]=DiscreteStatsTable[[#This Row],[GroupByKey]]),(DiscreteStatsTable[GroupByKey]=DiscreteStatsTable[[#This Row],[GroupByKey]])*DiscreteStatsTable[Replication]))</f>
        <v>50</v>
      </c>
      <c r="Y261" s="5">
        <f>IF(DiscreteStatsTable[[#This Row],[RepsRequested]]=DiscreteStatsTable[[#This Row],[RepsWithStatObserved]],1,0)</f>
        <v>1</v>
      </c>
    </row>
    <row r="262" spans="1:25" x14ac:dyDescent="0.35">
      <c r="A262" t="s">
        <v>66</v>
      </c>
      <c r="B262" t="s">
        <v>69</v>
      </c>
      <c r="C262">
        <v>44</v>
      </c>
      <c r="D262" t="s">
        <v>70</v>
      </c>
      <c r="E262" t="s">
        <v>74</v>
      </c>
      <c r="F262" t="s">
        <v>72</v>
      </c>
      <c r="G262">
        <v>5.8936402705425799</v>
      </c>
      <c r="H262">
        <v>2E+20</v>
      </c>
      <c r="I262">
        <v>2.9341591590337099</v>
      </c>
      <c r="J262">
        <v>7.9447349443756199</v>
      </c>
      <c r="K262">
        <v>3</v>
      </c>
      <c r="L262" s="5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262" s="5" cm="1">
        <f t="array" ref="M262">MAX(IF((ProjectInfoTable[ProjectName]=DiscreteStatsTable[[#This Row],[ProjectName]]),(ProjectInfoTable[ProjectName]=DiscreteStatsTable[[#This Row],[ProjectName]])*ProjectInfoTable[NumberOfReplications]))</f>
        <v>50</v>
      </c>
      <c r="N262" s="5" cm="1">
        <f t="array" ref="N262">IFERROR(AVERAGE(IF((DiscreteStatsTable[GroupByKey]=DiscreteStatsTable[[#This Row],[GroupByKey]]),(DiscreteStatsTable[GroupByKey]=DiscreteStatsTable[[#This Row],[GroupByKey]])*DiscreteStatsTable[Average])),0)</f>
        <v>3.5363894499532775</v>
      </c>
      <c r="O262" s="5" cm="1">
        <f t="array" ref="O262">IFERROR(_xlfn.STDEV.S(IF((DiscreteStatsTable[GroupByKey]=DiscreteStatsTable[[#This Row],[GroupByKey]]),(DiscreteStatsTable[GroupByKey]=DiscreteStatsTable[[#This Row],[GroupByKey]])*DiscreteStatsTable[Average])),0)</f>
        <v>1.1766434570133149</v>
      </c>
      <c r="P262" s="5" cm="1">
        <f t="array" ref="P262">MAX(IF((ProjectInfoTable[ProjectName]=DiscreteStatsTable[[#This Row],[ProjectName]]),(ProjectInfoTable[ProjectName]=DiscreteStatsTable[[#This Row],[ProjectName]])*ProjectInfoTable[ConfidenceInterval]))</f>
        <v>0.95</v>
      </c>
      <c r="Q262" s="5">
        <f>IF(AND(DiscreteStatsTable[[#This Row],[RepsWithStatObserved]]=1,Y262=0),200000000000000000000,IFERROR(_xlfn.T.INV.2T(1 -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0.33439837052280896</v>
      </c>
      <c r="R262" s="5" cm="1">
        <f t="array" ref="R262">MIN(IF((DiscreteStatsTable[GroupByKey]=DiscreteStatsTable[[#This Row],[GroupByKey]]),(DiscreteStatsTable[GroupByKey]=DiscreteStatsTable[[#This Row],[GroupByKey]])*DiscreteStatsTable[Average]))</f>
        <v>1.6342264652107701</v>
      </c>
      <c r="S262" s="5" cm="1">
        <f t="array" ref="S262">MAX(IF((DiscreteStatsTable[GroupByKey]=DiscreteStatsTable[[#This Row],[GroupByKey]]),(DiscreteStatsTable[GroupByKey]=DiscreteStatsTable[[#This Row],[GroupByKey]])*DiscreteStatsTable[Average]))</f>
        <v>6.5527373550837904</v>
      </c>
      <c r="T262" s="5" cm="1">
        <f t="array" ref="T262">MIN(IF((DiscreteStatsTable[GroupByKey]=DiscreteStatsTable[[#This Row],[GroupByKey]]),(DiscreteStatsTable[GroupByKey]=DiscreteStatsTable[[#This Row],[GroupByKey]])*DiscreteStatsTable[Minimum]))</f>
        <v>0.58847912081681497</v>
      </c>
      <c r="U262" s="5" cm="1">
        <f t="array" ref="U262">MAX(IF((DiscreteStatsTable[GroupByKey]=DiscreteStatsTable[[#This Row],[GroupByKey]]),(DiscreteStatsTable[GroupByKey]=DiscreteStatsTable[[#This Row],[GroupByKey]])*DiscreteStatsTable[Maximum]))</f>
        <v>8.7476494546828292</v>
      </c>
      <c r="V262" s="5" cm="1">
        <f t="array" ref="V262">IFERROR(AVERAGE(IF((DiscreteStatsTable[GroupByKey]=DiscreteStatsTable[[#This Row],[GroupByKey]]),(DiscreteStatsTable[GroupByKey]=DiscreteStatsTable[[#This Row],[GroupByKey]])*DiscreteStatsTable[NumberObservations])),0)</f>
        <v>3.62</v>
      </c>
      <c r="W262" s="5">
        <f>IF((DiscreteStatsTable[[#This Row],[RepsRequested]]&gt;1),DiscreteStatsTable[[#This Row],[HalfWidth]],DiscreteStatsTable[[#This Row],[BatchMeansHalfWidth]])</f>
        <v>0.33439837052280896</v>
      </c>
      <c r="X262" s="5" cm="1">
        <f t="array" ref="X262">COUNT(IF((DiscreteStatsTable[GroupByKey]=DiscreteStatsTable[[#This Row],[GroupByKey]]),(DiscreteStatsTable[GroupByKey]=DiscreteStatsTable[[#This Row],[GroupByKey]])*DiscreteStatsTable[Replication]))</f>
        <v>50</v>
      </c>
      <c r="Y262" s="5">
        <f>IF(DiscreteStatsTable[[#This Row],[RepsRequested]]=DiscreteStatsTable[[#This Row],[RepsWithStatObserved]],1,0)</f>
        <v>1</v>
      </c>
    </row>
    <row r="263" spans="1:25" x14ac:dyDescent="0.35">
      <c r="A263" t="s">
        <v>66</v>
      </c>
      <c r="B263" t="s">
        <v>69</v>
      </c>
      <c r="C263">
        <v>44</v>
      </c>
      <c r="D263" t="s">
        <v>70</v>
      </c>
      <c r="E263" t="s">
        <v>75</v>
      </c>
      <c r="F263" t="s">
        <v>72</v>
      </c>
      <c r="G263">
        <v>0</v>
      </c>
      <c r="H263">
        <v>2E+20</v>
      </c>
      <c r="I263">
        <v>0</v>
      </c>
      <c r="J263">
        <v>0</v>
      </c>
      <c r="K263">
        <v>3</v>
      </c>
      <c r="L263" s="5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263" s="5" cm="1">
        <f t="array" ref="M263">MAX(IF((ProjectInfoTable[ProjectName]=DiscreteStatsTable[[#This Row],[ProjectName]]),(ProjectInfoTable[ProjectName]=DiscreteStatsTable[[#This Row],[ProjectName]])*ProjectInfoTable[NumberOfReplications]))</f>
        <v>50</v>
      </c>
      <c r="N263" s="5" cm="1">
        <f t="array" ref="N263">IFERROR(AVERAGE(IF((DiscreteStatsTable[GroupByKey]=DiscreteStatsTable[[#This Row],[GroupByKey]]),(DiscreteStatsTable[GroupByKey]=DiscreteStatsTable[[#This Row],[GroupByKey]])*DiscreteStatsTable[Average])),0)</f>
        <v>0</v>
      </c>
      <c r="O263" s="5" cm="1">
        <f t="array" ref="O263">IFERROR(_xlfn.STDEV.S(IF((DiscreteStatsTable[GroupByKey]=DiscreteStatsTable[[#This Row],[GroupByKey]]),(DiscreteStatsTable[GroupByKey]=DiscreteStatsTable[[#This Row],[GroupByKey]])*DiscreteStatsTable[Average])),0)</f>
        <v>0</v>
      </c>
      <c r="P263" s="5" cm="1">
        <f t="array" ref="P263">MAX(IF((ProjectInfoTable[ProjectName]=DiscreteStatsTable[[#This Row],[ProjectName]]),(ProjectInfoTable[ProjectName]=DiscreteStatsTable[[#This Row],[ProjectName]])*ProjectInfoTable[ConfidenceInterval]))</f>
        <v>0.95</v>
      </c>
      <c r="Q263" s="5">
        <f>IF(AND(DiscreteStatsTable[[#This Row],[RepsWithStatObserved]]=1,Y263=0),200000000000000000000,IFERROR(_xlfn.T.INV.2T(1 -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3" s="5" cm="1">
        <f t="array" ref="R263">MIN(IF((DiscreteStatsTable[GroupByKey]=DiscreteStatsTable[[#This Row],[GroupByKey]]),(DiscreteStatsTable[GroupByKey]=DiscreteStatsTable[[#This Row],[GroupByKey]])*DiscreteStatsTable[Average]))</f>
        <v>0</v>
      </c>
      <c r="S263" s="5" cm="1">
        <f t="array" ref="S263">MAX(IF((DiscreteStatsTable[GroupByKey]=DiscreteStatsTable[[#This Row],[GroupByKey]]),(DiscreteStatsTable[GroupByKey]=DiscreteStatsTable[[#This Row],[GroupByKey]])*DiscreteStatsTable[Average]))</f>
        <v>0</v>
      </c>
      <c r="T263" s="5" cm="1">
        <f t="array" ref="T263">MIN(IF((DiscreteStatsTable[GroupByKey]=DiscreteStatsTable[[#This Row],[GroupByKey]]),(DiscreteStatsTable[GroupByKey]=DiscreteStatsTable[[#This Row],[GroupByKey]])*DiscreteStatsTable[Minimum]))</f>
        <v>0</v>
      </c>
      <c r="U263" s="5" cm="1">
        <f t="array" ref="U263">MAX(IF((DiscreteStatsTable[GroupByKey]=DiscreteStatsTable[[#This Row],[GroupByKey]]),(DiscreteStatsTable[GroupByKey]=DiscreteStatsTable[[#This Row],[GroupByKey]])*DiscreteStatsTable[Maximum]))</f>
        <v>0</v>
      </c>
      <c r="V263" s="5" cm="1">
        <f t="array" ref="V263">IFERROR(AVERAGE(IF((DiscreteStatsTable[GroupByKey]=DiscreteStatsTable[[#This Row],[GroupByKey]]),(DiscreteStatsTable[GroupByKey]=DiscreteStatsTable[[#This Row],[GroupByKey]])*DiscreteStatsTable[NumberObservations])),0)</f>
        <v>3.62</v>
      </c>
      <c r="W263" s="5">
        <f>IF((DiscreteStatsTable[[#This Row],[RepsRequested]]&gt;1),DiscreteStatsTable[[#This Row],[HalfWidth]],DiscreteStatsTable[[#This Row],[BatchMeansHalfWidth]])</f>
        <v>0</v>
      </c>
      <c r="X263" s="5" cm="1">
        <f t="array" ref="X263">COUNT(IF((DiscreteStatsTable[GroupByKey]=DiscreteStatsTable[[#This Row],[GroupByKey]]),(DiscreteStatsTable[GroupByKey]=DiscreteStatsTable[[#This Row],[GroupByKey]])*DiscreteStatsTable[Replication]))</f>
        <v>50</v>
      </c>
      <c r="Y263" s="5">
        <f>IF(DiscreteStatsTable[[#This Row],[RepsRequested]]=DiscreteStatsTable[[#This Row],[RepsWithStatObserved]],1,0)</f>
        <v>1</v>
      </c>
    </row>
    <row r="264" spans="1:25" x14ac:dyDescent="0.35">
      <c r="A264" t="s">
        <v>66</v>
      </c>
      <c r="B264" t="s">
        <v>69</v>
      </c>
      <c r="C264">
        <v>44</v>
      </c>
      <c r="D264" t="s">
        <v>70</v>
      </c>
      <c r="E264" t="s">
        <v>76</v>
      </c>
      <c r="F264" t="s">
        <v>72</v>
      </c>
      <c r="G264">
        <v>3.1399517123710701</v>
      </c>
      <c r="H264">
        <v>2E+20</v>
      </c>
      <c r="I264">
        <v>2.5768515014375502</v>
      </c>
      <c r="J264">
        <v>3.9088444766419399</v>
      </c>
      <c r="K264">
        <v>3</v>
      </c>
      <c r="L264" s="5" t="str">
        <f>DiscreteStatsTable[[#This Row],[ProjectName]]&amp;DiscreteStatsTable[[#This Row],[Name]]&amp;DiscreteStatsTable[[#This Row],[Type]]&amp;DiscreteStatsTable[[#This Row],[Source]]</f>
        <v>Unnamed ProjectArquivosVA TimeEntity</v>
      </c>
      <c r="M264" s="5" cm="1">
        <f t="array" ref="M264">MAX(IF((ProjectInfoTable[ProjectName]=DiscreteStatsTable[[#This Row],[ProjectName]]),(ProjectInfoTable[ProjectName]=DiscreteStatsTable[[#This Row],[ProjectName]])*ProjectInfoTable[NumberOfReplications]))</f>
        <v>50</v>
      </c>
      <c r="N264" s="5" cm="1">
        <f t="array" ref="N264">IFERROR(AVERAGE(IF((DiscreteStatsTable[GroupByKey]=DiscreteStatsTable[[#This Row],[GroupByKey]]),(DiscreteStatsTable[GroupByKey]=DiscreteStatsTable[[#This Row],[GroupByKey]])*DiscreteStatsTable[Average])),0)</f>
        <v>2.3123810058270009</v>
      </c>
      <c r="O264" s="5" cm="1">
        <f t="array" ref="O264">IFERROR(_xlfn.STDEV.S(IF((DiscreteStatsTable[GroupByKey]=DiscreteStatsTable[[#This Row],[GroupByKey]]),(DiscreteStatsTable[GroupByKey]=DiscreteStatsTable[[#This Row],[GroupByKey]])*DiscreteStatsTable[Average])),0)</f>
        <v>0.47735516285795621</v>
      </c>
      <c r="P264" s="5" cm="1">
        <f t="array" ref="P264">MAX(IF((ProjectInfoTable[ProjectName]=DiscreteStatsTable[[#This Row],[ProjectName]]),(ProjectInfoTable[ProjectName]=DiscreteStatsTable[[#This Row],[ProjectName]])*ProjectInfoTable[ConfidenceInterval]))</f>
        <v>0.95</v>
      </c>
      <c r="Q264" s="5">
        <f>IF(AND(DiscreteStatsTable[[#This Row],[RepsWithStatObserved]]=1,Y264=0),200000000000000000000,IFERROR(_xlfn.T.INV.2T(1 -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0.13566283623888314</v>
      </c>
      <c r="R264" s="5" cm="1">
        <f t="array" ref="R264">MIN(IF((DiscreteStatsTable[GroupByKey]=DiscreteStatsTable[[#This Row],[GroupByKey]]),(DiscreteStatsTable[GroupByKey]=DiscreteStatsTable[[#This Row],[GroupByKey]])*DiscreteStatsTable[Average]))</f>
        <v>1.3773415743205399</v>
      </c>
      <c r="S264" s="5" cm="1">
        <f t="array" ref="S264">MAX(IF((DiscreteStatsTable[GroupByKey]=DiscreteStatsTable[[#This Row],[GroupByKey]]),(DiscreteStatsTable[GroupByKey]=DiscreteStatsTable[[#This Row],[GroupByKey]])*DiscreteStatsTable[Average]))</f>
        <v>3.3139161730180202</v>
      </c>
      <c r="T264" s="5" cm="1">
        <f t="array" ref="T264">MIN(IF((DiscreteStatsTable[GroupByKey]=DiscreteStatsTable[[#This Row],[GroupByKey]]),(DiscreteStatsTable[GroupByKey]=DiscreteStatsTable[[#This Row],[GroupByKey]])*DiscreteStatsTable[Minimum]))</f>
        <v>0.58847912081681497</v>
      </c>
      <c r="U264" s="5" cm="1">
        <f t="array" ref="U264">MAX(IF((DiscreteStatsTable[GroupByKey]=DiscreteStatsTable[[#This Row],[GroupByKey]]),(DiscreteStatsTable[GroupByKey]=DiscreteStatsTable[[#This Row],[GroupByKey]])*DiscreteStatsTable[Maximum]))</f>
        <v>4.9756405925629998</v>
      </c>
      <c r="V264" s="5" cm="1">
        <f t="array" ref="V264">IFERROR(AVERAGE(IF((DiscreteStatsTable[GroupByKey]=DiscreteStatsTable[[#This Row],[GroupByKey]]),(DiscreteStatsTable[GroupByKey]=DiscreteStatsTable[[#This Row],[GroupByKey]])*DiscreteStatsTable[NumberObservations])),0)</f>
        <v>3.62</v>
      </c>
      <c r="W264" s="5">
        <f>IF((DiscreteStatsTable[[#This Row],[RepsRequested]]&gt;1),DiscreteStatsTable[[#This Row],[HalfWidth]],DiscreteStatsTable[[#This Row],[BatchMeansHalfWidth]])</f>
        <v>0.13566283623888314</v>
      </c>
      <c r="X264" s="5" cm="1">
        <f t="array" ref="X264">COUNT(IF((DiscreteStatsTable[GroupByKey]=DiscreteStatsTable[[#This Row],[GroupByKey]]),(DiscreteStatsTable[GroupByKey]=DiscreteStatsTable[[#This Row],[GroupByKey]])*DiscreteStatsTable[Replication]))</f>
        <v>50</v>
      </c>
      <c r="Y264" s="5">
        <f>IF(DiscreteStatsTable[[#This Row],[RepsRequested]]=DiscreteStatsTable[[#This Row],[RepsWithStatObserved]],1,0)</f>
        <v>1</v>
      </c>
    </row>
    <row r="265" spans="1:25" x14ac:dyDescent="0.35">
      <c r="A265" t="s">
        <v>66</v>
      </c>
      <c r="B265" t="s">
        <v>69</v>
      </c>
      <c r="C265">
        <v>44</v>
      </c>
      <c r="D265" t="s">
        <v>70</v>
      </c>
      <c r="E265" t="s">
        <v>77</v>
      </c>
      <c r="F265" t="s">
        <v>72</v>
      </c>
      <c r="G265">
        <v>2.7536885581715098</v>
      </c>
      <c r="H265">
        <v>2E+20</v>
      </c>
      <c r="I265">
        <v>0</v>
      </c>
      <c r="J265">
        <v>5.3678834429380702</v>
      </c>
      <c r="K265">
        <v>3</v>
      </c>
      <c r="L265" s="5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265" s="5" cm="1">
        <f t="array" ref="M265">MAX(IF((ProjectInfoTable[ProjectName]=DiscreteStatsTable[[#This Row],[ProjectName]]),(ProjectInfoTable[ProjectName]=DiscreteStatsTable[[#This Row],[ProjectName]])*ProjectInfoTable[NumberOfReplications]))</f>
        <v>50</v>
      </c>
      <c r="N265" s="5" cm="1">
        <f t="array" ref="N265">IFERROR(AVERAGE(IF((DiscreteStatsTable[GroupByKey]=DiscreteStatsTable[[#This Row],[GroupByKey]]),(DiscreteStatsTable[GroupByKey]=DiscreteStatsTable[[#This Row],[GroupByKey]])*DiscreteStatsTable[Average])),0)</f>
        <v>1.2240084441262762</v>
      </c>
      <c r="O265" s="5" cm="1">
        <f t="array" ref="O265">IFERROR(_xlfn.STDEV.S(IF((DiscreteStatsTable[GroupByKey]=DiscreteStatsTable[[#This Row],[GroupByKey]]),(DiscreteStatsTable[GroupByKey]=DiscreteStatsTable[[#This Row],[GroupByKey]])*DiscreteStatsTable[Average])),0)</f>
        <v>0.89867905452837749</v>
      </c>
      <c r="P265" s="5" cm="1">
        <f t="array" ref="P265">MAX(IF((ProjectInfoTable[ProjectName]=DiscreteStatsTable[[#This Row],[ProjectName]]),(ProjectInfoTable[ProjectName]=DiscreteStatsTable[[#This Row],[ProjectName]])*ProjectInfoTable[ConfidenceInterval]))</f>
        <v>0.95</v>
      </c>
      <c r="Q265" s="5">
        <f>IF(AND(DiscreteStatsTable[[#This Row],[RepsWithStatObserved]]=1,Y265=0),200000000000000000000,IFERROR(_xlfn.T.INV.2T(1 -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0.2554017613968404</v>
      </c>
      <c r="R265" s="5" cm="1">
        <f t="array" ref="R265">MIN(IF((DiscreteStatsTable[GroupByKey]=DiscreteStatsTable[[#This Row],[GroupByKey]]),(DiscreteStatsTable[GroupByKey]=DiscreteStatsTable[[#This Row],[GroupByKey]])*DiscreteStatsTable[Average]))</f>
        <v>0</v>
      </c>
      <c r="S265" s="5" cm="1">
        <f t="array" ref="S265">MAX(IF((DiscreteStatsTable[GroupByKey]=DiscreteStatsTable[[#This Row],[GroupByKey]]),(DiscreteStatsTable[GroupByKey]=DiscreteStatsTable[[#This Row],[GroupByKey]])*DiscreteStatsTable[Average]))</f>
        <v>3.4345522286517598</v>
      </c>
      <c r="T265" s="5" cm="1">
        <f t="array" ref="T265">MIN(IF((DiscreteStatsTable[GroupByKey]=DiscreteStatsTable[[#This Row],[GroupByKey]]),(DiscreteStatsTable[GroupByKey]=DiscreteStatsTable[[#This Row],[GroupByKey]])*DiscreteStatsTable[Minimum]))</f>
        <v>0</v>
      </c>
      <c r="U265" s="5" cm="1">
        <f t="array" ref="U265">MAX(IF((DiscreteStatsTable[GroupByKey]=DiscreteStatsTable[[#This Row],[GroupByKey]]),(DiscreteStatsTable[GroupByKey]=DiscreteStatsTable[[#This Row],[GroupByKey]])*DiscreteStatsTable[Maximum]))</f>
        <v>6.7563093676697896</v>
      </c>
      <c r="V265" s="5" cm="1">
        <f t="array" ref="V265">IFERROR(AVERAGE(IF((DiscreteStatsTable[GroupByKey]=DiscreteStatsTable[[#This Row],[GroupByKey]]),(DiscreteStatsTable[GroupByKey]=DiscreteStatsTable[[#This Row],[GroupByKey]])*DiscreteStatsTable[NumberObservations])),0)</f>
        <v>3.62</v>
      </c>
      <c r="W265" s="5">
        <f>IF((DiscreteStatsTable[[#This Row],[RepsRequested]]&gt;1),DiscreteStatsTable[[#This Row],[HalfWidth]],DiscreteStatsTable[[#This Row],[BatchMeansHalfWidth]])</f>
        <v>0.2554017613968404</v>
      </c>
      <c r="X265" s="5" cm="1">
        <f t="array" ref="X265">COUNT(IF((DiscreteStatsTable[GroupByKey]=DiscreteStatsTable[[#This Row],[GroupByKey]]),(DiscreteStatsTable[GroupByKey]=DiscreteStatsTable[[#This Row],[GroupByKey]])*DiscreteStatsTable[Replication]))</f>
        <v>50</v>
      </c>
      <c r="Y265" s="5">
        <f>IF(DiscreteStatsTable[[#This Row],[RepsRequested]]=DiscreteStatsTable[[#This Row],[RepsWithStatObserved]],1,0)</f>
        <v>1</v>
      </c>
    </row>
    <row r="266" spans="1:25" x14ac:dyDescent="0.35">
      <c r="A266" t="s">
        <v>66</v>
      </c>
      <c r="B266" t="s">
        <v>69</v>
      </c>
      <c r="C266">
        <v>45</v>
      </c>
      <c r="D266" t="s">
        <v>70</v>
      </c>
      <c r="E266" t="s">
        <v>71</v>
      </c>
      <c r="F266" t="s">
        <v>72</v>
      </c>
      <c r="G266">
        <v>0</v>
      </c>
      <c r="H266">
        <v>2E+20</v>
      </c>
      <c r="I266">
        <v>0</v>
      </c>
      <c r="J266">
        <v>0</v>
      </c>
      <c r="K266">
        <v>4</v>
      </c>
      <c r="L266" s="5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266" s="5" cm="1">
        <f t="array" ref="M266">MAX(IF((ProjectInfoTable[ProjectName]=DiscreteStatsTable[[#This Row],[ProjectName]]),(ProjectInfoTable[ProjectName]=DiscreteStatsTable[[#This Row],[ProjectName]])*ProjectInfoTable[NumberOfReplications]))</f>
        <v>50</v>
      </c>
      <c r="N266" s="5" cm="1">
        <f t="array" ref="N266">IFERROR(AVERAGE(IF((DiscreteStatsTable[GroupByKey]=DiscreteStatsTable[[#This Row],[GroupByKey]]),(DiscreteStatsTable[GroupByKey]=DiscreteStatsTable[[#This Row],[GroupByKey]])*DiscreteStatsTable[Average])),0)</f>
        <v>0</v>
      </c>
      <c r="O266" s="5" cm="1">
        <f t="array" ref="O266">IFERROR(_xlfn.STDEV.S(IF((DiscreteStatsTable[GroupByKey]=DiscreteStatsTable[[#This Row],[GroupByKey]]),(DiscreteStatsTable[GroupByKey]=DiscreteStatsTable[[#This Row],[GroupByKey]])*DiscreteStatsTable[Average])),0)</f>
        <v>0</v>
      </c>
      <c r="P266" s="5" cm="1">
        <f t="array" ref="P266">MAX(IF((ProjectInfoTable[ProjectName]=DiscreteStatsTable[[#This Row],[ProjectName]]),(ProjectInfoTable[ProjectName]=DiscreteStatsTable[[#This Row],[ProjectName]])*ProjectInfoTable[ConfidenceInterval]))</f>
        <v>0.95</v>
      </c>
      <c r="Q266" s="5">
        <f>IF(AND(DiscreteStatsTable[[#This Row],[RepsWithStatObserved]]=1,Y266=0),200000000000000000000,IFERROR(_xlfn.T.INV.2T(1 -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6" s="5" cm="1">
        <f t="array" ref="R266">MIN(IF((DiscreteStatsTable[GroupByKey]=DiscreteStatsTable[[#This Row],[GroupByKey]]),(DiscreteStatsTable[GroupByKey]=DiscreteStatsTable[[#This Row],[GroupByKey]])*DiscreteStatsTable[Average]))</f>
        <v>0</v>
      </c>
      <c r="S266" s="5" cm="1">
        <f t="array" ref="S266">MAX(IF((DiscreteStatsTable[GroupByKey]=DiscreteStatsTable[[#This Row],[GroupByKey]]),(DiscreteStatsTable[GroupByKey]=DiscreteStatsTable[[#This Row],[GroupByKey]])*DiscreteStatsTable[Average]))</f>
        <v>0</v>
      </c>
      <c r="T266" s="5" cm="1">
        <f t="array" ref="T266">MIN(IF((DiscreteStatsTable[GroupByKey]=DiscreteStatsTable[[#This Row],[GroupByKey]]),(DiscreteStatsTable[GroupByKey]=DiscreteStatsTable[[#This Row],[GroupByKey]])*DiscreteStatsTable[Minimum]))</f>
        <v>0</v>
      </c>
      <c r="U266" s="5" cm="1">
        <f t="array" ref="U266">MAX(IF((DiscreteStatsTable[GroupByKey]=DiscreteStatsTable[[#This Row],[GroupByKey]]),(DiscreteStatsTable[GroupByKey]=DiscreteStatsTable[[#This Row],[GroupByKey]])*DiscreteStatsTable[Maximum]))</f>
        <v>0</v>
      </c>
      <c r="V266" s="5" cm="1">
        <f t="array" ref="V266">IFERROR(AVERAGE(IF((DiscreteStatsTable[GroupByKey]=DiscreteStatsTable[[#This Row],[GroupByKey]]),(DiscreteStatsTable[GroupByKey]=DiscreteStatsTable[[#This Row],[GroupByKey]])*DiscreteStatsTable[NumberObservations])),0)</f>
        <v>3.62</v>
      </c>
      <c r="W266" s="5">
        <f>IF((DiscreteStatsTable[[#This Row],[RepsRequested]]&gt;1),DiscreteStatsTable[[#This Row],[HalfWidth]],DiscreteStatsTable[[#This Row],[BatchMeansHalfWidth]])</f>
        <v>0</v>
      </c>
      <c r="X266" s="5" cm="1">
        <f t="array" ref="X266">COUNT(IF((DiscreteStatsTable[GroupByKey]=DiscreteStatsTable[[#This Row],[GroupByKey]]),(DiscreteStatsTable[GroupByKey]=DiscreteStatsTable[[#This Row],[GroupByKey]])*DiscreteStatsTable[Replication]))</f>
        <v>50</v>
      </c>
      <c r="Y266" s="5">
        <f>IF(DiscreteStatsTable[[#This Row],[RepsRequested]]=DiscreteStatsTable[[#This Row],[RepsWithStatObserved]],1,0)</f>
        <v>1</v>
      </c>
    </row>
    <row r="267" spans="1:25" x14ac:dyDescent="0.35">
      <c r="A267" t="s">
        <v>66</v>
      </c>
      <c r="B267" t="s">
        <v>69</v>
      </c>
      <c r="C267">
        <v>45</v>
      </c>
      <c r="D267" t="s">
        <v>70</v>
      </c>
      <c r="E267" t="s">
        <v>73</v>
      </c>
      <c r="F267" t="s">
        <v>72</v>
      </c>
      <c r="G267">
        <v>0</v>
      </c>
      <c r="H267">
        <v>2E+20</v>
      </c>
      <c r="I267">
        <v>0</v>
      </c>
      <c r="J267">
        <v>0</v>
      </c>
      <c r="K267">
        <v>4</v>
      </c>
      <c r="L267" s="5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267" s="5" cm="1">
        <f t="array" ref="M267">MAX(IF((ProjectInfoTable[ProjectName]=DiscreteStatsTable[[#This Row],[ProjectName]]),(ProjectInfoTable[ProjectName]=DiscreteStatsTable[[#This Row],[ProjectName]])*ProjectInfoTable[NumberOfReplications]))</f>
        <v>50</v>
      </c>
      <c r="N267" s="5" cm="1">
        <f t="array" ref="N267">IFERROR(AVERAGE(IF((DiscreteStatsTable[GroupByKey]=DiscreteStatsTable[[#This Row],[GroupByKey]]),(DiscreteStatsTable[GroupByKey]=DiscreteStatsTable[[#This Row],[GroupByKey]])*DiscreteStatsTable[Average])),0)</f>
        <v>0</v>
      </c>
      <c r="O267" s="5" cm="1">
        <f t="array" ref="O267">IFERROR(_xlfn.STDEV.S(IF((DiscreteStatsTable[GroupByKey]=DiscreteStatsTable[[#This Row],[GroupByKey]]),(DiscreteStatsTable[GroupByKey]=DiscreteStatsTable[[#This Row],[GroupByKey]])*DiscreteStatsTable[Average])),0)</f>
        <v>0</v>
      </c>
      <c r="P267" s="5" cm="1">
        <f t="array" ref="P267">MAX(IF((ProjectInfoTable[ProjectName]=DiscreteStatsTable[[#This Row],[ProjectName]]),(ProjectInfoTable[ProjectName]=DiscreteStatsTable[[#This Row],[ProjectName]])*ProjectInfoTable[ConfidenceInterval]))</f>
        <v>0.95</v>
      </c>
      <c r="Q267" s="5">
        <f>IF(AND(DiscreteStatsTable[[#This Row],[RepsWithStatObserved]]=1,Y267=0),200000000000000000000,IFERROR(_xlfn.T.INV.2T(1 -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7" s="5" cm="1">
        <f t="array" ref="R267">MIN(IF((DiscreteStatsTable[GroupByKey]=DiscreteStatsTable[[#This Row],[GroupByKey]]),(DiscreteStatsTable[GroupByKey]=DiscreteStatsTable[[#This Row],[GroupByKey]])*DiscreteStatsTable[Average]))</f>
        <v>0</v>
      </c>
      <c r="S267" s="5" cm="1">
        <f t="array" ref="S267">MAX(IF((DiscreteStatsTable[GroupByKey]=DiscreteStatsTable[[#This Row],[GroupByKey]]),(DiscreteStatsTable[GroupByKey]=DiscreteStatsTable[[#This Row],[GroupByKey]])*DiscreteStatsTable[Average]))</f>
        <v>0</v>
      </c>
      <c r="T267" s="5" cm="1">
        <f t="array" ref="T267">MIN(IF((DiscreteStatsTable[GroupByKey]=DiscreteStatsTable[[#This Row],[GroupByKey]]),(DiscreteStatsTable[GroupByKey]=DiscreteStatsTable[[#This Row],[GroupByKey]])*DiscreteStatsTable[Minimum]))</f>
        <v>0</v>
      </c>
      <c r="U267" s="5" cm="1">
        <f t="array" ref="U267">MAX(IF((DiscreteStatsTable[GroupByKey]=DiscreteStatsTable[[#This Row],[GroupByKey]]),(DiscreteStatsTable[GroupByKey]=DiscreteStatsTable[[#This Row],[GroupByKey]])*DiscreteStatsTable[Maximum]))</f>
        <v>0</v>
      </c>
      <c r="V267" s="5" cm="1">
        <f t="array" ref="V267">IFERROR(AVERAGE(IF((DiscreteStatsTable[GroupByKey]=DiscreteStatsTable[[#This Row],[GroupByKey]]),(DiscreteStatsTable[GroupByKey]=DiscreteStatsTable[[#This Row],[GroupByKey]])*DiscreteStatsTable[NumberObservations])),0)</f>
        <v>3.62</v>
      </c>
      <c r="W267" s="5">
        <f>IF((DiscreteStatsTable[[#This Row],[RepsRequested]]&gt;1),DiscreteStatsTable[[#This Row],[HalfWidth]],DiscreteStatsTable[[#This Row],[BatchMeansHalfWidth]])</f>
        <v>0</v>
      </c>
      <c r="X267" s="5" cm="1">
        <f t="array" ref="X267">COUNT(IF((DiscreteStatsTable[GroupByKey]=DiscreteStatsTable[[#This Row],[GroupByKey]]),(DiscreteStatsTable[GroupByKey]=DiscreteStatsTable[[#This Row],[GroupByKey]])*DiscreteStatsTable[Replication]))</f>
        <v>50</v>
      </c>
      <c r="Y267" s="5">
        <f>IF(DiscreteStatsTable[[#This Row],[RepsRequested]]=DiscreteStatsTable[[#This Row],[RepsWithStatObserved]],1,0)</f>
        <v>1</v>
      </c>
    </row>
    <row r="268" spans="1:25" x14ac:dyDescent="0.35">
      <c r="A268" t="s">
        <v>66</v>
      </c>
      <c r="B268" t="s">
        <v>69</v>
      </c>
      <c r="C268">
        <v>45</v>
      </c>
      <c r="D268" t="s">
        <v>70</v>
      </c>
      <c r="E268" t="s">
        <v>74</v>
      </c>
      <c r="F268" t="s">
        <v>72</v>
      </c>
      <c r="G268">
        <v>1.9281957109906001</v>
      </c>
      <c r="H268">
        <v>2E+20</v>
      </c>
      <c r="I268">
        <v>1.60797792817441</v>
      </c>
      <c r="J268">
        <v>2.0934698676386798</v>
      </c>
      <c r="K268">
        <v>4</v>
      </c>
      <c r="L268" s="5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268" s="5" cm="1">
        <f t="array" ref="M268">MAX(IF((ProjectInfoTable[ProjectName]=DiscreteStatsTable[[#This Row],[ProjectName]]),(ProjectInfoTable[ProjectName]=DiscreteStatsTable[[#This Row],[ProjectName]])*ProjectInfoTable[NumberOfReplications]))</f>
        <v>50</v>
      </c>
      <c r="N268" s="5" cm="1">
        <f t="array" ref="N268">IFERROR(AVERAGE(IF((DiscreteStatsTable[GroupByKey]=DiscreteStatsTable[[#This Row],[GroupByKey]]),(DiscreteStatsTable[GroupByKey]=DiscreteStatsTable[[#This Row],[GroupByKey]])*DiscreteStatsTable[Average])),0)</f>
        <v>3.5363894499532775</v>
      </c>
      <c r="O268" s="5" cm="1">
        <f t="array" ref="O268">IFERROR(_xlfn.STDEV.S(IF((DiscreteStatsTable[GroupByKey]=DiscreteStatsTable[[#This Row],[GroupByKey]]),(DiscreteStatsTable[GroupByKey]=DiscreteStatsTable[[#This Row],[GroupByKey]])*DiscreteStatsTable[Average])),0)</f>
        <v>1.1766434570133149</v>
      </c>
      <c r="P268" s="5" cm="1">
        <f t="array" ref="P268">MAX(IF((ProjectInfoTable[ProjectName]=DiscreteStatsTable[[#This Row],[ProjectName]]),(ProjectInfoTable[ProjectName]=DiscreteStatsTable[[#This Row],[ProjectName]])*ProjectInfoTable[ConfidenceInterval]))</f>
        <v>0.95</v>
      </c>
      <c r="Q268" s="5">
        <f>IF(AND(DiscreteStatsTable[[#This Row],[RepsWithStatObserved]]=1,Y268=0),200000000000000000000,IFERROR(_xlfn.T.INV.2T(1 -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0.33439837052280896</v>
      </c>
      <c r="R268" s="5" cm="1">
        <f t="array" ref="R268">MIN(IF((DiscreteStatsTable[GroupByKey]=DiscreteStatsTable[[#This Row],[GroupByKey]]),(DiscreteStatsTable[GroupByKey]=DiscreteStatsTable[[#This Row],[GroupByKey]])*DiscreteStatsTable[Average]))</f>
        <v>1.6342264652107701</v>
      </c>
      <c r="S268" s="5" cm="1">
        <f t="array" ref="S268">MAX(IF((DiscreteStatsTable[GroupByKey]=DiscreteStatsTable[[#This Row],[GroupByKey]]),(DiscreteStatsTable[GroupByKey]=DiscreteStatsTable[[#This Row],[GroupByKey]])*DiscreteStatsTable[Average]))</f>
        <v>6.5527373550837904</v>
      </c>
      <c r="T268" s="5" cm="1">
        <f t="array" ref="T268">MIN(IF((DiscreteStatsTable[GroupByKey]=DiscreteStatsTable[[#This Row],[GroupByKey]]),(DiscreteStatsTable[GroupByKey]=DiscreteStatsTable[[#This Row],[GroupByKey]])*DiscreteStatsTable[Minimum]))</f>
        <v>0.58847912081681497</v>
      </c>
      <c r="U268" s="5" cm="1">
        <f t="array" ref="U268">MAX(IF((DiscreteStatsTable[GroupByKey]=DiscreteStatsTable[[#This Row],[GroupByKey]]),(DiscreteStatsTable[GroupByKey]=DiscreteStatsTable[[#This Row],[GroupByKey]])*DiscreteStatsTable[Maximum]))</f>
        <v>8.7476494546828292</v>
      </c>
      <c r="V268" s="5" cm="1">
        <f t="array" ref="V268">IFERROR(AVERAGE(IF((DiscreteStatsTable[GroupByKey]=DiscreteStatsTable[[#This Row],[GroupByKey]]),(DiscreteStatsTable[GroupByKey]=DiscreteStatsTable[[#This Row],[GroupByKey]])*DiscreteStatsTable[NumberObservations])),0)</f>
        <v>3.62</v>
      </c>
      <c r="W268" s="5">
        <f>IF((DiscreteStatsTable[[#This Row],[RepsRequested]]&gt;1),DiscreteStatsTable[[#This Row],[HalfWidth]],DiscreteStatsTable[[#This Row],[BatchMeansHalfWidth]])</f>
        <v>0.33439837052280896</v>
      </c>
      <c r="X268" s="5" cm="1">
        <f t="array" ref="X268">COUNT(IF((DiscreteStatsTable[GroupByKey]=DiscreteStatsTable[[#This Row],[GroupByKey]]),(DiscreteStatsTable[GroupByKey]=DiscreteStatsTable[[#This Row],[GroupByKey]])*DiscreteStatsTable[Replication]))</f>
        <v>50</v>
      </c>
      <c r="Y268" s="5">
        <f>IF(DiscreteStatsTable[[#This Row],[RepsRequested]]=DiscreteStatsTable[[#This Row],[RepsWithStatObserved]],1,0)</f>
        <v>1</v>
      </c>
    </row>
    <row r="269" spans="1:25" x14ac:dyDescent="0.35">
      <c r="A269" t="s">
        <v>66</v>
      </c>
      <c r="B269" t="s">
        <v>69</v>
      </c>
      <c r="C269">
        <v>45</v>
      </c>
      <c r="D269" t="s">
        <v>70</v>
      </c>
      <c r="E269" t="s">
        <v>75</v>
      </c>
      <c r="F269" t="s">
        <v>72</v>
      </c>
      <c r="G269">
        <v>0</v>
      </c>
      <c r="H269">
        <v>2E+20</v>
      </c>
      <c r="I269">
        <v>0</v>
      </c>
      <c r="J269">
        <v>0</v>
      </c>
      <c r="K269">
        <v>4</v>
      </c>
      <c r="L269" s="5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269" s="5" cm="1">
        <f t="array" ref="M269">MAX(IF((ProjectInfoTable[ProjectName]=DiscreteStatsTable[[#This Row],[ProjectName]]),(ProjectInfoTable[ProjectName]=DiscreteStatsTable[[#This Row],[ProjectName]])*ProjectInfoTable[NumberOfReplications]))</f>
        <v>50</v>
      </c>
      <c r="N269" s="5" cm="1">
        <f t="array" ref="N269">IFERROR(AVERAGE(IF((DiscreteStatsTable[GroupByKey]=DiscreteStatsTable[[#This Row],[GroupByKey]]),(DiscreteStatsTable[GroupByKey]=DiscreteStatsTable[[#This Row],[GroupByKey]])*DiscreteStatsTable[Average])),0)</f>
        <v>0</v>
      </c>
      <c r="O269" s="5" cm="1">
        <f t="array" ref="O269">IFERROR(_xlfn.STDEV.S(IF((DiscreteStatsTable[GroupByKey]=DiscreteStatsTable[[#This Row],[GroupByKey]]),(DiscreteStatsTable[GroupByKey]=DiscreteStatsTable[[#This Row],[GroupByKey]])*DiscreteStatsTable[Average])),0)</f>
        <v>0</v>
      </c>
      <c r="P269" s="5" cm="1">
        <f t="array" ref="P269">MAX(IF((ProjectInfoTable[ProjectName]=DiscreteStatsTable[[#This Row],[ProjectName]]),(ProjectInfoTable[ProjectName]=DiscreteStatsTable[[#This Row],[ProjectName]])*ProjectInfoTable[ConfidenceInterval]))</f>
        <v>0.95</v>
      </c>
      <c r="Q269" s="5">
        <f>IF(AND(DiscreteStatsTable[[#This Row],[RepsWithStatObserved]]=1,Y269=0),200000000000000000000,IFERROR(_xlfn.T.INV.2T(1 -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9" s="5" cm="1">
        <f t="array" ref="R269">MIN(IF((DiscreteStatsTable[GroupByKey]=DiscreteStatsTable[[#This Row],[GroupByKey]]),(DiscreteStatsTable[GroupByKey]=DiscreteStatsTable[[#This Row],[GroupByKey]])*DiscreteStatsTable[Average]))</f>
        <v>0</v>
      </c>
      <c r="S269" s="5" cm="1">
        <f t="array" ref="S269">MAX(IF((DiscreteStatsTable[GroupByKey]=DiscreteStatsTable[[#This Row],[GroupByKey]]),(DiscreteStatsTable[GroupByKey]=DiscreteStatsTable[[#This Row],[GroupByKey]])*DiscreteStatsTable[Average]))</f>
        <v>0</v>
      </c>
      <c r="T269" s="5" cm="1">
        <f t="array" ref="T269">MIN(IF((DiscreteStatsTable[GroupByKey]=DiscreteStatsTable[[#This Row],[GroupByKey]]),(DiscreteStatsTable[GroupByKey]=DiscreteStatsTable[[#This Row],[GroupByKey]])*DiscreteStatsTable[Minimum]))</f>
        <v>0</v>
      </c>
      <c r="U269" s="5" cm="1">
        <f t="array" ref="U269">MAX(IF((DiscreteStatsTable[GroupByKey]=DiscreteStatsTable[[#This Row],[GroupByKey]]),(DiscreteStatsTable[GroupByKey]=DiscreteStatsTable[[#This Row],[GroupByKey]])*DiscreteStatsTable[Maximum]))</f>
        <v>0</v>
      </c>
      <c r="V269" s="5" cm="1">
        <f t="array" ref="V269">IFERROR(AVERAGE(IF((DiscreteStatsTable[GroupByKey]=DiscreteStatsTable[[#This Row],[GroupByKey]]),(DiscreteStatsTable[GroupByKey]=DiscreteStatsTable[[#This Row],[GroupByKey]])*DiscreteStatsTable[NumberObservations])),0)</f>
        <v>3.62</v>
      </c>
      <c r="W269" s="5">
        <f>IF((DiscreteStatsTable[[#This Row],[RepsRequested]]&gt;1),DiscreteStatsTable[[#This Row],[HalfWidth]],DiscreteStatsTable[[#This Row],[BatchMeansHalfWidth]])</f>
        <v>0</v>
      </c>
      <c r="X269" s="5" cm="1">
        <f t="array" ref="X269">COUNT(IF((DiscreteStatsTable[GroupByKey]=DiscreteStatsTable[[#This Row],[GroupByKey]]),(DiscreteStatsTable[GroupByKey]=DiscreteStatsTable[[#This Row],[GroupByKey]])*DiscreteStatsTable[Replication]))</f>
        <v>50</v>
      </c>
      <c r="Y269" s="5">
        <f>IF(DiscreteStatsTable[[#This Row],[RepsRequested]]=DiscreteStatsTable[[#This Row],[RepsWithStatObserved]],1,0)</f>
        <v>1</v>
      </c>
    </row>
    <row r="270" spans="1:25" x14ac:dyDescent="0.35">
      <c r="A270" t="s">
        <v>66</v>
      </c>
      <c r="B270" t="s">
        <v>69</v>
      </c>
      <c r="C270">
        <v>45</v>
      </c>
      <c r="D270" t="s">
        <v>70</v>
      </c>
      <c r="E270" t="s">
        <v>76</v>
      </c>
      <c r="F270" t="s">
        <v>72</v>
      </c>
      <c r="G270">
        <v>1.5488517165249001</v>
      </c>
      <c r="H270">
        <v>2E+20</v>
      </c>
      <c r="I270">
        <v>0.94283220156538305</v>
      </c>
      <c r="J270">
        <v>2.0903181671053401</v>
      </c>
      <c r="K270">
        <v>4</v>
      </c>
      <c r="L270" s="5" t="str">
        <f>DiscreteStatsTable[[#This Row],[ProjectName]]&amp;DiscreteStatsTable[[#This Row],[Name]]&amp;DiscreteStatsTable[[#This Row],[Type]]&amp;DiscreteStatsTable[[#This Row],[Source]]</f>
        <v>Unnamed ProjectArquivosVA TimeEntity</v>
      </c>
      <c r="M270" s="5" cm="1">
        <f t="array" ref="M270">MAX(IF((ProjectInfoTable[ProjectName]=DiscreteStatsTable[[#This Row],[ProjectName]]),(ProjectInfoTable[ProjectName]=DiscreteStatsTable[[#This Row],[ProjectName]])*ProjectInfoTable[NumberOfReplications]))</f>
        <v>50</v>
      </c>
      <c r="N270" s="5" cm="1">
        <f t="array" ref="N270">IFERROR(AVERAGE(IF((DiscreteStatsTable[GroupByKey]=DiscreteStatsTable[[#This Row],[GroupByKey]]),(DiscreteStatsTable[GroupByKey]=DiscreteStatsTable[[#This Row],[GroupByKey]])*DiscreteStatsTable[Average])),0)</f>
        <v>2.3123810058270009</v>
      </c>
      <c r="O270" s="5" cm="1">
        <f t="array" ref="O270">IFERROR(_xlfn.STDEV.S(IF((DiscreteStatsTable[GroupByKey]=DiscreteStatsTable[[#This Row],[GroupByKey]]),(DiscreteStatsTable[GroupByKey]=DiscreteStatsTable[[#This Row],[GroupByKey]])*DiscreteStatsTable[Average])),0)</f>
        <v>0.47735516285795621</v>
      </c>
      <c r="P270" s="5" cm="1">
        <f t="array" ref="P270">MAX(IF((ProjectInfoTable[ProjectName]=DiscreteStatsTable[[#This Row],[ProjectName]]),(ProjectInfoTable[ProjectName]=DiscreteStatsTable[[#This Row],[ProjectName]])*ProjectInfoTable[ConfidenceInterval]))</f>
        <v>0.95</v>
      </c>
      <c r="Q270" s="5">
        <f>IF(AND(DiscreteStatsTable[[#This Row],[RepsWithStatObserved]]=1,Y270=0),200000000000000000000,IFERROR(_xlfn.T.INV.2T(1 -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0.13566283623888314</v>
      </c>
      <c r="R270" s="5" cm="1">
        <f t="array" ref="R270">MIN(IF((DiscreteStatsTable[GroupByKey]=DiscreteStatsTable[[#This Row],[GroupByKey]]),(DiscreteStatsTable[GroupByKey]=DiscreteStatsTable[[#This Row],[GroupByKey]])*DiscreteStatsTable[Average]))</f>
        <v>1.3773415743205399</v>
      </c>
      <c r="S270" s="5" cm="1">
        <f t="array" ref="S270">MAX(IF((DiscreteStatsTable[GroupByKey]=DiscreteStatsTable[[#This Row],[GroupByKey]]),(DiscreteStatsTable[GroupByKey]=DiscreteStatsTable[[#This Row],[GroupByKey]])*DiscreteStatsTable[Average]))</f>
        <v>3.3139161730180202</v>
      </c>
      <c r="T270" s="5" cm="1">
        <f t="array" ref="T270">MIN(IF((DiscreteStatsTable[GroupByKey]=DiscreteStatsTable[[#This Row],[GroupByKey]]),(DiscreteStatsTable[GroupByKey]=DiscreteStatsTable[[#This Row],[GroupByKey]])*DiscreteStatsTable[Minimum]))</f>
        <v>0.58847912081681497</v>
      </c>
      <c r="U270" s="5" cm="1">
        <f t="array" ref="U270">MAX(IF((DiscreteStatsTable[GroupByKey]=DiscreteStatsTable[[#This Row],[GroupByKey]]),(DiscreteStatsTable[GroupByKey]=DiscreteStatsTable[[#This Row],[GroupByKey]])*DiscreteStatsTable[Maximum]))</f>
        <v>4.9756405925629998</v>
      </c>
      <c r="V270" s="5" cm="1">
        <f t="array" ref="V270">IFERROR(AVERAGE(IF((DiscreteStatsTable[GroupByKey]=DiscreteStatsTable[[#This Row],[GroupByKey]]),(DiscreteStatsTable[GroupByKey]=DiscreteStatsTable[[#This Row],[GroupByKey]])*DiscreteStatsTable[NumberObservations])),0)</f>
        <v>3.62</v>
      </c>
      <c r="W270" s="5">
        <f>IF((DiscreteStatsTable[[#This Row],[RepsRequested]]&gt;1),DiscreteStatsTable[[#This Row],[HalfWidth]],DiscreteStatsTable[[#This Row],[BatchMeansHalfWidth]])</f>
        <v>0.13566283623888314</v>
      </c>
      <c r="X270" s="5" cm="1">
        <f t="array" ref="X270">COUNT(IF((DiscreteStatsTable[GroupByKey]=DiscreteStatsTable[[#This Row],[GroupByKey]]),(DiscreteStatsTable[GroupByKey]=DiscreteStatsTable[[#This Row],[GroupByKey]])*DiscreteStatsTable[Replication]))</f>
        <v>50</v>
      </c>
      <c r="Y270" s="5">
        <f>IF(DiscreteStatsTable[[#This Row],[RepsRequested]]=DiscreteStatsTable[[#This Row],[RepsWithStatObserved]],1,0)</f>
        <v>1</v>
      </c>
    </row>
    <row r="271" spans="1:25" x14ac:dyDescent="0.35">
      <c r="A271" t="s">
        <v>66</v>
      </c>
      <c r="B271" t="s">
        <v>69</v>
      </c>
      <c r="C271">
        <v>45</v>
      </c>
      <c r="D271" t="s">
        <v>70</v>
      </c>
      <c r="E271" t="s">
        <v>77</v>
      </c>
      <c r="F271" t="s">
        <v>72</v>
      </c>
      <c r="G271">
        <v>0.379343994465693</v>
      </c>
      <c r="H271">
        <v>2E+20</v>
      </c>
      <c r="I271">
        <v>0</v>
      </c>
      <c r="J271">
        <v>1.1506376660733</v>
      </c>
      <c r="K271">
        <v>4</v>
      </c>
      <c r="L271" s="5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271" s="5" cm="1">
        <f t="array" ref="M271">MAX(IF((ProjectInfoTable[ProjectName]=DiscreteStatsTable[[#This Row],[ProjectName]]),(ProjectInfoTable[ProjectName]=DiscreteStatsTable[[#This Row],[ProjectName]])*ProjectInfoTable[NumberOfReplications]))</f>
        <v>50</v>
      </c>
      <c r="N271" s="5" cm="1">
        <f t="array" ref="N271">IFERROR(AVERAGE(IF((DiscreteStatsTable[GroupByKey]=DiscreteStatsTable[[#This Row],[GroupByKey]]),(DiscreteStatsTable[GroupByKey]=DiscreteStatsTable[[#This Row],[GroupByKey]])*DiscreteStatsTable[Average])),0)</f>
        <v>1.2240084441262762</v>
      </c>
      <c r="O271" s="5" cm="1">
        <f t="array" ref="O271">IFERROR(_xlfn.STDEV.S(IF((DiscreteStatsTable[GroupByKey]=DiscreteStatsTable[[#This Row],[GroupByKey]]),(DiscreteStatsTable[GroupByKey]=DiscreteStatsTable[[#This Row],[GroupByKey]])*DiscreteStatsTable[Average])),0)</f>
        <v>0.89867905452837749</v>
      </c>
      <c r="P271" s="5" cm="1">
        <f t="array" ref="P271">MAX(IF((ProjectInfoTable[ProjectName]=DiscreteStatsTable[[#This Row],[ProjectName]]),(ProjectInfoTable[ProjectName]=DiscreteStatsTable[[#This Row],[ProjectName]])*ProjectInfoTable[ConfidenceInterval]))</f>
        <v>0.95</v>
      </c>
      <c r="Q271" s="5">
        <f>IF(AND(DiscreteStatsTable[[#This Row],[RepsWithStatObserved]]=1,Y271=0),200000000000000000000,IFERROR(_xlfn.T.INV.2T(1 -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0.2554017613968404</v>
      </c>
      <c r="R271" s="5" cm="1">
        <f t="array" ref="R271">MIN(IF((DiscreteStatsTable[GroupByKey]=DiscreteStatsTable[[#This Row],[GroupByKey]]),(DiscreteStatsTable[GroupByKey]=DiscreteStatsTable[[#This Row],[GroupByKey]])*DiscreteStatsTable[Average]))</f>
        <v>0</v>
      </c>
      <c r="S271" s="5" cm="1">
        <f t="array" ref="S271">MAX(IF((DiscreteStatsTable[GroupByKey]=DiscreteStatsTable[[#This Row],[GroupByKey]]),(DiscreteStatsTable[GroupByKey]=DiscreteStatsTable[[#This Row],[GroupByKey]])*DiscreteStatsTable[Average]))</f>
        <v>3.4345522286517598</v>
      </c>
      <c r="T271" s="5" cm="1">
        <f t="array" ref="T271">MIN(IF((DiscreteStatsTable[GroupByKey]=DiscreteStatsTable[[#This Row],[GroupByKey]]),(DiscreteStatsTable[GroupByKey]=DiscreteStatsTable[[#This Row],[GroupByKey]])*DiscreteStatsTable[Minimum]))</f>
        <v>0</v>
      </c>
      <c r="U271" s="5" cm="1">
        <f t="array" ref="U271">MAX(IF((DiscreteStatsTable[GroupByKey]=DiscreteStatsTable[[#This Row],[GroupByKey]]),(DiscreteStatsTable[GroupByKey]=DiscreteStatsTable[[#This Row],[GroupByKey]])*DiscreteStatsTable[Maximum]))</f>
        <v>6.7563093676697896</v>
      </c>
      <c r="V271" s="5" cm="1">
        <f t="array" ref="V271">IFERROR(AVERAGE(IF((DiscreteStatsTable[GroupByKey]=DiscreteStatsTable[[#This Row],[GroupByKey]]),(DiscreteStatsTable[GroupByKey]=DiscreteStatsTable[[#This Row],[GroupByKey]])*DiscreteStatsTable[NumberObservations])),0)</f>
        <v>3.62</v>
      </c>
      <c r="W271" s="5">
        <f>IF((DiscreteStatsTable[[#This Row],[RepsRequested]]&gt;1),DiscreteStatsTable[[#This Row],[HalfWidth]],DiscreteStatsTable[[#This Row],[BatchMeansHalfWidth]])</f>
        <v>0.2554017613968404</v>
      </c>
      <c r="X271" s="5" cm="1">
        <f t="array" ref="X271">COUNT(IF((DiscreteStatsTable[GroupByKey]=DiscreteStatsTable[[#This Row],[GroupByKey]]),(DiscreteStatsTable[GroupByKey]=DiscreteStatsTable[[#This Row],[GroupByKey]])*DiscreteStatsTable[Replication]))</f>
        <v>50</v>
      </c>
      <c r="Y271" s="5">
        <f>IF(DiscreteStatsTable[[#This Row],[RepsRequested]]=DiscreteStatsTable[[#This Row],[RepsWithStatObserved]],1,0)</f>
        <v>1</v>
      </c>
    </row>
    <row r="272" spans="1:25" x14ac:dyDescent="0.35">
      <c r="A272" t="s">
        <v>66</v>
      </c>
      <c r="B272" t="s">
        <v>69</v>
      </c>
      <c r="C272">
        <v>46</v>
      </c>
      <c r="D272" t="s">
        <v>70</v>
      </c>
      <c r="E272" t="s">
        <v>71</v>
      </c>
      <c r="F272" t="s">
        <v>72</v>
      </c>
      <c r="G272">
        <v>0</v>
      </c>
      <c r="H272">
        <v>2E+20</v>
      </c>
      <c r="I272">
        <v>0</v>
      </c>
      <c r="J272">
        <v>0</v>
      </c>
      <c r="K272">
        <v>2</v>
      </c>
      <c r="L272" s="5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272" s="5" cm="1">
        <f t="array" ref="M272">MAX(IF((ProjectInfoTable[ProjectName]=DiscreteStatsTable[[#This Row],[ProjectName]]),(ProjectInfoTable[ProjectName]=DiscreteStatsTable[[#This Row],[ProjectName]])*ProjectInfoTable[NumberOfReplications]))</f>
        <v>50</v>
      </c>
      <c r="N272" s="5" cm="1">
        <f t="array" ref="N272">IFERROR(AVERAGE(IF((DiscreteStatsTable[GroupByKey]=DiscreteStatsTable[[#This Row],[GroupByKey]]),(DiscreteStatsTable[GroupByKey]=DiscreteStatsTable[[#This Row],[GroupByKey]])*DiscreteStatsTable[Average])),0)</f>
        <v>0</v>
      </c>
      <c r="O272" s="5" cm="1">
        <f t="array" ref="O272">IFERROR(_xlfn.STDEV.S(IF((DiscreteStatsTable[GroupByKey]=DiscreteStatsTable[[#This Row],[GroupByKey]]),(DiscreteStatsTable[GroupByKey]=DiscreteStatsTable[[#This Row],[GroupByKey]])*DiscreteStatsTable[Average])),0)</f>
        <v>0</v>
      </c>
      <c r="P272" s="5" cm="1">
        <f t="array" ref="P272">MAX(IF((ProjectInfoTable[ProjectName]=DiscreteStatsTable[[#This Row],[ProjectName]]),(ProjectInfoTable[ProjectName]=DiscreteStatsTable[[#This Row],[ProjectName]])*ProjectInfoTable[ConfidenceInterval]))</f>
        <v>0.95</v>
      </c>
      <c r="Q272" s="5">
        <f>IF(AND(DiscreteStatsTable[[#This Row],[RepsWithStatObserved]]=1,Y272=0),200000000000000000000,IFERROR(_xlfn.T.INV.2T(1 -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2" s="5" cm="1">
        <f t="array" ref="R272">MIN(IF((DiscreteStatsTable[GroupByKey]=DiscreteStatsTable[[#This Row],[GroupByKey]]),(DiscreteStatsTable[GroupByKey]=DiscreteStatsTable[[#This Row],[GroupByKey]])*DiscreteStatsTable[Average]))</f>
        <v>0</v>
      </c>
      <c r="S272" s="5" cm="1">
        <f t="array" ref="S272">MAX(IF((DiscreteStatsTable[GroupByKey]=DiscreteStatsTable[[#This Row],[GroupByKey]]),(DiscreteStatsTable[GroupByKey]=DiscreteStatsTable[[#This Row],[GroupByKey]])*DiscreteStatsTable[Average]))</f>
        <v>0</v>
      </c>
      <c r="T272" s="5" cm="1">
        <f t="array" ref="T272">MIN(IF((DiscreteStatsTable[GroupByKey]=DiscreteStatsTable[[#This Row],[GroupByKey]]),(DiscreteStatsTable[GroupByKey]=DiscreteStatsTable[[#This Row],[GroupByKey]])*DiscreteStatsTable[Minimum]))</f>
        <v>0</v>
      </c>
      <c r="U272" s="5" cm="1">
        <f t="array" ref="U272">MAX(IF((DiscreteStatsTable[GroupByKey]=DiscreteStatsTable[[#This Row],[GroupByKey]]),(DiscreteStatsTable[GroupByKey]=DiscreteStatsTable[[#This Row],[GroupByKey]])*DiscreteStatsTable[Maximum]))</f>
        <v>0</v>
      </c>
      <c r="V272" s="5" cm="1">
        <f t="array" ref="V272">IFERROR(AVERAGE(IF((DiscreteStatsTable[GroupByKey]=DiscreteStatsTable[[#This Row],[GroupByKey]]),(DiscreteStatsTable[GroupByKey]=DiscreteStatsTable[[#This Row],[GroupByKey]])*DiscreteStatsTable[NumberObservations])),0)</f>
        <v>3.62</v>
      </c>
      <c r="W272" s="5">
        <f>IF((DiscreteStatsTable[[#This Row],[RepsRequested]]&gt;1),DiscreteStatsTable[[#This Row],[HalfWidth]],DiscreteStatsTable[[#This Row],[BatchMeansHalfWidth]])</f>
        <v>0</v>
      </c>
      <c r="X272" s="5" cm="1">
        <f t="array" ref="X272">COUNT(IF((DiscreteStatsTable[GroupByKey]=DiscreteStatsTable[[#This Row],[GroupByKey]]),(DiscreteStatsTable[GroupByKey]=DiscreteStatsTable[[#This Row],[GroupByKey]])*DiscreteStatsTable[Replication]))</f>
        <v>50</v>
      </c>
      <c r="Y272" s="5">
        <f>IF(DiscreteStatsTable[[#This Row],[RepsRequested]]=DiscreteStatsTable[[#This Row],[RepsWithStatObserved]],1,0)</f>
        <v>1</v>
      </c>
    </row>
    <row r="273" spans="1:25" x14ac:dyDescent="0.35">
      <c r="A273" t="s">
        <v>66</v>
      </c>
      <c r="B273" t="s">
        <v>69</v>
      </c>
      <c r="C273">
        <v>46</v>
      </c>
      <c r="D273" t="s">
        <v>70</v>
      </c>
      <c r="E273" t="s">
        <v>73</v>
      </c>
      <c r="F273" t="s">
        <v>72</v>
      </c>
      <c r="G273">
        <v>0</v>
      </c>
      <c r="H273">
        <v>2E+20</v>
      </c>
      <c r="I273">
        <v>0</v>
      </c>
      <c r="J273">
        <v>0</v>
      </c>
      <c r="K273">
        <v>2</v>
      </c>
      <c r="L273" s="5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273" s="5" cm="1">
        <f t="array" ref="M273">MAX(IF((ProjectInfoTable[ProjectName]=DiscreteStatsTable[[#This Row],[ProjectName]]),(ProjectInfoTable[ProjectName]=DiscreteStatsTable[[#This Row],[ProjectName]])*ProjectInfoTable[NumberOfReplications]))</f>
        <v>50</v>
      </c>
      <c r="N273" s="5" cm="1">
        <f t="array" ref="N273">IFERROR(AVERAGE(IF((DiscreteStatsTable[GroupByKey]=DiscreteStatsTable[[#This Row],[GroupByKey]]),(DiscreteStatsTable[GroupByKey]=DiscreteStatsTable[[#This Row],[GroupByKey]])*DiscreteStatsTable[Average])),0)</f>
        <v>0</v>
      </c>
      <c r="O273" s="5" cm="1">
        <f t="array" ref="O273">IFERROR(_xlfn.STDEV.S(IF((DiscreteStatsTable[GroupByKey]=DiscreteStatsTable[[#This Row],[GroupByKey]]),(DiscreteStatsTable[GroupByKey]=DiscreteStatsTable[[#This Row],[GroupByKey]])*DiscreteStatsTable[Average])),0)</f>
        <v>0</v>
      </c>
      <c r="P273" s="5" cm="1">
        <f t="array" ref="P273">MAX(IF((ProjectInfoTable[ProjectName]=DiscreteStatsTable[[#This Row],[ProjectName]]),(ProjectInfoTable[ProjectName]=DiscreteStatsTable[[#This Row],[ProjectName]])*ProjectInfoTable[ConfidenceInterval]))</f>
        <v>0.95</v>
      </c>
      <c r="Q273" s="5">
        <f>IF(AND(DiscreteStatsTable[[#This Row],[RepsWithStatObserved]]=1,Y273=0),200000000000000000000,IFERROR(_xlfn.T.INV.2T(1 -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3" s="5" cm="1">
        <f t="array" ref="R273">MIN(IF((DiscreteStatsTable[GroupByKey]=DiscreteStatsTable[[#This Row],[GroupByKey]]),(DiscreteStatsTable[GroupByKey]=DiscreteStatsTable[[#This Row],[GroupByKey]])*DiscreteStatsTable[Average]))</f>
        <v>0</v>
      </c>
      <c r="S273" s="5" cm="1">
        <f t="array" ref="S273">MAX(IF((DiscreteStatsTable[GroupByKey]=DiscreteStatsTable[[#This Row],[GroupByKey]]),(DiscreteStatsTable[GroupByKey]=DiscreteStatsTable[[#This Row],[GroupByKey]])*DiscreteStatsTable[Average]))</f>
        <v>0</v>
      </c>
      <c r="T273" s="5" cm="1">
        <f t="array" ref="T273">MIN(IF((DiscreteStatsTable[GroupByKey]=DiscreteStatsTable[[#This Row],[GroupByKey]]),(DiscreteStatsTable[GroupByKey]=DiscreteStatsTable[[#This Row],[GroupByKey]])*DiscreteStatsTable[Minimum]))</f>
        <v>0</v>
      </c>
      <c r="U273" s="5" cm="1">
        <f t="array" ref="U273">MAX(IF((DiscreteStatsTable[GroupByKey]=DiscreteStatsTable[[#This Row],[GroupByKey]]),(DiscreteStatsTable[GroupByKey]=DiscreteStatsTable[[#This Row],[GroupByKey]])*DiscreteStatsTable[Maximum]))</f>
        <v>0</v>
      </c>
      <c r="V273" s="5" cm="1">
        <f t="array" ref="V273">IFERROR(AVERAGE(IF((DiscreteStatsTable[GroupByKey]=DiscreteStatsTable[[#This Row],[GroupByKey]]),(DiscreteStatsTable[GroupByKey]=DiscreteStatsTable[[#This Row],[GroupByKey]])*DiscreteStatsTable[NumberObservations])),0)</f>
        <v>3.62</v>
      </c>
      <c r="W273" s="5">
        <f>IF((DiscreteStatsTable[[#This Row],[RepsRequested]]&gt;1),DiscreteStatsTable[[#This Row],[HalfWidth]],DiscreteStatsTable[[#This Row],[BatchMeansHalfWidth]])</f>
        <v>0</v>
      </c>
      <c r="X273" s="5" cm="1">
        <f t="array" ref="X273">COUNT(IF((DiscreteStatsTable[GroupByKey]=DiscreteStatsTable[[#This Row],[GroupByKey]]),(DiscreteStatsTable[GroupByKey]=DiscreteStatsTable[[#This Row],[GroupByKey]])*DiscreteStatsTable[Replication]))</f>
        <v>50</v>
      </c>
      <c r="Y273" s="5">
        <f>IF(DiscreteStatsTable[[#This Row],[RepsRequested]]=DiscreteStatsTable[[#This Row],[RepsWithStatObserved]],1,0)</f>
        <v>1</v>
      </c>
    </row>
    <row r="274" spans="1:25" x14ac:dyDescent="0.35">
      <c r="A274" t="s">
        <v>66</v>
      </c>
      <c r="B274" t="s">
        <v>69</v>
      </c>
      <c r="C274">
        <v>46</v>
      </c>
      <c r="D274" t="s">
        <v>70</v>
      </c>
      <c r="E274" t="s">
        <v>74</v>
      </c>
      <c r="F274" t="s">
        <v>72</v>
      </c>
      <c r="G274">
        <v>1.830458085661</v>
      </c>
      <c r="H274">
        <v>2E+20</v>
      </c>
      <c r="I274">
        <v>1.2333715273297601</v>
      </c>
      <c r="J274">
        <v>2.4275446439922299</v>
      </c>
      <c r="K274">
        <v>2</v>
      </c>
      <c r="L274" s="5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274" s="5" cm="1">
        <f t="array" ref="M274">MAX(IF((ProjectInfoTable[ProjectName]=DiscreteStatsTable[[#This Row],[ProjectName]]),(ProjectInfoTable[ProjectName]=DiscreteStatsTable[[#This Row],[ProjectName]])*ProjectInfoTable[NumberOfReplications]))</f>
        <v>50</v>
      </c>
      <c r="N274" s="5" cm="1">
        <f t="array" ref="N274">IFERROR(AVERAGE(IF((DiscreteStatsTable[GroupByKey]=DiscreteStatsTable[[#This Row],[GroupByKey]]),(DiscreteStatsTable[GroupByKey]=DiscreteStatsTable[[#This Row],[GroupByKey]])*DiscreteStatsTable[Average])),0)</f>
        <v>3.5363894499532775</v>
      </c>
      <c r="O274" s="5" cm="1">
        <f t="array" ref="O274">IFERROR(_xlfn.STDEV.S(IF((DiscreteStatsTable[GroupByKey]=DiscreteStatsTable[[#This Row],[GroupByKey]]),(DiscreteStatsTable[GroupByKey]=DiscreteStatsTable[[#This Row],[GroupByKey]])*DiscreteStatsTable[Average])),0)</f>
        <v>1.1766434570133149</v>
      </c>
      <c r="P274" s="5" cm="1">
        <f t="array" ref="P274">MAX(IF((ProjectInfoTable[ProjectName]=DiscreteStatsTable[[#This Row],[ProjectName]]),(ProjectInfoTable[ProjectName]=DiscreteStatsTable[[#This Row],[ProjectName]])*ProjectInfoTable[ConfidenceInterval]))</f>
        <v>0.95</v>
      </c>
      <c r="Q274" s="5">
        <f>IF(AND(DiscreteStatsTable[[#This Row],[RepsWithStatObserved]]=1,Y274=0),200000000000000000000,IFERROR(_xlfn.T.INV.2T(1 -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0.33439837052280896</v>
      </c>
      <c r="R274" s="5" cm="1">
        <f t="array" ref="R274">MIN(IF((DiscreteStatsTable[GroupByKey]=DiscreteStatsTable[[#This Row],[GroupByKey]]),(DiscreteStatsTable[GroupByKey]=DiscreteStatsTable[[#This Row],[GroupByKey]])*DiscreteStatsTable[Average]))</f>
        <v>1.6342264652107701</v>
      </c>
      <c r="S274" s="5" cm="1">
        <f t="array" ref="S274">MAX(IF((DiscreteStatsTable[GroupByKey]=DiscreteStatsTable[[#This Row],[GroupByKey]]),(DiscreteStatsTable[GroupByKey]=DiscreteStatsTable[[#This Row],[GroupByKey]])*DiscreteStatsTable[Average]))</f>
        <v>6.5527373550837904</v>
      </c>
      <c r="T274" s="5" cm="1">
        <f t="array" ref="T274">MIN(IF((DiscreteStatsTable[GroupByKey]=DiscreteStatsTable[[#This Row],[GroupByKey]]),(DiscreteStatsTable[GroupByKey]=DiscreteStatsTable[[#This Row],[GroupByKey]])*DiscreteStatsTable[Minimum]))</f>
        <v>0.58847912081681497</v>
      </c>
      <c r="U274" s="5" cm="1">
        <f t="array" ref="U274">MAX(IF((DiscreteStatsTable[GroupByKey]=DiscreteStatsTable[[#This Row],[GroupByKey]]),(DiscreteStatsTable[GroupByKey]=DiscreteStatsTable[[#This Row],[GroupByKey]])*DiscreteStatsTable[Maximum]))</f>
        <v>8.7476494546828292</v>
      </c>
      <c r="V274" s="5" cm="1">
        <f t="array" ref="V274">IFERROR(AVERAGE(IF((DiscreteStatsTable[GroupByKey]=DiscreteStatsTable[[#This Row],[GroupByKey]]),(DiscreteStatsTable[GroupByKey]=DiscreteStatsTable[[#This Row],[GroupByKey]])*DiscreteStatsTable[NumberObservations])),0)</f>
        <v>3.62</v>
      </c>
      <c r="W274" s="5">
        <f>IF((DiscreteStatsTable[[#This Row],[RepsRequested]]&gt;1),DiscreteStatsTable[[#This Row],[HalfWidth]],DiscreteStatsTable[[#This Row],[BatchMeansHalfWidth]])</f>
        <v>0.33439837052280896</v>
      </c>
      <c r="X274" s="5" cm="1">
        <f t="array" ref="X274">COUNT(IF((DiscreteStatsTable[GroupByKey]=DiscreteStatsTable[[#This Row],[GroupByKey]]),(DiscreteStatsTable[GroupByKey]=DiscreteStatsTable[[#This Row],[GroupByKey]])*DiscreteStatsTable[Replication]))</f>
        <v>50</v>
      </c>
      <c r="Y274" s="5">
        <f>IF(DiscreteStatsTable[[#This Row],[RepsRequested]]=DiscreteStatsTable[[#This Row],[RepsWithStatObserved]],1,0)</f>
        <v>1</v>
      </c>
    </row>
    <row r="275" spans="1:25" x14ac:dyDescent="0.35">
      <c r="A275" t="s">
        <v>66</v>
      </c>
      <c r="B275" t="s">
        <v>69</v>
      </c>
      <c r="C275">
        <v>46</v>
      </c>
      <c r="D275" t="s">
        <v>70</v>
      </c>
      <c r="E275" t="s">
        <v>75</v>
      </c>
      <c r="F275" t="s">
        <v>72</v>
      </c>
      <c r="G275">
        <v>0</v>
      </c>
      <c r="H275">
        <v>2E+20</v>
      </c>
      <c r="I275">
        <v>0</v>
      </c>
      <c r="J275">
        <v>0</v>
      </c>
      <c r="K275">
        <v>2</v>
      </c>
      <c r="L275" s="5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275" s="5" cm="1">
        <f t="array" ref="M275">MAX(IF((ProjectInfoTable[ProjectName]=DiscreteStatsTable[[#This Row],[ProjectName]]),(ProjectInfoTable[ProjectName]=DiscreteStatsTable[[#This Row],[ProjectName]])*ProjectInfoTable[NumberOfReplications]))</f>
        <v>50</v>
      </c>
      <c r="N275" s="5" cm="1">
        <f t="array" ref="N275">IFERROR(AVERAGE(IF((DiscreteStatsTable[GroupByKey]=DiscreteStatsTable[[#This Row],[GroupByKey]]),(DiscreteStatsTable[GroupByKey]=DiscreteStatsTable[[#This Row],[GroupByKey]])*DiscreteStatsTable[Average])),0)</f>
        <v>0</v>
      </c>
      <c r="O275" s="5" cm="1">
        <f t="array" ref="O275">IFERROR(_xlfn.STDEV.S(IF((DiscreteStatsTable[GroupByKey]=DiscreteStatsTable[[#This Row],[GroupByKey]]),(DiscreteStatsTable[GroupByKey]=DiscreteStatsTable[[#This Row],[GroupByKey]])*DiscreteStatsTable[Average])),0)</f>
        <v>0</v>
      </c>
      <c r="P275" s="5" cm="1">
        <f t="array" ref="P275">MAX(IF((ProjectInfoTable[ProjectName]=DiscreteStatsTable[[#This Row],[ProjectName]]),(ProjectInfoTable[ProjectName]=DiscreteStatsTable[[#This Row],[ProjectName]])*ProjectInfoTable[ConfidenceInterval]))</f>
        <v>0.95</v>
      </c>
      <c r="Q275" s="5">
        <f>IF(AND(DiscreteStatsTable[[#This Row],[RepsWithStatObserved]]=1,Y275=0),200000000000000000000,IFERROR(_xlfn.T.INV.2T(1 -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5" s="5" cm="1">
        <f t="array" ref="R275">MIN(IF((DiscreteStatsTable[GroupByKey]=DiscreteStatsTable[[#This Row],[GroupByKey]]),(DiscreteStatsTable[GroupByKey]=DiscreteStatsTable[[#This Row],[GroupByKey]])*DiscreteStatsTable[Average]))</f>
        <v>0</v>
      </c>
      <c r="S275" s="5" cm="1">
        <f t="array" ref="S275">MAX(IF((DiscreteStatsTable[GroupByKey]=DiscreteStatsTable[[#This Row],[GroupByKey]]),(DiscreteStatsTable[GroupByKey]=DiscreteStatsTable[[#This Row],[GroupByKey]])*DiscreteStatsTable[Average]))</f>
        <v>0</v>
      </c>
      <c r="T275" s="5" cm="1">
        <f t="array" ref="T275">MIN(IF((DiscreteStatsTable[GroupByKey]=DiscreteStatsTable[[#This Row],[GroupByKey]]),(DiscreteStatsTable[GroupByKey]=DiscreteStatsTable[[#This Row],[GroupByKey]])*DiscreteStatsTable[Minimum]))</f>
        <v>0</v>
      </c>
      <c r="U275" s="5" cm="1">
        <f t="array" ref="U275">MAX(IF((DiscreteStatsTable[GroupByKey]=DiscreteStatsTable[[#This Row],[GroupByKey]]),(DiscreteStatsTable[GroupByKey]=DiscreteStatsTable[[#This Row],[GroupByKey]])*DiscreteStatsTable[Maximum]))</f>
        <v>0</v>
      </c>
      <c r="V275" s="5" cm="1">
        <f t="array" ref="V275">IFERROR(AVERAGE(IF((DiscreteStatsTable[GroupByKey]=DiscreteStatsTable[[#This Row],[GroupByKey]]),(DiscreteStatsTable[GroupByKey]=DiscreteStatsTable[[#This Row],[GroupByKey]])*DiscreteStatsTable[NumberObservations])),0)</f>
        <v>3.62</v>
      </c>
      <c r="W275" s="5">
        <f>IF((DiscreteStatsTable[[#This Row],[RepsRequested]]&gt;1),DiscreteStatsTable[[#This Row],[HalfWidth]],DiscreteStatsTable[[#This Row],[BatchMeansHalfWidth]])</f>
        <v>0</v>
      </c>
      <c r="X275" s="5" cm="1">
        <f t="array" ref="X275">COUNT(IF((DiscreteStatsTable[GroupByKey]=DiscreteStatsTable[[#This Row],[GroupByKey]]),(DiscreteStatsTable[GroupByKey]=DiscreteStatsTable[[#This Row],[GroupByKey]])*DiscreteStatsTable[Replication]))</f>
        <v>50</v>
      </c>
      <c r="Y275" s="5">
        <f>IF(DiscreteStatsTable[[#This Row],[RepsRequested]]=DiscreteStatsTable[[#This Row],[RepsWithStatObserved]],1,0)</f>
        <v>1</v>
      </c>
    </row>
    <row r="276" spans="1:25" x14ac:dyDescent="0.35">
      <c r="A276" t="s">
        <v>66</v>
      </c>
      <c r="B276" t="s">
        <v>69</v>
      </c>
      <c r="C276">
        <v>46</v>
      </c>
      <c r="D276" t="s">
        <v>70</v>
      </c>
      <c r="E276" t="s">
        <v>76</v>
      </c>
      <c r="F276" t="s">
        <v>72</v>
      </c>
      <c r="G276">
        <v>1.830458085661</v>
      </c>
      <c r="H276">
        <v>2E+20</v>
      </c>
      <c r="I276">
        <v>1.2333715273297601</v>
      </c>
      <c r="J276">
        <v>2.4275446439922299</v>
      </c>
      <c r="K276">
        <v>2</v>
      </c>
      <c r="L276" s="5" t="str">
        <f>DiscreteStatsTable[[#This Row],[ProjectName]]&amp;DiscreteStatsTable[[#This Row],[Name]]&amp;DiscreteStatsTable[[#This Row],[Type]]&amp;DiscreteStatsTable[[#This Row],[Source]]</f>
        <v>Unnamed ProjectArquivosVA TimeEntity</v>
      </c>
      <c r="M276" s="5" cm="1">
        <f t="array" ref="M276">MAX(IF((ProjectInfoTable[ProjectName]=DiscreteStatsTable[[#This Row],[ProjectName]]),(ProjectInfoTable[ProjectName]=DiscreteStatsTable[[#This Row],[ProjectName]])*ProjectInfoTable[NumberOfReplications]))</f>
        <v>50</v>
      </c>
      <c r="N276" s="5" cm="1">
        <f t="array" ref="N276">IFERROR(AVERAGE(IF((DiscreteStatsTable[GroupByKey]=DiscreteStatsTable[[#This Row],[GroupByKey]]),(DiscreteStatsTable[GroupByKey]=DiscreteStatsTable[[#This Row],[GroupByKey]])*DiscreteStatsTable[Average])),0)</f>
        <v>2.3123810058270009</v>
      </c>
      <c r="O276" s="5" cm="1">
        <f t="array" ref="O276">IFERROR(_xlfn.STDEV.S(IF((DiscreteStatsTable[GroupByKey]=DiscreteStatsTable[[#This Row],[GroupByKey]]),(DiscreteStatsTable[GroupByKey]=DiscreteStatsTable[[#This Row],[GroupByKey]])*DiscreteStatsTable[Average])),0)</f>
        <v>0.47735516285795621</v>
      </c>
      <c r="P276" s="5" cm="1">
        <f t="array" ref="P276">MAX(IF((ProjectInfoTable[ProjectName]=DiscreteStatsTable[[#This Row],[ProjectName]]),(ProjectInfoTable[ProjectName]=DiscreteStatsTable[[#This Row],[ProjectName]])*ProjectInfoTable[ConfidenceInterval]))</f>
        <v>0.95</v>
      </c>
      <c r="Q276" s="5">
        <f>IF(AND(DiscreteStatsTable[[#This Row],[RepsWithStatObserved]]=1,Y276=0),200000000000000000000,IFERROR(_xlfn.T.INV.2T(1 -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0.13566283623888314</v>
      </c>
      <c r="R276" s="5" cm="1">
        <f t="array" ref="R276">MIN(IF((DiscreteStatsTable[GroupByKey]=DiscreteStatsTable[[#This Row],[GroupByKey]]),(DiscreteStatsTable[GroupByKey]=DiscreteStatsTable[[#This Row],[GroupByKey]])*DiscreteStatsTable[Average]))</f>
        <v>1.3773415743205399</v>
      </c>
      <c r="S276" s="5" cm="1">
        <f t="array" ref="S276">MAX(IF((DiscreteStatsTable[GroupByKey]=DiscreteStatsTable[[#This Row],[GroupByKey]]),(DiscreteStatsTable[GroupByKey]=DiscreteStatsTable[[#This Row],[GroupByKey]])*DiscreteStatsTable[Average]))</f>
        <v>3.3139161730180202</v>
      </c>
      <c r="T276" s="5" cm="1">
        <f t="array" ref="T276">MIN(IF((DiscreteStatsTable[GroupByKey]=DiscreteStatsTable[[#This Row],[GroupByKey]]),(DiscreteStatsTable[GroupByKey]=DiscreteStatsTable[[#This Row],[GroupByKey]])*DiscreteStatsTable[Minimum]))</f>
        <v>0.58847912081681497</v>
      </c>
      <c r="U276" s="5" cm="1">
        <f t="array" ref="U276">MAX(IF((DiscreteStatsTable[GroupByKey]=DiscreteStatsTable[[#This Row],[GroupByKey]]),(DiscreteStatsTable[GroupByKey]=DiscreteStatsTable[[#This Row],[GroupByKey]])*DiscreteStatsTable[Maximum]))</f>
        <v>4.9756405925629998</v>
      </c>
      <c r="V276" s="5" cm="1">
        <f t="array" ref="V276">IFERROR(AVERAGE(IF((DiscreteStatsTable[GroupByKey]=DiscreteStatsTable[[#This Row],[GroupByKey]]),(DiscreteStatsTable[GroupByKey]=DiscreteStatsTable[[#This Row],[GroupByKey]])*DiscreteStatsTable[NumberObservations])),0)</f>
        <v>3.62</v>
      </c>
      <c r="W276" s="5">
        <f>IF((DiscreteStatsTable[[#This Row],[RepsRequested]]&gt;1),DiscreteStatsTable[[#This Row],[HalfWidth]],DiscreteStatsTable[[#This Row],[BatchMeansHalfWidth]])</f>
        <v>0.13566283623888314</v>
      </c>
      <c r="X276" s="5" cm="1">
        <f t="array" ref="X276">COUNT(IF((DiscreteStatsTable[GroupByKey]=DiscreteStatsTable[[#This Row],[GroupByKey]]),(DiscreteStatsTable[GroupByKey]=DiscreteStatsTable[[#This Row],[GroupByKey]])*DiscreteStatsTable[Replication]))</f>
        <v>50</v>
      </c>
      <c r="Y276" s="5">
        <f>IF(DiscreteStatsTable[[#This Row],[RepsRequested]]=DiscreteStatsTable[[#This Row],[RepsWithStatObserved]],1,0)</f>
        <v>1</v>
      </c>
    </row>
    <row r="277" spans="1:25" x14ac:dyDescent="0.35">
      <c r="A277" t="s">
        <v>66</v>
      </c>
      <c r="B277" t="s">
        <v>69</v>
      </c>
      <c r="C277">
        <v>46</v>
      </c>
      <c r="D277" t="s">
        <v>70</v>
      </c>
      <c r="E277" t="s">
        <v>77</v>
      </c>
      <c r="F277" t="s">
        <v>72</v>
      </c>
      <c r="G277">
        <v>0</v>
      </c>
      <c r="H277">
        <v>2E+20</v>
      </c>
      <c r="I277">
        <v>0</v>
      </c>
      <c r="J277">
        <v>0</v>
      </c>
      <c r="K277">
        <v>2</v>
      </c>
      <c r="L277" s="5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277" s="5" cm="1">
        <f t="array" ref="M277">MAX(IF((ProjectInfoTable[ProjectName]=DiscreteStatsTable[[#This Row],[ProjectName]]),(ProjectInfoTable[ProjectName]=DiscreteStatsTable[[#This Row],[ProjectName]])*ProjectInfoTable[NumberOfReplications]))</f>
        <v>50</v>
      </c>
      <c r="N277" s="5" cm="1">
        <f t="array" ref="N277">IFERROR(AVERAGE(IF((DiscreteStatsTable[GroupByKey]=DiscreteStatsTable[[#This Row],[GroupByKey]]),(DiscreteStatsTable[GroupByKey]=DiscreteStatsTable[[#This Row],[GroupByKey]])*DiscreteStatsTable[Average])),0)</f>
        <v>1.2240084441262762</v>
      </c>
      <c r="O277" s="5" cm="1">
        <f t="array" ref="O277">IFERROR(_xlfn.STDEV.S(IF((DiscreteStatsTable[GroupByKey]=DiscreteStatsTable[[#This Row],[GroupByKey]]),(DiscreteStatsTable[GroupByKey]=DiscreteStatsTable[[#This Row],[GroupByKey]])*DiscreteStatsTable[Average])),0)</f>
        <v>0.89867905452837749</v>
      </c>
      <c r="P277" s="5" cm="1">
        <f t="array" ref="P277">MAX(IF((ProjectInfoTable[ProjectName]=DiscreteStatsTable[[#This Row],[ProjectName]]),(ProjectInfoTable[ProjectName]=DiscreteStatsTable[[#This Row],[ProjectName]])*ProjectInfoTable[ConfidenceInterval]))</f>
        <v>0.95</v>
      </c>
      <c r="Q277" s="5">
        <f>IF(AND(DiscreteStatsTable[[#This Row],[RepsWithStatObserved]]=1,Y277=0),200000000000000000000,IFERROR(_xlfn.T.INV.2T(1 -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0.2554017613968404</v>
      </c>
      <c r="R277" s="5" cm="1">
        <f t="array" ref="R277">MIN(IF((DiscreteStatsTable[GroupByKey]=DiscreteStatsTable[[#This Row],[GroupByKey]]),(DiscreteStatsTable[GroupByKey]=DiscreteStatsTable[[#This Row],[GroupByKey]])*DiscreteStatsTable[Average]))</f>
        <v>0</v>
      </c>
      <c r="S277" s="5" cm="1">
        <f t="array" ref="S277">MAX(IF((DiscreteStatsTable[GroupByKey]=DiscreteStatsTable[[#This Row],[GroupByKey]]),(DiscreteStatsTable[GroupByKey]=DiscreteStatsTable[[#This Row],[GroupByKey]])*DiscreteStatsTable[Average]))</f>
        <v>3.4345522286517598</v>
      </c>
      <c r="T277" s="5" cm="1">
        <f t="array" ref="T277">MIN(IF((DiscreteStatsTable[GroupByKey]=DiscreteStatsTable[[#This Row],[GroupByKey]]),(DiscreteStatsTable[GroupByKey]=DiscreteStatsTable[[#This Row],[GroupByKey]])*DiscreteStatsTable[Minimum]))</f>
        <v>0</v>
      </c>
      <c r="U277" s="5" cm="1">
        <f t="array" ref="U277">MAX(IF((DiscreteStatsTable[GroupByKey]=DiscreteStatsTable[[#This Row],[GroupByKey]]),(DiscreteStatsTable[GroupByKey]=DiscreteStatsTable[[#This Row],[GroupByKey]])*DiscreteStatsTable[Maximum]))</f>
        <v>6.7563093676697896</v>
      </c>
      <c r="V277" s="5" cm="1">
        <f t="array" ref="V277">IFERROR(AVERAGE(IF((DiscreteStatsTable[GroupByKey]=DiscreteStatsTable[[#This Row],[GroupByKey]]),(DiscreteStatsTable[GroupByKey]=DiscreteStatsTable[[#This Row],[GroupByKey]])*DiscreteStatsTable[NumberObservations])),0)</f>
        <v>3.62</v>
      </c>
      <c r="W277" s="5">
        <f>IF((DiscreteStatsTable[[#This Row],[RepsRequested]]&gt;1),DiscreteStatsTable[[#This Row],[HalfWidth]],DiscreteStatsTable[[#This Row],[BatchMeansHalfWidth]])</f>
        <v>0.2554017613968404</v>
      </c>
      <c r="X277" s="5" cm="1">
        <f t="array" ref="X277">COUNT(IF((DiscreteStatsTable[GroupByKey]=DiscreteStatsTable[[#This Row],[GroupByKey]]),(DiscreteStatsTable[GroupByKey]=DiscreteStatsTable[[#This Row],[GroupByKey]])*DiscreteStatsTable[Replication]))</f>
        <v>50</v>
      </c>
      <c r="Y277" s="5">
        <f>IF(DiscreteStatsTable[[#This Row],[RepsRequested]]=DiscreteStatsTable[[#This Row],[RepsWithStatObserved]],1,0)</f>
        <v>1</v>
      </c>
    </row>
    <row r="278" spans="1:25" x14ac:dyDescent="0.35">
      <c r="A278" t="s">
        <v>66</v>
      </c>
      <c r="B278" t="s">
        <v>69</v>
      </c>
      <c r="C278">
        <v>47</v>
      </c>
      <c r="D278" t="s">
        <v>70</v>
      </c>
      <c r="E278" t="s">
        <v>71</v>
      </c>
      <c r="F278" t="s">
        <v>72</v>
      </c>
      <c r="G278">
        <v>0</v>
      </c>
      <c r="H278">
        <v>2E+20</v>
      </c>
      <c r="I278">
        <v>0</v>
      </c>
      <c r="J278">
        <v>0</v>
      </c>
      <c r="K278">
        <v>4</v>
      </c>
      <c r="L278" s="5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278" s="5" cm="1">
        <f t="array" ref="M278">MAX(IF((ProjectInfoTable[ProjectName]=DiscreteStatsTable[[#This Row],[ProjectName]]),(ProjectInfoTable[ProjectName]=DiscreteStatsTable[[#This Row],[ProjectName]])*ProjectInfoTable[NumberOfReplications]))</f>
        <v>50</v>
      </c>
      <c r="N278" s="5" cm="1">
        <f t="array" ref="N278">IFERROR(AVERAGE(IF((DiscreteStatsTable[GroupByKey]=DiscreteStatsTable[[#This Row],[GroupByKey]]),(DiscreteStatsTable[GroupByKey]=DiscreteStatsTable[[#This Row],[GroupByKey]])*DiscreteStatsTable[Average])),0)</f>
        <v>0</v>
      </c>
      <c r="O278" s="5" cm="1">
        <f t="array" ref="O278">IFERROR(_xlfn.STDEV.S(IF((DiscreteStatsTable[GroupByKey]=DiscreteStatsTable[[#This Row],[GroupByKey]]),(DiscreteStatsTable[GroupByKey]=DiscreteStatsTable[[#This Row],[GroupByKey]])*DiscreteStatsTable[Average])),0)</f>
        <v>0</v>
      </c>
      <c r="P278" s="5" cm="1">
        <f t="array" ref="P278">MAX(IF((ProjectInfoTable[ProjectName]=DiscreteStatsTable[[#This Row],[ProjectName]]),(ProjectInfoTable[ProjectName]=DiscreteStatsTable[[#This Row],[ProjectName]])*ProjectInfoTable[ConfidenceInterval]))</f>
        <v>0.95</v>
      </c>
      <c r="Q278" s="5">
        <f>IF(AND(DiscreteStatsTable[[#This Row],[RepsWithStatObserved]]=1,Y278=0),200000000000000000000,IFERROR(_xlfn.T.INV.2T(1 -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8" s="5" cm="1">
        <f t="array" ref="R278">MIN(IF((DiscreteStatsTable[GroupByKey]=DiscreteStatsTable[[#This Row],[GroupByKey]]),(DiscreteStatsTable[GroupByKey]=DiscreteStatsTable[[#This Row],[GroupByKey]])*DiscreteStatsTable[Average]))</f>
        <v>0</v>
      </c>
      <c r="S278" s="5" cm="1">
        <f t="array" ref="S278">MAX(IF((DiscreteStatsTable[GroupByKey]=DiscreteStatsTable[[#This Row],[GroupByKey]]),(DiscreteStatsTable[GroupByKey]=DiscreteStatsTable[[#This Row],[GroupByKey]])*DiscreteStatsTable[Average]))</f>
        <v>0</v>
      </c>
      <c r="T278" s="5" cm="1">
        <f t="array" ref="T278">MIN(IF((DiscreteStatsTable[GroupByKey]=DiscreteStatsTable[[#This Row],[GroupByKey]]),(DiscreteStatsTable[GroupByKey]=DiscreteStatsTable[[#This Row],[GroupByKey]])*DiscreteStatsTable[Minimum]))</f>
        <v>0</v>
      </c>
      <c r="U278" s="5" cm="1">
        <f t="array" ref="U278">MAX(IF((DiscreteStatsTable[GroupByKey]=DiscreteStatsTable[[#This Row],[GroupByKey]]),(DiscreteStatsTable[GroupByKey]=DiscreteStatsTable[[#This Row],[GroupByKey]])*DiscreteStatsTable[Maximum]))</f>
        <v>0</v>
      </c>
      <c r="V278" s="5" cm="1">
        <f t="array" ref="V278">IFERROR(AVERAGE(IF((DiscreteStatsTable[GroupByKey]=DiscreteStatsTable[[#This Row],[GroupByKey]]),(DiscreteStatsTable[GroupByKey]=DiscreteStatsTable[[#This Row],[GroupByKey]])*DiscreteStatsTable[NumberObservations])),0)</f>
        <v>3.62</v>
      </c>
      <c r="W278" s="5">
        <f>IF((DiscreteStatsTable[[#This Row],[RepsRequested]]&gt;1),DiscreteStatsTable[[#This Row],[HalfWidth]],DiscreteStatsTable[[#This Row],[BatchMeansHalfWidth]])</f>
        <v>0</v>
      </c>
      <c r="X278" s="5" cm="1">
        <f t="array" ref="X278">COUNT(IF((DiscreteStatsTable[GroupByKey]=DiscreteStatsTable[[#This Row],[GroupByKey]]),(DiscreteStatsTable[GroupByKey]=DiscreteStatsTable[[#This Row],[GroupByKey]])*DiscreteStatsTable[Replication]))</f>
        <v>50</v>
      </c>
      <c r="Y278" s="5">
        <f>IF(DiscreteStatsTable[[#This Row],[RepsRequested]]=DiscreteStatsTable[[#This Row],[RepsWithStatObserved]],1,0)</f>
        <v>1</v>
      </c>
    </row>
    <row r="279" spans="1:25" x14ac:dyDescent="0.35">
      <c r="A279" t="s">
        <v>66</v>
      </c>
      <c r="B279" t="s">
        <v>69</v>
      </c>
      <c r="C279">
        <v>47</v>
      </c>
      <c r="D279" t="s">
        <v>70</v>
      </c>
      <c r="E279" t="s">
        <v>73</v>
      </c>
      <c r="F279" t="s">
        <v>72</v>
      </c>
      <c r="G279">
        <v>0</v>
      </c>
      <c r="H279">
        <v>2E+20</v>
      </c>
      <c r="I279">
        <v>0</v>
      </c>
      <c r="J279">
        <v>0</v>
      </c>
      <c r="K279">
        <v>4</v>
      </c>
      <c r="L279" s="5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279" s="5" cm="1">
        <f t="array" ref="M279">MAX(IF((ProjectInfoTable[ProjectName]=DiscreteStatsTable[[#This Row],[ProjectName]]),(ProjectInfoTable[ProjectName]=DiscreteStatsTable[[#This Row],[ProjectName]])*ProjectInfoTable[NumberOfReplications]))</f>
        <v>50</v>
      </c>
      <c r="N279" s="5" cm="1">
        <f t="array" ref="N279">IFERROR(AVERAGE(IF((DiscreteStatsTable[GroupByKey]=DiscreteStatsTable[[#This Row],[GroupByKey]]),(DiscreteStatsTable[GroupByKey]=DiscreteStatsTable[[#This Row],[GroupByKey]])*DiscreteStatsTable[Average])),0)</f>
        <v>0</v>
      </c>
      <c r="O279" s="5" cm="1">
        <f t="array" ref="O279">IFERROR(_xlfn.STDEV.S(IF((DiscreteStatsTable[GroupByKey]=DiscreteStatsTable[[#This Row],[GroupByKey]]),(DiscreteStatsTable[GroupByKey]=DiscreteStatsTable[[#This Row],[GroupByKey]])*DiscreteStatsTable[Average])),0)</f>
        <v>0</v>
      </c>
      <c r="P279" s="5" cm="1">
        <f t="array" ref="P279">MAX(IF((ProjectInfoTable[ProjectName]=DiscreteStatsTable[[#This Row],[ProjectName]]),(ProjectInfoTable[ProjectName]=DiscreteStatsTable[[#This Row],[ProjectName]])*ProjectInfoTable[ConfidenceInterval]))</f>
        <v>0.95</v>
      </c>
      <c r="Q279" s="5">
        <f>IF(AND(DiscreteStatsTable[[#This Row],[RepsWithStatObserved]]=1,Y279=0),200000000000000000000,IFERROR(_xlfn.T.INV.2T(1 -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9" s="5" cm="1">
        <f t="array" ref="R279">MIN(IF((DiscreteStatsTable[GroupByKey]=DiscreteStatsTable[[#This Row],[GroupByKey]]),(DiscreteStatsTable[GroupByKey]=DiscreteStatsTable[[#This Row],[GroupByKey]])*DiscreteStatsTable[Average]))</f>
        <v>0</v>
      </c>
      <c r="S279" s="5" cm="1">
        <f t="array" ref="S279">MAX(IF((DiscreteStatsTable[GroupByKey]=DiscreteStatsTable[[#This Row],[GroupByKey]]),(DiscreteStatsTable[GroupByKey]=DiscreteStatsTable[[#This Row],[GroupByKey]])*DiscreteStatsTable[Average]))</f>
        <v>0</v>
      </c>
      <c r="T279" s="5" cm="1">
        <f t="array" ref="T279">MIN(IF((DiscreteStatsTable[GroupByKey]=DiscreteStatsTable[[#This Row],[GroupByKey]]),(DiscreteStatsTable[GroupByKey]=DiscreteStatsTable[[#This Row],[GroupByKey]])*DiscreteStatsTable[Minimum]))</f>
        <v>0</v>
      </c>
      <c r="U279" s="5" cm="1">
        <f t="array" ref="U279">MAX(IF((DiscreteStatsTable[GroupByKey]=DiscreteStatsTable[[#This Row],[GroupByKey]]),(DiscreteStatsTable[GroupByKey]=DiscreteStatsTable[[#This Row],[GroupByKey]])*DiscreteStatsTable[Maximum]))</f>
        <v>0</v>
      </c>
      <c r="V279" s="5" cm="1">
        <f t="array" ref="V279">IFERROR(AVERAGE(IF((DiscreteStatsTable[GroupByKey]=DiscreteStatsTable[[#This Row],[GroupByKey]]),(DiscreteStatsTable[GroupByKey]=DiscreteStatsTable[[#This Row],[GroupByKey]])*DiscreteStatsTable[NumberObservations])),0)</f>
        <v>3.62</v>
      </c>
      <c r="W279" s="5">
        <f>IF((DiscreteStatsTable[[#This Row],[RepsRequested]]&gt;1),DiscreteStatsTable[[#This Row],[HalfWidth]],DiscreteStatsTable[[#This Row],[BatchMeansHalfWidth]])</f>
        <v>0</v>
      </c>
      <c r="X279" s="5" cm="1">
        <f t="array" ref="X279">COUNT(IF((DiscreteStatsTable[GroupByKey]=DiscreteStatsTable[[#This Row],[GroupByKey]]),(DiscreteStatsTable[GroupByKey]=DiscreteStatsTable[[#This Row],[GroupByKey]])*DiscreteStatsTable[Replication]))</f>
        <v>50</v>
      </c>
      <c r="Y279" s="5">
        <f>IF(DiscreteStatsTable[[#This Row],[RepsRequested]]=DiscreteStatsTable[[#This Row],[RepsWithStatObserved]],1,0)</f>
        <v>1</v>
      </c>
    </row>
    <row r="280" spans="1:25" x14ac:dyDescent="0.35">
      <c r="A280" t="s">
        <v>66</v>
      </c>
      <c r="B280" t="s">
        <v>69</v>
      </c>
      <c r="C280">
        <v>47</v>
      </c>
      <c r="D280" t="s">
        <v>70</v>
      </c>
      <c r="E280" t="s">
        <v>74</v>
      </c>
      <c r="F280" t="s">
        <v>72</v>
      </c>
      <c r="G280">
        <v>3.9928548993403798</v>
      </c>
      <c r="H280">
        <v>2E+20</v>
      </c>
      <c r="I280">
        <v>3.2805000792553201</v>
      </c>
      <c r="J280">
        <v>4.92997044564608</v>
      </c>
      <c r="K280">
        <v>4</v>
      </c>
      <c r="L280" s="5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280" s="5" cm="1">
        <f t="array" ref="M280">MAX(IF((ProjectInfoTable[ProjectName]=DiscreteStatsTable[[#This Row],[ProjectName]]),(ProjectInfoTable[ProjectName]=DiscreteStatsTable[[#This Row],[ProjectName]])*ProjectInfoTable[NumberOfReplications]))</f>
        <v>50</v>
      </c>
      <c r="N280" s="5" cm="1">
        <f t="array" ref="N280">IFERROR(AVERAGE(IF((DiscreteStatsTable[GroupByKey]=DiscreteStatsTable[[#This Row],[GroupByKey]]),(DiscreteStatsTable[GroupByKey]=DiscreteStatsTable[[#This Row],[GroupByKey]])*DiscreteStatsTable[Average])),0)</f>
        <v>3.5363894499532775</v>
      </c>
      <c r="O280" s="5" cm="1">
        <f t="array" ref="O280">IFERROR(_xlfn.STDEV.S(IF((DiscreteStatsTable[GroupByKey]=DiscreteStatsTable[[#This Row],[GroupByKey]]),(DiscreteStatsTable[GroupByKey]=DiscreteStatsTable[[#This Row],[GroupByKey]])*DiscreteStatsTable[Average])),0)</f>
        <v>1.1766434570133149</v>
      </c>
      <c r="P280" s="5" cm="1">
        <f t="array" ref="P280">MAX(IF((ProjectInfoTable[ProjectName]=DiscreteStatsTable[[#This Row],[ProjectName]]),(ProjectInfoTable[ProjectName]=DiscreteStatsTable[[#This Row],[ProjectName]])*ProjectInfoTable[ConfidenceInterval]))</f>
        <v>0.95</v>
      </c>
      <c r="Q280" s="5">
        <f>IF(AND(DiscreteStatsTable[[#This Row],[RepsWithStatObserved]]=1,Y280=0),200000000000000000000,IFERROR(_xlfn.T.INV.2T(1 -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0.33439837052280896</v>
      </c>
      <c r="R280" s="5" cm="1">
        <f t="array" ref="R280">MIN(IF((DiscreteStatsTable[GroupByKey]=DiscreteStatsTable[[#This Row],[GroupByKey]]),(DiscreteStatsTable[GroupByKey]=DiscreteStatsTable[[#This Row],[GroupByKey]])*DiscreteStatsTable[Average]))</f>
        <v>1.6342264652107701</v>
      </c>
      <c r="S280" s="5" cm="1">
        <f t="array" ref="S280">MAX(IF((DiscreteStatsTable[GroupByKey]=DiscreteStatsTable[[#This Row],[GroupByKey]]),(DiscreteStatsTable[GroupByKey]=DiscreteStatsTable[[#This Row],[GroupByKey]])*DiscreteStatsTable[Average]))</f>
        <v>6.5527373550837904</v>
      </c>
      <c r="T280" s="5" cm="1">
        <f t="array" ref="T280">MIN(IF((DiscreteStatsTable[GroupByKey]=DiscreteStatsTable[[#This Row],[GroupByKey]]),(DiscreteStatsTable[GroupByKey]=DiscreteStatsTable[[#This Row],[GroupByKey]])*DiscreteStatsTable[Minimum]))</f>
        <v>0.58847912081681497</v>
      </c>
      <c r="U280" s="5" cm="1">
        <f t="array" ref="U280">MAX(IF((DiscreteStatsTable[GroupByKey]=DiscreteStatsTable[[#This Row],[GroupByKey]]),(DiscreteStatsTable[GroupByKey]=DiscreteStatsTable[[#This Row],[GroupByKey]])*DiscreteStatsTable[Maximum]))</f>
        <v>8.7476494546828292</v>
      </c>
      <c r="V280" s="5" cm="1">
        <f t="array" ref="V280">IFERROR(AVERAGE(IF((DiscreteStatsTable[GroupByKey]=DiscreteStatsTable[[#This Row],[GroupByKey]]),(DiscreteStatsTable[GroupByKey]=DiscreteStatsTable[[#This Row],[GroupByKey]])*DiscreteStatsTable[NumberObservations])),0)</f>
        <v>3.62</v>
      </c>
      <c r="W280" s="5">
        <f>IF((DiscreteStatsTable[[#This Row],[RepsRequested]]&gt;1),DiscreteStatsTable[[#This Row],[HalfWidth]],DiscreteStatsTable[[#This Row],[BatchMeansHalfWidth]])</f>
        <v>0.33439837052280896</v>
      </c>
      <c r="X280" s="5" cm="1">
        <f t="array" ref="X280">COUNT(IF((DiscreteStatsTable[GroupByKey]=DiscreteStatsTable[[#This Row],[GroupByKey]]),(DiscreteStatsTable[GroupByKey]=DiscreteStatsTable[[#This Row],[GroupByKey]])*DiscreteStatsTable[Replication]))</f>
        <v>50</v>
      </c>
      <c r="Y280" s="5">
        <f>IF(DiscreteStatsTable[[#This Row],[RepsRequested]]=DiscreteStatsTable[[#This Row],[RepsWithStatObserved]],1,0)</f>
        <v>1</v>
      </c>
    </row>
    <row r="281" spans="1:25" x14ac:dyDescent="0.35">
      <c r="A281" t="s">
        <v>66</v>
      </c>
      <c r="B281" t="s">
        <v>69</v>
      </c>
      <c r="C281">
        <v>47</v>
      </c>
      <c r="D281" t="s">
        <v>70</v>
      </c>
      <c r="E281" t="s">
        <v>75</v>
      </c>
      <c r="F281" t="s">
        <v>72</v>
      </c>
      <c r="G281">
        <v>0</v>
      </c>
      <c r="H281">
        <v>2E+20</v>
      </c>
      <c r="I281">
        <v>0</v>
      </c>
      <c r="J281">
        <v>0</v>
      </c>
      <c r="K281">
        <v>4</v>
      </c>
      <c r="L281" s="5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281" s="5" cm="1">
        <f t="array" ref="M281">MAX(IF((ProjectInfoTable[ProjectName]=DiscreteStatsTable[[#This Row],[ProjectName]]),(ProjectInfoTable[ProjectName]=DiscreteStatsTable[[#This Row],[ProjectName]])*ProjectInfoTable[NumberOfReplications]))</f>
        <v>50</v>
      </c>
      <c r="N281" s="5" cm="1">
        <f t="array" ref="N281">IFERROR(AVERAGE(IF((DiscreteStatsTable[GroupByKey]=DiscreteStatsTable[[#This Row],[GroupByKey]]),(DiscreteStatsTable[GroupByKey]=DiscreteStatsTable[[#This Row],[GroupByKey]])*DiscreteStatsTable[Average])),0)</f>
        <v>0</v>
      </c>
      <c r="O281" s="5" cm="1">
        <f t="array" ref="O281">IFERROR(_xlfn.STDEV.S(IF((DiscreteStatsTable[GroupByKey]=DiscreteStatsTable[[#This Row],[GroupByKey]]),(DiscreteStatsTable[GroupByKey]=DiscreteStatsTable[[#This Row],[GroupByKey]])*DiscreteStatsTable[Average])),0)</f>
        <v>0</v>
      </c>
      <c r="P281" s="5" cm="1">
        <f t="array" ref="P281">MAX(IF((ProjectInfoTable[ProjectName]=DiscreteStatsTable[[#This Row],[ProjectName]]),(ProjectInfoTable[ProjectName]=DiscreteStatsTable[[#This Row],[ProjectName]])*ProjectInfoTable[ConfidenceInterval]))</f>
        <v>0.95</v>
      </c>
      <c r="Q281" s="5">
        <f>IF(AND(DiscreteStatsTable[[#This Row],[RepsWithStatObserved]]=1,Y281=0),200000000000000000000,IFERROR(_xlfn.T.INV.2T(1 -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1" s="5" cm="1">
        <f t="array" ref="R281">MIN(IF((DiscreteStatsTable[GroupByKey]=DiscreteStatsTable[[#This Row],[GroupByKey]]),(DiscreteStatsTable[GroupByKey]=DiscreteStatsTable[[#This Row],[GroupByKey]])*DiscreteStatsTable[Average]))</f>
        <v>0</v>
      </c>
      <c r="S281" s="5" cm="1">
        <f t="array" ref="S281">MAX(IF((DiscreteStatsTable[GroupByKey]=DiscreteStatsTable[[#This Row],[GroupByKey]]),(DiscreteStatsTable[GroupByKey]=DiscreteStatsTable[[#This Row],[GroupByKey]])*DiscreteStatsTable[Average]))</f>
        <v>0</v>
      </c>
      <c r="T281" s="5" cm="1">
        <f t="array" ref="T281">MIN(IF((DiscreteStatsTable[GroupByKey]=DiscreteStatsTable[[#This Row],[GroupByKey]]),(DiscreteStatsTable[GroupByKey]=DiscreteStatsTable[[#This Row],[GroupByKey]])*DiscreteStatsTable[Minimum]))</f>
        <v>0</v>
      </c>
      <c r="U281" s="5" cm="1">
        <f t="array" ref="U281">MAX(IF((DiscreteStatsTable[GroupByKey]=DiscreteStatsTable[[#This Row],[GroupByKey]]),(DiscreteStatsTable[GroupByKey]=DiscreteStatsTable[[#This Row],[GroupByKey]])*DiscreteStatsTable[Maximum]))</f>
        <v>0</v>
      </c>
      <c r="V281" s="5" cm="1">
        <f t="array" ref="V281">IFERROR(AVERAGE(IF((DiscreteStatsTable[GroupByKey]=DiscreteStatsTable[[#This Row],[GroupByKey]]),(DiscreteStatsTable[GroupByKey]=DiscreteStatsTable[[#This Row],[GroupByKey]])*DiscreteStatsTable[NumberObservations])),0)</f>
        <v>3.62</v>
      </c>
      <c r="W281" s="5">
        <f>IF((DiscreteStatsTable[[#This Row],[RepsRequested]]&gt;1),DiscreteStatsTable[[#This Row],[HalfWidth]],DiscreteStatsTable[[#This Row],[BatchMeansHalfWidth]])</f>
        <v>0</v>
      </c>
      <c r="X281" s="5" cm="1">
        <f t="array" ref="X281">COUNT(IF((DiscreteStatsTable[GroupByKey]=DiscreteStatsTable[[#This Row],[GroupByKey]]),(DiscreteStatsTable[GroupByKey]=DiscreteStatsTable[[#This Row],[GroupByKey]])*DiscreteStatsTable[Replication]))</f>
        <v>50</v>
      </c>
      <c r="Y281" s="5">
        <f>IF(DiscreteStatsTable[[#This Row],[RepsRequested]]=DiscreteStatsTable[[#This Row],[RepsWithStatObserved]],1,0)</f>
        <v>1</v>
      </c>
    </row>
    <row r="282" spans="1:25" x14ac:dyDescent="0.35">
      <c r="A282" t="s">
        <v>66</v>
      </c>
      <c r="B282" t="s">
        <v>69</v>
      </c>
      <c r="C282">
        <v>47</v>
      </c>
      <c r="D282" t="s">
        <v>70</v>
      </c>
      <c r="E282" t="s">
        <v>76</v>
      </c>
      <c r="F282" t="s">
        <v>72</v>
      </c>
      <c r="G282">
        <v>2.4227920344917702</v>
      </c>
      <c r="H282">
        <v>2E+20</v>
      </c>
      <c r="I282">
        <v>1.7327606758163501</v>
      </c>
      <c r="J282">
        <v>3.4180243936192798</v>
      </c>
      <c r="K282">
        <v>4</v>
      </c>
      <c r="L282" s="5" t="str">
        <f>DiscreteStatsTable[[#This Row],[ProjectName]]&amp;DiscreteStatsTable[[#This Row],[Name]]&amp;DiscreteStatsTable[[#This Row],[Type]]&amp;DiscreteStatsTable[[#This Row],[Source]]</f>
        <v>Unnamed ProjectArquivosVA TimeEntity</v>
      </c>
      <c r="M282" s="5" cm="1">
        <f t="array" ref="M282">MAX(IF((ProjectInfoTable[ProjectName]=DiscreteStatsTable[[#This Row],[ProjectName]]),(ProjectInfoTable[ProjectName]=DiscreteStatsTable[[#This Row],[ProjectName]])*ProjectInfoTable[NumberOfReplications]))</f>
        <v>50</v>
      </c>
      <c r="N282" s="5" cm="1">
        <f t="array" ref="N282">IFERROR(AVERAGE(IF((DiscreteStatsTable[GroupByKey]=DiscreteStatsTable[[#This Row],[GroupByKey]]),(DiscreteStatsTable[GroupByKey]=DiscreteStatsTable[[#This Row],[GroupByKey]])*DiscreteStatsTable[Average])),0)</f>
        <v>2.3123810058270009</v>
      </c>
      <c r="O282" s="5" cm="1">
        <f t="array" ref="O282">IFERROR(_xlfn.STDEV.S(IF((DiscreteStatsTable[GroupByKey]=DiscreteStatsTable[[#This Row],[GroupByKey]]),(DiscreteStatsTable[GroupByKey]=DiscreteStatsTable[[#This Row],[GroupByKey]])*DiscreteStatsTable[Average])),0)</f>
        <v>0.47735516285795621</v>
      </c>
      <c r="P282" s="5" cm="1">
        <f t="array" ref="P282">MAX(IF((ProjectInfoTable[ProjectName]=DiscreteStatsTable[[#This Row],[ProjectName]]),(ProjectInfoTable[ProjectName]=DiscreteStatsTable[[#This Row],[ProjectName]])*ProjectInfoTable[ConfidenceInterval]))</f>
        <v>0.95</v>
      </c>
      <c r="Q282" s="5">
        <f>IF(AND(DiscreteStatsTable[[#This Row],[RepsWithStatObserved]]=1,Y282=0),200000000000000000000,IFERROR(_xlfn.T.INV.2T(1 -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0.13566283623888314</v>
      </c>
      <c r="R282" s="5" cm="1">
        <f t="array" ref="R282">MIN(IF((DiscreteStatsTable[GroupByKey]=DiscreteStatsTable[[#This Row],[GroupByKey]]),(DiscreteStatsTable[GroupByKey]=DiscreteStatsTable[[#This Row],[GroupByKey]])*DiscreteStatsTable[Average]))</f>
        <v>1.3773415743205399</v>
      </c>
      <c r="S282" s="5" cm="1">
        <f t="array" ref="S282">MAX(IF((DiscreteStatsTable[GroupByKey]=DiscreteStatsTable[[#This Row],[GroupByKey]]),(DiscreteStatsTable[GroupByKey]=DiscreteStatsTable[[#This Row],[GroupByKey]])*DiscreteStatsTable[Average]))</f>
        <v>3.3139161730180202</v>
      </c>
      <c r="T282" s="5" cm="1">
        <f t="array" ref="T282">MIN(IF((DiscreteStatsTable[GroupByKey]=DiscreteStatsTable[[#This Row],[GroupByKey]]),(DiscreteStatsTable[GroupByKey]=DiscreteStatsTable[[#This Row],[GroupByKey]])*DiscreteStatsTable[Minimum]))</f>
        <v>0.58847912081681497</v>
      </c>
      <c r="U282" s="5" cm="1">
        <f t="array" ref="U282">MAX(IF((DiscreteStatsTable[GroupByKey]=DiscreteStatsTable[[#This Row],[GroupByKey]]),(DiscreteStatsTable[GroupByKey]=DiscreteStatsTable[[#This Row],[GroupByKey]])*DiscreteStatsTable[Maximum]))</f>
        <v>4.9756405925629998</v>
      </c>
      <c r="V282" s="5" cm="1">
        <f t="array" ref="V282">IFERROR(AVERAGE(IF((DiscreteStatsTable[GroupByKey]=DiscreteStatsTable[[#This Row],[GroupByKey]]),(DiscreteStatsTable[GroupByKey]=DiscreteStatsTable[[#This Row],[GroupByKey]])*DiscreteStatsTable[NumberObservations])),0)</f>
        <v>3.62</v>
      </c>
      <c r="W282" s="5">
        <f>IF((DiscreteStatsTable[[#This Row],[RepsRequested]]&gt;1),DiscreteStatsTable[[#This Row],[HalfWidth]],DiscreteStatsTable[[#This Row],[BatchMeansHalfWidth]])</f>
        <v>0.13566283623888314</v>
      </c>
      <c r="X282" s="5" cm="1">
        <f t="array" ref="X282">COUNT(IF((DiscreteStatsTable[GroupByKey]=DiscreteStatsTable[[#This Row],[GroupByKey]]),(DiscreteStatsTable[GroupByKey]=DiscreteStatsTable[[#This Row],[GroupByKey]])*DiscreteStatsTable[Replication]))</f>
        <v>50</v>
      </c>
      <c r="Y282" s="5">
        <f>IF(DiscreteStatsTable[[#This Row],[RepsRequested]]=DiscreteStatsTable[[#This Row],[RepsWithStatObserved]],1,0)</f>
        <v>1</v>
      </c>
    </row>
    <row r="283" spans="1:25" x14ac:dyDescent="0.35">
      <c r="A283" t="s">
        <v>66</v>
      </c>
      <c r="B283" t="s">
        <v>69</v>
      </c>
      <c r="C283">
        <v>47</v>
      </c>
      <c r="D283" t="s">
        <v>70</v>
      </c>
      <c r="E283" t="s">
        <v>77</v>
      </c>
      <c r="F283" t="s">
        <v>72</v>
      </c>
      <c r="G283">
        <v>1.5700628648486099</v>
      </c>
      <c r="H283">
        <v>2E+20</v>
      </c>
      <c r="I283">
        <v>0</v>
      </c>
      <c r="J283">
        <v>2.5176483285578302</v>
      </c>
      <c r="K283">
        <v>4</v>
      </c>
      <c r="L283" s="5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283" s="5" cm="1">
        <f t="array" ref="M283">MAX(IF((ProjectInfoTable[ProjectName]=DiscreteStatsTable[[#This Row],[ProjectName]]),(ProjectInfoTable[ProjectName]=DiscreteStatsTable[[#This Row],[ProjectName]])*ProjectInfoTable[NumberOfReplications]))</f>
        <v>50</v>
      </c>
      <c r="N283" s="5" cm="1">
        <f t="array" ref="N283">IFERROR(AVERAGE(IF((DiscreteStatsTable[GroupByKey]=DiscreteStatsTable[[#This Row],[GroupByKey]]),(DiscreteStatsTable[GroupByKey]=DiscreteStatsTable[[#This Row],[GroupByKey]])*DiscreteStatsTable[Average])),0)</f>
        <v>1.2240084441262762</v>
      </c>
      <c r="O283" s="5" cm="1">
        <f t="array" ref="O283">IFERROR(_xlfn.STDEV.S(IF((DiscreteStatsTable[GroupByKey]=DiscreteStatsTable[[#This Row],[GroupByKey]]),(DiscreteStatsTable[GroupByKey]=DiscreteStatsTable[[#This Row],[GroupByKey]])*DiscreteStatsTable[Average])),0)</f>
        <v>0.89867905452837749</v>
      </c>
      <c r="P283" s="5" cm="1">
        <f t="array" ref="P283">MAX(IF((ProjectInfoTable[ProjectName]=DiscreteStatsTable[[#This Row],[ProjectName]]),(ProjectInfoTable[ProjectName]=DiscreteStatsTable[[#This Row],[ProjectName]])*ProjectInfoTable[ConfidenceInterval]))</f>
        <v>0.95</v>
      </c>
      <c r="Q283" s="5">
        <f>IF(AND(DiscreteStatsTable[[#This Row],[RepsWithStatObserved]]=1,Y283=0),200000000000000000000,IFERROR(_xlfn.T.INV.2T(1 -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0.2554017613968404</v>
      </c>
      <c r="R283" s="5" cm="1">
        <f t="array" ref="R283">MIN(IF((DiscreteStatsTable[GroupByKey]=DiscreteStatsTable[[#This Row],[GroupByKey]]),(DiscreteStatsTable[GroupByKey]=DiscreteStatsTable[[#This Row],[GroupByKey]])*DiscreteStatsTable[Average]))</f>
        <v>0</v>
      </c>
      <c r="S283" s="5" cm="1">
        <f t="array" ref="S283">MAX(IF((DiscreteStatsTable[GroupByKey]=DiscreteStatsTable[[#This Row],[GroupByKey]]),(DiscreteStatsTable[GroupByKey]=DiscreteStatsTable[[#This Row],[GroupByKey]])*DiscreteStatsTable[Average]))</f>
        <v>3.4345522286517598</v>
      </c>
      <c r="T283" s="5" cm="1">
        <f t="array" ref="T283">MIN(IF((DiscreteStatsTable[GroupByKey]=DiscreteStatsTable[[#This Row],[GroupByKey]]),(DiscreteStatsTable[GroupByKey]=DiscreteStatsTable[[#This Row],[GroupByKey]])*DiscreteStatsTable[Minimum]))</f>
        <v>0</v>
      </c>
      <c r="U283" s="5" cm="1">
        <f t="array" ref="U283">MAX(IF((DiscreteStatsTable[GroupByKey]=DiscreteStatsTable[[#This Row],[GroupByKey]]),(DiscreteStatsTable[GroupByKey]=DiscreteStatsTable[[#This Row],[GroupByKey]])*DiscreteStatsTable[Maximum]))</f>
        <v>6.7563093676697896</v>
      </c>
      <c r="V283" s="5" cm="1">
        <f t="array" ref="V283">IFERROR(AVERAGE(IF((DiscreteStatsTable[GroupByKey]=DiscreteStatsTable[[#This Row],[GroupByKey]]),(DiscreteStatsTable[GroupByKey]=DiscreteStatsTable[[#This Row],[GroupByKey]])*DiscreteStatsTable[NumberObservations])),0)</f>
        <v>3.62</v>
      </c>
      <c r="W283" s="5">
        <f>IF((DiscreteStatsTable[[#This Row],[RepsRequested]]&gt;1),DiscreteStatsTable[[#This Row],[HalfWidth]],DiscreteStatsTable[[#This Row],[BatchMeansHalfWidth]])</f>
        <v>0.2554017613968404</v>
      </c>
      <c r="X283" s="5" cm="1">
        <f t="array" ref="X283">COUNT(IF((DiscreteStatsTable[GroupByKey]=DiscreteStatsTable[[#This Row],[GroupByKey]]),(DiscreteStatsTable[GroupByKey]=DiscreteStatsTable[[#This Row],[GroupByKey]])*DiscreteStatsTable[Replication]))</f>
        <v>50</v>
      </c>
      <c r="Y283" s="5">
        <f>IF(DiscreteStatsTable[[#This Row],[RepsRequested]]=DiscreteStatsTable[[#This Row],[RepsWithStatObserved]],1,0)</f>
        <v>1</v>
      </c>
    </row>
    <row r="284" spans="1:25" x14ac:dyDescent="0.35">
      <c r="A284" t="s">
        <v>66</v>
      </c>
      <c r="B284" t="s">
        <v>69</v>
      </c>
      <c r="C284">
        <v>48</v>
      </c>
      <c r="D284" t="s">
        <v>70</v>
      </c>
      <c r="E284" t="s">
        <v>71</v>
      </c>
      <c r="F284" t="s">
        <v>72</v>
      </c>
      <c r="G284">
        <v>0</v>
      </c>
      <c r="H284">
        <v>2E+20</v>
      </c>
      <c r="I284">
        <v>0</v>
      </c>
      <c r="J284">
        <v>0</v>
      </c>
      <c r="K284">
        <v>3</v>
      </c>
      <c r="L284" s="5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284" s="5" cm="1">
        <f t="array" ref="M284">MAX(IF((ProjectInfoTable[ProjectName]=DiscreteStatsTable[[#This Row],[ProjectName]]),(ProjectInfoTable[ProjectName]=DiscreteStatsTable[[#This Row],[ProjectName]])*ProjectInfoTable[NumberOfReplications]))</f>
        <v>50</v>
      </c>
      <c r="N284" s="5" cm="1">
        <f t="array" ref="N284">IFERROR(AVERAGE(IF((DiscreteStatsTable[GroupByKey]=DiscreteStatsTable[[#This Row],[GroupByKey]]),(DiscreteStatsTable[GroupByKey]=DiscreteStatsTable[[#This Row],[GroupByKey]])*DiscreteStatsTable[Average])),0)</f>
        <v>0</v>
      </c>
      <c r="O284" s="5" cm="1">
        <f t="array" ref="O284">IFERROR(_xlfn.STDEV.S(IF((DiscreteStatsTable[GroupByKey]=DiscreteStatsTable[[#This Row],[GroupByKey]]),(DiscreteStatsTable[GroupByKey]=DiscreteStatsTable[[#This Row],[GroupByKey]])*DiscreteStatsTable[Average])),0)</f>
        <v>0</v>
      </c>
      <c r="P284" s="5" cm="1">
        <f t="array" ref="P284">MAX(IF((ProjectInfoTable[ProjectName]=DiscreteStatsTable[[#This Row],[ProjectName]]),(ProjectInfoTable[ProjectName]=DiscreteStatsTable[[#This Row],[ProjectName]])*ProjectInfoTable[ConfidenceInterval]))</f>
        <v>0.95</v>
      </c>
      <c r="Q284" s="5">
        <f>IF(AND(DiscreteStatsTable[[#This Row],[RepsWithStatObserved]]=1,Y284=0),200000000000000000000,IFERROR(_xlfn.T.INV.2T(1 -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4" s="5" cm="1">
        <f t="array" ref="R284">MIN(IF((DiscreteStatsTable[GroupByKey]=DiscreteStatsTable[[#This Row],[GroupByKey]]),(DiscreteStatsTable[GroupByKey]=DiscreteStatsTable[[#This Row],[GroupByKey]])*DiscreteStatsTable[Average]))</f>
        <v>0</v>
      </c>
      <c r="S284" s="5" cm="1">
        <f t="array" ref="S284">MAX(IF((DiscreteStatsTable[GroupByKey]=DiscreteStatsTable[[#This Row],[GroupByKey]]),(DiscreteStatsTable[GroupByKey]=DiscreteStatsTable[[#This Row],[GroupByKey]])*DiscreteStatsTable[Average]))</f>
        <v>0</v>
      </c>
      <c r="T284" s="5" cm="1">
        <f t="array" ref="T284">MIN(IF((DiscreteStatsTable[GroupByKey]=DiscreteStatsTable[[#This Row],[GroupByKey]]),(DiscreteStatsTable[GroupByKey]=DiscreteStatsTable[[#This Row],[GroupByKey]])*DiscreteStatsTable[Minimum]))</f>
        <v>0</v>
      </c>
      <c r="U284" s="5" cm="1">
        <f t="array" ref="U284">MAX(IF((DiscreteStatsTable[GroupByKey]=DiscreteStatsTable[[#This Row],[GroupByKey]]),(DiscreteStatsTable[GroupByKey]=DiscreteStatsTable[[#This Row],[GroupByKey]])*DiscreteStatsTable[Maximum]))</f>
        <v>0</v>
      </c>
      <c r="V284" s="5" cm="1">
        <f t="array" ref="V284">IFERROR(AVERAGE(IF((DiscreteStatsTable[GroupByKey]=DiscreteStatsTable[[#This Row],[GroupByKey]]),(DiscreteStatsTable[GroupByKey]=DiscreteStatsTable[[#This Row],[GroupByKey]])*DiscreteStatsTable[NumberObservations])),0)</f>
        <v>3.62</v>
      </c>
      <c r="W284" s="5">
        <f>IF((DiscreteStatsTable[[#This Row],[RepsRequested]]&gt;1),DiscreteStatsTable[[#This Row],[HalfWidth]],DiscreteStatsTable[[#This Row],[BatchMeansHalfWidth]])</f>
        <v>0</v>
      </c>
      <c r="X284" s="5" cm="1">
        <f t="array" ref="X284">COUNT(IF((DiscreteStatsTable[GroupByKey]=DiscreteStatsTable[[#This Row],[GroupByKey]]),(DiscreteStatsTable[GroupByKey]=DiscreteStatsTable[[#This Row],[GroupByKey]])*DiscreteStatsTable[Replication]))</f>
        <v>50</v>
      </c>
      <c r="Y284" s="5">
        <f>IF(DiscreteStatsTable[[#This Row],[RepsRequested]]=DiscreteStatsTable[[#This Row],[RepsWithStatObserved]],1,0)</f>
        <v>1</v>
      </c>
    </row>
    <row r="285" spans="1:25" x14ac:dyDescent="0.35">
      <c r="A285" t="s">
        <v>66</v>
      </c>
      <c r="B285" t="s">
        <v>69</v>
      </c>
      <c r="C285">
        <v>48</v>
      </c>
      <c r="D285" t="s">
        <v>70</v>
      </c>
      <c r="E285" t="s">
        <v>73</v>
      </c>
      <c r="F285" t="s">
        <v>72</v>
      </c>
      <c r="G285">
        <v>0</v>
      </c>
      <c r="H285">
        <v>2E+20</v>
      </c>
      <c r="I285">
        <v>0</v>
      </c>
      <c r="J285">
        <v>0</v>
      </c>
      <c r="K285">
        <v>3</v>
      </c>
      <c r="L285" s="5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285" s="5" cm="1">
        <f t="array" ref="M285">MAX(IF((ProjectInfoTable[ProjectName]=DiscreteStatsTable[[#This Row],[ProjectName]]),(ProjectInfoTable[ProjectName]=DiscreteStatsTable[[#This Row],[ProjectName]])*ProjectInfoTable[NumberOfReplications]))</f>
        <v>50</v>
      </c>
      <c r="N285" s="5" cm="1">
        <f t="array" ref="N285">IFERROR(AVERAGE(IF((DiscreteStatsTable[GroupByKey]=DiscreteStatsTable[[#This Row],[GroupByKey]]),(DiscreteStatsTable[GroupByKey]=DiscreteStatsTable[[#This Row],[GroupByKey]])*DiscreteStatsTable[Average])),0)</f>
        <v>0</v>
      </c>
      <c r="O285" s="5" cm="1">
        <f t="array" ref="O285">IFERROR(_xlfn.STDEV.S(IF((DiscreteStatsTable[GroupByKey]=DiscreteStatsTable[[#This Row],[GroupByKey]]),(DiscreteStatsTable[GroupByKey]=DiscreteStatsTable[[#This Row],[GroupByKey]])*DiscreteStatsTable[Average])),0)</f>
        <v>0</v>
      </c>
      <c r="P285" s="5" cm="1">
        <f t="array" ref="P285">MAX(IF((ProjectInfoTable[ProjectName]=DiscreteStatsTable[[#This Row],[ProjectName]]),(ProjectInfoTable[ProjectName]=DiscreteStatsTable[[#This Row],[ProjectName]])*ProjectInfoTable[ConfidenceInterval]))</f>
        <v>0.95</v>
      </c>
      <c r="Q285" s="5">
        <f>IF(AND(DiscreteStatsTable[[#This Row],[RepsWithStatObserved]]=1,Y285=0),200000000000000000000,IFERROR(_xlfn.T.INV.2T(1 -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5" s="5" cm="1">
        <f t="array" ref="R285">MIN(IF((DiscreteStatsTable[GroupByKey]=DiscreteStatsTable[[#This Row],[GroupByKey]]),(DiscreteStatsTable[GroupByKey]=DiscreteStatsTable[[#This Row],[GroupByKey]])*DiscreteStatsTable[Average]))</f>
        <v>0</v>
      </c>
      <c r="S285" s="5" cm="1">
        <f t="array" ref="S285">MAX(IF((DiscreteStatsTable[GroupByKey]=DiscreteStatsTable[[#This Row],[GroupByKey]]),(DiscreteStatsTable[GroupByKey]=DiscreteStatsTable[[#This Row],[GroupByKey]])*DiscreteStatsTable[Average]))</f>
        <v>0</v>
      </c>
      <c r="T285" s="5" cm="1">
        <f t="array" ref="T285">MIN(IF((DiscreteStatsTable[GroupByKey]=DiscreteStatsTable[[#This Row],[GroupByKey]]),(DiscreteStatsTable[GroupByKey]=DiscreteStatsTable[[#This Row],[GroupByKey]])*DiscreteStatsTable[Minimum]))</f>
        <v>0</v>
      </c>
      <c r="U285" s="5" cm="1">
        <f t="array" ref="U285">MAX(IF((DiscreteStatsTable[GroupByKey]=DiscreteStatsTable[[#This Row],[GroupByKey]]),(DiscreteStatsTable[GroupByKey]=DiscreteStatsTable[[#This Row],[GroupByKey]])*DiscreteStatsTable[Maximum]))</f>
        <v>0</v>
      </c>
      <c r="V285" s="5" cm="1">
        <f t="array" ref="V285">IFERROR(AVERAGE(IF((DiscreteStatsTable[GroupByKey]=DiscreteStatsTable[[#This Row],[GroupByKey]]),(DiscreteStatsTable[GroupByKey]=DiscreteStatsTable[[#This Row],[GroupByKey]])*DiscreteStatsTable[NumberObservations])),0)</f>
        <v>3.62</v>
      </c>
      <c r="W285" s="5">
        <f>IF((DiscreteStatsTable[[#This Row],[RepsRequested]]&gt;1),DiscreteStatsTable[[#This Row],[HalfWidth]],DiscreteStatsTable[[#This Row],[BatchMeansHalfWidth]])</f>
        <v>0</v>
      </c>
      <c r="X285" s="5" cm="1">
        <f t="array" ref="X285">COUNT(IF((DiscreteStatsTable[GroupByKey]=DiscreteStatsTable[[#This Row],[GroupByKey]]),(DiscreteStatsTable[GroupByKey]=DiscreteStatsTable[[#This Row],[GroupByKey]])*DiscreteStatsTable[Replication]))</f>
        <v>50</v>
      </c>
      <c r="Y285" s="5">
        <f>IF(DiscreteStatsTable[[#This Row],[RepsRequested]]=DiscreteStatsTable[[#This Row],[RepsWithStatObserved]],1,0)</f>
        <v>1</v>
      </c>
    </row>
    <row r="286" spans="1:25" x14ac:dyDescent="0.35">
      <c r="A286" t="s">
        <v>66</v>
      </c>
      <c r="B286" t="s">
        <v>69</v>
      </c>
      <c r="C286">
        <v>48</v>
      </c>
      <c r="D286" t="s">
        <v>70</v>
      </c>
      <c r="E286" t="s">
        <v>74</v>
      </c>
      <c r="F286" t="s">
        <v>72</v>
      </c>
      <c r="G286">
        <v>4.8404871448919398</v>
      </c>
      <c r="H286">
        <v>2E+20</v>
      </c>
      <c r="I286">
        <v>4.0075507459247603</v>
      </c>
      <c r="J286">
        <v>5.9348730552478299</v>
      </c>
      <c r="K286">
        <v>3</v>
      </c>
      <c r="L286" s="5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286" s="5" cm="1">
        <f t="array" ref="M286">MAX(IF((ProjectInfoTable[ProjectName]=DiscreteStatsTable[[#This Row],[ProjectName]]),(ProjectInfoTable[ProjectName]=DiscreteStatsTable[[#This Row],[ProjectName]])*ProjectInfoTable[NumberOfReplications]))</f>
        <v>50</v>
      </c>
      <c r="N286" s="5" cm="1">
        <f t="array" ref="N286">IFERROR(AVERAGE(IF((DiscreteStatsTable[GroupByKey]=DiscreteStatsTable[[#This Row],[GroupByKey]]),(DiscreteStatsTable[GroupByKey]=DiscreteStatsTable[[#This Row],[GroupByKey]])*DiscreteStatsTable[Average])),0)</f>
        <v>3.5363894499532775</v>
      </c>
      <c r="O286" s="5" cm="1">
        <f t="array" ref="O286">IFERROR(_xlfn.STDEV.S(IF((DiscreteStatsTable[GroupByKey]=DiscreteStatsTable[[#This Row],[GroupByKey]]),(DiscreteStatsTable[GroupByKey]=DiscreteStatsTable[[#This Row],[GroupByKey]])*DiscreteStatsTable[Average])),0)</f>
        <v>1.1766434570133149</v>
      </c>
      <c r="P286" s="5" cm="1">
        <f t="array" ref="P286">MAX(IF((ProjectInfoTable[ProjectName]=DiscreteStatsTable[[#This Row],[ProjectName]]),(ProjectInfoTable[ProjectName]=DiscreteStatsTable[[#This Row],[ProjectName]])*ProjectInfoTable[ConfidenceInterval]))</f>
        <v>0.95</v>
      </c>
      <c r="Q286" s="5">
        <f>IF(AND(DiscreteStatsTable[[#This Row],[RepsWithStatObserved]]=1,Y286=0),200000000000000000000,IFERROR(_xlfn.T.INV.2T(1 -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0.33439837052280896</v>
      </c>
      <c r="R286" s="5" cm="1">
        <f t="array" ref="R286">MIN(IF((DiscreteStatsTable[GroupByKey]=DiscreteStatsTable[[#This Row],[GroupByKey]]),(DiscreteStatsTable[GroupByKey]=DiscreteStatsTable[[#This Row],[GroupByKey]])*DiscreteStatsTable[Average]))</f>
        <v>1.6342264652107701</v>
      </c>
      <c r="S286" s="5" cm="1">
        <f t="array" ref="S286">MAX(IF((DiscreteStatsTable[GroupByKey]=DiscreteStatsTable[[#This Row],[GroupByKey]]),(DiscreteStatsTable[GroupByKey]=DiscreteStatsTable[[#This Row],[GroupByKey]])*DiscreteStatsTable[Average]))</f>
        <v>6.5527373550837904</v>
      </c>
      <c r="T286" s="5" cm="1">
        <f t="array" ref="T286">MIN(IF((DiscreteStatsTable[GroupByKey]=DiscreteStatsTable[[#This Row],[GroupByKey]]),(DiscreteStatsTable[GroupByKey]=DiscreteStatsTable[[#This Row],[GroupByKey]])*DiscreteStatsTable[Minimum]))</f>
        <v>0.58847912081681497</v>
      </c>
      <c r="U286" s="5" cm="1">
        <f t="array" ref="U286">MAX(IF((DiscreteStatsTable[GroupByKey]=DiscreteStatsTable[[#This Row],[GroupByKey]]),(DiscreteStatsTable[GroupByKey]=DiscreteStatsTable[[#This Row],[GroupByKey]])*DiscreteStatsTable[Maximum]))</f>
        <v>8.7476494546828292</v>
      </c>
      <c r="V286" s="5" cm="1">
        <f t="array" ref="V286">IFERROR(AVERAGE(IF((DiscreteStatsTable[GroupByKey]=DiscreteStatsTable[[#This Row],[GroupByKey]]),(DiscreteStatsTable[GroupByKey]=DiscreteStatsTable[[#This Row],[GroupByKey]])*DiscreteStatsTable[NumberObservations])),0)</f>
        <v>3.62</v>
      </c>
      <c r="W286" s="5">
        <f>IF((DiscreteStatsTable[[#This Row],[RepsRequested]]&gt;1),DiscreteStatsTable[[#This Row],[HalfWidth]],DiscreteStatsTable[[#This Row],[BatchMeansHalfWidth]])</f>
        <v>0.33439837052280896</v>
      </c>
      <c r="X286" s="5" cm="1">
        <f t="array" ref="X286">COUNT(IF((DiscreteStatsTable[GroupByKey]=DiscreteStatsTable[[#This Row],[GroupByKey]]),(DiscreteStatsTable[GroupByKey]=DiscreteStatsTable[[#This Row],[GroupByKey]])*DiscreteStatsTable[Replication]))</f>
        <v>50</v>
      </c>
      <c r="Y286" s="5">
        <f>IF(DiscreteStatsTable[[#This Row],[RepsRequested]]=DiscreteStatsTable[[#This Row],[RepsWithStatObserved]],1,0)</f>
        <v>1</v>
      </c>
    </row>
    <row r="287" spans="1:25" x14ac:dyDescent="0.35">
      <c r="A287" t="s">
        <v>66</v>
      </c>
      <c r="B287" t="s">
        <v>69</v>
      </c>
      <c r="C287">
        <v>48</v>
      </c>
      <c r="D287" t="s">
        <v>70</v>
      </c>
      <c r="E287" t="s">
        <v>75</v>
      </c>
      <c r="F287" t="s">
        <v>72</v>
      </c>
      <c r="G287">
        <v>0</v>
      </c>
      <c r="H287">
        <v>2E+20</v>
      </c>
      <c r="I287">
        <v>0</v>
      </c>
      <c r="J287">
        <v>0</v>
      </c>
      <c r="K287">
        <v>3</v>
      </c>
      <c r="L287" s="5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287" s="5" cm="1">
        <f t="array" ref="M287">MAX(IF((ProjectInfoTable[ProjectName]=DiscreteStatsTable[[#This Row],[ProjectName]]),(ProjectInfoTable[ProjectName]=DiscreteStatsTable[[#This Row],[ProjectName]])*ProjectInfoTable[NumberOfReplications]))</f>
        <v>50</v>
      </c>
      <c r="N287" s="5" cm="1">
        <f t="array" ref="N287">IFERROR(AVERAGE(IF((DiscreteStatsTable[GroupByKey]=DiscreteStatsTable[[#This Row],[GroupByKey]]),(DiscreteStatsTable[GroupByKey]=DiscreteStatsTable[[#This Row],[GroupByKey]])*DiscreteStatsTable[Average])),0)</f>
        <v>0</v>
      </c>
      <c r="O287" s="5" cm="1">
        <f t="array" ref="O287">IFERROR(_xlfn.STDEV.S(IF((DiscreteStatsTable[GroupByKey]=DiscreteStatsTable[[#This Row],[GroupByKey]]),(DiscreteStatsTable[GroupByKey]=DiscreteStatsTable[[#This Row],[GroupByKey]])*DiscreteStatsTable[Average])),0)</f>
        <v>0</v>
      </c>
      <c r="P287" s="5" cm="1">
        <f t="array" ref="P287">MAX(IF((ProjectInfoTable[ProjectName]=DiscreteStatsTable[[#This Row],[ProjectName]]),(ProjectInfoTable[ProjectName]=DiscreteStatsTable[[#This Row],[ProjectName]])*ProjectInfoTable[ConfidenceInterval]))</f>
        <v>0.95</v>
      </c>
      <c r="Q287" s="5">
        <f>IF(AND(DiscreteStatsTable[[#This Row],[RepsWithStatObserved]]=1,Y287=0),200000000000000000000,IFERROR(_xlfn.T.INV.2T(1 -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87" s="5" cm="1">
        <f t="array" ref="R287">MIN(IF((DiscreteStatsTable[GroupByKey]=DiscreteStatsTable[[#This Row],[GroupByKey]]),(DiscreteStatsTable[GroupByKey]=DiscreteStatsTable[[#This Row],[GroupByKey]])*DiscreteStatsTable[Average]))</f>
        <v>0</v>
      </c>
      <c r="S287" s="5" cm="1">
        <f t="array" ref="S287">MAX(IF((DiscreteStatsTable[GroupByKey]=DiscreteStatsTable[[#This Row],[GroupByKey]]),(DiscreteStatsTable[GroupByKey]=DiscreteStatsTable[[#This Row],[GroupByKey]])*DiscreteStatsTable[Average]))</f>
        <v>0</v>
      </c>
      <c r="T287" s="5" cm="1">
        <f t="array" ref="T287">MIN(IF((DiscreteStatsTable[GroupByKey]=DiscreteStatsTable[[#This Row],[GroupByKey]]),(DiscreteStatsTable[GroupByKey]=DiscreteStatsTable[[#This Row],[GroupByKey]])*DiscreteStatsTable[Minimum]))</f>
        <v>0</v>
      </c>
      <c r="U287" s="5" cm="1">
        <f t="array" ref="U287">MAX(IF((DiscreteStatsTable[GroupByKey]=DiscreteStatsTable[[#This Row],[GroupByKey]]),(DiscreteStatsTable[GroupByKey]=DiscreteStatsTable[[#This Row],[GroupByKey]])*DiscreteStatsTable[Maximum]))</f>
        <v>0</v>
      </c>
      <c r="V287" s="5" cm="1">
        <f t="array" ref="V287">IFERROR(AVERAGE(IF((DiscreteStatsTable[GroupByKey]=DiscreteStatsTable[[#This Row],[GroupByKey]]),(DiscreteStatsTable[GroupByKey]=DiscreteStatsTable[[#This Row],[GroupByKey]])*DiscreteStatsTable[NumberObservations])),0)</f>
        <v>3.62</v>
      </c>
      <c r="W287" s="5">
        <f>IF((DiscreteStatsTable[[#This Row],[RepsRequested]]&gt;1),DiscreteStatsTable[[#This Row],[HalfWidth]],DiscreteStatsTable[[#This Row],[BatchMeansHalfWidth]])</f>
        <v>0</v>
      </c>
      <c r="X287" s="5" cm="1">
        <f t="array" ref="X287">COUNT(IF((DiscreteStatsTable[GroupByKey]=DiscreteStatsTable[[#This Row],[GroupByKey]]),(DiscreteStatsTable[GroupByKey]=DiscreteStatsTable[[#This Row],[GroupByKey]])*DiscreteStatsTable[Replication]))</f>
        <v>50</v>
      </c>
      <c r="Y287" s="5">
        <f>IF(DiscreteStatsTable[[#This Row],[RepsRequested]]=DiscreteStatsTable[[#This Row],[RepsWithStatObserved]],1,0)</f>
        <v>1</v>
      </c>
    </row>
    <row r="288" spans="1:25" x14ac:dyDescent="0.35">
      <c r="A288" t="s">
        <v>66</v>
      </c>
      <c r="B288" t="s">
        <v>69</v>
      </c>
      <c r="C288">
        <v>48</v>
      </c>
      <c r="D288" t="s">
        <v>70</v>
      </c>
      <c r="E288" t="s">
        <v>76</v>
      </c>
      <c r="F288" t="s">
        <v>72</v>
      </c>
      <c r="G288">
        <v>2.9416403224311898</v>
      </c>
      <c r="H288">
        <v>2E+20</v>
      </c>
      <c r="I288">
        <v>1.7402933223763899</v>
      </c>
      <c r="J288">
        <v>4.0075507459247603</v>
      </c>
      <c r="K288">
        <v>3</v>
      </c>
      <c r="L288" s="5" t="str">
        <f>DiscreteStatsTable[[#This Row],[ProjectName]]&amp;DiscreteStatsTable[[#This Row],[Name]]&amp;DiscreteStatsTable[[#This Row],[Type]]&amp;DiscreteStatsTable[[#This Row],[Source]]</f>
        <v>Unnamed ProjectArquivosVA TimeEntity</v>
      </c>
      <c r="M288" s="5" cm="1">
        <f t="array" ref="M288">MAX(IF((ProjectInfoTable[ProjectName]=DiscreteStatsTable[[#This Row],[ProjectName]]),(ProjectInfoTable[ProjectName]=DiscreteStatsTable[[#This Row],[ProjectName]])*ProjectInfoTable[NumberOfReplications]))</f>
        <v>50</v>
      </c>
      <c r="N288" s="5" cm="1">
        <f t="array" ref="N288">IFERROR(AVERAGE(IF((DiscreteStatsTable[GroupByKey]=DiscreteStatsTable[[#This Row],[GroupByKey]]),(DiscreteStatsTable[GroupByKey]=DiscreteStatsTable[[#This Row],[GroupByKey]])*DiscreteStatsTable[Average])),0)</f>
        <v>2.3123810058270009</v>
      </c>
      <c r="O288" s="5" cm="1">
        <f t="array" ref="O288">IFERROR(_xlfn.STDEV.S(IF((DiscreteStatsTable[GroupByKey]=DiscreteStatsTable[[#This Row],[GroupByKey]]),(DiscreteStatsTable[GroupByKey]=DiscreteStatsTable[[#This Row],[GroupByKey]])*DiscreteStatsTable[Average])),0)</f>
        <v>0.47735516285795621</v>
      </c>
      <c r="P288" s="5" cm="1">
        <f t="array" ref="P288">MAX(IF((ProjectInfoTable[ProjectName]=DiscreteStatsTable[[#This Row],[ProjectName]]),(ProjectInfoTable[ProjectName]=DiscreteStatsTable[[#This Row],[ProjectName]])*ProjectInfoTable[ConfidenceInterval]))</f>
        <v>0.95</v>
      </c>
      <c r="Q288" s="5">
        <f>IF(AND(DiscreteStatsTable[[#This Row],[RepsWithStatObserved]]=1,Y288=0),200000000000000000000,IFERROR(_xlfn.T.INV.2T(1 -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0.13566283623888314</v>
      </c>
      <c r="R288" s="5" cm="1">
        <f t="array" ref="R288">MIN(IF((DiscreteStatsTable[GroupByKey]=DiscreteStatsTable[[#This Row],[GroupByKey]]),(DiscreteStatsTable[GroupByKey]=DiscreteStatsTable[[#This Row],[GroupByKey]])*DiscreteStatsTable[Average]))</f>
        <v>1.3773415743205399</v>
      </c>
      <c r="S288" s="5" cm="1">
        <f t="array" ref="S288">MAX(IF((DiscreteStatsTable[GroupByKey]=DiscreteStatsTable[[#This Row],[GroupByKey]]),(DiscreteStatsTable[GroupByKey]=DiscreteStatsTable[[#This Row],[GroupByKey]])*DiscreteStatsTable[Average]))</f>
        <v>3.3139161730180202</v>
      </c>
      <c r="T288" s="5" cm="1">
        <f t="array" ref="T288">MIN(IF((DiscreteStatsTable[GroupByKey]=DiscreteStatsTable[[#This Row],[GroupByKey]]),(DiscreteStatsTable[GroupByKey]=DiscreteStatsTable[[#This Row],[GroupByKey]])*DiscreteStatsTable[Minimum]))</f>
        <v>0.58847912081681497</v>
      </c>
      <c r="U288" s="5" cm="1">
        <f t="array" ref="U288">MAX(IF((DiscreteStatsTable[GroupByKey]=DiscreteStatsTable[[#This Row],[GroupByKey]]),(DiscreteStatsTable[GroupByKey]=DiscreteStatsTable[[#This Row],[GroupByKey]])*DiscreteStatsTable[Maximum]))</f>
        <v>4.9756405925629998</v>
      </c>
      <c r="V288" s="5" cm="1">
        <f t="array" ref="V288">IFERROR(AVERAGE(IF((DiscreteStatsTable[GroupByKey]=DiscreteStatsTable[[#This Row],[GroupByKey]]),(DiscreteStatsTable[GroupByKey]=DiscreteStatsTable[[#This Row],[GroupByKey]])*DiscreteStatsTable[NumberObservations])),0)</f>
        <v>3.62</v>
      </c>
      <c r="W288" s="5">
        <f>IF((DiscreteStatsTable[[#This Row],[RepsRequested]]&gt;1),DiscreteStatsTable[[#This Row],[HalfWidth]],DiscreteStatsTable[[#This Row],[BatchMeansHalfWidth]])</f>
        <v>0.13566283623888314</v>
      </c>
      <c r="X288" s="5" cm="1">
        <f t="array" ref="X288">COUNT(IF((DiscreteStatsTable[GroupByKey]=DiscreteStatsTable[[#This Row],[GroupByKey]]),(DiscreteStatsTable[GroupByKey]=DiscreteStatsTable[[#This Row],[GroupByKey]])*DiscreteStatsTable[Replication]))</f>
        <v>50</v>
      </c>
      <c r="Y288" s="5">
        <f>IF(DiscreteStatsTable[[#This Row],[RepsRequested]]=DiscreteStatsTable[[#This Row],[RepsWithStatObserved]],1,0)</f>
        <v>1</v>
      </c>
    </row>
    <row r="289" spans="1:25" x14ac:dyDescent="0.35">
      <c r="A289" t="s">
        <v>66</v>
      </c>
      <c r="B289" t="s">
        <v>69</v>
      </c>
      <c r="C289">
        <v>48</v>
      </c>
      <c r="D289" t="s">
        <v>70</v>
      </c>
      <c r="E289" t="s">
        <v>77</v>
      </c>
      <c r="F289" t="s">
        <v>72</v>
      </c>
      <c r="G289">
        <v>1.89884682246075</v>
      </c>
      <c r="H289">
        <v>2E+20</v>
      </c>
      <c r="I289">
        <v>0</v>
      </c>
      <c r="J289">
        <v>2.8577961562554099</v>
      </c>
      <c r="K289">
        <v>3</v>
      </c>
      <c r="L289" s="5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289" s="5" cm="1">
        <f t="array" ref="M289">MAX(IF((ProjectInfoTable[ProjectName]=DiscreteStatsTable[[#This Row],[ProjectName]]),(ProjectInfoTable[ProjectName]=DiscreteStatsTable[[#This Row],[ProjectName]])*ProjectInfoTable[NumberOfReplications]))</f>
        <v>50</v>
      </c>
      <c r="N289" s="5" cm="1">
        <f t="array" ref="N289">IFERROR(AVERAGE(IF((DiscreteStatsTable[GroupByKey]=DiscreteStatsTable[[#This Row],[GroupByKey]]),(DiscreteStatsTable[GroupByKey]=DiscreteStatsTable[[#This Row],[GroupByKey]])*DiscreteStatsTable[Average])),0)</f>
        <v>1.2240084441262762</v>
      </c>
      <c r="O289" s="5" cm="1">
        <f t="array" ref="O289">IFERROR(_xlfn.STDEV.S(IF((DiscreteStatsTable[GroupByKey]=DiscreteStatsTable[[#This Row],[GroupByKey]]),(DiscreteStatsTable[GroupByKey]=DiscreteStatsTable[[#This Row],[GroupByKey]])*DiscreteStatsTable[Average])),0)</f>
        <v>0.89867905452837749</v>
      </c>
      <c r="P289" s="5" cm="1">
        <f t="array" ref="P289">MAX(IF((ProjectInfoTable[ProjectName]=DiscreteStatsTable[[#This Row],[ProjectName]]),(ProjectInfoTable[ProjectName]=DiscreteStatsTable[[#This Row],[ProjectName]])*ProjectInfoTable[ConfidenceInterval]))</f>
        <v>0.95</v>
      </c>
      <c r="Q289" s="5">
        <f>IF(AND(DiscreteStatsTable[[#This Row],[RepsWithStatObserved]]=1,Y289=0),200000000000000000000,IFERROR(_xlfn.T.INV.2T(1 -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0.2554017613968404</v>
      </c>
      <c r="R289" s="5" cm="1">
        <f t="array" ref="R289">MIN(IF((DiscreteStatsTable[GroupByKey]=DiscreteStatsTable[[#This Row],[GroupByKey]]),(DiscreteStatsTable[GroupByKey]=DiscreteStatsTable[[#This Row],[GroupByKey]])*DiscreteStatsTable[Average]))</f>
        <v>0</v>
      </c>
      <c r="S289" s="5" cm="1">
        <f t="array" ref="S289">MAX(IF((DiscreteStatsTable[GroupByKey]=DiscreteStatsTable[[#This Row],[GroupByKey]]),(DiscreteStatsTable[GroupByKey]=DiscreteStatsTable[[#This Row],[GroupByKey]])*DiscreteStatsTable[Average]))</f>
        <v>3.4345522286517598</v>
      </c>
      <c r="T289" s="5" cm="1">
        <f t="array" ref="T289">MIN(IF((DiscreteStatsTable[GroupByKey]=DiscreteStatsTable[[#This Row],[GroupByKey]]),(DiscreteStatsTable[GroupByKey]=DiscreteStatsTable[[#This Row],[GroupByKey]])*DiscreteStatsTable[Minimum]))</f>
        <v>0</v>
      </c>
      <c r="U289" s="5" cm="1">
        <f t="array" ref="U289">MAX(IF((DiscreteStatsTable[GroupByKey]=DiscreteStatsTable[[#This Row],[GroupByKey]]),(DiscreteStatsTable[GroupByKey]=DiscreteStatsTable[[#This Row],[GroupByKey]])*DiscreteStatsTable[Maximum]))</f>
        <v>6.7563093676697896</v>
      </c>
      <c r="V289" s="5" cm="1">
        <f t="array" ref="V289">IFERROR(AVERAGE(IF((DiscreteStatsTable[GroupByKey]=DiscreteStatsTable[[#This Row],[GroupByKey]]),(DiscreteStatsTable[GroupByKey]=DiscreteStatsTable[[#This Row],[GroupByKey]])*DiscreteStatsTable[NumberObservations])),0)</f>
        <v>3.62</v>
      </c>
      <c r="W289" s="5">
        <f>IF((DiscreteStatsTable[[#This Row],[RepsRequested]]&gt;1),DiscreteStatsTable[[#This Row],[HalfWidth]],DiscreteStatsTable[[#This Row],[BatchMeansHalfWidth]])</f>
        <v>0.2554017613968404</v>
      </c>
      <c r="X289" s="5" cm="1">
        <f t="array" ref="X289">COUNT(IF((DiscreteStatsTable[GroupByKey]=DiscreteStatsTable[[#This Row],[GroupByKey]]),(DiscreteStatsTable[GroupByKey]=DiscreteStatsTable[[#This Row],[GroupByKey]])*DiscreteStatsTable[Replication]))</f>
        <v>50</v>
      </c>
      <c r="Y289" s="5">
        <f>IF(DiscreteStatsTable[[#This Row],[RepsRequested]]=DiscreteStatsTable[[#This Row],[RepsWithStatObserved]],1,0)</f>
        <v>1</v>
      </c>
    </row>
    <row r="290" spans="1:25" x14ac:dyDescent="0.35">
      <c r="A290" t="s">
        <v>66</v>
      </c>
      <c r="B290" t="s">
        <v>69</v>
      </c>
      <c r="C290">
        <v>49</v>
      </c>
      <c r="D290" t="s">
        <v>70</v>
      </c>
      <c r="E290" t="s">
        <v>71</v>
      </c>
      <c r="F290" t="s">
        <v>72</v>
      </c>
      <c r="G290">
        <v>0</v>
      </c>
      <c r="H290">
        <v>2E+20</v>
      </c>
      <c r="I290">
        <v>0</v>
      </c>
      <c r="J290">
        <v>0</v>
      </c>
      <c r="K290">
        <v>3</v>
      </c>
      <c r="L290" s="5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290" s="5" cm="1">
        <f t="array" ref="M290">MAX(IF((ProjectInfoTable[ProjectName]=DiscreteStatsTable[[#This Row],[ProjectName]]),(ProjectInfoTable[ProjectName]=DiscreteStatsTable[[#This Row],[ProjectName]])*ProjectInfoTable[NumberOfReplications]))</f>
        <v>50</v>
      </c>
      <c r="N290" s="5" cm="1">
        <f t="array" ref="N290">IFERROR(AVERAGE(IF((DiscreteStatsTable[GroupByKey]=DiscreteStatsTable[[#This Row],[GroupByKey]]),(DiscreteStatsTable[GroupByKey]=DiscreteStatsTable[[#This Row],[GroupByKey]])*DiscreteStatsTable[Average])),0)</f>
        <v>0</v>
      </c>
      <c r="O290" s="5" cm="1">
        <f t="array" ref="O290">IFERROR(_xlfn.STDEV.S(IF((DiscreteStatsTable[GroupByKey]=DiscreteStatsTable[[#This Row],[GroupByKey]]),(DiscreteStatsTable[GroupByKey]=DiscreteStatsTable[[#This Row],[GroupByKey]])*DiscreteStatsTable[Average])),0)</f>
        <v>0</v>
      </c>
      <c r="P290" s="5" cm="1">
        <f t="array" ref="P290">MAX(IF((ProjectInfoTable[ProjectName]=DiscreteStatsTable[[#This Row],[ProjectName]]),(ProjectInfoTable[ProjectName]=DiscreteStatsTable[[#This Row],[ProjectName]])*ProjectInfoTable[ConfidenceInterval]))</f>
        <v>0.95</v>
      </c>
      <c r="Q290" s="5">
        <f>IF(AND(DiscreteStatsTable[[#This Row],[RepsWithStatObserved]]=1,Y290=0),200000000000000000000,IFERROR(_xlfn.T.INV.2T(1 -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0" s="5" cm="1">
        <f t="array" ref="R290">MIN(IF((DiscreteStatsTable[GroupByKey]=DiscreteStatsTable[[#This Row],[GroupByKey]]),(DiscreteStatsTable[GroupByKey]=DiscreteStatsTable[[#This Row],[GroupByKey]])*DiscreteStatsTable[Average]))</f>
        <v>0</v>
      </c>
      <c r="S290" s="5" cm="1">
        <f t="array" ref="S290">MAX(IF((DiscreteStatsTable[GroupByKey]=DiscreteStatsTable[[#This Row],[GroupByKey]]),(DiscreteStatsTable[GroupByKey]=DiscreteStatsTable[[#This Row],[GroupByKey]])*DiscreteStatsTable[Average]))</f>
        <v>0</v>
      </c>
      <c r="T290" s="5" cm="1">
        <f t="array" ref="T290">MIN(IF((DiscreteStatsTable[GroupByKey]=DiscreteStatsTable[[#This Row],[GroupByKey]]),(DiscreteStatsTable[GroupByKey]=DiscreteStatsTable[[#This Row],[GroupByKey]])*DiscreteStatsTable[Minimum]))</f>
        <v>0</v>
      </c>
      <c r="U290" s="5" cm="1">
        <f t="array" ref="U290">MAX(IF((DiscreteStatsTable[GroupByKey]=DiscreteStatsTable[[#This Row],[GroupByKey]]),(DiscreteStatsTable[GroupByKey]=DiscreteStatsTable[[#This Row],[GroupByKey]])*DiscreteStatsTable[Maximum]))</f>
        <v>0</v>
      </c>
      <c r="V290" s="5" cm="1">
        <f t="array" ref="V290">IFERROR(AVERAGE(IF((DiscreteStatsTable[GroupByKey]=DiscreteStatsTable[[#This Row],[GroupByKey]]),(DiscreteStatsTable[GroupByKey]=DiscreteStatsTable[[#This Row],[GroupByKey]])*DiscreteStatsTable[NumberObservations])),0)</f>
        <v>3.62</v>
      </c>
      <c r="W290" s="5">
        <f>IF((DiscreteStatsTable[[#This Row],[RepsRequested]]&gt;1),DiscreteStatsTable[[#This Row],[HalfWidth]],DiscreteStatsTable[[#This Row],[BatchMeansHalfWidth]])</f>
        <v>0</v>
      </c>
      <c r="X290" s="5" cm="1">
        <f t="array" ref="X290">COUNT(IF((DiscreteStatsTable[GroupByKey]=DiscreteStatsTable[[#This Row],[GroupByKey]]),(DiscreteStatsTable[GroupByKey]=DiscreteStatsTable[[#This Row],[GroupByKey]])*DiscreteStatsTable[Replication]))</f>
        <v>50</v>
      </c>
      <c r="Y290" s="5">
        <f>IF(DiscreteStatsTable[[#This Row],[RepsRequested]]=DiscreteStatsTable[[#This Row],[RepsWithStatObserved]],1,0)</f>
        <v>1</v>
      </c>
    </row>
    <row r="291" spans="1:25" x14ac:dyDescent="0.35">
      <c r="A291" t="s">
        <v>66</v>
      </c>
      <c r="B291" t="s">
        <v>69</v>
      </c>
      <c r="C291">
        <v>49</v>
      </c>
      <c r="D291" t="s">
        <v>70</v>
      </c>
      <c r="E291" t="s">
        <v>73</v>
      </c>
      <c r="F291" t="s">
        <v>72</v>
      </c>
      <c r="G291">
        <v>0</v>
      </c>
      <c r="H291">
        <v>2E+20</v>
      </c>
      <c r="I291">
        <v>0</v>
      </c>
      <c r="J291">
        <v>0</v>
      </c>
      <c r="K291">
        <v>3</v>
      </c>
      <c r="L291" s="5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291" s="5" cm="1">
        <f t="array" ref="M291">MAX(IF((ProjectInfoTable[ProjectName]=DiscreteStatsTable[[#This Row],[ProjectName]]),(ProjectInfoTable[ProjectName]=DiscreteStatsTable[[#This Row],[ProjectName]])*ProjectInfoTable[NumberOfReplications]))</f>
        <v>50</v>
      </c>
      <c r="N291" s="5" cm="1">
        <f t="array" ref="N291">IFERROR(AVERAGE(IF((DiscreteStatsTable[GroupByKey]=DiscreteStatsTable[[#This Row],[GroupByKey]]),(DiscreteStatsTable[GroupByKey]=DiscreteStatsTable[[#This Row],[GroupByKey]])*DiscreteStatsTable[Average])),0)</f>
        <v>0</v>
      </c>
      <c r="O291" s="5" cm="1">
        <f t="array" ref="O291">IFERROR(_xlfn.STDEV.S(IF((DiscreteStatsTable[GroupByKey]=DiscreteStatsTable[[#This Row],[GroupByKey]]),(DiscreteStatsTable[GroupByKey]=DiscreteStatsTable[[#This Row],[GroupByKey]])*DiscreteStatsTable[Average])),0)</f>
        <v>0</v>
      </c>
      <c r="P291" s="5" cm="1">
        <f t="array" ref="P291">MAX(IF((ProjectInfoTable[ProjectName]=DiscreteStatsTable[[#This Row],[ProjectName]]),(ProjectInfoTable[ProjectName]=DiscreteStatsTable[[#This Row],[ProjectName]])*ProjectInfoTable[ConfidenceInterval]))</f>
        <v>0.95</v>
      </c>
      <c r="Q291" s="5">
        <f>IF(AND(DiscreteStatsTable[[#This Row],[RepsWithStatObserved]]=1,Y291=0),200000000000000000000,IFERROR(_xlfn.T.INV.2T(1 -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1" s="5" cm="1">
        <f t="array" ref="R291">MIN(IF((DiscreteStatsTable[GroupByKey]=DiscreteStatsTable[[#This Row],[GroupByKey]]),(DiscreteStatsTable[GroupByKey]=DiscreteStatsTable[[#This Row],[GroupByKey]])*DiscreteStatsTable[Average]))</f>
        <v>0</v>
      </c>
      <c r="S291" s="5" cm="1">
        <f t="array" ref="S291">MAX(IF((DiscreteStatsTable[GroupByKey]=DiscreteStatsTable[[#This Row],[GroupByKey]]),(DiscreteStatsTable[GroupByKey]=DiscreteStatsTable[[#This Row],[GroupByKey]])*DiscreteStatsTable[Average]))</f>
        <v>0</v>
      </c>
      <c r="T291" s="5" cm="1">
        <f t="array" ref="T291">MIN(IF((DiscreteStatsTable[GroupByKey]=DiscreteStatsTable[[#This Row],[GroupByKey]]),(DiscreteStatsTable[GroupByKey]=DiscreteStatsTable[[#This Row],[GroupByKey]])*DiscreteStatsTable[Minimum]))</f>
        <v>0</v>
      </c>
      <c r="U291" s="5" cm="1">
        <f t="array" ref="U291">MAX(IF((DiscreteStatsTable[GroupByKey]=DiscreteStatsTable[[#This Row],[GroupByKey]]),(DiscreteStatsTable[GroupByKey]=DiscreteStatsTable[[#This Row],[GroupByKey]])*DiscreteStatsTable[Maximum]))</f>
        <v>0</v>
      </c>
      <c r="V291" s="5" cm="1">
        <f t="array" ref="V291">IFERROR(AVERAGE(IF((DiscreteStatsTable[GroupByKey]=DiscreteStatsTable[[#This Row],[GroupByKey]]),(DiscreteStatsTable[GroupByKey]=DiscreteStatsTable[[#This Row],[GroupByKey]])*DiscreteStatsTable[NumberObservations])),0)</f>
        <v>3.62</v>
      </c>
      <c r="W291" s="5">
        <f>IF((DiscreteStatsTable[[#This Row],[RepsRequested]]&gt;1),DiscreteStatsTable[[#This Row],[HalfWidth]],DiscreteStatsTable[[#This Row],[BatchMeansHalfWidth]])</f>
        <v>0</v>
      </c>
      <c r="X291" s="5" cm="1">
        <f t="array" ref="X291">COUNT(IF((DiscreteStatsTable[GroupByKey]=DiscreteStatsTable[[#This Row],[GroupByKey]]),(DiscreteStatsTable[GroupByKey]=DiscreteStatsTable[[#This Row],[GroupByKey]])*DiscreteStatsTable[Replication]))</f>
        <v>50</v>
      </c>
      <c r="Y291" s="5">
        <f>IF(DiscreteStatsTable[[#This Row],[RepsRequested]]=DiscreteStatsTable[[#This Row],[RepsWithStatObserved]],1,0)</f>
        <v>1</v>
      </c>
    </row>
    <row r="292" spans="1:25" x14ac:dyDescent="0.35">
      <c r="A292" t="s">
        <v>66</v>
      </c>
      <c r="B292" t="s">
        <v>69</v>
      </c>
      <c r="C292">
        <v>49</v>
      </c>
      <c r="D292" t="s">
        <v>70</v>
      </c>
      <c r="E292" t="s">
        <v>74</v>
      </c>
      <c r="F292" t="s">
        <v>72</v>
      </c>
      <c r="G292">
        <v>1.9542091402833299</v>
      </c>
      <c r="H292">
        <v>2E+20</v>
      </c>
      <c r="I292">
        <v>1.3691809575613401</v>
      </c>
      <c r="J292">
        <v>2.2597043891093498</v>
      </c>
      <c r="K292">
        <v>3</v>
      </c>
      <c r="L292" s="5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292" s="5" cm="1">
        <f t="array" ref="M292">MAX(IF((ProjectInfoTable[ProjectName]=DiscreteStatsTable[[#This Row],[ProjectName]]),(ProjectInfoTable[ProjectName]=DiscreteStatsTable[[#This Row],[ProjectName]])*ProjectInfoTable[NumberOfReplications]))</f>
        <v>50</v>
      </c>
      <c r="N292" s="5" cm="1">
        <f t="array" ref="N292">IFERROR(AVERAGE(IF((DiscreteStatsTable[GroupByKey]=DiscreteStatsTable[[#This Row],[GroupByKey]]),(DiscreteStatsTable[GroupByKey]=DiscreteStatsTable[[#This Row],[GroupByKey]])*DiscreteStatsTable[Average])),0)</f>
        <v>3.5363894499532775</v>
      </c>
      <c r="O292" s="5" cm="1">
        <f t="array" ref="O292">IFERROR(_xlfn.STDEV.S(IF((DiscreteStatsTable[GroupByKey]=DiscreteStatsTable[[#This Row],[GroupByKey]]),(DiscreteStatsTable[GroupByKey]=DiscreteStatsTable[[#This Row],[GroupByKey]])*DiscreteStatsTable[Average])),0)</f>
        <v>1.1766434570133149</v>
      </c>
      <c r="P292" s="5" cm="1">
        <f t="array" ref="P292">MAX(IF((ProjectInfoTable[ProjectName]=DiscreteStatsTable[[#This Row],[ProjectName]]),(ProjectInfoTable[ProjectName]=DiscreteStatsTable[[#This Row],[ProjectName]])*ProjectInfoTable[ConfidenceInterval]))</f>
        <v>0.95</v>
      </c>
      <c r="Q292" s="5">
        <f>IF(AND(DiscreteStatsTable[[#This Row],[RepsWithStatObserved]]=1,Y292=0),200000000000000000000,IFERROR(_xlfn.T.INV.2T(1 -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0.33439837052280896</v>
      </c>
      <c r="R292" s="5" cm="1">
        <f t="array" ref="R292">MIN(IF((DiscreteStatsTable[GroupByKey]=DiscreteStatsTable[[#This Row],[GroupByKey]]),(DiscreteStatsTable[GroupByKey]=DiscreteStatsTable[[#This Row],[GroupByKey]])*DiscreteStatsTable[Average]))</f>
        <v>1.6342264652107701</v>
      </c>
      <c r="S292" s="5" cm="1">
        <f t="array" ref="S292">MAX(IF((DiscreteStatsTable[GroupByKey]=DiscreteStatsTable[[#This Row],[GroupByKey]]),(DiscreteStatsTable[GroupByKey]=DiscreteStatsTable[[#This Row],[GroupByKey]])*DiscreteStatsTable[Average]))</f>
        <v>6.5527373550837904</v>
      </c>
      <c r="T292" s="5" cm="1">
        <f t="array" ref="T292">MIN(IF((DiscreteStatsTable[GroupByKey]=DiscreteStatsTable[[#This Row],[GroupByKey]]),(DiscreteStatsTable[GroupByKey]=DiscreteStatsTable[[#This Row],[GroupByKey]])*DiscreteStatsTable[Minimum]))</f>
        <v>0.58847912081681497</v>
      </c>
      <c r="U292" s="5" cm="1">
        <f t="array" ref="U292">MAX(IF((DiscreteStatsTable[GroupByKey]=DiscreteStatsTable[[#This Row],[GroupByKey]]),(DiscreteStatsTable[GroupByKey]=DiscreteStatsTable[[#This Row],[GroupByKey]])*DiscreteStatsTable[Maximum]))</f>
        <v>8.7476494546828292</v>
      </c>
      <c r="V292" s="5" cm="1">
        <f t="array" ref="V292">IFERROR(AVERAGE(IF((DiscreteStatsTable[GroupByKey]=DiscreteStatsTable[[#This Row],[GroupByKey]]),(DiscreteStatsTable[GroupByKey]=DiscreteStatsTable[[#This Row],[GroupByKey]])*DiscreteStatsTable[NumberObservations])),0)</f>
        <v>3.62</v>
      </c>
      <c r="W292" s="5">
        <f>IF((DiscreteStatsTable[[#This Row],[RepsRequested]]&gt;1),DiscreteStatsTable[[#This Row],[HalfWidth]],DiscreteStatsTable[[#This Row],[BatchMeansHalfWidth]])</f>
        <v>0.33439837052280896</v>
      </c>
      <c r="X292" s="5" cm="1">
        <f t="array" ref="X292">COUNT(IF((DiscreteStatsTable[GroupByKey]=DiscreteStatsTable[[#This Row],[GroupByKey]]),(DiscreteStatsTable[GroupByKey]=DiscreteStatsTable[[#This Row],[GroupByKey]])*DiscreteStatsTable[Replication]))</f>
        <v>50</v>
      </c>
      <c r="Y292" s="5">
        <f>IF(DiscreteStatsTable[[#This Row],[RepsRequested]]=DiscreteStatsTable[[#This Row],[RepsWithStatObserved]],1,0)</f>
        <v>1</v>
      </c>
    </row>
    <row r="293" spans="1:25" x14ac:dyDescent="0.35">
      <c r="A293" t="s">
        <v>66</v>
      </c>
      <c r="B293" t="s">
        <v>69</v>
      </c>
      <c r="C293">
        <v>49</v>
      </c>
      <c r="D293" t="s">
        <v>70</v>
      </c>
      <c r="E293" t="s">
        <v>75</v>
      </c>
      <c r="F293" t="s">
        <v>72</v>
      </c>
      <c r="G293">
        <v>0</v>
      </c>
      <c r="H293">
        <v>2E+20</v>
      </c>
      <c r="I293">
        <v>0</v>
      </c>
      <c r="J293">
        <v>0</v>
      </c>
      <c r="K293">
        <v>3</v>
      </c>
      <c r="L293" s="5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293" s="5" cm="1">
        <f t="array" ref="M293">MAX(IF((ProjectInfoTable[ProjectName]=DiscreteStatsTable[[#This Row],[ProjectName]]),(ProjectInfoTable[ProjectName]=DiscreteStatsTable[[#This Row],[ProjectName]])*ProjectInfoTable[NumberOfReplications]))</f>
        <v>50</v>
      </c>
      <c r="N293" s="5" cm="1">
        <f t="array" ref="N293">IFERROR(AVERAGE(IF((DiscreteStatsTable[GroupByKey]=DiscreteStatsTable[[#This Row],[GroupByKey]]),(DiscreteStatsTable[GroupByKey]=DiscreteStatsTable[[#This Row],[GroupByKey]])*DiscreteStatsTable[Average])),0)</f>
        <v>0</v>
      </c>
      <c r="O293" s="5" cm="1">
        <f t="array" ref="O293">IFERROR(_xlfn.STDEV.S(IF((DiscreteStatsTable[GroupByKey]=DiscreteStatsTable[[#This Row],[GroupByKey]]),(DiscreteStatsTable[GroupByKey]=DiscreteStatsTable[[#This Row],[GroupByKey]])*DiscreteStatsTable[Average])),0)</f>
        <v>0</v>
      </c>
      <c r="P293" s="5" cm="1">
        <f t="array" ref="P293">MAX(IF((ProjectInfoTable[ProjectName]=DiscreteStatsTable[[#This Row],[ProjectName]]),(ProjectInfoTable[ProjectName]=DiscreteStatsTable[[#This Row],[ProjectName]])*ProjectInfoTable[ConfidenceInterval]))</f>
        <v>0.95</v>
      </c>
      <c r="Q293" s="5">
        <f>IF(AND(DiscreteStatsTable[[#This Row],[RepsWithStatObserved]]=1,Y293=0),200000000000000000000,IFERROR(_xlfn.T.INV.2T(1 -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3" s="5" cm="1">
        <f t="array" ref="R293">MIN(IF((DiscreteStatsTable[GroupByKey]=DiscreteStatsTable[[#This Row],[GroupByKey]]),(DiscreteStatsTable[GroupByKey]=DiscreteStatsTable[[#This Row],[GroupByKey]])*DiscreteStatsTable[Average]))</f>
        <v>0</v>
      </c>
      <c r="S293" s="5" cm="1">
        <f t="array" ref="S293">MAX(IF((DiscreteStatsTable[GroupByKey]=DiscreteStatsTable[[#This Row],[GroupByKey]]),(DiscreteStatsTable[GroupByKey]=DiscreteStatsTable[[#This Row],[GroupByKey]])*DiscreteStatsTable[Average]))</f>
        <v>0</v>
      </c>
      <c r="T293" s="5" cm="1">
        <f t="array" ref="T293">MIN(IF((DiscreteStatsTable[GroupByKey]=DiscreteStatsTable[[#This Row],[GroupByKey]]),(DiscreteStatsTable[GroupByKey]=DiscreteStatsTable[[#This Row],[GroupByKey]])*DiscreteStatsTable[Minimum]))</f>
        <v>0</v>
      </c>
      <c r="U293" s="5" cm="1">
        <f t="array" ref="U293">MAX(IF((DiscreteStatsTable[GroupByKey]=DiscreteStatsTable[[#This Row],[GroupByKey]]),(DiscreteStatsTable[GroupByKey]=DiscreteStatsTable[[#This Row],[GroupByKey]])*DiscreteStatsTable[Maximum]))</f>
        <v>0</v>
      </c>
      <c r="V293" s="5" cm="1">
        <f t="array" ref="V293">IFERROR(AVERAGE(IF((DiscreteStatsTable[GroupByKey]=DiscreteStatsTable[[#This Row],[GroupByKey]]),(DiscreteStatsTable[GroupByKey]=DiscreteStatsTable[[#This Row],[GroupByKey]])*DiscreteStatsTable[NumberObservations])),0)</f>
        <v>3.62</v>
      </c>
      <c r="W293" s="5">
        <f>IF((DiscreteStatsTable[[#This Row],[RepsRequested]]&gt;1),DiscreteStatsTable[[#This Row],[HalfWidth]],DiscreteStatsTable[[#This Row],[BatchMeansHalfWidth]])</f>
        <v>0</v>
      </c>
      <c r="X293" s="5" cm="1">
        <f t="array" ref="X293">COUNT(IF((DiscreteStatsTable[GroupByKey]=DiscreteStatsTable[[#This Row],[GroupByKey]]),(DiscreteStatsTable[GroupByKey]=DiscreteStatsTable[[#This Row],[GroupByKey]])*DiscreteStatsTable[Replication]))</f>
        <v>50</v>
      </c>
      <c r="Y293" s="5">
        <f>IF(DiscreteStatsTable[[#This Row],[RepsRequested]]=DiscreteStatsTable[[#This Row],[RepsWithStatObserved]],1,0)</f>
        <v>1</v>
      </c>
    </row>
    <row r="294" spans="1:25" x14ac:dyDescent="0.35">
      <c r="A294" t="s">
        <v>66</v>
      </c>
      <c r="B294" t="s">
        <v>69</v>
      </c>
      <c r="C294">
        <v>49</v>
      </c>
      <c r="D294" t="s">
        <v>70</v>
      </c>
      <c r="E294" t="s">
        <v>76</v>
      </c>
      <c r="F294" t="s">
        <v>72</v>
      </c>
      <c r="G294">
        <v>1.9542091402833299</v>
      </c>
      <c r="H294">
        <v>2E+20</v>
      </c>
      <c r="I294">
        <v>1.3691809575613401</v>
      </c>
      <c r="J294">
        <v>2.2597043891093498</v>
      </c>
      <c r="K294">
        <v>3</v>
      </c>
      <c r="L294" s="5" t="str">
        <f>DiscreteStatsTable[[#This Row],[ProjectName]]&amp;DiscreteStatsTable[[#This Row],[Name]]&amp;DiscreteStatsTable[[#This Row],[Type]]&amp;DiscreteStatsTable[[#This Row],[Source]]</f>
        <v>Unnamed ProjectArquivosVA TimeEntity</v>
      </c>
      <c r="M294" s="5" cm="1">
        <f t="array" ref="M294">MAX(IF((ProjectInfoTable[ProjectName]=DiscreteStatsTable[[#This Row],[ProjectName]]),(ProjectInfoTable[ProjectName]=DiscreteStatsTable[[#This Row],[ProjectName]])*ProjectInfoTable[NumberOfReplications]))</f>
        <v>50</v>
      </c>
      <c r="N294" s="5" cm="1">
        <f t="array" ref="N294">IFERROR(AVERAGE(IF((DiscreteStatsTable[GroupByKey]=DiscreteStatsTable[[#This Row],[GroupByKey]]),(DiscreteStatsTable[GroupByKey]=DiscreteStatsTable[[#This Row],[GroupByKey]])*DiscreteStatsTable[Average])),0)</f>
        <v>2.3123810058270009</v>
      </c>
      <c r="O294" s="5" cm="1">
        <f t="array" ref="O294">IFERROR(_xlfn.STDEV.S(IF((DiscreteStatsTable[GroupByKey]=DiscreteStatsTable[[#This Row],[GroupByKey]]),(DiscreteStatsTable[GroupByKey]=DiscreteStatsTable[[#This Row],[GroupByKey]])*DiscreteStatsTable[Average])),0)</f>
        <v>0.47735516285795621</v>
      </c>
      <c r="P294" s="5" cm="1">
        <f t="array" ref="P294">MAX(IF((ProjectInfoTable[ProjectName]=DiscreteStatsTable[[#This Row],[ProjectName]]),(ProjectInfoTable[ProjectName]=DiscreteStatsTable[[#This Row],[ProjectName]])*ProjectInfoTable[ConfidenceInterval]))</f>
        <v>0.95</v>
      </c>
      <c r="Q294" s="5">
        <f>IF(AND(DiscreteStatsTable[[#This Row],[RepsWithStatObserved]]=1,Y294=0),200000000000000000000,IFERROR(_xlfn.T.INV.2T(1 -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0.13566283623888314</v>
      </c>
      <c r="R294" s="5" cm="1">
        <f t="array" ref="R294">MIN(IF((DiscreteStatsTable[GroupByKey]=DiscreteStatsTable[[#This Row],[GroupByKey]]),(DiscreteStatsTable[GroupByKey]=DiscreteStatsTable[[#This Row],[GroupByKey]])*DiscreteStatsTable[Average]))</f>
        <v>1.3773415743205399</v>
      </c>
      <c r="S294" s="5" cm="1">
        <f t="array" ref="S294">MAX(IF((DiscreteStatsTable[GroupByKey]=DiscreteStatsTable[[#This Row],[GroupByKey]]),(DiscreteStatsTable[GroupByKey]=DiscreteStatsTable[[#This Row],[GroupByKey]])*DiscreteStatsTable[Average]))</f>
        <v>3.3139161730180202</v>
      </c>
      <c r="T294" s="5" cm="1">
        <f t="array" ref="T294">MIN(IF((DiscreteStatsTable[GroupByKey]=DiscreteStatsTable[[#This Row],[GroupByKey]]),(DiscreteStatsTable[GroupByKey]=DiscreteStatsTable[[#This Row],[GroupByKey]])*DiscreteStatsTable[Minimum]))</f>
        <v>0.58847912081681497</v>
      </c>
      <c r="U294" s="5" cm="1">
        <f t="array" ref="U294">MAX(IF((DiscreteStatsTable[GroupByKey]=DiscreteStatsTable[[#This Row],[GroupByKey]]),(DiscreteStatsTable[GroupByKey]=DiscreteStatsTable[[#This Row],[GroupByKey]])*DiscreteStatsTable[Maximum]))</f>
        <v>4.9756405925629998</v>
      </c>
      <c r="V294" s="5" cm="1">
        <f t="array" ref="V294">IFERROR(AVERAGE(IF((DiscreteStatsTable[GroupByKey]=DiscreteStatsTable[[#This Row],[GroupByKey]]),(DiscreteStatsTable[GroupByKey]=DiscreteStatsTable[[#This Row],[GroupByKey]])*DiscreteStatsTable[NumberObservations])),0)</f>
        <v>3.62</v>
      </c>
      <c r="W294" s="5">
        <f>IF((DiscreteStatsTable[[#This Row],[RepsRequested]]&gt;1),DiscreteStatsTable[[#This Row],[HalfWidth]],DiscreteStatsTable[[#This Row],[BatchMeansHalfWidth]])</f>
        <v>0.13566283623888314</v>
      </c>
      <c r="X294" s="5" cm="1">
        <f t="array" ref="X294">COUNT(IF((DiscreteStatsTable[GroupByKey]=DiscreteStatsTable[[#This Row],[GroupByKey]]),(DiscreteStatsTable[GroupByKey]=DiscreteStatsTable[[#This Row],[GroupByKey]])*DiscreteStatsTable[Replication]))</f>
        <v>50</v>
      </c>
      <c r="Y294" s="5">
        <f>IF(DiscreteStatsTable[[#This Row],[RepsRequested]]=DiscreteStatsTable[[#This Row],[RepsWithStatObserved]],1,0)</f>
        <v>1</v>
      </c>
    </row>
    <row r="295" spans="1:25" x14ac:dyDescent="0.35">
      <c r="A295" t="s">
        <v>66</v>
      </c>
      <c r="B295" t="s">
        <v>69</v>
      </c>
      <c r="C295">
        <v>49</v>
      </c>
      <c r="D295" t="s">
        <v>70</v>
      </c>
      <c r="E295" t="s">
        <v>77</v>
      </c>
      <c r="F295" t="s">
        <v>72</v>
      </c>
      <c r="G295">
        <v>0</v>
      </c>
      <c r="H295">
        <v>2E+20</v>
      </c>
      <c r="I295">
        <v>0</v>
      </c>
      <c r="J295">
        <v>0</v>
      </c>
      <c r="K295">
        <v>3</v>
      </c>
      <c r="L295" s="5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295" s="5" cm="1">
        <f t="array" ref="M295">MAX(IF((ProjectInfoTable[ProjectName]=DiscreteStatsTable[[#This Row],[ProjectName]]),(ProjectInfoTable[ProjectName]=DiscreteStatsTable[[#This Row],[ProjectName]])*ProjectInfoTable[NumberOfReplications]))</f>
        <v>50</v>
      </c>
      <c r="N295" s="5" cm="1">
        <f t="array" ref="N295">IFERROR(AVERAGE(IF((DiscreteStatsTable[GroupByKey]=DiscreteStatsTable[[#This Row],[GroupByKey]]),(DiscreteStatsTable[GroupByKey]=DiscreteStatsTable[[#This Row],[GroupByKey]])*DiscreteStatsTable[Average])),0)</f>
        <v>1.2240084441262762</v>
      </c>
      <c r="O295" s="5" cm="1">
        <f t="array" ref="O295">IFERROR(_xlfn.STDEV.S(IF((DiscreteStatsTable[GroupByKey]=DiscreteStatsTable[[#This Row],[GroupByKey]]),(DiscreteStatsTable[GroupByKey]=DiscreteStatsTable[[#This Row],[GroupByKey]])*DiscreteStatsTable[Average])),0)</f>
        <v>0.89867905452837749</v>
      </c>
      <c r="P295" s="5" cm="1">
        <f t="array" ref="P295">MAX(IF((ProjectInfoTable[ProjectName]=DiscreteStatsTable[[#This Row],[ProjectName]]),(ProjectInfoTable[ProjectName]=DiscreteStatsTable[[#This Row],[ProjectName]])*ProjectInfoTable[ConfidenceInterval]))</f>
        <v>0.95</v>
      </c>
      <c r="Q295" s="5">
        <f>IF(AND(DiscreteStatsTable[[#This Row],[RepsWithStatObserved]]=1,Y295=0),200000000000000000000,IFERROR(_xlfn.T.INV.2T(1 -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0.2554017613968404</v>
      </c>
      <c r="R295" s="5" cm="1">
        <f t="array" ref="R295">MIN(IF((DiscreteStatsTable[GroupByKey]=DiscreteStatsTable[[#This Row],[GroupByKey]]),(DiscreteStatsTable[GroupByKey]=DiscreteStatsTable[[#This Row],[GroupByKey]])*DiscreteStatsTable[Average]))</f>
        <v>0</v>
      </c>
      <c r="S295" s="5" cm="1">
        <f t="array" ref="S295">MAX(IF((DiscreteStatsTable[GroupByKey]=DiscreteStatsTable[[#This Row],[GroupByKey]]),(DiscreteStatsTable[GroupByKey]=DiscreteStatsTable[[#This Row],[GroupByKey]])*DiscreteStatsTable[Average]))</f>
        <v>3.4345522286517598</v>
      </c>
      <c r="T295" s="5" cm="1">
        <f t="array" ref="T295">MIN(IF((DiscreteStatsTable[GroupByKey]=DiscreteStatsTable[[#This Row],[GroupByKey]]),(DiscreteStatsTable[GroupByKey]=DiscreteStatsTable[[#This Row],[GroupByKey]])*DiscreteStatsTable[Minimum]))</f>
        <v>0</v>
      </c>
      <c r="U295" s="5" cm="1">
        <f t="array" ref="U295">MAX(IF((DiscreteStatsTable[GroupByKey]=DiscreteStatsTable[[#This Row],[GroupByKey]]),(DiscreteStatsTable[GroupByKey]=DiscreteStatsTable[[#This Row],[GroupByKey]])*DiscreteStatsTable[Maximum]))</f>
        <v>6.7563093676697896</v>
      </c>
      <c r="V295" s="5" cm="1">
        <f t="array" ref="V295">IFERROR(AVERAGE(IF((DiscreteStatsTable[GroupByKey]=DiscreteStatsTable[[#This Row],[GroupByKey]]),(DiscreteStatsTable[GroupByKey]=DiscreteStatsTable[[#This Row],[GroupByKey]])*DiscreteStatsTable[NumberObservations])),0)</f>
        <v>3.62</v>
      </c>
      <c r="W295" s="5">
        <f>IF((DiscreteStatsTable[[#This Row],[RepsRequested]]&gt;1),DiscreteStatsTable[[#This Row],[HalfWidth]],DiscreteStatsTable[[#This Row],[BatchMeansHalfWidth]])</f>
        <v>0.2554017613968404</v>
      </c>
      <c r="X295" s="5" cm="1">
        <f t="array" ref="X295">COUNT(IF((DiscreteStatsTable[GroupByKey]=DiscreteStatsTable[[#This Row],[GroupByKey]]),(DiscreteStatsTable[GroupByKey]=DiscreteStatsTable[[#This Row],[GroupByKey]])*DiscreteStatsTable[Replication]))</f>
        <v>50</v>
      </c>
      <c r="Y295" s="5">
        <f>IF(DiscreteStatsTable[[#This Row],[RepsRequested]]=DiscreteStatsTable[[#This Row],[RepsWithStatObserved]],1,0)</f>
        <v>1</v>
      </c>
    </row>
    <row r="296" spans="1:25" x14ac:dyDescent="0.35">
      <c r="A296" t="s">
        <v>66</v>
      </c>
      <c r="B296" t="s">
        <v>69</v>
      </c>
      <c r="C296">
        <v>50</v>
      </c>
      <c r="D296" t="s">
        <v>70</v>
      </c>
      <c r="E296" t="s">
        <v>71</v>
      </c>
      <c r="F296" t="s">
        <v>72</v>
      </c>
      <c r="G296">
        <v>0</v>
      </c>
      <c r="H296">
        <v>2E+20</v>
      </c>
      <c r="I296">
        <v>0</v>
      </c>
      <c r="J296">
        <v>0</v>
      </c>
      <c r="K296">
        <v>4</v>
      </c>
      <c r="L296" s="5" t="str">
        <f>DiscreteStatsTable[[#This Row],[ProjectName]]&amp;DiscreteStatsTable[[#This Row],[Name]]&amp;DiscreteStatsTable[[#This Row],[Type]]&amp;DiscreteStatsTable[[#This Row],[Source]]</f>
        <v>Unnamed ProjectArquivosNVA TimeEntity</v>
      </c>
      <c r="M296" s="5" cm="1">
        <f t="array" ref="M296">MAX(IF((ProjectInfoTable[ProjectName]=DiscreteStatsTable[[#This Row],[ProjectName]]),(ProjectInfoTable[ProjectName]=DiscreteStatsTable[[#This Row],[ProjectName]])*ProjectInfoTable[NumberOfReplications]))</f>
        <v>50</v>
      </c>
      <c r="N296" s="5" cm="1">
        <f t="array" ref="N296">IFERROR(AVERAGE(IF((DiscreteStatsTable[GroupByKey]=DiscreteStatsTable[[#This Row],[GroupByKey]]),(DiscreteStatsTable[GroupByKey]=DiscreteStatsTable[[#This Row],[GroupByKey]])*DiscreteStatsTable[Average])),0)</f>
        <v>0</v>
      </c>
      <c r="O296" s="5" cm="1">
        <f t="array" ref="O296">IFERROR(_xlfn.STDEV.S(IF((DiscreteStatsTable[GroupByKey]=DiscreteStatsTable[[#This Row],[GroupByKey]]),(DiscreteStatsTable[GroupByKey]=DiscreteStatsTable[[#This Row],[GroupByKey]])*DiscreteStatsTable[Average])),0)</f>
        <v>0</v>
      </c>
      <c r="P296" s="5" cm="1">
        <f t="array" ref="P296">MAX(IF((ProjectInfoTable[ProjectName]=DiscreteStatsTable[[#This Row],[ProjectName]]),(ProjectInfoTable[ProjectName]=DiscreteStatsTable[[#This Row],[ProjectName]])*ProjectInfoTable[ConfidenceInterval]))</f>
        <v>0.95</v>
      </c>
      <c r="Q296" s="5">
        <f>IF(AND(DiscreteStatsTable[[#This Row],[RepsWithStatObserved]]=1,Y296=0),200000000000000000000,IFERROR(_xlfn.T.INV.2T(1 -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6" s="5" cm="1">
        <f t="array" ref="R296">MIN(IF((DiscreteStatsTable[GroupByKey]=DiscreteStatsTable[[#This Row],[GroupByKey]]),(DiscreteStatsTable[GroupByKey]=DiscreteStatsTable[[#This Row],[GroupByKey]])*DiscreteStatsTable[Average]))</f>
        <v>0</v>
      </c>
      <c r="S296" s="5" cm="1">
        <f t="array" ref="S296">MAX(IF((DiscreteStatsTable[GroupByKey]=DiscreteStatsTable[[#This Row],[GroupByKey]]),(DiscreteStatsTable[GroupByKey]=DiscreteStatsTable[[#This Row],[GroupByKey]])*DiscreteStatsTable[Average]))</f>
        <v>0</v>
      </c>
      <c r="T296" s="5" cm="1">
        <f t="array" ref="T296">MIN(IF((DiscreteStatsTable[GroupByKey]=DiscreteStatsTable[[#This Row],[GroupByKey]]),(DiscreteStatsTable[GroupByKey]=DiscreteStatsTable[[#This Row],[GroupByKey]])*DiscreteStatsTable[Minimum]))</f>
        <v>0</v>
      </c>
      <c r="U296" s="5" cm="1">
        <f t="array" ref="U296">MAX(IF((DiscreteStatsTable[GroupByKey]=DiscreteStatsTable[[#This Row],[GroupByKey]]),(DiscreteStatsTable[GroupByKey]=DiscreteStatsTable[[#This Row],[GroupByKey]])*DiscreteStatsTable[Maximum]))</f>
        <v>0</v>
      </c>
      <c r="V296" s="5" cm="1">
        <f t="array" ref="V296">IFERROR(AVERAGE(IF((DiscreteStatsTable[GroupByKey]=DiscreteStatsTable[[#This Row],[GroupByKey]]),(DiscreteStatsTable[GroupByKey]=DiscreteStatsTable[[#This Row],[GroupByKey]])*DiscreteStatsTable[NumberObservations])),0)</f>
        <v>3.62</v>
      </c>
      <c r="W296" s="5">
        <f>IF((DiscreteStatsTable[[#This Row],[RepsRequested]]&gt;1),DiscreteStatsTable[[#This Row],[HalfWidth]],DiscreteStatsTable[[#This Row],[BatchMeansHalfWidth]])</f>
        <v>0</v>
      </c>
      <c r="X296" s="5" cm="1">
        <f t="array" ref="X296">COUNT(IF((DiscreteStatsTable[GroupByKey]=DiscreteStatsTable[[#This Row],[GroupByKey]]),(DiscreteStatsTable[GroupByKey]=DiscreteStatsTable[[#This Row],[GroupByKey]])*DiscreteStatsTable[Replication]))</f>
        <v>50</v>
      </c>
      <c r="Y296" s="5">
        <f>IF(DiscreteStatsTable[[#This Row],[RepsRequested]]=DiscreteStatsTable[[#This Row],[RepsWithStatObserved]],1,0)</f>
        <v>1</v>
      </c>
    </row>
    <row r="297" spans="1:25" x14ac:dyDescent="0.35">
      <c r="A297" t="s">
        <v>66</v>
      </c>
      <c r="B297" t="s">
        <v>69</v>
      </c>
      <c r="C297">
        <v>50</v>
      </c>
      <c r="D297" t="s">
        <v>70</v>
      </c>
      <c r="E297" t="s">
        <v>73</v>
      </c>
      <c r="F297" t="s">
        <v>72</v>
      </c>
      <c r="G297">
        <v>0</v>
      </c>
      <c r="H297">
        <v>2E+20</v>
      </c>
      <c r="I297">
        <v>0</v>
      </c>
      <c r="J297">
        <v>0</v>
      </c>
      <c r="K297">
        <v>4</v>
      </c>
      <c r="L297" s="5" t="str">
        <f>DiscreteStatsTable[[#This Row],[ProjectName]]&amp;DiscreteStatsTable[[#This Row],[Name]]&amp;DiscreteStatsTable[[#This Row],[Type]]&amp;DiscreteStatsTable[[#This Row],[Source]]</f>
        <v>Unnamed ProjectArquivosOther TimeEntity</v>
      </c>
      <c r="M297" s="5" cm="1">
        <f t="array" ref="M297">MAX(IF((ProjectInfoTable[ProjectName]=DiscreteStatsTable[[#This Row],[ProjectName]]),(ProjectInfoTable[ProjectName]=DiscreteStatsTable[[#This Row],[ProjectName]])*ProjectInfoTable[NumberOfReplications]))</f>
        <v>50</v>
      </c>
      <c r="N297" s="5" cm="1">
        <f t="array" ref="N297">IFERROR(AVERAGE(IF((DiscreteStatsTable[GroupByKey]=DiscreteStatsTable[[#This Row],[GroupByKey]]),(DiscreteStatsTable[GroupByKey]=DiscreteStatsTable[[#This Row],[GroupByKey]])*DiscreteStatsTable[Average])),0)</f>
        <v>0</v>
      </c>
      <c r="O297" s="5" cm="1">
        <f t="array" ref="O297">IFERROR(_xlfn.STDEV.S(IF((DiscreteStatsTable[GroupByKey]=DiscreteStatsTable[[#This Row],[GroupByKey]]),(DiscreteStatsTable[GroupByKey]=DiscreteStatsTable[[#This Row],[GroupByKey]])*DiscreteStatsTable[Average])),0)</f>
        <v>0</v>
      </c>
      <c r="P297" s="5" cm="1">
        <f t="array" ref="P297">MAX(IF((ProjectInfoTable[ProjectName]=DiscreteStatsTable[[#This Row],[ProjectName]]),(ProjectInfoTable[ProjectName]=DiscreteStatsTable[[#This Row],[ProjectName]])*ProjectInfoTable[ConfidenceInterval]))</f>
        <v>0.95</v>
      </c>
      <c r="Q297" s="5">
        <f>IF(AND(DiscreteStatsTable[[#This Row],[RepsWithStatObserved]]=1,Y297=0),200000000000000000000,IFERROR(_xlfn.T.INV.2T(1 -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7" s="5" cm="1">
        <f t="array" ref="R297">MIN(IF((DiscreteStatsTable[GroupByKey]=DiscreteStatsTable[[#This Row],[GroupByKey]]),(DiscreteStatsTable[GroupByKey]=DiscreteStatsTable[[#This Row],[GroupByKey]])*DiscreteStatsTable[Average]))</f>
        <v>0</v>
      </c>
      <c r="S297" s="5" cm="1">
        <f t="array" ref="S297">MAX(IF((DiscreteStatsTable[GroupByKey]=DiscreteStatsTable[[#This Row],[GroupByKey]]),(DiscreteStatsTable[GroupByKey]=DiscreteStatsTable[[#This Row],[GroupByKey]])*DiscreteStatsTable[Average]))</f>
        <v>0</v>
      </c>
      <c r="T297" s="5" cm="1">
        <f t="array" ref="T297">MIN(IF((DiscreteStatsTable[GroupByKey]=DiscreteStatsTable[[#This Row],[GroupByKey]]),(DiscreteStatsTable[GroupByKey]=DiscreteStatsTable[[#This Row],[GroupByKey]])*DiscreteStatsTable[Minimum]))</f>
        <v>0</v>
      </c>
      <c r="U297" s="5" cm="1">
        <f t="array" ref="U297">MAX(IF((DiscreteStatsTable[GroupByKey]=DiscreteStatsTable[[#This Row],[GroupByKey]]),(DiscreteStatsTable[GroupByKey]=DiscreteStatsTable[[#This Row],[GroupByKey]])*DiscreteStatsTable[Maximum]))</f>
        <v>0</v>
      </c>
      <c r="V297" s="5" cm="1">
        <f t="array" ref="V297">IFERROR(AVERAGE(IF((DiscreteStatsTable[GroupByKey]=DiscreteStatsTable[[#This Row],[GroupByKey]]),(DiscreteStatsTable[GroupByKey]=DiscreteStatsTable[[#This Row],[GroupByKey]])*DiscreteStatsTable[NumberObservations])),0)</f>
        <v>3.62</v>
      </c>
      <c r="W297" s="5">
        <f>IF((DiscreteStatsTable[[#This Row],[RepsRequested]]&gt;1),DiscreteStatsTable[[#This Row],[HalfWidth]],DiscreteStatsTable[[#This Row],[BatchMeansHalfWidth]])</f>
        <v>0</v>
      </c>
      <c r="X297" s="5" cm="1">
        <f t="array" ref="X297">COUNT(IF((DiscreteStatsTable[GroupByKey]=DiscreteStatsTable[[#This Row],[GroupByKey]]),(DiscreteStatsTable[GroupByKey]=DiscreteStatsTable[[#This Row],[GroupByKey]])*DiscreteStatsTable[Replication]))</f>
        <v>50</v>
      </c>
      <c r="Y297" s="5">
        <f>IF(DiscreteStatsTable[[#This Row],[RepsRequested]]=DiscreteStatsTable[[#This Row],[RepsWithStatObserved]],1,0)</f>
        <v>1</v>
      </c>
    </row>
    <row r="298" spans="1:25" x14ac:dyDescent="0.35">
      <c r="A298" t="s">
        <v>66</v>
      </c>
      <c r="B298" t="s">
        <v>69</v>
      </c>
      <c r="C298">
        <v>50</v>
      </c>
      <c r="D298" t="s">
        <v>70</v>
      </c>
      <c r="E298" t="s">
        <v>74</v>
      </c>
      <c r="F298" t="s">
        <v>72</v>
      </c>
      <c r="G298">
        <v>2.7827116412790001</v>
      </c>
      <c r="H298">
        <v>2E+20</v>
      </c>
      <c r="I298">
        <v>1.14079040349723</v>
      </c>
      <c r="J298">
        <v>4.0264236065507504</v>
      </c>
      <c r="K298">
        <v>4</v>
      </c>
      <c r="L298" s="5" t="str">
        <f>DiscreteStatsTable[[#This Row],[ProjectName]]&amp;DiscreteStatsTable[[#This Row],[Name]]&amp;DiscreteStatsTable[[#This Row],[Type]]&amp;DiscreteStatsTable[[#This Row],[Source]]</f>
        <v>Unnamed ProjectArquivosTotal TimeEntity</v>
      </c>
      <c r="M298" s="5" cm="1">
        <f t="array" ref="M298">MAX(IF((ProjectInfoTable[ProjectName]=DiscreteStatsTable[[#This Row],[ProjectName]]),(ProjectInfoTable[ProjectName]=DiscreteStatsTable[[#This Row],[ProjectName]])*ProjectInfoTable[NumberOfReplications]))</f>
        <v>50</v>
      </c>
      <c r="N298" s="5" cm="1">
        <f t="array" ref="N298">IFERROR(AVERAGE(IF((DiscreteStatsTable[GroupByKey]=DiscreteStatsTable[[#This Row],[GroupByKey]]),(DiscreteStatsTable[GroupByKey]=DiscreteStatsTable[[#This Row],[GroupByKey]])*DiscreteStatsTable[Average])),0)</f>
        <v>3.5363894499532775</v>
      </c>
      <c r="O298" s="5" cm="1">
        <f t="array" ref="O298">IFERROR(_xlfn.STDEV.S(IF((DiscreteStatsTable[GroupByKey]=DiscreteStatsTable[[#This Row],[GroupByKey]]),(DiscreteStatsTable[GroupByKey]=DiscreteStatsTable[[#This Row],[GroupByKey]])*DiscreteStatsTable[Average])),0)</f>
        <v>1.1766434570133149</v>
      </c>
      <c r="P298" s="5" cm="1">
        <f t="array" ref="P298">MAX(IF((ProjectInfoTable[ProjectName]=DiscreteStatsTable[[#This Row],[ProjectName]]),(ProjectInfoTable[ProjectName]=DiscreteStatsTable[[#This Row],[ProjectName]])*ProjectInfoTable[ConfidenceInterval]))</f>
        <v>0.95</v>
      </c>
      <c r="Q298" s="5">
        <f>IF(AND(DiscreteStatsTable[[#This Row],[RepsWithStatObserved]]=1,Y298=0),200000000000000000000,IFERROR(_xlfn.T.INV.2T(1 -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0.33439837052280896</v>
      </c>
      <c r="R298" s="5" cm="1">
        <f t="array" ref="R298">MIN(IF((DiscreteStatsTable[GroupByKey]=DiscreteStatsTable[[#This Row],[GroupByKey]]),(DiscreteStatsTable[GroupByKey]=DiscreteStatsTable[[#This Row],[GroupByKey]])*DiscreteStatsTable[Average]))</f>
        <v>1.6342264652107701</v>
      </c>
      <c r="S298" s="5" cm="1">
        <f t="array" ref="S298">MAX(IF((DiscreteStatsTable[GroupByKey]=DiscreteStatsTable[[#This Row],[GroupByKey]]),(DiscreteStatsTable[GroupByKey]=DiscreteStatsTable[[#This Row],[GroupByKey]])*DiscreteStatsTable[Average]))</f>
        <v>6.5527373550837904</v>
      </c>
      <c r="T298" s="5" cm="1">
        <f t="array" ref="T298">MIN(IF((DiscreteStatsTable[GroupByKey]=DiscreteStatsTable[[#This Row],[GroupByKey]]),(DiscreteStatsTable[GroupByKey]=DiscreteStatsTable[[#This Row],[GroupByKey]])*DiscreteStatsTable[Minimum]))</f>
        <v>0.58847912081681497</v>
      </c>
      <c r="U298" s="5" cm="1">
        <f t="array" ref="U298">MAX(IF((DiscreteStatsTable[GroupByKey]=DiscreteStatsTable[[#This Row],[GroupByKey]]),(DiscreteStatsTable[GroupByKey]=DiscreteStatsTable[[#This Row],[GroupByKey]])*DiscreteStatsTable[Maximum]))</f>
        <v>8.7476494546828292</v>
      </c>
      <c r="V298" s="5" cm="1">
        <f t="array" ref="V298">IFERROR(AVERAGE(IF((DiscreteStatsTable[GroupByKey]=DiscreteStatsTable[[#This Row],[GroupByKey]]),(DiscreteStatsTable[GroupByKey]=DiscreteStatsTable[[#This Row],[GroupByKey]])*DiscreteStatsTable[NumberObservations])),0)</f>
        <v>3.62</v>
      </c>
      <c r="W298" s="5">
        <f>IF((DiscreteStatsTable[[#This Row],[RepsRequested]]&gt;1),DiscreteStatsTable[[#This Row],[HalfWidth]],DiscreteStatsTable[[#This Row],[BatchMeansHalfWidth]])</f>
        <v>0.33439837052280896</v>
      </c>
      <c r="X298" s="5" cm="1">
        <f t="array" ref="X298">COUNT(IF((DiscreteStatsTable[GroupByKey]=DiscreteStatsTable[[#This Row],[GroupByKey]]),(DiscreteStatsTable[GroupByKey]=DiscreteStatsTable[[#This Row],[GroupByKey]])*DiscreteStatsTable[Replication]))</f>
        <v>50</v>
      </c>
      <c r="Y298" s="5">
        <f>IF(DiscreteStatsTable[[#This Row],[RepsRequested]]=DiscreteStatsTable[[#This Row],[RepsWithStatObserved]],1,0)</f>
        <v>1</v>
      </c>
    </row>
    <row r="299" spans="1:25" x14ac:dyDescent="0.35">
      <c r="A299" t="s">
        <v>66</v>
      </c>
      <c r="B299" t="s">
        <v>69</v>
      </c>
      <c r="C299">
        <v>50</v>
      </c>
      <c r="D299" t="s">
        <v>70</v>
      </c>
      <c r="E299" t="s">
        <v>75</v>
      </c>
      <c r="F299" t="s">
        <v>72</v>
      </c>
      <c r="G299">
        <v>0</v>
      </c>
      <c r="H299">
        <v>2E+20</v>
      </c>
      <c r="I299">
        <v>0</v>
      </c>
      <c r="J299">
        <v>0</v>
      </c>
      <c r="K299">
        <v>4</v>
      </c>
      <c r="L299" s="5" t="str">
        <f>DiscreteStatsTable[[#This Row],[ProjectName]]&amp;DiscreteStatsTable[[#This Row],[Name]]&amp;DiscreteStatsTable[[#This Row],[Type]]&amp;DiscreteStatsTable[[#This Row],[Source]]</f>
        <v>Unnamed ProjectArquivosTransfer TimeEntity</v>
      </c>
      <c r="M299" s="5" cm="1">
        <f t="array" ref="M299">MAX(IF((ProjectInfoTable[ProjectName]=DiscreteStatsTable[[#This Row],[ProjectName]]),(ProjectInfoTable[ProjectName]=DiscreteStatsTable[[#This Row],[ProjectName]])*ProjectInfoTable[NumberOfReplications]))</f>
        <v>50</v>
      </c>
      <c r="N299" s="5" cm="1">
        <f t="array" ref="N299">IFERROR(AVERAGE(IF((DiscreteStatsTable[GroupByKey]=DiscreteStatsTable[[#This Row],[GroupByKey]]),(DiscreteStatsTable[GroupByKey]=DiscreteStatsTable[[#This Row],[GroupByKey]])*DiscreteStatsTable[Average])),0)</f>
        <v>0</v>
      </c>
      <c r="O299" s="5" cm="1">
        <f t="array" ref="O299">IFERROR(_xlfn.STDEV.S(IF((DiscreteStatsTable[GroupByKey]=DiscreteStatsTable[[#This Row],[GroupByKey]]),(DiscreteStatsTable[GroupByKey]=DiscreteStatsTable[[#This Row],[GroupByKey]])*DiscreteStatsTable[Average])),0)</f>
        <v>0</v>
      </c>
      <c r="P299" s="5" cm="1">
        <f t="array" ref="P299">MAX(IF((ProjectInfoTable[ProjectName]=DiscreteStatsTable[[#This Row],[ProjectName]]),(ProjectInfoTable[ProjectName]=DiscreteStatsTable[[#This Row],[ProjectName]])*ProjectInfoTable[ConfidenceInterval]))</f>
        <v>0.95</v>
      </c>
      <c r="Q299" s="5">
        <f>IF(AND(DiscreteStatsTable[[#This Row],[RepsWithStatObserved]]=1,Y299=0),200000000000000000000,IFERROR(_xlfn.T.INV.2T(1 -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9" s="5" cm="1">
        <f t="array" ref="R299">MIN(IF((DiscreteStatsTable[GroupByKey]=DiscreteStatsTable[[#This Row],[GroupByKey]]),(DiscreteStatsTable[GroupByKey]=DiscreteStatsTable[[#This Row],[GroupByKey]])*DiscreteStatsTable[Average]))</f>
        <v>0</v>
      </c>
      <c r="S299" s="5" cm="1">
        <f t="array" ref="S299">MAX(IF((DiscreteStatsTable[GroupByKey]=DiscreteStatsTable[[#This Row],[GroupByKey]]),(DiscreteStatsTable[GroupByKey]=DiscreteStatsTable[[#This Row],[GroupByKey]])*DiscreteStatsTable[Average]))</f>
        <v>0</v>
      </c>
      <c r="T299" s="5" cm="1">
        <f t="array" ref="T299">MIN(IF((DiscreteStatsTable[GroupByKey]=DiscreteStatsTable[[#This Row],[GroupByKey]]),(DiscreteStatsTable[GroupByKey]=DiscreteStatsTable[[#This Row],[GroupByKey]])*DiscreteStatsTable[Minimum]))</f>
        <v>0</v>
      </c>
      <c r="U299" s="5" cm="1">
        <f t="array" ref="U299">MAX(IF((DiscreteStatsTable[GroupByKey]=DiscreteStatsTable[[#This Row],[GroupByKey]]),(DiscreteStatsTable[GroupByKey]=DiscreteStatsTable[[#This Row],[GroupByKey]])*DiscreteStatsTable[Maximum]))</f>
        <v>0</v>
      </c>
      <c r="V299" s="5" cm="1">
        <f t="array" ref="V299">IFERROR(AVERAGE(IF((DiscreteStatsTable[GroupByKey]=DiscreteStatsTable[[#This Row],[GroupByKey]]),(DiscreteStatsTable[GroupByKey]=DiscreteStatsTable[[#This Row],[GroupByKey]])*DiscreteStatsTable[NumberObservations])),0)</f>
        <v>3.62</v>
      </c>
      <c r="W299" s="5">
        <f>IF((DiscreteStatsTable[[#This Row],[RepsRequested]]&gt;1),DiscreteStatsTable[[#This Row],[HalfWidth]],DiscreteStatsTable[[#This Row],[BatchMeansHalfWidth]])</f>
        <v>0</v>
      </c>
      <c r="X299" s="5" cm="1">
        <f t="array" ref="X299">COUNT(IF((DiscreteStatsTable[GroupByKey]=DiscreteStatsTable[[#This Row],[GroupByKey]]),(DiscreteStatsTable[GroupByKey]=DiscreteStatsTable[[#This Row],[GroupByKey]])*DiscreteStatsTable[Replication]))</f>
        <v>50</v>
      </c>
      <c r="Y299" s="5">
        <f>IF(DiscreteStatsTable[[#This Row],[RepsRequested]]=DiscreteStatsTable[[#This Row],[RepsWithStatObserved]],1,0)</f>
        <v>1</v>
      </c>
    </row>
    <row r="300" spans="1:25" x14ac:dyDescent="0.35">
      <c r="A300" t="s">
        <v>66</v>
      </c>
      <c r="B300" t="s">
        <v>69</v>
      </c>
      <c r="C300">
        <v>50</v>
      </c>
      <c r="D300" t="s">
        <v>70</v>
      </c>
      <c r="E300" t="s">
        <v>76</v>
      </c>
      <c r="F300" t="s">
        <v>72</v>
      </c>
      <c r="G300">
        <v>2.0416836827232601</v>
      </c>
      <c r="H300">
        <v>2E+20</v>
      </c>
      <c r="I300">
        <v>1.14079040349723</v>
      </c>
      <c r="J300">
        <v>3.1367728241656598</v>
      </c>
      <c r="K300">
        <v>4</v>
      </c>
      <c r="L300" s="5" t="str">
        <f>DiscreteStatsTable[[#This Row],[ProjectName]]&amp;DiscreteStatsTable[[#This Row],[Name]]&amp;DiscreteStatsTable[[#This Row],[Type]]&amp;DiscreteStatsTable[[#This Row],[Source]]</f>
        <v>Unnamed ProjectArquivosVA TimeEntity</v>
      </c>
      <c r="M300" s="5" cm="1">
        <f t="array" ref="M300">MAX(IF((ProjectInfoTable[ProjectName]=DiscreteStatsTable[[#This Row],[ProjectName]]),(ProjectInfoTable[ProjectName]=DiscreteStatsTable[[#This Row],[ProjectName]])*ProjectInfoTable[NumberOfReplications]))</f>
        <v>50</v>
      </c>
      <c r="N300" s="5" cm="1">
        <f t="array" ref="N300">IFERROR(AVERAGE(IF((DiscreteStatsTable[GroupByKey]=DiscreteStatsTable[[#This Row],[GroupByKey]]),(DiscreteStatsTable[GroupByKey]=DiscreteStatsTable[[#This Row],[GroupByKey]])*DiscreteStatsTable[Average])),0)</f>
        <v>2.3123810058270009</v>
      </c>
      <c r="O300" s="5" cm="1">
        <f t="array" ref="O300">IFERROR(_xlfn.STDEV.S(IF((DiscreteStatsTable[GroupByKey]=DiscreteStatsTable[[#This Row],[GroupByKey]]),(DiscreteStatsTable[GroupByKey]=DiscreteStatsTable[[#This Row],[GroupByKey]])*DiscreteStatsTable[Average])),0)</f>
        <v>0.47735516285795621</v>
      </c>
      <c r="P300" s="5" cm="1">
        <f t="array" ref="P300">MAX(IF((ProjectInfoTable[ProjectName]=DiscreteStatsTable[[#This Row],[ProjectName]]),(ProjectInfoTable[ProjectName]=DiscreteStatsTable[[#This Row],[ProjectName]])*ProjectInfoTable[ConfidenceInterval]))</f>
        <v>0.95</v>
      </c>
      <c r="Q300" s="5">
        <f>IF(AND(DiscreteStatsTable[[#This Row],[RepsWithStatObserved]]=1,Y300=0),200000000000000000000,IFERROR(_xlfn.T.INV.2T(1 -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0.13566283623888314</v>
      </c>
      <c r="R300" s="5" cm="1">
        <f t="array" ref="R300">MIN(IF((DiscreteStatsTable[GroupByKey]=DiscreteStatsTable[[#This Row],[GroupByKey]]),(DiscreteStatsTable[GroupByKey]=DiscreteStatsTable[[#This Row],[GroupByKey]])*DiscreteStatsTable[Average]))</f>
        <v>1.3773415743205399</v>
      </c>
      <c r="S300" s="5" cm="1">
        <f t="array" ref="S300">MAX(IF((DiscreteStatsTable[GroupByKey]=DiscreteStatsTable[[#This Row],[GroupByKey]]),(DiscreteStatsTable[GroupByKey]=DiscreteStatsTable[[#This Row],[GroupByKey]])*DiscreteStatsTable[Average]))</f>
        <v>3.3139161730180202</v>
      </c>
      <c r="T300" s="5" cm="1">
        <f t="array" ref="T300">MIN(IF((DiscreteStatsTable[GroupByKey]=DiscreteStatsTable[[#This Row],[GroupByKey]]),(DiscreteStatsTable[GroupByKey]=DiscreteStatsTable[[#This Row],[GroupByKey]])*DiscreteStatsTable[Minimum]))</f>
        <v>0.58847912081681497</v>
      </c>
      <c r="U300" s="5" cm="1">
        <f t="array" ref="U300">MAX(IF((DiscreteStatsTable[GroupByKey]=DiscreteStatsTable[[#This Row],[GroupByKey]]),(DiscreteStatsTable[GroupByKey]=DiscreteStatsTable[[#This Row],[GroupByKey]])*DiscreteStatsTable[Maximum]))</f>
        <v>4.9756405925629998</v>
      </c>
      <c r="V300" s="5" cm="1">
        <f t="array" ref="V300">IFERROR(AVERAGE(IF((DiscreteStatsTable[GroupByKey]=DiscreteStatsTable[[#This Row],[GroupByKey]]),(DiscreteStatsTable[GroupByKey]=DiscreteStatsTable[[#This Row],[GroupByKey]])*DiscreteStatsTable[NumberObservations])),0)</f>
        <v>3.62</v>
      </c>
      <c r="W300" s="5">
        <f>IF((DiscreteStatsTable[[#This Row],[RepsRequested]]&gt;1),DiscreteStatsTable[[#This Row],[HalfWidth]],DiscreteStatsTable[[#This Row],[BatchMeansHalfWidth]])</f>
        <v>0.13566283623888314</v>
      </c>
      <c r="X300" s="5" cm="1">
        <f t="array" ref="X300">COUNT(IF((DiscreteStatsTable[GroupByKey]=DiscreteStatsTable[[#This Row],[GroupByKey]]),(DiscreteStatsTable[GroupByKey]=DiscreteStatsTable[[#This Row],[GroupByKey]])*DiscreteStatsTable[Replication]))</f>
        <v>50</v>
      </c>
      <c r="Y300" s="5">
        <f>IF(DiscreteStatsTable[[#This Row],[RepsRequested]]=DiscreteStatsTable[[#This Row],[RepsWithStatObserved]],1,0)</f>
        <v>1</v>
      </c>
    </row>
    <row r="301" spans="1:25" x14ac:dyDescent="0.35">
      <c r="A301" t="s">
        <v>66</v>
      </c>
      <c r="B301" t="s">
        <v>69</v>
      </c>
      <c r="C301">
        <v>50</v>
      </c>
      <c r="D301" t="s">
        <v>70</v>
      </c>
      <c r="E301" t="s">
        <v>77</v>
      </c>
      <c r="F301" t="s">
        <v>72</v>
      </c>
      <c r="G301">
        <v>0.741027958555737</v>
      </c>
      <c r="H301">
        <v>2E+20</v>
      </c>
      <c r="I301">
        <v>0</v>
      </c>
      <c r="J301">
        <v>2.0744610518378601</v>
      </c>
      <c r="K301">
        <v>4</v>
      </c>
      <c r="L301" s="5" t="str">
        <f>DiscreteStatsTable[[#This Row],[ProjectName]]&amp;DiscreteStatsTable[[#This Row],[Name]]&amp;DiscreteStatsTable[[#This Row],[Type]]&amp;DiscreteStatsTable[[#This Row],[Source]]</f>
        <v>Unnamed ProjectArquivosWait TimeEntity</v>
      </c>
      <c r="M301" s="5" cm="1">
        <f t="array" ref="M301">MAX(IF((ProjectInfoTable[ProjectName]=DiscreteStatsTable[[#This Row],[ProjectName]]),(ProjectInfoTable[ProjectName]=DiscreteStatsTable[[#This Row],[ProjectName]])*ProjectInfoTable[NumberOfReplications]))</f>
        <v>50</v>
      </c>
      <c r="N301" s="5" cm="1">
        <f t="array" ref="N301">IFERROR(AVERAGE(IF((DiscreteStatsTable[GroupByKey]=DiscreteStatsTable[[#This Row],[GroupByKey]]),(DiscreteStatsTable[GroupByKey]=DiscreteStatsTable[[#This Row],[GroupByKey]])*DiscreteStatsTable[Average])),0)</f>
        <v>1.2240084441262762</v>
      </c>
      <c r="O301" s="5" cm="1">
        <f t="array" ref="O301">IFERROR(_xlfn.STDEV.S(IF((DiscreteStatsTable[GroupByKey]=DiscreteStatsTable[[#This Row],[GroupByKey]]),(DiscreteStatsTable[GroupByKey]=DiscreteStatsTable[[#This Row],[GroupByKey]])*DiscreteStatsTable[Average])),0)</f>
        <v>0.89867905452837749</v>
      </c>
      <c r="P301" s="5" cm="1">
        <f t="array" ref="P301">MAX(IF((ProjectInfoTable[ProjectName]=DiscreteStatsTable[[#This Row],[ProjectName]]),(ProjectInfoTable[ProjectName]=DiscreteStatsTable[[#This Row],[ProjectName]])*ProjectInfoTable[ConfidenceInterval]))</f>
        <v>0.95</v>
      </c>
      <c r="Q301" s="5">
        <f>IF(AND(DiscreteStatsTable[[#This Row],[RepsWithStatObserved]]=1,Y301=0),200000000000000000000,IFERROR(_xlfn.T.INV.2T(1 -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0.2554017613968404</v>
      </c>
      <c r="R301" s="5" cm="1">
        <f t="array" ref="R301">MIN(IF((DiscreteStatsTable[GroupByKey]=DiscreteStatsTable[[#This Row],[GroupByKey]]),(DiscreteStatsTable[GroupByKey]=DiscreteStatsTable[[#This Row],[GroupByKey]])*DiscreteStatsTable[Average]))</f>
        <v>0</v>
      </c>
      <c r="S301" s="5" cm="1">
        <f t="array" ref="S301">MAX(IF((DiscreteStatsTable[GroupByKey]=DiscreteStatsTable[[#This Row],[GroupByKey]]),(DiscreteStatsTable[GroupByKey]=DiscreteStatsTable[[#This Row],[GroupByKey]])*DiscreteStatsTable[Average]))</f>
        <v>3.4345522286517598</v>
      </c>
      <c r="T301" s="5" cm="1">
        <f t="array" ref="T301">MIN(IF((DiscreteStatsTable[GroupByKey]=DiscreteStatsTable[[#This Row],[GroupByKey]]),(DiscreteStatsTable[GroupByKey]=DiscreteStatsTable[[#This Row],[GroupByKey]])*DiscreteStatsTable[Minimum]))</f>
        <v>0</v>
      </c>
      <c r="U301" s="5" cm="1">
        <f t="array" ref="U301">MAX(IF((DiscreteStatsTable[GroupByKey]=DiscreteStatsTable[[#This Row],[GroupByKey]]),(DiscreteStatsTable[GroupByKey]=DiscreteStatsTable[[#This Row],[GroupByKey]])*DiscreteStatsTable[Maximum]))</f>
        <v>6.7563093676697896</v>
      </c>
      <c r="V301" s="5" cm="1">
        <f t="array" ref="V301">IFERROR(AVERAGE(IF((DiscreteStatsTable[GroupByKey]=DiscreteStatsTable[[#This Row],[GroupByKey]]),(DiscreteStatsTable[GroupByKey]=DiscreteStatsTable[[#This Row],[GroupByKey]])*DiscreteStatsTable[NumberObservations])),0)</f>
        <v>3.62</v>
      </c>
      <c r="W301" s="5">
        <f>IF((DiscreteStatsTable[[#This Row],[RepsRequested]]&gt;1),DiscreteStatsTable[[#This Row],[HalfWidth]],DiscreteStatsTable[[#This Row],[BatchMeansHalfWidth]])</f>
        <v>0.2554017613968404</v>
      </c>
      <c r="X301" s="5" cm="1">
        <f t="array" ref="X301">COUNT(IF((DiscreteStatsTable[GroupByKey]=DiscreteStatsTable[[#This Row],[GroupByKey]]),(DiscreteStatsTable[GroupByKey]=DiscreteStatsTable[[#This Row],[GroupByKey]])*DiscreteStatsTable[Replication]))</f>
        <v>50</v>
      </c>
      <c r="Y301" s="5">
        <f>IF(DiscreteStatsTable[[#This Row],[RepsRequested]]=DiscreteStatsTable[[#This Row],[RepsWithStatObserved]],1,0)</f>
        <v>1</v>
      </c>
    </row>
    <row r="302" spans="1:25" x14ac:dyDescent="0.35">
      <c r="A302" t="s">
        <v>66</v>
      </c>
      <c r="B302" t="s">
        <v>69</v>
      </c>
      <c r="C302">
        <v>1</v>
      </c>
      <c r="D302" t="s">
        <v>78</v>
      </c>
      <c r="E302" t="s">
        <v>79</v>
      </c>
      <c r="F302" t="s">
        <v>80</v>
      </c>
      <c r="G302">
        <v>2.80166651477745</v>
      </c>
      <c r="H302">
        <v>2E+20</v>
      </c>
      <c r="I302">
        <v>0</v>
      </c>
      <c r="J302">
        <v>6.4226258357308099</v>
      </c>
      <c r="K302">
        <v>5</v>
      </c>
      <c r="L302" s="5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02" s="5" cm="1">
        <f t="array" ref="M302">MAX(IF((ProjectInfoTable[ProjectName]=DiscreteStatsTable[[#This Row],[ProjectName]]),(ProjectInfoTable[ProjectName]=DiscreteStatsTable[[#This Row],[ProjectName]])*ProjectInfoTable[NumberOfReplications]))</f>
        <v>50</v>
      </c>
      <c r="N302" s="5" cm="1">
        <f t="array" ref="N302">IFERROR(AVERAGE(IF((DiscreteStatsTable[GroupByKey]=DiscreteStatsTable[[#This Row],[GroupByKey]]),(DiscreteStatsTable[GroupByKey]=DiscreteStatsTable[[#This Row],[GroupByKey]])*DiscreteStatsTable[Average])),0)</f>
        <v>1.6032171272413107</v>
      </c>
      <c r="O302" s="5" cm="1">
        <f t="array" ref="O302">IFERROR(_xlfn.STDEV.S(IF((DiscreteStatsTable[GroupByKey]=DiscreteStatsTable[[#This Row],[GroupByKey]]),(DiscreteStatsTable[GroupByKey]=DiscreteStatsTable[[#This Row],[GroupByKey]])*DiscreteStatsTable[Average])),0)</f>
        <v>1.0944750558807383</v>
      </c>
      <c r="P302" s="5" cm="1">
        <f t="array" ref="P302">MAX(IF((ProjectInfoTable[ProjectName]=DiscreteStatsTable[[#This Row],[ProjectName]]),(ProjectInfoTable[ProjectName]=DiscreteStatsTable[[#This Row],[ProjectName]])*ProjectInfoTable[ConfidenceInterval]))</f>
        <v>0.95</v>
      </c>
      <c r="Q302" s="5">
        <f>IF(AND(DiscreteStatsTable[[#This Row],[RepsWithStatObserved]]=1,Y302=0),200000000000000000000,IFERROR(_xlfn.T.INV.2T(1 -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0.31104636929981899</v>
      </c>
      <c r="R302" s="5" cm="1">
        <f t="array" ref="R302">MIN(IF((DiscreteStatsTable[GroupByKey]=DiscreteStatsTable[[#This Row],[GroupByKey]]),(DiscreteStatsTable[GroupByKey]=DiscreteStatsTable[[#This Row],[GroupByKey]])*DiscreteStatsTable[Average]))</f>
        <v>0</v>
      </c>
      <c r="S302" s="5" cm="1">
        <f t="array" ref="S302">MAX(IF((DiscreteStatsTable[GroupByKey]=DiscreteStatsTable[[#This Row],[GroupByKey]]),(DiscreteStatsTable[GroupByKey]=DiscreteStatsTable[[#This Row],[GroupByKey]])*DiscreteStatsTable[Average]))</f>
        <v>3.8977138394719901</v>
      </c>
      <c r="T302" s="5" cm="1">
        <f t="array" ref="T302">MIN(IF((DiscreteStatsTable[GroupByKey]=DiscreteStatsTable[[#This Row],[GroupByKey]]),(DiscreteStatsTable[GroupByKey]=DiscreteStatsTable[[#This Row],[GroupByKey]])*DiscreteStatsTable[Minimum]))</f>
        <v>0</v>
      </c>
      <c r="U302" s="5" cm="1">
        <f t="array" ref="U302">MAX(IF((DiscreteStatsTable[GroupByKey]=DiscreteStatsTable[[#This Row],[GroupByKey]]),(DiscreteStatsTable[GroupByKey]=DiscreteStatsTable[[#This Row],[GroupByKey]])*DiscreteStatsTable[Maximum]))</f>
        <v>7.95545419566559</v>
      </c>
      <c r="V302" s="5" cm="1">
        <f t="array" ref="V302">IFERROR(AVERAGE(IF((DiscreteStatsTable[GroupByKey]=DiscreteStatsTable[[#This Row],[GroupByKey]]),(DiscreteStatsTable[GroupByKey]=DiscreteStatsTable[[#This Row],[GroupByKey]])*DiscreteStatsTable[NumberObservations])),0)</f>
        <v>4.58</v>
      </c>
      <c r="W302" s="5">
        <f>IF((DiscreteStatsTable[[#This Row],[RepsRequested]]&gt;1),DiscreteStatsTable[[#This Row],[HalfWidth]],DiscreteStatsTable[[#This Row],[BatchMeansHalfWidth]])</f>
        <v>0.31104636929981899</v>
      </c>
      <c r="X302" s="5" cm="1">
        <f t="array" ref="X302">COUNT(IF((DiscreteStatsTable[GroupByKey]=DiscreteStatsTable[[#This Row],[GroupByKey]]),(DiscreteStatsTable[GroupByKey]=DiscreteStatsTable[[#This Row],[GroupByKey]])*DiscreteStatsTable[Replication]))</f>
        <v>50</v>
      </c>
      <c r="Y302" s="5">
        <f>IF(DiscreteStatsTable[[#This Row],[RepsRequested]]=DiscreteStatsTable[[#This Row],[RepsWithStatObserved]],1,0)</f>
        <v>1</v>
      </c>
    </row>
    <row r="303" spans="1:25" x14ac:dyDescent="0.35">
      <c r="A303" t="s">
        <v>66</v>
      </c>
      <c r="B303" t="s">
        <v>69</v>
      </c>
      <c r="C303">
        <v>2</v>
      </c>
      <c r="D303" t="s">
        <v>78</v>
      </c>
      <c r="E303" t="s">
        <v>79</v>
      </c>
      <c r="F303" t="s">
        <v>80</v>
      </c>
      <c r="G303">
        <v>3.59160529429291</v>
      </c>
      <c r="H303">
        <v>2E+20</v>
      </c>
      <c r="I303">
        <v>0</v>
      </c>
      <c r="J303">
        <v>6.7563093676697896</v>
      </c>
      <c r="K303">
        <v>4</v>
      </c>
      <c r="L303" s="5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03" s="5" cm="1">
        <f t="array" ref="M303">MAX(IF((ProjectInfoTable[ProjectName]=DiscreteStatsTable[[#This Row],[ProjectName]]),(ProjectInfoTable[ProjectName]=DiscreteStatsTable[[#This Row],[ProjectName]])*ProjectInfoTable[NumberOfReplications]))</f>
        <v>50</v>
      </c>
      <c r="N303" s="5" cm="1">
        <f t="array" ref="N303">IFERROR(AVERAGE(IF((DiscreteStatsTable[GroupByKey]=DiscreteStatsTable[[#This Row],[GroupByKey]]),(DiscreteStatsTable[GroupByKey]=DiscreteStatsTable[[#This Row],[GroupByKey]])*DiscreteStatsTable[Average])),0)</f>
        <v>1.6032171272413107</v>
      </c>
      <c r="O303" s="5" cm="1">
        <f t="array" ref="O303">IFERROR(_xlfn.STDEV.S(IF((DiscreteStatsTable[GroupByKey]=DiscreteStatsTable[[#This Row],[GroupByKey]]),(DiscreteStatsTable[GroupByKey]=DiscreteStatsTable[[#This Row],[GroupByKey]])*DiscreteStatsTable[Average])),0)</f>
        <v>1.0944750558807383</v>
      </c>
      <c r="P303" s="5" cm="1">
        <f t="array" ref="P303">MAX(IF((ProjectInfoTable[ProjectName]=DiscreteStatsTable[[#This Row],[ProjectName]]),(ProjectInfoTable[ProjectName]=DiscreteStatsTable[[#This Row],[ProjectName]])*ProjectInfoTable[ConfidenceInterval]))</f>
        <v>0.95</v>
      </c>
      <c r="Q303" s="5">
        <f>IF(AND(DiscreteStatsTable[[#This Row],[RepsWithStatObserved]]=1,Y303=0),200000000000000000000,IFERROR(_xlfn.T.INV.2T(1 -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0.31104636929981899</v>
      </c>
      <c r="R303" s="5" cm="1">
        <f t="array" ref="R303">MIN(IF((DiscreteStatsTable[GroupByKey]=DiscreteStatsTable[[#This Row],[GroupByKey]]),(DiscreteStatsTable[GroupByKey]=DiscreteStatsTable[[#This Row],[GroupByKey]])*DiscreteStatsTable[Average]))</f>
        <v>0</v>
      </c>
      <c r="S303" s="5" cm="1">
        <f t="array" ref="S303">MAX(IF((DiscreteStatsTable[GroupByKey]=DiscreteStatsTable[[#This Row],[GroupByKey]]),(DiscreteStatsTable[GroupByKey]=DiscreteStatsTable[[#This Row],[GroupByKey]])*DiscreteStatsTable[Average]))</f>
        <v>3.8977138394719901</v>
      </c>
      <c r="T303" s="5" cm="1">
        <f t="array" ref="T303">MIN(IF((DiscreteStatsTable[GroupByKey]=DiscreteStatsTable[[#This Row],[GroupByKey]]),(DiscreteStatsTable[GroupByKey]=DiscreteStatsTable[[#This Row],[GroupByKey]])*DiscreteStatsTable[Minimum]))</f>
        <v>0</v>
      </c>
      <c r="U303" s="5" cm="1">
        <f t="array" ref="U303">MAX(IF((DiscreteStatsTable[GroupByKey]=DiscreteStatsTable[[#This Row],[GroupByKey]]),(DiscreteStatsTable[GroupByKey]=DiscreteStatsTable[[#This Row],[GroupByKey]])*DiscreteStatsTable[Maximum]))</f>
        <v>7.95545419566559</v>
      </c>
      <c r="V303" s="5" cm="1">
        <f t="array" ref="V303">IFERROR(AVERAGE(IF((DiscreteStatsTable[GroupByKey]=DiscreteStatsTable[[#This Row],[GroupByKey]]),(DiscreteStatsTable[GroupByKey]=DiscreteStatsTable[[#This Row],[GroupByKey]])*DiscreteStatsTable[NumberObservations])),0)</f>
        <v>4.58</v>
      </c>
      <c r="W303" s="5">
        <f>IF((DiscreteStatsTable[[#This Row],[RepsRequested]]&gt;1),DiscreteStatsTable[[#This Row],[HalfWidth]],DiscreteStatsTable[[#This Row],[BatchMeansHalfWidth]])</f>
        <v>0.31104636929981899</v>
      </c>
      <c r="X303" s="5" cm="1">
        <f t="array" ref="X303">COUNT(IF((DiscreteStatsTable[GroupByKey]=DiscreteStatsTable[[#This Row],[GroupByKey]]),(DiscreteStatsTable[GroupByKey]=DiscreteStatsTable[[#This Row],[GroupByKey]])*DiscreteStatsTable[Replication]))</f>
        <v>50</v>
      </c>
      <c r="Y303" s="5">
        <f>IF(DiscreteStatsTable[[#This Row],[RepsRequested]]=DiscreteStatsTable[[#This Row],[RepsWithStatObserved]],1,0)</f>
        <v>1</v>
      </c>
    </row>
    <row r="304" spans="1:25" x14ac:dyDescent="0.35">
      <c r="A304" t="s">
        <v>66</v>
      </c>
      <c r="B304" t="s">
        <v>69</v>
      </c>
      <c r="C304">
        <v>3</v>
      </c>
      <c r="D304" t="s">
        <v>78</v>
      </c>
      <c r="E304" t="s">
        <v>79</v>
      </c>
      <c r="F304" t="s">
        <v>80</v>
      </c>
      <c r="G304">
        <v>1.92377119695003</v>
      </c>
      <c r="H304">
        <v>2E+20</v>
      </c>
      <c r="I304">
        <v>0</v>
      </c>
      <c r="J304">
        <v>4.21111226868282</v>
      </c>
      <c r="K304">
        <v>5</v>
      </c>
      <c r="L304" s="5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04" s="5" cm="1">
        <f t="array" ref="M304">MAX(IF((ProjectInfoTable[ProjectName]=DiscreteStatsTable[[#This Row],[ProjectName]]),(ProjectInfoTable[ProjectName]=DiscreteStatsTable[[#This Row],[ProjectName]])*ProjectInfoTable[NumberOfReplications]))</f>
        <v>50</v>
      </c>
      <c r="N304" s="5" cm="1">
        <f t="array" ref="N304">IFERROR(AVERAGE(IF((DiscreteStatsTable[GroupByKey]=DiscreteStatsTable[[#This Row],[GroupByKey]]),(DiscreteStatsTable[GroupByKey]=DiscreteStatsTable[[#This Row],[GroupByKey]])*DiscreteStatsTable[Average])),0)</f>
        <v>1.6032171272413107</v>
      </c>
      <c r="O304" s="5" cm="1">
        <f t="array" ref="O304">IFERROR(_xlfn.STDEV.S(IF((DiscreteStatsTable[GroupByKey]=DiscreteStatsTable[[#This Row],[GroupByKey]]),(DiscreteStatsTable[GroupByKey]=DiscreteStatsTable[[#This Row],[GroupByKey]])*DiscreteStatsTable[Average])),0)</f>
        <v>1.0944750558807383</v>
      </c>
      <c r="P304" s="5" cm="1">
        <f t="array" ref="P304">MAX(IF((ProjectInfoTable[ProjectName]=DiscreteStatsTable[[#This Row],[ProjectName]]),(ProjectInfoTable[ProjectName]=DiscreteStatsTable[[#This Row],[ProjectName]])*ProjectInfoTable[ConfidenceInterval]))</f>
        <v>0.95</v>
      </c>
      <c r="Q304" s="5">
        <f>IF(AND(DiscreteStatsTable[[#This Row],[RepsWithStatObserved]]=1,Y304=0),200000000000000000000,IFERROR(_xlfn.T.INV.2T(1 -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0.31104636929981899</v>
      </c>
      <c r="R304" s="5" cm="1">
        <f t="array" ref="R304">MIN(IF((DiscreteStatsTable[GroupByKey]=DiscreteStatsTable[[#This Row],[GroupByKey]]),(DiscreteStatsTable[GroupByKey]=DiscreteStatsTable[[#This Row],[GroupByKey]])*DiscreteStatsTable[Average]))</f>
        <v>0</v>
      </c>
      <c r="S304" s="5" cm="1">
        <f t="array" ref="S304">MAX(IF((DiscreteStatsTable[GroupByKey]=DiscreteStatsTable[[#This Row],[GroupByKey]]),(DiscreteStatsTable[GroupByKey]=DiscreteStatsTable[[#This Row],[GroupByKey]])*DiscreteStatsTable[Average]))</f>
        <v>3.8977138394719901</v>
      </c>
      <c r="T304" s="5" cm="1">
        <f t="array" ref="T304">MIN(IF((DiscreteStatsTable[GroupByKey]=DiscreteStatsTable[[#This Row],[GroupByKey]]),(DiscreteStatsTable[GroupByKey]=DiscreteStatsTable[[#This Row],[GroupByKey]])*DiscreteStatsTable[Minimum]))</f>
        <v>0</v>
      </c>
      <c r="U304" s="5" cm="1">
        <f t="array" ref="U304">MAX(IF((DiscreteStatsTable[GroupByKey]=DiscreteStatsTable[[#This Row],[GroupByKey]]),(DiscreteStatsTable[GroupByKey]=DiscreteStatsTable[[#This Row],[GroupByKey]])*DiscreteStatsTable[Maximum]))</f>
        <v>7.95545419566559</v>
      </c>
      <c r="V304" s="5" cm="1">
        <f t="array" ref="V304">IFERROR(AVERAGE(IF((DiscreteStatsTable[GroupByKey]=DiscreteStatsTable[[#This Row],[GroupByKey]]),(DiscreteStatsTable[GroupByKey]=DiscreteStatsTable[[#This Row],[GroupByKey]])*DiscreteStatsTable[NumberObservations])),0)</f>
        <v>4.58</v>
      </c>
      <c r="W304" s="5">
        <f>IF((DiscreteStatsTable[[#This Row],[RepsRequested]]&gt;1),DiscreteStatsTable[[#This Row],[HalfWidth]],DiscreteStatsTable[[#This Row],[BatchMeansHalfWidth]])</f>
        <v>0.31104636929981899</v>
      </c>
      <c r="X304" s="5" cm="1">
        <f t="array" ref="X304">COUNT(IF((DiscreteStatsTable[GroupByKey]=DiscreteStatsTable[[#This Row],[GroupByKey]]),(DiscreteStatsTable[GroupByKey]=DiscreteStatsTable[[#This Row],[GroupByKey]])*DiscreteStatsTable[Replication]))</f>
        <v>50</v>
      </c>
      <c r="Y304" s="5">
        <f>IF(DiscreteStatsTable[[#This Row],[RepsRequested]]=DiscreteStatsTable[[#This Row],[RepsWithStatObserved]],1,0)</f>
        <v>1</v>
      </c>
    </row>
    <row r="305" spans="1:25" x14ac:dyDescent="0.35">
      <c r="A305" t="s">
        <v>66</v>
      </c>
      <c r="B305" t="s">
        <v>69</v>
      </c>
      <c r="C305">
        <v>4</v>
      </c>
      <c r="D305" t="s">
        <v>78</v>
      </c>
      <c r="E305" t="s">
        <v>79</v>
      </c>
      <c r="F305" t="s">
        <v>80</v>
      </c>
      <c r="G305">
        <v>1.8047942321138599</v>
      </c>
      <c r="H305">
        <v>2E+20</v>
      </c>
      <c r="I305">
        <v>0</v>
      </c>
      <c r="J305">
        <v>3.9865559126057701</v>
      </c>
      <c r="K305">
        <v>4</v>
      </c>
      <c r="L305" s="5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05" s="5" cm="1">
        <f t="array" ref="M305">MAX(IF((ProjectInfoTable[ProjectName]=DiscreteStatsTable[[#This Row],[ProjectName]]),(ProjectInfoTable[ProjectName]=DiscreteStatsTable[[#This Row],[ProjectName]])*ProjectInfoTable[NumberOfReplications]))</f>
        <v>50</v>
      </c>
      <c r="N305" s="5" cm="1">
        <f t="array" ref="N305">IFERROR(AVERAGE(IF((DiscreteStatsTable[GroupByKey]=DiscreteStatsTable[[#This Row],[GroupByKey]]),(DiscreteStatsTable[GroupByKey]=DiscreteStatsTable[[#This Row],[GroupByKey]])*DiscreteStatsTable[Average])),0)</f>
        <v>1.6032171272413107</v>
      </c>
      <c r="O305" s="5" cm="1">
        <f t="array" ref="O305">IFERROR(_xlfn.STDEV.S(IF((DiscreteStatsTable[GroupByKey]=DiscreteStatsTable[[#This Row],[GroupByKey]]),(DiscreteStatsTable[GroupByKey]=DiscreteStatsTable[[#This Row],[GroupByKey]])*DiscreteStatsTable[Average])),0)</f>
        <v>1.0944750558807383</v>
      </c>
      <c r="P305" s="5" cm="1">
        <f t="array" ref="P305">MAX(IF((ProjectInfoTable[ProjectName]=DiscreteStatsTable[[#This Row],[ProjectName]]),(ProjectInfoTable[ProjectName]=DiscreteStatsTable[[#This Row],[ProjectName]])*ProjectInfoTable[ConfidenceInterval]))</f>
        <v>0.95</v>
      </c>
      <c r="Q305" s="5">
        <f>IF(AND(DiscreteStatsTable[[#This Row],[RepsWithStatObserved]]=1,Y305=0),200000000000000000000,IFERROR(_xlfn.T.INV.2T(1 -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0.31104636929981899</v>
      </c>
      <c r="R305" s="5" cm="1">
        <f t="array" ref="R305">MIN(IF((DiscreteStatsTable[GroupByKey]=DiscreteStatsTable[[#This Row],[GroupByKey]]),(DiscreteStatsTable[GroupByKey]=DiscreteStatsTable[[#This Row],[GroupByKey]])*DiscreteStatsTable[Average]))</f>
        <v>0</v>
      </c>
      <c r="S305" s="5" cm="1">
        <f t="array" ref="S305">MAX(IF((DiscreteStatsTable[GroupByKey]=DiscreteStatsTable[[#This Row],[GroupByKey]]),(DiscreteStatsTable[GroupByKey]=DiscreteStatsTable[[#This Row],[GroupByKey]])*DiscreteStatsTable[Average]))</f>
        <v>3.8977138394719901</v>
      </c>
      <c r="T305" s="5" cm="1">
        <f t="array" ref="T305">MIN(IF((DiscreteStatsTable[GroupByKey]=DiscreteStatsTable[[#This Row],[GroupByKey]]),(DiscreteStatsTable[GroupByKey]=DiscreteStatsTable[[#This Row],[GroupByKey]])*DiscreteStatsTable[Minimum]))</f>
        <v>0</v>
      </c>
      <c r="U305" s="5" cm="1">
        <f t="array" ref="U305">MAX(IF((DiscreteStatsTable[GroupByKey]=DiscreteStatsTable[[#This Row],[GroupByKey]]),(DiscreteStatsTable[GroupByKey]=DiscreteStatsTable[[#This Row],[GroupByKey]])*DiscreteStatsTable[Maximum]))</f>
        <v>7.95545419566559</v>
      </c>
      <c r="V305" s="5" cm="1">
        <f t="array" ref="V305">IFERROR(AVERAGE(IF((DiscreteStatsTable[GroupByKey]=DiscreteStatsTable[[#This Row],[GroupByKey]]),(DiscreteStatsTable[GroupByKey]=DiscreteStatsTable[[#This Row],[GroupByKey]])*DiscreteStatsTable[NumberObservations])),0)</f>
        <v>4.58</v>
      </c>
      <c r="W305" s="5">
        <f>IF((DiscreteStatsTable[[#This Row],[RepsRequested]]&gt;1),DiscreteStatsTable[[#This Row],[HalfWidth]],DiscreteStatsTable[[#This Row],[BatchMeansHalfWidth]])</f>
        <v>0.31104636929981899</v>
      </c>
      <c r="X305" s="5" cm="1">
        <f t="array" ref="X305">COUNT(IF((DiscreteStatsTable[GroupByKey]=DiscreteStatsTable[[#This Row],[GroupByKey]]),(DiscreteStatsTable[GroupByKey]=DiscreteStatsTable[[#This Row],[GroupByKey]])*DiscreteStatsTable[Replication]))</f>
        <v>50</v>
      </c>
      <c r="Y305" s="5">
        <f>IF(DiscreteStatsTable[[#This Row],[RepsRequested]]=DiscreteStatsTable[[#This Row],[RepsWithStatObserved]],1,0)</f>
        <v>1</v>
      </c>
    </row>
    <row r="306" spans="1:25" x14ac:dyDescent="0.35">
      <c r="A306" t="s">
        <v>66</v>
      </c>
      <c r="B306" t="s">
        <v>69</v>
      </c>
      <c r="C306">
        <v>5</v>
      </c>
      <c r="D306" t="s">
        <v>78</v>
      </c>
      <c r="E306" t="s">
        <v>79</v>
      </c>
      <c r="F306" t="s">
        <v>80</v>
      </c>
      <c r="G306">
        <v>1.24795229592496</v>
      </c>
      <c r="H306">
        <v>2E+20</v>
      </c>
      <c r="I306">
        <v>0</v>
      </c>
      <c r="J306">
        <v>3.7098581953746601</v>
      </c>
      <c r="K306">
        <v>5</v>
      </c>
      <c r="L306" s="5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06" s="5" cm="1">
        <f t="array" ref="M306">MAX(IF((ProjectInfoTable[ProjectName]=DiscreteStatsTable[[#This Row],[ProjectName]]),(ProjectInfoTable[ProjectName]=DiscreteStatsTable[[#This Row],[ProjectName]])*ProjectInfoTable[NumberOfReplications]))</f>
        <v>50</v>
      </c>
      <c r="N306" s="5" cm="1">
        <f t="array" ref="N306">IFERROR(AVERAGE(IF((DiscreteStatsTable[GroupByKey]=DiscreteStatsTable[[#This Row],[GroupByKey]]),(DiscreteStatsTable[GroupByKey]=DiscreteStatsTable[[#This Row],[GroupByKey]])*DiscreteStatsTable[Average])),0)</f>
        <v>1.6032171272413107</v>
      </c>
      <c r="O306" s="5" cm="1">
        <f t="array" ref="O306">IFERROR(_xlfn.STDEV.S(IF((DiscreteStatsTable[GroupByKey]=DiscreteStatsTable[[#This Row],[GroupByKey]]),(DiscreteStatsTable[GroupByKey]=DiscreteStatsTable[[#This Row],[GroupByKey]])*DiscreteStatsTable[Average])),0)</f>
        <v>1.0944750558807383</v>
      </c>
      <c r="P306" s="5" cm="1">
        <f t="array" ref="P306">MAX(IF((ProjectInfoTable[ProjectName]=DiscreteStatsTable[[#This Row],[ProjectName]]),(ProjectInfoTable[ProjectName]=DiscreteStatsTable[[#This Row],[ProjectName]])*ProjectInfoTable[ConfidenceInterval]))</f>
        <v>0.95</v>
      </c>
      <c r="Q306" s="5">
        <f>IF(AND(DiscreteStatsTable[[#This Row],[RepsWithStatObserved]]=1,Y306=0),200000000000000000000,IFERROR(_xlfn.T.INV.2T(1 -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0.31104636929981899</v>
      </c>
      <c r="R306" s="5" cm="1">
        <f t="array" ref="R306">MIN(IF((DiscreteStatsTable[GroupByKey]=DiscreteStatsTable[[#This Row],[GroupByKey]]),(DiscreteStatsTable[GroupByKey]=DiscreteStatsTable[[#This Row],[GroupByKey]])*DiscreteStatsTable[Average]))</f>
        <v>0</v>
      </c>
      <c r="S306" s="5" cm="1">
        <f t="array" ref="S306">MAX(IF((DiscreteStatsTable[GroupByKey]=DiscreteStatsTable[[#This Row],[GroupByKey]]),(DiscreteStatsTable[GroupByKey]=DiscreteStatsTable[[#This Row],[GroupByKey]])*DiscreteStatsTable[Average]))</f>
        <v>3.8977138394719901</v>
      </c>
      <c r="T306" s="5" cm="1">
        <f t="array" ref="T306">MIN(IF((DiscreteStatsTable[GroupByKey]=DiscreteStatsTable[[#This Row],[GroupByKey]]),(DiscreteStatsTable[GroupByKey]=DiscreteStatsTable[[#This Row],[GroupByKey]])*DiscreteStatsTable[Minimum]))</f>
        <v>0</v>
      </c>
      <c r="U306" s="5" cm="1">
        <f t="array" ref="U306">MAX(IF((DiscreteStatsTable[GroupByKey]=DiscreteStatsTable[[#This Row],[GroupByKey]]),(DiscreteStatsTable[GroupByKey]=DiscreteStatsTable[[#This Row],[GroupByKey]])*DiscreteStatsTable[Maximum]))</f>
        <v>7.95545419566559</v>
      </c>
      <c r="V306" s="5" cm="1">
        <f t="array" ref="V306">IFERROR(AVERAGE(IF((DiscreteStatsTable[GroupByKey]=DiscreteStatsTable[[#This Row],[GroupByKey]]),(DiscreteStatsTable[GroupByKey]=DiscreteStatsTable[[#This Row],[GroupByKey]])*DiscreteStatsTable[NumberObservations])),0)</f>
        <v>4.58</v>
      </c>
      <c r="W306" s="5">
        <f>IF((DiscreteStatsTable[[#This Row],[RepsRequested]]&gt;1),DiscreteStatsTable[[#This Row],[HalfWidth]],DiscreteStatsTable[[#This Row],[BatchMeansHalfWidth]])</f>
        <v>0.31104636929981899</v>
      </c>
      <c r="X306" s="5" cm="1">
        <f t="array" ref="X306">COUNT(IF((DiscreteStatsTable[GroupByKey]=DiscreteStatsTable[[#This Row],[GroupByKey]]),(DiscreteStatsTable[GroupByKey]=DiscreteStatsTable[[#This Row],[GroupByKey]])*DiscreteStatsTable[Replication]))</f>
        <v>50</v>
      </c>
      <c r="Y306" s="5">
        <f>IF(DiscreteStatsTable[[#This Row],[RepsRequested]]=DiscreteStatsTable[[#This Row],[RepsWithStatObserved]],1,0)</f>
        <v>1</v>
      </c>
    </row>
    <row r="307" spans="1:25" x14ac:dyDescent="0.35">
      <c r="A307" t="s">
        <v>66</v>
      </c>
      <c r="B307" t="s">
        <v>69</v>
      </c>
      <c r="C307">
        <v>6</v>
      </c>
      <c r="D307" t="s">
        <v>78</v>
      </c>
      <c r="E307" t="s">
        <v>79</v>
      </c>
      <c r="F307" t="s">
        <v>80</v>
      </c>
      <c r="G307">
        <v>2.0299019504539602</v>
      </c>
      <c r="H307">
        <v>2E+20</v>
      </c>
      <c r="I307">
        <v>0</v>
      </c>
      <c r="J307">
        <v>3.0688719461665999</v>
      </c>
      <c r="K307">
        <v>4</v>
      </c>
      <c r="L307" s="5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07" s="5" cm="1">
        <f t="array" ref="M307">MAX(IF((ProjectInfoTable[ProjectName]=DiscreteStatsTable[[#This Row],[ProjectName]]),(ProjectInfoTable[ProjectName]=DiscreteStatsTable[[#This Row],[ProjectName]])*ProjectInfoTable[NumberOfReplications]))</f>
        <v>50</v>
      </c>
      <c r="N307" s="5" cm="1">
        <f t="array" ref="N307">IFERROR(AVERAGE(IF((DiscreteStatsTable[GroupByKey]=DiscreteStatsTable[[#This Row],[GroupByKey]]),(DiscreteStatsTable[GroupByKey]=DiscreteStatsTable[[#This Row],[GroupByKey]])*DiscreteStatsTable[Average])),0)</f>
        <v>1.6032171272413107</v>
      </c>
      <c r="O307" s="5" cm="1">
        <f t="array" ref="O307">IFERROR(_xlfn.STDEV.S(IF((DiscreteStatsTable[GroupByKey]=DiscreteStatsTable[[#This Row],[GroupByKey]]),(DiscreteStatsTable[GroupByKey]=DiscreteStatsTable[[#This Row],[GroupByKey]])*DiscreteStatsTable[Average])),0)</f>
        <v>1.0944750558807383</v>
      </c>
      <c r="P307" s="5" cm="1">
        <f t="array" ref="P307">MAX(IF((ProjectInfoTable[ProjectName]=DiscreteStatsTable[[#This Row],[ProjectName]]),(ProjectInfoTable[ProjectName]=DiscreteStatsTable[[#This Row],[ProjectName]])*ProjectInfoTable[ConfidenceInterval]))</f>
        <v>0.95</v>
      </c>
      <c r="Q307" s="5">
        <f>IF(AND(DiscreteStatsTable[[#This Row],[RepsWithStatObserved]]=1,Y307=0),200000000000000000000,IFERROR(_xlfn.T.INV.2T(1 -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0.31104636929981899</v>
      </c>
      <c r="R307" s="5" cm="1">
        <f t="array" ref="R307">MIN(IF((DiscreteStatsTable[GroupByKey]=DiscreteStatsTable[[#This Row],[GroupByKey]]),(DiscreteStatsTable[GroupByKey]=DiscreteStatsTable[[#This Row],[GroupByKey]])*DiscreteStatsTable[Average]))</f>
        <v>0</v>
      </c>
      <c r="S307" s="5" cm="1">
        <f t="array" ref="S307">MAX(IF((DiscreteStatsTable[GroupByKey]=DiscreteStatsTable[[#This Row],[GroupByKey]]),(DiscreteStatsTable[GroupByKey]=DiscreteStatsTable[[#This Row],[GroupByKey]])*DiscreteStatsTable[Average]))</f>
        <v>3.8977138394719901</v>
      </c>
      <c r="T307" s="5" cm="1">
        <f t="array" ref="T307">MIN(IF((DiscreteStatsTable[GroupByKey]=DiscreteStatsTable[[#This Row],[GroupByKey]]),(DiscreteStatsTable[GroupByKey]=DiscreteStatsTable[[#This Row],[GroupByKey]])*DiscreteStatsTable[Minimum]))</f>
        <v>0</v>
      </c>
      <c r="U307" s="5" cm="1">
        <f t="array" ref="U307">MAX(IF((DiscreteStatsTable[GroupByKey]=DiscreteStatsTable[[#This Row],[GroupByKey]]),(DiscreteStatsTable[GroupByKey]=DiscreteStatsTable[[#This Row],[GroupByKey]])*DiscreteStatsTable[Maximum]))</f>
        <v>7.95545419566559</v>
      </c>
      <c r="V307" s="5" cm="1">
        <f t="array" ref="V307">IFERROR(AVERAGE(IF((DiscreteStatsTable[GroupByKey]=DiscreteStatsTable[[#This Row],[GroupByKey]]),(DiscreteStatsTable[GroupByKey]=DiscreteStatsTable[[#This Row],[GroupByKey]])*DiscreteStatsTable[NumberObservations])),0)</f>
        <v>4.58</v>
      </c>
      <c r="W307" s="5">
        <f>IF((DiscreteStatsTable[[#This Row],[RepsRequested]]&gt;1),DiscreteStatsTable[[#This Row],[HalfWidth]],DiscreteStatsTable[[#This Row],[BatchMeansHalfWidth]])</f>
        <v>0.31104636929981899</v>
      </c>
      <c r="X307" s="5" cm="1">
        <f t="array" ref="X307">COUNT(IF((DiscreteStatsTable[GroupByKey]=DiscreteStatsTable[[#This Row],[GroupByKey]]),(DiscreteStatsTable[GroupByKey]=DiscreteStatsTable[[#This Row],[GroupByKey]])*DiscreteStatsTable[Replication]))</f>
        <v>50</v>
      </c>
      <c r="Y307" s="5">
        <f>IF(DiscreteStatsTable[[#This Row],[RepsRequested]]=DiscreteStatsTable[[#This Row],[RepsWithStatObserved]],1,0)</f>
        <v>1</v>
      </c>
    </row>
    <row r="308" spans="1:25" x14ac:dyDescent="0.35">
      <c r="A308" t="s">
        <v>66</v>
      </c>
      <c r="B308" t="s">
        <v>69</v>
      </c>
      <c r="C308">
        <v>7</v>
      </c>
      <c r="D308" t="s">
        <v>78</v>
      </c>
      <c r="E308" t="s">
        <v>79</v>
      </c>
      <c r="F308" t="s">
        <v>80</v>
      </c>
      <c r="G308">
        <v>2.4837384479575699</v>
      </c>
      <c r="H308">
        <v>2E+20</v>
      </c>
      <c r="I308">
        <v>0</v>
      </c>
      <c r="J308">
        <v>3.99722045569444</v>
      </c>
      <c r="K308">
        <v>4</v>
      </c>
      <c r="L308" s="5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08" s="5" cm="1">
        <f t="array" ref="M308">MAX(IF((ProjectInfoTable[ProjectName]=DiscreteStatsTable[[#This Row],[ProjectName]]),(ProjectInfoTable[ProjectName]=DiscreteStatsTable[[#This Row],[ProjectName]])*ProjectInfoTable[NumberOfReplications]))</f>
        <v>50</v>
      </c>
      <c r="N308" s="5" cm="1">
        <f t="array" ref="N308">IFERROR(AVERAGE(IF((DiscreteStatsTable[GroupByKey]=DiscreteStatsTable[[#This Row],[GroupByKey]]),(DiscreteStatsTable[GroupByKey]=DiscreteStatsTable[[#This Row],[GroupByKey]])*DiscreteStatsTable[Average])),0)</f>
        <v>1.6032171272413107</v>
      </c>
      <c r="O308" s="5" cm="1">
        <f t="array" ref="O308">IFERROR(_xlfn.STDEV.S(IF((DiscreteStatsTable[GroupByKey]=DiscreteStatsTable[[#This Row],[GroupByKey]]),(DiscreteStatsTable[GroupByKey]=DiscreteStatsTable[[#This Row],[GroupByKey]])*DiscreteStatsTable[Average])),0)</f>
        <v>1.0944750558807383</v>
      </c>
      <c r="P308" s="5" cm="1">
        <f t="array" ref="P308">MAX(IF((ProjectInfoTable[ProjectName]=DiscreteStatsTable[[#This Row],[ProjectName]]),(ProjectInfoTable[ProjectName]=DiscreteStatsTable[[#This Row],[ProjectName]])*ProjectInfoTable[ConfidenceInterval]))</f>
        <v>0.95</v>
      </c>
      <c r="Q308" s="5">
        <f>IF(AND(DiscreteStatsTable[[#This Row],[RepsWithStatObserved]]=1,Y308=0),200000000000000000000,IFERROR(_xlfn.T.INV.2T(1 -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0.31104636929981899</v>
      </c>
      <c r="R308" s="5" cm="1">
        <f t="array" ref="R308">MIN(IF((DiscreteStatsTable[GroupByKey]=DiscreteStatsTable[[#This Row],[GroupByKey]]),(DiscreteStatsTable[GroupByKey]=DiscreteStatsTable[[#This Row],[GroupByKey]])*DiscreteStatsTable[Average]))</f>
        <v>0</v>
      </c>
      <c r="S308" s="5" cm="1">
        <f t="array" ref="S308">MAX(IF((DiscreteStatsTable[GroupByKey]=DiscreteStatsTable[[#This Row],[GroupByKey]]),(DiscreteStatsTable[GroupByKey]=DiscreteStatsTable[[#This Row],[GroupByKey]])*DiscreteStatsTable[Average]))</f>
        <v>3.8977138394719901</v>
      </c>
      <c r="T308" s="5" cm="1">
        <f t="array" ref="T308">MIN(IF((DiscreteStatsTable[GroupByKey]=DiscreteStatsTable[[#This Row],[GroupByKey]]),(DiscreteStatsTable[GroupByKey]=DiscreteStatsTable[[#This Row],[GroupByKey]])*DiscreteStatsTable[Minimum]))</f>
        <v>0</v>
      </c>
      <c r="U308" s="5" cm="1">
        <f t="array" ref="U308">MAX(IF((DiscreteStatsTable[GroupByKey]=DiscreteStatsTable[[#This Row],[GroupByKey]]),(DiscreteStatsTable[GroupByKey]=DiscreteStatsTable[[#This Row],[GroupByKey]])*DiscreteStatsTable[Maximum]))</f>
        <v>7.95545419566559</v>
      </c>
      <c r="V308" s="5" cm="1">
        <f t="array" ref="V308">IFERROR(AVERAGE(IF((DiscreteStatsTable[GroupByKey]=DiscreteStatsTable[[#This Row],[GroupByKey]]),(DiscreteStatsTable[GroupByKey]=DiscreteStatsTable[[#This Row],[GroupByKey]])*DiscreteStatsTable[NumberObservations])),0)</f>
        <v>4.58</v>
      </c>
      <c r="W308" s="5">
        <f>IF((DiscreteStatsTable[[#This Row],[RepsRequested]]&gt;1),DiscreteStatsTable[[#This Row],[HalfWidth]],DiscreteStatsTable[[#This Row],[BatchMeansHalfWidth]])</f>
        <v>0.31104636929981899</v>
      </c>
      <c r="X308" s="5" cm="1">
        <f t="array" ref="X308">COUNT(IF((DiscreteStatsTable[GroupByKey]=DiscreteStatsTable[[#This Row],[GroupByKey]]),(DiscreteStatsTable[GroupByKey]=DiscreteStatsTable[[#This Row],[GroupByKey]])*DiscreteStatsTable[Replication]))</f>
        <v>50</v>
      </c>
      <c r="Y308" s="5">
        <f>IF(DiscreteStatsTable[[#This Row],[RepsRequested]]=DiscreteStatsTable[[#This Row],[RepsWithStatObserved]],1,0)</f>
        <v>1</v>
      </c>
    </row>
    <row r="309" spans="1:25" x14ac:dyDescent="0.35">
      <c r="A309" t="s">
        <v>66</v>
      </c>
      <c r="B309" t="s">
        <v>69</v>
      </c>
      <c r="C309">
        <v>8</v>
      </c>
      <c r="D309" t="s">
        <v>78</v>
      </c>
      <c r="E309" t="s">
        <v>79</v>
      </c>
      <c r="F309" t="s">
        <v>80</v>
      </c>
      <c r="G309">
        <v>2.31439341013041</v>
      </c>
      <c r="H309">
        <v>2E+20</v>
      </c>
      <c r="I309">
        <v>0</v>
      </c>
      <c r="J309">
        <v>4.4167356248476803</v>
      </c>
      <c r="K309">
        <v>4</v>
      </c>
      <c r="L309" s="5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09" s="5" cm="1">
        <f t="array" ref="M309">MAX(IF((ProjectInfoTable[ProjectName]=DiscreteStatsTable[[#This Row],[ProjectName]]),(ProjectInfoTable[ProjectName]=DiscreteStatsTable[[#This Row],[ProjectName]])*ProjectInfoTable[NumberOfReplications]))</f>
        <v>50</v>
      </c>
      <c r="N309" s="5" cm="1">
        <f t="array" ref="N309">IFERROR(AVERAGE(IF((DiscreteStatsTable[GroupByKey]=DiscreteStatsTable[[#This Row],[GroupByKey]]),(DiscreteStatsTable[GroupByKey]=DiscreteStatsTable[[#This Row],[GroupByKey]])*DiscreteStatsTable[Average])),0)</f>
        <v>1.6032171272413107</v>
      </c>
      <c r="O309" s="5" cm="1">
        <f t="array" ref="O309">IFERROR(_xlfn.STDEV.S(IF((DiscreteStatsTable[GroupByKey]=DiscreteStatsTable[[#This Row],[GroupByKey]]),(DiscreteStatsTable[GroupByKey]=DiscreteStatsTable[[#This Row],[GroupByKey]])*DiscreteStatsTable[Average])),0)</f>
        <v>1.0944750558807383</v>
      </c>
      <c r="P309" s="5" cm="1">
        <f t="array" ref="P309">MAX(IF((ProjectInfoTable[ProjectName]=DiscreteStatsTable[[#This Row],[ProjectName]]),(ProjectInfoTable[ProjectName]=DiscreteStatsTable[[#This Row],[ProjectName]])*ProjectInfoTable[ConfidenceInterval]))</f>
        <v>0.95</v>
      </c>
      <c r="Q309" s="5">
        <f>IF(AND(DiscreteStatsTable[[#This Row],[RepsWithStatObserved]]=1,Y309=0),200000000000000000000,IFERROR(_xlfn.T.INV.2T(1 -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0.31104636929981899</v>
      </c>
      <c r="R309" s="5" cm="1">
        <f t="array" ref="R309">MIN(IF((DiscreteStatsTable[GroupByKey]=DiscreteStatsTable[[#This Row],[GroupByKey]]),(DiscreteStatsTable[GroupByKey]=DiscreteStatsTable[[#This Row],[GroupByKey]])*DiscreteStatsTable[Average]))</f>
        <v>0</v>
      </c>
      <c r="S309" s="5" cm="1">
        <f t="array" ref="S309">MAX(IF((DiscreteStatsTable[GroupByKey]=DiscreteStatsTable[[#This Row],[GroupByKey]]),(DiscreteStatsTable[GroupByKey]=DiscreteStatsTable[[#This Row],[GroupByKey]])*DiscreteStatsTable[Average]))</f>
        <v>3.8977138394719901</v>
      </c>
      <c r="T309" s="5" cm="1">
        <f t="array" ref="T309">MIN(IF((DiscreteStatsTable[GroupByKey]=DiscreteStatsTable[[#This Row],[GroupByKey]]),(DiscreteStatsTable[GroupByKey]=DiscreteStatsTable[[#This Row],[GroupByKey]])*DiscreteStatsTable[Minimum]))</f>
        <v>0</v>
      </c>
      <c r="U309" s="5" cm="1">
        <f t="array" ref="U309">MAX(IF((DiscreteStatsTable[GroupByKey]=DiscreteStatsTable[[#This Row],[GroupByKey]]),(DiscreteStatsTable[GroupByKey]=DiscreteStatsTable[[#This Row],[GroupByKey]])*DiscreteStatsTable[Maximum]))</f>
        <v>7.95545419566559</v>
      </c>
      <c r="V309" s="5" cm="1">
        <f t="array" ref="V309">IFERROR(AVERAGE(IF((DiscreteStatsTable[GroupByKey]=DiscreteStatsTable[[#This Row],[GroupByKey]]),(DiscreteStatsTable[GroupByKey]=DiscreteStatsTable[[#This Row],[GroupByKey]])*DiscreteStatsTable[NumberObservations])),0)</f>
        <v>4.58</v>
      </c>
      <c r="W309" s="5">
        <f>IF((DiscreteStatsTable[[#This Row],[RepsRequested]]&gt;1),DiscreteStatsTable[[#This Row],[HalfWidth]],DiscreteStatsTable[[#This Row],[BatchMeansHalfWidth]])</f>
        <v>0.31104636929981899</v>
      </c>
      <c r="X309" s="5" cm="1">
        <f t="array" ref="X309">COUNT(IF((DiscreteStatsTable[GroupByKey]=DiscreteStatsTable[[#This Row],[GroupByKey]]),(DiscreteStatsTable[GroupByKey]=DiscreteStatsTable[[#This Row],[GroupByKey]])*DiscreteStatsTable[Replication]))</f>
        <v>50</v>
      </c>
      <c r="Y309" s="5">
        <f>IF(DiscreteStatsTable[[#This Row],[RepsRequested]]=DiscreteStatsTable[[#This Row],[RepsWithStatObserved]],1,0)</f>
        <v>1</v>
      </c>
    </row>
    <row r="310" spans="1:25" x14ac:dyDescent="0.35">
      <c r="A310" t="s">
        <v>66</v>
      </c>
      <c r="B310" t="s">
        <v>69</v>
      </c>
      <c r="C310">
        <v>9</v>
      </c>
      <c r="D310" t="s">
        <v>78</v>
      </c>
      <c r="E310" t="s">
        <v>79</v>
      </c>
      <c r="F310" t="s">
        <v>80</v>
      </c>
      <c r="G310">
        <v>0.988179117323436</v>
      </c>
      <c r="H310">
        <v>2E+20</v>
      </c>
      <c r="I310">
        <v>0</v>
      </c>
      <c r="J310">
        <v>2.5503788881754699</v>
      </c>
      <c r="K310">
        <v>5</v>
      </c>
      <c r="L310" s="5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10" s="5" cm="1">
        <f t="array" ref="M310">MAX(IF((ProjectInfoTable[ProjectName]=DiscreteStatsTable[[#This Row],[ProjectName]]),(ProjectInfoTable[ProjectName]=DiscreteStatsTable[[#This Row],[ProjectName]])*ProjectInfoTable[NumberOfReplications]))</f>
        <v>50</v>
      </c>
      <c r="N310" s="5" cm="1">
        <f t="array" ref="N310">IFERROR(AVERAGE(IF((DiscreteStatsTable[GroupByKey]=DiscreteStatsTable[[#This Row],[GroupByKey]]),(DiscreteStatsTable[GroupByKey]=DiscreteStatsTable[[#This Row],[GroupByKey]])*DiscreteStatsTable[Average])),0)</f>
        <v>1.6032171272413107</v>
      </c>
      <c r="O310" s="5" cm="1">
        <f t="array" ref="O310">IFERROR(_xlfn.STDEV.S(IF((DiscreteStatsTable[GroupByKey]=DiscreteStatsTable[[#This Row],[GroupByKey]]),(DiscreteStatsTable[GroupByKey]=DiscreteStatsTable[[#This Row],[GroupByKey]])*DiscreteStatsTable[Average])),0)</f>
        <v>1.0944750558807383</v>
      </c>
      <c r="P310" s="5" cm="1">
        <f t="array" ref="P310">MAX(IF((ProjectInfoTable[ProjectName]=DiscreteStatsTable[[#This Row],[ProjectName]]),(ProjectInfoTable[ProjectName]=DiscreteStatsTable[[#This Row],[ProjectName]])*ProjectInfoTable[ConfidenceInterval]))</f>
        <v>0.95</v>
      </c>
      <c r="Q310" s="5">
        <f>IF(AND(DiscreteStatsTable[[#This Row],[RepsWithStatObserved]]=1,Y310=0),200000000000000000000,IFERROR(_xlfn.T.INV.2T(1 -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0.31104636929981899</v>
      </c>
      <c r="R310" s="5" cm="1">
        <f t="array" ref="R310">MIN(IF((DiscreteStatsTable[GroupByKey]=DiscreteStatsTable[[#This Row],[GroupByKey]]),(DiscreteStatsTable[GroupByKey]=DiscreteStatsTable[[#This Row],[GroupByKey]])*DiscreteStatsTable[Average]))</f>
        <v>0</v>
      </c>
      <c r="S310" s="5" cm="1">
        <f t="array" ref="S310">MAX(IF((DiscreteStatsTable[GroupByKey]=DiscreteStatsTable[[#This Row],[GroupByKey]]),(DiscreteStatsTable[GroupByKey]=DiscreteStatsTable[[#This Row],[GroupByKey]])*DiscreteStatsTable[Average]))</f>
        <v>3.8977138394719901</v>
      </c>
      <c r="T310" s="5" cm="1">
        <f t="array" ref="T310">MIN(IF((DiscreteStatsTable[GroupByKey]=DiscreteStatsTable[[#This Row],[GroupByKey]]),(DiscreteStatsTable[GroupByKey]=DiscreteStatsTable[[#This Row],[GroupByKey]])*DiscreteStatsTable[Minimum]))</f>
        <v>0</v>
      </c>
      <c r="U310" s="5" cm="1">
        <f t="array" ref="U310">MAX(IF((DiscreteStatsTable[GroupByKey]=DiscreteStatsTable[[#This Row],[GroupByKey]]),(DiscreteStatsTable[GroupByKey]=DiscreteStatsTable[[#This Row],[GroupByKey]])*DiscreteStatsTable[Maximum]))</f>
        <v>7.95545419566559</v>
      </c>
      <c r="V310" s="5" cm="1">
        <f t="array" ref="V310">IFERROR(AVERAGE(IF((DiscreteStatsTable[GroupByKey]=DiscreteStatsTable[[#This Row],[GroupByKey]]),(DiscreteStatsTable[GroupByKey]=DiscreteStatsTable[[#This Row],[GroupByKey]])*DiscreteStatsTable[NumberObservations])),0)</f>
        <v>4.58</v>
      </c>
      <c r="W310" s="5">
        <f>IF((DiscreteStatsTable[[#This Row],[RepsRequested]]&gt;1),DiscreteStatsTable[[#This Row],[HalfWidth]],DiscreteStatsTable[[#This Row],[BatchMeansHalfWidth]])</f>
        <v>0.31104636929981899</v>
      </c>
      <c r="X310" s="5" cm="1">
        <f t="array" ref="X310">COUNT(IF((DiscreteStatsTable[GroupByKey]=DiscreteStatsTable[[#This Row],[GroupByKey]]),(DiscreteStatsTable[GroupByKey]=DiscreteStatsTable[[#This Row],[GroupByKey]])*DiscreteStatsTable[Replication]))</f>
        <v>50</v>
      </c>
      <c r="Y310" s="5">
        <f>IF(DiscreteStatsTable[[#This Row],[RepsRequested]]=DiscreteStatsTable[[#This Row],[RepsWithStatObserved]],1,0)</f>
        <v>1</v>
      </c>
    </row>
    <row r="311" spans="1:25" x14ac:dyDescent="0.35">
      <c r="A311" t="s">
        <v>66</v>
      </c>
      <c r="B311" t="s">
        <v>69</v>
      </c>
      <c r="C311">
        <v>10</v>
      </c>
      <c r="D311" t="s">
        <v>78</v>
      </c>
      <c r="E311" t="s">
        <v>79</v>
      </c>
      <c r="F311" t="s">
        <v>80</v>
      </c>
      <c r="G311">
        <v>1.3557159425601899</v>
      </c>
      <c r="H311">
        <v>2E+20</v>
      </c>
      <c r="I311">
        <v>0</v>
      </c>
      <c r="J311">
        <v>3.6901111822258201</v>
      </c>
      <c r="K311">
        <v>4</v>
      </c>
      <c r="L311" s="5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11" s="5" cm="1">
        <f t="array" ref="M311">MAX(IF((ProjectInfoTable[ProjectName]=DiscreteStatsTable[[#This Row],[ProjectName]]),(ProjectInfoTable[ProjectName]=DiscreteStatsTable[[#This Row],[ProjectName]])*ProjectInfoTable[NumberOfReplications]))</f>
        <v>50</v>
      </c>
      <c r="N311" s="5" cm="1">
        <f t="array" ref="N311">IFERROR(AVERAGE(IF((DiscreteStatsTable[GroupByKey]=DiscreteStatsTable[[#This Row],[GroupByKey]]),(DiscreteStatsTable[GroupByKey]=DiscreteStatsTable[[#This Row],[GroupByKey]])*DiscreteStatsTable[Average])),0)</f>
        <v>1.6032171272413107</v>
      </c>
      <c r="O311" s="5" cm="1">
        <f t="array" ref="O311">IFERROR(_xlfn.STDEV.S(IF((DiscreteStatsTable[GroupByKey]=DiscreteStatsTable[[#This Row],[GroupByKey]]),(DiscreteStatsTable[GroupByKey]=DiscreteStatsTable[[#This Row],[GroupByKey]])*DiscreteStatsTable[Average])),0)</f>
        <v>1.0944750558807383</v>
      </c>
      <c r="P311" s="5" cm="1">
        <f t="array" ref="P311">MAX(IF((ProjectInfoTable[ProjectName]=DiscreteStatsTable[[#This Row],[ProjectName]]),(ProjectInfoTable[ProjectName]=DiscreteStatsTable[[#This Row],[ProjectName]])*ProjectInfoTable[ConfidenceInterval]))</f>
        <v>0.95</v>
      </c>
      <c r="Q311" s="5">
        <f>IF(AND(DiscreteStatsTable[[#This Row],[RepsWithStatObserved]]=1,Y311=0),200000000000000000000,IFERROR(_xlfn.T.INV.2T(1 -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0.31104636929981899</v>
      </c>
      <c r="R311" s="5" cm="1">
        <f t="array" ref="R311">MIN(IF((DiscreteStatsTable[GroupByKey]=DiscreteStatsTable[[#This Row],[GroupByKey]]),(DiscreteStatsTable[GroupByKey]=DiscreteStatsTable[[#This Row],[GroupByKey]])*DiscreteStatsTable[Average]))</f>
        <v>0</v>
      </c>
      <c r="S311" s="5" cm="1">
        <f t="array" ref="S311">MAX(IF((DiscreteStatsTable[GroupByKey]=DiscreteStatsTable[[#This Row],[GroupByKey]]),(DiscreteStatsTable[GroupByKey]=DiscreteStatsTable[[#This Row],[GroupByKey]])*DiscreteStatsTable[Average]))</f>
        <v>3.8977138394719901</v>
      </c>
      <c r="T311" s="5" cm="1">
        <f t="array" ref="T311">MIN(IF((DiscreteStatsTable[GroupByKey]=DiscreteStatsTable[[#This Row],[GroupByKey]]),(DiscreteStatsTable[GroupByKey]=DiscreteStatsTable[[#This Row],[GroupByKey]])*DiscreteStatsTable[Minimum]))</f>
        <v>0</v>
      </c>
      <c r="U311" s="5" cm="1">
        <f t="array" ref="U311">MAX(IF((DiscreteStatsTable[GroupByKey]=DiscreteStatsTable[[#This Row],[GroupByKey]]),(DiscreteStatsTable[GroupByKey]=DiscreteStatsTable[[#This Row],[GroupByKey]])*DiscreteStatsTable[Maximum]))</f>
        <v>7.95545419566559</v>
      </c>
      <c r="V311" s="5" cm="1">
        <f t="array" ref="V311">IFERROR(AVERAGE(IF((DiscreteStatsTable[GroupByKey]=DiscreteStatsTable[[#This Row],[GroupByKey]]),(DiscreteStatsTable[GroupByKey]=DiscreteStatsTable[[#This Row],[GroupByKey]])*DiscreteStatsTable[NumberObservations])),0)</f>
        <v>4.58</v>
      </c>
      <c r="W311" s="5">
        <f>IF((DiscreteStatsTable[[#This Row],[RepsRequested]]&gt;1),DiscreteStatsTable[[#This Row],[HalfWidth]],DiscreteStatsTable[[#This Row],[BatchMeansHalfWidth]])</f>
        <v>0.31104636929981899</v>
      </c>
      <c r="X311" s="5" cm="1">
        <f t="array" ref="X311">COUNT(IF((DiscreteStatsTable[GroupByKey]=DiscreteStatsTable[[#This Row],[GroupByKey]]),(DiscreteStatsTable[GroupByKey]=DiscreteStatsTable[[#This Row],[GroupByKey]])*DiscreteStatsTable[Replication]))</f>
        <v>50</v>
      </c>
      <c r="Y311" s="5">
        <f>IF(DiscreteStatsTable[[#This Row],[RepsRequested]]=DiscreteStatsTable[[#This Row],[RepsWithStatObserved]],1,0)</f>
        <v>1</v>
      </c>
    </row>
    <row r="312" spans="1:25" x14ac:dyDescent="0.35">
      <c r="A312" t="s">
        <v>66</v>
      </c>
      <c r="B312" t="s">
        <v>69</v>
      </c>
      <c r="C312">
        <v>11</v>
      </c>
      <c r="D312" t="s">
        <v>78</v>
      </c>
      <c r="E312" t="s">
        <v>79</v>
      </c>
      <c r="F312" t="s">
        <v>80</v>
      </c>
      <c r="G312">
        <v>0.57825190232439905</v>
      </c>
      <c r="H312">
        <v>2E+20</v>
      </c>
      <c r="I312">
        <v>0</v>
      </c>
      <c r="J312">
        <v>2.3737723369045098</v>
      </c>
      <c r="K312">
        <v>5</v>
      </c>
      <c r="L312" s="5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12" s="5" cm="1">
        <f t="array" ref="M312">MAX(IF((ProjectInfoTable[ProjectName]=DiscreteStatsTable[[#This Row],[ProjectName]]),(ProjectInfoTable[ProjectName]=DiscreteStatsTable[[#This Row],[ProjectName]])*ProjectInfoTable[NumberOfReplications]))</f>
        <v>50</v>
      </c>
      <c r="N312" s="5" cm="1">
        <f t="array" ref="N312">IFERROR(AVERAGE(IF((DiscreteStatsTable[GroupByKey]=DiscreteStatsTable[[#This Row],[GroupByKey]]),(DiscreteStatsTable[GroupByKey]=DiscreteStatsTable[[#This Row],[GroupByKey]])*DiscreteStatsTable[Average])),0)</f>
        <v>1.6032171272413107</v>
      </c>
      <c r="O312" s="5" cm="1">
        <f t="array" ref="O312">IFERROR(_xlfn.STDEV.S(IF((DiscreteStatsTable[GroupByKey]=DiscreteStatsTable[[#This Row],[GroupByKey]]),(DiscreteStatsTable[GroupByKey]=DiscreteStatsTable[[#This Row],[GroupByKey]])*DiscreteStatsTable[Average])),0)</f>
        <v>1.0944750558807383</v>
      </c>
      <c r="P312" s="5" cm="1">
        <f t="array" ref="P312">MAX(IF((ProjectInfoTable[ProjectName]=DiscreteStatsTable[[#This Row],[ProjectName]]),(ProjectInfoTable[ProjectName]=DiscreteStatsTable[[#This Row],[ProjectName]])*ProjectInfoTable[ConfidenceInterval]))</f>
        <v>0.95</v>
      </c>
      <c r="Q312" s="5">
        <f>IF(AND(DiscreteStatsTable[[#This Row],[RepsWithStatObserved]]=1,Y312=0),200000000000000000000,IFERROR(_xlfn.T.INV.2T(1 -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0.31104636929981899</v>
      </c>
      <c r="R312" s="5" cm="1">
        <f t="array" ref="R312">MIN(IF((DiscreteStatsTable[GroupByKey]=DiscreteStatsTable[[#This Row],[GroupByKey]]),(DiscreteStatsTable[GroupByKey]=DiscreteStatsTable[[#This Row],[GroupByKey]])*DiscreteStatsTable[Average]))</f>
        <v>0</v>
      </c>
      <c r="S312" s="5" cm="1">
        <f t="array" ref="S312">MAX(IF((DiscreteStatsTable[GroupByKey]=DiscreteStatsTable[[#This Row],[GroupByKey]]),(DiscreteStatsTable[GroupByKey]=DiscreteStatsTable[[#This Row],[GroupByKey]])*DiscreteStatsTable[Average]))</f>
        <v>3.8977138394719901</v>
      </c>
      <c r="T312" s="5" cm="1">
        <f t="array" ref="T312">MIN(IF((DiscreteStatsTable[GroupByKey]=DiscreteStatsTable[[#This Row],[GroupByKey]]),(DiscreteStatsTable[GroupByKey]=DiscreteStatsTable[[#This Row],[GroupByKey]])*DiscreteStatsTable[Minimum]))</f>
        <v>0</v>
      </c>
      <c r="U312" s="5" cm="1">
        <f t="array" ref="U312">MAX(IF((DiscreteStatsTable[GroupByKey]=DiscreteStatsTable[[#This Row],[GroupByKey]]),(DiscreteStatsTable[GroupByKey]=DiscreteStatsTable[[#This Row],[GroupByKey]])*DiscreteStatsTable[Maximum]))</f>
        <v>7.95545419566559</v>
      </c>
      <c r="V312" s="5" cm="1">
        <f t="array" ref="V312">IFERROR(AVERAGE(IF((DiscreteStatsTable[GroupByKey]=DiscreteStatsTable[[#This Row],[GroupByKey]]),(DiscreteStatsTable[GroupByKey]=DiscreteStatsTable[[#This Row],[GroupByKey]])*DiscreteStatsTable[NumberObservations])),0)</f>
        <v>4.58</v>
      </c>
      <c r="W312" s="5">
        <f>IF((DiscreteStatsTable[[#This Row],[RepsRequested]]&gt;1),DiscreteStatsTable[[#This Row],[HalfWidth]],DiscreteStatsTable[[#This Row],[BatchMeansHalfWidth]])</f>
        <v>0.31104636929981899</v>
      </c>
      <c r="X312" s="5" cm="1">
        <f t="array" ref="X312">COUNT(IF((DiscreteStatsTable[GroupByKey]=DiscreteStatsTable[[#This Row],[GroupByKey]]),(DiscreteStatsTable[GroupByKey]=DiscreteStatsTable[[#This Row],[GroupByKey]])*DiscreteStatsTable[Replication]))</f>
        <v>50</v>
      </c>
      <c r="Y312" s="5">
        <f>IF(DiscreteStatsTable[[#This Row],[RepsRequested]]=DiscreteStatsTable[[#This Row],[RepsWithStatObserved]],1,0)</f>
        <v>1</v>
      </c>
    </row>
    <row r="313" spans="1:25" x14ac:dyDescent="0.35">
      <c r="A313" t="s">
        <v>66</v>
      </c>
      <c r="B313" t="s">
        <v>69</v>
      </c>
      <c r="C313">
        <v>12</v>
      </c>
      <c r="D313" t="s">
        <v>78</v>
      </c>
      <c r="E313" t="s">
        <v>79</v>
      </c>
      <c r="F313" t="s">
        <v>80</v>
      </c>
      <c r="G313">
        <v>0.34200104578348201</v>
      </c>
      <c r="H313">
        <v>2E+20</v>
      </c>
      <c r="I313">
        <v>0</v>
      </c>
      <c r="J313">
        <v>1.1232363820073501</v>
      </c>
      <c r="K313">
        <v>5</v>
      </c>
      <c r="L313" s="5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13" s="5" cm="1">
        <f t="array" ref="M313">MAX(IF((ProjectInfoTable[ProjectName]=DiscreteStatsTable[[#This Row],[ProjectName]]),(ProjectInfoTable[ProjectName]=DiscreteStatsTable[[#This Row],[ProjectName]])*ProjectInfoTable[NumberOfReplications]))</f>
        <v>50</v>
      </c>
      <c r="N313" s="5" cm="1">
        <f t="array" ref="N313">IFERROR(AVERAGE(IF((DiscreteStatsTable[GroupByKey]=DiscreteStatsTable[[#This Row],[GroupByKey]]),(DiscreteStatsTable[GroupByKey]=DiscreteStatsTable[[#This Row],[GroupByKey]])*DiscreteStatsTable[Average])),0)</f>
        <v>1.6032171272413107</v>
      </c>
      <c r="O313" s="5" cm="1">
        <f t="array" ref="O313">IFERROR(_xlfn.STDEV.S(IF((DiscreteStatsTable[GroupByKey]=DiscreteStatsTable[[#This Row],[GroupByKey]]),(DiscreteStatsTable[GroupByKey]=DiscreteStatsTable[[#This Row],[GroupByKey]])*DiscreteStatsTable[Average])),0)</f>
        <v>1.0944750558807383</v>
      </c>
      <c r="P313" s="5" cm="1">
        <f t="array" ref="P313">MAX(IF((ProjectInfoTable[ProjectName]=DiscreteStatsTable[[#This Row],[ProjectName]]),(ProjectInfoTable[ProjectName]=DiscreteStatsTable[[#This Row],[ProjectName]])*ProjectInfoTable[ConfidenceInterval]))</f>
        <v>0.95</v>
      </c>
      <c r="Q313" s="5">
        <f>IF(AND(DiscreteStatsTable[[#This Row],[RepsWithStatObserved]]=1,Y313=0),200000000000000000000,IFERROR(_xlfn.T.INV.2T(1 -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0.31104636929981899</v>
      </c>
      <c r="R313" s="5" cm="1">
        <f t="array" ref="R313">MIN(IF((DiscreteStatsTable[GroupByKey]=DiscreteStatsTable[[#This Row],[GroupByKey]]),(DiscreteStatsTable[GroupByKey]=DiscreteStatsTable[[#This Row],[GroupByKey]])*DiscreteStatsTable[Average]))</f>
        <v>0</v>
      </c>
      <c r="S313" s="5" cm="1">
        <f t="array" ref="S313">MAX(IF((DiscreteStatsTable[GroupByKey]=DiscreteStatsTable[[#This Row],[GroupByKey]]),(DiscreteStatsTable[GroupByKey]=DiscreteStatsTable[[#This Row],[GroupByKey]])*DiscreteStatsTable[Average]))</f>
        <v>3.8977138394719901</v>
      </c>
      <c r="T313" s="5" cm="1">
        <f t="array" ref="T313">MIN(IF((DiscreteStatsTable[GroupByKey]=DiscreteStatsTable[[#This Row],[GroupByKey]]),(DiscreteStatsTable[GroupByKey]=DiscreteStatsTable[[#This Row],[GroupByKey]])*DiscreteStatsTable[Minimum]))</f>
        <v>0</v>
      </c>
      <c r="U313" s="5" cm="1">
        <f t="array" ref="U313">MAX(IF((DiscreteStatsTable[GroupByKey]=DiscreteStatsTable[[#This Row],[GroupByKey]]),(DiscreteStatsTable[GroupByKey]=DiscreteStatsTable[[#This Row],[GroupByKey]])*DiscreteStatsTable[Maximum]))</f>
        <v>7.95545419566559</v>
      </c>
      <c r="V313" s="5" cm="1">
        <f t="array" ref="V313">IFERROR(AVERAGE(IF((DiscreteStatsTable[GroupByKey]=DiscreteStatsTable[[#This Row],[GroupByKey]]),(DiscreteStatsTable[GroupByKey]=DiscreteStatsTable[[#This Row],[GroupByKey]])*DiscreteStatsTable[NumberObservations])),0)</f>
        <v>4.58</v>
      </c>
      <c r="W313" s="5">
        <f>IF((DiscreteStatsTable[[#This Row],[RepsRequested]]&gt;1),DiscreteStatsTable[[#This Row],[HalfWidth]],DiscreteStatsTable[[#This Row],[BatchMeansHalfWidth]])</f>
        <v>0.31104636929981899</v>
      </c>
      <c r="X313" s="5" cm="1">
        <f t="array" ref="X313">COUNT(IF((DiscreteStatsTable[GroupByKey]=DiscreteStatsTable[[#This Row],[GroupByKey]]),(DiscreteStatsTable[GroupByKey]=DiscreteStatsTable[[#This Row],[GroupByKey]])*DiscreteStatsTable[Replication]))</f>
        <v>50</v>
      </c>
      <c r="Y313" s="5">
        <f>IF(DiscreteStatsTable[[#This Row],[RepsRequested]]=DiscreteStatsTable[[#This Row],[RepsWithStatObserved]],1,0)</f>
        <v>1</v>
      </c>
    </row>
    <row r="314" spans="1:25" x14ac:dyDescent="0.35">
      <c r="A314" t="s">
        <v>66</v>
      </c>
      <c r="B314" t="s">
        <v>69</v>
      </c>
      <c r="C314">
        <v>13</v>
      </c>
      <c r="D314" t="s">
        <v>78</v>
      </c>
      <c r="E314" t="s">
        <v>79</v>
      </c>
      <c r="F314" t="s">
        <v>80</v>
      </c>
      <c r="G314">
        <v>3.3228626183533501</v>
      </c>
      <c r="H314">
        <v>2E+20</v>
      </c>
      <c r="I314">
        <v>0</v>
      </c>
      <c r="J314">
        <v>7.4253926764205298</v>
      </c>
      <c r="K314">
        <v>4</v>
      </c>
      <c r="L314" s="5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14" s="5" cm="1">
        <f t="array" ref="M314">MAX(IF((ProjectInfoTable[ProjectName]=DiscreteStatsTable[[#This Row],[ProjectName]]),(ProjectInfoTable[ProjectName]=DiscreteStatsTable[[#This Row],[ProjectName]])*ProjectInfoTable[NumberOfReplications]))</f>
        <v>50</v>
      </c>
      <c r="N314" s="5" cm="1">
        <f t="array" ref="N314">IFERROR(AVERAGE(IF((DiscreteStatsTable[GroupByKey]=DiscreteStatsTable[[#This Row],[GroupByKey]]),(DiscreteStatsTable[GroupByKey]=DiscreteStatsTable[[#This Row],[GroupByKey]])*DiscreteStatsTable[Average])),0)</f>
        <v>1.6032171272413107</v>
      </c>
      <c r="O314" s="5" cm="1">
        <f t="array" ref="O314">IFERROR(_xlfn.STDEV.S(IF((DiscreteStatsTable[GroupByKey]=DiscreteStatsTable[[#This Row],[GroupByKey]]),(DiscreteStatsTable[GroupByKey]=DiscreteStatsTable[[#This Row],[GroupByKey]])*DiscreteStatsTable[Average])),0)</f>
        <v>1.0944750558807383</v>
      </c>
      <c r="P314" s="5" cm="1">
        <f t="array" ref="P314">MAX(IF((ProjectInfoTable[ProjectName]=DiscreteStatsTable[[#This Row],[ProjectName]]),(ProjectInfoTable[ProjectName]=DiscreteStatsTable[[#This Row],[ProjectName]])*ProjectInfoTable[ConfidenceInterval]))</f>
        <v>0.95</v>
      </c>
      <c r="Q314" s="5">
        <f>IF(AND(DiscreteStatsTable[[#This Row],[RepsWithStatObserved]]=1,Y314=0),200000000000000000000,IFERROR(_xlfn.T.INV.2T(1 -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0.31104636929981899</v>
      </c>
      <c r="R314" s="5" cm="1">
        <f t="array" ref="R314">MIN(IF((DiscreteStatsTable[GroupByKey]=DiscreteStatsTable[[#This Row],[GroupByKey]]),(DiscreteStatsTable[GroupByKey]=DiscreteStatsTable[[#This Row],[GroupByKey]])*DiscreteStatsTable[Average]))</f>
        <v>0</v>
      </c>
      <c r="S314" s="5" cm="1">
        <f t="array" ref="S314">MAX(IF((DiscreteStatsTable[GroupByKey]=DiscreteStatsTable[[#This Row],[GroupByKey]]),(DiscreteStatsTable[GroupByKey]=DiscreteStatsTable[[#This Row],[GroupByKey]])*DiscreteStatsTable[Average]))</f>
        <v>3.8977138394719901</v>
      </c>
      <c r="T314" s="5" cm="1">
        <f t="array" ref="T314">MIN(IF((DiscreteStatsTable[GroupByKey]=DiscreteStatsTable[[#This Row],[GroupByKey]]),(DiscreteStatsTable[GroupByKey]=DiscreteStatsTable[[#This Row],[GroupByKey]])*DiscreteStatsTable[Minimum]))</f>
        <v>0</v>
      </c>
      <c r="U314" s="5" cm="1">
        <f t="array" ref="U314">MAX(IF((DiscreteStatsTable[GroupByKey]=DiscreteStatsTable[[#This Row],[GroupByKey]]),(DiscreteStatsTable[GroupByKey]=DiscreteStatsTable[[#This Row],[GroupByKey]])*DiscreteStatsTable[Maximum]))</f>
        <v>7.95545419566559</v>
      </c>
      <c r="V314" s="5" cm="1">
        <f t="array" ref="V314">IFERROR(AVERAGE(IF((DiscreteStatsTable[GroupByKey]=DiscreteStatsTable[[#This Row],[GroupByKey]]),(DiscreteStatsTable[GroupByKey]=DiscreteStatsTable[[#This Row],[GroupByKey]])*DiscreteStatsTable[NumberObservations])),0)</f>
        <v>4.58</v>
      </c>
      <c r="W314" s="5">
        <f>IF((DiscreteStatsTable[[#This Row],[RepsRequested]]&gt;1),DiscreteStatsTable[[#This Row],[HalfWidth]],DiscreteStatsTable[[#This Row],[BatchMeansHalfWidth]])</f>
        <v>0.31104636929981899</v>
      </c>
      <c r="X314" s="5" cm="1">
        <f t="array" ref="X314">COUNT(IF((DiscreteStatsTable[GroupByKey]=DiscreteStatsTable[[#This Row],[GroupByKey]]),(DiscreteStatsTable[GroupByKey]=DiscreteStatsTable[[#This Row],[GroupByKey]])*DiscreteStatsTable[Replication]))</f>
        <v>50</v>
      </c>
      <c r="Y314" s="5">
        <f>IF(DiscreteStatsTable[[#This Row],[RepsRequested]]=DiscreteStatsTable[[#This Row],[RepsWithStatObserved]],1,0)</f>
        <v>1</v>
      </c>
    </row>
    <row r="315" spans="1:25" x14ac:dyDescent="0.35">
      <c r="A315" t="s">
        <v>66</v>
      </c>
      <c r="B315" t="s">
        <v>69</v>
      </c>
      <c r="C315">
        <v>14</v>
      </c>
      <c r="D315" t="s">
        <v>78</v>
      </c>
      <c r="E315" t="s">
        <v>79</v>
      </c>
      <c r="F315" t="s">
        <v>80</v>
      </c>
      <c r="G315">
        <v>1.67119135939845</v>
      </c>
      <c r="H315">
        <v>2E+20</v>
      </c>
      <c r="I315">
        <v>0</v>
      </c>
      <c r="J315">
        <v>2.94559922992834</v>
      </c>
      <c r="K315">
        <v>5</v>
      </c>
      <c r="L315" s="5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15" s="5" cm="1">
        <f t="array" ref="M315">MAX(IF((ProjectInfoTable[ProjectName]=DiscreteStatsTable[[#This Row],[ProjectName]]),(ProjectInfoTable[ProjectName]=DiscreteStatsTable[[#This Row],[ProjectName]])*ProjectInfoTable[NumberOfReplications]))</f>
        <v>50</v>
      </c>
      <c r="N315" s="5" cm="1">
        <f t="array" ref="N315">IFERROR(AVERAGE(IF((DiscreteStatsTable[GroupByKey]=DiscreteStatsTable[[#This Row],[GroupByKey]]),(DiscreteStatsTable[GroupByKey]=DiscreteStatsTable[[#This Row],[GroupByKey]])*DiscreteStatsTable[Average])),0)</f>
        <v>1.6032171272413107</v>
      </c>
      <c r="O315" s="5" cm="1">
        <f t="array" ref="O315">IFERROR(_xlfn.STDEV.S(IF((DiscreteStatsTable[GroupByKey]=DiscreteStatsTable[[#This Row],[GroupByKey]]),(DiscreteStatsTable[GroupByKey]=DiscreteStatsTable[[#This Row],[GroupByKey]])*DiscreteStatsTable[Average])),0)</f>
        <v>1.0944750558807383</v>
      </c>
      <c r="P315" s="5" cm="1">
        <f t="array" ref="P315">MAX(IF((ProjectInfoTable[ProjectName]=DiscreteStatsTable[[#This Row],[ProjectName]]),(ProjectInfoTable[ProjectName]=DiscreteStatsTable[[#This Row],[ProjectName]])*ProjectInfoTable[ConfidenceInterval]))</f>
        <v>0.95</v>
      </c>
      <c r="Q315" s="5">
        <f>IF(AND(DiscreteStatsTable[[#This Row],[RepsWithStatObserved]]=1,Y315=0),200000000000000000000,IFERROR(_xlfn.T.INV.2T(1 -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0.31104636929981899</v>
      </c>
      <c r="R315" s="5" cm="1">
        <f t="array" ref="R315">MIN(IF((DiscreteStatsTable[GroupByKey]=DiscreteStatsTable[[#This Row],[GroupByKey]]),(DiscreteStatsTable[GroupByKey]=DiscreteStatsTable[[#This Row],[GroupByKey]])*DiscreteStatsTable[Average]))</f>
        <v>0</v>
      </c>
      <c r="S315" s="5" cm="1">
        <f t="array" ref="S315">MAX(IF((DiscreteStatsTable[GroupByKey]=DiscreteStatsTable[[#This Row],[GroupByKey]]),(DiscreteStatsTable[GroupByKey]=DiscreteStatsTable[[#This Row],[GroupByKey]])*DiscreteStatsTable[Average]))</f>
        <v>3.8977138394719901</v>
      </c>
      <c r="T315" s="5" cm="1">
        <f t="array" ref="T315">MIN(IF((DiscreteStatsTable[GroupByKey]=DiscreteStatsTable[[#This Row],[GroupByKey]]),(DiscreteStatsTable[GroupByKey]=DiscreteStatsTable[[#This Row],[GroupByKey]])*DiscreteStatsTable[Minimum]))</f>
        <v>0</v>
      </c>
      <c r="U315" s="5" cm="1">
        <f t="array" ref="U315">MAX(IF((DiscreteStatsTable[GroupByKey]=DiscreteStatsTable[[#This Row],[GroupByKey]]),(DiscreteStatsTable[GroupByKey]=DiscreteStatsTable[[#This Row],[GroupByKey]])*DiscreteStatsTable[Maximum]))</f>
        <v>7.95545419566559</v>
      </c>
      <c r="V315" s="5" cm="1">
        <f t="array" ref="V315">IFERROR(AVERAGE(IF((DiscreteStatsTable[GroupByKey]=DiscreteStatsTable[[#This Row],[GroupByKey]]),(DiscreteStatsTable[GroupByKey]=DiscreteStatsTable[[#This Row],[GroupByKey]])*DiscreteStatsTable[NumberObservations])),0)</f>
        <v>4.58</v>
      </c>
      <c r="W315" s="5">
        <f>IF((DiscreteStatsTable[[#This Row],[RepsRequested]]&gt;1),DiscreteStatsTable[[#This Row],[HalfWidth]],DiscreteStatsTable[[#This Row],[BatchMeansHalfWidth]])</f>
        <v>0.31104636929981899</v>
      </c>
      <c r="X315" s="5" cm="1">
        <f t="array" ref="X315">COUNT(IF((DiscreteStatsTable[GroupByKey]=DiscreteStatsTable[[#This Row],[GroupByKey]]),(DiscreteStatsTable[GroupByKey]=DiscreteStatsTable[[#This Row],[GroupByKey]])*DiscreteStatsTable[Replication]))</f>
        <v>50</v>
      </c>
      <c r="Y315" s="5">
        <f>IF(DiscreteStatsTable[[#This Row],[RepsRequested]]=DiscreteStatsTable[[#This Row],[RepsWithStatObserved]],1,0)</f>
        <v>1</v>
      </c>
    </row>
    <row r="316" spans="1:25" x14ac:dyDescent="0.35">
      <c r="A316" t="s">
        <v>66</v>
      </c>
      <c r="B316" t="s">
        <v>69</v>
      </c>
      <c r="C316">
        <v>15</v>
      </c>
      <c r="D316" t="s">
        <v>78</v>
      </c>
      <c r="E316" t="s">
        <v>79</v>
      </c>
      <c r="F316" t="s">
        <v>80</v>
      </c>
      <c r="G316">
        <v>1.0796574291738299</v>
      </c>
      <c r="H316">
        <v>2E+20</v>
      </c>
      <c r="I316">
        <v>0</v>
      </c>
      <c r="J316">
        <v>2.7813609172848799</v>
      </c>
      <c r="K316">
        <v>5</v>
      </c>
      <c r="L316" s="5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16" s="5" cm="1">
        <f t="array" ref="M316">MAX(IF((ProjectInfoTable[ProjectName]=DiscreteStatsTable[[#This Row],[ProjectName]]),(ProjectInfoTable[ProjectName]=DiscreteStatsTable[[#This Row],[ProjectName]])*ProjectInfoTable[NumberOfReplications]))</f>
        <v>50</v>
      </c>
      <c r="N316" s="5" cm="1">
        <f t="array" ref="N316">IFERROR(AVERAGE(IF((DiscreteStatsTable[GroupByKey]=DiscreteStatsTable[[#This Row],[GroupByKey]]),(DiscreteStatsTable[GroupByKey]=DiscreteStatsTable[[#This Row],[GroupByKey]])*DiscreteStatsTable[Average])),0)</f>
        <v>1.6032171272413107</v>
      </c>
      <c r="O316" s="5" cm="1">
        <f t="array" ref="O316">IFERROR(_xlfn.STDEV.S(IF((DiscreteStatsTable[GroupByKey]=DiscreteStatsTable[[#This Row],[GroupByKey]]),(DiscreteStatsTable[GroupByKey]=DiscreteStatsTable[[#This Row],[GroupByKey]])*DiscreteStatsTable[Average])),0)</f>
        <v>1.0944750558807383</v>
      </c>
      <c r="P316" s="5" cm="1">
        <f t="array" ref="P316">MAX(IF((ProjectInfoTable[ProjectName]=DiscreteStatsTable[[#This Row],[ProjectName]]),(ProjectInfoTable[ProjectName]=DiscreteStatsTable[[#This Row],[ProjectName]])*ProjectInfoTable[ConfidenceInterval]))</f>
        <v>0.95</v>
      </c>
      <c r="Q316" s="5">
        <f>IF(AND(DiscreteStatsTable[[#This Row],[RepsWithStatObserved]]=1,Y316=0),200000000000000000000,IFERROR(_xlfn.T.INV.2T(1 -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0.31104636929981899</v>
      </c>
      <c r="R316" s="5" cm="1">
        <f t="array" ref="R316">MIN(IF((DiscreteStatsTable[GroupByKey]=DiscreteStatsTable[[#This Row],[GroupByKey]]),(DiscreteStatsTable[GroupByKey]=DiscreteStatsTable[[#This Row],[GroupByKey]])*DiscreteStatsTable[Average]))</f>
        <v>0</v>
      </c>
      <c r="S316" s="5" cm="1">
        <f t="array" ref="S316">MAX(IF((DiscreteStatsTable[GroupByKey]=DiscreteStatsTable[[#This Row],[GroupByKey]]),(DiscreteStatsTable[GroupByKey]=DiscreteStatsTable[[#This Row],[GroupByKey]])*DiscreteStatsTable[Average]))</f>
        <v>3.8977138394719901</v>
      </c>
      <c r="T316" s="5" cm="1">
        <f t="array" ref="T316">MIN(IF((DiscreteStatsTable[GroupByKey]=DiscreteStatsTable[[#This Row],[GroupByKey]]),(DiscreteStatsTable[GroupByKey]=DiscreteStatsTable[[#This Row],[GroupByKey]])*DiscreteStatsTable[Minimum]))</f>
        <v>0</v>
      </c>
      <c r="U316" s="5" cm="1">
        <f t="array" ref="U316">MAX(IF((DiscreteStatsTable[GroupByKey]=DiscreteStatsTable[[#This Row],[GroupByKey]]),(DiscreteStatsTable[GroupByKey]=DiscreteStatsTable[[#This Row],[GroupByKey]])*DiscreteStatsTable[Maximum]))</f>
        <v>7.95545419566559</v>
      </c>
      <c r="V316" s="5" cm="1">
        <f t="array" ref="V316">IFERROR(AVERAGE(IF((DiscreteStatsTable[GroupByKey]=DiscreteStatsTable[[#This Row],[GroupByKey]]),(DiscreteStatsTable[GroupByKey]=DiscreteStatsTable[[#This Row],[GroupByKey]])*DiscreteStatsTable[NumberObservations])),0)</f>
        <v>4.58</v>
      </c>
      <c r="W316" s="5">
        <f>IF((DiscreteStatsTable[[#This Row],[RepsRequested]]&gt;1),DiscreteStatsTable[[#This Row],[HalfWidth]],DiscreteStatsTable[[#This Row],[BatchMeansHalfWidth]])</f>
        <v>0.31104636929981899</v>
      </c>
      <c r="X316" s="5" cm="1">
        <f t="array" ref="X316">COUNT(IF((DiscreteStatsTable[GroupByKey]=DiscreteStatsTable[[#This Row],[GroupByKey]]),(DiscreteStatsTable[GroupByKey]=DiscreteStatsTable[[#This Row],[GroupByKey]])*DiscreteStatsTable[Replication]))</f>
        <v>50</v>
      </c>
      <c r="Y316" s="5">
        <f>IF(DiscreteStatsTable[[#This Row],[RepsRequested]]=DiscreteStatsTable[[#This Row],[RepsWithStatObserved]],1,0)</f>
        <v>1</v>
      </c>
    </row>
    <row r="317" spans="1:25" x14ac:dyDescent="0.35">
      <c r="A317" t="s">
        <v>66</v>
      </c>
      <c r="B317" t="s">
        <v>69</v>
      </c>
      <c r="C317">
        <v>16</v>
      </c>
      <c r="D317" t="s">
        <v>78</v>
      </c>
      <c r="E317" t="s">
        <v>79</v>
      </c>
      <c r="F317" t="s">
        <v>80</v>
      </c>
      <c r="G317">
        <v>1.4457163402344</v>
      </c>
      <c r="H317">
        <v>2E+20</v>
      </c>
      <c r="I317">
        <v>0</v>
      </c>
      <c r="J317">
        <v>2.8336988886543502</v>
      </c>
      <c r="K317">
        <v>5</v>
      </c>
      <c r="L317" s="5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17" s="5" cm="1">
        <f t="array" ref="M317">MAX(IF((ProjectInfoTable[ProjectName]=DiscreteStatsTable[[#This Row],[ProjectName]]),(ProjectInfoTable[ProjectName]=DiscreteStatsTable[[#This Row],[ProjectName]])*ProjectInfoTable[NumberOfReplications]))</f>
        <v>50</v>
      </c>
      <c r="N317" s="5" cm="1">
        <f t="array" ref="N317">IFERROR(AVERAGE(IF((DiscreteStatsTable[GroupByKey]=DiscreteStatsTable[[#This Row],[GroupByKey]]),(DiscreteStatsTable[GroupByKey]=DiscreteStatsTable[[#This Row],[GroupByKey]])*DiscreteStatsTable[Average])),0)</f>
        <v>1.6032171272413107</v>
      </c>
      <c r="O317" s="5" cm="1">
        <f t="array" ref="O317">IFERROR(_xlfn.STDEV.S(IF((DiscreteStatsTable[GroupByKey]=DiscreteStatsTable[[#This Row],[GroupByKey]]),(DiscreteStatsTable[GroupByKey]=DiscreteStatsTable[[#This Row],[GroupByKey]])*DiscreteStatsTable[Average])),0)</f>
        <v>1.0944750558807383</v>
      </c>
      <c r="P317" s="5" cm="1">
        <f t="array" ref="P317">MAX(IF((ProjectInfoTable[ProjectName]=DiscreteStatsTable[[#This Row],[ProjectName]]),(ProjectInfoTable[ProjectName]=DiscreteStatsTable[[#This Row],[ProjectName]])*ProjectInfoTable[ConfidenceInterval]))</f>
        <v>0.95</v>
      </c>
      <c r="Q317" s="5">
        <f>IF(AND(DiscreteStatsTable[[#This Row],[RepsWithStatObserved]]=1,Y317=0),200000000000000000000,IFERROR(_xlfn.T.INV.2T(1 -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0.31104636929981899</v>
      </c>
      <c r="R317" s="5" cm="1">
        <f t="array" ref="R317">MIN(IF((DiscreteStatsTable[GroupByKey]=DiscreteStatsTable[[#This Row],[GroupByKey]]),(DiscreteStatsTable[GroupByKey]=DiscreteStatsTable[[#This Row],[GroupByKey]])*DiscreteStatsTable[Average]))</f>
        <v>0</v>
      </c>
      <c r="S317" s="5" cm="1">
        <f t="array" ref="S317">MAX(IF((DiscreteStatsTable[GroupByKey]=DiscreteStatsTable[[#This Row],[GroupByKey]]),(DiscreteStatsTable[GroupByKey]=DiscreteStatsTable[[#This Row],[GroupByKey]])*DiscreteStatsTable[Average]))</f>
        <v>3.8977138394719901</v>
      </c>
      <c r="T317" s="5" cm="1">
        <f t="array" ref="T317">MIN(IF((DiscreteStatsTable[GroupByKey]=DiscreteStatsTable[[#This Row],[GroupByKey]]),(DiscreteStatsTable[GroupByKey]=DiscreteStatsTable[[#This Row],[GroupByKey]])*DiscreteStatsTable[Minimum]))</f>
        <v>0</v>
      </c>
      <c r="U317" s="5" cm="1">
        <f t="array" ref="U317">MAX(IF((DiscreteStatsTable[GroupByKey]=DiscreteStatsTable[[#This Row],[GroupByKey]]),(DiscreteStatsTable[GroupByKey]=DiscreteStatsTable[[#This Row],[GroupByKey]])*DiscreteStatsTable[Maximum]))</f>
        <v>7.95545419566559</v>
      </c>
      <c r="V317" s="5" cm="1">
        <f t="array" ref="V317">IFERROR(AVERAGE(IF((DiscreteStatsTable[GroupByKey]=DiscreteStatsTable[[#This Row],[GroupByKey]]),(DiscreteStatsTable[GroupByKey]=DiscreteStatsTable[[#This Row],[GroupByKey]])*DiscreteStatsTable[NumberObservations])),0)</f>
        <v>4.58</v>
      </c>
      <c r="W317" s="5">
        <f>IF((DiscreteStatsTable[[#This Row],[RepsRequested]]&gt;1),DiscreteStatsTable[[#This Row],[HalfWidth]],DiscreteStatsTable[[#This Row],[BatchMeansHalfWidth]])</f>
        <v>0.31104636929981899</v>
      </c>
      <c r="X317" s="5" cm="1">
        <f t="array" ref="X317">COUNT(IF((DiscreteStatsTable[GroupByKey]=DiscreteStatsTable[[#This Row],[GroupByKey]]),(DiscreteStatsTable[GroupByKey]=DiscreteStatsTable[[#This Row],[GroupByKey]])*DiscreteStatsTable[Replication]))</f>
        <v>50</v>
      </c>
      <c r="Y317" s="5">
        <f>IF(DiscreteStatsTable[[#This Row],[RepsRequested]]=DiscreteStatsTable[[#This Row],[RepsWithStatObserved]],1,0)</f>
        <v>1</v>
      </c>
    </row>
    <row r="318" spans="1:25" x14ac:dyDescent="0.35">
      <c r="A318" t="s">
        <v>66</v>
      </c>
      <c r="B318" t="s">
        <v>69</v>
      </c>
      <c r="C318">
        <v>17</v>
      </c>
      <c r="D318" t="s">
        <v>78</v>
      </c>
      <c r="E318" t="s">
        <v>79</v>
      </c>
      <c r="F318" t="s">
        <v>80</v>
      </c>
      <c r="G318">
        <v>0</v>
      </c>
      <c r="H318">
        <v>2E+20</v>
      </c>
      <c r="I318">
        <v>0</v>
      </c>
      <c r="J318">
        <v>0</v>
      </c>
      <c r="K318">
        <v>3</v>
      </c>
      <c r="L318" s="5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18" s="5" cm="1">
        <f t="array" ref="M318">MAX(IF((ProjectInfoTable[ProjectName]=DiscreteStatsTable[[#This Row],[ProjectName]]),(ProjectInfoTable[ProjectName]=DiscreteStatsTable[[#This Row],[ProjectName]])*ProjectInfoTable[NumberOfReplications]))</f>
        <v>50</v>
      </c>
      <c r="N318" s="5" cm="1">
        <f t="array" ref="N318">IFERROR(AVERAGE(IF((DiscreteStatsTable[GroupByKey]=DiscreteStatsTable[[#This Row],[GroupByKey]]),(DiscreteStatsTable[GroupByKey]=DiscreteStatsTable[[#This Row],[GroupByKey]])*DiscreteStatsTable[Average])),0)</f>
        <v>1.6032171272413107</v>
      </c>
      <c r="O318" s="5" cm="1">
        <f t="array" ref="O318">IFERROR(_xlfn.STDEV.S(IF((DiscreteStatsTable[GroupByKey]=DiscreteStatsTable[[#This Row],[GroupByKey]]),(DiscreteStatsTable[GroupByKey]=DiscreteStatsTable[[#This Row],[GroupByKey]])*DiscreteStatsTable[Average])),0)</f>
        <v>1.0944750558807383</v>
      </c>
      <c r="P318" s="5" cm="1">
        <f t="array" ref="P318">MAX(IF((ProjectInfoTable[ProjectName]=DiscreteStatsTable[[#This Row],[ProjectName]]),(ProjectInfoTable[ProjectName]=DiscreteStatsTable[[#This Row],[ProjectName]])*ProjectInfoTable[ConfidenceInterval]))</f>
        <v>0.95</v>
      </c>
      <c r="Q318" s="5">
        <f>IF(AND(DiscreteStatsTable[[#This Row],[RepsWithStatObserved]]=1,Y318=0),200000000000000000000,IFERROR(_xlfn.T.INV.2T(1 -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0.31104636929981899</v>
      </c>
      <c r="R318" s="5" cm="1">
        <f t="array" ref="R318">MIN(IF((DiscreteStatsTable[GroupByKey]=DiscreteStatsTable[[#This Row],[GroupByKey]]),(DiscreteStatsTable[GroupByKey]=DiscreteStatsTable[[#This Row],[GroupByKey]])*DiscreteStatsTable[Average]))</f>
        <v>0</v>
      </c>
      <c r="S318" s="5" cm="1">
        <f t="array" ref="S318">MAX(IF((DiscreteStatsTable[GroupByKey]=DiscreteStatsTable[[#This Row],[GroupByKey]]),(DiscreteStatsTable[GroupByKey]=DiscreteStatsTable[[#This Row],[GroupByKey]])*DiscreteStatsTable[Average]))</f>
        <v>3.8977138394719901</v>
      </c>
      <c r="T318" s="5" cm="1">
        <f t="array" ref="T318">MIN(IF((DiscreteStatsTable[GroupByKey]=DiscreteStatsTable[[#This Row],[GroupByKey]]),(DiscreteStatsTable[GroupByKey]=DiscreteStatsTable[[#This Row],[GroupByKey]])*DiscreteStatsTable[Minimum]))</f>
        <v>0</v>
      </c>
      <c r="U318" s="5" cm="1">
        <f t="array" ref="U318">MAX(IF((DiscreteStatsTable[GroupByKey]=DiscreteStatsTable[[#This Row],[GroupByKey]]),(DiscreteStatsTable[GroupByKey]=DiscreteStatsTable[[#This Row],[GroupByKey]])*DiscreteStatsTable[Maximum]))</f>
        <v>7.95545419566559</v>
      </c>
      <c r="V318" s="5" cm="1">
        <f t="array" ref="V318">IFERROR(AVERAGE(IF((DiscreteStatsTable[GroupByKey]=DiscreteStatsTable[[#This Row],[GroupByKey]]),(DiscreteStatsTable[GroupByKey]=DiscreteStatsTable[[#This Row],[GroupByKey]])*DiscreteStatsTable[NumberObservations])),0)</f>
        <v>4.58</v>
      </c>
      <c r="W318" s="5">
        <f>IF((DiscreteStatsTable[[#This Row],[RepsRequested]]&gt;1),DiscreteStatsTable[[#This Row],[HalfWidth]],DiscreteStatsTable[[#This Row],[BatchMeansHalfWidth]])</f>
        <v>0.31104636929981899</v>
      </c>
      <c r="X318" s="5" cm="1">
        <f t="array" ref="X318">COUNT(IF((DiscreteStatsTable[GroupByKey]=DiscreteStatsTable[[#This Row],[GroupByKey]]),(DiscreteStatsTable[GroupByKey]=DiscreteStatsTable[[#This Row],[GroupByKey]])*DiscreteStatsTable[Replication]))</f>
        <v>50</v>
      </c>
      <c r="Y318" s="5">
        <f>IF(DiscreteStatsTable[[#This Row],[RepsRequested]]=DiscreteStatsTable[[#This Row],[RepsWithStatObserved]],1,0)</f>
        <v>1</v>
      </c>
    </row>
    <row r="319" spans="1:25" x14ac:dyDescent="0.35">
      <c r="A319" t="s">
        <v>66</v>
      </c>
      <c r="B319" t="s">
        <v>69</v>
      </c>
      <c r="C319">
        <v>18</v>
      </c>
      <c r="D319" t="s">
        <v>78</v>
      </c>
      <c r="E319" t="s">
        <v>79</v>
      </c>
      <c r="F319" t="s">
        <v>80</v>
      </c>
      <c r="G319">
        <v>0.41770548375530298</v>
      </c>
      <c r="H319">
        <v>2E+20</v>
      </c>
      <c r="I319">
        <v>0</v>
      </c>
      <c r="J319">
        <v>1.5936114259774099</v>
      </c>
      <c r="K319">
        <v>6</v>
      </c>
      <c r="L319" s="5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19" s="5" cm="1">
        <f t="array" ref="M319">MAX(IF((ProjectInfoTable[ProjectName]=DiscreteStatsTable[[#This Row],[ProjectName]]),(ProjectInfoTable[ProjectName]=DiscreteStatsTable[[#This Row],[ProjectName]])*ProjectInfoTable[NumberOfReplications]))</f>
        <v>50</v>
      </c>
      <c r="N319" s="5" cm="1">
        <f t="array" ref="N319">IFERROR(AVERAGE(IF((DiscreteStatsTable[GroupByKey]=DiscreteStatsTable[[#This Row],[GroupByKey]]),(DiscreteStatsTable[GroupByKey]=DiscreteStatsTable[[#This Row],[GroupByKey]])*DiscreteStatsTable[Average])),0)</f>
        <v>1.6032171272413107</v>
      </c>
      <c r="O319" s="5" cm="1">
        <f t="array" ref="O319">IFERROR(_xlfn.STDEV.S(IF((DiscreteStatsTable[GroupByKey]=DiscreteStatsTable[[#This Row],[GroupByKey]]),(DiscreteStatsTable[GroupByKey]=DiscreteStatsTable[[#This Row],[GroupByKey]])*DiscreteStatsTable[Average])),0)</f>
        <v>1.0944750558807383</v>
      </c>
      <c r="P319" s="5" cm="1">
        <f t="array" ref="P319">MAX(IF((ProjectInfoTable[ProjectName]=DiscreteStatsTable[[#This Row],[ProjectName]]),(ProjectInfoTable[ProjectName]=DiscreteStatsTable[[#This Row],[ProjectName]])*ProjectInfoTable[ConfidenceInterval]))</f>
        <v>0.95</v>
      </c>
      <c r="Q319" s="5">
        <f>IF(AND(DiscreteStatsTable[[#This Row],[RepsWithStatObserved]]=1,Y319=0),200000000000000000000,IFERROR(_xlfn.T.INV.2T(1 -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0.31104636929981899</v>
      </c>
      <c r="R319" s="5" cm="1">
        <f t="array" ref="R319">MIN(IF((DiscreteStatsTable[GroupByKey]=DiscreteStatsTable[[#This Row],[GroupByKey]]),(DiscreteStatsTable[GroupByKey]=DiscreteStatsTable[[#This Row],[GroupByKey]])*DiscreteStatsTable[Average]))</f>
        <v>0</v>
      </c>
      <c r="S319" s="5" cm="1">
        <f t="array" ref="S319">MAX(IF((DiscreteStatsTable[GroupByKey]=DiscreteStatsTable[[#This Row],[GroupByKey]]),(DiscreteStatsTable[GroupByKey]=DiscreteStatsTable[[#This Row],[GroupByKey]])*DiscreteStatsTable[Average]))</f>
        <v>3.8977138394719901</v>
      </c>
      <c r="T319" s="5" cm="1">
        <f t="array" ref="T319">MIN(IF((DiscreteStatsTable[GroupByKey]=DiscreteStatsTable[[#This Row],[GroupByKey]]),(DiscreteStatsTable[GroupByKey]=DiscreteStatsTable[[#This Row],[GroupByKey]])*DiscreteStatsTable[Minimum]))</f>
        <v>0</v>
      </c>
      <c r="U319" s="5" cm="1">
        <f t="array" ref="U319">MAX(IF((DiscreteStatsTable[GroupByKey]=DiscreteStatsTable[[#This Row],[GroupByKey]]),(DiscreteStatsTable[GroupByKey]=DiscreteStatsTable[[#This Row],[GroupByKey]])*DiscreteStatsTable[Maximum]))</f>
        <v>7.95545419566559</v>
      </c>
      <c r="V319" s="5" cm="1">
        <f t="array" ref="V319">IFERROR(AVERAGE(IF((DiscreteStatsTable[GroupByKey]=DiscreteStatsTable[[#This Row],[GroupByKey]]),(DiscreteStatsTable[GroupByKey]=DiscreteStatsTable[[#This Row],[GroupByKey]])*DiscreteStatsTable[NumberObservations])),0)</f>
        <v>4.58</v>
      </c>
      <c r="W319" s="5">
        <f>IF((DiscreteStatsTable[[#This Row],[RepsRequested]]&gt;1),DiscreteStatsTable[[#This Row],[HalfWidth]],DiscreteStatsTable[[#This Row],[BatchMeansHalfWidth]])</f>
        <v>0.31104636929981899</v>
      </c>
      <c r="X319" s="5" cm="1">
        <f t="array" ref="X319">COUNT(IF((DiscreteStatsTable[GroupByKey]=DiscreteStatsTable[[#This Row],[GroupByKey]]),(DiscreteStatsTable[GroupByKey]=DiscreteStatsTable[[#This Row],[GroupByKey]])*DiscreteStatsTable[Replication]))</f>
        <v>50</v>
      </c>
      <c r="Y319" s="5">
        <f>IF(DiscreteStatsTable[[#This Row],[RepsRequested]]=DiscreteStatsTable[[#This Row],[RepsWithStatObserved]],1,0)</f>
        <v>1</v>
      </c>
    </row>
    <row r="320" spans="1:25" x14ac:dyDescent="0.35">
      <c r="A320" t="s">
        <v>66</v>
      </c>
      <c r="B320" t="s">
        <v>69</v>
      </c>
      <c r="C320">
        <v>19</v>
      </c>
      <c r="D320" t="s">
        <v>78</v>
      </c>
      <c r="E320" t="s">
        <v>79</v>
      </c>
      <c r="F320" t="s">
        <v>80</v>
      </c>
      <c r="G320">
        <v>2.3277718429957699</v>
      </c>
      <c r="H320">
        <v>2E+20</v>
      </c>
      <c r="I320">
        <v>0</v>
      </c>
      <c r="J320">
        <v>5.2493936106002801</v>
      </c>
      <c r="K320">
        <v>5</v>
      </c>
      <c r="L320" s="5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20" s="5" cm="1">
        <f t="array" ref="M320">MAX(IF((ProjectInfoTable[ProjectName]=DiscreteStatsTable[[#This Row],[ProjectName]]),(ProjectInfoTable[ProjectName]=DiscreteStatsTable[[#This Row],[ProjectName]])*ProjectInfoTable[NumberOfReplications]))</f>
        <v>50</v>
      </c>
      <c r="N320" s="5" cm="1">
        <f t="array" ref="N320">IFERROR(AVERAGE(IF((DiscreteStatsTable[GroupByKey]=DiscreteStatsTable[[#This Row],[GroupByKey]]),(DiscreteStatsTable[GroupByKey]=DiscreteStatsTable[[#This Row],[GroupByKey]])*DiscreteStatsTable[Average])),0)</f>
        <v>1.6032171272413107</v>
      </c>
      <c r="O320" s="5" cm="1">
        <f t="array" ref="O320">IFERROR(_xlfn.STDEV.S(IF((DiscreteStatsTable[GroupByKey]=DiscreteStatsTable[[#This Row],[GroupByKey]]),(DiscreteStatsTable[GroupByKey]=DiscreteStatsTable[[#This Row],[GroupByKey]])*DiscreteStatsTable[Average])),0)</f>
        <v>1.0944750558807383</v>
      </c>
      <c r="P320" s="5" cm="1">
        <f t="array" ref="P320">MAX(IF((ProjectInfoTable[ProjectName]=DiscreteStatsTable[[#This Row],[ProjectName]]),(ProjectInfoTable[ProjectName]=DiscreteStatsTable[[#This Row],[ProjectName]])*ProjectInfoTable[ConfidenceInterval]))</f>
        <v>0.95</v>
      </c>
      <c r="Q320" s="5">
        <f>IF(AND(DiscreteStatsTable[[#This Row],[RepsWithStatObserved]]=1,Y320=0),200000000000000000000,IFERROR(_xlfn.T.INV.2T(1 -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0.31104636929981899</v>
      </c>
      <c r="R320" s="5" cm="1">
        <f t="array" ref="R320">MIN(IF((DiscreteStatsTable[GroupByKey]=DiscreteStatsTable[[#This Row],[GroupByKey]]),(DiscreteStatsTable[GroupByKey]=DiscreteStatsTable[[#This Row],[GroupByKey]])*DiscreteStatsTable[Average]))</f>
        <v>0</v>
      </c>
      <c r="S320" s="5" cm="1">
        <f t="array" ref="S320">MAX(IF((DiscreteStatsTable[GroupByKey]=DiscreteStatsTable[[#This Row],[GroupByKey]]),(DiscreteStatsTable[GroupByKey]=DiscreteStatsTable[[#This Row],[GroupByKey]])*DiscreteStatsTable[Average]))</f>
        <v>3.8977138394719901</v>
      </c>
      <c r="T320" s="5" cm="1">
        <f t="array" ref="T320">MIN(IF((DiscreteStatsTable[GroupByKey]=DiscreteStatsTable[[#This Row],[GroupByKey]]),(DiscreteStatsTable[GroupByKey]=DiscreteStatsTable[[#This Row],[GroupByKey]])*DiscreteStatsTable[Minimum]))</f>
        <v>0</v>
      </c>
      <c r="U320" s="5" cm="1">
        <f t="array" ref="U320">MAX(IF((DiscreteStatsTable[GroupByKey]=DiscreteStatsTable[[#This Row],[GroupByKey]]),(DiscreteStatsTable[GroupByKey]=DiscreteStatsTable[[#This Row],[GroupByKey]])*DiscreteStatsTable[Maximum]))</f>
        <v>7.95545419566559</v>
      </c>
      <c r="V320" s="5" cm="1">
        <f t="array" ref="V320">IFERROR(AVERAGE(IF((DiscreteStatsTable[GroupByKey]=DiscreteStatsTable[[#This Row],[GroupByKey]]),(DiscreteStatsTable[GroupByKey]=DiscreteStatsTable[[#This Row],[GroupByKey]])*DiscreteStatsTable[NumberObservations])),0)</f>
        <v>4.58</v>
      </c>
      <c r="W320" s="5">
        <f>IF((DiscreteStatsTable[[#This Row],[RepsRequested]]&gt;1),DiscreteStatsTable[[#This Row],[HalfWidth]],DiscreteStatsTable[[#This Row],[BatchMeansHalfWidth]])</f>
        <v>0.31104636929981899</v>
      </c>
      <c r="X320" s="5" cm="1">
        <f t="array" ref="X320">COUNT(IF((DiscreteStatsTable[GroupByKey]=DiscreteStatsTable[[#This Row],[GroupByKey]]),(DiscreteStatsTable[GroupByKey]=DiscreteStatsTable[[#This Row],[GroupByKey]])*DiscreteStatsTable[Replication]))</f>
        <v>50</v>
      </c>
      <c r="Y320" s="5">
        <f>IF(DiscreteStatsTable[[#This Row],[RepsRequested]]=DiscreteStatsTable[[#This Row],[RepsWithStatObserved]],1,0)</f>
        <v>1</v>
      </c>
    </row>
    <row r="321" spans="1:25" x14ac:dyDescent="0.35">
      <c r="A321" t="s">
        <v>66</v>
      </c>
      <c r="B321" t="s">
        <v>69</v>
      </c>
      <c r="C321">
        <v>20</v>
      </c>
      <c r="D321" t="s">
        <v>78</v>
      </c>
      <c r="E321" t="s">
        <v>79</v>
      </c>
      <c r="F321" t="s">
        <v>80</v>
      </c>
      <c r="G321">
        <v>3.03416526696543</v>
      </c>
      <c r="H321">
        <v>2E+20</v>
      </c>
      <c r="I321">
        <v>0</v>
      </c>
      <c r="J321">
        <v>6.2112693162948798</v>
      </c>
      <c r="K321">
        <v>5</v>
      </c>
      <c r="L321" s="5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21" s="5" cm="1">
        <f t="array" ref="M321">MAX(IF((ProjectInfoTable[ProjectName]=DiscreteStatsTable[[#This Row],[ProjectName]]),(ProjectInfoTable[ProjectName]=DiscreteStatsTable[[#This Row],[ProjectName]])*ProjectInfoTable[NumberOfReplications]))</f>
        <v>50</v>
      </c>
      <c r="N321" s="5" cm="1">
        <f t="array" ref="N321">IFERROR(AVERAGE(IF((DiscreteStatsTable[GroupByKey]=DiscreteStatsTable[[#This Row],[GroupByKey]]),(DiscreteStatsTable[GroupByKey]=DiscreteStatsTable[[#This Row],[GroupByKey]])*DiscreteStatsTable[Average])),0)</f>
        <v>1.6032171272413107</v>
      </c>
      <c r="O321" s="5" cm="1">
        <f t="array" ref="O321">IFERROR(_xlfn.STDEV.S(IF((DiscreteStatsTable[GroupByKey]=DiscreteStatsTable[[#This Row],[GroupByKey]]),(DiscreteStatsTable[GroupByKey]=DiscreteStatsTable[[#This Row],[GroupByKey]])*DiscreteStatsTable[Average])),0)</f>
        <v>1.0944750558807383</v>
      </c>
      <c r="P321" s="5" cm="1">
        <f t="array" ref="P321">MAX(IF((ProjectInfoTable[ProjectName]=DiscreteStatsTable[[#This Row],[ProjectName]]),(ProjectInfoTable[ProjectName]=DiscreteStatsTable[[#This Row],[ProjectName]])*ProjectInfoTable[ConfidenceInterval]))</f>
        <v>0.95</v>
      </c>
      <c r="Q321" s="5">
        <f>IF(AND(DiscreteStatsTable[[#This Row],[RepsWithStatObserved]]=1,Y321=0),200000000000000000000,IFERROR(_xlfn.T.INV.2T(1 -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0.31104636929981899</v>
      </c>
      <c r="R321" s="5" cm="1">
        <f t="array" ref="R321">MIN(IF((DiscreteStatsTable[GroupByKey]=DiscreteStatsTable[[#This Row],[GroupByKey]]),(DiscreteStatsTable[GroupByKey]=DiscreteStatsTable[[#This Row],[GroupByKey]])*DiscreteStatsTable[Average]))</f>
        <v>0</v>
      </c>
      <c r="S321" s="5" cm="1">
        <f t="array" ref="S321">MAX(IF((DiscreteStatsTable[GroupByKey]=DiscreteStatsTable[[#This Row],[GroupByKey]]),(DiscreteStatsTable[GroupByKey]=DiscreteStatsTable[[#This Row],[GroupByKey]])*DiscreteStatsTable[Average]))</f>
        <v>3.8977138394719901</v>
      </c>
      <c r="T321" s="5" cm="1">
        <f t="array" ref="T321">MIN(IF((DiscreteStatsTable[GroupByKey]=DiscreteStatsTable[[#This Row],[GroupByKey]]),(DiscreteStatsTable[GroupByKey]=DiscreteStatsTable[[#This Row],[GroupByKey]])*DiscreteStatsTable[Minimum]))</f>
        <v>0</v>
      </c>
      <c r="U321" s="5" cm="1">
        <f t="array" ref="U321">MAX(IF((DiscreteStatsTable[GroupByKey]=DiscreteStatsTable[[#This Row],[GroupByKey]]),(DiscreteStatsTable[GroupByKey]=DiscreteStatsTable[[#This Row],[GroupByKey]])*DiscreteStatsTable[Maximum]))</f>
        <v>7.95545419566559</v>
      </c>
      <c r="V321" s="5" cm="1">
        <f t="array" ref="V321">IFERROR(AVERAGE(IF((DiscreteStatsTable[GroupByKey]=DiscreteStatsTable[[#This Row],[GroupByKey]]),(DiscreteStatsTable[GroupByKey]=DiscreteStatsTable[[#This Row],[GroupByKey]])*DiscreteStatsTable[NumberObservations])),0)</f>
        <v>4.58</v>
      </c>
      <c r="W321" s="5">
        <f>IF((DiscreteStatsTable[[#This Row],[RepsRequested]]&gt;1),DiscreteStatsTable[[#This Row],[HalfWidth]],DiscreteStatsTable[[#This Row],[BatchMeansHalfWidth]])</f>
        <v>0.31104636929981899</v>
      </c>
      <c r="X321" s="5" cm="1">
        <f t="array" ref="X321">COUNT(IF((DiscreteStatsTable[GroupByKey]=DiscreteStatsTable[[#This Row],[GroupByKey]]),(DiscreteStatsTable[GroupByKey]=DiscreteStatsTable[[#This Row],[GroupByKey]])*DiscreteStatsTable[Replication]))</f>
        <v>50</v>
      </c>
      <c r="Y321" s="5">
        <f>IF(DiscreteStatsTable[[#This Row],[RepsRequested]]=DiscreteStatsTable[[#This Row],[RepsWithStatObserved]],1,0)</f>
        <v>1</v>
      </c>
    </row>
    <row r="322" spans="1:25" x14ac:dyDescent="0.35">
      <c r="A322" t="s">
        <v>66</v>
      </c>
      <c r="B322" t="s">
        <v>69</v>
      </c>
      <c r="C322">
        <v>21</v>
      </c>
      <c r="D322" t="s">
        <v>78</v>
      </c>
      <c r="E322" t="s">
        <v>79</v>
      </c>
      <c r="F322" t="s">
        <v>80</v>
      </c>
      <c r="G322">
        <v>0.76695537492465604</v>
      </c>
      <c r="H322">
        <v>2E+20</v>
      </c>
      <c r="I322">
        <v>0</v>
      </c>
      <c r="J322">
        <v>2.82592042097416</v>
      </c>
      <c r="K322">
        <v>4</v>
      </c>
      <c r="L322" s="5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22" s="5" cm="1">
        <f t="array" ref="M322">MAX(IF((ProjectInfoTable[ProjectName]=DiscreteStatsTable[[#This Row],[ProjectName]]),(ProjectInfoTable[ProjectName]=DiscreteStatsTable[[#This Row],[ProjectName]])*ProjectInfoTable[NumberOfReplications]))</f>
        <v>50</v>
      </c>
      <c r="N322" s="5" cm="1">
        <f t="array" ref="N322">IFERROR(AVERAGE(IF((DiscreteStatsTable[GroupByKey]=DiscreteStatsTable[[#This Row],[GroupByKey]]),(DiscreteStatsTable[GroupByKey]=DiscreteStatsTable[[#This Row],[GroupByKey]])*DiscreteStatsTable[Average])),0)</f>
        <v>1.6032171272413107</v>
      </c>
      <c r="O322" s="5" cm="1">
        <f t="array" ref="O322">IFERROR(_xlfn.STDEV.S(IF((DiscreteStatsTable[GroupByKey]=DiscreteStatsTable[[#This Row],[GroupByKey]]),(DiscreteStatsTable[GroupByKey]=DiscreteStatsTable[[#This Row],[GroupByKey]])*DiscreteStatsTable[Average])),0)</f>
        <v>1.0944750558807383</v>
      </c>
      <c r="P322" s="5" cm="1">
        <f t="array" ref="P322">MAX(IF((ProjectInfoTable[ProjectName]=DiscreteStatsTable[[#This Row],[ProjectName]]),(ProjectInfoTable[ProjectName]=DiscreteStatsTable[[#This Row],[ProjectName]])*ProjectInfoTable[ConfidenceInterval]))</f>
        <v>0.95</v>
      </c>
      <c r="Q322" s="5">
        <f>IF(AND(DiscreteStatsTable[[#This Row],[RepsWithStatObserved]]=1,Y322=0),200000000000000000000,IFERROR(_xlfn.T.INV.2T(1 -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0.31104636929981899</v>
      </c>
      <c r="R322" s="5" cm="1">
        <f t="array" ref="R322">MIN(IF((DiscreteStatsTable[GroupByKey]=DiscreteStatsTable[[#This Row],[GroupByKey]]),(DiscreteStatsTable[GroupByKey]=DiscreteStatsTable[[#This Row],[GroupByKey]])*DiscreteStatsTable[Average]))</f>
        <v>0</v>
      </c>
      <c r="S322" s="5" cm="1">
        <f t="array" ref="S322">MAX(IF((DiscreteStatsTable[GroupByKey]=DiscreteStatsTable[[#This Row],[GroupByKey]]),(DiscreteStatsTable[GroupByKey]=DiscreteStatsTable[[#This Row],[GroupByKey]])*DiscreteStatsTable[Average]))</f>
        <v>3.8977138394719901</v>
      </c>
      <c r="T322" s="5" cm="1">
        <f t="array" ref="T322">MIN(IF((DiscreteStatsTable[GroupByKey]=DiscreteStatsTable[[#This Row],[GroupByKey]]),(DiscreteStatsTable[GroupByKey]=DiscreteStatsTable[[#This Row],[GroupByKey]])*DiscreteStatsTable[Minimum]))</f>
        <v>0</v>
      </c>
      <c r="U322" s="5" cm="1">
        <f t="array" ref="U322">MAX(IF((DiscreteStatsTable[GroupByKey]=DiscreteStatsTable[[#This Row],[GroupByKey]]),(DiscreteStatsTable[GroupByKey]=DiscreteStatsTable[[#This Row],[GroupByKey]])*DiscreteStatsTable[Maximum]))</f>
        <v>7.95545419566559</v>
      </c>
      <c r="V322" s="5" cm="1">
        <f t="array" ref="V322">IFERROR(AVERAGE(IF((DiscreteStatsTable[GroupByKey]=DiscreteStatsTable[[#This Row],[GroupByKey]]),(DiscreteStatsTable[GroupByKey]=DiscreteStatsTable[[#This Row],[GroupByKey]])*DiscreteStatsTable[NumberObservations])),0)</f>
        <v>4.58</v>
      </c>
      <c r="W322" s="5">
        <f>IF((DiscreteStatsTable[[#This Row],[RepsRequested]]&gt;1),DiscreteStatsTable[[#This Row],[HalfWidth]],DiscreteStatsTable[[#This Row],[BatchMeansHalfWidth]])</f>
        <v>0.31104636929981899</v>
      </c>
      <c r="X322" s="5" cm="1">
        <f t="array" ref="X322">COUNT(IF((DiscreteStatsTable[GroupByKey]=DiscreteStatsTable[[#This Row],[GroupByKey]]),(DiscreteStatsTable[GroupByKey]=DiscreteStatsTable[[#This Row],[GroupByKey]])*DiscreteStatsTable[Replication]))</f>
        <v>50</v>
      </c>
      <c r="Y322" s="5">
        <f>IF(DiscreteStatsTable[[#This Row],[RepsRequested]]=DiscreteStatsTable[[#This Row],[RepsWithStatObserved]],1,0)</f>
        <v>1</v>
      </c>
    </row>
    <row r="323" spans="1:25" x14ac:dyDescent="0.35">
      <c r="A323" t="s">
        <v>66</v>
      </c>
      <c r="B323" t="s">
        <v>69</v>
      </c>
      <c r="C323">
        <v>22</v>
      </c>
      <c r="D323" t="s">
        <v>78</v>
      </c>
      <c r="E323" t="s">
        <v>79</v>
      </c>
      <c r="F323" t="s">
        <v>80</v>
      </c>
      <c r="G323">
        <v>0.422887508599043</v>
      </c>
      <c r="H323">
        <v>2E+20</v>
      </c>
      <c r="I323">
        <v>0</v>
      </c>
      <c r="J323">
        <v>1.69155003439617</v>
      </c>
      <c r="K323">
        <v>4</v>
      </c>
      <c r="L323" s="5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23" s="5" cm="1">
        <f t="array" ref="M323">MAX(IF((ProjectInfoTable[ProjectName]=DiscreteStatsTable[[#This Row],[ProjectName]]),(ProjectInfoTable[ProjectName]=DiscreteStatsTable[[#This Row],[ProjectName]])*ProjectInfoTable[NumberOfReplications]))</f>
        <v>50</v>
      </c>
      <c r="N323" s="5" cm="1">
        <f t="array" ref="N323">IFERROR(AVERAGE(IF((DiscreteStatsTable[GroupByKey]=DiscreteStatsTable[[#This Row],[GroupByKey]]),(DiscreteStatsTable[GroupByKey]=DiscreteStatsTable[[#This Row],[GroupByKey]])*DiscreteStatsTable[Average])),0)</f>
        <v>1.6032171272413107</v>
      </c>
      <c r="O323" s="5" cm="1">
        <f t="array" ref="O323">IFERROR(_xlfn.STDEV.S(IF((DiscreteStatsTable[GroupByKey]=DiscreteStatsTable[[#This Row],[GroupByKey]]),(DiscreteStatsTable[GroupByKey]=DiscreteStatsTable[[#This Row],[GroupByKey]])*DiscreteStatsTable[Average])),0)</f>
        <v>1.0944750558807383</v>
      </c>
      <c r="P323" s="5" cm="1">
        <f t="array" ref="P323">MAX(IF((ProjectInfoTable[ProjectName]=DiscreteStatsTable[[#This Row],[ProjectName]]),(ProjectInfoTable[ProjectName]=DiscreteStatsTable[[#This Row],[ProjectName]])*ProjectInfoTable[ConfidenceInterval]))</f>
        <v>0.95</v>
      </c>
      <c r="Q323" s="5">
        <f>IF(AND(DiscreteStatsTable[[#This Row],[RepsWithStatObserved]]=1,Y323=0),200000000000000000000,IFERROR(_xlfn.T.INV.2T(1 -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0.31104636929981899</v>
      </c>
      <c r="R323" s="5" cm="1">
        <f t="array" ref="R323">MIN(IF((DiscreteStatsTable[GroupByKey]=DiscreteStatsTable[[#This Row],[GroupByKey]]),(DiscreteStatsTable[GroupByKey]=DiscreteStatsTable[[#This Row],[GroupByKey]])*DiscreteStatsTable[Average]))</f>
        <v>0</v>
      </c>
      <c r="S323" s="5" cm="1">
        <f t="array" ref="S323">MAX(IF((DiscreteStatsTable[GroupByKey]=DiscreteStatsTable[[#This Row],[GroupByKey]]),(DiscreteStatsTable[GroupByKey]=DiscreteStatsTable[[#This Row],[GroupByKey]])*DiscreteStatsTable[Average]))</f>
        <v>3.8977138394719901</v>
      </c>
      <c r="T323" s="5" cm="1">
        <f t="array" ref="T323">MIN(IF((DiscreteStatsTable[GroupByKey]=DiscreteStatsTable[[#This Row],[GroupByKey]]),(DiscreteStatsTable[GroupByKey]=DiscreteStatsTable[[#This Row],[GroupByKey]])*DiscreteStatsTable[Minimum]))</f>
        <v>0</v>
      </c>
      <c r="U323" s="5" cm="1">
        <f t="array" ref="U323">MAX(IF((DiscreteStatsTable[GroupByKey]=DiscreteStatsTable[[#This Row],[GroupByKey]]),(DiscreteStatsTable[GroupByKey]=DiscreteStatsTable[[#This Row],[GroupByKey]])*DiscreteStatsTable[Maximum]))</f>
        <v>7.95545419566559</v>
      </c>
      <c r="V323" s="5" cm="1">
        <f t="array" ref="V323">IFERROR(AVERAGE(IF((DiscreteStatsTable[GroupByKey]=DiscreteStatsTable[[#This Row],[GroupByKey]]),(DiscreteStatsTable[GroupByKey]=DiscreteStatsTable[[#This Row],[GroupByKey]])*DiscreteStatsTable[NumberObservations])),0)</f>
        <v>4.58</v>
      </c>
      <c r="W323" s="5">
        <f>IF((DiscreteStatsTable[[#This Row],[RepsRequested]]&gt;1),DiscreteStatsTable[[#This Row],[HalfWidth]],DiscreteStatsTable[[#This Row],[BatchMeansHalfWidth]])</f>
        <v>0.31104636929981899</v>
      </c>
      <c r="X323" s="5" cm="1">
        <f t="array" ref="X323">COUNT(IF((DiscreteStatsTable[GroupByKey]=DiscreteStatsTable[[#This Row],[GroupByKey]]),(DiscreteStatsTable[GroupByKey]=DiscreteStatsTable[[#This Row],[GroupByKey]])*DiscreteStatsTable[Replication]))</f>
        <v>50</v>
      </c>
      <c r="Y323" s="5">
        <f>IF(DiscreteStatsTable[[#This Row],[RepsRequested]]=DiscreteStatsTable[[#This Row],[RepsWithStatObserved]],1,0)</f>
        <v>1</v>
      </c>
    </row>
    <row r="324" spans="1:25" x14ac:dyDescent="0.35">
      <c r="A324" t="s">
        <v>66</v>
      </c>
      <c r="B324" t="s">
        <v>69</v>
      </c>
      <c r="C324">
        <v>23</v>
      </c>
      <c r="D324" t="s">
        <v>78</v>
      </c>
      <c r="E324" t="s">
        <v>79</v>
      </c>
      <c r="F324" t="s">
        <v>80</v>
      </c>
      <c r="G324">
        <v>1.9377962512992799</v>
      </c>
      <c r="H324">
        <v>2E+20</v>
      </c>
      <c r="I324">
        <v>0</v>
      </c>
      <c r="J324">
        <v>3.8127165153620899</v>
      </c>
      <c r="K324">
        <v>6</v>
      </c>
      <c r="L324" s="5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24" s="5" cm="1">
        <f t="array" ref="M324">MAX(IF((ProjectInfoTable[ProjectName]=DiscreteStatsTable[[#This Row],[ProjectName]]),(ProjectInfoTable[ProjectName]=DiscreteStatsTable[[#This Row],[ProjectName]])*ProjectInfoTable[NumberOfReplications]))</f>
        <v>50</v>
      </c>
      <c r="N324" s="5" cm="1">
        <f t="array" ref="N324">IFERROR(AVERAGE(IF((DiscreteStatsTable[GroupByKey]=DiscreteStatsTable[[#This Row],[GroupByKey]]),(DiscreteStatsTable[GroupByKey]=DiscreteStatsTable[[#This Row],[GroupByKey]])*DiscreteStatsTable[Average])),0)</f>
        <v>1.6032171272413107</v>
      </c>
      <c r="O324" s="5" cm="1">
        <f t="array" ref="O324">IFERROR(_xlfn.STDEV.S(IF((DiscreteStatsTable[GroupByKey]=DiscreteStatsTable[[#This Row],[GroupByKey]]),(DiscreteStatsTable[GroupByKey]=DiscreteStatsTable[[#This Row],[GroupByKey]])*DiscreteStatsTable[Average])),0)</f>
        <v>1.0944750558807383</v>
      </c>
      <c r="P324" s="5" cm="1">
        <f t="array" ref="P324">MAX(IF((ProjectInfoTable[ProjectName]=DiscreteStatsTable[[#This Row],[ProjectName]]),(ProjectInfoTable[ProjectName]=DiscreteStatsTable[[#This Row],[ProjectName]])*ProjectInfoTable[ConfidenceInterval]))</f>
        <v>0.95</v>
      </c>
      <c r="Q324" s="5">
        <f>IF(AND(DiscreteStatsTable[[#This Row],[RepsWithStatObserved]]=1,Y324=0),200000000000000000000,IFERROR(_xlfn.T.INV.2T(1 -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0.31104636929981899</v>
      </c>
      <c r="R324" s="5" cm="1">
        <f t="array" ref="R324">MIN(IF((DiscreteStatsTable[GroupByKey]=DiscreteStatsTable[[#This Row],[GroupByKey]]),(DiscreteStatsTable[GroupByKey]=DiscreteStatsTable[[#This Row],[GroupByKey]])*DiscreteStatsTable[Average]))</f>
        <v>0</v>
      </c>
      <c r="S324" s="5" cm="1">
        <f t="array" ref="S324">MAX(IF((DiscreteStatsTable[GroupByKey]=DiscreteStatsTable[[#This Row],[GroupByKey]]),(DiscreteStatsTable[GroupByKey]=DiscreteStatsTable[[#This Row],[GroupByKey]])*DiscreteStatsTable[Average]))</f>
        <v>3.8977138394719901</v>
      </c>
      <c r="T324" s="5" cm="1">
        <f t="array" ref="T324">MIN(IF((DiscreteStatsTable[GroupByKey]=DiscreteStatsTable[[#This Row],[GroupByKey]]),(DiscreteStatsTable[GroupByKey]=DiscreteStatsTable[[#This Row],[GroupByKey]])*DiscreteStatsTable[Minimum]))</f>
        <v>0</v>
      </c>
      <c r="U324" s="5" cm="1">
        <f t="array" ref="U324">MAX(IF((DiscreteStatsTable[GroupByKey]=DiscreteStatsTable[[#This Row],[GroupByKey]]),(DiscreteStatsTable[GroupByKey]=DiscreteStatsTable[[#This Row],[GroupByKey]])*DiscreteStatsTable[Maximum]))</f>
        <v>7.95545419566559</v>
      </c>
      <c r="V324" s="5" cm="1">
        <f t="array" ref="V324">IFERROR(AVERAGE(IF((DiscreteStatsTable[GroupByKey]=DiscreteStatsTable[[#This Row],[GroupByKey]]),(DiscreteStatsTable[GroupByKey]=DiscreteStatsTable[[#This Row],[GroupByKey]])*DiscreteStatsTable[NumberObservations])),0)</f>
        <v>4.58</v>
      </c>
      <c r="W324" s="5">
        <f>IF((DiscreteStatsTable[[#This Row],[RepsRequested]]&gt;1),DiscreteStatsTable[[#This Row],[HalfWidth]],DiscreteStatsTable[[#This Row],[BatchMeansHalfWidth]])</f>
        <v>0.31104636929981899</v>
      </c>
      <c r="X324" s="5" cm="1">
        <f t="array" ref="X324">COUNT(IF((DiscreteStatsTable[GroupByKey]=DiscreteStatsTable[[#This Row],[GroupByKey]]),(DiscreteStatsTable[GroupByKey]=DiscreteStatsTable[[#This Row],[GroupByKey]])*DiscreteStatsTable[Replication]))</f>
        <v>50</v>
      </c>
      <c r="Y324" s="5">
        <f>IF(DiscreteStatsTable[[#This Row],[RepsRequested]]=DiscreteStatsTable[[#This Row],[RepsWithStatObserved]],1,0)</f>
        <v>1</v>
      </c>
    </row>
    <row r="325" spans="1:25" x14ac:dyDescent="0.35">
      <c r="A325" t="s">
        <v>66</v>
      </c>
      <c r="B325" t="s">
        <v>69</v>
      </c>
      <c r="C325">
        <v>24</v>
      </c>
      <c r="D325" t="s">
        <v>78</v>
      </c>
      <c r="E325" t="s">
        <v>79</v>
      </c>
      <c r="F325" t="s">
        <v>80</v>
      </c>
      <c r="G325">
        <v>1.37404941562368</v>
      </c>
      <c r="H325">
        <v>2E+20</v>
      </c>
      <c r="I325">
        <v>0</v>
      </c>
      <c r="J325">
        <v>4.13329355283091</v>
      </c>
      <c r="K325">
        <v>4</v>
      </c>
      <c r="L325" s="5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25" s="5" cm="1">
        <f t="array" ref="M325">MAX(IF((ProjectInfoTable[ProjectName]=DiscreteStatsTable[[#This Row],[ProjectName]]),(ProjectInfoTable[ProjectName]=DiscreteStatsTable[[#This Row],[ProjectName]])*ProjectInfoTable[NumberOfReplications]))</f>
        <v>50</v>
      </c>
      <c r="N325" s="5" cm="1">
        <f t="array" ref="N325">IFERROR(AVERAGE(IF((DiscreteStatsTable[GroupByKey]=DiscreteStatsTable[[#This Row],[GroupByKey]]),(DiscreteStatsTable[GroupByKey]=DiscreteStatsTable[[#This Row],[GroupByKey]])*DiscreteStatsTable[Average])),0)</f>
        <v>1.6032171272413107</v>
      </c>
      <c r="O325" s="5" cm="1">
        <f t="array" ref="O325">IFERROR(_xlfn.STDEV.S(IF((DiscreteStatsTable[GroupByKey]=DiscreteStatsTable[[#This Row],[GroupByKey]]),(DiscreteStatsTable[GroupByKey]=DiscreteStatsTable[[#This Row],[GroupByKey]])*DiscreteStatsTable[Average])),0)</f>
        <v>1.0944750558807383</v>
      </c>
      <c r="P325" s="5" cm="1">
        <f t="array" ref="P325">MAX(IF((ProjectInfoTable[ProjectName]=DiscreteStatsTable[[#This Row],[ProjectName]]),(ProjectInfoTable[ProjectName]=DiscreteStatsTable[[#This Row],[ProjectName]])*ProjectInfoTable[ConfidenceInterval]))</f>
        <v>0.95</v>
      </c>
      <c r="Q325" s="5">
        <f>IF(AND(DiscreteStatsTable[[#This Row],[RepsWithStatObserved]]=1,Y325=0),200000000000000000000,IFERROR(_xlfn.T.INV.2T(1 -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0.31104636929981899</v>
      </c>
      <c r="R325" s="5" cm="1">
        <f t="array" ref="R325">MIN(IF((DiscreteStatsTable[GroupByKey]=DiscreteStatsTable[[#This Row],[GroupByKey]]),(DiscreteStatsTable[GroupByKey]=DiscreteStatsTable[[#This Row],[GroupByKey]])*DiscreteStatsTable[Average]))</f>
        <v>0</v>
      </c>
      <c r="S325" s="5" cm="1">
        <f t="array" ref="S325">MAX(IF((DiscreteStatsTable[GroupByKey]=DiscreteStatsTable[[#This Row],[GroupByKey]]),(DiscreteStatsTable[GroupByKey]=DiscreteStatsTable[[#This Row],[GroupByKey]])*DiscreteStatsTable[Average]))</f>
        <v>3.8977138394719901</v>
      </c>
      <c r="T325" s="5" cm="1">
        <f t="array" ref="T325">MIN(IF((DiscreteStatsTable[GroupByKey]=DiscreteStatsTable[[#This Row],[GroupByKey]]),(DiscreteStatsTable[GroupByKey]=DiscreteStatsTable[[#This Row],[GroupByKey]])*DiscreteStatsTable[Minimum]))</f>
        <v>0</v>
      </c>
      <c r="U325" s="5" cm="1">
        <f t="array" ref="U325">MAX(IF((DiscreteStatsTable[GroupByKey]=DiscreteStatsTable[[#This Row],[GroupByKey]]),(DiscreteStatsTable[GroupByKey]=DiscreteStatsTable[[#This Row],[GroupByKey]])*DiscreteStatsTable[Maximum]))</f>
        <v>7.95545419566559</v>
      </c>
      <c r="V325" s="5" cm="1">
        <f t="array" ref="V325">IFERROR(AVERAGE(IF((DiscreteStatsTable[GroupByKey]=DiscreteStatsTable[[#This Row],[GroupByKey]]),(DiscreteStatsTable[GroupByKey]=DiscreteStatsTable[[#This Row],[GroupByKey]])*DiscreteStatsTable[NumberObservations])),0)</f>
        <v>4.58</v>
      </c>
      <c r="W325" s="5">
        <f>IF((DiscreteStatsTable[[#This Row],[RepsRequested]]&gt;1),DiscreteStatsTable[[#This Row],[HalfWidth]],DiscreteStatsTable[[#This Row],[BatchMeansHalfWidth]])</f>
        <v>0.31104636929981899</v>
      </c>
      <c r="X325" s="5" cm="1">
        <f t="array" ref="X325">COUNT(IF((DiscreteStatsTable[GroupByKey]=DiscreteStatsTable[[#This Row],[GroupByKey]]),(DiscreteStatsTable[GroupByKey]=DiscreteStatsTable[[#This Row],[GroupByKey]])*DiscreteStatsTable[Replication]))</f>
        <v>50</v>
      </c>
      <c r="Y325" s="5">
        <f>IF(DiscreteStatsTable[[#This Row],[RepsRequested]]=DiscreteStatsTable[[#This Row],[RepsWithStatObserved]],1,0)</f>
        <v>1</v>
      </c>
    </row>
    <row r="326" spans="1:25" x14ac:dyDescent="0.35">
      <c r="A326" t="s">
        <v>66</v>
      </c>
      <c r="B326" t="s">
        <v>69</v>
      </c>
      <c r="C326">
        <v>25</v>
      </c>
      <c r="D326" t="s">
        <v>78</v>
      </c>
      <c r="E326" t="s">
        <v>79</v>
      </c>
      <c r="F326" t="s">
        <v>80</v>
      </c>
      <c r="G326">
        <v>0.726362624000645</v>
      </c>
      <c r="H326">
        <v>2E+20</v>
      </c>
      <c r="I326">
        <v>0</v>
      </c>
      <c r="J326">
        <v>1.4907508904236</v>
      </c>
      <c r="K326">
        <v>4</v>
      </c>
      <c r="L326" s="5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26" s="5" cm="1">
        <f t="array" ref="M326">MAX(IF((ProjectInfoTable[ProjectName]=DiscreteStatsTable[[#This Row],[ProjectName]]),(ProjectInfoTable[ProjectName]=DiscreteStatsTable[[#This Row],[ProjectName]])*ProjectInfoTable[NumberOfReplications]))</f>
        <v>50</v>
      </c>
      <c r="N326" s="5" cm="1">
        <f t="array" ref="N326">IFERROR(AVERAGE(IF((DiscreteStatsTable[GroupByKey]=DiscreteStatsTable[[#This Row],[GroupByKey]]),(DiscreteStatsTable[GroupByKey]=DiscreteStatsTable[[#This Row],[GroupByKey]])*DiscreteStatsTable[Average])),0)</f>
        <v>1.6032171272413107</v>
      </c>
      <c r="O326" s="5" cm="1">
        <f t="array" ref="O326">IFERROR(_xlfn.STDEV.S(IF((DiscreteStatsTable[GroupByKey]=DiscreteStatsTable[[#This Row],[GroupByKey]]),(DiscreteStatsTable[GroupByKey]=DiscreteStatsTable[[#This Row],[GroupByKey]])*DiscreteStatsTable[Average])),0)</f>
        <v>1.0944750558807383</v>
      </c>
      <c r="P326" s="5" cm="1">
        <f t="array" ref="P326">MAX(IF((ProjectInfoTable[ProjectName]=DiscreteStatsTable[[#This Row],[ProjectName]]),(ProjectInfoTable[ProjectName]=DiscreteStatsTable[[#This Row],[ProjectName]])*ProjectInfoTable[ConfidenceInterval]))</f>
        <v>0.95</v>
      </c>
      <c r="Q326" s="5">
        <f>IF(AND(DiscreteStatsTable[[#This Row],[RepsWithStatObserved]]=1,Y326=0),200000000000000000000,IFERROR(_xlfn.T.INV.2T(1 -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0.31104636929981899</v>
      </c>
      <c r="R326" s="5" cm="1">
        <f t="array" ref="R326">MIN(IF((DiscreteStatsTable[GroupByKey]=DiscreteStatsTable[[#This Row],[GroupByKey]]),(DiscreteStatsTable[GroupByKey]=DiscreteStatsTable[[#This Row],[GroupByKey]])*DiscreteStatsTable[Average]))</f>
        <v>0</v>
      </c>
      <c r="S326" s="5" cm="1">
        <f t="array" ref="S326">MAX(IF((DiscreteStatsTable[GroupByKey]=DiscreteStatsTable[[#This Row],[GroupByKey]]),(DiscreteStatsTable[GroupByKey]=DiscreteStatsTable[[#This Row],[GroupByKey]])*DiscreteStatsTable[Average]))</f>
        <v>3.8977138394719901</v>
      </c>
      <c r="T326" s="5" cm="1">
        <f t="array" ref="T326">MIN(IF((DiscreteStatsTable[GroupByKey]=DiscreteStatsTable[[#This Row],[GroupByKey]]),(DiscreteStatsTable[GroupByKey]=DiscreteStatsTable[[#This Row],[GroupByKey]])*DiscreteStatsTable[Minimum]))</f>
        <v>0</v>
      </c>
      <c r="U326" s="5" cm="1">
        <f t="array" ref="U326">MAX(IF((DiscreteStatsTable[GroupByKey]=DiscreteStatsTable[[#This Row],[GroupByKey]]),(DiscreteStatsTable[GroupByKey]=DiscreteStatsTable[[#This Row],[GroupByKey]])*DiscreteStatsTable[Maximum]))</f>
        <v>7.95545419566559</v>
      </c>
      <c r="V326" s="5" cm="1">
        <f t="array" ref="V326">IFERROR(AVERAGE(IF((DiscreteStatsTable[GroupByKey]=DiscreteStatsTable[[#This Row],[GroupByKey]]),(DiscreteStatsTable[GroupByKey]=DiscreteStatsTable[[#This Row],[GroupByKey]])*DiscreteStatsTable[NumberObservations])),0)</f>
        <v>4.58</v>
      </c>
      <c r="W326" s="5">
        <f>IF((DiscreteStatsTable[[#This Row],[RepsRequested]]&gt;1),DiscreteStatsTable[[#This Row],[HalfWidth]],DiscreteStatsTable[[#This Row],[BatchMeansHalfWidth]])</f>
        <v>0.31104636929981899</v>
      </c>
      <c r="X326" s="5" cm="1">
        <f t="array" ref="X326">COUNT(IF((DiscreteStatsTable[GroupByKey]=DiscreteStatsTable[[#This Row],[GroupByKey]]),(DiscreteStatsTable[GroupByKey]=DiscreteStatsTable[[#This Row],[GroupByKey]])*DiscreteStatsTable[Replication]))</f>
        <v>50</v>
      </c>
      <c r="Y326" s="5">
        <f>IF(DiscreteStatsTable[[#This Row],[RepsRequested]]=DiscreteStatsTable[[#This Row],[RepsWithStatObserved]],1,0)</f>
        <v>1</v>
      </c>
    </row>
    <row r="327" spans="1:25" x14ac:dyDescent="0.35">
      <c r="A327" t="s">
        <v>66</v>
      </c>
      <c r="B327" t="s">
        <v>69</v>
      </c>
      <c r="C327">
        <v>26</v>
      </c>
      <c r="D327" t="s">
        <v>78</v>
      </c>
      <c r="E327" t="s">
        <v>79</v>
      </c>
      <c r="F327" t="s">
        <v>80</v>
      </c>
      <c r="G327">
        <v>1.75692029955359</v>
      </c>
      <c r="H327">
        <v>2E+20</v>
      </c>
      <c r="I327">
        <v>0</v>
      </c>
      <c r="J327">
        <v>4.4216959532995999</v>
      </c>
      <c r="K327">
        <v>4</v>
      </c>
      <c r="L327" s="5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27" s="5" cm="1">
        <f t="array" ref="M327">MAX(IF((ProjectInfoTable[ProjectName]=DiscreteStatsTable[[#This Row],[ProjectName]]),(ProjectInfoTable[ProjectName]=DiscreteStatsTable[[#This Row],[ProjectName]])*ProjectInfoTable[NumberOfReplications]))</f>
        <v>50</v>
      </c>
      <c r="N327" s="5" cm="1">
        <f t="array" ref="N327">IFERROR(AVERAGE(IF((DiscreteStatsTable[GroupByKey]=DiscreteStatsTable[[#This Row],[GroupByKey]]),(DiscreteStatsTable[GroupByKey]=DiscreteStatsTable[[#This Row],[GroupByKey]])*DiscreteStatsTable[Average])),0)</f>
        <v>1.6032171272413107</v>
      </c>
      <c r="O327" s="5" cm="1">
        <f t="array" ref="O327">IFERROR(_xlfn.STDEV.S(IF((DiscreteStatsTable[GroupByKey]=DiscreteStatsTable[[#This Row],[GroupByKey]]),(DiscreteStatsTable[GroupByKey]=DiscreteStatsTable[[#This Row],[GroupByKey]])*DiscreteStatsTable[Average])),0)</f>
        <v>1.0944750558807383</v>
      </c>
      <c r="P327" s="5" cm="1">
        <f t="array" ref="P327">MAX(IF((ProjectInfoTable[ProjectName]=DiscreteStatsTable[[#This Row],[ProjectName]]),(ProjectInfoTable[ProjectName]=DiscreteStatsTable[[#This Row],[ProjectName]])*ProjectInfoTable[ConfidenceInterval]))</f>
        <v>0.95</v>
      </c>
      <c r="Q327" s="5">
        <f>IF(AND(DiscreteStatsTable[[#This Row],[RepsWithStatObserved]]=1,Y327=0),200000000000000000000,IFERROR(_xlfn.T.INV.2T(1 -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0.31104636929981899</v>
      </c>
      <c r="R327" s="5" cm="1">
        <f t="array" ref="R327">MIN(IF((DiscreteStatsTable[GroupByKey]=DiscreteStatsTable[[#This Row],[GroupByKey]]),(DiscreteStatsTable[GroupByKey]=DiscreteStatsTable[[#This Row],[GroupByKey]])*DiscreteStatsTable[Average]))</f>
        <v>0</v>
      </c>
      <c r="S327" s="5" cm="1">
        <f t="array" ref="S327">MAX(IF((DiscreteStatsTable[GroupByKey]=DiscreteStatsTable[[#This Row],[GroupByKey]]),(DiscreteStatsTable[GroupByKey]=DiscreteStatsTable[[#This Row],[GroupByKey]])*DiscreteStatsTable[Average]))</f>
        <v>3.8977138394719901</v>
      </c>
      <c r="T327" s="5" cm="1">
        <f t="array" ref="T327">MIN(IF((DiscreteStatsTable[GroupByKey]=DiscreteStatsTable[[#This Row],[GroupByKey]]),(DiscreteStatsTable[GroupByKey]=DiscreteStatsTable[[#This Row],[GroupByKey]])*DiscreteStatsTable[Minimum]))</f>
        <v>0</v>
      </c>
      <c r="U327" s="5" cm="1">
        <f t="array" ref="U327">MAX(IF((DiscreteStatsTable[GroupByKey]=DiscreteStatsTable[[#This Row],[GroupByKey]]),(DiscreteStatsTable[GroupByKey]=DiscreteStatsTable[[#This Row],[GroupByKey]])*DiscreteStatsTable[Maximum]))</f>
        <v>7.95545419566559</v>
      </c>
      <c r="V327" s="5" cm="1">
        <f t="array" ref="V327">IFERROR(AVERAGE(IF((DiscreteStatsTable[GroupByKey]=DiscreteStatsTable[[#This Row],[GroupByKey]]),(DiscreteStatsTable[GroupByKey]=DiscreteStatsTable[[#This Row],[GroupByKey]])*DiscreteStatsTable[NumberObservations])),0)</f>
        <v>4.58</v>
      </c>
      <c r="W327" s="5">
        <f>IF((DiscreteStatsTable[[#This Row],[RepsRequested]]&gt;1),DiscreteStatsTable[[#This Row],[HalfWidth]],DiscreteStatsTable[[#This Row],[BatchMeansHalfWidth]])</f>
        <v>0.31104636929981899</v>
      </c>
      <c r="X327" s="5" cm="1">
        <f t="array" ref="X327">COUNT(IF((DiscreteStatsTable[GroupByKey]=DiscreteStatsTable[[#This Row],[GroupByKey]]),(DiscreteStatsTable[GroupByKey]=DiscreteStatsTable[[#This Row],[GroupByKey]])*DiscreteStatsTable[Replication]))</f>
        <v>50</v>
      </c>
      <c r="Y327" s="5">
        <f>IF(DiscreteStatsTable[[#This Row],[RepsRequested]]=DiscreteStatsTable[[#This Row],[RepsWithStatObserved]],1,0)</f>
        <v>1</v>
      </c>
    </row>
    <row r="328" spans="1:25" x14ac:dyDescent="0.35">
      <c r="A328" t="s">
        <v>66</v>
      </c>
      <c r="B328" t="s">
        <v>69</v>
      </c>
      <c r="C328">
        <v>27</v>
      </c>
      <c r="D328" t="s">
        <v>78</v>
      </c>
      <c r="E328" t="s">
        <v>79</v>
      </c>
      <c r="F328" t="s">
        <v>80</v>
      </c>
      <c r="G328">
        <v>3.2057975506329699</v>
      </c>
      <c r="H328">
        <v>2E+20</v>
      </c>
      <c r="I328">
        <v>0</v>
      </c>
      <c r="J328">
        <v>5.6929245563680597</v>
      </c>
      <c r="K328">
        <v>5</v>
      </c>
      <c r="L328" s="5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28" s="5" cm="1">
        <f t="array" ref="M328">MAX(IF((ProjectInfoTable[ProjectName]=DiscreteStatsTable[[#This Row],[ProjectName]]),(ProjectInfoTable[ProjectName]=DiscreteStatsTable[[#This Row],[ProjectName]])*ProjectInfoTable[NumberOfReplications]))</f>
        <v>50</v>
      </c>
      <c r="N328" s="5" cm="1">
        <f t="array" ref="N328">IFERROR(AVERAGE(IF((DiscreteStatsTable[GroupByKey]=DiscreteStatsTable[[#This Row],[GroupByKey]]),(DiscreteStatsTable[GroupByKey]=DiscreteStatsTable[[#This Row],[GroupByKey]])*DiscreteStatsTable[Average])),0)</f>
        <v>1.6032171272413107</v>
      </c>
      <c r="O328" s="5" cm="1">
        <f t="array" ref="O328">IFERROR(_xlfn.STDEV.S(IF((DiscreteStatsTable[GroupByKey]=DiscreteStatsTable[[#This Row],[GroupByKey]]),(DiscreteStatsTable[GroupByKey]=DiscreteStatsTable[[#This Row],[GroupByKey]])*DiscreteStatsTable[Average])),0)</f>
        <v>1.0944750558807383</v>
      </c>
      <c r="P328" s="5" cm="1">
        <f t="array" ref="P328">MAX(IF((ProjectInfoTable[ProjectName]=DiscreteStatsTable[[#This Row],[ProjectName]]),(ProjectInfoTable[ProjectName]=DiscreteStatsTable[[#This Row],[ProjectName]])*ProjectInfoTable[ConfidenceInterval]))</f>
        <v>0.95</v>
      </c>
      <c r="Q328" s="5">
        <f>IF(AND(DiscreteStatsTable[[#This Row],[RepsWithStatObserved]]=1,Y328=0),200000000000000000000,IFERROR(_xlfn.T.INV.2T(1 -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0.31104636929981899</v>
      </c>
      <c r="R328" s="5" cm="1">
        <f t="array" ref="R328">MIN(IF((DiscreteStatsTable[GroupByKey]=DiscreteStatsTable[[#This Row],[GroupByKey]]),(DiscreteStatsTable[GroupByKey]=DiscreteStatsTable[[#This Row],[GroupByKey]])*DiscreteStatsTable[Average]))</f>
        <v>0</v>
      </c>
      <c r="S328" s="5" cm="1">
        <f t="array" ref="S328">MAX(IF((DiscreteStatsTable[GroupByKey]=DiscreteStatsTable[[#This Row],[GroupByKey]]),(DiscreteStatsTable[GroupByKey]=DiscreteStatsTable[[#This Row],[GroupByKey]])*DiscreteStatsTable[Average]))</f>
        <v>3.8977138394719901</v>
      </c>
      <c r="T328" s="5" cm="1">
        <f t="array" ref="T328">MIN(IF((DiscreteStatsTable[GroupByKey]=DiscreteStatsTable[[#This Row],[GroupByKey]]),(DiscreteStatsTable[GroupByKey]=DiscreteStatsTable[[#This Row],[GroupByKey]])*DiscreteStatsTable[Minimum]))</f>
        <v>0</v>
      </c>
      <c r="U328" s="5" cm="1">
        <f t="array" ref="U328">MAX(IF((DiscreteStatsTable[GroupByKey]=DiscreteStatsTable[[#This Row],[GroupByKey]]),(DiscreteStatsTable[GroupByKey]=DiscreteStatsTable[[#This Row],[GroupByKey]])*DiscreteStatsTable[Maximum]))</f>
        <v>7.95545419566559</v>
      </c>
      <c r="V328" s="5" cm="1">
        <f t="array" ref="V328">IFERROR(AVERAGE(IF((DiscreteStatsTable[GroupByKey]=DiscreteStatsTable[[#This Row],[GroupByKey]]),(DiscreteStatsTable[GroupByKey]=DiscreteStatsTable[[#This Row],[GroupByKey]])*DiscreteStatsTable[NumberObservations])),0)</f>
        <v>4.58</v>
      </c>
      <c r="W328" s="5">
        <f>IF((DiscreteStatsTable[[#This Row],[RepsRequested]]&gt;1),DiscreteStatsTable[[#This Row],[HalfWidth]],DiscreteStatsTable[[#This Row],[BatchMeansHalfWidth]])</f>
        <v>0.31104636929981899</v>
      </c>
      <c r="X328" s="5" cm="1">
        <f t="array" ref="X328">COUNT(IF((DiscreteStatsTable[GroupByKey]=DiscreteStatsTable[[#This Row],[GroupByKey]]),(DiscreteStatsTable[GroupByKey]=DiscreteStatsTable[[#This Row],[GroupByKey]])*DiscreteStatsTable[Replication]))</f>
        <v>50</v>
      </c>
      <c r="Y328" s="5">
        <f>IF(DiscreteStatsTable[[#This Row],[RepsRequested]]=DiscreteStatsTable[[#This Row],[RepsWithStatObserved]],1,0)</f>
        <v>1</v>
      </c>
    </row>
    <row r="329" spans="1:25" x14ac:dyDescent="0.35">
      <c r="A329" t="s">
        <v>66</v>
      </c>
      <c r="B329" t="s">
        <v>69</v>
      </c>
      <c r="C329">
        <v>28</v>
      </c>
      <c r="D329" t="s">
        <v>78</v>
      </c>
      <c r="E329" t="s">
        <v>79</v>
      </c>
      <c r="F329" t="s">
        <v>80</v>
      </c>
      <c r="G329">
        <v>0.88643825375426699</v>
      </c>
      <c r="H329">
        <v>2E+20</v>
      </c>
      <c r="I329">
        <v>0</v>
      </c>
      <c r="J329">
        <v>1.9413415473659901</v>
      </c>
      <c r="K329">
        <v>5</v>
      </c>
      <c r="L329" s="5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29" s="5" cm="1">
        <f t="array" ref="M329">MAX(IF((ProjectInfoTable[ProjectName]=DiscreteStatsTable[[#This Row],[ProjectName]]),(ProjectInfoTable[ProjectName]=DiscreteStatsTable[[#This Row],[ProjectName]])*ProjectInfoTable[NumberOfReplications]))</f>
        <v>50</v>
      </c>
      <c r="N329" s="5" cm="1">
        <f t="array" ref="N329">IFERROR(AVERAGE(IF((DiscreteStatsTable[GroupByKey]=DiscreteStatsTable[[#This Row],[GroupByKey]]),(DiscreteStatsTable[GroupByKey]=DiscreteStatsTable[[#This Row],[GroupByKey]])*DiscreteStatsTable[Average])),0)</f>
        <v>1.6032171272413107</v>
      </c>
      <c r="O329" s="5" cm="1">
        <f t="array" ref="O329">IFERROR(_xlfn.STDEV.S(IF((DiscreteStatsTable[GroupByKey]=DiscreteStatsTable[[#This Row],[GroupByKey]]),(DiscreteStatsTable[GroupByKey]=DiscreteStatsTable[[#This Row],[GroupByKey]])*DiscreteStatsTable[Average])),0)</f>
        <v>1.0944750558807383</v>
      </c>
      <c r="P329" s="5" cm="1">
        <f t="array" ref="P329">MAX(IF((ProjectInfoTable[ProjectName]=DiscreteStatsTable[[#This Row],[ProjectName]]),(ProjectInfoTable[ProjectName]=DiscreteStatsTable[[#This Row],[ProjectName]])*ProjectInfoTable[ConfidenceInterval]))</f>
        <v>0.95</v>
      </c>
      <c r="Q329" s="5">
        <f>IF(AND(DiscreteStatsTable[[#This Row],[RepsWithStatObserved]]=1,Y329=0),200000000000000000000,IFERROR(_xlfn.T.INV.2T(1 -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0.31104636929981899</v>
      </c>
      <c r="R329" s="5" cm="1">
        <f t="array" ref="R329">MIN(IF((DiscreteStatsTable[GroupByKey]=DiscreteStatsTable[[#This Row],[GroupByKey]]),(DiscreteStatsTable[GroupByKey]=DiscreteStatsTable[[#This Row],[GroupByKey]])*DiscreteStatsTable[Average]))</f>
        <v>0</v>
      </c>
      <c r="S329" s="5" cm="1">
        <f t="array" ref="S329">MAX(IF((DiscreteStatsTable[GroupByKey]=DiscreteStatsTable[[#This Row],[GroupByKey]]),(DiscreteStatsTable[GroupByKey]=DiscreteStatsTable[[#This Row],[GroupByKey]])*DiscreteStatsTable[Average]))</f>
        <v>3.8977138394719901</v>
      </c>
      <c r="T329" s="5" cm="1">
        <f t="array" ref="T329">MIN(IF((DiscreteStatsTable[GroupByKey]=DiscreteStatsTable[[#This Row],[GroupByKey]]),(DiscreteStatsTable[GroupByKey]=DiscreteStatsTable[[#This Row],[GroupByKey]])*DiscreteStatsTable[Minimum]))</f>
        <v>0</v>
      </c>
      <c r="U329" s="5" cm="1">
        <f t="array" ref="U329">MAX(IF((DiscreteStatsTable[GroupByKey]=DiscreteStatsTable[[#This Row],[GroupByKey]]),(DiscreteStatsTable[GroupByKey]=DiscreteStatsTable[[#This Row],[GroupByKey]])*DiscreteStatsTable[Maximum]))</f>
        <v>7.95545419566559</v>
      </c>
      <c r="V329" s="5" cm="1">
        <f t="array" ref="V329">IFERROR(AVERAGE(IF((DiscreteStatsTable[GroupByKey]=DiscreteStatsTable[[#This Row],[GroupByKey]]),(DiscreteStatsTable[GroupByKey]=DiscreteStatsTable[[#This Row],[GroupByKey]])*DiscreteStatsTable[NumberObservations])),0)</f>
        <v>4.58</v>
      </c>
      <c r="W329" s="5">
        <f>IF((DiscreteStatsTable[[#This Row],[RepsRequested]]&gt;1),DiscreteStatsTable[[#This Row],[HalfWidth]],DiscreteStatsTable[[#This Row],[BatchMeansHalfWidth]])</f>
        <v>0.31104636929981899</v>
      </c>
      <c r="X329" s="5" cm="1">
        <f t="array" ref="X329">COUNT(IF((DiscreteStatsTable[GroupByKey]=DiscreteStatsTable[[#This Row],[GroupByKey]]),(DiscreteStatsTable[GroupByKey]=DiscreteStatsTable[[#This Row],[GroupByKey]])*DiscreteStatsTable[Replication]))</f>
        <v>50</v>
      </c>
      <c r="Y329" s="5">
        <f>IF(DiscreteStatsTable[[#This Row],[RepsRequested]]=DiscreteStatsTable[[#This Row],[RepsWithStatObserved]],1,0)</f>
        <v>1</v>
      </c>
    </row>
    <row r="330" spans="1:25" x14ac:dyDescent="0.35">
      <c r="A330" t="s">
        <v>66</v>
      </c>
      <c r="B330" t="s">
        <v>69</v>
      </c>
      <c r="C330">
        <v>29</v>
      </c>
      <c r="D330" t="s">
        <v>78</v>
      </c>
      <c r="E330" t="s">
        <v>79</v>
      </c>
      <c r="F330" t="s">
        <v>80</v>
      </c>
      <c r="G330">
        <v>2.7611844595080099</v>
      </c>
      <c r="H330">
        <v>2E+20</v>
      </c>
      <c r="I330">
        <v>0</v>
      </c>
      <c r="J330">
        <v>4.6886647189490498</v>
      </c>
      <c r="K330">
        <v>5</v>
      </c>
      <c r="L330" s="5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30" s="5" cm="1">
        <f t="array" ref="M330">MAX(IF((ProjectInfoTable[ProjectName]=DiscreteStatsTable[[#This Row],[ProjectName]]),(ProjectInfoTable[ProjectName]=DiscreteStatsTable[[#This Row],[ProjectName]])*ProjectInfoTable[NumberOfReplications]))</f>
        <v>50</v>
      </c>
      <c r="N330" s="5" cm="1">
        <f t="array" ref="N330">IFERROR(AVERAGE(IF((DiscreteStatsTable[GroupByKey]=DiscreteStatsTable[[#This Row],[GroupByKey]]),(DiscreteStatsTable[GroupByKey]=DiscreteStatsTable[[#This Row],[GroupByKey]])*DiscreteStatsTable[Average])),0)</f>
        <v>1.6032171272413107</v>
      </c>
      <c r="O330" s="5" cm="1">
        <f t="array" ref="O330">IFERROR(_xlfn.STDEV.S(IF((DiscreteStatsTable[GroupByKey]=DiscreteStatsTable[[#This Row],[GroupByKey]]),(DiscreteStatsTable[GroupByKey]=DiscreteStatsTable[[#This Row],[GroupByKey]])*DiscreteStatsTable[Average])),0)</f>
        <v>1.0944750558807383</v>
      </c>
      <c r="P330" s="5" cm="1">
        <f t="array" ref="P330">MAX(IF((ProjectInfoTable[ProjectName]=DiscreteStatsTable[[#This Row],[ProjectName]]),(ProjectInfoTable[ProjectName]=DiscreteStatsTable[[#This Row],[ProjectName]])*ProjectInfoTable[ConfidenceInterval]))</f>
        <v>0.95</v>
      </c>
      <c r="Q330" s="5">
        <f>IF(AND(DiscreteStatsTable[[#This Row],[RepsWithStatObserved]]=1,Y330=0),200000000000000000000,IFERROR(_xlfn.T.INV.2T(1 -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0.31104636929981899</v>
      </c>
      <c r="R330" s="5" cm="1">
        <f t="array" ref="R330">MIN(IF((DiscreteStatsTable[GroupByKey]=DiscreteStatsTable[[#This Row],[GroupByKey]]),(DiscreteStatsTable[GroupByKey]=DiscreteStatsTable[[#This Row],[GroupByKey]])*DiscreteStatsTable[Average]))</f>
        <v>0</v>
      </c>
      <c r="S330" s="5" cm="1">
        <f t="array" ref="S330">MAX(IF((DiscreteStatsTable[GroupByKey]=DiscreteStatsTable[[#This Row],[GroupByKey]]),(DiscreteStatsTable[GroupByKey]=DiscreteStatsTable[[#This Row],[GroupByKey]])*DiscreteStatsTable[Average]))</f>
        <v>3.8977138394719901</v>
      </c>
      <c r="T330" s="5" cm="1">
        <f t="array" ref="T330">MIN(IF((DiscreteStatsTable[GroupByKey]=DiscreteStatsTable[[#This Row],[GroupByKey]]),(DiscreteStatsTable[GroupByKey]=DiscreteStatsTable[[#This Row],[GroupByKey]])*DiscreteStatsTable[Minimum]))</f>
        <v>0</v>
      </c>
      <c r="U330" s="5" cm="1">
        <f t="array" ref="U330">MAX(IF((DiscreteStatsTable[GroupByKey]=DiscreteStatsTable[[#This Row],[GroupByKey]]),(DiscreteStatsTable[GroupByKey]=DiscreteStatsTable[[#This Row],[GroupByKey]])*DiscreteStatsTable[Maximum]))</f>
        <v>7.95545419566559</v>
      </c>
      <c r="V330" s="5" cm="1">
        <f t="array" ref="V330">IFERROR(AVERAGE(IF((DiscreteStatsTable[GroupByKey]=DiscreteStatsTable[[#This Row],[GroupByKey]]),(DiscreteStatsTable[GroupByKey]=DiscreteStatsTable[[#This Row],[GroupByKey]])*DiscreteStatsTable[NumberObservations])),0)</f>
        <v>4.58</v>
      </c>
      <c r="W330" s="5">
        <f>IF((DiscreteStatsTable[[#This Row],[RepsRequested]]&gt;1),DiscreteStatsTable[[#This Row],[HalfWidth]],DiscreteStatsTable[[#This Row],[BatchMeansHalfWidth]])</f>
        <v>0.31104636929981899</v>
      </c>
      <c r="X330" s="5" cm="1">
        <f t="array" ref="X330">COUNT(IF((DiscreteStatsTable[GroupByKey]=DiscreteStatsTable[[#This Row],[GroupByKey]]),(DiscreteStatsTable[GroupByKey]=DiscreteStatsTable[[#This Row],[GroupByKey]])*DiscreteStatsTable[Replication]))</f>
        <v>50</v>
      </c>
      <c r="Y330" s="5">
        <f>IF(DiscreteStatsTable[[#This Row],[RepsRequested]]=DiscreteStatsTable[[#This Row],[RepsWithStatObserved]],1,0)</f>
        <v>1</v>
      </c>
    </row>
    <row r="331" spans="1:25" x14ac:dyDescent="0.35">
      <c r="A331" t="s">
        <v>66</v>
      </c>
      <c r="B331" t="s">
        <v>69</v>
      </c>
      <c r="C331">
        <v>30</v>
      </c>
      <c r="D331" t="s">
        <v>78</v>
      </c>
      <c r="E331" t="s">
        <v>79</v>
      </c>
      <c r="F331" t="s">
        <v>80</v>
      </c>
      <c r="G331">
        <v>1.20346240452415</v>
      </c>
      <c r="H331">
        <v>2E+20</v>
      </c>
      <c r="I331">
        <v>0</v>
      </c>
      <c r="J331">
        <v>2.7167486049998102</v>
      </c>
      <c r="K331">
        <v>6</v>
      </c>
      <c r="L331" s="5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31" s="5" cm="1">
        <f t="array" ref="M331">MAX(IF((ProjectInfoTable[ProjectName]=DiscreteStatsTable[[#This Row],[ProjectName]]),(ProjectInfoTable[ProjectName]=DiscreteStatsTable[[#This Row],[ProjectName]])*ProjectInfoTable[NumberOfReplications]))</f>
        <v>50</v>
      </c>
      <c r="N331" s="5" cm="1">
        <f t="array" ref="N331">IFERROR(AVERAGE(IF((DiscreteStatsTable[GroupByKey]=DiscreteStatsTable[[#This Row],[GroupByKey]]),(DiscreteStatsTable[GroupByKey]=DiscreteStatsTable[[#This Row],[GroupByKey]])*DiscreteStatsTable[Average])),0)</f>
        <v>1.6032171272413107</v>
      </c>
      <c r="O331" s="5" cm="1">
        <f t="array" ref="O331">IFERROR(_xlfn.STDEV.S(IF((DiscreteStatsTable[GroupByKey]=DiscreteStatsTable[[#This Row],[GroupByKey]]),(DiscreteStatsTable[GroupByKey]=DiscreteStatsTable[[#This Row],[GroupByKey]])*DiscreteStatsTable[Average])),0)</f>
        <v>1.0944750558807383</v>
      </c>
      <c r="P331" s="5" cm="1">
        <f t="array" ref="P331">MAX(IF((ProjectInfoTable[ProjectName]=DiscreteStatsTable[[#This Row],[ProjectName]]),(ProjectInfoTable[ProjectName]=DiscreteStatsTable[[#This Row],[ProjectName]])*ProjectInfoTable[ConfidenceInterval]))</f>
        <v>0.95</v>
      </c>
      <c r="Q331" s="5">
        <f>IF(AND(DiscreteStatsTable[[#This Row],[RepsWithStatObserved]]=1,Y331=0),200000000000000000000,IFERROR(_xlfn.T.INV.2T(1 -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0.31104636929981899</v>
      </c>
      <c r="R331" s="5" cm="1">
        <f t="array" ref="R331">MIN(IF((DiscreteStatsTable[GroupByKey]=DiscreteStatsTable[[#This Row],[GroupByKey]]),(DiscreteStatsTable[GroupByKey]=DiscreteStatsTable[[#This Row],[GroupByKey]])*DiscreteStatsTable[Average]))</f>
        <v>0</v>
      </c>
      <c r="S331" s="5" cm="1">
        <f t="array" ref="S331">MAX(IF((DiscreteStatsTable[GroupByKey]=DiscreteStatsTable[[#This Row],[GroupByKey]]),(DiscreteStatsTable[GroupByKey]=DiscreteStatsTable[[#This Row],[GroupByKey]])*DiscreteStatsTable[Average]))</f>
        <v>3.8977138394719901</v>
      </c>
      <c r="T331" s="5" cm="1">
        <f t="array" ref="T331">MIN(IF((DiscreteStatsTable[GroupByKey]=DiscreteStatsTable[[#This Row],[GroupByKey]]),(DiscreteStatsTable[GroupByKey]=DiscreteStatsTable[[#This Row],[GroupByKey]])*DiscreteStatsTable[Minimum]))</f>
        <v>0</v>
      </c>
      <c r="U331" s="5" cm="1">
        <f t="array" ref="U331">MAX(IF((DiscreteStatsTable[GroupByKey]=DiscreteStatsTable[[#This Row],[GroupByKey]]),(DiscreteStatsTable[GroupByKey]=DiscreteStatsTable[[#This Row],[GroupByKey]])*DiscreteStatsTable[Maximum]))</f>
        <v>7.95545419566559</v>
      </c>
      <c r="V331" s="5" cm="1">
        <f t="array" ref="V331">IFERROR(AVERAGE(IF((DiscreteStatsTable[GroupByKey]=DiscreteStatsTable[[#This Row],[GroupByKey]]),(DiscreteStatsTable[GroupByKey]=DiscreteStatsTable[[#This Row],[GroupByKey]])*DiscreteStatsTable[NumberObservations])),0)</f>
        <v>4.58</v>
      </c>
      <c r="W331" s="5">
        <f>IF((DiscreteStatsTable[[#This Row],[RepsRequested]]&gt;1),DiscreteStatsTable[[#This Row],[HalfWidth]],DiscreteStatsTable[[#This Row],[BatchMeansHalfWidth]])</f>
        <v>0.31104636929981899</v>
      </c>
      <c r="X331" s="5" cm="1">
        <f t="array" ref="X331">COUNT(IF((DiscreteStatsTable[GroupByKey]=DiscreteStatsTable[[#This Row],[GroupByKey]]),(DiscreteStatsTable[GroupByKey]=DiscreteStatsTable[[#This Row],[GroupByKey]])*DiscreteStatsTable[Replication]))</f>
        <v>50</v>
      </c>
      <c r="Y331" s="5">
        <f>IF(DiscreteStatsTable[[#This Row],[RepsRequested]]=DiscreteStatsTable[[#This Row],[RepsWithStatObserved]],1,0)</f>
        <v>1</v>
      </c>
    </row>
    <row r="332" spans="1:25" x14ac:dyDescent="0.35">
      <c r="A332" t="s">
        <v>66</v>
      </c>
      <c r="B332" t="s">
        <v>69</v>
      </c>
      <c r="C332">
        <v>31</v>
      </c>
      <c r="D332" t="s">
        <v>78</v>
      </c>
      <c r="E332" t="s">
        <v>79</v>
      </c>
      <c r="F332" t="s">
        <v>80</v>
      </c>
      <c r="G332">
        <v>0.506340201539215</v>
      </c>
      <c r="H332">
        <v>2E+20</v>
      </c>
      <c r="I332">
        <v>0</v>
      </c>
      <c r="J332">
        <v>1.17970998886166</v>
      </c>
      <c r="K332">
        <v>4</v>
      </c>
      <c r="L332" s="5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32" s="5" cm="1">
        <f t="array" ref="M332">MAX(IF((ProjectInfoTable[ProjectName]=DiscreteStatsTable[[#This Row],[ProjectName]]),(ProjectInfoTable[ProjectName]=DiscreteStatsTable[[#This Row],[ProjectName]])*ProjectInfoTable[NumberOfReplications]))</f>
        <v>50</v>
      </c>
      <c r="N332" s="5" cm="1">
        <f t="array" ref="N332">IFERROR(AVERAGE(IF((DiscreteStatsTable[GroupByKey]=DiscreteStatsTable[[#This Row],[GroupByKey]]),(DiscreteStatsTable[GroupByKey]=DiscreteStatsTable[[#This Row],[GroupByKey]])*DiscreteStatsTable[Average])),0)</f>
        <v>1.6032171272413107</v>
      </c>
      <c r="O332" s="5" cm="1">
        <f t="array" ref="O332">IFERROR(_xlfn.STDEV.S(IF((DiscreteStatsTable[GroupByKey]=DiscreteStatsTable[[#This Row],[GroupByKey]]),(DiscreteStatsTable[GroupByKey]=DiscreteStatsTable[[#This Row],[GroupByKey]])*DiscreteStatsTable[Average])),0)</f>
        <v>1.0944750558807383</v>
      </c>
      <c r="P332" s="5" cm="1">
        <f t="array" ref="P332">MAX(IF((ProjectInfoTable[ProjectName]=DiscreteStatsTable[[#This Row],[ProjectName]]),(ProjectInfoTable[ProjectName]=DiscreteStatsTable[[#This Row],[ProjectName]])*ProjectInfoTable[ConfidenceInterval]))</f>
        <v>0.95</v>
      </c>
      <c r="Q332" s="5">
        <f>IF(AND(DiscreteStatsTable[[#This Row],[RepsWithStatObserved]]=1,Y332=0),200000000000000000000,IFERROR(_xlfn.T.INV.2T(1 -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0.31104636929981899</v>
      </c>
      <c r="R332" s="5" cm="1">
        <f t="array" ref="R332">MIN(IF((DiscreteStatsTable[GroupByKey]=DiscreteStatsTable[[#This Row],[GroupByKey]]),(DiscreteStatsTable[GroupByKey]=DiscreteStatsTable[[#This Row],[GroupByKey]])*DiscreteStatsTable[Average]))</f>
        <v>0</v>
      </c>
      <c r="S332" s="5" cm="1">
        <f t="array" ref="S332">MAX(IF((DiscreteStatsTable[GroupByKey]=DiscreteStatsTable[[#This Row],[GroupByKey]]),(DiscreteStatsTable[GroupByKey]=DiscreteStatsTable[[#This Row],[GroupByKey]])*DiscreteStatsTable[Average]))</f>
        <v>3.8977138394719901</v>
      </c>
      <c r="T332" s="5" cm="1">
        <f t="array" ref="T332">MIN(IF((DiscreteStatsTable[GroupByKey]=DiscreteStatsTable[[#This Row],[GroupByKey]]),(DiscreteStatsTable[GroupByKey]=DiscreteStatsTable[[#This Row],[GroupByKey]])*DiscreteStatsTable[Minimum]))</f>
        <v>0</v>
      </c>
      <c r="U332" s="5" cm="1">
        <f t="array" ref="U332">MAX(IF((DiscreteStatsTable[GroupByKey]=DiscreteStatsTable[[#This Row],[GroupByKey]]),(DiscreteStatsTable[GroupByKey]=DiscreteStatsTable[[#This Row],[GroupByKey]])*DiscreteStatsTable[Maximum]))</f>
        <v>7.95545419566559</v>
      </c>
      <c r="V332" s="5" cm="1">
        <f t="array" ref="V332">IFERROR(AVERAGE(IF((DiscreteStatsTable[GroupByKey]=DiscreteStatsTable[[#This Row],[GroupByKey]]),(DiscreteStatsTable[GroupByKey]=DiscreteStatsTable[[#This Row],[GroupByKey]])*DiscreteStatsTable[NumberObservations])),0)</f>
        <v>4.58</v>
      </c>
      <c r="W332" s="5">
        <f>IF((DiscreteStatsTable[[#This Row],[RepsRequested]]&gt;1),DiscreteStatsTable[[#This Row],[HalfWidth]],DiscreteStatsTable[[#This Row],[BatchMeansHalfWidth]])</f>
        <v>0.31104636929981899</v>
      </c>
      <c r="X332" s="5" cm="1">
        <f t="array" ref="X332">COUNT(IF((DiscreteStatsTable[GroupByKey]=DiscreteStatsTable[[#This Row],[GroupByKey]]),(DiscreteStatsTable[GroupByKey]=DiscreteStatsTable[[#This Row],[GroupByKey]])*DiscreteStatsTable[Replication]))</f>
        <v>50</v>
      </c>
      <c r="Y332" s="5">
        <f>IF(DiscreteStatsTable[[#This Row],[RepsRequested]]=DiscreteStatsTable[[#This Row],[RepsWithStatObserved]],1,0)</f>
        <v>1</v>
      </c>
    </row>
    <row r="333" spans="1:25" x14ac:dyDescent="0.35">
      <c r="A333" t="s">
        <v>66</v>
      </c>
      <c r="B333" t="s">
        <v>69</v>
      </c>
      <c r="C333">
        <v>32</v>
      </c>
      <c r="D333" t="s">
        <v>78</v>
      </c>
      <c r="E333" t="s">
        <v>79</v>
      </c>
      <c r="F333" t="s">
        <v>80</v>
      </c>
      <c r="G333">
        <v>0</v>
      </c>
      <c r="H333">
        <v>2E+20</v>
      </c>
      <c r="I333">
        <v>0</v>
      </c>
      <c r="J333">
        <v>0</v>
      </c>
      <c r="K333">
        <v>3</v>
      </c>
      <c r="L333" s="5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33" s="5" cm="1">
        <f t="array" ref="M333">MAX(IF((ProjectInfoTable[ProjectName]=DiscreteStatsTable[[#This Row],[ProjectName]]),(ProjectInfoTable[ProjectName]=DiscreteStatsTable[[#This Row],[ProjectName]])*ProjectInfoTable[NumberOfReplications]))</f>
        <v>50</v>
      </c>
      <c r="N333" s="5" cm="1">
        <f t="array" ref="N333">IFERROR(AVERAGE(IF((DiscreteStatsTable[GroupByKey]=DiscreteStatsTable[[#This Row],[GroupByKey]]),(DiscreteStatsTable[GroupByKey]=DiscreteStatsTable[[#This Row],[GroupByKey]])*DiscreteStatsTable[Average])),0)</f>
        <v>1.6032171272413107</v>
      </c>
      <c r="O333" s="5" cm="1">
        <f t="array" ref="O333">IFERROR(_xlfn.STDEV.S(IF((DiscreteStatsTable[GroupByKey]=DiscreteStatsTable[[#This Row],[GroupByKey]]),(DiscreteStatsTable[GroupByKey]=DiscreteStatsTable[[#This Row],[GroupByKey]])*DiscreteStatsTable[Average])),0)</f>
        <v>1.0944750558807383</v>
      </c>
      <c r="P333" s="5" cm="1">
        <f t="array" ref="P333">MAX(IF((ProjectInfoTable[ProjectName]=DiscreteStatsTable[[#This Row],[ProjectName]]),(ProjectInfoTable[ProjectName]=DiscreteStatsTable[[#This Row],[ProjectName]])*ProjectInfoTable[ConfidenceInterval]))</f>
        <v>0.95</v>
      </c>
      <c r="Q333" s="5">
        <f>IF(AND(DiscreteStatsTable[[#This Row],[RepsWithStatObserved]]=1,Y333=0),200000000000000000000,IFERROR(_xlfn.T.INV.2T(1 -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0.31104636929981899</v>
      </c>
      <c r="R333" s="5" cm="1">
        <f t="array" ref="R333">MIN(IF((DiscreteStatsTable[GroupByKey]=DiscreteStatsTable[[#This Row],[GroupByKey]]),(DiscreteStatsTable[GroupByKey]=DiscreteStatsTable[[#This Row],[GroupByKey]])*DiscreteStatsTable[Average]))</f>
        <v>0</v>
      </c>
      <c r="S333" s="5" cm="1">
        <f t="array" ref="S333">MAX(IF((DiscreteStatsTable[GroupByKey]=DiscreteStatsTable[[#This Row],[GroupByKey]]),(DiscreteStatsTable[GroupByKey]=DiscreteStatsTable[[#This Row],[GroupByKey]])*DiscreteStatsTable[Average]))</f>
        <v>3.8977138394719901</v>
      </c>
      <c r="T333" s="5" cm="1">
        <f t="array" ref="T333">MIN(IF((DiscreteStatsTable[GroupByKey]=DiscreteStatsTable[[#This Row],[GroupByKey]]),(DiscreteStatsTable[GroupByKey]=DiscreteStatsTable[[#This Row],[GroupByKey]])*DiscreteStatsTable[Minimum]))</f>
        <v>0</v>
      </c>
      <c r="U333" s="5" cm="1">
        <f t="array" ref="U333">MAX(IF((DiscreteStatsTable[GroupByKey]=DiscreteStatsTable[[#This Row],[GroupByKey]]),(DiscreteStatsTable[GroupByKey]=DiscreteStatsTable[[#This Row],[GroupByKey]])*DiscreteStatsTable[Maximum]))</f>
        <v>7.95545419566559</v>
      </c>
      <c r="V333" s="5" cm="1">
        <f t="array" ref="V333">IFERROR(AVERAGE(IF((DiscreteStatsTable[GroupByKey]=DiscreteStatsTable[[#This Row],[GroupByKey]]),(DiscreteStatsTable[GroupByKey]=DiscreteStatsTable[[#This Row],[GroupByKey]])*DiscreteStatsTable[NumberObservations])),0)</f>
        <v>4.58</v>
      </c>
      <c r="W333" s="5">
        <f>IF((DiscreteStatsTable[[#This Row],[RepsRequested]]&gt;1),DiscreteStatsTable[[#This Row],[HalfWidth]],DiscreteStatsTable[[#This Row],[BatchMeansHalfWidth]])</f>
        <v>0.31104636929981899</v>
      </c>
      <c r="X333" s="5" cm="1">
        <f t="array" ref="X333">COUNT(IF((DiscreteStatsTable[GroupByKey]=DiscreteStatsTable[[#This Row],[GroupByKey]]),(DiscreteStatsTable[GroupByKey]=DiscreteStatsTable[[#This Row],[GroupByKey]])*DiscreteStatsTable[Replication]))</f>
        <v>50</v>
      </c>
      <c r="Y333" s="5">
        <f>IF(DiscreteStatsTable[[#This Row],[RepsRequested]]=DiscreteStatsTable[[#This Row],[RepsWithStatObserved]],1,0)</f>
        <v>1</v>
      </c>
    </row>
    <row r="334" spans="1:25" x14ac:dyDescent="0.35">
      <c r="A334" t="s">
        <v>66</v>
      </c>
      <c r="B334" t="s">
        <v>69</v>
      </c>
      <c r="C334">
        <v>33</v>
      </c>
      <c r="D334" t="s">
        <v>78</v>
      </c>
      <c r="E334" t="s">
        <v>79</v>
      </c>
      <c r="F334" t="s">
        <v>80</v>
      </c>
      <c r="G334">
        <v>3.3760029225366699</v>
      </c>
      <c r="H334">
        <v>2E+20</v>
      </c>
      <c r="I334">
        <v>0</v>
      </c>
      <c r="J334">
        <v>6.3814021486899204</v>
      </c>
      <c r="K334">
        <v>6</v>
      </c>
      <c r="L334" s="5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34" s="5" cm="1">
        <f t="array" ref="M334">MAX(IF((ProjectInfoTable[ProjectName]=DiscreteStatsTable[[#This Row],[ProjectName]]),(ProjectInfoTable[ProjectName]=DiscreteStatsTable[[#This Row],[ProjectName]])*ProjectInfoTable[NumberOfReplications]))</f>
        <v>50</v>
      </c>
      <c r="N334" s="5" cm="1">
        <f t="array" ref="N334">IFERROR(AVERAGE(IF((DiscreteStatsTable[GroupByKey]=DiscreteStatsTable[[#This Row],[GroupByKey]]),(DiscreteStatsTable[GroupByKey]=DiscreteStatsTable[[#This Row],[GroupByKey]])*DiscreteStatsTable[Average])),0)</f>
        <v>1.6032171272413107</v>
      </c>
      <c r="O334" s="5" cm="1">
        <f t="array" ref="O334">IFERROR(_xlfn.STDEV.S(IF((DiscreteStatsTable[GroupByKey]=DiscreteStatsTable[[#This Row],[GroupByKey]]),(DiscreteStatsTable[GroupByKey]=DiscreteStatsTable[[#This Row],[GroupByKey]])*DiscreteStatsTable[Average])),0)</f>
        <v>1.0944750558807383</v>
      </c>
      <c r="P334" s="5" cm="1">
        <f t="array" ref="P334">MAX(IF((ProjectInfoTable[ProjectName]=DiscreteStatsTable[[#This Row],[ProjectName]]),(ProjectInfoTable[ProjectName]=DiscreteStatsTable[[#This Row],[ProjectName]])*ProjectInfoTable[ConfidenceInterval]))</f>
        <v>0.95</v>
      </c>
      <c r="Q334" s="5">
        <f>IF(AND(DiscreteStatsTable[[#This Row],[RepsWithStatObserved]]=1,Y334=0),200000000000000000000,IFERROR(_xlfn.T.INV.2T(1 -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0.31104636929981899</v>
      </c>
      <c r="R334" s="5" cm="1">
        <f t="array" ref="R334">MIN(IF((DiscreteStatsTable[GroupByKey]=DiscreteStatsTable[[#This Row],[GroupByKey]]),(DiscreteStatsTable[GroupByKey]=DiscreteStatsTable[[#This Row],[GroupByKey]])*DiscreteStatsTable[Average]))</f>
        <v>0</v>
      </c>
      <c r="S334" s="5" cm="1">
        <f t="array" ref="S334">MAX(IF((DiscreteStatsTable[GroupByKey]=DiscreteStatsTable[[#This Row],[GroupByKey]]),(DiscreteStatsTable[GroupByKey]=DiscreteStatsTable[[#This Row],[GroupByKey]])*DiscreteStatsTable[Average]))</f>
        <v>3.8977138394719901</v>
      </c>
      <c r="T334" s="5" cm="1">
        <f t="array" ref="T334">MIN(IF((DiscreteStatsTable[GroupByKey]=DiscreteStatsTable[[#This Row],[GroupByKey]]),(DiscreteStatsTable[GroupByKey]=DiscreteStatsTable[[#This Row],[GroupByKey]])*DiscreteStatsTable[Minimum]))</f>
        <v>0</v>
      </c>
      <c r="U334" s="5" cm="1">
        <f t="array" ref="U334">MAX(IF((DiscreteStatsTable[GroupByKey]=DiscreteStatsTable[[#This Row],[GroupByKey]]),(DiscreteStatsTable[GroupByKey]=DiscreteStatsTable[[#This Row],[GroupByKey]])*DiscreteStatsTable[Maximum]))</f>
        <v>7.95545419566559</v>
      </c>
      <c r="V334" s="5" cm="1">
        <f t="array" ref="V334">IFERROR(AVERAGE(IF((DiscreteStatsTable[GroupByKey]=DiscreteStatsTable[[#This Row],[GroupByKey]]),(DiscreteStatsTable[GroupByKey]=DiscreteStatsTable[[#This Row],[GroupByKey]])*DiscreteStatsTable[NumberObservations])),0)</f>
        <v>4.58</v>
      </c>
      <c r="W334" s="5">
        <f>IF((DiscreteStatsTable[[#This Row],[RepsRequested]]&gt;1),DiscreteStatsTable[[#This Row],[HalfWidth]],DiscreteStatsTable[[#This Row],[BatchMeansHalfWidth]])</f>
        <v>0.31104636929981899</v>
      </c>
      <c r="X334" s="5" cm="1">
        <f t="array" ref="X334">COUNT(IF((DiscreteStatsTable[GroupByKey]=DiscreteStatsTable[[#This Row],[GroupByKey]]),(DiscreteStatsTable[GroupByKey]=DiscreteStatsTable[[#This Row],[GroupByKey]])*DiscreteStatsTable[Replication]))</f>
        <v>50</v>
      </c>
      <c r="Y334" s="5">
        <f>IF(DiscreteStatsTable[[#This Row],[RepsRequested]]=DiscreteStatsTable[[#This Row],[RepsWithStatObserved]],1,0)</f>
        <v>1</v>
      </c>
    </row>
    <row r="335" spans="1:25" x14ac:dyDescent="0.35">
      <c r="A335" t="s">
        <v>66</v>
      </c>
      <c r="B335" t="s">
        <v>69</v>
      </c>
      <c r="C335">
        <v>34</v>
      </c>
      <c r="D335" t="s">
        <v>78</v>
      </c>
      <c r="E335" t="s">
        <v>79</v>
      </c>
      <c r="F335" t="s">
        <v>80</v>
      </c>
      <c r="G335">
        <v>1.72250830611442</v>
      </c>
      <c r="H335">
        <v>2E+20</v>
      </c>
      <c r="I335">
        <v>0</v>
      </c>
      <c r="J335">
        <v>3.5028069298024702</v>
      </c>
      <c r="K335">
        <v>6</v>
      </c>
      <c r="L335" s="5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35" s="5" cm="1">
        <f t="array" ref="M335">MAX(IF((ProjectInfoTable[ProjectName]=DiscreteStatsTable[[#This Row],[ProjectName]]),(ProjectInfoTable[ProjectName]=DiscreteStatsTable[[#This Row],[ProjectName]])*ProjectInfoTable[NumberOfReplications]))</f>
        <v>50</v>
      </c>
      <c r="N335" s="5" cm="1">
        <f t="array" ref="N335">IFERROR(AVERAGE(IF((DiscreteStatsTable[GroupByKey]=DiscreteStatsTable[[#This Row],[GroupByKey]]),(DiscreteStatsTable[GroupByKey]=DiscreteStatsTable[[#This Row],[GroupByKey]])*DiscreteStatsTable[Average])),0)</f>
        <v>1.6032171272413107</v>
      </c>
      <c r="O335" s="5" cm="1">
        <f t="array" ref="O335">IFERROR(_xlfn.STDEV.S(IF((DiscreteStatsTable[GroupByKey]=DiscreteStatsTable[[#This Row],[GroupByKey]]),(DiscreteStatsTable[GroupByKey]=DiscreteStatsTable[[#This Row],[GroupByKey]])*DiscreteStatsTable[Average])),0)</f>
        <v>1.0944750558807383</v>
      </c>
      <c r="P335" s="5" cm="1">
        <f t="array" ref="P335">MAX(IF((ProjectInfoTable[ProjectName]=DiscreteStatsTable[[#This Row],[ProjectName]]),(ProjectInfoTable[ProjectName]=DiscreteStatsTable[[#This Row],[ProjectName]])*ProjectInfoTable[ConfidenceInterval]))</f>
        <v>0.95</v>
      </c>
      <c r="Q335" s="5">
        <f>IF(AND(DiscreteStatsTable[[#This Row],[RepsWithStatObserved]]=1,Y335=0),200000000000000000000,IFERROR(_xlfn.T.INV.2T(1 -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0.31104636929981899</v>
      </c>
      <c r="R335" s="5" cm="1">
        <f t="array" ref="R335">MIN(IF((DiscreteStatsTable[GroupByKey]=DiscreteStatsTable[[#This Row],[GroupByKey]]),(DiscreteStatsTable[GroupByKey]=DiscreteStatsTable[[#This Row],[GroupByKey]])*DiscreteStatsTable[Average]))</f>
        <v>0</v>
      </c>
      <c r="S335" s="5" cm="1">
        <f t="array" ref="S335">MAX(IF((DiscreteStatsTable[GroupByKey]=DiscreteStatsTable[[#This Row],[GroupByKey]]),(DiscreteStatsTable[GroupByKey]=DiscreteStatsTable[[#This Row],[GroupByKey]])*DiscreteStatsTable[Average]))</f>
        <v>3.8977138394719901</v>
      </c>
      <c r="T335" s="5" cm="1">
        <f t="array" ref="T335">MIN(IF((DiscreteStatsTable[GroupByKey]=DiscreteStatsTable[[#This Row],[GroupByKey]]),(DiscreteStatsTable[GroupByKey]=DiscreteStatsTable[[#This Row],[GroupByKey]])*DiscreteStatsTable[Minimum]))</f>
        <v>0</v>
      </c>
      <c r="U335" s="5" cm="1">
        <f t="array" ref="U335">MAX(IF((DiscreteStatsTable[GroupByKey]=DiscreteStatsTable[[#This Row],[GroupByKey]]),(DiscreteStatsTable[GroupByKey]=DiscreteStatsTable[[#This Row],[GroupByKey]])*DiscreteStatsTable[Maximum]))</f>
        <v>7.95545419566559</v>
      </c>
      <c r="V335" s="5" cm="1">
        <f t="array" ref="V335">IFERROR(AVERAGE(IF((DiscreteStatsTable[GroupByKey]=DiscreteStatsTable[[#This Row],[GroupByKey]]),(DiscreteStatsTable[GroupByKey]=DiscreteStatsTable[[#This Row],[GroupByKey]])*DiscreteStatsTable[NumberObservations])),0)</f>
        <v>4.58</v>
      </c>
      <c r="W335" s="5">
        <f>IF((DiscreteStatsTable[[#This Row],[RepsRequested]]&gt;1),DiscreteStatsTable[[#This Row],[HalfWidth]],DiscreteStatsTable[[#This Row],[BatchMeansHalfWidth]])</f>
        <v>0.31104636929981899</v>
      </c>
      <c r="X335" s="5" cm="1">
        <f t="array" ref="X335">COUNT(IF((DiscreteStatsTable[GroupByKey]=DiscreteStatsTable[[#This Row],[GroupByKey]]),(DiscreteStatsTable[GroupByKey]=DiscreteStatsTable[[#This Row],[GroupByKey]])*DiscreteStatsTable[Replication]))</f>
        <v>50</v>
      </c>
      <c r="Y335" s="5">
        <f>IF(DiscreteStatsTable[[#This Row],[RepsRequested]]=DiscreteStatsTable[[#This Row],[RepsWithStatObserved]],1,0)</f>
        <v>1</v>
      </c>
    </row>
    <row r="336" spans="1:25" x14ac:dyDescent="0.35">
      <c r="A336" t="s">
        <v>66</v>
      </c>
      <c r="B336" t="s">
        <v>69</v>
      </c>
      <c r="C336">
        <v>35</v>
      </c>
      <c r="D336" t="s">
        <v>78</v>
      </c>
      <c r="E336" t="s">
        <v>79</v>
      </c>
      <c r="F336" t="s">
        <v>80</v>
      </c>
      <c r="G336">
        <v>2.6322871367689999</v>
      </c>
      <c r="H336">
        <v>2E+20</v>
      </c>
      <c r="I336">
        <v>0</v>
      </c>
      <c r="J336">
        <v>4.8158665252238801</v>
      </c>
      <c r="K336">
        <v>6</v>
      </c>
      <c r="L336" s="5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36" s="5" cm="1">
        <f t="array" ref="M336">MAX(IF((ProjectInfoTable[ProjectName]=DiscreteStatsTable[[#This Row],[ProjectName]]),(ProjectInfoTable[ProjectName]=DiscreteStatsTable[[#This Row],[ProjectName]])*ProjectInfoTable[NumberOfReplications]))</f>
        <v>50</v>
      </c>
      <c r="N336" s="5" cm="1">
        <f t="array" ref="N336">IFERROR(AVERAGE(IF((DiscreteStatsTable[GroupByKey]=DiscreteStatsTable[[#This Row],[GroupByKey]]),(DiscreteStatsTable[GroupByKey]=DiscreteStatsTable[[#This Row],[GroupByKey]])*DiscreteStatsTable[Average])),0)</f>
        <v>1.6032171272413107</v>
      </c>
      <c r="O336" s="5" cm="1">
        <f t="array" ref="O336">IFERROR(_xlfn.STDEV.S(IF((DiscreteStatsTable[GroupByKey]=DiscreteStatsTable[[#This Row],[GroupByKey]]),(DiscreteStatsTable[GroupByKey]=DiscreteStatsTable[[#This Row],[GroupByKey]])*DiscreteStatsTable[Average])),0)</f>
        <v>1.0944750558807383</v>
      </c>
      <c r="P336" s="5" cm="1">
        <f t="array" ref="P336">MAX(IF((ProjectInfoTable[ProjectName]=DiscreteStatsTable[[#This Row],[ProjectName]]),(ProjectInfoTable[ProjectName]=DiscreteStatsTable[[#This Row],[ProjectName]])*ProjectInfoTable[ConfidenceInterval]))</f>
        <v>0.95</v>
      </c>
      <c r="Q336" s="5">
        <f>IF(AND(DiscreteStatsTable[[#This Row],[RepsWithStatObserved]]=1,Y336=0),200000000000000000000,IFERROR(_xlfn.T.INV.2T(1 -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0.31104636929981899</v>
      </c>
      <c r="R336" s="5" cm="1">
        <f t="array" ref="R336">MIN(IF((DiscreteStatsTable[GroupByKey]=DiscreteStatsTable[[#This Row],[GroupByKey]]),(DiscreteStatsTable[GroupByKey]=DiscreteStatsTable[[#This Row],[GroupByKey]])*DiscreteStatsTable[Average]))</f>
        <v>0</v>
      </c>
      <c r="S336" s="5" cm="1">
        <f t="array" ref="S336">MAX(IF((DiscreteStatsTable[GroupByKey]=DiscreteStatsTable[[#This Row],[GroupByKey]]),(DiscreteStatsTable[GroupByKey]=DiscreteStatsTable[[#This Row],[GroupByKey]])*DiscreteStatsTable[Average]))</f>
        <v>3.8977138394719901</v>
      </c>
      <c r="T336" s="5" cm="1">
        <f t="array" ref="T336">MIN(IF((DiscreteStatsTable[GroupByKey]=DiscreteStatsTable[[#This Row],[GroupByKey]]),(DiscreteStatsTable[GroupByKey]=DiscreteStatsTable[[#This Row],[GroupByKey]])*DiscreteStatsTable[Minimum]))</f>
        <v>0</v>
      </c>
      <c r="U336" s="5" cm="1">
        <f t="array" ref="U336">MAX(IF((DiscreteStatsTable[GroupByKey]=DiscreteStatsTable[[#This Row],[GroupByKey]]),(DiscreteStatsTable[GroupByKey]=DiscreteStatsTable[[#This Row],[GroupByKey]])*DiscreteStatsTable[Maximum]))</f>
        <v>7.95545419566559</v>
      </c>
      <c r="V336" s="5" cm="1">
        <f t="array" ref="V336">IFERROR(AVERAGE(IF((DiscreteStatsTable[GroupByKey]=DiscreteStatsTable[[#This Row],[GroupByKey]]),(DiscreteStatsTable[GroupByKey]=DiscreteStatsTable[[#This Row],[GroupByKey]])*DiscreteStatsTable[NumberObservations])),0)</f>
        <v>4.58</v>
      </c>
      <c r="W336" s="5">
        <f>IF((DiscreteStatsTable[[#This Row],[RepsRequested]]&gt;1),DiscreteStatsTable[[#This Row],[HalfWidth]],DiscreteStatsTable[[#This Row],[BatchMeansHalfWidth]])</f>
        <v>0.31104636929981899</v>
      </c>
      <c r="X336" s="5" cm="1">
        <f t="array" ref="X336">COUNT(IF((DiscreteStatsTable[GroupByKey]=DiscreteStatsTable[[#This Row],[GroupByKey]]),(DiscreteStatsTable[GroupByKey]=DiscreteStatsTable[[#This Row],[GroupByKey]])*DiscreteStatsTable[Replication]))</f>
        <v>50</v>
      </c>
      <c r="Y336" s="5">
        <f>IF(DiscreteStatsTable[[#This Row],[RepsRequested]]=DiscreteStatsTable[[#This Row],[RepsWithStatObserved]],1,0)</f>
        <v>1</v>
      </c>
    </row>
    <row r="337" spans="1:25" x14ac:dyDescent="0.35">
      <c r="A337" t="s">
        <v>66</v>
      </c>
      <c r="B337" t="s">
        <v>69</v>
      </c>
      <c r="C337">
        <v>36</v>
      </c>
      <c r="D337" t="s">
        <v>78</v>
      </c>
      <c r="E337" t="s">
        <v>79</v>
      </c>
      <c r="F337" t="s">
        <v>80</v>
      </c>
      <c r="G337">
        <v>1.85389177029138</v>
      </c>
      <c r="H337">
        <v>2E+20</v>
      </c>
      <c r="I337">
        <v>0</v>
      </c>
      <c r="J337">
        <v>4.5542106236526099</v>
      </c>
      <c r="K337">
        <v>5</v>
      </c>
      <c r="L337" s="5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37" s="5" cm="1">
        <f t="array" ref="M337">MAX(IF((ProjectInfoTable[ProjectName]=DiscreteStatsTable[[#This Row],[ProjectName]]),(ProjectInfoTable[ProjectName]=DiscreteStatsTable[[#This Row],[ProjectName]])*ProjectInfoTable[NumberOfReplications]))</f>
        <v>50</v>
      </c>
      <c r="N337" s="5" cm="1">
        <f t="array" ref="N337">IFERROR(AVERAGE(IF((DiscreteStatsTable[GroupByKey]=DiscreteStatsTable[[#This Row],[GroupByKey]]),(DiscreteStatsTable[GroupByKey]=DiscreteStatsTable[[#This Row],[GroupByKey]])*DiscreteStatsTable[Average])),0)</f>
        <v>1.6032171272413107</v>
      </c>
      <c r="O337" s="5" cm="1">
        <f t="array" ref="O337">IFERROR(_xlfn.STDEV.S(IF((DiscreteStatsTable[GroupByKey]=DiscreteStatsTable[[#This Row],[GroupByKey]]),(DiscreteStatsTable[GroupByKey]=DiscreteStatsTable[[#This Row],[GroupByKey]])*DiscreteStatsTable[Average])),0)</f>
        <v>1.0944750558807383</v>
      </c>
      <c r="P337" s="5" cm="1">
        <f t="array" ref="P337">MAX(IF((ProjectInfoTable[ProjectName]=DiscreteStatsTable[[#This Row],[ProjectName]]),(ProjectInfoTable[ProjectName]=DiscreteStatsTable[[#This Row],[ProjectName]])*ProjectInfoTable[ConfidenceInterval]))</f>
        <v>0.95</v>
      </c>
      <c r="Q337" s="5">
        <f>IF(AND(DiscreteStatsTable[[#This Row],[RepsWithStatObserved]]=1,Y337=0),200000000000000000000,IFERROR(_xlfn.T.INV.2T(1 -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0.31104636929981899</v>
      </c>
      <c r="R337" s="5" cm="1">
        <f t="array" ref="R337">MIN(IF((DiscreteStatsTable[GroupByKey]=DiscreteStatsTable[[#This Row],[GroupByKey]]),(DiscreteStatsTable[GroupByKey]=DiscreteStatsTable[[#This Row],[GroupByKey]])*DiscreteStatsTable[Average]))</f>
        <v>0</v>
      </c>
      <c r="S337" s="5" cm="1">
        <f t="array" ref="S337">MAX(IF((DiscreteStatsTable[GroupByKey]=DiscreteStatsTable[[#This Row],[GroupByKey]]),(DiscreteStatsTable[GroupByKey]=DiscreteStatsTable[[#This Row],[GroupByKey]])*DiscreteStatsTable[Average]))</f>
        <v>3.8977138394719901</v>
      </c>
      <c r="T337" s="5" cm="1">
        <f t="array" ref="T337">MIN(IF((DiscreteStatsTable[GroupByKey]=DiscreteStatsTable[[#This Row],[GroupByKey]]),(DiscreteStatsTable[GroupByKey]=DiscreteStatsTable[[#This Row],[GroupByKey]])*DiscreteStatsTable[Minimum]))</f>
        <v>0</v>
      </c>
      <c r="U337" s="5" cm="1">
        <f t="array" ref="U337">MAX(IF((DiscreteStatsTable[GroupByKey]=DiscreteStatsTable[[#This Row],[GroupByKey]]),(DiscreteStatsTable[GroupByKey]=DiscreteStatsTable[[#This Row],[GroupByKey]])*DiscreteStatsTable[Maximum]))</f>
        <v>7.95545419566559</v>
      </c>
      <c r="V337" s="5" cm="1">
        <f t="array" ref="V337">IFERROR(AVERAGE(IF((DiscreteStatsTable[GroupByKey]=DiscreteStatsTable[[#This Row],[GroupByKey]]),(DiscreteStatsTable[GroupByKey]=DiscreteStatsTable[[#This Row],[GroupByKey]])*DiscreteStatsTable[NumberObservations])),0)</f>
        <v>4.58</v>
      </c>
      <c r="W337" s="5">
        <f>IF((DiscreteStatsTable[[#This Row],[RepsRequested]]&gt;1),DiscreteStatsTable[[#This Row],[HalfWidth]],DiscreteStatsTable[[#This Row],[BatchMeansHalfWidth]])</f>
        <v>0.31104636929981899</v>
      </c>
      <c r="X337" s="5" cm="1">
        <f t="array" ref="X337">COUNT(IF((DiscreteStatsTable[GroupByKey]=DiscreteStatsTable[[#This Row],[GroupByKey]]),(DiscreteStatsTable[GroupByKey]=DiscreteStatsTable[[#This Row],[GroupByKey]])*DiscreteStatsTable[Replication]))</f>
        <v>50</v>
      </c>
      <c r="Y337" s="5">
        <f>IF(DiscreteStatsTable[[#This Row],[RepsRequested]]=DiscreteStatsTable[[#This Row],[RepsWithStatObserved]],1,0)</f>
        <v>1</v>
      </c>
    </row>
    <row r="338" spans="1:25" x14ac:dyDescent="0.35">
      <c r="A338" t="s">
        <v>66</v>
      </c>
      <c r="B338" t="s">
        <v>69</v>
      </c>
      <c r="C338">
        <v>37</v>
      </c>
      <c r="D338" t="s">
        <v>78</v>
      </c>
      <c r="E338" t="s">
        <v>79</v>
      </c>
      <c r="F338" t="s">
        <v>80</v>
      </c>
      <c r="G338">
        <v>3.8977138394719901</v>
      </c>
      <c r="H338">
        <v>2E+20</v>
      </c>
      <c r="I338">
        <v>0</v>
      </c>
      <c r="J338">
        <v>7.95545419566559</v>
      </c>
      <c r="K338">
        <v>4</v>
      </c>
      <c r="L338" s="5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38" s="5" cm="1">
        <f t="array" ref="M338">MAX(IF((ProjectInfoTable[ProjectName]=DiscreteStatsTable[[#This Row],[ProjectName]]),(ProjectInfoTable[ProjectName]=DiscreteStatsTable[[#This Row],[ProjectName]])*ProjectInfoTable[NumberOfReplications]))</f>
        <v>50</v>
      </c>
      <c r="N338" s="5" cm="1">
        <f t="array" ref="N338">IFERROR(AVERAGE(IF((DiscreteStatsTable[GroupByKey]=DiscreteStatsTable[[#This Row],[GroupByKey]]),(DiscreteStatsTable[GroupByKey]=DiscreteStatsTable[[#This Row],[GroupByKey]])*DiscreteStatsTable[Average])),0)</f>
        <v>1.6032171272413107</v>
      </c>
      <c r="O338" s="5" cm="1">
        <f t="array" ref="O338">IFERROR(_xlfn.STDEV.S(IF((DiscreteStatsTable[GroupByKey]=DiscreteStatsTable[[#This Row],[GroupByKey]]),(DiscreteStatsTable[GroupByKey]=DiscreteStatsTable[[#This Row],[GroupByKey]])*DiscreteStatsTable[Average])),0)</f>
        <v>1.0944750558807383</v>
      </c>
      <c r="P338" s="5" cm="1">
        <f t="array" ref="P338">MAX(IF((ProjectInfoTable[ProjectName]=DiscreteStatsTable[[#This Row],[ProjectName]]),(ProjectInfoTable[ProjectName]=DiscreteStatsTable[[#This Row],[ProjectName]])*ProjectInfoTable[ConfidenceInterval]))</f>
        <v>0.95</v>
      </c>
      <c r="Q338" s="5">
        <f>IF(AND(DiscreteStatsTable[[#This Row],[RepsWithStatObserved]]=1,Y338=0),200000000000000000000,IFERROR(_xlfn.T.INV.2T(1 -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0.31104636929981899</v>
      </c>
      <c r="R338" s="5" cm="1">
        <f t="array" ref="R338">MIN(IF((DiscreteStatsTable[GroupByKey]=DiscreteStatsTable[[#This Row],[GroupByKey]]),(DiscreteStatsTable[GroupByKey]=DiscreteStatsTable[[#This Row],[GroupByKey]])*DiscreteStatsTable[Average]))</f>
        <v>0</v>
      </c>
      <c r="S338" s="5" cm="1">
        <f t="array" ref="S338">MAX(IF((DiscreteStatsTable[GroupByKey]=DiscreteStatsTable[[#This Row],[GroupByKey]]),(DiscreteStatsTable[GroupByKey]=DiscreteStatsTable[[#This Row],[GroupByKey]])*DiscreteStatsTable[Average]))</f>
        <v>3.8977138394719901</v>
      </c>
      <c r="T338" s="5" cm="1">
        <f t="array" ref="T338">MIN(IF((DiscreteStatsTable[GroupByKey]=DiscreteStatsTable[[#This Row],[GroupByKey]]),(DiscreteStatsTable[GroupByKey]=DiscreteStatsTable[[#This Row],[GroupByKey]])*DiscreteStatsTable[Minimum]))</f>
        <v>0</v>
      </c>
      <c r="U338" s="5" cm="1">
        <f t="array" ref="U338">MAX(IF((DiscreteStatsTable[GroupByKey]=DiscreteStatsTable[[#This Row],[GroupByKey]]),(DiscreteStatsTable[GroupByKey]=DiscreteStatsTable[[#This Row],[GroupByKey]])*DiscreteStatsTable[Maximum]))</f>
        <v>7.95545419566559</v>
      </c>
      <c r="V338" s="5" cm="1">
        <f t="array" ref="V338">IFERROR(AVERAGE(IF((DiscreteStatsTable[GroupByKey]=DiscreteStatsTable[[#This Row],[GroupByKey]]),(DiscreteStatsTable[GroupByKey]=DiscreteStatsTable[[#This Row],[GroupByKey]])*DiscreteStatsTable[NumberObservations])),0)</f>
        <v>4.58</v>
      </c>
      <c r="W338" s="5">
        <f>IF((DiscreteStatsTable[[#This Row],[RepsRequested]]&gt;1),DiscreteStatsTable[[#This Row],[HalfWidth]],DiscreteStatsTable[[#This Row],[BatchMeansHalfWidth]])</f>
        <v>0.31104636929981899</v>
      </c>
      <c r="X338" s="5" cm="1">
        <f t="array" ref="X338">COUNT(IF((DiscreteStatsTable[GroupByKey]=DiscreteStatsTable[[#This Row],[GroupByKey]]),(DiscreteStatsTable[GroupByKey]=DiscreteStatsTable[[#This Row],[GroupByKey]])*DiscreteStatsTable[Replication]))</f>
        <v>50</v>
      </c>
      <c r="Y338" s="5">
        <f>IF(DiscreteStatsTable[[#This Row],[RepsRequested]]=DiscreteStatsTable[[#This Row],[RepsWithStatObserved]],1,0)</f>
        <v>1</v>
      </c>
    </row>
    <row r="339" spans="1:25" x14ac:dyDescent="0.35">
      <c r="A339" t="s">
        <v>66</v>
      </c>
      <c r="B339" t="s">
        <v>69</v>
      </c>
      <c r="C339">
        <v>38</v>
      </c>
      <c r="D339" t="s">
        <v>78</v>
      </c>
      <c r="E339" t="s">
        <v>79</v>
      </c>
      <c r="F339" t="s">
        <v>80</v>
      </c>
      <c r="G339">
        <v>2.68245440428251</v>
      </c>
      <c r="H339">
        <v>2E+20</v>
      </c>
      <c r="I339">
        <v>0</v>
      </c>
      <c r="J339">
        <v>5.5512528434224304</v>
      </c>
      <c r="K339">
        <v>4</v>
      </c>
      <c r="L339" s="5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39" s="5" cm="1">
        <f t="array" ref="M339">MAX(IF((ProjectInfoTable[ProjectName]=DiscreteStatsTable[[#This Row],[ProjectName]]),(ProjectInfoTable[ProjectName]=DiscreteStatsTable[[#This Row],[ProjectName]])*ProjectInfoTable[NumberOfReplications]))</f>
        <v>50</v>
      </c>
      <c r="N339" s="5" cm="1">
        <f t="array" ref="N339">IFERROR(AVERAGE(IF((DiscreteStatsTable[GroupByKey]=DiscreteStatsTable[[#This Row],[GroupByKey]]),(DiscreteStatsTable[GroupByKey]=DiscreteStatsTable[[#This Row],[GroupByKey]])*DiscreteStatsTable[Average])),0)</f>
        <v>1.6032171272413107</v>
      </c>
      <c r="O339" s="5" cm="1">
        <f t="array" ref="O339">IFERROR(_xlfn.STDEV.S(IF((DiscreteStatsTable[GroupByKey]=DiscreteStatsTable[[#This Row],[GroupByKey]]),(DiscreteStatsTable[GroupByKey]=DiscreteStatsTable[[#This Row],[GroupByKey]])*DiscreteStatsTable[Average])),0)</f>
        <v>1.0944750558807383</v>
      </c>
      <c r="P339" s="5" cm="1">
        <f t="array" ref="P339">MAX(IF((ProjectInfoTable[ProjectName]=DiscreteStatsTable[[#This Row],[ProjectName]]),(ProjectInfoTable[ProjectName]=DiscreteStatsTable[[#This Row],[ProjectName]])*ProjectInfoTable[ConfidenceInterval]))</f>
        <v>0.95</v>
      </c>
      <c r="Q339" s="5">
        <f>IF(AND(DiscreteStatsTable[[#This Row],[RepsWithStatObserved]]=1,Y339=0),200000000000000000000,IFERROR(_xlfn.T.INV.2T(1 -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0.31104636929981899</v>
      </c>
      <c r="R339" s="5" cm="1">
        <f t="array" ref="R339">MIN(IF((DiscreteStatsTable[GroupByKey]=DiscreteStatsTable[[#This Row],[GroupByKey]]),(DiscreteStatsTable[GroupByKey]=DiscreteStatsTable[[#This Row],[GroupByKey]])*DiscreteStatsTable[Average]))</f>
        <v>0</v>
      </c>
      <c r="S339" s="5" cm="1">
        <f t="array" ref="S339">MAX(IF((DiscreteStatsTable[GroupByKey]=DiscreteStatsTable[[#This Row],[GroupByKey]]),(DiscreteStatsTable[GroupByKey]=DiscreteStatsTable[[#This Row],[GroupByKey]])*DiscreteStatsTable[Average]))</f>
        <v>3.8977138394719901</v>
      </c>
      <c r="T339" s="5" cm="1">
        <f t="array" ref="T339">MIN(IF((DiscreteStatsTable[GroupByKey]=DiscreteStatsTable[[#This Row],[GroupByKey]]),(DiscreteStatsTable[GroupByKey]=DiscreteStatsTable[[#This Row],[GroupByKey]])*DiscreteStatsTable[Minimum]))</f>
        <v>0</v>
      </c>
      <c r="U339" s="5" cm="1">
        <f t="array" ref="U339">MAX(IF((DiscreteStatsTable[GroupByKey]=DiscreteStatsTable[[#This Row],[GroupByKey]]),(DiscreteStatsTable[GroupByKey]=DiscreteStatsTable[[#This Row],[GroupByKey]])*DiscreteStatsTable[Maximum]))</f>
        <v>7.95545419566559</v>
      </c>
      <c r="V339" s="5" cm="1">
        <f t="array" ref="V339">IFERROR(AVERAGE(IF((DiscreteStatsTable[GroupByKey]=DiscreteStatsTable[[#This Row],[GroupByKey]]),(DiscreteStatsTable[GroupByKey]=DiscreteStatsTable[[#This Row],[GroupByKey]])*DiscreteStatsTable[NumberObservations])),0)</f>
        <v>4.58</v>
      </c>
      <c r="W339" s="5">
        <f>IF((DiscreteStatsTable[[#This Row],[RepsRequested]]&gt;1),DiscreteStatsTable[[#This Row],[HalfWidth]],DiscreteStatsTable[[#This Row],[BatchMeansHalfWidth]])</f>
        <v>0.31104636929981899</v>
      </c>
      <c r="X339" s="5" cm="1">
        <f t="array" ref="X339">COUNT(IF((DiscreteStatsTable[GroupByKey]=DiscreteStatsTable[[#This Row],[GroupByKey]]),(DiscreteStatsTable[GroupByKey]=DiscreteStatsTable[[#This Row],[GroupByKey]])*DiscreteStatsTable[Replication]))</f>
        <v>50</v>
      </c>
      <c r="Y339" s="5">
        <f>IF(DiscreteStatsTable[[#This Row],[RepsRequested]]=DiscreteStatsTable[[#This Row],[RepsWithStatObserved]],1,0)</f>
        <v>1</v>
      </c>
    </row>
    <row r="340" spans="1:25" x14ac:dyDescent="0.35">
      <c r="A340" t="s">
        <v>66</v>
      </c>
      <c r="B340" t="s">
        <v>69</v>
      </c>
      <c r="C340">
        <v>39</v>
      </c>
      <c r="D340" t="s">
        <v>78</v>
      </c>
      <c r="E340" t="s">
        <v>79</v>
      </c>
      <c r="F340" t="s">
        <v>80</v>
      </c>
      <c r="G340">
        <v>1.9214630987544301</v>
      </c>
      <c r="H340">
        <v>2E+20</v>
      </c>
      <c r="I340">
        <v>0</v>
      </c>
      <c r="J340">
        <v>4.2807120817181303</v>
      </c>
      <c r="K340">
        <v>4</v>
      </c>
      <c r="L340" s="5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40" s="5" cm="1">
        <f t="array" ref="M340">MAX(IF((ProjectInfoTable[ProjectName]=DiscreteStatsTable[[#This Row],[ProjectName]]),(ProjectInfoTable[ProjectName]=DiscreteStatsTable[[#This Row],[ProjectName]])*ProjectInfoTable[NumberOfReplications]))</f>
        <v>50</v>
      </c>
      <c r="N340" s="5" cm="1">
        <f t="array" ref="N340">IFERROR(AVERAGE(IF((DiscreteStatsTable[GroupByKey]=DiscreteStatsTable[[#This Row],[GroupByKey]]),(DiscreteStatsTable[GroupByKey]=DiscreteStatsTable[[#This Row],[GroupByKey]])*DiscreteStatsTable[Average])),0)</f>
        <v>1.6032171272413107</v>
      </c>
      <c r="O340" s="5" cm="1">
        <f t="array" ref="O340">IFERROR(_xlfn.STDEV.S(IF((DiscreteStatsTable[GroupByKey]=DiscreteStatsTable[[#This Row],[GroupByKey]]),(DiscreteStatsTable[GroupByKey]=DiscreteStatsTable[[#This Row],[GroupByKey]])*DiscreteStatsTable[Average])),0)</f>
        <v>1.0944750558807383</v>
      </c>
      <c r="P340" s="5" cm="1">
        <f t="array" ref="P340">MAX(IF((ProjectInfoTable[ProjectName]=DiscreteStatsTable[[#This Row],[ProjectName]]),(ProjectInfoTable[ProjectName]=DiscreteStatsTable[[#This Row],[ProjectName]])*ProjectInfoTable[ConfidenceInterval]))</f>
        <v>0.95</v>
      </c>
      <c r="Q340" s="5">
        <f>IF(AND(DiscreteStatsTable[[#This Row],[RepsWithStatObserved]]=1,Y340=0),200000000000000000000,IFERROR(_xlfn.T.INV.2T(1 -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0.31104636929981899</v>
      </c>
      <c r="R340" s="5" cm="1">
        <f t="array" ref="R340">MIN(IF((DiscreteStatsTable[GroupByKey]=DiscreteStatsTable[[#This Row],[GroupByKey]]),(DiscreteStatsTable[GroupByKey]=DiscreteStatsTable[[#This Row],[GroupByKey]])*DiscreteStatsTable[Average]))</f>
        <v>0</v>
      </c>
      <c r="S340" s="5" cm="1">
        <f t="array" ref="S340">MAX(IF((DiscreteStatsTable[GroupByKey]=DiscreteStatsTable[[#This Row],[GroupByKey]]),(DiscreteStatsTable[GroupByKey]=DiscreteStatsTable[[#This Row],[GroupByKey]])*DiscreteStatsTable[Average]))</f>
        <v>3.8977138394719901</v>
      </c>
      <c r="T340" s="5" cm="1">
        <f t="array" ref="T340">MIN(IF((DiscreteStatsTable[GroupByKey]=DiscreteStatsTable[[#This Row],[GroupByKey]]),(DiscreteStatsTable[GroupByKey]=DiscreteStatsTable[[#This Row],[GroupByKey]])*DiscreteStatsTable[Minimum]))</f>
        <v>0</v>
      </c>
      <c r="U340" s="5" cm="1">
        <f t="array" ref="U340">MAX(IF((DiscreteStatsTable[GroupByKey]=DiscreteStatsTable[[#This Row],[GroupByKey]]),(DiscreteStatsTable[GroupByKey]=DiscreteStatsTable[[#This Row],[GroupByKey]])*DiscreteStatsTable[Maximum]))</f>
        <v>7.95545419566559</v>
      </c>
      <c r="V340" s="5" cm="1">
        <f t="array" ref="V340">IFERROR(AVERAGE(IF((DiscreteStatsTable[GroupByKey]=DiscreteStatsTable[[#This Row],[GroupByKey]]),(DiscreteStatsTable[GroupByKey]=DiscreteStatsTable[[#This Row],[GroupByKey]])*DiscreteStatsTable[NumberObservations])),0)</f>
        <v>4.58</v>
      </c>
      <c r="W340" s="5">
        <f>IF((DiscreteStatsTable[[#This Row],[RepsRequested]]&gt;1),DiscreteStatsTable[[#This Row],[HalfWidth]],DiscreteStatsTable[[#This Row],[BatchMeansHalfWidth]])</f>
        <v>0.31104636929981899</v>
      </c>
      <c r="X340" s="5" cm="1">
        <f t="array" ref="X340">COUNT(IF((DiscreteStatsTable[GroupByKey]=DiscreteStatsTable[[#This Row],[GroupByKey]]),(DiscreteStatsTable[GroupByKey]=DiscreteStatsTable[[#This Row],[GroupByKey]])*DiscreteStatsTable[Replication]))</f>
        <v>50</v>
      </c>
      <c r="Y340" s="5">
        <f>IF(DiscreteStatsTable[[#This Row],[RepsRequested]]=DiscreteStatsTable[[#This Row],[RepsWithStatObserved]],1,0)</f>
        <v>1</v>
      </c>
    </row>
    <row r="341" spans="1:25" x14ac:dyDescent="0.35">
      <c r="A341" t="s">
        <v>66</v>
      </c>
      <c r="B341" t="s">
        <v>69</v>
      </c>
      <c r="C341">
        <v>40</v>
      </c>
      <c r="D341" t="s">
        <v>78</v>
      </c>
      <c r="E341" t="s">
        <v>79</v>
      </c>
      <c r="F341" t="s">
        <v>80</v>
      </c>
      <c r="G341">
        <v>0.65053979444716004</v>
      </c>
      <c r="H341">
        <v>2E+20</v>
      </c>
      <c r="I341">
        <v>0</v>
      </c>
      <c r="J341">
        <v>1.7468418623569699</v>
      </c>
      <c r="K341">
        <v>5</v>
      </c>
      <c r="L341" s="5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41" s="5" cm="1">
        <f t="array" ref="M341">MAX(IF((ProjectInfoTable[ProjectName]=DiscreteStatsTable[[#This Row],[ProjectName]]),(ProjectInfoTable[ProjectName]=DiscreteStatsTable[[#This Row],[ProjectName]])*ProjectInfoTable[NumberOfReplications]))</f>
        <v>50</v>
      </c>
      <c r="N341" s="5" cm="1">
        <f t="array" ref="N341">IFERROR(AVERAGE(IF((DiscreteStatsTable[GroupByKey]=DiscreteStatsTable[[#This Row],[GroupByKey]]),(DiscreteStatsTable[GroupByKey]=DiscreteStatsTable[[#This Row],[GroupByKey]])*DiscreteStatsTable[Average])),0)</f>
        <v>1.6032171272413107</v>
      </c>
      <c r="O341" s="5" cm="1">
        <f t="array" ref="O341">IFERROR(_xlfn.STDEV.S(IF((DiscreteStatsTable[GroupByKey]=DiscreteStatsTable[[#This Row],[GroupByKey]]),(DiscreteStatsTable[GroupByKey]=DiscreteStatsTable[[#This Row],[GroupByKey]])*DiscreteStatsTable[Average])),0)</f>
        <v>1.0944750558807383</v>
      </c>
      <c r="P341" s="5" cm="1">
        <f t="array" ref="P341">MAX(IF((ProjectInfoTable[ProjectName]=DiscreteStatsTable[[#This Row],[ProjectName]]),(ProjectInfoTable[ProjectName]=DiscreteStatsTable[[#This Row],[ProjectName]])*ProjectInfoTable[ConfidenceInterval]))</f>
        <v>0.95</v>
      </c>
      <c r="Q341" s="5">
        <f>IF(AND(DiscreteStatsTable[[#This Row],[RepsWithStatObserved]]=1,Y341=0),200000000000000000000,IFERROR(_xlfn.T.INV.2T(1 -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0.31104636929981899</v>
      </c>
      <c r="R341" s="5" cm="1">
        <f t="array" ref="R341">MIN(IF((DiscreteStatsTable[GroupByKey]=DiscreteStatsTable[[#This Row],[GroupByKey]]),(DiscreteStatsTable[GroupByKey]=DiscreteStatsTable[[#This Row],[GroupByKey]])*DiscreteStatsTable[Average]))</f>
        <v>0</v>
      </c>
      <c r="S341" s="5" cm="1">
        <f t="array" ref="S341">MAX(IF((DiscreteStatsTable[GroupByKey]=DiscreteStatsTable[[#This Row],[GroupByKey]]),(DiscreteStatsTable[GroupByKey]=DiscreteStatsTable[[#This Row],[GroupByKey]])*DiscreteStatsTable[Average]))</f>
        <v>3.8977138394719901</v>
      </c>
      <c r="T341" s="5" cm="1">
        <f t="array" ref="T341">MIN(IF((DiscreteStatsTable[GroupByKey]=DiscreteStatsTable[[#This Row],[GroupByKey]]),(DiscreteStatsTable[GroupByKey]=DiscreteStatsTable[[#This Row],[GroupByKey]])*DiscreteStatsTable[Minimum]))</f>
        <v>0</v>
      </c>
      <c r="U341" s="5" cm="1">
        <f t="array" ref="U341">MAX(IF((DiscreteStatsTable[GroupByKey]=DiscreteStatsTable[[#This Row],[GroupByKey]]),(DiscreteStatsTable[GroupByKey]=DiscreteStatsTable[[#This Row],[GroupByKey]])*DiscreteStatsTable[Maximum]))</f>
        <v>7.95545419566559</v>
      </c>
      <c r="V341" s="5" cm="1">
        <f t="array" ref="V341">IFERROR(AVERAGE(IF((DiscreteStatsTable[GroupByKey]=DiscreteStatsTable[[#This Row],[GroupByKey]]),(DiscreteStatsTable[GroupByKey]=DiscreteStatsTable[[#This Row],[GroupByKey]])*DiscreteStatsTable[NumberObservations])),0)</f>
        <v>4.58</v>
      </c>
      <c r="W341" s="5">
        <f>IF((DiscreteStatsTable[[#This Row],[RepsRequested]]&gt;1),DiscreteStatsTable[[#This Row],[HalfWidth]],DiscreteStatsTable[[#This Row],[BatchMeansHalfWidth]])</f>
        <v>0.31104636929981899</v>
      </c>
      <c r="X341" s="5" cm="1">
        <f t="array" ref="X341">COUNT(IF((DiscreteStatsTable[GroupByKey]=DiscreteStatsTable[[#This Row],[GroupByKey]]),(DiscreteStatsTable[GroupByKey]=DiscreteStatsTable[[#This Row],[GroupByKey]])*DiscreteStatsTable[Replication]))</f>
        <v>50</v>
      </c>
      <c r="Y341" s="5">
        <f>IF(DiscreteStatsTable[[#This Row],[RepsRequested]]=DiscreteStatsTable[[#This Row],[RepsWithStatObserved]],1,0)</f>
        <v>1</v>
      </c>
    </row>
    <row r="342" spans="1:25" x14ac:dyDescent="0.35">
      <c r="A342" t="s">
        <v>66</v>
      </c>
      <c r="B342" t="s">
        <v>69</v>
      </c>
      <c r="C342">
        <v>41</v>
      </c>
      <c r="D342" t="s">
        <v>78</v>
      </c>
      <c r="E342" t="s">
        <v>79</v>
      </c>
      <c r="F342" t="s">
        <v>80</v>
      </c>
      <c r="G342">
        <v>9.9750759288526794E-2</v>
      </c>
      <c r="H342">
        <v>2E+20</v>
      </c>
      <c r="I342">
        <v>0</v>
      </c>
      <c r="J342">
        <v>0.39900303715410701</v>
      </c>
      <c r="K342">
        <v>4</v>
      </c>
      <c r="L342" s="5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42" s="5" cm="1">
        <f t="array" ref="M342">MAX(IF((ProjectInfoTable[ProjectName]=DiscreteStatsTable[[#This Row],[ProjectName]]),(ProjectInfoTable[ProjectName]=DiscreteStatsTable[[#This Row],[ProjectName]])*ProjectInfoTable[NumberOfReplications]))</f>
        <v>50</v>
      </c>
      <c r="N342" s="5" cm="1">
        <f t="array" ref="N342">IFERROR(AVERAGE(IF((DiscreteStatsTable[GroupByKey]=DiscreteStatsTable[[#This Row],[GroupByKey]]),(DiscreteStatsTable[GroupByKey]=DiscreteStatsTable[[#This Row],[GroupByKey]])*DiscreteStatsTable[Average])),0)</f>
        <v>1.6032171272413107</v>
      </c>
      <c r="O342" s="5" cm="1">
        <f t="array" ref="O342">IFERROR(_xlfn.STDEV.S(IF((DiscreteStatsTable[GroupByKey]=DiscreteStatsTable[[#This Row],[GroupByKey]]),(DiscreteStatsTable[GroupByKey]=DiscreteStatsTable[[#This Row],[GroupByKey]])*DiscreteStatsTable[Average])),0)</f>
        <v>1.0944750558807383</v>
      </c>
      <c r="P342" s="5" cm="1">
        <f t="array" ref="P342">MAX(IF((ProjectInfoTable[ProjectName]=DiscreteStatsTable[[#This Row],[ProjectName]]),(ProjectInfoTable[ProjectName]=DiscreteStatsTable[[#This Row],[ProjectName]])*ProjectInfoTable[ConfidenceInterval]))</f>
        <v>0.95</v>
      </c>
      <c r="Q342" s="5">
        <f>IF(AND(DiscreteStatsTable[[#This Row],[RepsWithStatObserved]]=1,Y342=0),200000000000000000000,IFERROR(_xlfn.T.INV.2T(1 -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0.31104636929981899</v>
      </c>
      <c r="R342" s="5" cm="1">
        <f t="array" ref="R342">MIN(IF((DiscreteStatsTable[GroupByKey]=DiscreteStatsTable[[#This Row],[GroupByKey]]),(DiscreteStatsTable[GroupByKey]=DiscreteStatsTable[[#This Row],[GroupByKey]])*DiscreteStatsTable[Average]))</f>
        <v>0</v>
      </c>
      <c r="S342" s="5" cm="1">
        <f t="array" ref="S342">MAX(IF((DiscreteStatsTable[GroupByKey]=DiscreteStatsTable[[#This Row],[GroupByKey]]),(DiscreteStatsTable[GroupByKey]=DiscreteStatsTable[[#This Row],[GroupByKey]])*DiscreteStatsTable[Average]))</f>
        <v>3.8977138394719901</v>
      </c>
      <c r="T342" s="5" cm="1">
        <f t="array" ref="T342">MIN(IF((DiscreteStatsTable[GroupByKey]=DiscreteStatsTable[[#This Row],[GroupByKey]]),(DiscreteStatsTable[GroupByKey]=DiscreteStatsTable[[#This Row],[GroupByKey]])*DiscreteStatsTable[Minimum]))</f>
        <v>0</v>
      </c>
      <c r="U342" s="5" cm="1">
        <f t="array" ref="U342">MAX(IF((DiscreteStatsTable[GroupByKey]=DiscreteStatsTable[[#This Row],[GroupByKey]]),(DiscreteStatsTable[GroupByKey]=DiscreteStatsTable[[#This Row],[GroupByKey]])*DiscreteStatsTable[Maximum]))</f>
        <v>7.95545419566559</v>
      </c>
      <c r="V342" s="5" cm="1">
        <f t="array" ref="V342">IFERROR(AVERAGE(IF((DiscreteStatsTable[GroupByKey]=DiscreteStatsTable[[#This Row],[GroupByKey]]),(DiscreteStatsTable[GroupByKey]=DiscreteStatsTable[[#This Row],[GroupByKey]])*DiscreteStatsTable[NumberObservations])),0)</f>
        <v>4.58</v>
      </c>
      <c r="W342" s="5">
        <f>IF((DiscreteStatsTable[[#This Row],[RepsRequested]]&gt;1),DiscreteStatsTable[[#This Row],[HalfWidth]],DiscreteStatsTable[[#This Row],[BatchMeansHalfWidth]])</f>
        <v>0.31104636929981899</v>
      </c>
      <c r="X342" s="5" cm="1">
        <f t="array" ref="X342">COUNT(IF((DiscreteStatsTable[GroupByKey]=DiscreteStatsTable[[#This Row],[GroupByKey]]),(DiscreteStatsTable[GroupByKey]=DiscreteStatsTable[[#This Row],[GroupByKey]])*DiscreteStatsTable[Replication]))</f>
        <v>50</v>
      </c>
      <c r="Y342" s="5">
        <f>IF(DiscreteStatsTable[[#This Row],[RepsRequested]]=DiscreteStatsTable[[#This Row],[RepsWithStatObserved]],1,0)</f>
        <v>1</v>
      </c>
    </row>
    <row r="343" spans="1:25" x14ac:dyDescent="0.35">
      <c r="A343" t="s">
        <v>66</v>
      </c>
      <c r="B343" t="s">
        <v>69</v>
      </c>
      <c r="C343">
        <v>42</v>
      </c>
      <c r="D343" t="s">
        <v>78</v>
      </c>
      <c r="E343" t="s">
        <v>79</v>
      </c>
      <c r="F343" t="s">
        <v>80</v>
      </c>
      <c r="G343">
        <v>0.64812580574896195</v>
      </c>
      <c r="H343">
        <v>2E+20</v>
      </c>
      <c r="I343">
        <v>0</v>
      </c>
      <c r="J343">
        <v>1.6963212659298299</v>
      </c>
      <c r="K343">
        <v>5</v>
      </c>
      <c r="L343" s="5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43" s="5" cm="1">
        <f t="array" ref="M343">MAX(IF((ProjectInfoTable[ProjectName]=DiscreteStatsTable[[#This Row],[ProjectName]]),(ProjectInfoTable[ProjectName]=DiscreteStatsTable[[#This Row],[ProjectName]])*ProjectInfoTable[NumberOfReplications]))</f>
        <v>50</v>
      </c>
      <c r="N343" s="5" cm="1">
        <f t="array" ref="N343">IFERROR(AVERAGE(IF((DiscreteStatsTable[GroupByKey]=DiscreteStatsTable[[#This Row],[GroupByKey]]),(DiscreteStatsTable[GroupByKey]=DiscreteStatsTable[[#This Row],[GroupByKey]])*DiscreteStatsTable[Average])),0)</f>
        <v>1.6032171272413107</v>
      </c>
      <c r="O343" s="5" cm="1">
        <f t="array" ref="O343">IFERROR(_xlfn.STDEV.S(IF((DiscreteStatsTable[GroupByKey]=DiscreteStatsTable[[#This Row],[GroupByKey]]),(DiscreteStatsTable[GroupByKey]=DiscreteStatsTable[[#This Row],[GroupByKey]])*DiscreteStatsTable[Average])),0)</f>
        <v>1.0944750558807383</v>
      </c>
      <c r="P343" s="5" cm="1">
        <f t="array" ref="P343">MAX(IF((ProjectInfoTable[ProjectName]=DiscreteStatsTable[[#This Row],[ProjectName]]),(ProjectInfoTable[ProjectName]=DiscreteStatsTable[[#This Row],[ProjectName]])*ProjectInfoTable[ConfidenceInterval]))</f>
        <v>0.95</v>
      </c>
      <c r="Q343" s="5">
        <f>IF(AND(DiscreteStatsTable[[#This Row],[RepsWithStatObserved]]=1,Y343=0),200000000000000000000,IFERROR(_xlfn.T.INV.2T(1 -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0.31104636929981899</v>
      </c>
      <c r="R343" s="5" cm="1">
        <f t="array" ref="R343">MIN(IF((DiscreteStatsTable[GroupByKey]=DiscreteStatsTable[[#This Row],[GroupByKey]]),(DiscreteStatsTable[GroupByKey]=DiscreteStatsTable[[#This Row],[GroupByKey]])*DiscreteStatsTable[Average]))</f>
        <v>0</v>
      </c>
      <c r="S343" s="5" cm="1">
        <f t="array" ref="S343">MAX(IF((DiscreteStatsTable[GroupByKey]=DiscreteStatsTable[[#This Row],[GroupByKey]]),(DiscreteStatsTable[GroupByKey]=DiscreteStatsTable[[#This Row],[GroupByKey]])*DiscreteStatsTable[Average]))</f>
        <v>3.8977138394719901</v>
      </c>
      <c r="T343" s="5" cm="1">
        <f t="array" ref="T343">MIN(IF((DiscreteStatsTable[GroupByKey]=DiscreteStatsTable[[#This Row],[GroupByKey]]),(DiscreteStatsTable[GroupByKey]=DiscreteStatsTable[[#This Row],[GroupByKey]])*DiscreteStatsTable[Minimum]))</f>
        <v>0</v>
      </c>
      <c r="U343" s="5" cm="1">
        <f t="array" ref="U343">MAX(IF((DiscreteStatsTable[GroupByKey]=DiscreteStatsTable[[#This Row],[GroupByKey]]),(DiscreteStatsTable[GroupByKey]=DiscreteStatsTable[[#This Row],[GroupByKey]])*DiscreteStatsTable[Maximum]))</f>
        <v>7.95545419566559</v>
      </c>
      <c r="V343" s="5" cm="1">
        <f t="array" ref="V343">IFERROR(AVERAGE(IF((DiscreteStatsTable[GroupByKey]=DiscreteStatsTable[[#This Row],[GroupByKey]]),(DiscreteStatsTable[GroupByKey]=DiscreteStatsTable[[#This Row],[GroupByKey]])*DiscreteStatsTable[NumberObservations])),0)</f>
        <v>4.58</v>
      </c>
      <c r="W343" s="5">
        <f>IF((DiscreteStatsTable[[#This Row],[RepsRequested]]&gt;1),DiscreteStatsTable[[#This Row],[HalfWidth]],DiscreteStatsTable[[#This Row],[BatchMeansHalfWidth]])</f>
        <v>0.31104636929981899</v>
      </c>
      <c r="X343" s="5" cm="1">
        <f t="array" ref="X343">COUNT(IF((DiscreteStatsTable[GroupByKey]=DiscreteStatsTable[[#This Row],[GroupByKey]]),(DiscreteStatsTable[GroupByKey]=DiscreteStatsTable[[#This Row],[GroupByKey]])*DiscreteStatsTable[Replication]))</f>
        <v>50</v>
      </c>
      <c r="Y343" s="5">
        <f>IF(DiscreteStatsTable[[#This Row],[RepsRequested]]=DiscreteStatsTable[[#This Row],[RepsWithStatObserved]],1,0)</f>
        <v>1</v>
      </c>
    </row>
    <row r="344" spans="1:25" x14ac:dyDescent="0.35">
      <c r="A344" t="s">
        <v>66</v>
      </c>
      <c r="B344" t="s">
        <v>69</v>
      </c>
      <c r="C344">
        <v>43</v>
      </c>
      <c r="D344" t="s">
        <v>78</v>
      </c>
      <c r="E344" t="s">
        <v>79</v>
      </c>
      <c r="F344" t="s">
        <v>80</v>
      </c>
      <c r="G344">
        <v>0.65847536289914399</v>
      </c>
      <c r="H344">
        <v>2E+20</v>
      </c>
      <c r="I344">
        <v>0</v>
      </c>
      <c r="J344">
        <v>1.6273367424138701</v>
      </c>
      <c r="K344">
        <v>5</v>
      </c>
      <c r="L344" s="5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44" s="5" cm="1">
        <f t="array" ref="M344">MAX(IF((ProjectInfoTable[ProjectName]=DiscreteStatsTable[[#This Row],[ProjectName]]),(ProjectInfoTable[ProjectName]=DiscreteStatsTable[[#This Row],[ProjectName]])*ProjectInfoTable[NumberOfReplications]))</f>
        <v>50</v>
      </c>
      <c r="N344" s="5" cm="1">
        <f t="array" ref="N344">IFERROR(AVERAGE(IF((DiscreteStatsTable[GroupByKey]=DiscreteStatsTable[[#This Row],[GroupByKey]]),(DiscreteStatsTable[GroupByKey]=DiscreteStatsTable[[#This Row],[GroupByKey]])*DiscreteStatsTable[Average])),0)</f>
        <v>1.6032171272413107</v>
      </c>
      <c r="O344" s="5" cm="1">
        <f t="array" ref="O344">IFERROR(_xlfn.STDEV.S(IF((DiscreteStatsTable[GroupByKey]=DiscreteStatsTable[[#This Row],[GroupByKey]]),(DiscreteStatsTable[GroupByKey]=DiscreteStatsTable[[#This Row],[GroupByKey]])*DiscreteStatsTable[Average])),0)</f>
        <v>1.0944750558807383</v>
      </c>
      <c r="P344" s="5" cm="1">
        <f t="array" ref="P344">MAX(IF((ProjectInfoTable[ProjectName]=DiscreteStatsTable[[#This Row],[ProjectName]]),(ProjectInfoTable[ProjectName]=DiscreteStatsTable[[#This Row],[ProjectName]])*ProjectInfoTable[ConfidenceInterval]))</f>
        <v>0.95</v>
      </c>
      <c r="Q344" s="5">
        <f>IF(AND(DiscreteStatsTable[[#This Row],[RepsWithStatObserved]]=1,Y344=0),200000000000000000000,IFERROR(_xlfn.T.INV.2T(1 -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0.31104636929981899</v>
      </c>
      <c r="R344" s="5" cm="1">
        <f t="array" ref="R344">MIN(IF((DiscreteStatsTable[GroupByKey]=DiscreteStatsTable[[#This Row],[GroupByKey]]),(DiscreteStatsTable[GroupByKey]=DiscreteStatsTable[[#This Row],[GroupByKey]])*DiscreteStatsTable[Average]))</f>
        <v>0</v>
      </c>
      <c r="S344" s="5" cm="1">
        <f t="array" ref="S344">MAX(IF((DiscreteStatsTable[GroupByKey]=DiscreteStatsTable[[#This Row],[GroupByKey]]),(DiscreteStatsTable[GroupByKey]=DiscreteStatsTable[[#This Row],[GroupByKey]])*DiscreteStatsTable[Average]))</f>
        <v>3.8977138394719901</v>
      </c>
      <c r="T344" s="5" cm="1">
        <f t="array" ref="T344">MIN(IF((DiscreteStatsTable[GroupByKey]=DiscreteStatsTable[[#This Row],[GroupByKey]]),(DiscreteStatsTable[GroupByKey]=DiscreteStatsTable[[#This Row],[GroupByKey]])*DiscreteStatsTable[Minimum]))</f>
        <v>0</v>
      </c>
      <c r="U344" s="5" cm="1">
        <f t="array" ref="U344">MAX(IF((DiscreteStatsTable[GroupByKey]=DiscreteStatsTable[[#This Row],[GroupByKey]]),(DiscreteStatsTable[GroupByKey]=DiscreteStatsTable[[#This Row],[GroupByKey]])*DiscreteStatsTable[Maximum]))</f>
        <v>7.95545419566559</v>
      </c>
      <c r="V344" s="5" cm="1">
        <f t="array" ref="V344">IFERROR(AVERAGE(IF((DiscreteStatsTable[GroupByKey]=DiscreteStatsTable[[#This Row],[GroupByKey]]),(DiscreteStatsTable[GroupByKey]=DiscreteStatsTable[[#This Row],[GroupByKey]])*DiscreteStatsTable[NumberObservations])),0)</f>
        <v>4.58</v>
      </c>
      <c r="W344" s="5">
        <f>IF((DiscreteStatsTable[[#This Row],[RepsRequested]]&gt;1),DiscreteStatsTable[[#This Row],[HalfWidth]],DiscreteStatsTable[[#This Row],[BatchMeansHalfWidth]])</f>
        <v>0.31104636929981899</v>
      </c>
      <c r="X344" s="5" cm="1">
        <f t="array" ref="X344">COUNT(IF((DiscreteStatsTable[GroupByKey]=DiscreteStatsTable[[#This Row],[GroupByKey]]),(DiscreteStatsTable[GroupByKey]=DiscreteStatsTable[[#This Row],[GroupByKey]])*DiscreteStatsTable[Replication]))</f>
        <v>50</v>
      </c>
      <c r="Y344" s="5">
        <f>IF(DiscreteStatsTable[[#This Row],[RepsRequested]]=DiscreteStatsTable[[#This Row],[RepsWithStatObserved]],1,0)</f>
        <v>1</v>
      </c>
    </row>
    <row r="345" spans="1:25" x14ac:dyDescent="0.35">
      <c r="A345" t="s">
        <v>66</v>
      </c>
      <c r="B345" t="s">
        <v>69</v>
      </c>
      <c r="C345">
        <v>44</v>
      </c>
      <c r="D345" t="s">
        <v>78</v>
      </c>
      <c r="E345" t="s">
        <v>79</v>
      </c>
      <c r="F345" t="s">
        <v>80</v>
      </c>
      <c r="G345">
        <v>3.5630643671262798</v>
      </c>
      <c r="H345">
        <v>2E+20</v>
      </c>
      <c r="I345">
        <v>0</v>
      </c>
      <c r="J345">
        <v>5.9911917939905903</v>
      </c>
      <c r="K345">
        <v>4</v>
      </c>
      <c r="L345" s="5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45" s="5" cm="1">
        <f t="array" ref="M345">MAX(IF((ProjectInfoTable[ProjectName]=DiscreteStatsTable[[#This Row],[ProjectName]]),(ProjectInfoTable[ProjectName]=DiscreteStatsTable[[#This Row],[ProjectName]])*ProjectInfoTable[NumberOfReplications]))</f>
        <v>50</v>
      </c>
      <c r="N345" s="5" cm="1">
        <f t="array" ref="N345">IFERROR(AVERAGE(IF((DiscreteStatsTable[GroupByKey]=DiscreteStatsTable[[#This Row],[GroupByKey]]),(DiscreteStatsTable[GroupByKey]=DiscreteStatsTable[[#This Row],[GroupByKey]])*DiscreteStatsTable[Average])),0)</f>
        <v>1.6032171272413107</v>
      </c>
      <c r="O345" s="5" cm="1">
        <f t="array" ref="O345">IFERROR(_xlfn.STDEV.S(IF((DiscreteStatsTable[GroupByKey]=DiscreteStatsTable[[#This Row],[GroupByKey]]),(DiscreteStatsTable[GroupByKey]=DiscreteStatsTable[[#This Row],[GroupByKey]])*DiscreteStatsTable[Average])),0)</f>
        <v>1.0944750558807383</v>
      </c>
      <c r="P345" s="5" cm="1">
        <f t="array" ref="P345">MAX(IF((ProjectInfoTable[ProjectName]=DiscreteStatsTable[[#This Row],[ProjectName]]),(ProjectInfoTable[ProjectName]=DiscreteStatsTable[[#This Row],[ProjectName]])*ProjectInfoTable[ConfidenceInterval]))</f>
        <v>0.95</v>
      </c>
      <c r="Q345" s="5">
        <f>IF(AND(DiscreteStatsTable[[#This Row],[RepsWithStatObserved]]=1,Y345=0),200000000000000000000,IFERROR(_xlfn.T.INV.2T(1 -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0.31104636929981899</v>
      </c>
      <c r="R345" s="5" cm="1">
        <f t="array" ref="R345">MIN(IF((DiscreteStatsTable[GroupByKey]=DiscreteStatsTable[[#This Row],[GroupByKey]]),(DiscreteStatsTable[GroupByKey]=DiscreteStatsTable[[#This Row],[GroupByKey]])*DiscreteStatsTable[Average]))</f>
        <v>0</v>
      </c>
      <c r="S345" s="5" cm="1">
        <f t="array" ref="S345">MAX(IF((DiscreteStatsTable[GroupByKey]=DiscreteStatsTable[[#This Row],[GroupByKey]]),(DiscreteStatsTable[GroupByKey]=DiscreteStatsTable[[#This Row],[GroupByKey]])*DiscreteStatsTable[Average]))</f>
        <v>3.8977138394719901</v>
      </c>
      <c r="T345" s="5" cm="1">
        <f t="array" ref="T345">MIN(IF((DiscreteStatsTable[GroupByKey]=DiscreteStatsTable[[#This Row],[GroupByKey]]),(DiscreteStatsTable[GroupByKey]=DiscreteStatsTable[[#This Row],[GroupByKey]])*DiscreteStatsTable[Minimum]))</f>
        <v>0</v>
      </c>
      <c r="U345" s="5" cm="1">
        <f t="array" ref="U345">MAX(IF((DiscreteStatsTable[GroupByKey]=DiscreteStatsTable[[#This Row],[GroupByKey]]),(DiscreteStatsTable[GroupByKey]=DiscreteStatsTable[[#This Row],[GroupByKey]])*DiscreteStatsTable[Maximum]))</f>
        <v>7.95545419566559</v>
      </c>
      <c r="V345" s="5" cm="1">
        <f t="array" ref="V345">IFERROR(AVERAGE(IF((DiscreteStatsTable[GroupByKey]=DiscreteStatsTable[[#This Row],[GroupByKey]]),(DiscreteStatsTable[GroupByKey]=DiscreteStatsTable[[#This Row],[GroupByKey]])*DiscreteStatsTable[NumberObservations])),0)</f>
        <v>4.58</v>
      </c>
      <c r="W345" s="5">
        <f>IF((DiscreteStatsTable[[#This Row],[RepsRequested]]&gt;1),DiscreteStatsTable[[#This Row],[HalfWidth]],DiscreteStatsTable[[#This Row],[BatchMeansHalfWidth]])</f>
        <v>0.31104636929981899</v>
      </c>
      <c r="X345" s="5" cm="1">
        <f t="array" ref="X345">COUNT(IF((DiscreteStatsTable[GroupByKey]=DiscreteStatsTable[[#This Row],[GroupByKey]]),(DiscreteStatsTable[GroupByKey]=DiscreteStatsTable[[#This Row],[GroupByKey]])*DiscreteStatsTable[Replication]))</f>
        <v>50</v>
      </c>
      <c r="Y345" s="5">
        <f>IF(DiscreteStatsTable[[#This Row],[RepsRequested]]=DiscreteStatsTable[[#This Row],[RepsWithStatObserved]],1,0)</f>
        <v>1</v>
      </c>
    </row>
    <row r="346" spans="1:25" x14ac:dyDescent="0.35">
      <c r="A346" t="s">
        <v>66</v>
      </c>
      <c r="B346" t="s">
        <v>69</v>
      </c>
      <c r="C346">
        <v>45</v>
      </c>
      <c r="D346" t="s">
        <v>78</v>
      </c>
      <c r="E346" t="s">
        <v>79</v>
      </c>
      <c r="F346" t="s">
        <v>80</v>
      </c>
      <c r="G346">
        <v>0.379343994465693</v>
      </c>
      <c r="H346">
        <v>2E+20</v>
      </c>
      <c r="I346">
        <v>0</v>
      </c>
      <c r="J346">
        <v>1.1506376660733</v>
      </c>
      <c r="K346">
        <v>4</v>
      </c>
      <c r="L346" s="5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46" s="5" cm="1">
        <f t="array" ref="M346">MAX(IF((ProjectInfoTable[ProjectName]=DiscreteStatsTable[[#This Row],[ProjectName]]),(ProjectInfoTable[ProjectName]=DiscreteStatsTable[[#This Row],[ProjectName]])*ProjectInfoTable[NumberOfReplications]))</f>
        <v>50</v>
      </c>
      <c r="N346" s="5" cm="1">
        <f t="array" ref="N346">IFERROR(AVERAGE(IF((DiscreteStatsTable[GroupByKey]=DiscreteStatsTable[[#This Row],[GroupByKey]]),(DiscreteStatsTable[GroupByKey]=DiscreteStatsTable[[#This Row],[GroupByKey]])*DiscreteStatsTable[Average])),0)</f>
        <v>1.6032171272413107</v>
      </c>
      <c r="O346" s="5" cm="1">
        <f t="array" ref="O346">IFERROR(_xlfn.STDEV.S(IF((DiscreteStatsTable[GroupByKey]=DiscreteStatsTable[[#This Row],[GroupByKey]]),(DiscreteStatsTable[GroupByKey]=DiscreteStatsTable[[#This Row],[GroupByKey]])*DiscreteStatsTable[Average])),0)</f>
        <v>1.0944750558807383</v>
      </c>
      <c r="P346" s="5" cm="1">
        <f t="array" ref="P346">MAX(IF((ProjectInfoTable[ProjectName]=DiscreteStatsTable[[#This Row],[ProjectName]]),(ProjectInfoTable[ProjectName]=DiscreteStatsTable[[#This Row],[ProjectName]])*ProjectInfoTable[ConfidenceInterval]))</f>
        <v>0.95</v>
      </c>
      <c r="Q346" s="5">
        <f>IF(AND(DiscreteStatsTable[[#This Row],[RepsWithStatObserved]]=1,Y346=0),200000000000000000000,IFERROR(_xlfn.T.INV.2T(1 -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0.31104636929981899</v>
      </c>
      <c r="R346" s="5" cm="1">
        <f t="array" ref="R346">MIN(IF((DiscreteStatsTable[GroupByKey]=DiscreteStatsTable[[#This Row],[GroupByKey]]),(DiscreteStatsTable[GroupByKey]=DiscreteStatsTable[[#This Row],[GroupByKey]])*DiscreteStatsTable[Average]))</f>
        <v>0</v>
      </c>
      <c r="S346" s="5" cm="1">
        <f t="array" ref="S346">MAX(IF((DiscreteStatsTable[GroupByKey]=DiscreteStatsTable[[#This Row],[GroupByKey]]),(DiscreteStatsTable[GroupByKey]=DiscreteStatsTable[[#This Row],[GroupByKey]])*DiscreteStatsTable[Average]))</f>
        <v>3.8977138394719901</v>
      </c>
      <c r="T346" s="5" cm="1">
        <f t="array" ref="T346">MIN(IF((DiscreteStatsTable[GroupByKey]=DiscreteStatsTable[[#This Row],[GroupByKey]]),(DiscreteStatsTable[GroupByKey]=DiscreteStatsTable[[#This Row],[GroupByKey]])*DiscreteStatsTable[Minimum]))</f>
        <v>0</v>
      </c>
      <c r="U346" s="5" cm="1">
        <f t="array" ref="U346">MAX(IF((DiscreteStatsTable[GroupByKey]=DiscreteStatsTable[[#This Row],[GroupByKey]]),(DiscreteStatsTable[GroupByKey]=DiscreteStatsTable[[#This Row],[GroupByKey]])*DiscreteStatsTable[Maximum]))</f>
        <v>7.95545419566559</v>
      </c>
      <c r="V346" s="5" cm="1">
        <f t="array" ref="V346">IFERROR(AVERAGE(IF((DiscreteStatsTable[GroupByKey]=DiscreteStatsTable[[#This Row],[GroupByKey]]),(DiscreteStatsTable[GroupByKey]=DiscreteStatsTable[[#This Row],[GroupByKey]])*DiscreteStatsTable[NumberObservations])),0)</f>
        <v>4.58</v>
      </c>
      <c r="W346" s="5">
        <f>IF((DiscreteStatsTable[[#This Row],[RepsRequested]]&gt;1),DiscreteStatsTable[[#This Row],[HalfWidth]],DiscreteStatsTable[[#This Row],[BatchMeansHalfWidth]])</f>
        <v>0.31104636929981899</v>
      </c>
      <c r="X346" s="5" cm="1">
        <f t="array" ref="X346">COUNT(IF((DiscreteStatsTable[GroupByKey]=DiscreteStatsTable[[#This Row],[GroupByKey]]),(DiscreteStatsTable[GroupByKey]=DiscreteStatsTable[[#This Row],[GroupByKey]])*DiscreteStatsTable[Replication]))</f>
        <v>50</v>
      </c>
      <c r="Y346" s="5">
        <f>IF(DiscreteStatsTable[[#This Row],[RepsRequested]]=DiscreteStatsTable[[#This Row],[RepsWithStatObserved]],1,0)</f>
        <v>1</v>
      </c>
    </row>
    <row r="347" spans="1:25" x14ac:dyDescent="0.35">
      <c r="A347" t="s">
        <v>66</v>
      </c>
      <c r="B347" t="s">
        <v>69</v>
      </c>
      <c r="C347">
        <v>46</v>
      </c>
      <c r="D347" t="s">
        <v>78</v>
      </c>
      <c r="E347" t="s">
        <v>79</v>
      </c>
      <c r="F347" t="s">
        <v>80</v>
      </c>
      <c r="G347">
        <v>0</v>
      </c>
      <c r="H347">
        <v>2E+20</v>
      </c>
      <c r="I347">
        <v>0</v>
      </c>
      <c r="J347">
        <v>0</v>
      </c>
      <c r="K347">
        <v>3</v>
      </c>
      <c r="L347" s="5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47" s="5" cm="1">
        <f t="array" ref="M347">MAX(IF((ProjectInfoTable[ProjectName]=DiscreteStatsTable[[#This Row],[ProjectName]]),(ProjectInfoTable[ProjectName]=DiscreteStatsTable[[#This Row],[ProjectName]])*ProjectInfoTable[NumberOfReplications]))</f>
        <v>50</v>
      </c>
      <c r="N347" s="5" cm="1">
        <f t="array" ref="N347">IFERROR(AVERAGE(IF((DiscreteStatsTable[GroupByKey]=DiscreteStatsTable[[#This Row],[GroupByKey]]),(DiscreteStatsTable[GroupByKey]=DiscreteStatsTable[[#This Row],[GroupByKey]])*DiscreteStatsTable[Average])),0)</f>
        <v>1.6032171272413107</v>
      </c>
      <c r="O347" s="5" cm="1">
        <f t="array" ref="O347">IFERROR(_xlfn.STDEV.S(IF((DiscreteStatsTable[GroupByKey]=DiscreteStatsTable[[#This Row],[GroupByKey]]),(DiscreteStatsTable[GroupByKey]=DiscreteStatsTable[[#This Row],[GroupByKey]])*DiscreteStatsTable[Average])),0)</f>
        <v>1.0944750558807383</v>
      </c>
      <c r="P347" s="5" cm="1">
        <f t="array" ref="P347">MAX(IF((ProjectInfoTable[ProjectName]=DiscreteStatsTable[[#This Row],[ProjectName]]),(ProjectInfoTable[ProjectName]=DiscreteStatsTable[[#This Row],[ProjectName]])*ProjectInfoTable[ConfidenceInterval]))</f>
        <v>0.95</v>
      </c>
      <c r="Q347" s="5">
        <f>IF(AND(DiscreteStatsTable[[#This Row],[RepsWithStatObserved]]=1,Y347=0),200000000000000000000,IFERROR(_xlfn.T.INV.2T(1 -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0.31104636929981899</v>
      </c>
      <c r="R347" s="5" cm="1">
        <f t="array" ref="R347">MIN(IF((DiscreteStatsTable[GroupByKey]=DiscreteStatsTable[[#This Row],[GroupByKey]]),(DiscreteStatsTable[GroupByKey]=DiscreteStatsTable[[#This Row],[GroupByKey]])*DiscreteStatsTable[Average]))</f>
        <v>0</v>
      </c>
      <c r="S347" s="5" cm="1">
        <f t="array" ref="S347">MAX(IF((DiscreteStatsTable[GroupByKey]=DiscreteStatsTable[[#This Row],[GroupByKey]]),(DiscreteStatsTable[GroupByKey]=DiscreteStatsTable[[#This Row],[GroupByKey]])*DiscreteStatsTable[Average]))</f>
        <v>3.8977138394719901</v>
      </c>
      <c r="T347" s="5" cm="1">
        <f t="array" ref="T347">MIN(IF((DiscreteStatsTable[GroupByKey]=DiscreteStatsTable[[#This Row],[GroupByKey]]),(DiscreteStatsTable[GroupByKey]=DiscreteStatsTable[[#This Row],[GroupByKey]])*DiscreteStatsTable[Minimum]))</f>
        <v>0</v>
      </c>
      <c r="U347" s="5" cm="1">
        <f t="array" ref="U347">MAX(IF((DiscreteStatsTable[GroupByKey]=DiscreteStatsTable[[#This Row],[GroupByKey]]),(DiscreteStatsTable[GroupByKey]=DiscreteStatsTable[[#This Row],[GroupByKey]])*DiscreteStatsTable[Maximum]))</f>
        <v>7.95545419566559</v>
      </c>
      <c r="V347" s="5" cm="1">
        <f t="array" ref="V347">IFERROR(AVERAGE(IF((DiscreteStatsTable[GroupByKey]=DiscreteStatsTable[[#This Row],[GroupByKey]]),(DiscreteStatsTable[GroupByKey]=DiscreteStatsTable[[#This Row],[GroupByKey]])*DiscreteStatsTable[NumberObservations])),0)</f>
        <v>4.58</v>
      </c>
      <c r="W347" s="5">
        <f>IF((DiscreteStatsTable[[#This Row],[RepsRequested]]&gt;1),DiscreteStatsTable[[#This Row],[HalfWidth]],DiscreteStatsTable[[#This Row],[BatchMeansHalfWidth]])</f>
        <v>0.31104636929981899</v>
      </c>
      <c r="X347" s="5" cm="1">
        <f t="array" ref="X347">COUNT(IF((DiscreteStatsTable[GroupByKey]=DiscreteStatsTable[[#This Row],[GroupByKey]]),(DiscreteStatsTable[GroupByKey]=DiscreteStatsTable[[#This Row],[GroupByKey]])*DiscreteStatsTable[Replication]))</f>
        <v>50</v>
      </c>
      <c r="Y347" s="5">
        <f>IF(DiscreteStatsTable[[#This Row],[RepsRequested]]=DiscreteStatsTable[[#This Row],[RepsWithStatObserved]],1,0)</f>
        <v>1</v>
      </c>
    </row>
    <row r="348" spans="1:25" x14ac:dyDescent="0.35">
      <c r="A348" t="s">
        <v>66</v>
      </c>
      <c r="B348" t="s">
        <v>69</v>
      </c>
      <c r="C348">
        <v>47</v>
      </c>
      <c r="D348" t="s">
        <v>78</v>
      </c>
      <c r="E348" t="s">
        <v>79</v>
      </c>
      <c r="F348" t="s">
        <v>80</v>
      </c>
      <c r="G348">
        <v>1.82564731348502</v>
      </c>
      <c r="H348">
        <v>2E+20</v>
      </c>
      <c r="I348">
        <v>0</v>
      </c>
      <c r="J348">
        <v>2.8479851080306702</v>
      </c>
      <c r="K348">
        <v>5</v>
      </c>
      <c r="L348" s="5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48" s="5" cm="1">
        <f t="array" ref="M348">MAX(IF((ProjectInfoTable[ProjectName]=DiscreteStatsTable[[#This Row],[ProjectName]]),(ProjectInfoTable[ProjectName]=DiscreteStatsTable[[#This Row],[ProjectName]])*ProjectInfoTable[NumberOfReplications]))</f>
        <v>50</v>
      </c>
      <c r="N348" s="5" cm="1">
        <f t="array" ref="N348">IFERROR(AVERAGE(IF((DiscreteStatsTable[GroupByKey]=DiscreteStatsTable[[#This Row],[GroupByKey]]),(DiscreteStatsTable[GroupByKey]=DiscreteStatsTable[[#This Row],[GroupByKey]])*DiscreteStatsTable[Average])),0)</f>
        <v>1.6032171272413107</v>
      </c>
      <c r="O348" s="5" cm="1">
        <f t="array" ref="O348">IFERROR(_xlfn.STDEV.S(IF((DiscreteStatsTable[GroupByKey]=DiscreteStatsTable[[#This Row],[GroupByKey]]),(DiscreteStatsTable[GroupByKey]=DiscreteStatsTable[[#This Row],[GroupByKey]])*DiscreteStatsTable[Average])),0)</f>
        <v>1.0944750558807383</v>
      </c>
      <c r="P348" s="5" cm="1">
        <f t="array" ref="P348">MAX(IF((ProjectInfoTable[ProjectName]=DiscreteStatsTable[[#This Row],[ProjectName]]),(ProjectInfoTable[ProjectName]=DiscreteStatsTable[[#This Row],[ProjectName]])*ProjectInfoTable[ConfidenceInterval]))</f>
        <v>0.95</v>
      </c>
      <c r="Q348" s="5">
        <f>IF(AND(DiscreteStatsTable[[#This Row],[RepsWithStatObserved]]=1,Y348=0),200000000000000000000,IFERROR(_xlfn.T.INV.2T(1 -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0.31104636929981899</v>
      </c>
      <c r="R348" s="5" cm="1">
        <f t="array" ref="R348">MIN(IF((DiscreteStatsTable[GroupByKey]=DiscreteStatsTable[[#This Row],[GroupByKey]]),(DiscreteStatsTable[GroupByKey]=DiscreteStatsTable[[#This Row],[GroupByKey]])*DiscreteStatsTable[Average]))</f>
        <v>0</v>
      </c>
      <c r="S348" s="5" cm="1">
        <f t="array" ref="S348">MAX(IF((DiscreteStatsTable[GroupByKey]=DiscreteStatsTable[[#This Row],[GroupByKey]]),(DiscreteStatsTable[GroupByKey]=DiscreteStatsTable[[#This Row],[GroupByKey]])*DiscreteStatsTable[Average]))</f>
        <v>3.8977138394719901</v>
      </c>
      <c r="T348" s="5" cm="1">
        <f t="array" ref="T348">MIN(IF((DiscreteStatsTable[GroupByKey]=DiscreteStatsTable[[#This Row],[GroupByKey]]),(DiscreteStatsTable[GroupByKey]=DiscreteStatsTable[[#This Row],[GroupByKey]])*DiscreteStatsTable[Minimum]))</f>
        <v>0</v>
      </c>
      <c r="U348" s="5" cm="1">
        <f t="array" ref="U348">MAX(IF((DiscreteStatsTable[GroupByKey]=DiscreteStatsTable[[#This Row],[GroupByKey]]),(DiscreteStatsTable[GroupByKey]=DiscreteStatsTable[[#This Row],[GroupByKey]])*DiscreteStatsTable[Maximum]))</f>
        <v>7.95545419566559</v>
      </c>
      <c r="V348" s="5" cm="1">
        <f t="array" ref="V348">IFERROR(AVERAGE(IF((DiscreteStatsTable[GroupByKey]=DiscreteStatsTable[[#This Row],[GroupByKey]]),(DiscreteStatsTable[GroupByKey]=DiscreteStatsTable[[#This Row],[GroupByKey]])*DiscreteStatsTable[NumberObservations])),0)</f>
        <v>4.58</v>
      </c>
      <c r="W348" s="5">
        <f>IF((DiscreteStatsTable[[#This Row],[RepsRequested]]&gt;1),DiscreteStatsTable[[#This Row],[HalfWidth]],DiscreteStatsTable[[#This Row],[BatchMeansHalfWidth]])</f>
        <v>0.31104636929981899</v>
      </c>
      <c r="X348" s="5" cm="1">
        <f t="array" ref="X348">COUNT(IF((DiscreteStatsTable[GroupByKey]=DiscreteStatsTable[[#This Row],[GroupByKey]]),(DiscreteStatsTable[GroupByKey]=DiscreteStatsTable[[#This Row],[GroupByKey]])*DiscreteStatsTable[Replication]))</f>
        <v>50</v>
      </c>
      <c r="Y348" s="5">
        <f>IF(DiscreteStatsTable[[#This Row],[RepsRequested]]=DiscreteStatsTable[[#This Row],[RepsWithStatObserved]],1,0)</f>
        <v>1</v>
      </c>
    </row>
    <row r="349" spans="1:25" x14ac:dyDescent="0.35">
      <c r="A349" t="s">
        <v>66</v>
      </c>
      <c r="B349" t="s">
        <v>69</v>
      </c>
      <c r="C349">
        <v>48</v>
      </c>
      <c r="D349" t="s">
        <v>78</v>
      </c>
      <c r="E349" t="s">
        <v>79</v>
      </c>
      <c r="F349" t="s">
        <v>80</v>
      </c>
      <c r="G349">
        <v>2.7747811846448802</v>
      </c>
      <c r="H349">
        <v>2E+20</v>
      </c>
      <c r="I349">
        <v>0</v>
      </c>
      <c r="J349">
        <v>5.4025842711972398</v>
      </c>
      <c r="K349">
        <v>4</v>
      </c>
      <c r="L349" s="5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49" s="5" cm="1">
        <f t="array" ref="M349">MAX(IF((ProjectInfoTable[ProjectName]=DiscreteStatsTable[[#This Row],[ProjectName]]),(ProjectInfoTable[ProjectName]=DiscreteStatsTable[[#This Row],[ProjectName]])*ProjectInfoTable[NumberOfReplications]))</f>
        <v>50</v>
      </c>
      <c r="N349" s="5" cm="1">
        <f t="array" ref="N349">IFERROR(AVERAGE(IF((DiscreteStatsTable[GroupByKey]=DiscreteStatsTable[[#This Row],[GroupByKey]]),(DiscreteStatsTable[GroupByKey]=DiscreteStatsTable[[#This Row],[GroupByKey]])*DiscreteStatsTable[Average])),0)</f>
        <v>1.6032171272413107</v>
      </c>
      <c r="O349" s="5" cm="1">
        <f t="array" ref="O349">IFERROR(_xlfn.STDEV.S(IF((DiscreteStatsTable[GroupByKey]=DiscreteStatsTable[[#This Row],[GroupByKey]]),(DiscreteStatsTable[GroupByKey]=DiscreteStatsTable[[#This Row],[GroupByKey]])*DiscreteStatsTable[Average])),0)</f>
        <v>1.0944750558807383</v>
      </c>
      <c r="P349" s="5" cm="1">
        <f t="array" ref="P349">MAX(IF((ProjectInfoTable[ProjectName]=DiscreteStatsTable[[#This Row],[ProjectName]]),(ProjectInfoTable[ProjectName]=DiscreteStatsTable[[#This Row],[ProjectName]])*ProjectInfoTable[ConfidenceInterval]))</f>
        <v>0.95</v>
      </c>
      <c r="Q349" s="5">
        <f>IF(AND(DiscreteStatsTable[[#This Row],[RepsWithStatObserved]]=1,Y349=0),200000000000000000000,IFERROR(_xlfn.T.INV.2T(1 -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0.31104636929981899</v>
      </c>
      <c r="R349" s="5" cm="1">
        <f t="array" ref="R349">MIN(IF((DiscreteStatsTable[GroupByKey]=DiscreteStatsTable[[#This Row],[GroupByKey]]),(DiscreteStatsTable[GroupByKey]=DiscreteStatsTable[[#This Row],[GroupByKey]])*DiscreteStatsTable[Average]))</f>
        <v>0</v>
      </c>
      <c r="S349" s="5" cm="1">
        <f t="array" ref="S349">MAX(IF((DiscreteStatsTable[GroupByKey]=DiscreteStatsTable[[#This Row],[GroupByKey]]),(DiscreteStatsTable[GroupByKey]=DiscreteStatsTable[[#This Row],[GroupByKey]])*DiscreteStatsTable[Average]))</f>
        <v>3.8977138394719901</v>
      </c>
      <c r="T349" s="5" cm="1">
        <f t="array" ref="T349">MIN(IF((DiscreteStatsTable[GroupByKey]=DiscreteStatsTable[[#This Row],[GroupByKey]]),(DiscreteStatsTable[GroupByKey]=DiscreteStatsTable[[#This Row],[GroupByKey]])*DiscreteStatsTable[Minimum]))</f>
        <v>0</v>
      </c>
      <c r="U349" s="5" cm="1">
        <f t="array" ref="U349">MAX(IF((DiscreteStatsTable[GroupByKey]=DiscreteStatsTable[[#This Row],[GroupByKey]]),(DiscreteStatsTable[GroupByKey]=DiscreteStatsTable[[#This Row],[GroupByKey]])*DiscreteStatsTable[Maximum]))</f>
        <v>7.95545419566559</v>
      </c>
      <c r="V349" s="5" cm="1">
        <f t="array" ref="V349">IFERROR(AVERAGE(IF((DiscreteStatsTable[GroupByKey]=DiscreteStatsTable[[#This Row],[GroupByKey]]),(DiscreteStatsTable[GroupByKey]=DiscreteStatsTable[[#This Row],[GroupByKey]])*DiscreteStatsTable[NumberObservations])),0)</f>
        <v>4.58</v>
      </c>
      <c r="W349" s="5">
        <f>IF((DiscreteStatsTable[[#This Row],[RepsRequested]]&gt;1),DiscreteStatsTable[[#This Row],[HalfWidth]],DiscreteStatsTable[[#This Row],[BatchMeansHalfWidth]])</f>
        <v>0.31104636929981899</v>
      </c>
      <c r="X349" s="5" cm="1">
        <f t="array" ref="X349">COUNT(IF((DiscreteStatsTable[GroupByKey]=DiscreteStatsTable[[#This Row],[GroupByKey]]),(DiscreteStatsTable[GroupByKey]=DiscreteStatsTable[[#This Row],[GroupByKey]])*DiscreteStatsTable[Replication]))</f>
        <v>50</v>
      </c>
      <c r="Y349" s="5">
        <f>IF(DiscreteStatsTable[[#This Row],[RepsRequested]]=DiscreteStatsTable[[#This Row],[RepsWithStatObserved]],1,0)</f>
        <v>1</v>
      </c>
    </row>
    <row r="350" spans="1:25" x14ac:dyDescent="0.35">
      <c r="A350" t="s">
        <v>66</v>
      </c>
      <c r="B350" t="s">
        <v>69</v>
      </c>
      <c r="C350">
        <v>49</v>
      </c>
      <c r="D350" t="s">
        <v>78</v>
      </c>
      <c r="E350" t="s">
        <v>79</v>
      </c>
      <c r="F350" t="s">
        <v>80</v>
      </c>
      <c r="G350">
        <v>0.38072968151783398</v>
      </c>
      <c r="H350">
        <v>2E+20</v>
      </c>
      <c r="I350">
        <v>0</v>
      </c>
      <c r="J350">
        <v>1.5229187260713399</v>
      </c>
      <c r="K350">
        <v>4</v>
      </c>
      <c r="L350" s="5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50" s="5" cm="1">
        <f t="array" ref="M350">MAX(IF((ProjectInfoTable[ProjectName]=DiscreteStatsTable[[#This Row],[ProjectName]]),(ProjectInfoTable[ProjectName]=DiscreteStatsTable[[#This Row],[ProjectName]])*ProjectInfoTable[NumberOfReplications]))</f>
        <v>50</v>
      </c>
      <c r="N350" s="5" cm="1">
        <f t="array" ref="N350">IFERROR(AVERAGE(IF((DiscreteStatsTable[GroupByKey]=DiscreteStatsTable[[#This Row],[GroupByKey]]),(DiscreteStatsTable[GroupByKey]=DiscreteStatsTable[[#This Row],[GroupByKey]])*DiscreteStatsTable[Average])),0)</f>
        <v>1.6032171272413107</v>
      </c>
      <c r="O350" s="5" cm="1">
        <f t="array" ref="O350">IFERROR(_xlfn.STDEV.S(IF((DiscreteStatsTable[GroupByKey]=DiscreteStatsTable[[#This Row],[GroupByKey]]),(DiscreteStatsTable[GroupByKey]=DiscreteStatsTable[[#This Row],[GroupByKey]])*DiscreteStatsTable[Average])),0)</f>
        <v>1.0944750558807383</v>
      </c>
      <c r="P350" s="5" cm="1">
        <f t="array" ref="P350">MAX(IF((ProjectInfoTable[ProjectName]=DiscreteStatsTable[[#This Row],[ProjectName]]),(ProjectInfoTable[ProjectName]=DiscreteStatsTable[[#This Row],[ProjectName]])*ProjectInfoTable[ConfidenceInterval]))</f>
        <v>0.95</v>
      </c>
      <c r="Q350" s="5">
        <f>IF(AND(DiscreteStatsTable[[#This Row],[RepsWithStatObserved]]=1,Y350=0),200000000000000000000,IFERROR(_xlfn.T.INV.2T(1 -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0.31104636929981899</v>
      </c>
      <c r="R350" s="5" cm="1">
        <f t="array" ref="R350">MIN(IF((DiscreteStatsTable[GroupByKey]=DiscreteStatsTable[[#This Row],[GroupByKey]]),(DiscreteStatsTable[GroupByKey]=DiscreteStatsTable[[#This Row],[GroupByKey]])*DiscreteStatsTable[Average]))</f>
        <v>0</v>
      </c>
      <c r="S350" s="5" cm="1">
        <f t="array" ref="S350">MAX(IF((DiscreteStatsTable[GroupByKey]=DiscreteStatsTable[[#This Row],[GroupByKey]]),(DiscreteStatsTable[GroupByKey]=DiscreteStatsTable[[#This Row],[GroupByKey]])*DiscreteStatsTable[Average]))</f>
        <v>3.8977138394719901</v>
      </c>
      <c r="T350" s="5" cm="1">
        <f t="array" ref="T350">MIN(IF((DiscreteStatsTable[GroupByKey]=DiscreteStatsTable[[#This Row],[GroupByKey]]),(DiscreteStatsTable[GroupByKey]=DiscreteStatsTable[[#This Row],[GroupByKey]])*DiscreteStatsTable[Minimum]))</f>
        <v>0</v>
      </c>
      <c r="U350" s="5" cm="1">
        <f t="array" ref="U350">MAX(IF((DiscreteStatsTable[GroupByKey]=DiscreteStatsTable[[#This Row],[GroupByKey]]),(DiscreteStatsTable[GroupByKey]=DiscreteStatsTable[[#This Row],[GroupByKey]])*DiscreteStatsTable[Maximum]))</f>
        <v>7.95545419566559</v>
      </c>
      <c r="V350" s="5" cm="1">
        <f t="array" ref="V350">IFERROR(AVERAGE(IF((DiscreteStatsTable[GroupByKey]=DiscreteStatsTable[[#This Row],[GroupByKey]]),(DiscreteStatsTable[GroupByKey]=DiscreteStatsTable[[#This Row],[GroupByKey]])*DiscreteStatsTable[NumberObservations])),0)</f>
        <v>4.58</v>
      </c>
      <c r="W350" s="5">
        <f>IF((DiscreteStatsTable[[#This Row],[RepsRequested]]&gt;1),DiscreteStatsTable[[#This Row],[HalfWidth]],DiscreteStatsTable[[#This Row],[BatchMeansHalfWidth]])</f>
        <v>0.31104636929981899</v>
      </c>
      <c r="X350" s="5" cm="1">
        <f t="array" ref="X350">COUNT(IF((DiscreteStatsTable[GroupByKey]=DiscreteStatsTable[[#This Row],[GroupByKey]]),(DiscreteStatsTable[GroupByKey]=DiscreteStatsTable[[#This Row],[GroupByKey]])*DiscreteStatsTable[Replication]))</f>
        <v>50</v>
      </c>
      <c r="Y350" s="5">
        <f>IF(DiscreteStatsTable[[#This Row],[RepsRequested]]=DiscreteStatsTable[[#This Row],[RepsWithStatObserved]],1,0)</f>
        <v>1</v>
      </c>
    </row>
    <row r="351" spans="1:25" x14ac:dyDescent="0.35">
      <c r="A351" t="s">
        <v>66</v>
      </c>
      <c r="B351" t="s">
        <v>69</v>
      </c>
      <c r="C351">
        <v>50</v>
      </c>
      <c r="D351" t="s">
        <v>78</v>
      </c>
      <c r="E351" t="s">
        <v>79</v>
      </c>
      <c r="F351" t="s">
        <v>80</v>
      </c>
      <c r="G351">
        <v>0.78484058479294405</v>
      </c>
      <c r="H351">
        <v>2E+20</v>
      </c>
      <c r="I351">
        <v>0</v>
      </c>
      <c r="J351">
        <v>2.0744610518378601</v>
      </c>
      <c r="K351">
        <v>5</v>
      </c>
      <c r="L351" s="5" t="str">
        <f>DiscreteStatsTable[[#This Row],[ProjectName]]&amp;DiscreteStatsTable[[#This Row],[Name]]&amp;DiscreteStatsTable[[#This Row],[Type]]&amp;DiscreteStatsTable[[#This Row],[Source]]</f>
        <v>Unnamed ProjectEdicao.QueueWaiting TimeQueue</v>
      </c>
      <c r="M351" s="5" cm="1">
        <f t="array" ref="M351">MAX(IF((ProjectInfoTable[ProjectName]=DiscreteStatsTable[[#This Row],[ProjectName]]),(ProjectInfoTable[ProjectName]=DiscreteStatsTable[[#This Row],[ProjectName]])*ProjectInfoTable[NumberOfReplications]))</f>
        <v>50</v>
      </c>
      <c r="N351" s="5" cm="1">
        <f t="array" ref="N351">IFERROR(AVERAGE(IF((DiscreteStatsTable[GroupByKey]=DiscreteStatsTable[[#This Row],[GroupByKey]]),(DiscreteStatsTable[GroupByKey]=DiscreteStatsTable[[#This Row],[GroupByKey]])*DiscreteStatsTable[Average])),0)</f>
        <v>1.6032171272413107</v>
      </c>
      <c r="O351" s="5" cm="1">
        <f t="array" ref="O351">IFERROR(_xlfn.STDEV.S(IF((DiscreteStatsTable[GroupByKey]=DiscreteStatsTable[[#This Row],[GroupByKey]]),(DiscreteStatsTable[GroupByKey]=DiscreteStatsTable[[#This Row],[GroupByKey]])*DiscreteStatsTable[Average])),0)</f>
        <v>1.0944750558807383</v>
      </c>
      <c r="P351" s="5" cm="1">
        <f t="array" ref="P351">MAX(IF((ProjectInfoTable[ProjectName]=DiscreteStatsTable[[#This Row],[ProjectName]]),(ProjectInfoTable[ProjectName]=DiscreteStatsTable[[#This Row],[ProjectName]])*ProjectInfoTable[ConfidenceInterval]))</f>
        <v>0.95</v>
      </c>
      <c r="Q351" s="5">
        <f>IF(AND(DiscreteStatsTable[[#This Row],[RepsWithStatObserved]]=1,Y351=0),200000000000000000000,IFERROR(_xlfn.T.INV.2T(1 -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0.31104636929981899</v>
      </c>
      <c r="R351" s="5" cm="1">
        <f t="array" ref="R351">MIN(IF((DiscreteStatsTable[GroupByKey]=DiscreteStatsTable[[#This Row],[GroupByKey]]),(DiscreteStatsTable[GroupByKey]=DiscreteStatsTable[[#This Row],[GroupByKey]])*DiscreteStatsTable[Average]))</f>
        <v>0</v>
      </c>
      <c r="S351" s="5" cm="1">
        <f t="array" ref="S351">MAX(IF((DiscreteStatsTable[GroupByKey]=DiscreteStatsTable[[#This Row],[GroupByKey]]),(DiscreteStatsTable[GroupByKey]=DiscreteStatsTable[[#This Row],[GroupByKey]])*DiscreteStatsTable[Average]))</f>
        <v>3.8977138394719901</v>
      </c>
      <c r="T351" s="5" cm="1">
        <f t="array" ref="T351">MIN(IF((DiscreteStatsTable[GroupByKey]=DiscreteStatsTable[[#This Row],[GroupByKey]]),(DiscreteStatsTable[GroupByKey]=DiscreteStatsTable[[#This Row],[GroupByKey]])*DiscreteStatsTable[Minimum]))</f>
        <v>0</v>
      </c>
      <c r="U351" s="5" cm="1">
        <f t="array" ref="U351">MAX(IF((DiscreteStatsTable[GroupByKey]=DiscreteStatsTable[[#This Row],[GroupByKey]]),(DiscreteStatsTable[GroupByKey]=DiscreteStatsTable[[#This Row],[GroupByKey]])*DiscreteStatsTable[Maximum]))</f>
        <v>7.95545419566559</v>
      </c>
      <c r="V351" s="5" cm="1">
        <f t="array" ref="V351">IFERROR(AVERAGE(IF((DiscreteStatsTable[GroupByKey]=DiscreteStatsTable[[#This Row],[GroupByKey]]),(DiscreteStatsTable[GroupByKey]=DiscreteStatsTable[[#This Row],[GroupByKey]])*DiscreteStatsTable[NumberObservations])),0)</f>
        <v>4.58</v>
      </c>
      <c r="W351" s="5">
        <f>IF((DiscreteStatsTable[[#This Row],[RepsRequested]]&gt;1),DiscreteStatsTable[[#This Row],[HalfWidth]],DiscreteStatsTable[[#This Row],[BatchMeansHalfWidth]])</f>
        <v>0.31104636929981899</v>
      </c>
      <c r="X351" s="5" cm="1">
        <f t="array" ref="X351">COUNT(IF((DiscreteStatsTable[GroupByKey]=DiscreteStatsTable[[#This Row],[GroupByKey]]),(DiscreteStatsTable[GroupByKey]=DiscreteStatsTable[[#This Row],[GroupByKey]])*DiscreteStatsTable[Replication]))</f>
        <v>50</v>
      </c>
      <c r="Y351" s="5">
        <f>IF(DiscreteStatsTable[[#This Row],[RepsRequested]]=DiscreteStatsTable[[#This Row],[RepsWithStatObserved]],1,0)</f>
        <v>1</v>
      </c>
    </row>
  </sheetData>
  <phoneticPr fontId="2" type="noConversion"/>
  <conditionalFormatting sqref="H2:H351 Q2:Q351">
    <cfRule type="expression" dxfId="20" priority="23">
      <formula>H2=200000000000000000000</formula>
    </cfRule>
  </conditionalFormatting>
  <conditionalFormatting sqref="H2:H351">
    <cfRule type="expression" dxfId="19" priority="21">
      <formula>H2=300000000000000000000</formula>
    </cfRule>
  </conditionalFormatting>
  <conditionalFormatting sqref="L2:Y351">
    <cfRule type="expression" dxfId="18" priority="19">
      <formula>MOD(ROW(),2)=0</formula>
    </cfRule>
  </conditionalFormatting>
  <conditionalFormatting sqref="Y2:Y351">
    <cfRule type="expression" dxfId="17" priority="14">
      <formula>Y2=0</formula>
    </cfRule>
    <cfRule type="expression" dxfId="16" priority="16">
      <formula>Y2=1</formula>
    </cfRule>
  </conditionalFormatting>
  <conditionalFormatting sqref="Y3:Y351">
    <cfRule type="expression" dxfId="15" priority="15">
      <formula>Y3=1</formula>
    </cfRule>
  </conditionalFormatting>
  <conditionalFormatting sqref="W2:W351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351 W2:W351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251"/>
  <sheetViews>
    <sheetView workbookViewId="0">
      <selection activeCell="A2" sqref="A2:L1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4" width="12.36328125" bestFit="1" customWidth="1"/>
    <col min="5" max="5" width="21.81640625" bestFit="1" customWidth="1"/>
    <col min="6" max="6" width="8.7265625" bestFit="1" customWidth="1"/>
    <col min="7" max="7" width="11.81640625" bestFit="1" customWidth="1"/>
    <col min="8" max="8" width="22.1796875" bestFit="1" customWidth="1"/>
    <col min="9" max="9" width="11.1796875" bestFit="1" customWidth="1"/>
    <col min="10" max="10" width="11.54296875" bestFit="1" customWidth="1"/>
    <col min="11" max="11" width="19.26953125" bestFit="1" customWidth="1"/>
    <col min="12" max="12" width="11.1796875" bestFit="1" customWidth="1"/>
    <col min="13" max="13" width="52.54296875" bestFit="1" customWidth="1"/>
    <col min="14" max="14" width="16.08984375" bestFit="1" customWidth="1"/>
    <col min="15" max="15" width="18.6328125" bestFit="1" customWidth="1"/>
    <col min="16" max="16" width="16.7265625" bestFit="1" customWidth="1"/>
    <col min="17" max="17" width="19" bestFit="1" customWidth="1"/>
    <col min="18" max="18" width="11.81640625" bestFit="1" customWidth="1"/>
    <col min="19" max="19" width="18" bestFit="1" customWidth="1"/>
    <col min="20" max="20" width="18.36328125" bestFit="1" customWidth="1"/>
    <col min="21" max="21" width="19.7265625" bestFit="1" customWidth="1"/>
    <col min="22" max="22" width="20" bestFit="1" customWidth="1"/>
  </cols>
  <sheetData>
    <row r="1" spans="1:21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5">
      <c r="A2" t="s">
        <v>66</v>
      </c>
      <c r="B2" t="s">
        <v>69</v>
      </c>
      <c r="C2">
        <v>1</v>
      </c>
      <c r="D2" t="s">
        <v>70</v>
      </c>
      <c r="E2" t="s">
        <v>81</v>
      </c>
      <c r="F2" t="s">
        <v>72</v>
      </c>
      <c r="G2">
        <v>3.3961857067838102</v>
      </c>
      <c r="H2">
        <v>2E+20</v>
      </c>
      <c r="I2">
        <v>0</v>
      </c>
      <c r="J2">
        <v>5</v>
      </c>
      <c r="K2">
        <v>4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50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2.1996658161417075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1.1994598865431718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0.34088272804883424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0.70499985227053297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6.3083923025689197</v>
      </c>
      <c r="U2">
        <f>IF((ContinuousStatsTable[[#This Row],[RepsRequested]]&gt;1),ContinuousStatsTable[[#This Row],[HalfWidth]],ContinuousStatsTable[[#This Row],[BatchMeansHalfWidth]])</f>
        <v>0.34088272804883424</v>
      </c>
    </row>
    <row r="3" spans="1:21" x14ac:dyDescent="0.35">
      <c r="A3" t="s">
        <v>66</v>
      </c>
      <c r="B3" t="s">
        <v>69</v>
      </c>
      <c r="C3">
        <v>1</v>
      </c>
      <c r="D3" t="s">
        <v>78</v>
      </c>
      <c r="E3" t="s">
        <v>82</v>
      </c>
      <c r="F3" t="s">
        <v>80</v>
      </c>
      <c r="G3">
        <v>2.3961857067838102</v>
      </c>
      <c r="H3">
        <v>2E+20</v>
      </c>
      <c r="I3">
        <v>0</v>
      </c>
      <c r="J3">
        <v>4</v>
      </c>
      <c r="K3">
        <v>3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50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1.2732860367273062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1.137870000737736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0.32337907617258832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5.3083923025689197</v>
      </c>
      <c r="U3">
        <f>IF((ContinuousStatsTable[[#This Row],[RepsRequested]]&gt;1),ContinuousStatsTable[[#This Row],[HalfWidth]],ContinuousStatsTable[[#This Row],[BatchMeansHalfWidth]])</f>
        <v>0.32337907617258832</v>
      </c>
    </row>
    <row r="4" spans="1:21" x14ac:dyDescent="0.35">
      <c r="A4" t="s">
        <v>66</v>
      </c>
      <c r="B4" t="s">
        <v>69</v>
      </c>
      <c r="C4">
        <v>1</v>
      </c>
      <c r="D4" t="s">
        <v>83</v>
      </c>
      <c r="E4" t="s">
        <v>84</v>
      </c>
      <c r="F4" t="s">
        <v>85</v>
      </c>
      <c r="G4">
        <v>1</v>
      </c>
      <c r="H4">
        <v>2E+20</v>
      </c>
      <c r="I4">
        <v>0</v>
      </c>
      <c r="J4">
        <v>1</v>
      </c>
      <c r="K4">
        <v>1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50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0.60846830422583797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1</v>
      </c>
      <c r="U4">
        <f>IF((ContinuousStatsTable[[#This Row],[RepsRequested]]&gt;1),ContinuousStatsTable[[#This Row],[HalfWidth]],ContinuousStatsTable[[#This Row],[BatchMeansHalfWidth]])</f>
        <v>3.350588705034975E-2</v>
      </c>
    </row>
    <row r="5" spans="1:21" x14ac:dyDescent="0.35">
      <c r="A5" t="s">
        <v>66</v>
      </c>
      <c r="B5" t="s">
        <v>69</v>
      </c>
      <c r="C5">
        <v>1</v>
      </c>
      <c r="D5" t="s">
        <v>83</v>
      </c>
      <c r="E5" t="s">
        <v>86</v>
      </c>
      <c r="F5" t="s">
        <v>85</v>
      </c>
      <c r="G5">
        <v>1</v>
      </c>
      <c r="H5">
        <v>2E+20</v>
      </c>
      <c r="I5">
        <v>0</v>
      </c>
      <c r="J5">
        <v>1</v>
      </c>
      <c r="K5">
        <v>1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50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0.60846830422583797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1</v>
      </c>
      <c r="U5">
        <f>IF((ContinuousStatsTable[[#This Row],[RepsRequested]]&gt;1),ContinuousStatsTable[[#This Row],[HalfWidth]],ContinuousStatsTable[[#This Row],[BatchMeansHalfWidth]])</f>
        <v>3.350588705034975E-2</v>
      </c>
    </row>
    <row r="6" spans="1:21" x14ac:dyDescent="0.35">
      <c r="A6" t="s">
        <v>66</v>
      </c>
      <c r="B6" t="s">
        <v>69</v>
      </c>
      <c r="C6">
        <v>1</v>
      </c>
      <c r="D6" t="s">
        <v>83</v>
      </c>
      <c r="E6" t="s">
        <v>87</v>
      </c>
      <c r="F6" t="s">
        <v>85</v>
      </c>
      <c r="G6">
        <v>1</v>
      </c>
      <c r="H6">
        <v>2E+20</v>
      </c>
      <c r="I6">
        <v>1</v>
      </c>
      <c r="J6">
        <v>1</v>
      </c>
      <c r="K6">
        <v>1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50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1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1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1</v>
      </c>
      <c r="U6">
        <f>IF((ContinuousStatsTable[[#This Row],[RepsRequested]]&gt;1),ContinuousStatsTable[[#This Row],[HalfWidth]],ContinuousStatsTable[[#This Row],[BatchMeansHalfWidth]])</f>
        <v>0</v>
      </c>
    </row>
    <row r="7" spans="1:21" x14ac:dyDescent="0.35">
      <c r="A7" t="s">
        <v>66</v>
      </c>
      <c r="B7" t="s">
        <v>69</v>
      </c>
      <c r="C7">
        <v>2</v>
      </c>
      <c r="D7" t="s">
        <v>70</v>
      </c>
      <c r="E7" t="s">
        <v>81</v>
      </c>
      <c r="F7" t="s">
        <v>72</v>
      </c>
      <c r="G7">
        <v>3.0477917498002398</v>
      </c>
      <c r="H7">
        <v>2E+20</v>
      </c>
      <c r="I7">
        <v>0</v>
      </c>
      <c r="J7">
        <v>5</v>
      </c>
      <c r="K7">
        <v>4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50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2.1996658161417075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1.1994598865431718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0.34088272804883424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0.70499985227053297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6.3083923025689197</v>
      </c>
      <c r="U7">
        <f>IF((ContinuousStatsTable[[#This Row],[RepsRequested]]&gt;1),ContinuousStatsTable[[#This Row],[HalfWidth]],ContinuousStatsTable[[#This Row],[BatchMeansHalfWidth]])</f>
        <v>0.34088272804883424</v>
      </c>
    </row>
    <row r="8" spans="1:21" x14ac:dyDescent="0.35">
      <c r="A8" t="s">
        <v>66</v>
      </c>
      <c r="B8" t="s">
        <v>69</v>
      </c>
      <c r="C8">
        <v>2</v>
      </c>
      <c r="D8" t="s">
        <v>78</v>
      </c>
      <c r="E8" t="s">
        <v>82</v>
      </c>
      <c r="F8" t="s">
        <v>80</v>
      </c>
      <c r="G8">
        <v>2.0477917498002398</v>
      </c>
      <c r="H8">
        <v>2E+20</v>
      </c>
      <c r="I8">
        <v>0</v>
      </c>
      <c r="J8">
        <v>4</v>
      </c>
      <c r="K8">
        <v>3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50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1.2732860367273062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1.137870000737736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0.32337907617258832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5.3083923025689197</v>
      </c>
      <c r="U8">
        <f>IF((ContinuousStatsTable[[#This Row],[RepsRequested]]&gt;1),ContinuousStatsTable[[#This Row],[HalfWidth]],ContinuousStatsTable[[#This Row],[BatchMeansHalfWidth]])</f>
        <v>0.32337907617258832</v>
      </c>
    </row>
    <row r="9" spans="1:21" x14ac:dyDescent="0.35">
      <c r="A9" t="s">
        <v>66</v>
      </c>
      <c r="B9" t="s">
        <v>69</v>
      </c>
      <c r="C9">
        <v>2</v>
      </c>
      <c r="D9" t="s">
        <v>83</v>
      </c>
      <c r="E9" t="s">
        <v>84</v>
      </c>
      <c r="F9" t="s">
        <v>85</v>
      </c>
      <c r="G9">
        <v>1</v>
      </c>
      <c r="H9">
        <v>2E+20</v>
      </c>
      <c r="I9">
        <v>0</v>
      </c>
      <c r="J9">
        <v>1</v>
      </c>
      <c r="K9">
        <v>1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50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0.60846830422583797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1</v>
      </c>
      <c r="U9">
        <f>IF((ContinuousStatsTable[[#This Row],[RepsRequested]]&gt;1),ContinuousStatsTable[[#This Row],[HalfWidth]],ContinuousStatsTable[[#This Row],[BatchMeansHalfWidth]])</f>
        <v>3.350588705034975E-2</v>
      </c>
    </row>
    <row r="10" spans="1:21" x14ac:dyDescent="0.35">
      <c r="A10" t="s">
        <v>66</v>
      </c>
      <c r="B10" t="s">
        <v>69</v>
      </c>
      <c r="C10">
        <v>2</v>
      </c>
      <c r="D10" t="s">
        <v>83</v>
      </c>
      <c r="E10" t="s">
        <v>86</v>
      </c>
      <c r="F10" t="s">
        <v>85</v>
      </c>
      <c r="G10">
        <v>1</v>
      </c>
      <c r="H10">
        <v>2E+20</v>
      </c>
      <c r="I10">
        <v>0</v>
      </c>
      <c r="J10">
        <v>1</v>
      </c>
      <c r="K10">
        <v>1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50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0.60846830422583797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1</v>
      </c>
      <c r="U10">
        <f>IF((ContinuousStatsTable[[#This Row],[RepsRequested]]&gt;1),ContinuousStatsTable[[#This Row],[HalfWidth]],ContinuousStatsTable[[#This Row],[BatchMeansHalfWidth]])</f>
        <v>3.350588705034975E-2</v>
      </c>
    </row>
    <row r="11" spans="1:21" x14ac:dyDescent="0.35">
      <c r="A11" t="s">
        <v>66</v>
      </c>
      <c r="B11" t="s">
        <v>69</v>
      </c>
      <c r="C11">
        <v>2</v>
      </c>
      <c r="D11" t="s">
        <v>83</v>
      </c>
      <c r="E11" t="s">
        <v>87</v>
      </c>
      <c r="F11" t="s">
        <v>85</v>
      </c>
      <c r="G11">
        <v>1</v>
      </c>
      <c r="H11">
        <v>2E+20</v>
      </c>
      <c r="I11">
        <v>1</v>
      </c>
      <c r="J11">
        <v>1</v>
      </c>
      <c r="K11">
        <v>1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50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1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1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1</v>
      </c>
      <c r="U11">
        <f>IF((ContinuousStatsTable[[#This Row],[RepsRequested]]&gt;1),ContinuousStatsTable[[#This Row],[HalfWidth]],ContinuousStatsTable[[#This Row],[BatchMeansHalfWidth]])</f>
        <v>0</v>
      </c>
    </row>
    <row r="12" spans="1:21" x14ac:dyDescent="0.35">
      <c r="A12" t="s">
        <v>66</v>
      </c>
      <c r="B12" t="s">
        <v>69</v>
      </c>
      <c r="C12">
        <v>3</v>
      </c>
      <c r="D12" t="s">
        <v>70</v>
      </c>
      <c r="E12" t="s">
        <v>81</v>
      </c>
      <c r="F12" t="s">
        <v>72</v>
      </c>
      <c r="G12">
        <v>1.9618855984750201</v>
      </c>
      <c r="H12">
        <v>2E+20</v>
      </c>
      <c r="I12">
        <v>0</v>
      </c>
      <c r="J12">
        <v>3</v>
      </c>
      <c r="K12">
        <v>1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50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2.1996658161417075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1.1994598865431718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0.34088272804883424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0.70499985227053297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6.3083923025689197</v>
      </c>
      <c r="U12" s="5">
        <f>IF((ContinuousStatsTable[[#This Row],[RepsRequested]]&gt;1),ContinuousStatsTable[[#This Row],[HalfWidth]],ContinuousStatsTable[[#This Row],[BatchMeansHalfWidth]])</f>
        <v>0.34088272804883424</v>
      </c>
    </row>
    <row r="13" spans="1:21" x14ac:dyDescent="0.35">
      <c r="A13" t="s">
        <v>66</v>
      </c>
      <c r="B13" t="s">
        <v>69</v>
      </c>
      <c r="C13">
        <v>3</v>
      </c>
      <c r="D13" t="s">
        <v>78</v>
      </c>
      <c r="E13" t="s">
        <v>82</v>
      </c>
      <c r="F13" t="s">
        <v>80</v>
      </c>
      <c r="G13">
        <v>0.96188559847501698</v>
      </c>
      <c r="H13">
        <v>2E+20</v>
      </c>
      <c r="I13">
        <v>0</v>
      </c>
      <c r="J13">
        <v>2</v>
      </c>
      <c r="K13">
        <v>0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50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1.2732860367273062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1.137870000737736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0.32337907617258832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0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5.3083923025689197</v>
      </c>
      <c r="U13" s="5">
        <f>IF((ContinuousStatsTable[[#This Row],[RepsRequested]]&gt;1),ContinuousStatsTable[[#This Row],[HalfWidth]],ContinuousStatsTable[[#This Row],[BatchMeansHalfWidth]])</f>
        <v>0.32337907617258832</v>
      </c>
    </row>
    <row r="14" spans="1:21" x14ac:dyDescent="0.35">
      <c r="A14" t="s">
        <v>66</v>
      </c>
      <c r="B14" t="s">
        <v>69</v>
      </c>
      <c r="C14">
        <v>3</v>
      </c>
      <c r="D14" t="s">
        <v>83</v>
      </c>
      <c r="E14" t="s">
        <v>84</v>
      </c>
      <c r="F14" t="s">
        <v>85</v>
      </c>
      <c r="G14">
        <v>1</v>
      </c>
      <c r="H14">
        <v>2E+20</v>
      </c>
      <c r="I14">
        <v>0</v>
      </c>
      <c r="J14">
        <v>1</v>
      </c>
      <c r="K14">
        <v>1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50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0.60846830422583797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1</v>
      </c>
      <c r="U14" s="5">
        <f>IF((ContinuousStatsTable[[#This Row],[RepsRequested]]&gt;1),ContinuousStatsTable[[#This Row],[HalfWidth]],ContinuousStatsTable[[#This Row],[BatchMeansHalfWidth]])</f>
        <v>3.350588705034975E-2</v>
      </c>
    </row>
    <row r="15" spans="1:21" x14ac:dyDescent="0.35">
      <c r="A15" t="s">
        <v>66</v>
      </c>
      <c r="B15" t="s">
        <v>69</v>
      </c>
      <c r="C15">
        <v>3</v>
      </c>
      <c r="D15" t="s">
        <v>83</v>
      </c>
      <c r="E15" t="s">
        <v>86</v>
      </c>
      <c r="F15" t="s">
        <v>85</v>
      </c>
      <c r="G15">
        <v>1</v>
      </c>
      <c r="H15">
        <v>2E+20</v>
      </c>
      <c r="I15">
        <v>0</v>
      </c>
      <c r="J15">
        <v>1</v>
      </c>
      <c r="K15">
        <v>1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50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0.60846830422583797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1</v>
      </c>
      <c r="U15" s="5">
        <f>IF((ContinuousStatsTable[[#This Row],[RepsRequested]]&gt;1),ContinuousStatsTable[[#This Row],[HalfWidth]],ContinuousStatsTable[[#This Row],[BatchMeansHalfWidth]])</f>
        <v>3.350588705034975E-2</v>
      </c>
    </row>
    <row r="16" spans="1:21" x14ac:dyDescent="0.35">
      <c r="A16" t="s">
        <v>66</v>
      </c>
      <c r="B16" t="s">
        <v>69</v>
      </c>
      <c r="C16">
        <v>3</v>
      </c>
      <c r="D16" t="s">
        <v>83</v>
      </c>
      <c r="E16" t="s">
        <v>87</v>
      </c>
      <c r="F16" t="s">
        <v>85</v>
      </c>
      <c r="G16">
        <v>1</v>
      </c>
      <c r="H16">
        <v>2E+20</v>
      </c>
      <c r="I16">
        <v>1</v>
      </c>
      <c r="J16">
        <v>1</v>
      </c>
      <c r="K16">
        <v>1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16" s="5" cm="1">
        <f t="array" ref="N16">MAX(IF((ProjectInfoTable[ProjectName]=ContinuousStatsTable[[#This Row],[ProjectName]]),(ProjectInfoTable[ProjectName]=ContinuousStatsTable[[#This Row],[ProjectName]])*ProjectInfoTable[NumberOfReplications]))</f>
        <v>50</v>
      </c>
      <c r="O16" s="5" cm="1">
        <f t="array" ref="O16">IFERROR(AVERAGE(IF((ContinuousStatsTable[GroupByKey]=ContinuousStatsTable[[#This Row],[GroupByKey]]),(ContinuousStatsTable[GroupByKey]=ContinuousStatsTable[[#This Row],[GroupByKey]])*ContinuousStatsTable[Average])),0)</f>
        <v>1</v>
      </c>
      <c r="P16" s="5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0</v>
      </c>
      <c r="Q16" s="5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" s="5" cm="1">
        <f t="array" ref="S16">MIN(IF((ContinuousStatsTable[GroupByKey]=ContinuousStatsTable[[#This Row],[GroupByKey]]),(ContinuousStatsTable[GroupByKey]=ContinuousStatsTable[[#This Row],[GroupByKey]])*ContinuousStatsTable[Average]))</f>
        <v>1</v>
      </c>
      <c r="T16" s="5" cm="1">
        <f t="array" ref="T16">MAX(IF((ContinuousStatsTable[GroupByKey]=ContinuousStatsTable[[#This Row],[GroupByKey]]),(ContinuousStatsTable[GroupByKey]=ContinuousStatsTable[[#This Row],[GroupByKey]])*ContinuousStatsTable[Average]))</f>
        <v>1</v>
      </c>
      <c r="U16" s="5">
        <f>IF((ContinuousStatsTable[[#This Row],[RepsRequested]]&gt;1),ContinuousStatsTable[[#This Row],[HalfWidth]],ContinuousStatsTable[[#This Row],[BatchMeansHalfWidth]])</f>
        <v>0</v>
      </c>
    </row>
    <row r="17" spans="1:21" x14ac:dyDescent="0.35">
      <c r="A17" t="s">
        <v>66</v>
      </c>
      <c r="B17" t="s">
        <v>69</v>
      </c>
      <c r="C17">
        <v>4</v>
      </c>
      <c r="D17" t="s">
        <v>70</v>
      </c>
      <c r="E17" t="s">
        <v>81</v>
      </c>
      <c r="F17" t="s">
        <v>72</v>
      </c>
      <c r="G17">
        <v>1.7828369541028</v>
      </c>
      <c r="H17">
        <v>2E+20</v>
      </c>
      <c r="I17">
        <v>0</v>
      </c>
      <c r="J17">
        <v>3</v>
      </c>
      <c r="K17">
        <v>3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17" s="5" cm="1">
        <f t="array" ref="N17">MAX(IF((ProjectInfoTable[ProjectName]=ContinuousStatsTable[[#This Row],[ProjectName]]),(ProjectInfoTable[ProjectName]=ContinuousStatsTable[[#This Row],[ProjectName]])*ProjectInfoTable[NumberOfReplications]))</f>
        <v>50</v>
      </c>
      <c r="O17" s="5" cm="1">
        <f t="array" ref="O17">IFERROR(AVERAGE(IF((ContinuousStatsTable[GroupByKey]=ContinuousStatsTable[[#This Row],[GroupByKey]]),(ContinuousStatsTable[GroupByKey]=ContinuousStatsTable[[#This Row],[GroupByKey]])*ContinuousStatsTable[Average])),0)</f>
        <v>2.1996658161417075</v>
      </c>
      <c r="P17" s="5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1.1994598865431718</v>
      </c>
      <c r="Q17" s="5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0.34088272804883424</v>
      </c>
      <c r="S17" s="5" cm="1">
        <f t="array" ref="S17">MIN(IF((ContinuousStatsTable[GroupByKey]=ContinuousStatsTable[[#This Row],[GroupByKey]]),(ContinuousStatsTable[GroupByKey]=ContinuousStatsTable[[#This Row],[GroupByKey]])*ContinuousStatsTable[Average]))</f>
        <v>0.70499985227053297</v>
      </c>
      <c r="T17" s="5" cm="1">
        <f t="array" ref="T17">MAX(IF((ContinuousStatsTable[GroupByKey]=ContinuousStatsTable[[#This Row],[GroupByKey]]),(ContinuousStatsTable[GroupByKey]=ContinuousStatsTable[[#This Row],[GroupByKey]])*ContinuousStatsTable[Average]))</f>
        <v>6.3083923025689197</v>
      </c>
      <c r="U17" s="5">
        <f>IF((ContinuousStatsTable[[#This Row],[RepsRequested]]&gt;1),ContinuousStatsTable[[#This Row],[HalfWidth]],ContinuousStatsTable[[#This Row],[BatchMeansHalfWidth]])</f>
        <v>0.34088272804883424</v>
      </c>
    </row>
    <row r="18" spans="1:21" x14ac:dyDescent="0.35">
      <c r="A18" t="s">
        <v>66</v>
      </c>
      <c r="B18" t="s">
        <v>69</v>
      </c>
      <c r="C18">
        <v>4</v>
      </c>
      <c r="D18" t="s">
        <v>78</v>
      </c>
      <c r="E18" t="s">
        <v>82</v>
      </c>
      <c r="F18" t="s">
        <v>80</v>
      </c>
      <c r="G18">
        <v>0.78283695410280096</v>
      </c>
      <c r="H18">
        <v>2E+20</v>
      </c>
      <c r="I18">
        <v>0</v>
      </c>
      <c r="J18">
        <v>2</v>
      </c>
      <c r="K18">
        <v>2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18" s="5" cm="1">
        <f t="array" ref="N18">MAX(IF((ProjectInfoTable[ProjectName]=ContinuousStatsTable[[#This Row],[ProjectName]]),(ProjectInfoTable[ProjectName]=ContinuousStatsTable[[#This Row],[ProjectName]])*ProjectInfoTable[NumberOfReplications]))</f>
        <v>50</v>
      </c>
      <c r="O18" s="5" cm="1">
        <f t="array" ref="O18">IFERROR(AVERAGE(IF((ContinuousStatsTable[GroupByKey]=ContinuousStatsTable[[#This Row],[GroupByKey]]),(ContinuousStatsTable[GroupByKey]=ContinuousStatsTable[[#This Row],[GroupByKey]])*ContinuousStatsTable[Average])),0)</f>
        <v>1.2732860367273062</v>
      </c>
      <c r="P18" s="5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1.137870000737736</v>
      </c>
      <c r="Q18" s="5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0.32337907617258832</v>
      </c>
      <c r="S18" s="5" cm="1">
        <f t="array" ref="S18">MIN(IF((ContinuousStatsTable[GroupByKey]=ContinuousStatsTable[[#This Row],[GroupByKey]]),(ContinuousStatsTable[GroupByKey]=ContinuousStatsTable[[#This Row],[GroupByKey]])*ContinuousStatsTable[Average]))</f>
        <v>0</v>
      </c>
      <c r="T18" s="5" cm="1">
        <f t="array" ref="T18">MAX(IF((ContinuousStatsTable[GroupByKey]=ContinuousStatsTable[[#This Row],[GroupByKey]]),(ContinuousStatsTable[GroupByKey]=ContinuousStatsTable[[#This Row],[GroupByKey]])*ContinuousStatsTable[Average]))</f>
        <v>5.3083923025689197</v>
      </c>
      <c r="U18" s="5">
        <f>IF((ContinuousStatsTable[[#This Row],[RepsRequested]]&gt;1),ContinuousStatsTable[[#This Row],[HalfWidth]],ContinuousStatsTable[[#This Row],[BatchMeansHalfWidth]])</f>
        <v>0.32337907617258832</v>
      </c>
    </row>
    <row r="19" spans="1:21" x14ac:dyDescent="0.35">
      <c r="A19" t="s">
        <v>66</v>
      </c>
      <c r="B19" t="s">
        <v>69</v>
      </c>
      <c r="C19">
        <v>4</v>
      </c>
      <c r="D19" t="s">
        <v>83</v>
      </c>
      <c r="E19" t="s">
        <v>84</v>
      </c>
      <c r="F19" t="s">
        <v>85</v>
      </c>
      <c r="G19">
        <v>1</v>
      </c>
      <c r="H19">
        <v>2E+20</v>
      </c>
      <c r="I19">
        <v>0</v>
      </c>
      <c r="J19">
        <v>1</v>
      </c>
      <c r="K19">
        <v>1</v>
      </c>
      <c r="L19">
        <v>0</v>
      </c>
      <c r="M19" s="5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19" s="5" cm="1">
        <f t="array" ref="N19">MAX(IF((ProjectInfoTable[ProjectName]=ContinuousStatsTable[[#This Row],[ProjectName]]),(ProjectInfoTable[ProjectName]=ContinuousStatsTable[[#This Row],[ProjectName]])*ProjectInfoTable[NumberOfReplications]))</f>
        <v>50</v>
      </c>
      <c r="O19" s="5" cm="1">
        <f t="array" ref="O19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19" s="5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19" s="5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19" s="5" cm="1">
        <f t="array" ref="S19">MIN(IF((ContinuousStatsTable[GroupByKey]=ContinuousStatsTable[[#This Row],[GroupByKey]]),(ContinuousStatsTable[GroupByKey]=ContinuousStatsTable[[#This Row],[GroupByKey]])*ContinuousStatsTable[Average]))</f>
        <v>0.60846830422583797</v>
      </c>
      <c r="T19" s="5" cm="1">
        <f t="array" ref="T19">MAX(IF((ContinuousStatsTable[GroupByKey]=ContinuousStatsTable[[#This Row],[GroupByKey]]),(ContinuousStatsTable[GroupByKey]=ContinuousStatsTable[[#This Row],[GroupByKey]])*ContinuousStatsTable[Average]))</f>
        <v>1</v>
      </c>
      <c r="U19" s="5">
        <f>IF((ContinuousStatsTable[[#This Row],[RepsRequested]]&gt;1),ContinuousStatsTable[[#This Row],[HalfWidth]],ContinuousStatsTable[[#This Row],[BatchMeansHalfWidth]])</f>
        <v>3.350588705034975E-2</v>
      </c>
    </row>
    <row r="20" spans="1:21" x14ac:dyDescent="0.35">
      <c r="A20" t="s">
        <v>66</v>
      </c>
      <c r="B20" t="s">
        <v>69</v>
      </c>
      <c r="C20">
        <v>4</v>
      </c>
      <c r="D20" t="s">
        <v>83</v>
      </c>
      <c r="E20" t="s">
        <v>86</v>
      </c>
      <c r="F20" t="s">
        <v>85</v>
      </c>
      <c r="G20">
        <v>1</v>
      </c>
      <c r="H20">
        <v>2E+20</v>
      </c>
      <c r="I20">
        <v>0</v>
      </c>
      <c r="J20">
        <v>1</v>
      </c>
      <c r="K20">
        <v>1</v>
      </c>
      <c r="L20">
        <v>0</v>
      </c>
      <c r="M20" s="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20" s="5" cm="1">
        <f t="array" ref="N20">MAX(IF((ProjectInfoTable[ProjectName]=ContinuousStatsTable[[#This Row],[ProjectName]]),(ProjectInfoTable[ProjectName]=ContinuousStatsTable[[#This Row],[ProjectName]])*ProjectInfoTable[NumberOfReplications]))</f>
        <v>50</v>
      </c>
      <c r="O20" s="5" cm="1">
        <f t="array" ref="O20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20" s="5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20" s="5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20" s="5" cm="1">
        <f t="array" ref="S20">MIN(IF((ContinuousStatsTable[GroupByKey]=ContinuousStatsTable[[#This Row],[GroupByKey]]),(ContinuousStatsTable[GroupByKey]=ContinuousStatsTable[[#This Row],[GroupByKey]])*ContinuousStatsTable[Average]))</f>
        <v>0.60846830422583797</v>
      </c>
      <c r="T20" s="5" cm="1">
        <f t="array" ref="T20">MAX(IF((ContinuousStatsTable[GroupByKey]=ContinuousStatsTable[[#This Row],[GroupByKey]]),(ContinuousStatsTable[GroupByKey]=ContinuousStatsTable[[#This Row],[GroupByKey]])*ContinuousStatsTable[Average]))</f>
        <v>1</v>
      </c>
      <c r="U20" s="5">
        <f>IF((ContinuousStatsTable[[#This Row],[RepsRequested]]&gt;1),ContinuousStatsTable[[#This Row],[HalfWidth]],ContinuousStatsTable[[#This Row],[BatchMeansHalfWidth]])</f>
        <v>3.350588705034975E-2</v>
      </c>
    </row>
    <row r="21" spans="1:21" x14ac:dyDescent="0.35">
      <c r="A21" t="s">
        <v>66</v>
      </c>
      <c r="B21" t="s">
        <v>69</v>
      </c>
      <c r="C21">
        <v>4</v>
      </c>
      <c r="D21" t="s">
        <v>83</v>
      </c>
      <c r="E21" t="s">
        <v>87</v>
      </c>
      <c r="F21" t="s">
        <v>85</v>
      </c>
      <c r="G21">
        <v>1</v>
      </c>
      <c r="H21">
        <v>2E+20</v>
      </c>
      <c r="I21">
        <v>1</v>
      </c>
      <c r="J21">
        <v>1</v>
      </c>
      <c r="K21">
        <v>1</v>
      </c>
      <c r="L21">
        <v>0</v>
      </c>
      <c r="M21" s="5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21" s="5" cm="1">
        <f t="array" ref="N21">MAX(IF((ProjectInfoTable[ProjectName]=ContinuousStatsTable[[#This Row],[ProjectName]]),(ProjectInfoTable[ProjectName]=ContinuousStatsTable[[#This Row],[ProjectName]])*ProjectInfoTable[NumberOfReplications]))</f>
        <v>50</v>
      </c>
      <c r="O21" s="5" cm="1">
        <f t="array" ref="O21">IFERROR(AVERAGE(IF((ContinuousStatsTable[GroupByKey]=ContinuousStatsTable[[#This Row],[GroupByKey]]),(ContinuousStatsTable[GroupByKey]=ContinuousStatsTable[[#This Row],[GroupByKey]])*ContinuousStatsTable[Average])),0)</f>
        <v>1</v>
      </c>
      <c r="P21" s="5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0</v>
      </c>
      <c r="Q21" s="5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" s="5" cm="1">
        <f t="array" ref="S21">MIN(IF((ContinuousStatsTable[GroupByKey]=ContinuousStatsTable[[#This Row],[GroupByKey]]),(ContinuousStatsTable[GroupByKey]=ContinuousStatsTable[[#This Row],[GroupByKey]])*ContinuousStatsTable[Average]))</f>
        <v>1</v>
      </c>
      <c r="T21" s="5" cm="1">
        <f t="array" ref="T21">MAX(IF((ContinuousStatsTable[GroupByKey]=ContinuousStatsTable[[#This Row],[GroupByKey]]),(ContinuousStatsTable[GroupByKey]=ContinuousStatsTable[[#This Row],[GroupByKey]])*ContinuousStatsTable[Average]))</f>
        <v>1</v>
      </c>
      <c r="U21" s="5">
        <f>IF((ContinuousStatsTable[[#This Row],[RepsRequested]]&gt;1),ContinuousStatsTable[[#This Row],[HalfWidth]],ContinuousStatsTable[[#This Row],[BatchMeansHalfWidth]])</f>
        <v>0</v>
      </c>
    </row>
    <row r="22" spans="1:21" x14ac:dyDescent="0.35">
      <c r="A22" t="s">
        <v>66</v>
      </c>
      <c r="B22" t="s">
        <v>69</v>
      </c>
      <c r="C22">
        <v>5</v>
      </c>
      <c r="D22" t="s">
        <v>70</v>
      </c>
      <c r="E22" t="s">
        <v>81</v>
      </c>
      <c r="F22" t="s">
        <v>72</v>
      </c>
      <c r="G22">
        <v>2.0138332544291502</v>
      </c>
      <c r="H22">
        <v>2E+20</v>
      </c>
      <c r="I22">
        <v>0</v>
      </c>
      <c r="J22">
        <v>4</v>
      </c>
      <c r="K22">
        <v>3</v>
      </c>
      <c r="L22">
        <v>0</v>
      </c>
      <c r="M22" s="5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22" s="5" cm="1">
        <f t="array" ref="N22">MAX(IF((ProjectInfoTable[ProjectName]=ContinuousStatsTable[[#This Row],[ProjectName]]),(ProjectInfoTable[ProjectName]=ContinuousStatsTable[[#This Row],[ProjectName]])*ProjectInfoTable[NumberOfReplications]))</f>
        <v>50</v>
      </c>
      <c r="O22" s="5" cm="1">
        <f t="array" ref="O22">IFERROR(AVERAGE(IF((ContinuousStatsTable[GroupByKey]=ContinuousStatsTable[[#This Row],[GroupByKey]]),(ContinuousStatsTable[GroupByKey]=ContinuousStatsTable[[#This Row],[GroupByKey]])*ContinuousStatsTable[Average])),0)</f>
        <v>2.1996658161417075</v>
      </c>
      <c r="P22" s="5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1.1994598865431718</v>
      </c>
      <c r="Q22" s="5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0.34088272804883424</v>
      </c>
      <c r="S22" s="5" cm="1">
        <f t="array" ref="S22">MIN(IF((ContinuousStatsTable[GroupByKey]=ContinuousStatsTable[[#This Row],[GroupByKey]]),(ContinuousStatsTable[GroupByKey]=ContinuousStatsTable[[#This Row],[GroupByKey]])*ContinuousStatsTable[Average]))</f>
        <v>0.70499985227053297</v>
      </c>
      <c r="T22" s="5" cm="1">
        <f t="array" ref="T22">MAX(IF((ContinuousStatsTable[GroupByKey]=ContinuousStatsTable[[#This Row],[GroupByKey]]),(ContinuousStatsTable[GroupByKey]=ContinuousStatsTable[[#This Row],[GroupByKey]])*ContinuousStatsTable[Average]))</f>
        <v>6.3083923025689197</v>
      </c>
      <c r="U22" s="5">
        <f>IF((ContinuousStatsTable[[#This Row],[RepsRequested]]&gt;1),ContinuousStatsTable[[#This Row],[HalfWidth]],ContinuousStatsTable[[#This Row],[BatchMeansHalfWidth]])</f>
        <v>0.34088272804883424</v>
      </c>
    </row>
    <row r="23" spans="1:21" x14ac:dyDescent="0.35">
      <c r="A23" t="s">
        <v>66</v>
      </c>
      <c r="B23" t="s">
        <v>69</v>
      </c>
      <c r="C23">
        <v>5</v>
      </c>
      <c r="D23" t="s">
        <v>78</v>
      </c>
      <c r="E23" t="s">
        <v>82</v>
      </c>
      <c r="F23" t="s">
        <v>80</v>
      </c>
      <c r="G23">
        <v>1.01383325442915</v>
      </c>
      <c r="H23">
        <v>2E+20</v>
      </c>
      <c r="I23">
        <v>0</v>
      </c>
      <c r="J23">
        <v>3</v>
      </c>
      <c r="K23">
        <v>2</v>
      </c>
      <c r="L23">
        <v>0</v>
      </c>
      <c r="M23" s="5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23" s="5" cm="1">
        <f t="array" ref="N23">MAX(IF((ProjectInfoTable[ProjectName]=ContinuousStatsTable[[#This Row],[ProjectName]]),(ProjectInfoTable[ProjectName]=ContinuousStatsTable[[#This Row],[ProjectName]])*ProjectInfoTable[NumberOfReplications]))</f>
        <v>50</v>
      </c>
      <c r="O23" s="5" cm="1">
        <f t="array" ref="O23">IFERROR(AVERAGE(IF((ContinuousStatsTable[GroupByKey]=ContinuousStatsTable[[#This Row],[GroupByKey]]),(ContinuousStatsTable[GroupByKey]=ContinuousStatsTable[[#This Row],[GroupByKey]])*ContinuousStatsTable[Average])),0)</f>
        <v>1.2732860367273062</v>
      </c>
      <c r="P23" s="5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1.137870000737736</v>
      </c>
      <c r="Q23" s="5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0.32337907617258832</v>
      </c>
      <c r="S23" s="5" cm="1">
        <f t="array" ref="S23">MIN(IF((ContinuousStatsTable[GroupByKey]=ContinuousStatsTable[[#This Row],[GroupByKey]]),(ContinuousStatsTable[GroupByKey]=ContinuousStatsTable[[#This Row],[GroupByKey]])*ContinuousStatsTable[Average]))</f>
        <v>0</v>
      </c>
      <c r="T23" s="5" cm="1">
        <f t="array" ref="T23">MAX(IF((ContinuousStatsTable[GroupByKey]=ContinuousStatsTable[[#This Row],[GroupByKey]]),(ContinuousStatsTable[GroupByKey]=ContinuousStatsTable[[#This Row],[GroupByKey]])*ContinuousStatsTable[Average]))</f>
        <v>5.3083923025689197</v>
      </c>
      <c r="U23" s="5">
        <f>IF((ContinuousStatsTable[[#This Row],[RepsRequested]]&gt;1),ContinuousStatsTable[[#This Row],[HalfWidth]],ContinuousStatsTable[[#This Row],[BatchMeansHalfWidth]])</f>
        <v>0.32337907617258832</v>
      </c>
    </row>
    <row r="24" spans="1:21" x14ac:dyDescent="0.35">
      <c r="A24" t="s">
        <v>66</v>
      </c>
      <c r="B24" t="s">
        <v>69</v>
      </c>
      <c r="C24">
        <v>5</v>
      </c>
      <c r="D24" t="s">
        <v>83</v>
      </c>
      <c r="E24" t="s">
        <v>84</v>
      </c>
      <c r="F24" t="s">
        <v>85</v>
      </c>
      <c r="G24">
        <v>1</v>
      </c>
      <c r="H24">
        <v>2E+20</v>
      </c>
      <c r="I24">
        <v>0</v>
      </c>
      <c r="J24">
        <v>1</v>
      </c>
      <c r="K24">
        <v>1</v>
      </c>
      <c r="L24">
        <v>0</v>
      </c>
      <c r="M24" s="5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24" s="5" cm="1">
        <f t="array" ref="N24">MAX(IF((ProjectInfoTable[ProjectName]=ContinuousStatsTable[[#This Row],[ProjectName]]),(ProjectInfoTable[ProjectName]=ContinuousStatsTable[[#This Row],[ProjectName]])*ProjectInfoTable[NumberOfReplications]))</f>
        <v>50</v>
      </c>
      <c r="O24" s="5" cm="1">
        <f t="array" ref="O24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24" s="5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24" s="5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24" s="5" cm="1">
        <f t="array" ref="S24">MIN(IF((ContinuousStatsTable[GroupByKey]=ContinuousStatsTable[[#This Row],[GroupByKey]]),(ContinuousStatsTable[GroupByKey]=ContinuousStatsTable[[#This Row],[GroupByKey]])*ContinuousStatsTable[Average]))</f>
        <v>0.60846830422583797</v>
      </c>
      <c r="T24" s="5" cm="1">
        <f t="array" ref="T24">MAX(IF((ContinuousStatsTable[GroupByKey]=ContinuousStatsTable[[#This Row],[GroupByKey]]),(ContinuousStatsTable[GroupByKey]=ContinuousStatsTable[[#This Row],[GroupByKey]])*ContinuousStatsTable[Average]))</f>
        <v>1</v>
      </c>
      <c r="U24" s="5">
        <f>IF((ContinuousStatsTable[[#This Row],[RepsRequested]]&gt;1),ContinuousStatsTable[[#This Row],[HalfWidth]],ContinuousStatsTable[[#This Row],[BatchMeansHalfWidth]])</f>
        <v>3.350588705034975E-2</v>
      </c>
    </row>
    <row r="25" spans="1:21" x14ac:dyDescent="0.35">
      <c r="A25" t="s">
        <v>66</v>
      </c>
      <c r="B25" t="s">
        <v>69</v>
      </c>
      <c r="C25">
        <v>5</v>
      </c>
      <c r="D25" t="s">
        <v>83</v>
      </c>
      <c r="E25" t="s">
        <v>86</v>
      </c>
      <c r="F25" t="s">
        <v>85</v>
      </c>
      <c r="G25">
        <v>1</v>
      </c>
      <c r="H25">
        <v>2E+20</v>
      </c>
      <c r="I25">
        <v>0</v>
      </c>
      <c r="J25">
        <v>1</v>
      </c>
      <c r="K25">
        <v>1</v>
      </c>
      <c r="L25">
        <v>0</v>
      </c>
      <c r="M25" s="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25" s="5" cm="1">
        <f t="array" ref="N25">MAX(IF((ProjectInfoTable[ProjectName]=ContinuousStatsTable[[#This Row],[ProjectName]]),(ProjectInfoTable[ProjectName]=ContinuousStatsTable[[#This Row],[ProjectName]])*ProjectInfoTable[NumberOfReplications]))</f>
        <v>50</v>
      </c>
      <c r="O25" s="5" cm="1">
        <f t="array" ref="O25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25" s="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25" s="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25" s="5" cm="1">
        <f t="array" ref="S25">MIN(IF((ContinuousStatsTable[GroupByKey]=ContinuousStatsTable[[#This Row],[GroupByKey]]),(ContinuousStatsTable[GroupByKey]=ContinuousStatsTable[[#This Row],[GroupByKey]])*ContinuousStatsTable[Average]))</f>
        <v>0.60846830422583797</v>
      </c>
      <c r="T25" s="5" cm="1">
        <f t="array" ref="T25">MAX(IF((ContinuousStatsTable[GroupByKey]=ContinuousStatsTable[[#This Row],[GroupByKey]]),(ContinuousStatsTable[GroupByKey]=ContinuousStatsTable[[#This Row],[GroupByKey]])*ContinuousStatsTable[Average]))</f>
        <v>1</v>
      </c>
      <c r="U25" s="5">
        <f>IF((ContinuousStatsTable[[#This Row],[RepsRequested]]&gt;1),ContinuousStatsTable[[#This Row],[HalfWidth]],ContinuousStatsTable[[#This Row],[BatchMeansHalfWidth]])</f>
        <v>3.350588705034975E-2</v>
      </c>
    </row>
    <row r="26" spans="1:21" x14ac:dyDescent="0.35">
      <c r="A26" t="s">
        <v>66</v>
      </c>
      <c r="B26" t="s">
        <v>69</v>
      </c>
      <c r="C26">
        <v>5</v>
      </c>
      <c r="D26" t="s">
        <v>83</v>
      </c>
      <c r="E26" t="s">
        <v>87</v>
      </c>
      <c r="F26" t="s">
        <v>85</v>
      </c>
      <c r="G26">
        <v>1</v>
      </c>
      <c r="H26">
        <v>2E+20</v>
      </c>
      <c r="I26">
        <v>1</v>
      </c>
      <c r="J26">
        <v>1</v>
      </c>
      <c r="K26">
        <v>1</v>
      </c>
      <c r="L26">
        <v>0</v>
      </c>
      <c r="M26" s="5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26" s="5" cm="1">
        <f t="array" ref="N26">MAX(IF((ProjectInfoTable[ProjectName]=ContinuousStatsTable[[#This Row],[ProjectName]]),(ProjectInfoTable[ProjectName]=ContinuousStatsTable[[#This Row],[ProjectName]])*ProjectInfoTable[NumberOfReplications]))</f>
        <v>50</v>
      </c>
      <c r="O26" s="5" cm="1">
        <f t="array" ref="O26">IFERROR(AVERAGE(IF((ContinuousStatsTable[GroupByKey]=ContinuousStatsTable[[#This Row],[GroupByKey]]),(ContinuousStatsTable[GroupByKey]=ContinuousStatsTable[[#This Row],[GroupByKey]])*ContinuousStatsTable[Average])),0)</f>
        <v>1</v>
      </c>
      <c r="P26" s="5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0</v>
      </c>
      <c r="Q26" s="5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6" s="5" cm="1">
        <f t="array" ref="S26">MIN(IF((ContinuousStatsTable[GroupByKey]=ContinuousStatsTable[[#This Row],[GroupByKey]]),(ContinuousStatsTable[GroupByKey]=ContinuousStatsTable[[#This Row],[GroupByKey]])*ContinuousStatsTable[Average]))</f>
        <v>1</v>
      </c>
      <c r="T26" s="5" cm="1">
        <f t="array" ref="T26">MAX(IF((ContinuousStatsTable[GroupByKey]=ContinuousStatsTable[[#This Row],[GroupByKey]]),(ContinuousStatsTable[GroupByKey]=ContinuousStatsTable[[#This Row],[GroupByKey]])*ContinuousStatsTable[Average]))</f>
        <v>1</v>
      </c>
      <c r="U26" s="5">
        <f>IF((ContinuousStatsTable[[#This Row],[RepsRequested]]&gt;1),ContinuousStatsTable[[#This Row],[HalfWidth]],ContinuousStatsTable[[#This Row],[BatchMeansHalfWidth]])</f>
        <v>0</v>
      </c>
    </row>
    <row r="27" spans="1:21" x14ac:dyDescent="0.35">
      <c r="A27" t="s">
        <v>66</v>
      </c>
      <c r="B27" t="s">
        <v>69</v>
      </c>
      <c r="C27">
        <v>6</v>
      </c>
      <c r="D27" t="s">
        <v>70</v>
      </c>
      <c r="E27" t="s">
        <v>81</v>
      </c>
      <c r="F27" t="s">
        <v>72</v>
      </c>
      <c r="G27">
        <v>2.1239051386538801</v>
      </c>
      <c r="H27">
        <v>2E+20</v>
      </c>
      <c r="I27">
        <v>0</v>
      </c>
      <c r="J27">
        <v>3</v>
      </c>
      <c r="K27">
        <v>2</v>
      </c>
      <c r="L27">
        <v>0</v>
      </c>
      <c r="M27" s="5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27" s="5" cm="1">
        <f t="array" ref="N27">MAX(IF((ProjectInfoTable[ProjectName]=ContinuousStatsTable[[#This Row],[ProjectName]]),(ProjectInfoTable[ProjectName]=ContinuousStatsTable[[#This Row],[ProjectName]])*ProjectInfoTable[NumberOfReplications]))</f>
        <v>50</v>
      </c>
      <c r="O27" s="5" cm="1">
        <f t="array" ref="O27">IFERROR(AVERAGE(IF((ContinuousStatsTable[GroupByKey]=ContinuousStatsTable[[#This Row],[GroupByKey]]),(ContinuousStatsTable[GroupByKey]=ContinuousStatsTable[[#This Row],[GroupByKey]])*ContinuousStatsTable[Average])),0)</f>
        <v>2.1996658161417075</v>
      </c>
      <c r="P27" s="5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1.1994598865431718</v>
      </c>
      <c r="Q27" s="5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0.34088272804883424</v>
      </c>
      <c r="S27" s="5" cm="1">
        <f t="array" ref="S27">MIN(IF((ContinuousStatsTable[GroupByKey]=ContinuousStatsTable[[#This Row],[GroupByKey]]),(ContinuousStatsTable[GroupByKey]=ContinuousStatsTable[[#This Row],[GroupByKey]])*ContinuousStatsTable[Average]))</f>
        <v>0.70499985227053297</v>
      </c>
      <c r="T27" s="5" cm="1">
        <f t="array" ref="T27">MAX(IF((ContinuousStatsTable[GroupByKey]=ContinuousStatsTable[[#This Row],[GroupByKey]]),(ContinuousStatsTable[GroupByKey]=ContinuousStatsTable[[#This Row],[GroupByKey]])*ContinuousStatsTable[Average]))</f>
        <v>6.3083923025689197</v>
      </c>
      <c r="U27" s="5">
        <f>IF((ContinuousStatsTable[[#This Row],[RepsRequested]]&gt;1),ContinuousStatsTable[[#This Row],[HalfWidth]],ContinuousStatsTable[[#This Row],[BatchMeansHalfWidth]])</f>
        <v>0.34088272804883424</v>
      </c>
    </row>
    <row r="28" spans="1:21" x14ac:dyDescent="0.35">
      <c r="A28" t="s">
        <v>66</v>
      </c>
      <c r="B28" t="s">
        <v>69</v>
      </c>
      <c r="C28">
        <v>6</v>
      </c>
      <c r="D28" t="s">
        <v>78</v>
      </c>
      <c r="E28" t="s">
        <v>82</v>
      </c>
      <c r="F28" t="s">
        <v>80</v>
      </c>
      <c r="G28">
        <v>1.1239051386538801</v>
      </c>
      <c r="H28">
        <v>2E+20</v>
      </c>
      <c r="I28">
        <v>0</v>
      </c>
      <c r="J28">
        <v>2</v>
      </c>
      <c r="K28">
        <v>1</v>
      </c>
      <c r="L28">
        <v>0</v>
      </c>
      <c r="M28" s="5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28" s="5" cm="1">
        <f t="array" ref="N28">MAX(IF((ProjectInfoTable[ProjectName]=ContinuousStatsTable[[#This Row],[ProjectName]]),(ProjectInfoTable[ProjectName]=ContinuousStatsTable[[#This Row],[ProjectName]])*ProjectInfoTable[NumberOfReplications]))</f>
        <v>50</v>
      </c>
      <c r="O28" s="5" cm="1">
        <f t="array" ref="O28">IFERROR(AVERAGE(IF((ContinuousStatsTable[GroupByKey]=ContinuousStatsTable[[#This Row],[GroupByKey]]),(ContinuousStatsTable[GroupByKey]=ContinuousStatsTable[[#This Row],[GroupByKey]])*ContinuousStatsTable[Average])),0)</f>
        <v>1.2732860367273062</v>
      </c>
      <c r="P28" s="5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1.137870000737736</v>
      </c>
      <c r="Q28" s="5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0.32337907617258832</v>
      </c>
      <c r="S28" s="5" cm="1">
        <f t="array" ref="S28">MIN(IF((ContinuousStatsTable[GroupByKey]=ContinuousStatsTable[[#This Row],[GroupByKey]]),(ContinuousStatsTable[GroupByKey]=ContinuousStatsTable[[#This Row],[GroupByKey]])*ContinuousStatsTable[Average]))</f>
        <v>0</v>
      </c>
      <c r="T28" s="5" cm="1">
        <f t="array" ref="T28">MAX(IF((ContinuousStatsTable[GroupByKey]=ContinuousStatsTable[[#This Row],[GroupByKey]]),(ContinuousStatsTable[GroupByKey]=ContinuousStatsTable[[#This Row],[GroupByKey]])*ContinuousStatsTable[Average]))</f>
        <v>5.3083923025689197</v>
      </c>
      <c r="U28" s="5">
        <f>IF((ContinuousStatsTable[[#This Row],[RepsRequested]]&gt;1),ContinuousStatsTable[[#This Row],[HalfWidth]],ContinuousStatsTable[[#This Row],[BatchMeansHalfWidth]])</f>
        <v>0.32337907617258832</v>
      </c>
    </row>
    <row r="29" spans="1:21" x14ac:dyDescent="0.35">
      <c r="A29" t="s">
        <v>66</v>
      </c>
      <c r="B29" t="s">
        <v>69</v>
      </c>
      <c r="C29">
        <v>6</v>
      </c>
      <c r="D29" t="s">
        <v>83</v>
      </c>
      <c r="E29" t="s">
        <v>84</v>
      </c>
      <c r="F29" t="s">
        <v>85</v>
      </c>
      <c r="G29">
        <v>1</v>
      </c>
      <c r="H29">
        <v>2E+20</v>
      </c>
      <c r="I29">
        <v>0</v>
      </c>
      <c r="J29">
        <v>1</v>
      </c>
      <c r="K29">
        <v>1</v>
      </c>
      <c r="L29">
        <v>0</v>
      </c>
      <c r="M29" s="5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29" s="5" cm="1">
        <f t="array" ref="N29">MAX(IF((ProjectInfoTable[ProjectName]=ContinuousStatsTable[[#This Row],[ProjectName]]),(ProjectInfoTable[ProjectName]=ContinuousStatsTable[[#This Row],[ProjectName]])*ProjectInfoTable[NumberOfReplications]))</f>
        <v>50</v>
      </c>
      <c r="O29" s="5" cm="1">
        <f t="array" ref="O29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29" s="5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29" s="5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29" s="5" cm="1">
        <f t="array" ref="S29">MIN(IF((ContinuousStatsTable[GroupByKey]=ContinuousStatsTable[[#This Row],[GroupByKey]]),(ContinuousStatsTable[GroupByKey]=ContinuousStatsTable[[#This Row],[GroupByKey]])*ContinuousStatsTable[Average]))</f>
        <v>0.60846830422583797</v>
      </c>
      <c r="T29" s="5" cm="1">
        <f t="array" ref="T29">MAX(IF((ContinuousStatsTable[GroupByKey]=ContinuousStatsTable[[#This Row],[GroupByKey]]),(ContinuousStatsTable[GroupByKey]=ContinuousStatsTable[[#This Row],[GroupByKey]])*ContinuousStatsTable[Average]))</f>
        <v>1</v>
      </c>
      <c r="U29" s="5">
        <f>IF((ContinuousStatsTable[[#This Row],[RepsRequested]]&gt;1),ContinuousStatsTable[[#This Row],[HalfWidth]],ContinuousStatsTable[[#This Row],[BatchMeansHalfWidth]])</f>
        <v>3.350588705034975E-2</v>
      </c>
    </row>
    <row r="30" spans="1:21" x14ac:dyDescent="0.35">
      <c r="A30" t="s">
        <v>66</v>
      </c>
      <c r="B30" t="s">
        <v>69</v>
      </c>
      <c r="C30">
        <v>6</v>
      </c>
      <c r="D30" t="s">
        <v>83</v>
      </c>
      <c r="E30" t="s">
        <v>86</v>
      </c>
      <c r="F30" t="s">
        <v>85</v>
      </c>
      <c r="G30">
        <v>1</v>
      </c>
      <c r="H30">
        <v>2E+20</v>
      </c>
      <c r="I30">
        <v>0</v>
      </c>
      <c r="J30">
        <v>1</v>
      </c>
      <c r="K30">
        <v>1</v>
      </c>
      <c r="L30">
        <v>0</v>
      </c>
      <c r="M30" s="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30" s="5" cm="1">
        <f t="array" ref="N30">MAX(IF((ProjectInfoTable[ProjectName]=ContinuousStatsTable[[#This Row],[ProjectName]]),(ProjectInfoTable[ProjectName]=ContinuousStatsTable[[#This Row],[ProjectName]])*ProjectInfoTable[NumberOfReplications]))</f>
        <v>50</v>
      </c>
      <c r="O30" s="5" cm="1">
        <f t="array" ref="O30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30" s="5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30" s="5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30" s="5" cm="1">
        <f t="array" ref="S30">MIN(IF((ContinuousStatsTable[GroupByKey]=ContinuousStatsTable[[#This Row],[GroupByKey]]),(ContinuousStatsTable[GroupByKey]=ContinuousStatsTable[[#This Row],[GroupByKey]])*ContinuousStatsTable[Average]))</f>
        <v>0.60846830422583797</v>
      </c>
      <c r="T30" s="5" cm="1">
        <f t="array" ref="T30">MAX(IF((ContinuousStatsTable[GroupByKey]=ContinuousStatsTable[[#This Row],[GroupByKey]]),(ContinuousStatsTable[GroupByKey]=ContinuousStatsTable[[#This Row],[GroupByKey]])*ContinuousStatsTable[Average]))</f>
        <v>1</v>
      </c>
      <c r="U30" s="5">
        <f>IF((ContinuousStatsTable[[#This Row],[RepsRequested]]&gt;1),ContinuousStatsTable[[#This Row],[HalfWidth]],ContinuousStatsTable[[#This Row],[BatchMeansHalfWidth]])</f>
        <v>3.350588705034975E-2</v>
      </c>
    </row>
    <row r="31" spans="1:21" x14ac:dyDescent="0.35">
      <c r="A31" t="s">
        <v>66</v>
      </c>
      <c r="B31" t="s">
        <v>69</v>
      </c>
      <c r="C31">
        <v>6</v>
      </c>
      <c r="D31" t="s">
        <v>83</v>
      </c>
      <c r="E31" t="s">
        <v>87</v>
      </c>
      <c r="F31" t="s">
        <v>85</v>
      </c>
      <c r="G31">
        <v>1</v>
      </c>
      <c r="H31">
        <v>2E+20</v>
      </c>
      <c r="I31">
        <v>1</v>
      </c>
      <c r="J31">
        <v>1</v>
      </c>
      <c r="K31">
        <v>1</v>
      </c>
      <c r="L31">
        <v>0</v>
      </c>
      <c r="M31" s="5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31" s="5" cm="1">
        <f t="array" ref="N31">MAX(IF((ProjectInfoTable[ProjectName]=ContinuousStatsTable[[#This Row],[ProjectName]]),(ProjectInfoTable[ProjectName]=ContinuousStatsTable[[#This Row],[ProjectName]])*ProjectInfoTable[NumberOfReplications]))</f>
        <v>50</v>
      </c>
      <c r="O31" s="5" cm="1">
        <f t="array" ref="O31">IFERROR(AVERAGE(IF((ContinuousStatsTable[GroupByKey]=ContinuousStatsTable[[#This Row],[GroupByKey]]),(ContinuousStatsTable[GroupByKey]=ContinuousStatsTable[[#This Row],[GroupByKey]])*ContinuousStatsTable[Average])),0)</f>
        <v>1</v>
      </c>
      <c r="P31" s="5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0</v>
      </c>
      <c r="Q31" s="5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1" s="5" cm="1">
        <f t="array" ref="S31">MIN(IF((ContinuousStatsTable[GroupByKey]=ContinuousStatsTable[[#This Row],[GroupByKey]]),(ContinuousStatsTable[GroupByKey]=ContinuousStatsTable[[#This Row],[GroupByKey]])*ContinuousStatsTable[Average]))</f>
        <v>1</v>
      </c>
      <c r="T31" s="5" cm="1">
        <f t="array" ref="T31">MAX(IF((ContinuousStatsTable[GroupByKey]=ContinuousStatsTable[[#This Row],[GroupByKey]]),(ContinuousStatsTable[GroupByKey]=ContinuousStatsTable[[#This Row],[GroupByKey]])*ContinuousStatsTable[Average]))</f>
        <v>1</v>
      </c>
      <c r="U31" s="5">
        <f>IF((ContinuousStatsTable[[#This Row],[RepsRequested]]&gt;1),ContinuousStatsTable[[#This Row],[HalfWidth]],ContinuousStatsTable[[#This Row],[BatchMeansHalfWidth]])</f>
        <v>0</v>
      </c>
    </row>
    <row r="32" spans="1:21" x14ac:dyDescent="0.35">
      <c r="A32" t="s">
        <v>66</v>
      </c>
      <c r="B32" t="s">
        <v>69</v>
      </c>
      <c r="C32">
        <v>7</v>
      </c>
      <c r="D32" t="s">
        <v>70</v>
      </c>
      <c r="E32" t="s">
        <v>81</v>
      </c>
      <c r="F32" t="s">
        <v>72</v>
      </c>
      <c r="G32">
        <v>2.3572822073895798</v>
      </c>
      <c r="H32">
        <v>2E+20</v>
      </c>
      <c r="I32">
        <v>0</v>
      </c>
      <c r="J32">
        <v>4</v>
      </c>
      <c r="K32">
        <v>3</v>
      </c>
      <c r="L32">
        <v>0</v>
      </c>
      <c r="M32" s="5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32" s="5" cm="1">
        <f t="array" ref="N32">MAX(IF((ProjectInfoTable[ProjectName]=ContinuousStatsTable[[#This Row],[ProjectName]]),(ProjectInfoTable[ProjectName]=ContinuousStatsTable[[#This Row],[ProjectName]])*ProjectInfoTable[NumberOfReplications]))</f>
        <v>50</v>
      </c>
      <c r="O32" s="5" cm="1">
        <f t="array" ref="O32">IFERROR(AVERAGE(IF((ContinuousStatsTable[GroupByKey]=ContinuousStatsTable[[#This Row],[GroupByKey]]),(ContinuousStatsTable[GroupByKey]=ContinuousStatsTable[[#This Row],[GroupByKey]])*ContinuousStatsTable[Average])),0)</f>
        <v>2.1996658161417075</v>
      </c>
      <c r="P32" s="5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1.1994598865431718</v>
      </c>
      <c r="Q32" s="5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0.34088272804883424</v>
      </c>
      <c r="S32" s="5" cm="1">
        <f t="array" ref="S32">MIN(IF((ContinuousStatsTable[GroupByKey]=ContinuousStatsTable[[#This Row],[GroupByKey]]),(ContinuousStatsTable[GroupByKey]=ContinuousStatsTable[[#This Row],[GroupByKey]])*ContinuousStatsTable[Average]))</f>
        <v>0.70499985227053297</v>
      </c>
      <c r="T32" s="5" cm="1">
        <f t="array" ref="T32">MAX(IF((ContinuousStatsTable[GroupByKey]=ContinuousStatsTable[[#This Row],[GroupByKey]]),(ContinuousStatsTable[GroupByKey]=ContinuousStatsTable[[#This Row],[GroupByKey]])*ContinuousStatsTable[Average]))</f>
        <v>6.3083923025689197</v>
      </c>
      <c r="U32" s="5">
        <f>IF((ContinuousStatsTable[[#This Row],[RepsRequested]]&gt;1),ContinuousStatsTable[[#This Row],[HalfWidth]],ContinuousStatsTable[[#This Row],[BatchMeansHalfWidth]])</f>
        <v>0.34088272804883424</v>
      </c>
    </row>
    <row r="33" spans="1:21" x14ac:dyDescent="0.35">
      <c r="A33" t="s">
        <v>66</v>
      </c>
      <c r="B33" t="s">
        <v>69</v>
      </c>
      <c r="C33">
        <v>7</v>
      </c>
      <c r="D33" t="s">
        <v>78</v>
      </c>
      <c r="E33" t="s">
        <v>82</v>
      </c>
      <c r="F33" t="s">
        <v>80</v>
      </c>
      <c r="G33">
        <v>1.3572822073895801</v>
      </c>
      <c r="H33">
        <v>2E+20</v>
      </c>
      <c r="I33">
        <v>0</v>
      </c>
      <c r="J33">
        <v>3</v>
      </c>
      <c r="K33">
        <v>2</v>
      </c>
      <c r="L33">
        <v>0</v>
      </c>
      <c r="M33" s="5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33" s="5" cm="1">
        <f t="array" ref="N33">MAX(IF((ProjectInfoTable[ProjectName]=ContinuousStatsTable[[#This Row],[ProjectName]]),(ProjectInfoTable[ProjectName]=ContinuousStatsTable[[#This Row],[ProjectName]])*ProjectInfoTable[NumberOfReplications]))</f>
        <v>50</v>
      </c>
      <c r="O33" s="5" cm="1">
        <f t="array" ref="O33">IFERROR(AVERAGE(IF((ContinuousStatsTable[GroupByKey]=ContinuousStatsTable[[#This Row],[GroupByKey]]),(ContinuousStatsTable[GroupByKey]=ContinuousStatsTable[[#This Row],[GroupByKey]])*ContinuousStatsTable[Average])),0)</f>
        <v>1.2732860367273062</v>
      </c>
      <c r="P33" s="5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1.137870000737736</v>
      </c>
      <c r="Q33" s="5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0.32337907617258832</v>
      </c>
      <c r="S33" s="5" cm="1">
        <f t="array" ref="S33">MIN(IF((ContinuousStatsTable[GroupByKey]=ContinuousStatsTable[[#This Row],[GroupByKey]]),(ContinuousStatsTable[GroupByKey]=ContinuousStatsTable[[#This Row],[GroupByKey]])*ContinuousStatsTable[Average]))</f>
        <v>0</v>
      </c>
      <c r="T33" s="5" cm="1">
        <f t="array" ref="T33">MAX(IF((ContinuousStatsTable[GroupByKey]=ContinuousStatsTable[[#This Row],[GroupByKey]]),(ContinuousStatsTable[GroupByKey]=ContinuousStatsTable[[#This Row],[GroupByKey]])*ContinuousStatsTable[Average]))</f>
        <v>5.3083923025689197</v>
      </c>
      <c r="U33" s="5">
        <f>IF((ContinuousStatsTable[[#This Row],[RepsRequested]]&gt;1),ContinuousStatsTable[[#This Row],[HalfWidth]],ContinuousStatsTable[[#This Row],[BatchMeansHalfWidth]])</f>
        <v>0.32337907617258832</v>
      </c>
    </row>
    <row r="34" spans="1:21" x14ac:dyDescent="0.35">
      <c r="A34" t="s">
        <v>66</v>
      </c>
      <c r="B34" t="s">
        <v>69</v>
      </c>
      <c r="C34">
        <v>7</v>
      </c>
      <c r="D34" t="s">
        <v>83</v>
      </c>
      <c r="E34" t="s">
        <v>84</v>
      </c>
      <c r="F34" t="s">
        <v>85</v>
      </c>
      <c r="G34">
        <v>1</v>
      </c>
      <c r="H34">
        <v>2E+20</v>
      </c>
      <c r="I34">
        <v>0</v>
      </c>
      <c r="J34">
        <v>1</v>
      </c>
      <c r="K34">
        <v>1</v>
      </c>
      <c r="L34">
        <v>0</v>
      </c>
      <c r="M34" s="5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34" s="5" cm="1">
        <f t="array" ref="N34">MAX(IF((ProjectInfoTable[ProjectName]=ContinuousStatsTable[[#This Row],[ProjectName]]),(ProjectInfoTable[ProjectName]=ContinuousStatsTable[[#This Row],[ProjectName]])*ProjectInfoTable[NumberOfReplications]))</f>
        <v>50</v>
      </c>
      <c r="O34" s="5" cm="1">
        <f t="array" ref="O34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34" s="5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34" s="5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34" s="5" cm="1">
        <f t="array" ref="S34">MIN(IF((ContinuousStatsTable[GroupByKey]=ContinuousStatsTable[[#This Row],[GroupByKey]]),(ContinuousStatsTable[GroupByKey]=ContinuousStatsTable[[#This Row],[GroupByKey]])*ContinuousStatsTable[Average]))</f>
        <v>0.60846830422583797</v>
      </c>
      <c r="T34" s="5" cm="1">
        <f t="array" ref="T34">MAX(IF((ContinuousStatsTable[GroupByKey]=ContinuousStatsTable[[#This Row],[GroupByKey]]),(ContinuousStatsTable[GroupByKey]=ContinuousStatsTable[[#This Row],[GroupByKey]])*ContinuousStatsTable[Average]))</f>
        <v>1</v>
      </c>
      <c r="U34" s="5">
        <f>IF((ContinuousStatsTable[[#This Row],[RepsRequested]]&gt;1),ContinuousStatsTable[[#This Row],[HalfWidth]],ContinuousStatsTable[[#This Row],[BatchMeansHalfWidth]])</f>
        <v>3.350588705034975E-2</v>
      </c>
    </row>
    <row r="35" spans="1:21" x14ac:dyDescent="0.35">
      <c r="A35" t="s">
        <v>66</v>
      </c>
      <c r="B35" t="s">
        <v>69</v>
      </c>
      <c r="C35">
        <v>7</v>
      </c>
      <c r="D35" t="s">
        <v>83</v>
      </c>
      <c r="E35" t="s">
        <v>86</v>
      </c>
      <c r="F35" t="s">
        <v>85</v>
      </c>
      <c r="G35">
        <v>1</v>
      </c>
      <c r="H35">
        <v>2E+20</v>
      </c>
      <c r="I35">
        <v>0</v>
      </c>
      <c r="J35">
        <v>1</v>
      </c>
      <c r="K35">
        <v>1</v>
      </c>
      <c r="L35">
        <v>0</v>
      </c>
      <c r="M35" s="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35" s="5" cm="1">
        <f t="array" ref="N35">MAX(IF((ProjectInfoTable[ProjectName]=ContinuousStatsTable[[#This Row],[ProjectName]]),(ProjectInfoTable[ProjectName]=ContinuousStatsTable[[#This Row],[ProjectName]])*ProjectInfoTable[NumberOfReplications]))</f>
        <v>50</v>
      </c>
      <c r="O35" s="5" cm="1">
        <f t="array" ref="O35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35" s="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35" s="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35" s="5" cm="1">
        <f t="array" ref="S35">MIN(IF((ContinuousStatsTable[GroupByKey]=ContinuousStatsTable[[#This Row],[GroupByKey]]),(ContinuousStatsTable[GroupByKey]=ContinuousStatsTable[[#This Row],[GroupByKey]])*ContinuousStatsTable[Average]))</f>
        <v>0.60846830422583797</v>
      </c>
      <c r="T35" s="5" cm="1">
        <f t="array" ref="T35">MAX(IF((ContinuousStatsTable[GroupByKey]=ContinuousStatsTable[[#This Row],[GroupByKey]]),(ContinuousStatsTable[GroupByKey]=ContinuousStatsTable[[#This Row],[GroupByKey]])*ContinuousStatsTable[Average]))</f>
        <v>1</v>
      </c>
      <c r="U35" s="5">
        <f>IF((ContinuousStatsTable[[#This Row],[RepsRequested]]&gt;1),ContinuousStatsTable[[#This Row],[HalfWidth]],ContinuousStatsTable[[#This Row],[BatchMeansHalfWidth]])</f>
        <v>3.350588705034975E-2</v>
      </c>
    </row>
    <row r="36" spans="1:21" x14ac:dyDescent="0.35">
      <c r="A36" t="s">
        <v>66</v>
      </c>
      <c r="B36" t="s">
        <v>69</v>
      </c>
      <c r="C36">
        <v>7</v>
      </c>
      <c r="D36" t="s">
        <v>83</v>
      </c>
      <c r="E36" t="s">
        <v>87</v>
      </c>
      <c r="F36" t="s">
        <v>85</v>
      </c>
      <c r="G36">
        <v>1</v>
      </c>
      <c r="H36">
        <v>2E+20</v>
      </c>
      <c r="I36">
        <v>1</v>
      </c>
      <c r="J36">
        <v>1</v>
      </c>
      <c r="K36">
        <v>1</v>
      </c>
      <c r="L36">
        <v>0</v>
      </c>
      <c r="M36" s="5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36" s="5" cm="1">
        <f t="array" ref="N36">MAX(IF((ProjectInfoTable[ProjectName]=ContinuousStatsTable[[#This Row],[ProjectName]]),(ProjectInfoTable[ProjectName]=ContinuousStatsTable[[#This Row],[ProjectName]])*ProjectInfoTable[NumberOfReplications]))</f>
        <v>50</v>
      </c>
      <c r="O36" s="5" cm="1">
        <f t="array" ref="O36">IFERROR(AVERAGE(IF((ContinuousStatsTable[GroupByKey]=ContinuousStatsTable[[#This Row],[GroupByKey]]),(ContinuousStatsTable[GroupByKey]=ContinuousStatsTable[[#This Row],[GroupByKey]])*ContinuousStatsTable[Average])),0)</f>
        <v>1</v>
      </c>
      <c r="P36" s="5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0</v>
      </c>
      <c r="Q36" s="5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6" s="5" cm="1">
        <f t="array" ref="S36">MIN(IF((ContinuousStatsTable[GroupByKey]=ContinuousStatsTable[[#This Row],[GroupByKey]]),(ContinuousStatsTable[GroupByKey]=ContinuousStatsTable[[#This Row],[GroupByKey]])*ContinuousStatsTable[Average]))</f>
        <v>1</v>
      </c>
      <c r="T36" s="5" cm="1">
        <f t="array" ref="T36">MAX(IF((ContinuousStatsTable[GroupByKey]=ContinuousStatsTable[[#This Row],[GroupByKey]]),(ContinuousStatsTable[GroupByKey]=ContinuousStatsTable[[#This Row],[GroupByKey]])*ContinuousStatsTable[Average]))</f>
        <v>1</v>
      </c>
      <c r="U36" s="5">
        <f>IF((ContinuousStatsTable[[#This Row],[RepsRequested]]&gt;1),ContinuousStatsTable[[#This Row],[HalfWidth]],ContinuousStatsTable[[#This Row],[BatchMeansHalfWidth]])</f>
        <v>0</v>
      </c>
    </row>
    <row r="37" spans="1:21" x14ac:dyDescent="0.35">
      <c r="A37" t="s">
        <v>66</v>
      </c>
      <c r="B37" t="s">
        <v>69</v>
      </c>
      <c r="C37">
        <v>8</v>
      </c>
      <c r="D37" t="s">
        <v>70</v>
      </c>
      <c r="E37" t="s">
        <v>81</v>
      </c>
      <c r="F37" t="s">
        <v>72</v>
      </c>
      <c r="G37">
        <v>2.7223724973015302</v>
      </c>
      <c r="H37">
        <v>2E+20</v>
      </c>
      <c r="I37">
        <v>0</v>
      </c>
      <c r="J37">
        <v>4</v>
      </c>
      <c r="K37">
        <v>3</v>
      </c>
      <c r="L37">
        <v>0</v>
      </c>
      <c r="M37" s="5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37" s="5" cm="1">
        <f t="array" ref="N37">MAX(IF((ProjectInfoTable[ProjectName]=ContinuousStatsTable[[#This Row],[ProjectName]]),(ProjectInfoTable[ProjectName]=ContinuousStatsTable[[#This Row],[ProjectName]])*ProjectInfoTable[NumberOfReplications]))</f>
        <v>50</v>
      </c>
      <c r="O37" s="5" cm="1">
        <f t="array" ref="O37">IFERROR(AVERAGE(IF((ContinuousStatsTable[GroupByKey]=ContinuousStatsTable[[#This Row],[GroupByKey]]),(ContinuousStatsTable[GroupByKey]=ContinuousStatsTable[[#This Row],[GroupByKey]])*ContinuousStatsTable[Average])),0)</f>
        <v>2.1996658161417075</v>
      </c>
      <c r="P37" s="5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1.1994598865431718</v>
      </c>
      <c r="Q37" s="5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0.34088272804883424</v>
      </c>
      <c r="S37" s="5" cm="1">
        <f t="array" ref="S37">MIN(IF((ContinuousStatsTable[GroupByKey]=ContinuousStatsTable[[#This Row],[GroupByKey]]),(ContinuousStatsTable[GroupByKey]=ContinuousStatsTable[[#This Row],[GroupByKey]])*ContinuousStatsTable[Average]))</f>
        <v>0.70499985227053297</v>
      </c>
      <c r="T37" s="5" cm="1">
        <f t="array" ref="T37">MAX(IF((ContinuousStatsTable[GroupByKey]=ContinuousStatsTable[[#This Row],[GroupByKey]]),(ContinuousStatsTable[GroupByKey]=ContinuousStatsTable[[#This Row],[GroupByKey]])*ContinuousStatsTable[Average]))</f>
        <v>6.3083923025689197</v>
      </c>
      <c r="U37" s="5">
        <f>IF((ContinuousStatsTable[[#This Row],[RepsRequested]]&gt;1),ContinuousStatsTable[[#This Row],[HalfWidth]],ContinuousStatsTable[[#This Row],[BatchMeansHalfWidth]])</f>
        <v>0.34088272804883424</v>
      </c>
    </row>
    <row r="38" spans="1:21" x14ac:dyDescent="0.35">
      <c r="A38" t="s">
        <v>66</v>
      </c>
      <c r="B38" t="s">
        <v>69</v>
      </c>
      <c r="C38">
        <v>8</v>
      </c>
      <c r="D38" t="s">
        <v>78</v>
      </c>
      <c r="E38" t="s">
        <v>82</v>
      </c>
      <c r="F38" t="s">
        <v>80</v>
      </c>
      <c r="G38">
        <v>1.72237249730153</v>
      </c>
      <c r="H38">
        <v>2E+20</v>
      </c>
      <c r="I38">
        <v>0</v>
      </c>
      <c r="J38">
        <v>3</v>
      </c>
      <c r="K38">
        <v>2</v>
      </c>
      <c r="L38">
        <v>0</v>
      </c>
      <c r="M38" s="5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38" s="5" cm="1">
        <f t="array" ref="N38">MAX(IF((ProjectInfoTable[ProjectName]=ContinuousStatsTable[[#This Row],[ProjectName]]),(ProjectInfoTable[ProjectName]=ContinuousStatsTable[[#This Row],[ProjectName]])*ProjectInfoTable[NumberOfReplications]))</f>
        <v>50</v>
      </c>
      <c r="O38" s="5" cm="1">
        <f t="array" ref="O38">IFERROR(AVERAGE(IF((ContinuousStatsTable[GroupByKey]=ContinuousStatsTable[[#This Row],[GroupByKey]]),(ContinuousStatsTable[GroupByKey]=ContinuousStatsTable[[#This Row],[GroupByKey]])*ContinuousStatsTable[Average])),0)</f>
        <v>1.2732860367273062</v>
      </c>
      <c r="P38" s="5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1.137870000737736</v>
      </c>
      <c r="Q38" s="5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0.32337907617258832</v>
      </c>
      <c r="S38" s="5" cm="1">
        <f t="array" ref="S38">MIN(IF((ContinuousStatsTable[GroupByKey]=ContinuousStatsTable[[#This Row],[GroupByKey]]),(ContinuousStatsTable[GroupByKey]=ContinuousStatsTable[[#This Row],[GroupByKey]])*ContinuousStatsTable[Average]))</f>
        <v>0</v>
      </c>
      <c r="T38" s="5" cm="1">
        <f t="array" ref="T38">MAX(IF((ContinuousStatsTable[GroupByKey]=ContinuousStatsTable[[#This Row],[GroupByKey]]),(ContinuousStatsTable[GroupByKey]=ContinuousStatsTable[[#This Row],[GroupByKey]])*ContinuousStatsTable[Average]))</f>
        <v>5.3083923025689197</v>
      </c>
      <c r="U38" s="5">
        <f>IF((ContinuousStatsTable[[#This Row],[RepsRequested]]&gt;1),ContinuousStatsTable[[#This Row],[HalfWidth]],ContinuousStatsTable[[#This Row],[BatchMeansHalfWidth]])</f>
        <v>0.32337907617258832</v>
      </c>
    </row>
    <row r="39" spans="1:21" x14ac:dyDescent="0.35">
      <c r="A39" t="s">
        <v>66</v>
      </c>
      <c r="B39" t="s">
        <v>69</v>
      </c>
      <c r="C39">
        <v>8</v>
      </c>
      <c r="D39" t="s">
        <v>83</v>
      </c>
      <c r="E39" t="s">
        <v>84</v>
      </c>
      <c r="F39" t="s">
        <v>85</v>
      </c>
      <c r="G39">
        <v>1</v>
      </c>
      <c r="H39">
        <v>2E+20</v>
      </c>
      <c r="I39">
        <v>0</v>
      </c>
      <c r="J39">
        <v>1</v>
      </c>
      <c r="K39">
        <v>1</v>
      </c>
      <c r="L39">
        <v>0</v>
      </c>
      <c r="M39" s="5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39" s="5" cm="1">
        <f t="array" ref="N39">MAX(IF((ProjectInfoTable[ProjectName]=ContinuousStatsTable[[#This Row],[ProjectName]]),(ProjectInfoTable[ProjectName]=ContinuousStatsTable[[#This Row],[ProjectName]])*ProjectInfoTable[NumberOfReplications]))</f>
        <v>50</v>
      </c>
      <c r="O39" s="5" cm="1">
        <f t="array" ref="O39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39" s="5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39" s="5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39" s="5" cm="1">
        <f t="array" ref="S39">MIN(IF((ContinuousStatsTable[GroupByKey]=ContinuousStatsTable[[#This Row],[GroupByKey]]),(ContinuousStatsTable[GroupByKey]=ContinuousStatsTable[[#This Row],[GroupByKey]])*ContinuousStatsTable[Average]))</f>
        <v>0.60846830422583797</v>
      </c>
      <c r="T39" s="5" cm="1">
        <f t="array" ref="T39">MAX(IF((ContinuousStatsTable[GroupByKey]=ContinuousStatsTable[[#This Row],[GroupByKey]]),(ContinuousStatsTable[GroupByKey]=ContinuousStatsTable[[#This Row],[GroupByKey]])*ContinuousStatsTable[Average]))</f>
        <v>1</v>
      </c>
      <c r="U39" s="5">
        <f>IF((ContinuousStatsTable[[#This Row],[RepsRequested]]&gt;1),ContinuousStatsTable[[#This Row],[HalfWidth]],ContinuousStatsTable[[#This Row],[BatchMeansHalfWidth]])</f>
        <v>3.350588705034975E-2</v>
      </c>
    </row>
    <row r="40" spans="1:21" x14ac:dyDescent="0.35">
      <c r="A40" t="s">
        <v>66</v>
      </c>
      <c r="B40" t="s">
        <v>69</v>
      </c>
      <c r="C40">
        <v>8</v>
      </c>
      <c r="D40" t="s">
        <v>83</v>
      </c>
      <c r="E40" t="s">
        <v>86</v>
      </c>
      <c r="F40" t="s">
        <v>85</v>
      </c>
      <c r="G40">
        <v>1</v>
      </c>
      <c r="H40">
        <v>2E+20</v>
      </c>
      <c r="I40">
        <v>0</v>
      </c>
      <c r="J40">
        <v>1</v>
      </c>
      <c r="K40">
        <v>1</v>
      </c>
      <c r="L40">
        <v>0</v>
      </c>
      <c r="M40" s="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40" s="5" cm="1">
        <f t="array" ref="N40">MAX(IF((ProjectInfoTable[ProjectName]=ContinuousStatsTable[[#This Row],[ProjectName]]),(ProjectInfoTable[ProjectName]=ContinuousStatsTable[[#This Row],[ProjectName]])*ProjectInfoTable[NumberOfReplications]))</f>
        <v>50</v>
      </c>
      <c r="O40" s="5" cm="1">
        <f t="array" ref="O40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40" s="5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40" s="5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40" s="5" cm="1">
        <f t="array" ref="S40">MIN(IF((ContinuousStatsTable[GroupByKey]=ContinuousStatsTable[[#This Row],[GroupByKey]]),(ContinuousStatsTable[GroupByKey]=ContinuousStatsTable[[#This Row],[GroupByKey]])*ContinuousStatsTable[Average]))</f>
        <v>0.60846830422583797</v>
      </c>
      <c r="T40" s="5" cm="1">
        <f t="array" ref="T40">MAX(IF((ContinuousStatsTable[GroupByKey]=ContinuousStatsTable[[#This Row],[GroupByKey]]),(ContinuousStatsTable[GroupByKey]=ContinuousStatsTable[[#This Row],[GroupByKey]])*ContinuousStatsTable[Average]))</f>
        <v>1</v>
      </c>
      <c r="U40" s="5">
        <f>IF((ContinuousStatsTable[[#This Row],[RepsRequested]]&gt;1),ContinuousStatsTable[[#This Row],[HalfWidth]],ContinuousStatsTable[[#This Row],[BatchMeansHalfWidth]])</f>
        <v>3.350588705034975E-2</v>
      </c>
    </row>
    <row r="41" spans="1:21" x14ac:dyDescent="0.35">
      <c r="A41" t="s">
        <v>66</v>
      </c>
      <c r="B41" t="s">
        <v>69</v>
      </c>
      <c r="C41">
        <v>8</v>
      </c>
      <c r="D41" t="s">
        <v>83</v>
      </c>
      <c r="E41" t="s">
        <v>87</v>
      </c>
      <c r="F41" t="s">
        <v>85</v>
      </c>
      <c r="G41">
        <v>1</v>
      </c>
      <c r="H41">
        <v>2E+20</v>
      </c>
      <c r="I41">
        <v>1</v>
      </c>
      <c r="J41">
        <v>1</v>
      </c>
      <c r="K41">
        <v>1</v>
      </c>
      <c r="L41">
        <v>0</v>
      </c>
      <c r="M41" s="5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41" s="5" cm="1">
        <f t="array" ref="N41">MAX(IF((ProjectInfoTable[ProjectName]=ContinuousStatsTable[[#This Row],[ProjectName]]),(ProjectInfoTable[ProjectName]=ContinuousStatsTable[[#This Row],[ProjectName]])*ProjectInfoTable[NumberOfReplications]))</f>
        <v>50</v>
      </c>
      <c r="O41" s="5" cm="1">
        <f t="array" ref="O41">IFERROR(AVERAGE(IF((ContinuousStatsTable[GroupByKey]=ContinuousStatsTable[[#This Row],[GroupByKey]]),(ContinuousStatsTable[GroupByKey]=ContinuousStatsTable[[#This Row],[GroupByKey]])*ContinuousStatsTable[Average])),0)</f>
        <v>1</v>
      </c>
      <c r="P41" s="5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0</v>
      </c>
      <c r="Q41" s="5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1" s="5" cm="1">
        <f t="array" ref="S41">MIN(IF((ContinuousStatsTable[GroupByKey]=ContinuousStatsTable[[#This Row],[GroupByKey]]),(ContinuousStatsTable[GroupByKey]=ContinuousStatsTable[[#This Row],[GroupByKey]])*ContinuousStatsTable[Average]))</f>
        <v>1</v>
      </c>
      <c r="T41" s="5" cm="1">
        <f t="array" ref="T41">MAX(IF((ContinuousStatsTable[GroupByKey]=ContinuousStatsTable[[#This Row],[GroupByKey]]),(ContinuousStatsTable[GroupByKey]=ContinuousStatsTable[[#This Row],[GroupByKey]])*ContinuousStatsTable[Average]))</f>
        <v>1</v>
      </c>
      <c r="U41" s="5">
        <f>IF((ContinuousStatsTable[[#This Row],[RepsRequested]]&gt;1),ContinuousStatsTable[[#This Row],[HalfWidth]],ContinuousStatsTable[[#This Row],[BatchMeansHalfWidth]])</f>
        <v>0</v>
      </c>
    </row>
    <row r="42" spans="1:21" x14ac:dyDescent="0.35">
      <c r="A42" t="s">
        <v>66</v>
      </c>
      <c r="B42" t="s">
        <v>69</v>
      </c>
      <c r="C42">
        <v>9</v>
      </c>
      <c r="D42" t="s">
        <v>70</v>
      </c>
      <c r="E42" t="s">
        <v>81</v>
      </c>
      <c r="F42" t="s">
        <v>72</v>
      </c>
      <c r="G42">
        <v>1.9759385335499</v>
      </c>
      <c r="H42">
        <v>2E+20</v>
      </c>
      <c r="I42">
        <v>0</v>
      </c>
      <c r="J42">
        <v>5</v>
      </c>
      <c r="K42">
        <v>4</v>
      </c>
      <c r="L42">
        <v>0</v>
      </c>
      <c r="M42" s="5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42" s="5" cm="1">
        <f t="array" ref="N42">MAX(IF((ProjectInfoTable[ProjectName]=ContinuousStatsTable[[#This Row],[ProjectName]]),(ProjectInfoTable[ProjectName]=ContinuousStatsTable[[#This Row],[ProjectName]])*ProjectInfoTable[NumberOfReplications]))</f>
        <v>50</v>
      </c>
      <c r="O42" s="5" cm="1">
        <f t="array" ref="O42">IFERROR(AVERAGE(IF((ContinuousStatsTable[GroupByKey]=ContinuousStatsTable[[#This Row],[GroupByKey]]),(ContinuousStatsTable[GroupByKey]=ContinuousStatsTable[[#This Row],[GroupByKey]])*ContinuousStatsTable[Average])),0)</f>
        <v>2.1996658161417075</v>
      </c>
      <c r="P42" s="5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1.1994598865431718</v>
      </c>
      <c r="Q42" s="5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0.34088272804883424</v>
      </c>
      <c r="S42" s="5" cm="1">
        <f t="array" ref="S42">MIN(IF((ContinuousStatsTable[GroupByKey]=ContinuousStatsTable[[#This Row],[GroupByKey]]),(ContinuousStatsTable[GroupByKey]=ContinuousStatsTable[[#This Row],[GroupByKey]])*ContinuousStatsTable[Average]))</f>
        <v>0.70499985227053297</v>
      </c>
      <c r="T42" s="5" cm="1">
        <f t="array" ref="T42">MAX(IF((ContinuousStatsTable[GroupByKey]=ContinuousStatsTable[[#This Row],[GroupByKey]]),(ContinuousStatsTable[GroupByKey]=ContinuousStatsTable[[#This Row],[GroupByKey]])*ContinuousStatsTable[Average]))</f>
        <v>6.3083923025689197</v>
      </c>
      <c r="U42" s="5">
        <f>IF((ContinuousStatsTable[[#This Row],[RepsRequested]]&gt;1),ContinuousStatsTable[[#This Row],[HalfWidth]],ContinuousStatsTable[[#This Row],[BatchMeansHalfWidth]])</f>
        <v>0.34088272804883424</v>
      </c>
    </row>
    <row r="43" spans="1:21" x14ac:dyDescent="0.35">
      <c r="A43" t="s">
        <v>66</v>
      </c>
      <c r="B43" t="s">
        <v>69</v>
      </c>
      <c r="C43">
        <v>9</v>
      </c>
      <c r="D43" t="s">
        <v>78</v>
      </c>
      <c r="E43" t="s">
        <v>82</v>
      </c>
      <c r="F43" t="s">
        <v>80</v>
      </c>
      <c r="G43">
        <v>1.0247852586425901</v>
      </c>
      <c r="H43">
        <v>2E+20</v>
      </c>
      <c r="I43">
        <v>0</v>
      </c>
      <c r="J43">
        <v>4</v>
      </c>
      <c r="K43">
        <v>3</v>
      </c>
      <c r="L43">
        <v>0</v>
      </c>
      <c r="M43" s="5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43" s="5" cm="1">
        <f t="array" ref="N43">MAX(IF((ProjectInfoTable[ProjectName]=ContinuousStatsTable[[#This Row],[ProjectName]]),(ProjectInfoTable[ProjectName]=ContinuousStatsTable[[#This Row],[ProjectName]])*ProjectInfoTable[NumberOfReplications]))</f>
        <v>50</v>
      </c>
      <c r="O43" s="5" cm="1">
        <f t="array" ref="O43">IFERROR(AVERAGE(IF((ContinuousStatsTable[GroupByKey]=ContinuousStatsTable[[#This Row],[GroupByKey]]),(ContinuousStatsTable[GroupByKey]=ContinuousStatsTable[[#This Row],[GroupByKey]])*ContinuousStatsTable[Average])),0)</f>
        <v>1.2732860367273062</v>
      </c>
      <c r="P43" s="5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1.137870000737736</v>
      </c>
      <c r="Q43" s="5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0.32337907617258832</v>
      </c>
      <c r="S43" s="5" cm="1">
        <f t="array" ref="S43">MIN(IF((ContinuousStatsTable[GroupByKey]=ContinuousStatsTable[[#This Row],[GroupByKey]]),(ContinuousStatsTable[GroupByKey]=ContinuousStatsTable[[#This Row],[GroupByKey]])*ContinuousStatsTable[Average]))</f>
        <v>0</v>
      </c>
      <c r="T43" s="5" cm="1">
        <f t="array" ref="T43">MAX(IF((ContinuousStatsTable[GroupByKey]=ContinuousStatsTable[[#This Row],[GroupByKey]]),(ContinuousStatsTable[GroupByKey]=ContinuousStatsTable[[#This Row],[GroupByKey]])*ContinuousStatsTable[Average]))</f>
        <v>5.3083923025689197</v>
      </c>
      <c r="U43" s="5">
        <f>IF((ContinuousStatsTable[[#This Row],[RepsRequested]]&gt;1),ContinuousStatsTable[[#This Row],[HalfWidth]],ContinuousStatsTable[[#This Row],[BatchMeansHalfWidth]])</f>
        <v>0.32337907617258832</v>
      </c>
    </row>
    <row r="44" spans="1:21" x14ac:dyDescent="0.35">
      <c r="A44" t="s">
        <v>66</v>
      </c>
      <c r="B44" t="s">
        <v>69</v>
      </c>
      <c r="C44">
        <v>9</v>
      </c>
      <c r="D44" t="s">
        <v>83</v>
      </c>
      <c r="E44" t="s">
        <v>84</v>
      </c>
      <c r="F44" t="s">
        <v>85</v>
      </c>
      <c r="G44">
        <v>0.95115327490730395</v>
      </c>
      <c r="H44">
        <v>2E+20</v>
      </c>
      <c r="I44">
        <v>0</v>
      </c>
      <c r="J44">
        <v>1</v>
      </c>
      <c r="K44">
        <v>1</v>
      </c>
      <c r="L44">
        <v>0</v>
      </c>
      <c r="M44" s="5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44" s="5" cm="1">
        <f t="array" ref="N44">MAX(IF((ProjectInfoTable[ProjectName]=ContinuousStatsTable[[#This Row],[ProjectName]]),(ProjectInfoTable[ProjectName]=ContinuousStatsTable[[#This Row],[ProjectName]])*ProjectInfoTable[NumberOfReplications]))</f>
        <v>50</v>
      </c>
      <c r="O44" s="5" cm="1">
        <f t="array" ref="O44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44" s="5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44" s="5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44" s="5" cm="1">
        <f t="array" ref="S44">MIN(IF((ContinuousStatsTable[GroupByKey]=ContinuousStatsTable[[#This Row],[GroupByKey]]),(ContinuousStatsTable[GroupByKey]=ContinuousStatsTable[[#This Row],[GroupByKey]])*ContinuousStatsTable[Average]))</f>
        <v>0.60846830422583797</v>
      </c>
      <c r="T44" s="5" cm="1">
        <f t="array" ref="T44">MAX(IF((ContinuousStatsTable[GroupByKey]=ContinuousStatsTable[[#This Row],[GroupByKey]]),(ContinuousStatsTable[GroupByKey]=ContinuousStatsTable[[#This Row],[GroupByKey]])*ContinuousStatsTable[Average]))</f>
        <v>1</v>
      </c>
      <c r="U44" s="5">
        <f>IF((ContinuousStatsTable[[#This Row],[RepsRequested]]&gt;1),ContinuousStatsTable[[#This Row],[HalfWidth]],ContinuousStatsTable[[#This Row],[BatchMeansHalfWidth]])</f>
        <v>3.350588705034975E-2</v>
      </c>
    </row>
    <row r="45" spans="1:21" x14ac:dyDescent="0.35">
      <c r="A45" t="s">
        <v>66</v>
      </c>
      <c r="B45" t="s">
        <v>69</v>
      </c>
      <c r="C45">
        <v>9</v>
      </c>
      <c r="D45" t="s">
        <v>83</v>
      </c>
      <c r="E45" t="s">
        <v>86</v>
      </c>
      <c r="F45" t="s">
        <v>85</v>
      </c>
      <c r="G45">
        <v>0.95115327490730395</v>
      </c>
      <c r="H45">
        <v>2E+20</v>
      </c>
      <c r="I45">
        <v>0</v>
      </c>
      <c r="J45">
        <v>1</v>
      </c>
      <c r="K45">
        <v>1</v>
      </c>
      <c r="L45">
        <v>0</v>
      </c>
      <c r="M45" s="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45" s="5" cm="1">
        <f t="array" ref="N45">MAX(IF((ProjectInfoTable[ProjectName]=ContinuousStatsTable[[#This Row],[ProjectName]]),(ProjectInfoTable[ProjectName]=ContinuousStatsTable[[#This Row],[ProjectName]])*ProjectInfoTable[NumberOfReplications]))</f>
        <v>50</v>
      </c>
      <c r="O45" s="5" cm="1">
        <f t="array" ref="O45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45" s="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45" s="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45" s="5" cm="1">
        <f t="array" ref="S45">MIN(IF((ContinuousStatsTable[GroupByKey]=ContinuousStatsTable[[#This Row],[GroupByKey]]),(ContinuousStatsTable[GroupByKey]=ContinuousStatsTable[[#This Row],[GroupByKey]])*ContinuousStatsTable[Average]))</f>
        <v>0.60846830422583797</v>
      </c>
      <c r="T45" s="5" cm="1">
        <f t="array" ref="T45">MAX(IF((ContinuousStatsTable[GroupByKey]=ContinuousStatsTable[[#This Row],[GroupByKey]]),(ContinuousStatsTable[GroupByKey]=ContinuousStatsTable[[#This Row],[GroupByKey]])*ContinuousStatsTable[Average]))</f>
        <v>1</v>
      </c>
      <c r="U45" s="5">
        <f>IF((ContinuousStatsTable[[#This Row],[RepsRequested]]&gt;1),ContinuousStatsTable[[#This Row],[HalfWidth]],ContinuousStatsTable[[#This Row],[BatchMeansHalfWidth]])</f>
        <v>3.350588705034975E-2</v>
      </c>
    </row>
    <row r="46" spans="1:21" x14ac:dyDescent="0.35">
      <c r="A46" t="s">
        <v>66</v>
      </c>
      <c r="B46" t="s">
        <v>69</v>
      </c>
      <c r="C46">
        <v>9</v>
      </c>
      <c r="D46" t="s">
        <v>83</v>
      </c>
      <c r="E46" t="s">
        <v>87</v>
      </c>
      <c r="F46" t="s">
        <v>85</v>
      </c>
      <c r="G46">
        <v>1</v>
      </c>
      <c r="H46">
        <v>2E+20</v>
      </c>
      <c r="I46">
        <v>1</v>
      </c>
      <c r="J46">
        <v>1</v>
      </c>
      <c r="K46">
        <v>1</v>
      </c>
      <c r="L46">
        <v>0</v>
      </c>
      <c r="M46" s="5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46" s="5" cm="1">
        <f t="array" ref="N46">MAX(IF((ProjectInfoTable[ProjectName]=ContinuousStatsTable[[#This Row],[ProjectName]]),(ProjectInfoTable[ProjectName]=ContinuousStatsTable[[#This Row],[ProjectName]])*ProjectInfoTable[NumberOfReplications]))</f>
        <v>50</v>
      </c>
      <c r="O46" s="5" cm="1">
        <f t="array" ref="O46">IFERROR(AVERAGE(IF((ContinuousStatsTable[GroupByKey]=ContinuousStatsTable[[#This Row],[GroupByKey]]),(ContinuousStatsTable[GroupByKey]=ContinuousStatsTable[[#This Row],[GroupByKey]])*ContinuousStatsTable[Average])),0)</f>
        <v>1</v>
      </c>
      <c r="P46" s="5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0</v>
      </c>
      <c r="Q46" s="5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6" s="5" cm="1">
        <f t="array" ref="S46">MIN(IF((ContinuousStatsTable[GroupByKey]=ContinuousStatsTable[[#This Row],[GroupByKey]]),(ContinuousStatsTable[GroupByKey]=ContinuousStatsTable[[#This Row],[GroupByKey]])*ContinuousStatsTable[Average]))</f>
        <v>1</v>
      </c>
      <c r="T46" s="5" cm="1">
        <f t="array" ref="T46">MAX(IF((ContinuousStatsTable[GroupByKey]=ContinuousStatsTable[[#This Row],[GroupByKey]]),(ContinuousStatsTable[GroupByKey]=ContinuousStatsTable[[#This Row],[GroupByKey]])*ContinuousStatsTable[Average]))</f>
        <v>1</v>
      </c>
      <c r="U46" s="5">
        <f>IF((ContinuousStatsTable[[#This Row],[RepsRequested]]&gt;1),ContinuousStatsTable[[#This Row],[HalfWidth]],ContinuousStatsTable[[#This Row],[BatchMeansHalfWidth]])</f>
        <v>0</v>
      </c>
    </row>
    <row r="47" spans="1:21" x14ac:dyDescent="0.35">
      <c r="A47" t="s">
        <v>66</v>
      </c>
      <c r="B47" t="s">
        <v>69</v>
      </c>
      <c r="C47">
        <v>10</v>
      </c>
      <c r="D47" t="s">
        <v>70</v>
      </c>
      <c r="E47" t="s">
        <v>81</v>
      </c>
      <c r="F47" t="s">
        <v>72</v>
      </c>
      <c r="G47">
        <v>2.0428534308455699</v>
      </c>
      <c r="H47">
        <v>2E+20</v>
      </c>
      <c r="I47">
        <v>0</v>
      </c>
      <c r="J47">
        <v>3</v>
      </c>
      <c r="K47">
        <v>2</v>
      </c>
      <c r="L47">
        <v>0</v>
      </c>
      <c r="M47" s="5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47" s="5" cm="1">
        <f t="array" ref="N47">MAX(IF((ProjectInfoTable[ProjectName]=ContinuousStatsTable[[#This Row],[ProjectName]]),(ProjectInfoTable[ProjectName]=ContinuousStatsTable[[#This Row],[ProjectName]])*ProjectInfoTable[NumberOfReplications]))</f>
        <v>50</v>
      </c>
      <c r="O47" s="5" cm="1">
        <f t="array" ref="O47">IFERROR(AVERAGE(IF((ContinuousStatsTable[GroupByKey]=ContinuousStatsTable[[#This Row],[GroupByKey]]),(ContinuousStatsTable[GroupByKey]=ContinuousStatsTable[[#This Row],[GroupByKey]])*ContinuousStatsTable[Average])),0)</f>
        <v>2.1996658161417075</v>
      </c>
      <c r="P47" s="5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1.1994598865431718</v>
      </c>
      <c r="Q47" s="5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0.34088272804883424</v>
      </c>
      <c r="S47" s="5" cm="1">
        <f t="array" ref="S47">MIN(IF((ContinuousStatsTable[GroupByKey]=ContinuousStatsTable[[#This Row],[GroupByKey]]),(ContinuousStatsTable[GroupByKey]=ContinuousStatsTable[[#This Row],[GroupByKey]])*ContinuousStatsTable[Average]))</f>
        <v>0.70499985227053297</v>
      </c>
      <c r="T47" s="5" cm="1">
        <f t="array" ref="T47">MAX(IF((ContinuousStatsTable[GroupByKey]=ContinuousStatsTable[[#This Row],[GroupByKey]]),(ContinuousStatsTable[GroupByKey]=ContinuousStatsTable[[#This Row],[GroupByKey]])*ContinuousStatsTable[Average]))</f>
        <v>6.3083923025689197</v>
      </c>
      <c r="U47" s="5">
        <f>IF((ContinuousStatsTable[[#This Row],[RepsRequested]]&gt;1),ContinuousStatsTable[[#This Row],[HalfWidth]],ContinuousStatsTable[[#This Row],[BatchMeansHalfWidth]])</f>
        <v>0.34088272804883424</v>
      </c>
    </row>
    <row r="48" spans="1:21" x14ac:dyDescent="0.35">
      <c r="A48" t="s">
        <v>66</v>
      </c>
      <c r="B48" t="s">
        <v>69</v>
      </c>
      <c r="C48">
        <v>10</v>
      </c>
      <c r="D48" t="s">
        <v>78</v>
      </c>
      <c r="E48" t="s">
        <v>82</v>
      </c>
      <c r="F48" t="s">
        <v>80</v>
      </c>
      <c r="G48">
        <v>1.0428534308455699</v>
      </c>
      <c r="H48">
        <v>2E+20</v>
      </c>
      <c r="I48">
        <v>0</v>
      </c>
      <c r="J48">
        <v>2</v>
      </c>
      <c r="K48">
        <v>1</v>
      </c>
      <c r="L48">
        <v>0</v>
      </c>
      <c r="M48" s="5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48" s="5" cm="1">
        <f t="array" ref="N48">MAX(IF((ProjectInfoTable[ProjectName]=ContinuousStatsTable[[#This Row],[ProjectName]]),(ProjectInfoTable[ProjectName]=ContinuousStatsTable[[#This Row],[ProjectName]])*ProjectInfoTable[NumberOfReplications]))</f>
        <v>50</v>
      </c>
      <c r="O48" s="5" cm="1">
        <f t="array" ref="O48">IFERROR(AVERAGE(IF((ContinuousStatsTable[GroupByKey]=ContinuousStatsTable[[#This Row],[GroupByKey]]),(ContinuousStatsTable[GroupByKey]=ContinuousStatsTable[[#This Row],[GroupByKey]])*ContinuousStatsTable[Average])),0)</f>
        <v>1.2732860367273062</v>
      </c>
      <c r="P48" s="5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1.137870000737736</v>
      </c>
      <c r="Q48" s="5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0.32337907617258832</v>
      </c>
      <c r="S48" s="5" cm="1">
        <f t="array" ref="S48">MIN(IF((ContinuousStatsTable[GroupByKey]=ContinuousStatsTable[[#This Row],[GroupByKey]]),(ContinuousStatsTable[GroupByKey]=ContinuousStatsTable[[#This Row],[GroupByKey]])*ContinuousStatsTable[Average]))</f>
        <v>0</v>
      </c>
      <c r="T48" s="5" cm="1">
        <f t="array" ref="T48">MAX(IF((ContinuousStatsTable[GroupByKey]=ContinuousStatsTable[[#This Row],[GroupByKey]]),(ContinuousStatsTable[GroupByKey]=ContinuousStatsTable[[#This Row],[GroupByKey]])*ContinuousStatsTable[Average]))</f>
        <v>5.3083923025689197</v>
      </c>
      <c r="U48" s="5">
        <f>IF((ContinuousStatsTable[[#This Row],[RepsRequested]]&gt;1),ContinuousStatsTable[[#This Row],[HalfWidth]],ContinuousStatsTable[[#This Row],[BatchMeansHalfWidth]])</f>
        <v>0.32337907617258832</v>
      </c>
    </row>
    <row r="49" spans="1:21" x14ac:dyDescent="0.35">
      <c r="A49" t="s">
        <v>66</v>
      </c>
      <c r="B49" t="s">
        <v>69</v>
      </c>
      <c r="C49">
        <v>10</v>
      </c>
      <c r="D49" t="s">
        <v>83</v>
      </c>
      <c r="E49" t="s">
        <v>84</v>
      </c>
      <c r="F49" t="s">
        <v>85</v>
      </c>
      <c r="G49">
        <v>1</v>
      </c>
      <c r="H49">
        <v>2E+20</v>
      </c>
      <c r="I49">
        <v>0</v>
      </c>
      <c r="J49">
        <v>1</v>
      </c>
      <c r="K49">
        <v>1</v>
      </c>
      <c r="L49">
        <v>0</v>
      </c>
      <c r="M49" s="5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49" s="5" cm="1">
        <f t="array" ref="N49">MAX(IF((ProjectInfoTable[ProjectName]=ContinuousStatsTable[[#This Row],[ProjectName]]),(ProjectInfoTable[ProjectName]=ContinuousStatsTable[[#This Row],[ProjectName]])*ProjectInfoTable[NumberOfReplications]))</f>
        <v>50</v>
      </c>
      <c r="O49" s="5" cm="1">
        <f t="array" ref="O49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49" s="5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49" s="5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49" s="5" cm="1">
        <f t="array" ref="S49">MIN(IF((ContinuousStatsTable[GroupByKey]=ContinuousStatsTable[[#This Row],[GroupByKey]]),(ContinuousStatsTable[GroupByKey]=ContinuousStatsTable[[#This Row],[GroupByKey]])*ContinuousStatsTable[Average]))</f>
        <v>0.60846830422583797</v>
      </c>
      <c r="T49" s="5" cm="1">
        <f t="array" ref="T49">MAX(IF((ContinuousStatsTable[GroupByKey]=ContinuousStatsTable[[#This Row],[GroupByKey]]),(ContinuousStatsTable[GroupByKey]=ContinuousStatsTable[[#This Row],[GroupByKey]])*ContinuousStatsTable[Average]))</f>
        <v>1</v>
      </c>
      <c r="U49" s="5">
        <f>IF((ContinuousStatsTable[[#This Row],[RepsRequested]]&gt;1),ContinuousStatsTable[[#This Row],[HalfWidth]],ContinuousStatsTable[[#This Row],[BatchMeansHalfWidth]])</f>
        <v>3.350588705034975E-2</v>
      </c>
    </row>
    <row r="50" spans="1:21" x14ac:dyDescent="0.35">
      <c r="A50" t="s">
        <v>66</v>
      </c>
      <c r="B50" t="s">
        <v>69</v>
      </c>
      <c r="C50">
        <v>10</v>
      </c>
      <c r="D50" t="s">
        <v>83</v>
      </c>
      <c r="E50" t="s">
        <v>86</v>
      </c>
      <c r="F50" t="s">
        <v>85</v>
      </c>
      <c r="G50">
        <v>1</v>
      </c>
      <c r="H50">
        <v>2E+20</v>
      </c>
      <c r="I50">
        <v>0</v>
      </c>
      <c r="J50">
        <v>1</v>
      </c>
      <c r="K50">
        <v>1</v>
      </c>
      <c r="L50">
        <v>0</v>
      </c>
      <c r="M50" s="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50" s="5" cm="1">
        <f t="array" ref="N50">MAX(IF((ProjectInfoTable[ProjectName]=ContinuousStatsTable[[#This Row],[ProjectName]]),(ProjectInfoTable[ProjectName]=ContinuousStatsTable[[#This Row],[ProjectName]])*ProjectInfoTable[NumberOfReplications]))</f>
        <v>50</v>
      </c>
      <c r="O50" s="5" cm="1">
        <f t="array" ref="O50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50" s="5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50" s="5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50" s="5" cm="1">
        <f t="array" ref="S50">MIN(IF((ContinuousStatsTable[GroupByKey]=ContinuousStatsTable[[#This Row],[GroupByKey]]),(ContinuousStatsTable[GroupByKey]=ContinuousStatsTable[[#This Row],[GroupByKey]])*ContinuousStatsTable[Average]))</f>
        <v>0.60846830422583797</v>
      </c>
      <c r="T50" s="5" cm="1">
        <f t="array" ref="T50">MAX(IF((ContinuousStatsTable[GroupByKey]=ContinuousStatsTable[[#This Row],[GroupByKey]]),(ContinuousStatsTable[GroupByKey]=ContinuousStatsTable[[#This Row],[GroupByKey]])*ContinuousStatsTable[Average]))</f>
        <v>1</v>
      </c>
      <c r="U50" s="5">
        <f>IF((ContinuousStatsTable[[#This Row],[RepsRequested]]&gt;1),ContinuousStatsTable[[#This Row],[HalfWidth]],ContinuousStatsTable[[#This Row],[BatchMeansHalfWidth]])</f>
        <v>3.350588705034975E-2</v>
      </c>
    </row>
    <row r="51" spans="1:21" x14ac:dyDescent="0.35">
      <c r="A51" t="s">
        <v>66</v>
      </c>
      <c r="B51" t="s">
        <v>69</v>
      </c>
      <c r="C51">
        <v>10</v>
      </c>
      <c r="D51" t="s">
        <v>83</v>
      </c>
      <c r="E51" t="s">
        <v>87</v>
      </c>
      <c r="F51" t="s">
        <v>85</v>
      </c>
      <c r="G51">
        <v>1</v>
      </c>
      <c r="H51">
        <v>2E+20</v>
      </c>
      <c r="I51">
        <v>1</v>
      </c>
      <c r="J51">
        <v>1</v>
      </c>
      <c r="K51">
        <v>1</v>
      </c>
      <c r="L51">
        <v>0</v>
      </c>
      <c r="M51" s="5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51" s="5" cm="1">
        <f t="array" ref="N51">MAX(IF((ProjectInfoTable[ProjectName]=ContinuousStatsTable[[#This Row],[ProjectName]]),(ProjectInfoTable[ProjectName]=ContinuousStatsTable[[#This Row],[ProjectName]])*ProjectInfoTable[NumberOfReplications]))</f>
        <v>50</v>
      </c>
      <c r="O51" s="5" cm="1">
        <f t="array" ref="O51">IFERROR(AVERAGE(IF((ContinuousStatsTable[GroupByKey]=ContinuousStatsTable[[#This Row],[GroupByKey]]),(ContinuousStatsTable[GroupByKey]=ContinuousStatsTable[[#This Row],[GroupByKey]])*ContinuousStatsTable[Average])),0)</f>
        <v>1</v>
      </c>
      <c r="P51" s="5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0</v>
      </c>
      <c r="Q51" s="5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1" s="5" cm="1">
        <f t="array" ref="S51">MIN(IF((ContinuousStatsTable[GroupByKey]=ContinuousStatsTable[[#This Row],[GroupByKey]]),(ContinuousStatsTable[GroupByKey]=ContinuousStatsTable[[#This Row],[GroupByKey]])*ContinuousStatsTable[Average]))</f>
        <v>1</v>
      </c>
      <c r="T51" s="5" cm="1">
        <f t="array" ref="T51">MAX(IF((ContinuousStatsTable[GroupByKey]=ContinuousStatsTable[[#This Row],[GroupByKey]]),(ContinuousStatsTable[GroupByKey]=ContinuousStatsTable[[#This Row],[GroupByKey]])*ContinuousStatsTable[Average]))</f>
        <v>1</v>
      </c>
      <c r="U51" s="5">
        <f>IF((ContinuousStatsTable[[#This Row],[RepsRequested]]&gt;1),ContinuousStatsTable[[#This Row],[HalfWidth]],ContinuousStatsTable[[#This Row],[BatchMeansHalfWidth]])</f>
        <v>0</v>
      </c>
    </row>
    <row r="52" spans="1:21" x14ac:dyDescent="0.35">
      <c r="A52" t="s">
        <v>66</v>
      </c>
      <c r="B52" t="s">
        <v>69</v>
      </c>
      <c r="C52">
        <v>11</v>
      </c>
      <c r="D52" t="s">
        <v>70</v>
      </c>
      <c r="E52" t="s">
        <v>81</v>
      </c>
      <c r="F52" t="s">
        <v>72</v>
      </c>
      <c r="G52">
        <v>1.2891259511622</v>
      </c>
      <c r="H52">
        <v>2E+20</v>
      </c>
      <c r="I52">
        <v>0</v>
      </c>
      <c r="J52">
        <v>2</v>
      </c>
      <c r="K52">
        <v>1</v>
      </c>
      <c r="L52">
        <v>0</v>
      </c>
      <c r="M52" s="5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52" s="5" cm="1">
        <f t="array" ref="N52">MAX(IF((ProjectInfoTable[ProjectName]=ContinuousStatsTable[[#This Row],[ProjectName]]),(ProjectInfoTable[ProjectName]=ContinuousStatsTable[[#This Row],[ProjectName]])*ProjectInfoTable[NumberOfReplications]))</f>
        <v>50</v>
      </c>
      <c r="O52" s="5" cm="1">
        <f t="array" ref="O52">IFERROR(AVERAGE(IF((ContinuousStatsTable[GroupByKey]=ContinuousStatsTable[[#This Row],[GroupByKey]]),(ContinuousStatsTable[GroupByKey]=ContinuousStatsTable[[#This Row],[GroupByKey]])*ContinuousStatsTable[Average])),0)</f>
        <v>2.1996658161417075</v>
      </c>
      <c r="P52" s="5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1.1994598865431718</v>
      </c>
      <c r="Q52" s="5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0.34088272804883424</v>
      </c>
      <c r="S52" s="5" cm="1">
        <f t="array" ref="S52">MIN(IF((ContinuousStatsTable[GroupByKey]=ContinuousStatsTable[[#This Row],[GroupByKey]]),(ContinuousStatsTable[GroupByKey]=ContinuousStatsTable[[#This Row],[GroupByKey]])*ContinuousStatsTable[Average]))</f>
        <v>0.70499985227053297</v>
      </c>
      <c r="T52" s="5" cm="1">
        <f t="array" ref="T52">MAX(IF((ContinuousStatsTable[GroupByKey]=ContinuousStatsTable[[#This Row],[GroupByKey]]),(ContinuousStatsTable[GroupByKey]=ContinuousStatsTable[[#This Row],[GroupByKey]])*ContinuousStatsTable[Average]))</f>
        <v>6.3083923025689197</v>
      </c>
      <c r="U52" s="5">
        <f>IF((ContinuousStatsTable[[#This Row],[RepsRequested]]&gt;1),ContinuousStatsTable[[#This Row],[HalfWidth]],ContinuousStatsTable[[#This Row],[BatchMeansHalfWidth]])</f>
        <v>0.34088272804883424</v>
      </c>
    </row>
    <row r="53" spans="1:21" x14ac:dyDescent="0.35">
      <c r="A53" t="s">
        <v>66</v>
      </c>
      <c r="B53" t="s">
        <v>69</v>
      </c>
      <c r="C53">
        <v>11</v>
      </c>
      <c r="D53" t="s">
        <v>78</v>
      </c>
      <c r="E53" t="s">
        <v>82</v>
      </c>
      <c r="F53" t="s">
        <v>80</v>
      </c>
      <c r="G53">
        <v>0.28912595116220002</v>
      </c>
      <c r="H53">
        <v>2E+20</v>
      </c>
      <c r="I53">
        <v>0</v>
      </c>
      <c r="J53">
        <v>1</v>
      </c>
      <c r="K53">
        <v>0</v>
      </c>
      <c r="L53">
        <v>0</v>
      </c>
      <c r="M53" s="5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53" s="5" cm="1">
        <f t="array" ref="N53">MAX(IF((ProjectInfoTable[ProjectName]=ContinuousStatsTable[[#This Row],[ProjectName]]),(ProjectInfoTable[ProjectName]=ContinuousStatsTable[[#This Row],[ProjectName]])*ProjectInfoTable[NumberOfReplications]))</f>
        <v>50</v>
      </c>
      <c r="O53" s="5" cm="1">
        <f t="array" ref="O53">IFERROR(AVERAGE(IF((ContinuousStatsTable[GroupByKey]=ContinuousStatsTable[[#This Row],[GroupByKey]]),(ContinuousStatsTable[GroupByKey]=ContinuousStatsTable[[#This Row],[GroupByKey]])*ContinuousStatsTable[Average])),0)</f>
        <v>1.2732860367273062</v>
      </c>
      <c r="P53" s="5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1.137870000737736</v>
      </c>
      <c r="Q53" s="5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0.32337907617258832</v>
      </c>
      <c r="S53" s="5" cm="1">
        <f t="array" ref="S53">MIN(IF((ContinuousStatsTable[GroupByKey]=ContinuousStatsTable[[#This Row],[GroupByKey]]),(ContinuousStatsTable[GroupByKey]=ContinuousStatsTable[[#This Row],[GroupByKey]])*ContinuousStatsTable[Average]))</f>
        <v>0</v>
      </c>
      <c r="T53" s="5" cm="1">
        <f t="array" ref="T53">MAX(IF((ContinuousStatsTable[GroupByKey]=ContinuousStatsTable[[#This Row],[GroupByKey]]),(ContinuousStatsTable[GroupByKey]=ContinuousStatsTable[[#This Row],[GroupByKey]])*ContinuousStatsTable[Average]))</f>
        <v>5.3083923025689197</v>
      </c>
      <c r="U53" s="5">
        <f>IF((ContinuousStatsTable[[#This Row],[RepsRequested]]&gt;1),ContinuousStatsTable[[#This Row],[HalfWidth]],ContinuousStatsTable[[#This Row],[BatchMeansHalfWidth]])</f>
        <v>0.32337907617258832</v>
      </c>
    </row>
    <row r="54" spans="1:21" x14ac:dyDescent="0.35">
      <c r="A54" t="s">
        <v>66</v>
      </c>
      <c r="B54" t="s">
        <v>69</v>
      </c>
      <c r="C54">
        <v>11</v>
      </c>
      <c r="D54" t="s">
        <v>83</v>
      </c>
      <c r="E54" t="s">
        <v>84</v>
      </c>
      <c r="F54" t="s">
        <v>85</v>
      </c>
      <c r="G54">
        <v>1</v>
      </c>
      <c r="H54">
        <v>2E+20</v>
      </c>
      <c r="I54">
        <v>0</v>
      </c>
      <c r="J54">
        <v>1</v>
      </c>
      <c r="K54">
        <v>1</v>
      </c>
      <c r="L54">
        <v>0</v>
      </c>
      <c r="M54" s="5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54" s="5" cm="1">
        <f t="array" ref="N54">MAX(IF((ProjectInfoTable[ProjectName]=ContinuousStatsTable[[#This Row],[ProjectName]]),(ProjectInfoTable[ProjectName]=ContinuousStatsTable[[#This Row],[ProjectName]])*ProjectInfoTable[NumberOfReplications]))</f>
        <v>50</v>
      </c>
      <c r="O54" s="5" cm="1">
        <f t="array" ref="O54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54" s="5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54" s="5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54" s="5" cm="1">
        <f t="array" ref="S54">MIN(IF((ContinuousStatsTable[GroupByKey]=ContinuousStatsTable[[#This Row],[GroupByKey]]),(ContinuousStatsTable[GroupByKey]=ContinuousStatsTable[[#This Row],[GroupByKey]])*ContinuousStatsTable[Average]))</f>
        <v>0.60846830422583797</v>
      </c>
      <c r="T54" s="5" cm="1">
        <f t="array" ref="T54">MAX(IF((ContinuousStatsTable[GroupByKey]=ContinuousStatsTable[[#This Row],[GroupByKey]]),(ContinuousStatsTable[GroupByKey]=ContinuousStatsTable[[#This Row],[GroupByKey]])*ContinuousStatsTable[Average]))</f>
        <v>1</v>
      </c>
      <c r="U54" s="5">
        <f>IF((ContinuousStatsTable[[#This Row],[RepsRequested]]&gt;1),ContinuousStatsTable[[#This Row],[HalfWidth]],ContinuousStatsTable[[#This Row],[BatchMeansHalfWidth]])</f>
        <v>3.350588705034975E-2</v>
      </c>
    </row>
    <row r="55" spans="1:21" x14ac:dyDescent="0.35">
      <c r="A55" t="s">
        <v>66</v>
      </c>
      <c r="B55" t="s">
        <v>69</v>
      </c>
      <c r="C55">
        <v>11</v>
      </c>
      <c r="D55" t="s">
        <v>83</v>
      </c>
      <c r="E55" t="s">
        <v>86</v>
      </c>
      <c r="F55" t="s">
        <v>85</v>
      </c>
      <c r="G55">
        <v>1</v>
      </c>
      <c r="H55">
        <v>2E+20</v>
      </c>
      <c r="I55">
        <v>0</v>
      </c>
      <c r="J55">
        <v>1</v>
      </c>
      <c r="K55">
        <v>1</v>
      </c>
      <c r="L55">
        <v>0</v>
      </c>
      <c r="M55" s="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55" s="5" cm="1">
        <f t="array" ref="N55">MAX(IF((ProjectInfoTable[ProjectName]=ContinuousStatsTable[[#This Row],[ProjectName]]),(ProjectInfoTable[ProjectName]=ContinuousStatsTable[[#This Row],[ProjectName]])*ProjectInfoTable[NumberOfReplications]))</f>
        <v>50</v>
      </c>
      <c r="O55" s="5" cm="1">
        <f t="array" ref="O55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55" s="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55" s="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55" s="5" cm="1">
        <f t="array" ref="S55">MIN(IF((ContinuousStatsTable[GroupByKey]=ContinuousStatsTable[[#This Row],[GroupByKey]]),(ContinuousStatsTable[GroupByKey]=ContinuousStatsTable[[#This Row],[GroupByKey]])*ContinuousStatsTable[Average]))</f>
        <v>0.60846830422583797</v>
      </c>
      <c r="T55" s="5" cm="1">
        <f t="array" ref="T55">MAX(IF((ContinuousStatsTable[GroupByKey]=ContinuousStatsTable[[#This Row],[GroupByKey]]),(ContinuousStatsTable[GroupByKey]=ContinuousStatsTable[[#This Row],[GroupByKey]])*ContinuousStatsTable[Average]))</f>
        <v>1</v>
      </c>
      <c r="U55" s="5">
        <f>IF((ContinuousStatsTable[[#This Row],[RepsRequested]]&gt;1),ContinuousStatsTable[[#This Row],[HalfWidth]],ContinuousStatsTable[[#This Row],[BatchMeansHalfWidth]])</f>
        <v>3.350588705034975E-2</v>
      </c>
    </row>
    <row r="56" spans="1:21" x14ac:dyDescent="0.35">
      <c r="A56" t="s">
        <v>66</v>
      </c>
      <c r="B56" t="s">
        <v>69</v>
      </c>
      <c r="C56">
        <v>11</v>
      </c>
      <c r="D56" t="s">
        <v>83</v>
      </c>
      <c r="E56" t="s">
        <v>87</v>
      </c>
      <c r="F56" t="s">
        <v>85</v>
      </c>
      <c r="G56">
        <v>1</v>
      </c>
      <c r="H56">
        <v>2E+20</v>
      </c>
      <c r="I56">
        <v>1</v>
      </c>
      <c r="J56">
        <v>1</v>
      </c>
      <c r="K56">
        <v>1</v>
      </c>
      <c r="L56">
        <v>0</v>
      </c>
      <c r="M56" s="5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56" s="5" cm="1">
        <f t="array" ref="N56">MAX(IF((ProjectInfoTable[ProjectName]=ContinuousStatsTable[[#This Row],[ProjectName]]),(ProjectInfoTable[ProjectName]=ContinuousStatsTable[[#This Row],[ProjectName]])*ProjectInfoTable[NumberOfReplications]))</f>
        <v>50</v>
      </c>
      <c r="O56" s="5" cm="1">
        <f t="array" ref="O56">IFERROR(AVERAGE(IF((ContinuousStatsTable[GroupByKey]=ContinuousStatsTable[[#This Row],[GroupByKey]]),(ContinuousStatsTable[GroupByKey]=ContinuousStatsTable[[#This Row],[GroupByKey]])*ContinuousStatsTable[Average])),0)</f>
        <v>1</v>
      </c>
      <c r="P56" s="5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0</v>
      </c>
      <c r="Q56" s="5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6" s="5" cm="1">
        <f t="array" ref="S56">MIN(IF((ContinuousStatsTable[GroupByKey]=ContinuousStatsTable[[#This Row],[GroupByKey]]),(ContinuousStatsTable[GroupByKey]=ContinuousStatsTable[[#This Row],[GroupByKey]])*ContinuousStatsTable[Average]))</f>
        <v>1</v>
      </c>
      <c r="T56" s="5" cm="1">
        <f t="array" ref="T56">MAX(IF((ContinuousStatsTable[GroupByKey]=ContinuousStatsTable[[#This Row],[GroupByKey]]),(ContinuousStatsTable[GroupByKey]=ContinuousStatsTable[[#This Row],[GroupByKey]])*ContinuousStatsTable[Average]))</f>
        <v>1</v>
      </c>
      <c r="U56" s="5">
        <f>IF((ContinuousStatsTable[[#This Row],[RepsRequested]]&gt;1),ContinuousStatsTable[[#This Row],[HalfWidth]],ContinuousStatsTable[[#This Row],[BatchMeansHalfWidth]])</f>
        <v>0</v>
      </c>
    </row>
    <row r="57" spans="1:21" x14ac:dyDescent="0.35">
      <c r="A57" t="s">
        <v>66</v>
      </c>
      <c r="B57" t="s">
        <v>69</v>
      </c>
      <c r="C57">
        <v>12</v>
      </c>
      <c r="D57" t="s">
        <v>70</v>
      </c>
      <c r="E57" t="s">
        <v>81</v>
      </c>
      <c r="F57" t="s">
        <v>72</v>
      </c>
      <c r="G57">
        <v>1.0340070423179299</v>
      </c>
      <c r="H57">
        <v>2E+20</v>
      </c>
      <c r="I57">
        <v>0</v>
      </c>
      <c r="J57">
        <v>2</v>
      </c>
      <c r="K57">
        <v>1</v>
      </c>
      <c r="L57">
        <v>0</v>
      </c>
      <c r="M57" s="5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57" s="5" cm="1">
        <f t="array" ref="N57">MAX(IF((ProjectInfoTable[ProjectName]=ContinuousStatsTable[[#This Row],[ProjectName]]),(ProjectInfoTable[ProjectName]=ContinuousStatsTable[[#This Row],[ProjectName]])*ProjectInfoTable[NumberOfReplications]))</f>
        <v>50</v>
      </c>
      <c r="O57" s="5" cm="1">
        <f t="array" ref="O57">IFERROR(AVERAGE(IF((ContinuousStatsTable[GroupByKey]=ContinuousStatsTable[[#This Row],[GroupByKey]]),(ContinuousStatsTable[GroupByKey]=ContinuousStatsTable[[#This Row],[GroupByKey]])*ContinuousStatsTable[Average])),0)</f>
        <v>2.1996658161417075</v>
      </c>
      <c r="P57" s="5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1.1994598865431718</v>
      </c>
      <c r="Q57" s="5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0.34088272804883424</v>
      </c>
      <c r="S57" s="5" cm="1">
        <f t="array" ref="S57">MIN(IF((ContinuousStatsTable[GroupByKey]=ContinuousStatsTable[[#This Row],[GroupByKey]]),(ContinuousStatsTable[GroupByKey]=ContinuousStatsTable[[#This Row],[GroupByKey]])*ContinuousStatsTable[Average]))</f>
        <v>0.70499985227053297</v>
      </c>
      <c r="T57" s="5" cm="1">
        <f t="array" ref="T57">MAX(IF((ContinuousStatsTable[GroupByKey]=ContinuousStatsTable[[#This Row],[GroupByKey]]),(ContinuousStatsTable[GroupByKey]=ContinuousStatsTable[[#This Row],[GroupByKey]])*ContinuousStatsTable[Average]))</f>
        <v>6.3083923025689197</v>
      </c>
      <c r="U57" s="5">
        <f>IF((ContinuousStatsTable[[#This Row],[RepsRequested]]&gt;1),ContinuousStatsTable[[#This Row],[HalfWidth]],ContinuousStatsTable[[#This Row],[BatchMeansHalfWidth]])</f>
        <v>0.34088272804883424</v>
      </c>
    </row>
    <row r="58" spans="1:21" x14ac:dyDescent="0.35">
      <c r="A58" t="s">
        <v>66</v>
      </c>
      <c r="B58" t="s">
        <v>69</v>
      </c>
      <c r="C58">
        <v>12</v>
      </c>
      <c r="D58" t="s">
        <v>78</v>
      </c>
      <c r="E58" t="s">
        <v>82</v>
      </c>
      <c r="F58" t="s">
        <v>80</v>
      </c>
      <c r="G58">
        <v>0.171000522891741</v>
      </c>
      <c r="H58">
        <v>2E+20</v>
      </c>
      <c r="I58">
        <v>0</v>
      </c>
      <c r="J58">
        <v>1</v>
      </c>
      <c r="K58">
        <v>0</v>
      </c>
      <c r="L58">
        <v>0</v>
      </c>
      <c r="M58" s="5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58" s="5" cm="1">
        <f t="array" ref="N58">MAX(IF((ProjectInfoTable[ProjectName]=ContinuousStatsTable[[#This Row],[ProjectName]]),(ProjectInfoTable[ProjectName]=ContinuousStatsTable[[#This Row],[ProjectName]])*ProjectInfoTable[NumberOfReplications]))</f>
        <v>50</v>
      </c>
      <c r="O58" s="5" cm="1">
        <f t="array" ref="O58">IFERROR(AVERAGE(IF((ContinuousStatsTable[GroupByKey]=ContinuousStatsTable[[#This Row],[GroupByKey]]),(ContinuousStatsTable[GroupByKey]=ContinuousStatsTable[[#This Row],[GroupByKey]])*ContinuousStatsTable[Average])),0)</f>
        <v>1.2732860367273062</v>
      </c>
      <c r="P58" s="5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1.137870000737736</v>
      </c>
      <c r="Q58" s="5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0.32337907617258832</v>
      </c>
      <c r="S58" s="5" cm="1">
        <f t="array" ref="S58">MIN(IF((ContinuousStatsTable[GroupByKey]=ContinuousStatsTable[[#This Row],[GroupByKey]]),(ContinuousStatsTable[GroupByKey]=ContinuousStatsTable[[#This Row],[GroupByKey]])*ContinuousStatsTable[Average]))</f>
        <v>0</v>
      </c>
      <c r="T58" s="5" cm="1">
        <f t="array" ref="T58">MAX(IF((ContinuousStatsTable[GroupByKey]=ContinuousStatsTable[[#This Row],[GroupByKey]]),(ContinuousStatsTable[GroupByKey]=ContinuousStatsTable[[#This Row],[GroupByKey]])*ContinuousStatsTable[Average]))</f>
        <v>5.3083923025689197</v>
      </c>
      <c r="U58" s="5">
        <f>IF((ContinuousStatsTable[[#This Row],[RepsRequested]]&gt;1),ContinuousStatsTable[[#This Row],[HalfWidth]],ContinuousStatsTable[[#This Row],[BatchMeansHalfWidth]])</f>
        <v>0.32337907617258832</v>
      </c>
    </row>
    <row r="59" spans="1:21" x14ac:dyDescent="0.35">
      <c r="A59" t="s">
        <v>66</v>
      </c>
      <c r="B59" t="s">
        <v>69</v>
      </c>
      <c r="C59">
        <v>12</v>
      </c>
      <c r="D59" t="s">
        <v>83</v>
      </c>
      <c r="E59" t="s">
        <v>84</v>
      </c>
      <c r="F59" t="s">
        <v>85</v>
      </c>
      <c r="G59">
        <v>0.863006519426191</v>
      </c>
      <c r="H59">
        <v>2E+20</v>
      </c>
      <c r="I59">
        <v>0</v>
      </c>
      <c r="J59">
        <v>1</v>
      </c>
      <c r="K59">
        <v>1</v>
      </c>
      <c r="L59">
        <v>0</v>
      </c>
      <c r="M59" s="5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59" s="5" cm="1">
        <f t="array" ref="N59">MAX(IF((ProjectInfoTable[ProjectName]=ContinuousStatsTable[[#This Row],[ProjectName]]),(ProjectInfoTable[ProjectName]=ContinuousStatsTable[[#This Row],[ProjectName]])*ProjectInfoTable[NumberOfReplications]))</f>
        <v>50</v>
      </c>
      <c r="O59" s="5" cm="1">
        <f t="array" ref="O59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59" s="5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59" s="5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59" s="5" cm="1">
        <f t="array" ref="S59">MIN(IF((ContinuousStatsTable[GroupByKey]=ContinuousStatsTable[[#This Row],[GroupByKey]]),(ContinuousStatsTable[GroupByKey]=ContinuousStatsTable[[#This Row],[GroupByKey]])*ContinuousStatsTable[Average]))</f>
        <v>0.60846830422583797</v>
      </c>
      <c r="T59" s="5" cm="1">
        <f t="array" ref="T59">MAX(IF((ContinuousStatsTable[GroupByKey]=ContinuousStatsTable[[#This Row],[GroupByKey]]),(ContinuousStatsTable[GroupByKey]=ContinuousStatsTable[[#This Row],[GroupByKey]])*ContinuousStatsTable[Average]))</f>
        <v>1</v>
      </c>
      <c r="U59" s="5">
        <f>IF((ContinuousStatsTable[[#This Row],[RepsRequested]]&gt;1),ContinuousStatsTable[[#This Row],[HalfWidth]],ContinuousStatsTable[[#This Row],[BatchMeansHalfWidth]])</f>
        <v>3.350588705034975E-2</v>
      </c>
    </row>
    <row r="60" spans="1:21" x14ac:dyDescent="0.35">
      <c r="A60" t="s">
        <v>66</v>
      </c>
      <c r="B60" t="s">
        <v>69</v>
      </c>
      <c r="C60">
        <v>12</v>
      </c>
      <c r="D60" t="s">
        <v>83</v>
      </c>
      <c r="E60" t="s">
        <v>86</v>
      </c>
      <c r="F60" t="s">
        <v>85</v>
      </c>
      <c r="G60">
        <v>0.863006519426191</v>
      </c>
      <c r="H60">
        <v>2E+20</v>
      </c>
      <c r="I60">
        <v>0</v>
      </c>
      <c r="J60">
        <v>1</v>
      </c>
      <c r="K60">
        <v>1</v>
      </c>
      <c r="L60">
        <v>0</v>
      </c>
      <c r="M60" s="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60" s="5" cm="1">
        <f t="array" ref="N60">MAX(IF((ProjectInfoTable[ProjectName]=ContinuousStatsTable[[#This Row],[ProjectName]]),(ProjectInfoTable[ProjectName]=ContinuousStatsTable[[#This Row],[ProjectName]])*ProjectInfoTable[NumberOfReplications]))</f>
        <v>50</v>
      </c>
      <c r="O60" s="5" cm="1">
        <f t="array" ref="O60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60" s="5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60" s="5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60" s="5" cm="1">
        <f t="array" ref="S60">MIN(IF((ContinuousStatsTable[GroupByKey]=ContinuousStatsTable[[#This Row],[GroupByKey]]),(ContinuousStatsTable[GroupByKey]=ContinuousStatsTable[[#This Row],[GroupByKey]])*ContinuousStatsTable[Average]))</f>
        <v>0.60846830422583797</v>
      </c>
      <c r="T60" s="5" cm="1">
        <f t="array" ref="T60">MAX(IF((ContinuousStatsTable[GroupByKey]=ContinuousStatsTable[[#This Row],[GroupByKey]]),(ContinuousStatsTable[GroupByKey]=ContinuousStatsTable[[#This Row],[GroupByKey]])*ContinuousStatsTable[Average]))</f>
        <v>1</v>
      </c>
      <c r="U60" s="5">
        <f>IF((ContinuousStatsTable[[#This Row],[RepsRequested]]&gt;1),ContinuousStatsTable[[#This Row],[HalfWidth]],ContinuousStatsTable[[#This Row],[BatchMeansHalfWidth]])</f>
        <v>3.350588705034975E-2</v>
      </c>
    </row>
    <row r="61" spans="1:21" x14ac:dyDescent="0.35">
      <c r="A61" t="s">
        <v>66</v>
      </c>
      <c r="B61" t="s">
        <v>69</v>
      </c>
      <c r="C61">
        <v>12</v>
      </c>
      <c r="D61" t="s">
        <v>83</v>
      </c>
      <c r="E61" t="s">
        <v>87</v>
      </c>
      <c r="F61" t="s">
        <v>85</v>
      </c>
      <c r="G61">
        <v>1</v>
      </c>
      <c r="H61">
        <v>2E+20</v>
      </c>
      <c r="I61">
        <v>1</v>
      </c>
      <c r="J61">
        <v>1</v>
      </c>
      <c r="K61">
        <v>1</v>
      </c>
      <c r="L61">
        <v>0</v>
      </c>
      <c r="M61" s="5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61" s="5" cm="1">
        <f t="array" ref="N61">MAX(IF((ProjectInfoTable[ProjectName]=ContinuousStatsTable[[#This Row],[ProjectName]]),(ProjectInfoTable[ProjectName]=ContinuousStatsTable[[#This Row],[ProjectName]])*ProjectInfoTable[NumberOfReplications]))</f>
        <v>50</v>
      </c>
      <c r="O61" s="5" cm="1">
        <f t="array" ref="O61">IFERROR(AVERAGE(IF((ContinuousStatsTable[GroupByKey]=ContinuousStatsTable[[#This Row],[GroupByKey]]),(ContinuousStatsTable[GroupByKey]=ContinuousStatsTable[[#This Row],[GroupByKey]])*ContinuousStatsTable[Average])),0)</f>
        <v>1</v>
      </c>
      <c r="P61" s="5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0</v>
      </c>
      <c r="Q61" s="5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1" s="5" cm="1">
        <f t="array" ref="S61">MIN(IF((ContinuousStatsTable[GroupByKey]=ContinuousStatsTable[[#This Row],[GroupByKey]]),(ContinuousStatsTable[GroupByKey]=ContinuousStatsTable[[#This Row],[GroupByKey]])*ContinuousStatsTable[Average]))</f>
        <v>1</v>
      </c>
      <c r="T61" s="5" cm="1">
        <f t="array" ref="T61">MAX(IF((ContinuousStatsTable[GroupByKey]=ContinuousStatsTable[[#This Row],[GroupByKey]]),(ContinuousStatsTable[GroupByKey]=ContinuousStatsTable[[#This Row],[GroupByKey]])*ContinuousStatsTable[Average]))</f>
        <v>1</v>
      </c>
      <c r="U61" s="5">
        <f>IF((ContinuousStatsTable[[#This Row],[RepsRequested]]&gt;1),ContinuousStatsTable[[#This Row],[HalfWidth]],ContinuousStatsTable[[#This Row],[BatchMeansHalfWidth]])</f>
        <v>0</v>
      </c>
    </row>
    <row r="62" spans="1:21" x14ac:dyDescent="0.35">
      <c r="A62" t="s">
        <v>66</v>
      </c>
      <c r="B62" t="s">
        <v>69</v>
      </c>
      <c r="C62">
        <v>13</v>
      </c>
      <c r="D62" t="s">
        <v>70</v>
      </c>
      <c r="E62" t="s">
        <v>81</v>
      </c>
      <c r="F62" t="s">
        <v>72</v>
      </c>
      <c r="G62">
        <v>3.99635139586155</v>
      </c>
      <c r="H62">
        <v>2E+20</v>
      </c>
      <c r="I62">
        <v>0</v>
      </c>
      <c r="J62">
        <v>6</v>
      </c>
      <c r="K62">
        <v>5</v>
      </c>
      <c r="L62">
        <v>0</v>
      </c>
      <c r="M62" s="5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62" s="5" cm="1">
        <f t="array" ref="N62">MAX(IF((ProjectInfoTable[ProjectName]=ContinuousStatsTable[[#This Row],[ProjectName]]),(ProjectInfoTable[ProjectName]=ContinuousStatsTable[[#This Row],[ProjectName]])*ProjectInfoTable[NumberOfReplications]))</f>
        <v>50</v>
      </c>
      <c r="O62" s="5" cm="1">
        <f t="array" ref="O62">IFERROR(AVERAGE(IF((ContinuousStatsTable[GroupByKey]=ContinuousStatsTable[[#This Row],[GroupByKey]]),(ContinuousStatsTable[GroupByKey]=ContinuousStatsTable[[#This Row],[GroupByKey]])*ContinuousStatsTable[Average])),0)</f>
        <v>2.1996658161417075</v>
      </c>
      <c r="P62" s="5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1.1994598865431718</v>
      </c>
      <c r="Q62" s="5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0.34088272804883424</v>
      </c>
      <c r="S62" s="5" cm="1">
        <f t="array" ref="S62">MIN(IF((ContinuousStatsTable[GroupByKey]=ContinuousStatsTable[[#This Row],[GroupByKey]]),(ContinuousStatsTable[GroupByKey]=ContinuousStatsTable[[#This Row],[GroupByKey]])*ContinuousStatsTable[Average]))</f>
        <v>0.70499985227053297</v>
      </c>
      <c r="T62" s="5" cm="1">
        <f t="array" ref="T62">MAX(IF((ContinuousStatsTable[GroupByKey]=ContinuousStatsTable[[#This Row],[GroupByKey]]),(ContinuousStatsTable[GroupByKey]=ContinuousStatsTable[[#This Row],[GroupByKey]])*ContinuousStatsTable[Average]))</f>
        <v>6.3083923025689197</v>
      </c>
      <c r="U62" s="5">
        <f>IF((ContinuousStatsTable[[#This Row],[RepsRequested]]&gt;1),ContinuousStatsTable[[#This Row],[HalfWidth]],ContinuousStatsTable[[#This Row],[BatchMeansHalfWidth]])</f>
        <v>0.34088272804883424</v>
      </c>
    </row>
    <row r="63" spans="1:21" x14ac:dyDescent="0.35">
      <c r="A63" t="s">
        <v>66</v>
      </c>
      <c r="B63" t="s">
        <v>69</v>
      </c>
      <c r="C63">
        <v>13</v>
      </c>
      <c r="D63" t="s">
        <v>78</v>
      </c>
      <c r="E63" t="s">
        <v>82</v>
      </c>
      <c r="F63" t="s">
        <v>80</v>
      </c>
      <c r="G63">
        <v>2.99635139586155</v>
      </c>
      <c r="H63">
        <v>2E+20</v>
      </c>
      <c r="I63">
        <v>0</v>
      </c>
      <c r="J63">
        <v>5</v>
      </c>
      <c r="K63">
        <v>4</v>
      </c>
      <c r="L63">
        <v>0</v>
      </c>
      <c r="M63" s="5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63" s="5" cm="1">
        <f t="array" ref="N63">MAX(IF((ProjectInfoTable[ProjectName]=ContinuousStatsTable[[#This Row],[ProjectName]]),(ProjectInfoTable[ProjectName]=ContinuousStatsTable[[#This Row],[ProjectName]])*ProjectInfoTable[NumberOfReplications]))</f>
        <v>50</v>
      </c>
      <c r="O63" s="5" cm="1">
        <f t="array" ref="O63">IFERROR(AVERAGE(IF((ContinuousStatsTable[GroupByKey]=ContinuousStatsTable[[#This Row],[GroupByKey]]),(ContinuousStatsTable[GroupByKey]=ContinuousStatsTable[[#This Row],[GroupByKey]])*ContinuousStatsTable[Average])),0)</f>
        <v>1.2732860367273062</v>
      </c>
      <c r="P63" s="5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1.137870000737736</v>
      </c>
      <c r="Q63" s="5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0.32337907617258832</v>
      </c>
      <c r="S63" s="5" cm="1">
        <f t="array" ref="S63">MIN(IF((ContinuousStatsTable[GroupByKey]=ContinuousStatsTable[[#This Row],[GroupByKey]]),(ContinuousStatsTable[GroupByKey]=ContinuousStatsTable[[#This Row],[GroupByKey]])*ContinuousStatsTable[Average]))</f>
        <v>0</v>
      </c>
      <c r="T63" s="5" cm="1">
        <f t="array" ref="T63">MAX(IF((ContinuousStatsTable[GroupByKey]=ContinuousStatsTable[[#This Row],[GroupByKey]]),(ContinuousStatsTable[GroupByKey]=ContinuousStatsTable[[#This Row],[GroupByKey]])*ContinuousStatsTable[Average]))</f>
        <v>5.3083923025689197</v>
      </c>
      <c r="U63" s="5">
        <f>IF((ContinuousStatsTable[[#This Row],[RepsRequested]]&gt;1),ContinuousStatsTable[[#This Row],[HalfWidth]],ContinuousStatsTable[[#This Row],[BatchMeansHalfWidth]])</f>
        <v>0.32337907617258832</v>
      </c>
    </row>
    <row r="64" spans="1:21" x14ac:dyDescent="0.35">
      <c r="A64" t="s">
        <v>66</v>
      </c>
      <c r="B64" t="s">
        <v>69</v>
      </c>
      <c r="C64">
        <v>13</v>
      </c>
      <c r="D64" t="s">
        <v>83</v>
      </c>
      <c r="E64" t="s">
        <v>84</v>
      </c>
      <c r="F64" t="s">
        <v>85</v>
      </c>
      <c r="G64">
        <v>1</v>
      </c>
      <c r="H64">
        <v>2E+20</v>
      </c>
      <c r="I64">
        <v>0</v>
      </c>
      <c r="J64">
        <v>1</v>
      </c>
      <c r="K64">
        <v>1</v>
      </c>
      <c r="L64">
        <v>0</v>
      </c>
      <c r="M64" s="5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64" s="5" cm="1">
        <f t="array" ref="N64">MAX(IF((ProjectInfoTable[ProjectName]=ContinuousStatsTable[[#This Row],[ProjectName]]),(ProjectInfoTable[ProjectName]=ContinuousStatsTable[[#This Row],[ProjectName]])*ProjectInfoTable[NumberOfReplications]))</f>
        <v>50</v>
      </c>
      <c r="O64" s="5" cm="1">
        <f t="array" ref="O64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64" s="5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64" s="5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64" s="5" cm="1">
        <f t="array" ref="S64">MIN(IF((ContinuousStatsTable[GroupByKey]=ContinuousStatsTable[[#This Row],[GroupByKey]]),(ContinuousStatsTable[GroupByKey]=ContinuousStatsTable[[#This Row],[GroupByKey]])*ContinuousStatsTable[Average]))</f>
        <v>0.60846830422583797</v>
      </c>
      <c r="T64" s="5" cm="1">
        <f t="array" ref="T64">MAX(IF((ContinuousStatsTable[GroupByKey]=ContinuousStatsTable[[#This Row],[GroupByKey]]),(ContinuousStatsTable[GroupByKey]=ContinuousStatsTable[[#This Row],[GroupByKey]])*ContinuousStatsTable[Average]))</f>
        <v>1</v>
      </c>
      <c r="U64" s="5">
        <f>IF((ContinuousStatsTable[[#This Row],[RepsRequested]]&gt;1),ContinuousStatsTable[[#This Row],[HalfWidth]],ContinuousStatsTable[[#This Row],[BatchMeansHalfWidth]])</f>
        <v>3.350588705034975E-2</v>
      </c>
    </row>
    <row r="65" spans="1:21" x14ac:dyDescent="0.35">
      <c r="A65" t="s">
        <v>66</v>
      </c>
      <c r="B65" t="s">
        <v>69</v>
      </c>
      <c r="C65">
        <v>13</v>
      </c>
      <c r="D65" t="s">
        <v>83</v>
      </c>
      <c r="E65" t="s">
        <v>86</v>
      </c>
      <c r="F65" t="s">
        <v>85</v>
      </c>
      <c r="G65">
        <v>1</v>
      </c>
      <c r="H65">
        <v>2E+20</v>
      </c>
      <c r="I65">
        <v>0</v>
      </c>
      <c r="J65">
        <v>1</v>
      </c>
      <c r="K65">
        <v>1</v>
      </c>
      <c r="L65">
        <v>0</v>
      </c>
      <c r="M65" s="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65" s="5" cm="1">
        <f t="array" ref="N65">MAX(IF((ProjectInfoTable[ProjectName]=ContinuousStatsTable[[#This Row],[ProjectName]]),(ProjectInfoTable[ProjectName]=ContinuousStatsTable[[#This Row],[ProjectName]])*ProjectInfoTable[NumberOfReplications]))</f>
        <v>50</v>
      </c>
      <c r="O65" s="5" cm="1">
        <f t="array" ref="O65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65" s="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65" s="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65" s="5" cm="1">
        <f t="array" ref="S65">MIN(IF((ContinuousStatsTable[GroupByKey]=ContinuousStatsTable[[#This Row],[GroupByKey]]),(ContinuousStatsTable[GroupByKey]=ContinuousStatsTable[[#This Row],[GroupByKey]])*ContinuousStatsTable[Average]))</f>
        <v>0.60846830422583797</v>
      </c>
      <c r="T65" s="5" cm="1">
        <f t="array" ref="T65">MAX(IF((ContinuousStatsTable[GroupByKey]=ContinuousStatsTable[[#This Row],[GroupByKey]]),(ContinuousStatsTable[GroupByKey]=ContinuousStatsTable[[#This Row],[GroupByKey]])*ContinuousStatsTable[Average]))</f>
        <v>1</v>
      </c>
      <c r="U65" s="5">
        <f>IF((ContinuousStatsTable[[#This Row],[RepsRequested]]&gt;1),ContinuousStatsTable[[#This Row],[HalfWidth]],ContinuousStatsTable[[#This Row],[BatchMeansHalfWidth]])</f>
        <v>3.350588705034975E-2</v>
      </c>
    </row>
    <row r="66" spans="1:21" x14ac:dyDescent="0.35">
      <c r="A66" t="s">
        <v>66</v>
      </c>
      <c r="B66" t="s">
        <v>69</v>
      </c>
      <c r="C66">
        <v>13</v>
      </c>
      <c r="D66" t="s">
        <v>83</v>
      </c>
      <c r="E66" t="s">
        <v>87</v>
      </c>
      <c r="F66" t="s">
        <v>85</v>
      </c>
      <c r="G66">
        <v>1</v>
      </c>
      <c r="H66">
        <v>2E+20</v>
      </c>
      <c r="I66">
        <v>1</v>
      </c>
      <c r="J66">
        <v>1</v>
      </c>
      <c r="K66">
        <v>1</v>
      </c>
      <c r="L66">
        <v>0</v>
      </c>
      <c r="M66" s="5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66" s="5" cm="1">
        <f t="array" ref="N66">MAX(IF((ProjectInfoTable[ProjectName]=ContinuousStatsTable[[#This Row],[ProjectName]]),(ProjectInfoTable[ProjectName]=ContinuousStatsTable[[#This Row],[ProjectName]])*ProjectInfoTable[NumberOfReplications]))</f>
        <v>50</v>
      </c>
      <c r="O66" s="5" cm="1">
        <f t="array" ref="O66">IFERROR(AVERAGE(IF((ContinuousStatsTable[GroupByKey]=ContinuousStatsTable[[#This Row],[GroupByKey]]),(ContinuousStatsTable[GroupByKey]=ContinuousStatsTable[[#This Row],[GroupByKey]])*ContinuousStatsTable[Average])),0)</f>
        <v>1</v>
      </c>
      <c r="P66" s="5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0</v>
      </c>
      <c r="Q66" s="5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6" s="5" cm="1">
        <f t="array" ref="S66">MIN(IF((ContinuousStatsTable[GroupByKey]=ContinuousStatsTable[[#This Row],[GroupByKey]]),(ContinuousStatsTable[GroupByKey]=ContinuousStatsTable[[#This Row],[GroupByKey]])*ContinuousStatsTable[Average]))</f>
        <v>1</v>
      </c>
      <c r="T66" s="5" cm="1">
        <f t="array" ref="T66">MAX(IF((ContinuousStatsTable[GroupByKey]=ContinuousStatsTable[[#This Row],[GroupByKey]]),(ContinuousStatsTable[GroupByKey]=ContinuousStatsTable[[#This Row],[GroupByKey]])*ContinuousStatsTable[Average]))</f>
        <v>1</v>
      </c>
      <c r="U66" s="5">
        <f>IF((ContinuousStatsTable[[#This Row],[RepsRequested]]&gt;1),ContinuousStatsTable[[#This Row],[HalfWidth]],ContinuousStatsTable[[#This Row],[BatchMeansHalfWidth]])</f>
        <v>0</v>
      </c>
    </row>
    <row r="67" spans="1:21" x14ac:dyDescent="0.35">
      <c r="A67" t="s">
        <v>66</v>
      </c>
      <c r="B67" t="s">
        <v>69</v>
      </c>
      <c r="C67">
        <v>14</v>
      </c>
      <c r="D67" t="s">
        <v>70</v>
      </c>
      <c r="E67" t="s">
        <v>81</v>
      </c>
      <c r="F67" t="s">
        <v>72</v>
      </c>
      <c r="G67">
        <v>1.96301002271664</v>
      </c>
      <c r="H67">
        <v>2E+20</v>
      </c>
      <c r="I67">
        <v>0</v>
      </c>
      <c r="J67">
        <v>3</v>
      </c>
      <c r="K67">
        <v>2</v>
      </c>
      <c r="L67">
        <v>0</v>
      </c>
      <c r="M67" s="5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67" s="5" cm="1">
        <f t="array" ref="N67">MAX(IF((ProjectInfoTable[ProjectName]=ContinuousStatsTable[[#This Row],[ProjectName]]),(ProjectInfoTable[ProjectName]=ContinuousStatsTable[[#This Row],[ProjectName]])*ProjectInfoTable[NumberOfReplications]))</f>
        <v>50</v>
      </c>
      <c r="O67" s="5" cm="1">
        <f t="array" ref="O67">IFERROR(AVERAGE(IF((ContinuousStatsTable[GroupByKey]=ContinuousStatsTable[[#This Row],[GroupByKey]]),(ContinuousStatsTable[GroupByKey]=ContinuousStatsTable[[#This Row],[GroupByKey]])*ContinuousStatsTable[Average])),0)</f>
        <v>2.1996658161417075</v>
      </c>
      <c r="P67" s="5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1.1994598865431718</v>
      </c>
      <c r="Q67" s="5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0.34088272804883424</v>
      </c>
      <c r="S67" s="5" cm="1">
        <f t="array" ref="S67">MIN(IF((ContinuousStatsTable[GroupByKey]=ContinuousStatsTable[[#This Row],[GroupByKey]]),(ContinuousStatsTable[GroupByKey]=ContinuousStatsTable[[#This Row],[GroupByKey]])*ContinuousStatsTable[Average]))</f>
        <v>0.70499985227053297</v>
      </c>
      <c r="T67" s="5" cm="1">
        <f t="array" ref="T67">MAX(IF((ContinuousStatsTable[GroupByKey]=ContinuousStatsTable[[#This Row],[GroupByKey]]),(ContinuousStatsTable[GroupByKey]=ContinuousStatsTable[[#This Row],[GroupByKey]])*ContinuousStatsTable[Average]))</f>
        <v>6.3083923025689197</v>
      </c>
      <c r="U67" s="5">
        <f>IF((ContinuousStatsTable[[#This Row],[RepsRequested]]&gt;1),ContinuousStatsTable[[#This Row],[HalfWidth]],ContinuousStatsTable[[#This Row],[BatchMeansHalfWidth]])</f>
        <v>0.34088272804883424</v>
      </c>
    </row>
    <row r="68" spans="1:21" x14ac:dyDescent="0.35">
      <c r="A68" t="s">
        <v>66</v>
      </c>
      <c r="B68" t="s">
        <v>69</v>
      </c>
      <c r="C68">
        <v>14</v>
      </c>
      <c r="D68" t="s">
        <v>78</v>
      </c>
      <c r="E68" t="s">
        <v>82</v>
      </c>
      <c r="F68" t="s">
        <v>80</v>
      </c>
      <c r="G68">
        <v>0.96301002271664105</v>
      </c>
      <c r="H68">
        <v>2E+20</v>
      </c>
      <c r="I68">
        <v>0</v>
      </c>
      <c r="J68">
        <v>2</v>
      </c>
      <c r="K68">
        <v>1</v>
      </c>
      <c r="L68">
        <v>0</v>
      </c>
      <c r="M68" s="5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68" s="5" cm="1">
        <f t="array" ref="N68">MAX(IF((ProjectInfoTable[ProjectName]=ContinuousStatsTable[[#This Row],[ProjectName]]),(ProjectInfoTable[ProjectName]=ContinuousStatsTable[[#This Row],[ProjectName]])*ProjectInfoTable[NumberOfReplications]))</f>
        <v>50</v>
      </c>
      <c r="O68" s="5" cm="1">
        <f t="array" ref="O68">IFERROR(AVERAGE(IF((ContinuousStatsTable[GroupByKey]=ContinuousStatsTable[[#This Row],[GroupByKey]]),(ContinuousStatsTable[GroupByKey]=ContinuousStatsTable[[#This Row],[GroupByKey]])*ContinuousStatsTable[Average])),0)</f>
        <v>1.2732860367273062</v>
      </c>
      <c r="P68" s="5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1.137870000737736</v>
      </c>
      <c r="Q68" s="5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0.32337907617258832</v>
      </c>
      <c r="S68" s="5" cm="1">
        <f t="array" ref="S68">MIN(IF((ContinuousStatsTable[GroupByKey]=ContinuousStatsTable[[#This Row],[GroupByKey]]),(ContinuousStatsTable[GroupByKey]=ContinuousStatsTable[[#This Row],[GroupByKey]])*ContinuousStatsTable[Average]))</f>
        <v>0</v>
      </c>
      <c r="T68" s="5" cm="1">
        <f t="array" ref="T68">MAX(IF((ContinuousStatsTable[GroupByKey]=ContinuousStatsTable[[#This Row],[GroupByKey]]),(ContinuousStatsTable[GroupByKey]=ContinuousStatsTable[[#This Row],[GroupByKey]])*ContinuousStatsTable[Average]))</f>
        <v>5.3083923025689197</v>
      </c>
      <c r="U68" s="5">
        <f>IF((ContinuousStatsTable[[#This Row],[RepsRequested]]&gt;1),ContinuousStatsTable[[#This Row],[HalfWidth]],ContinuousStatsTable[[#This Row],[BatchMeansHalfWidth]])</f>
        <v>0.32337907617258832</v>
      </c>
    </row>
    <row r="69" spans="1:21" x14ac:dyDescent="0.35">
      <c r="A69" t="s">
        <v>66</v>
      </c>
      <c r="B69" t="s">
        <v>69</v>
      </c>
      <c r="C69">
        <v>14</v>
      </c>
      <c r="D69" t="s">
        <v>83</v>
      </c>
      <c r="E69" t="s">
        <v>84</v>
      </c>
      <c r="F69" t="s">
        <v>85</v>
      </c>
      <c r="G69">
        <v>1</v>
      </c>
      <c r="H69">
        <v>2E+20</v>
      </c>
      <c r="I69">
        <v>0</v>
      </c>
      <c r="J69">
        <v>1</v>
      </c>
      <c r="K69">
        <v>1</v>
      </c>
      <c r="L69">
        <v>0</v>
      </c>
      <c r="M69" s="5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69" s="5" cm="1">
        <f t="array" ref="N69">MAX(IF((ProjectInfoTable[ProjectName]=ContinuousStatsTable[[#This Row],[ProjectName]]),(ProjectInfoTable[ProjectName]=ContinuousStatsTable[[#This Row],[ProjectName]])*ProjectInfoTable[NumberOfReplications]))</f>
        <v>50</v>
      </c>
      <c r="O69" s="5" cm="1">
        <f t="array" ref="O69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69" s="5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69" s="5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69" s="5" cm="1">
        <f t="array" ref="S69">MIN(IF((ContinuousStatsTable[GroupByKey]=ContinuousStatsTable[[#This Row],[GroupByKey]]),(ContinuousStatsTable[GroupByKey]=ContinuousStatsTable[[#This Row],[GroupByKey]])*ContinuousStatsTable[Average]))</f>
        <v>0.60846830422583797</v>
      </c>
      <c r="T69" s="5" cm="1">
        <f t="array" ref="T69">MAX(IF((ContinuousStatsTable[GroupByKey]=ContinuousStatsTable[[#This Row],[GroupByKey]]),(ContinuousStatsTable[GroupByKey]=ContinuousStatsTable[[#This Row],[GroupByKey]])*ContinuousStatsTable[Average]))</f>
        <v>1</v>
      </c>
      <c r="U69" s="5">
        <f>IF((ContinuousStatsTable[[#This Row],[RepsRequested]]&gt;1),ContinuousStatsTable[[#This Row],[HalfWidth]],ContinuousStatsTable[[#This Row],[BatchMeansHalfWidth]])</f>
        <v>3.350588705034975E-2</v>
      </c>
    </row>
    <row r="70" spans="1:21" x14ac:dyDescent="0.35">
      <c r="A70" t="s">
        <v>66</v>
      </c>
      <c r="B70" t="s">
        <v>69</v>
      </c>
      <c r="C70">
        <v>14</v>
      </c>
      <c r="D70" t="s">
        <v>83</v>
      </c>
      <c r="E70" t="s">
        <v>86</v>
      </c>
      <c r="F70" t="s">
        <v>85</v>
      </c>
      <c r="G70">
        <v>1</v>
      </c>
      <c r="H70">
        <v>2E+20</v>
      </c>
      <c r="I70">
        <v>0</v>
      </c>
      <c r="J70">
        <v>1</v>
      </c>
      <c r="K70">
        <v>1</v>
      </c>
      <c r="L70">
        <v>0</v>
      </c>
      <c r="M70" s="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70" s="5" cm="1">
        <f t="array" ref="N70">MAX(IF((ProjectInfoTable[ProjectName]=ContinuousStatsTable[[#This Row],[ProjectName]]),(ProjectInfoTable[ProjectName]=ContinuousStatsTable[[#This Row],[ProjectName]])*ProjectInfoTable[NumberOfReplications]))</f>
        <v>50</v>
      </c>
      <c r="O70" s="5" cm="1">
        <f t="array" ref="O70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70" s="5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70" s="5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70" s="5" cm="1">
        <f t="array" ref="S70">MIN(IF((ContinuousStatsTable[GroupByKey]=ContinuousStatsTable[[#This Row],[GroupByKey]]),(ContinuousStatsTable[GroupByKey]=ContinuousStatsTable[[#This Row],[GroupByKey]])*ContinuousStatsTable[Average]))</f>
        <v>0.60846830422583797</v>
      </c>
      <c r="T70" s="5" cm="1">
        <f t="array" ref="T70">MAX(IF((ContinuousStatsTable[GroupByKey]=ContinuousStatsTable[[#This Row],[GroupByKey]]),(ContinuousStatsTable[GroupByKey]=ContinuousStatsTable[[#This Row],[GroupByKey]])*ContinuousStatsTable[Average]))</f>
        <v>1</v>
      </c>
      <c r="U70" s="5">
        <f>IF((ContinuousStatsTable[[#This Row],[RepsRequested]]&gt;1),ContinuousStatsTable[[#This Row],[HalfWidth]],ContinuousStatsTable[[#This Row],[BatchMeansHalfWidth]])</f>
        <v>3.350588705034975E-2</v>
      </c>
    </row>
    <row r="71" spans="1:21" x14ac:dyDescent="0.35">
      <c r="A71" t="s">
        <v>66</v>
      </c>
      <c r="B71" t="s">
        <v>69</v>
      </c>
      <c r="C71">
        <v>14</v>
      </c>
      <c r="D71" t="s">
        <v>83</v>
      </c>
      <c r="E71" t="s">
        <v>87</v>
      </c>
      <c r="F71" t="s">
        <v>85</v>
      </c>
      <c r="G71">
        <v>1</v>
      </c>
      <c r="H71">
        <v>2E+20</v>
      </c>
      <c r="I71">
        <v>1</v>
      </c>
      <c r="J71">
        <v>1</v>
      </c>
      <c r="K71">
        <v>1</v>
      </c>
      <c r="L71">
        <v>0</v>
      </c>
      <c r="M71" s="5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71" s="5" cm="1">
        <f t="array" ref="N71">MAX(IF((ProjectInfoTable[ProjectName]=ContinuousStatsTable[[#This Row],[ProjectName]]),(ProjectInfoTable[ProjectName]=ContinuousStatsTable[[#This Row],[ProjectName]])*ProjectInfoTable[NumberOfReplications]))</f>
        <v>50</v>
      </c>
      <c r="O71" s="5" cm="1">
        <f t="array" ref="O71">IFERROR(AVERAGE(IF((ContinuousStatsTable[GroupByKey]=ContinuousStatsTable[[#This Row],[GroupByKey]]),(ContinuousStatsTable[GroupByKey]=ContinuousStatsTable[[#This Row],[GroupByKey]])*ContinuousStatsTable[Average])),0)</f>
        <v>1</v>
      </c>
      <c r="P71" s="5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0</v>
      </c>
      <c r="Q71" s="5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1" s="5" cm="1">
        <f t="array" ref="S71">MIN(IF((ContinuousStatsTable[GroupByKey]=ContinuousStatsTable[[#This Row],[GroupByKey]]),(ContinuousStatsTable[GroupByKey]=ContinuousStatsTable[[#This Row],[GroupByKey]])*ContinuousStatsTable[Average]))</f>
        <v>1</v>
      </c>
      <c r="T71" s="5" cm="1">
        <f t="array" ref="T71">MAX(IF((ContinuousStatsTable[GroupByKey]=ContinuousStatsTable[[#This Row],[GroupByKey]]),(ContinuousStatsTable[GroupByKey]=ContinuousStatsTable[[#This Row],[GroupByKey]])*ContinuousStatsTable[Average]))</f>
        <v>1</v>
      </c>
      <c r="U71" s="5">
        <f>IF((ContinuousStatsTable[[#This Row],[RepsRequested]]&gt;1),ContinuousStatsTable[[#This Row],[HalfWidth]],ContinuousStatsTable[[#This Row],[BatchMeansHalfWidth]])</f>
        <v>0</v>
      </c>
    </row>
    <row r="72" spans="1:21" x14ac:dyDescent="0.35">
      <c r="A72" t="s">
        <v>66</v>
      </c>
      <c r="B72" t="s">
        <v>69</v>
      </c>
      <c r="C72">
        <v>15</v>
      </c>
      <c r="D72" t="s">
        <v>70</v>
      </c>
      <c r="E72" t="s">
        <v>81</v>
      </c>
      <c r="F72" t="s">
        <v>72</v>
      </c>
      <c r="G72">
        <v>1.4582122673432001</v>
      </c>
      <c r="H72">
        <v>2E+20</v>
      </c>
      <c r="I72">
        <v>0</v>
      </c>
      <c r="J72">
        <v>4</v>
      </c>
      <c r="K72">
        <v>3</v>
      </c>
      <c r="L72">
        <v>0</v>
      </c>
      <c r="M72" s="5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72" s="5" cm="1">
        <f t="array" ref="N72">MAX(IF((ProjectInfoTable[ProjectName]=ContinuousStatsTable[[#This Row],[ProjectName]]),(ProjectInfoTable[ProjectName]=ContinuousStatsTable[[#This Row],[ProjectName]])*ProjectInfoTable[NumberOfReplications]))</f>
        <v>50</v>
      </c>
      <c r="O72" s="5" cm="1">
        <f t="array" ref="O72">IFERROR(AVERAGE(IF((ContinuousStatsTable[GroupByKey]=ContinuousStatsTable[[#This Row],[GroupByKey]]),(ContinuousStatsTable[GroupByKey]=ContinuousStatsTable[[#This Row],[GroupByKey]])*ContinuousStatsTable[Average])),0)</f>
        <v>2.1996658161417075</v>
      </c>
      <c r="P72" s="5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1.1994598865431718</v>
      </c>
      <c r="Q72" s="5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0.34088272804883424</v>
      </c>
      <c r="S72" s="5" cm="1">
        <f t="array" ref="S72">MIN(IF((ContinuousStatsTable[GroupByKey]=ContinuousStatsTable[[#This Row],[GroupByKey]]),(ContinuousStatsTable[GroupByKey]=ContinuousStatsTable[[#This Row],[GroupByKey]])*ContinuousStatsTable[Average]))</f>
        <v>0.70499985227053297</v>
      </c>
      <c r="T72" s="5" cm="1">
        <f t="array" ref="T72">MAX(IF((ContinuousStatsTable[GroupByKey]=ContinuousStatsTable[[#This Row],[GroupByKey]]),(ContinuousStatsTable[GroupByKey]=ContinuousStatsTable[[#This Row],[GroupByKey]])*ContinuousStatsTable[Average]))</f>
        <v>6.3083923025689197</v>
      </c>
      <c r="U72" s="5">
        <f>IF((ContinuousStatsTable[[#This Row],[RepsRequested]]&gt;1),ContinuousStatsTable[[#This Row],[HalfWidth]],ContinuousStatsTable[[#This Row],[BatchMeansHalfWidth]])</f>
        <v>0.34088272804883424</v>
      </c>
    </row>
    <row r="73" spans="1:21" x14ac:dyDescent="0.35">
      <c r="A73" t="s">
        <v>66</v>
      </c>
      <c r="B73" t="s">
        <v>69</v>
      </c>
      <c r="C73">
        <v>15</v>
      </c>
      <c r="D73" t="s">
        <v>78</v>
      </c>
      <c r="E73" t="s">
        <v>82</v>
      </c>
      <c r="F73" t="s">
        <v>80</v>
      </c>
      <c r="G73">
        <v>0.67469813154233604</v>
      </c>
      <c r="H73">
        <v>2E+20</v>
      </c>
      <c r="I73">
        <v>0</v>
      </c>
      <c r="J73">
        <v>3</v>
      </c>
      <c r="K73">
        <v>2</v>
      </c>
      <c r="L73">
        <v>0</v>
      </c>
      <c r="M73" s="5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73" s="5" cm="1">
        <f t="array" ref="N73">MAX(IF((ProjectInfoTable[ProjectName]=ContinuousStatsTable[[#This Row],[ProjectName]]),(ProjectInfoTable[ProjectName]=ContinuousStatsTable[[#This Row],[ProjectName]])*ProjectInfoTable[NumberOfReplications]))</f>
        <v>50</v>
      </c>
      <c r="O73" s="5" cm="1">
        <f t="array" ref="O73">IFERROR(AVERAGE(IF((ContinuousStatsTable[GroupByKey]=ContinuousStatsTable[[#This Row],[GroupByKey]]),(ContinuousStatsTable[GroupByKey]=ContinuousStatsTable[[#This Row],[GroupByKey]])*ContinuousStatsTable[Average])),0)</f>
        <v>1.2732860367273062</v>
      </c>
      <c r="P73" s="5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1.137870000737736</v>
      </c>
      <c r="Q73" s="5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0.32337907617258832</v>
      </c>
      <c r="S73" s="5" cm="1">
        <f t="array" ref="S73">MIN(IF((ContinuousStatsTable[GroupByKey]=ContinuousStatsTable[[#This Row],[GroupByKey]]),(ContinuousStatsTable[GroupByKey]=ContinuousStatsTable[[#This Row],[GroupByKey]])*ContinuousStatsTable[Average]))</f>
        <v>0</v>
      </c>
      <c r="T73" s="5" cm="1">
        <f t="array" ref="T73">MAX(IF((ContinuousStatsTable[GroupByKey]=ContinuousStatsTable[[#This Row],[GroupByKey]]),(ContinuousStatsTable[GroupByKey]=ContinuousStatsTable[[#This Row],[GroupByKey]])*ContinuousStatsTable[Average]))</f>
        <v>5.3083923025689197</v>
      </c>
      <c r="U73" s="5">
        <f>IF((ContinuousStatsTable[[#This Row],[RepsRequested]]&gt;1),ContinuousStatsTable[[#This Row],[HalfWidth]],ContinuousStatsTable[[#This Row],[BatchMeansHalfWidth]])</f>
        <v>0.32337907617258832</v>
      </c>
    </row>
    <row r="74" spans="1:21" x14ac:dyDescent="0.35">
      <c r="A74" t="s">
        <v>66</v>
      </c>
      <c r="B74" t="s">
        <v>69</v>
      </c>
      <c r="C74">
        <v>15</v>
      </c>
      <c r="D74" t="s">
        <v>83</v>
      </c>
      <c r="E74" t="s">
        <v>84</v>
      </c>
      <c r="F74" t="s">
        <v>85</v>
      </c>
      <c r="G74">
        <v>0.78351413580086005</v>
      </c>
      <c r="H74">
        <v>2E+20</v>
      </c>
      <c r="I74">
        <v>0</v>
      </c>
      <c r="J74">
        <v>1</v>
      </c>
      <c r="K74">
        <v>1</v>
      </c>
      <c r="L74">
        <v>0</v>
      </c>
      <c r="M74" s="5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74" s="5" cm="1">
        <f t="array" ref="N74">MAX(IF((ProjectInfoTable[ProjectName]=ContinuousStatsTable[[#This Row],[ProjectName]]),(ProjectInfoTable[ProjectName]=ContinuousStatsTable[[#This Row],[ProjectName]])*ProjectInfoTable[NumberOfReplications]))</f>
        <v>50</v>
      </c>
      <c r="O74" s="5" cm="1">
        <f t="array" ref="O74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74" s="5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74" s="5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74" s="5" cm="1">
        <f t="array" ref="S74">MIN(IF((ContinuousStatsTable[GroupByKey]=ContinuousStatsTable[[#This Row],[GroupByKey]]),(ContinuousStatsTable[GroupByKey]=ContinuousStatsTable[[#This Row],[GroupByKey]])*ContinuousStatsTable[Average]))</f>
        <v>0.60846830422583797</v>
      </c>
      <c r="T74" s="5" cm="1">
        <f t="array" ref="T74">MAX(IF((ContinuousStatsTable[GroupByKey]=ContinuousStatsTable[[#This Row],[GroupByKey]]),(ContinuousStatsTable[GroupByKey]=ContinuousStatsTable[[#This Row],[GroupByKey]])*ContinuousStatsTable[Average]))</f>
        <v>1</v>
      </c>
      <c r="U74" s="5">
        <f>IF((ContinuousStatsTable[[#This Row],[RepsRequested]]&gt;1),ContinuousStatsTable[[#This Row],[HalfWidth]],ContinuousStatsTable[[#This Row],[BatchMeansHalfWidth]])</f>
        <v>3.350588705034975E-2</v>
      </c>
    </row>
    <row r="75" spans="1:21" x14ac:dyDescent="0.35">
      <c r="A75" t="s">
        <v>66</v>
      </c>
      <c r="B75" t="s">
        <v>69</v>
      </c>
      <c r="C75">
        <v>15</v>
      </c>
      <c r="D75" t="s">
        <v>83</v>
      </c>
      <c r="E75" t="s">
        <v>86</v>
      </c>
      <c r="F75" t="s">
        <v>85</v>
      </c>
      <c r="G75">
        <v>0.78351413580086005</v>
      </c>
      <c r="H75">
        <v>2E+20</v>
      </c>
      <c r="I75">
        <v>0</v>
      </c>
      <c r="J75">
        <v>1</v>
      </c>
      <c r="K75">
        <v>1</v>
      </c>
      <c r="L75">
        <v>0</v>
      </c>
      <c r="M75" s="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75" s="5" cm="1">
        <f t="array" ref="N75">MAX(IF((ProjectInfoTable[ProjectName]=ContinuousStatsTable[[#This Row],[ProjectName]]),(ProjectInfoTable[ProjectName]=ContinuousStatsTable[[#This Row],[ProjectName]])*ProjectInfoTable[NumberOfReplications]))</f>
        <v>50</v>
      </c>
      <c r="O75" s="5" cm="1">
        <f t="array" ref="O75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75" s="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75" s="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75" s="5" cm="1">
        <f t="array" ref="S75">MIN(IF((ContinuousStatsTable[GroupByKey]=ContinuousStatsTable[[#This Row],[GroupByKey]]),(ContinuousStatsTable[GroupByKey]=ContinuousStatsTable[[#This Row],[GroupByKey]])*ContinuousStatsTable[Average]))</f>
        <v>0.60846830422583797</v>
      </c>
      <c r="T75" s="5" cm="1">
        <f t="array" ref="T75">MAX(IF((ContinuousStatsTable[GroupByKey]=ContinuousStatsTable[[#This Row],[GroupByKey]]),(ContinuousStatsTable[GroupByKey]=ContinuousStatsTable[[#This Row],[GroupByKey]])*ContinuousStatsTable[Average]))</f>
        <v>1</v>
      </c>
      <c r="U75" s="5">
        <f>IF((ContinuousStatsTable[[#This Row],[RepsRequested]]&gt;1),ContinuousStatsTable[[#This Row],[HalfWidth]],ContinuousStatsTable[[#This Row],[BatchMeansHalfWidth]])</f>
        <v>3.350588705034975E-2</v>
      </c>
    </row>
    <row r="76" spans="1:21" x14ac:dyDescent="0.35">
      <c r="A76" t="s">
        <v>66</v>
      </c>
      <c r="B76" t="s">
        <v>69</v>
      </c>
      <c r="C76">
        <v>15</v>
      </c>
      <c r="D76" t="s">
        <v>83</v>
      </c>
      <c r="E76" t="s">
        <v>87</v>
      </c>
      <c r="F76" t="s">
        <v>85</v>
      </c>
      <c r="G76">
        <v>1</v>
      </c>
      <c r="H76">
        <v>2E+20</v>
      </c>
      <c r="I76">
        <v>1</v>
      </c>
      <c r="J76">
        <v>1</v>
      </c>
      <c r="K76">
        <v>1</v>
      </c>
      <c r="L76">
        <v>0</v>
      </c>
      <c r="M76" s="5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76" s="5" cm="1">
        <f t="array" ref="N76">MAX(IF((ProjectInfoTable[ProjectName]=ContinuousStatsTable[[#This Row],[ProjectName]]),(ProjectInfoTable[ProjectName]=ContinuousStatsTable[[#This Row],[ProjectName]])*ProjectInfoTable[NumberOfReplications]))</f>
        <v>50</v>
      </c>
      <c r="O76" s="5" cm="1">
        <f t="array" ref="O76">IFERROR(AVERAGE(IF((ContinuousStatsTable[GroupByKey]=ContinuousStatsTable[[#This Row],[GroupByKey]]),(ContinuousStatsTable[GroupByKey]=ContinuousStatsTable[[#This Row],[GroupByKey]])*ContinuousStatsTable[Average])),0)</f>
        <v>1</v>
      </c>
      <c r="P76" s="5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0</v>
      </c>
      <c r="Q76" s="5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6" s="5" cm="1">
        <f t="array" ref="S76">MIN(IF((ContinuousStatsTable[GroupByKey]=ContinuousStatsTable[[#This Row],[GroupByKey]]),(ContinuousStatsTable[GroupByKey]=ContinuousStatsTable[[#This Row],[GroupByKey]])*ContinuousStatsTable[Average]))</f>
        <v>1</v>
      </c>
      <c r="T76" s="5" cm="1">
        <f t="array" ref="T76">MAX(IF((ContinuousStatsTable[GroupByKey]=ContinuousStatsTable[[#This Row],[GroupByKey]]),(ContinuousStatsTable[GroupByKey]=ContinuousStatsTable[[#This Row],[GroupByKey]])*ContinuousStatsTable[Average]))</f>
        <v>1</v>
      </c>
      <c r="U76" s="5">
        <f>IF((ContinuousStatsTable[[#This Row],[RepsRequested]]&gt;1),ContinuousStatsTable[[#This Row],[HalfWidth]],ContinuousStatsTable[[#This Row],[BatchMeansHalfWidth]])</f>
        <v>0</v>
      </c>
    </row>
    <row r="77" spans="1:21" x14ac:dyDescent="0.35">
      <c r="A77" t="s">
        <v>66</v>
      </c>
      <c r="B77" t="s">
        <v>69</v>
      </c>
      <c r="C77">
        <v>16</v>
      </c>
      <c r="D77" t="s">
        <v>70</v>
      </c>
      <c r="E77" t="s">
        <v>81</v>
      </c>
      <c r="F77" t="s">
        <v>72</v>
      </c>
      <c r="G77">
        <v>1.7796011078102001</v>
      </c>
      <c r="H77">
        <v>2E+20</v>
      </c>
      <c r="I77">
        <v>0</v>
      </c>
      <c r="J77">
        <v>3</v>
      </c>
      <c r="K77">
        <v>2</v>
      </c>
      <c r="L77">
        <v>0</v>
      </c>
      <c r="M77" s="5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77" s="5" cm="1">
        <f t="array" ref="N77">MAX(IF((ProjectInfoTable[ProjectName]=ContinuousStatsTable[[#This Row],[ProjectName]]),(ProjectInfoTable[ProjectName]=ContinuousStatsTable[[#This Row],[ProjectName]])*ProjectInfoTable[NumberOfReplications]))</f>
        <v>50</v>
      </c>
      <c r="O77" s="5" cm="1">
        <f t="array" ref="O77">IFERROR(AVERAGE(IF((ContinuousStatsTable[GroupByKey]=ContinuousStatsTable[[#This Row],[GroupByKey]]),(ContinuousStatsTable[GroupByKey]=ContinuousStatsTable[[#This Row],[GroupByKey]])*ContinuousStatsTable[Average])),0)</f>
        <v>2.1996658161417075</v>
      </c>
      <c r="P77" s="5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1.1994598865431718</v>
      </c>
      <c r="Q77" s="5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0.34088272804883424</v>
      </c>
      <c r="S77" s="5" cm="1">
        <f t="array" ref="S77">MIN(IF((ContinuousStatsTable[GroupByKey]=ContinuousStatsTable[[#This Row],[GroupByKey]]),(ContinuousStatsTable[GroupByKey]=ContinuousStatsTable[[#This Row],[GroupByKey]])*ContinuousStatsTable[Average]))</f>
        <v>0.70499985227053297</v>
      </c>
      <c r="T77" s="5" cm="1">
        <f t="array" ref="T77">MAX(IF((ContinuousStatsTable[GroupByKey]=ContinuousStatsTable[[#This Row],[GroupByKey]]),(ContinuousStatsTable[GroupByKey]=ContinuousStatsTable[[#This Row],[GroupByKey]])*ContinuousStatsTable[Average]))</f>
        <v>6.3083923025689197</v>
      </c>
      <c r="U77" s="5">
        <f>IF((ContinuousStatsTable[[#This Row],[RepsRequested]]&gt;1),ContinuousStatsTable[[#This Row],[HalfWidth]],ContinuousStatsTable[[#This Row],[BatchMeansHalfWidth]])</f>
        <v>0.34088272804883424</v>
      </c>
    </row>
    <row r="78" spans="1:21" x14ac:dyDescent="0.35">
      <c r="A78" t="s">
        <v>66</v>
      </c>
      <c r="B78" t="s">
        <v>69</v>
      </c>
      <c r="C78">
        <v>16</v>
      </c>
      <c r="D78" t="s">
        <v>78</v>
      </c>
      <c r="E78" t="s">
        <v>82</v>
      </c>
      <c r="F78" t="s">
        <v>80</v>
      </c>
      <c r="G78">
        <v>0.77960110781019898</v>
      </c>
      <c r="H78">
        <v>2E+20</v>
      </c>
      <c r="I78">
        <v>0</v>
      </c>
      <c r="J78">
        <v>2</v>
      </c>
      <c r="K78">
        <v>1</v>
      </c>
      <c r="L78">
        <v>0</v>
      </c>
      <c r="M78" s="5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78" s="5" cm="1">
        <f t="array" ref="N78">MAX(IF((ProjectInfoTable[ProjectName]=ContinuousStatsTable[[#This Row],[ProjectName]]),(ProjectInfoTable[ProjectName]=ContinuousStatsTable[[#This Row],[ProjectName]])*ProjectInfoTable[NumberOfReplications]))</f>
        <v>50</v>
      </c>
      <c r="O78" s="5" cm="1">
        <f t="array" ref="O78">IFERROR(AVERAGE(IF((ContinuousStatsTable[GroupByKey]=ContinuousStatsTable[[#This Row],[GroupByKey]]),(ContinuousStatsTable[GroupByKey]=ContinuousStatsTable[[#This Row],[GroupByKey]])*ContinuousStatsTable[Average])),0)</f>
        <v>1.2732860367273062</v>
      </c>
      <c r="P78" s="5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1.137870000737736</v>
      </c>
      <c r="Q78" s="5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0.32337907617258832</v>
      </c>
      <c r="S78" s="5" cm="1">
        <f t="array" ref="S78">MIN(IF((ContinuousStatsTable[GroupByKey]=ContinuousStatsTable[[#This Row],[GroupByKey]]),(ContinuousStatsTable[GroupByKey]=ContinuousStatsTable[[#This Row],[GroupByKey]])*ContinuousStatsTable[Average]))</f>
        <v>0</v>
      </c>
      <c r="T78" s="5" cm="1">
        <f t="array" ref="T78">MAX(IF((ContinuousStatsTable[GroupByKey]=ContinuousStatsTable[[#This Row],[GroupByKey]]),(ContinuousStatsTable[GroupByKey]=ContinuousStatsTable[[#This Row],[GroupByKey]])*ContinuousStatsTable[Average]))</f>
        <v>5.3083923025689197</v>
      </c>
      <c r="U78" s="5">
        <f>IF((ContinuousStatsTable[[#This Row],[RepsRequested]]&gt;1),ContinuousStatsTable[[#This Row],[HalfWidth]],ContinuousStatsTable[[#This Row],[BatchMeansHalfWidth]])</f>
        <v>0.32337907617258832</v>
      </c>
    </row>
    <row r="79" spans="1:21" x14ac:dyDescent="0.35">
      <c r="A79" t="s">
        <v>66</v>
      </c>
      <c r="B79" t="s">
        <v>69</v>
      </c>
      <c r="C79">
        <v>16</v>
      </c>
      <c r="D79" t="s">
        <v>83</v>
      </c>
      <c r="E79" t="s">
        <v>84</v>
      </c>
      <c r="F79" t="s">
        <v>85</v>
      </c>
      <c r="G79">
        <v>1</v>
      </c>
      <c r="H79">
        <v>2E+20</v>
      </c>
      <c r="I79">
        <v>0</v>
      </c>
      <c r="J79">
        <v>1</v>
      </c>
      <c r="K79">
        <v>1</v>
      </c>
      <c r="L79">
        <v>0</v>
      </c>
      <c r="M79" s="5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79" s="5" cm="1">
        <f t="array" ref="N79">MAX(IF((ProjectInfoTable[ProjectName]=ContinuousStatsTable[[#This Row],[ProjectName]]),(ProjectInfoTable[ProjectName]=ContinuousStatsTable[[#This Row],[ProjectName]])*ProjectInfoTable[NumberOfReplications]))</f>
        <v>50</v>
      </c>
      <c r="O79" s="5" cm="1">
        <f t="array" ref="O79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79" s="5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79" s="5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79" s="5" cm="1">
        <f t="array" ref="S79">MIN(IF((ContinuousStatsTable[GroupByKey]=ContinuousStatsTable[[#This Row],[GroupByKey]]),(ContinuousStatsTable[GroupByKey]=ContinuousStatsTable[[#This Row],[GroupByKey]])*ContinuousStatsTable[Average]))</f>
        <v>0.60846830422583797</v>
      </c>
      <c r="T79" s="5" cm="1">
        <f t="array" ref="T79">MAX(IF((ContinuousStatsTable[GroupByKey]=ContinuousStatsTable[[#This Row],[GroupByKey]]),(ContinuousStatsTable[GroupByKey]=ContinuousStatsTable[[#This Row],[GroupByKey]])*ContinuousStatsTable[Average]))</f>
        <v>1</v>
      </c>
      <c r="U79" s="5">
        <f>IF((ContinuousStatsTable[[#This Row],[RepsRequested]]&gt;1),ContinuousStatsTable[[#This Row],[HalfWidth]],ContinuousStatsTable[[#This Row],[BatchMeansHalfWidth]])</f>
        <v>3.350588705034975E-2</v>
      </c>
    </row>
    <row r="80" spans="1:21" x14ac:dyDescent="0.35">
      <c r="A80" t="s">
        <v>66</v>
      </c>
      <c r="B80" t="s">
        <v>69</v>
      </c>
      <c r="C80">
        <v>16</v>
      </c>
      <c r="D80" t="s">
        <v>83</v>
      </c>
      <c r="E80" t="s">
        <v>86</v>
      </c>
      <c r="F80" t="s">
        <v>85</v>
      </c>
      <c r="G80">
        <v>1</v>
      </c>
      <c r="H80">
        <v>2E+20</v>
      </c>
      <c r="I80">
        <v>0</v>
      </c>
      <c r="J80">
        <v>1</v>
      </c>
      <c r="K80">
        <v>1</v>
      </c>
      <c r="L80">
        <v>0</v>
      </c>
      <c r="M80" s="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80" s="5" cm="1">
        <f t="array" ref="N80">MAX(IF((ProjectInfoTable[ProjectName]=ContinuousStatsTable[[#This Row],[ProjectName]]),(ProjectInfoTable[ProjectName]=ContinuousStatsTable[[#This Row],[ProjectName]])*ProjectInfoTable[NumberOfReplications]))</f>
        <v>50</v>
      </c>
      <c r="O80" s="5" cm="1">
        <f t="array" ref="O80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80" s="5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80" s="5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80" s="5" cm="1">
        <f t="array" ref="S80">MIN(IF((ContinuousStatsTable[GroupByKey]=ContinuousStatsTable[[#This Row],[GroupByKey]]),(ContinuousStatsTable[GroupByKey]=ContinuousStatsTable[[#This Row],[GroupByKey]])*ContinuousStatsTable[Average]))</f>
        <v>0.60846830422583797</v>
      </c>
      <c r="T80" s="5" cm="1">
        <f t="array" ref="T80">MAX(IF((ContinuousStatsTable[GroupByKey]=ContinuousStatsTable[[#This Row],[GroupByKey]]),(ContinuousStatsTable[GroupByKey]=ContinuousStatsTable[[#This Row],[GroupByKey]])*ContinuousStatsTable[Average]))</f>
        <v>1</v>
      </c>
      <c r="U80" s="5">
        <f>IF((ContinuousStatsTable[[#This Row],[RepsRequested]]&gt;1),ContinuousStatsTable[[#This Row],[HalfWidth]],ContinuousStatsTable[[#This Row],[BatchMeansHalfWidth]])</f>
        <v>3.350588705034975E-2</v>
      </c>
    </row>
    <row r="81" spans="1:21" x14ac:dyDescent="0.35">
      <c r="A81" t="s">
        <v>66</v>
      </c>
      <c r="B81" t="s">
        <v>69</v>
      </c>
      <c r="C81">
        <v>16</v>
      </c>
      <c r="D81" t="s">
        <v>83</v>
      </c>
      <c r="E81" t="s">
        <v>87</v>
      </c>
      <c r="F81" t="s">
        <v>85</v>
      </c>
      <c r="G81">
        <v>1</v>
      </c>
      <c r="H81">
        <v>2E+20</v>
      </c>
      <c r="I81">
        <v>1</v>
      </c>
      <c r="J81">
        <v>1</v>
      </c>
      <c r="K81">
        <v>1</v>
      </c>
      <c r="L81">
        <v>0</v>
      </c>
      <c r="M81" s="5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81" s="5" cm="1">
        <f t="array" ref="N81">MAX(IF((ProjectInfoTable[ProjectName]=ContinuousStatsTable[[#This Row],[ProjectName]]),(ProjectInfoTable[ProjectName]=ContinuousStatsTable[[#This Row],[ProjectName]])*ProjectInfoTable[NumberOfReplications]))</f>
        <v>50</v>
      </c>
      <c r="O81" s="5" cm="1">
        <f t="array" ref="O81">IFERROR(AVERAGE(IF((ContinuousStatsTable[GroupByKey]=ContinuousStatsTable[[#This Row],[GroupByKey]]),(ContinuousStatsTable[GroupByKey]=ContinuousStatsTable[[#This Row],[GroupByKey]])*ContinuousStatsTable[Average])),0)</f>
        <v>1</v>
      </c>
      <c r="P81" s="5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0</v>
      </c>
      <c r="Q81" s="5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1" s="5" cm="1">
        <f t="array" ref="S81">MIN(IF((ContinuousStatsTable[GroupByKey]=ContinuousStatsTable[[#This Row],[GroupByKey]]),(ContinuousStatsTable[GroupByKey]=ContinuousStatsTable[[#This Row],[GroupByKey]])*ContinuousStatsTable[Average]))</f>
        <v>1</v>
      </c>
      <c r="T81" s="5" cm="1">
        <f t="array" ref="T81">MAX(IF((ContinuousStatsTable[GroupByKey]=ContinuousStatsTable[[#This Row],[GroupByKey]]),(ContinuousStatsTable[GroupByKey]=ContinuousStatsTable[[#This Row],[GroupByKey]])*ContinuousStatsTable[Average]))</f>
        <v>1</v>
      </c>
      <c r="U81" s="5">
        <f>IF((ContinuousStatsTable[[#This Row],[RepsRequested]]&gt;1),ContinuousStatsTable[[#This Row],[HalfWidth]],ContinuousStatsTable[[#This Row],[BatchMeansHalfWidth]])</f>
        <v>0</v>
      </c>
    </row>
    <row r="82" spans="1:21" x14ac:dyDescent="0.35">
      <c r="A82" t="s">
        <v>66</v>
      </c>
      <c r="B82" t="s">
        <v>69</v>
      </c>
      <c r="C82">
        <v>17</v>
      </c>
      <c r="D82" t="s">
        <v>70</v>
      </c>
      <c r="E82" t="s">
        <v>81</v>
      </c>
      <c r="F82" t="s">
        <v>72</v>
      </c>
      <c r="G82">
        <v>0.74819210112866896</v>
      </c>
      <c r="H82">
        <v>2E+20</v>
      </c>
      <c r="I82">
        <v>0</v>
      </c>
      <c r="J82">
        <v>1</v>
      </c>
      <c r="K82">
        <v>1</v>
      </c>
      <c r="L82">
        <v>0</v>
      </c>
      <c r="M82" s="5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82" s="5" cm="1">
        <f t="array" ref="N82">MAX(IF((ProjectInfoTable[ProjectName]=ContinuousStatsTable[[#This Row],[ProjectName]]),(ProjectInfoTable[ProjectName]=ContinuousStatsTable[[#This Row],[ProjectName]])*ProjectInfoTable[NumberOfReplications]))</f>
        <v>50</v>
      </c>
      <c r="O82" s="5" cm="1">
        <f t="array" ref="O82">IFERROR(AVERAGE(IF((ContinuousStatsTable[GroupByKey]=ContinuousStatsTable[[#This Row],[GroupByKey]]),(ContinuousStatsTable[GroupByKey]=ContinuousStatsTable[[#This Row],[GroupByKey]])*ContinuousStatsTable[Average])),0)</f>
        <v>2.1996658161417075</v>
      </c>
      <c r="P82" s="5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1.1994598865431718</v>
      </c>
      <c r="Q82" s="5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0.34088272804883424</v>
      </c>
      <c r="S82" s="5" cm="1">
        <f t="array" ref="S82">MIN(IF((ContinuousStatsTable[GroupByKey]=ContinuousStatsTable[[#This Row],[GroupByKey]]),(ContinuousStatsTable[GroupByKey]=ContinuousStatsTable[[#This Row],[GroupByKey]])*ContinuousStatsTable[Average]))</f>
        <v>0.70499985227053297</v>
      </c>
      <c r="T82" s="5" cm="1">
        <f t="array" ref="T82">MAX(IF((ContinuousStatsTable[GroupByKey]=ContinuousStatsTable[[#This Row],[GroupByKey]]),(ContinuousStatsTable[GroupByKey]=ContinuousStatsTable[[#This Row],[GroupByKey]])*ContinuousStatsTable[Average]))</f>
        <v>6.3083923025689197</v>
      </c>
      <c r="U82" s="5">
        <f>IF((ContinuousStatsTable[[#This Row],[RepsRequested]]&gt;1),ContinuousStatsTable[[#This Row],[HalfWidth]],ContinuousStatsTable[[#This Row],[BatchMeansHalfWidth]])</f>
        <v>0.34088272804883424</v>
      </c>
    </row>
    <row r="83" spans="1:21" x14ac:dyDescent="0.35">
      <c r="A83" t="s">
        <v>66</v>
      </c>
      <c r="B83" t="s">
        <v>69</v>
      </c>
      <c r="C83">
        <v>17</v>
      </c>
      <c r="D83" t="s">
        <v>78</v>
      </c>
      <c r="E83" t="s">
        <v>82</v>
      </c>
      <c r="F83" t="s">
        <v>80</v>
      </c>
      <c r="G83">
        <v>0</v>
      </c>
      <c r="H83">
        <v>2E+20</v>
      </c>
      <c r="I83">
        <v>0</v>
      </c>
      <c r="J83">
        <v>0</v>
      </c>
      <c r="K83">
        <v>0</v>
      </c>
      <c r="L83">
        <v>0</v>
      </c>
      <c r="M83" s="5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83" s="5" cm="1">
        <f t="array" ref="N83">MAX(IF((ProjectInfoTable[ProjectName]=ContinuousStatsTable[[#This Row],[ProjectName]]),(ProjectInfoTable[ProjectName]=ContinuousStatsTable[[#This Row],[ProjectName]])*ProjectInfoTable[NumberOfReplications]))</f>
        <v>50</v>
      </c>
      <c r="O83" s="5" cm="1">
        <f t="array" ref="O83">IFERROR(AVERAGE(IF((ContinuousStatsTable[GroupByKey]=ContinuousStatsTable[[#This Row],[GroupByKey]]),(ContinuousStatsTable[GroupByKey]=ContinuousStatsTable[[#This Row],[GroupByKey]])*ContinuousStatsTable[Average])),0)</f>
        <v>1.2732860367273062</v>
      </c>
      <c r="P83" s="5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1.137870000737736</v>
      </c>
      <c r="Q83" s="5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0.32337907617258832</v>
      </c>
      <c r="S83" s="5" cm="1">
        <f t="array" ref="S83">MIN(IF((ContinuousStatsTable[GroupByKey]=ContinuousStatsTable[[#This Row],[GroupByKey]]),(ContinuousStatsTable[GroupByKey]=ContinuousStatsTable[[#This Row],[GroupByKey]])*ContinuousStatsTable[Average]))</f>
        <v>0</v>
      </c>
      <c r="T83" s="5" cm="1">
        <f t="array" ref="T83">MAX(IF((ContinuousStatsTable[GroupByKey]=ContinuousStatsTable[[#This Row],[GroupByKey]]),(ContinuousStatsTable[GroupByKey]=ContinuousStatsTable[[#This Row],[GroupByKey]])*ContinuousStatsTable[Average]))</f>
        <v>5.3083923025689197</v>
      </c>
      <c r="U83" s="5">
        <f>IF((ContinuousStatsTable[[#This Row],[RepsRequested]]&gt;1),ContinuousStatsTable[[#This Row],[HalfWidth]],ContinuousStatsTable[[#This Row],[BatchMeansHalfWidth]])</f>
        <v>0.32337907617258832</v>
      </c>
    </row>
    <row r="84" spans="1:21" x14ac:dyDescent="0.35">
      <c r="A84" t="s">
        <v>66</v>
      </c>
      <c r="B84" t="s">
        <v>69</v>
      </c>
      <c r="C84">
        <v>17</v>
      </c>
      <c r="D84" t="s">
        <v>83</v>
      </c>
      <c r="E84" t="s">
        <v>84</v>
      </c>
      <c r="F84" t="s">
        <v>85</v>
      </c>
      <c r="G84">
        <v>0.74819210112866896</v>
      </c>
      <c r="H84">
        <v>2E+20</v>
      </c>
      <c r="I84">
        <v>0</v>
      </c>
      <c r="J84">
        <v>1</v>
      </c>
      <c r="K84">
        <v>1</v>
      </c>
      <c r="L84">
        <v>0</v>
      </c>
      <c r="M84" s="5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84" s="5" cm="1">
        <f t="array" ref="N84">MAX(IF((ProjectInfoTable[ProjectName]=ContinuousStatsTable[[#This Row],[ProjectName]]),(ProjectInfoTable[ProjectName]=ContinuousStatsTable[[#This Row],[ProjectName]])*ProjectInfoTable[NumberOfReplications]))</f>
        <v>50</v>
      </c>
      <c r="O84" s="5" cm="1">
        <f t="array" ref="O84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84" s="5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84" s="5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84" s="5" cm="1">
        <f t="array" ref="S84">MIN(IF((ContinuousStatsTable[GroupByKey]=ContinuousStatsTable[[#This Row],[GroupByKey]]),(ContinuousStatsTable[GroupByKey]=ContinuousStatsTable[[#This Row],[GroupByKey]])*ContinuousStatsTable[Average]))</f>
        <v>0.60846830422583797</v>
      </c>
      <c r="T84" s="5" cm="1">
        <f t="array" ref="T84">MAX(IF((ContinuousStatsTable[GroupByKey]=ContinuousStatsTable[[#This Row],[GroupByKey]]),(ContinuousStatsTable[GroupByKey]=ContinuousStatsTable[[#This Row],[GroupByKey]])*ContinuousStatsTable[Average]))</f>
        <v>1</v>
      </c>
      <c r="U84" s="5">
        <f>IF((ContinuousStatsTable[[#This Row],[RepsRequested]]&gt;1),ContinuousStatsTable[[#This Row],[HalfWidth]],ContinuousStatsTable[[#This Row],[BatchMeansHalfWidth]])</f>
        <v>3.350588705034975E-2</v>
      </c>
    </row>
    <row r="85" spans="1:21" x14ac:dyDescent="0.35">
      <c r="A85" t="s">
        <v>66</v>
      </c>
      <c r="B85" t="s">
        <v>69</v>
      </c>
      <c r="C85">
        <v>17</v>
      </c>
      <c r="D85" t="s">
        <v>83</v>
      </c>
      <c r="E85" t="s">
        <v>86</v>
      </c>
      <c r="F85" t="s">
        <v>85</v>
      </c>
      <c r="G85">
        <v>0.74819210112866896</v>
      </c>
      <c r="H85">
        <v>2E+20</v>
      </c>
      <c r="I85">
        <v>0</v>
      </c>
      <c r="J85">
        <v>1</v>
      </c>
      <c r="K85">
        <v>1</v>
      </c>
      <c r="L85">
        <v>0</v>
      </c>
      <c r="M85" s="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85" s="5" cm="1">
        <f t="array" ref="N85">MAX(IF((ProjectInfoTable[ProjectName]=ContinuousStatsTable[[#This Row],[ProjectName]]),(ProjectInfoTable[ProjectName]=ContinuousStatsTable[[#This Row],[ProjectName]])*ProjectInfoTable[NumberOfReplications]))</f>
        <v>50</v>
      </c>
      <c r="O85" s="5" cm="1">
        <f t="array" ref="O85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85" s="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85" s="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85" s="5" cm="1">
        <f t="array" ref="S85">MIN(IF((ContinuousStatsTable[GroupByKey]=ContinuousStatsTable[[#This Row],[GroupByKey]]),(ContinuousStatsTable[GroupByKey]=ContinuousStatsTable[[#This Row],[GroupByKey]])*ContinuousStatsTable[Average]))</f>
        <v>0.60846830422583797</v>
      </c>
      <c r="T85" s="5" cm="1">
        <f t="array" ref="T85">MAX(IF((ContinuousStatsTable[GroupByKey]=ContinuousStatsTable[[#This Row],[GroupByKey]]),(ContinuousStatsTable[GroupByKey]=ContinuousStatsTable[[#This Row],[GroupByKey]])*ContinuousStatsTable[Average]))</f>
        <v>1</v>
      </c>
      <c r="U85" s="5">
        <f>IF((ContinuousStatsTable[[#This Row],[RepsRequested]]&gt;1),ContinuousStatsTable[[#This Row],[HalfWidth]],ContinuousStatsTable[[#This Row],[BatchMeansHalfWidth]])</f>
        <v>3.350588705034975E-2</v>
      </c>
    </row>
    <row r="86" spans="1:21" x14ac:dyDescent="0.35">
      <c r="A86" t="s">
        <v>66</v>
      </c>
      <c r="B86" t="s">
        <v>69</v>
      </c>
      <c r="C86">
        <v>17</v>
      </c>
      <c r="D86" t="s">
        <v>83</v>
      </c>
      <c r="E86" t="s">
        <v>87</v>
      </c>
      <c r="F86" t="s">
        <v>85</v>
      </c>
      <c r="G86">
        <v>1</v>
      </c>
      <c r="H86">
        <v>2E+20</v>
      </c>
      <c r="I86">
        <v>1</v>
      </c>
      <c r="J86">
        <v>1</v>
      </c>
      <c r="K86">
        <v>1</v>
      </c>
      <c r="L86">
        <v>0</v>
      </c>
      <c r="M86" s="5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86" s="5" cm="1">
        <f t="array" ref="N86">MAX(IF((ProjectInfoTable[ProjectName]=ContinuousStatsTable[[#This Row],[ProjectName]]),(ProjectInfoTable[ProjectName]=ContinuousStatsTable[[#This Row],[ProjectName]])*ProjectInfoTable[NumberOfReplications]))</f>
        <v>50</v>
      </c>
      <c r="O86" s="5" cm="1">
        <f t="array" ref="O86">IFERROR(AVERAGE(IF((ContinuousStatsTable[GroupByKey]=ContinuousStatsTable[[#This Row],[GroupByKey]]),(ContinuousStatsTable[GroupByKey]=ContinuousStatsTable[[#This Row],[GroupByKey]])*ContinuousStatsTable[Average])),0)</f>
        <v>1</v>
      </c>
      <c r="P86" s="5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0</v>
      </c>
      <c r="Q86" s="5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6" s="5" cm="1">
        <f t="array" ref="S86">MIN(IF((ContinuousStatsTable[GroupByKey]=ContinuousStatsTable[[#This Row],[GroupByKey]]),(ContinuousStatsTable[GroupByKey]=ContinuousStatsTable[[#This Row],[GroupByKey]])*ContinuousStatsTable[Average]))</f>
        <v>1</v>
      </c>
      <c r="T86" s="5" cm="1">
        <f t="array" ref="T86">MAX(IF((ContinuousStatsTable[GroupByKey]=ContinuousStatsTable[[#This Row],[GroupByKey]]),(ContinuousStatsTable[GroupByKey]=ContinuousStatsTable[[#This Row],[GroupByKey]])*ContinuousStatsTable[Average]))</f>
        <v>1</v>
      </c>
      <c r="U86" s="5">
        <f>IF((ContinuousStatsTable[[#This Row],[RepsRequested]]&gt;1),ContinuousStatsTable[[#This Row],[HalfWidth]],ContinuousStatsTable[[#This Row],[BatchMeansHalfWidth]])</f>
        <v>0</v>
      </c>
    </row>
    <row r="87" spans="1:21" x14ac:dyDescent="0.35">
      <c r="A87" t="s">
        <v>66</v>
      </c>
      <c r="B87" t="s">
        <v>69</v>
      </c>
      <c r="C87">
        <v>18</v>
      </c>
      <c r="D87" t="s">
        <v>70</v>
      </c>
      <c r="E87" t="s">
        <v>81</v>
      </c>
      <c r="F87" t="s">
        <v>72</v>
      </c>
      <c r="G87">
        <v>1.2499829986361299</v>
      </c>
      <c r="H87">
        <v>2E+20</v>
      </c>
      <c r="I87">
        <v>0</v>
      </c>
      <c r="J87">
        <v>3</v>
      </c>
      <c r="K87">
        <v>2</v>
      </c>
      <c r="L87">
        <v>0</v>
      </c>
      <c r="M87" s="5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87" s="5" cm="1">
        <f t="array" ref="N87">MAX(IF((ProjectInfoTable[ProjectName]=ContinuousStatsTable[[#This Row],[ProjectName]]),(ProjectInfoTable[ProjectName]=ContinuousStatsTable[[#This Row],[ProjectName]])*ProjectInfoTable[NumberOfReplications]))</f>
        <v>50</v>
      </c>
      <c r="O87" s="5" cm="1">
        <f t="array" ref="O87">IFERROR(AVERAGE(IF((ContinuousStatsTable[GroupByKey]=ContinuousStatsTable[[#This Row],[GroupByKey]]),(ContinuousStatsTable[GroupByKey]=ContinuousStatsTable[[#This Row],[GroupByKey]])*ContinuousStatsTable[Average])),0)</f>
        <v>2.1996658161417075</v>
      </c>
      <c r="P87" s="5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1.1994598865431718</v>
      </c>
      <c r="Q87" s="5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0.34088272804883424</v>
      </c>
      <c r="S87" s="5" cm="1">
        <f t="array" ref="S87">MIN(IF((ContinuousStatsTable[GroupByKey]=ContinuousStatsTable[[#This Row],[GroupByKey]]),(ContinuousStatsTable[GroupByKey]=ContinuousStatsTable[[#This Row],[GroupByKey]])*ContinuousStatsTable[Average]))</f>
        <v>0.70499985227053297</v>
      </c>
      <c r="T87" s="5" cm="1">
        <f t="array" ref="T87">MAX(IF((ContinuousStatsTable[GroupByKey]=ContinuousStatsTable[[#This Row],[GroupByKey]]),(ContinuousStatsTable[GroupByKey]=ContinuousStatsTable[[#This Row],[GroupByKey]])*ContinuousStatsTable[Average]))</f>
        <v>6.3083923025689197</v>
      </c>
      <c r="U87" s="5">
        <f>IF((ContinuousStatsTable[[#This Row],[RepsRequested]]&gt;1),ContinuousStatsTable[[#This Row],[HalfWidth]],ContinuousStatsTable[[#This Row],[BatchMeansHalfWidth]])</f>
        <v>0.34088272804883424</v>
      </c>
    </row>
    <row r="88" spans="1:21" x14ac:dyDescent="0.35">
      <c r="A88" t="s">
        <v>66</v>
      </c>
      <c r="B88" t="s">
        <v>69</v>
      </c>
      <c r="C88">
        <v>18</v>
      </c>
      <c r="D88" t="s">
        <v>78</v>
      </c>
      <c r="E88" t="s">
        <v>82</v>
      </c>
      <c r="F88" t="s">
        <v>80</v>
      </c>
      <c r="G88">
        <v>0.42845844811788902</v>
      </c>
      <c r="H88">
        <v>2E+20</v>
      </c>
      <c r="I88">
        <v>0</v>
      </c>
      <c r="J88">
        <v>2</v>
      </c>
      <c r="K88">
        <v>1</v>
      </c>
      <c r="L88">
        <v>0</v>
      </c>
      <c r="M88" s="5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88" s="5" cm="1">
        <f t="array" ref="N88">MAX(IF((ProjectInfoTable[ProjectName]=ContinuousStatsTable[[#This Row],[ProjectName]]),(ProjectInfoTable[ProjectName]=ContinuousStatsTable[[#This Row],[ProjectName]])*ProjectInfoTable[NumberOfReplications]))</f>
        <v>50</v>
      </c>
      <c r="O88" s="5" cm="1">
        <f t="array" ref="O88">IFERROR(AVERAGE(IF((ContinuousStatsTable[GroupByKey]=ContinuousStatsTable[[#This Row],[GroupByKey]]),(ContinuousStatsTable[GroupByKey]=ContinuousStatsTable[[#This Row],[GroupByKey]])*ContinuousStatsTable[Average])),0)</f>
        <v>1.2732860367273062</v>
      </c>
      <c r="P88" s="5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1.137870000737736</v>
      </c>
      <c r="Q88" s="5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0.32337907617258832</v>
      </c>
      <c r="S88" s="5" cm="1">
        <f t="array" ref="S88">MIN(IF((ContinuousStatsTable[GroupByKey]=ContinuousStatsTable[[#This Row],[GroupByKey]]),(ContinuousStatsTable[GroupByKey]=ContinuousStatsTable[[#This Row],[GroupByKey]])*ContinuousStatsTable[Average]))</f>
        <v>0</v>
      </c>
      <c r="T88" s="5" cm="1">
        <f t="array" ref="T88">MAX(IF((ContinuousStatsTable[GroupByKey]=ContinuousStatsTable[[#This Row],[GroupByKey]]),(ContinuousStatsTable[GroupByKey]=ContinuousStatsTable[[#This Row],[GroupByKey]])*ContinuousStatsTable[Average]))</f>
        <v>5.3083923025689197</v>
      </c>
      <c r="U88" s="5">
        <f>IF((ContinuousStatsTable[[#This Row],[RepsRequested]]&gt;1),ContinuousStatsTable[[#This Row],[HalfWidth]],ContinuousStatsTable[[#This Row],[BatchMeansHalfWidth]])</f>
        <v>0.32337907617258832</v>
      </c>
    </row>
    <row r="89" spans="1:21" x14ac:dyDescent="0.35">
      <c r="A89" t="s">
        <v>66</v>
      </c>
      <c r="B89" t="s">
        <v>69</v>
      </c>
      <c r="C89">
        <v>18</v>
      </c>
      <c r="D89" t="s">
        <v>83</v>
      </c>
      <c r="E89" t="s">
        <v>84</v>
      </c>
      <c r="F89" t="s">
        <v>85</v>
      </c>
      <c r="G89">
        <v>0.82152455051824103</v>
      </c>
      <c r="H89">
        <v>2E+20</v>
      </c>
      <c r="I89">
        <v>0</v>
      </c>
      <c r="J89">
        <v>1</v>
      </c>
      <c r="K89">
        <v>1</v>
      </c>
      <c r="L89">
        <v>0</v>
      </c>
      <c r="M89" s="5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89" s="5" cm="1">
        <f t="array" ref="N89">MAX(IF((ProjectInfoTable[ProjectName]=ContinuousStatsTable[[#This Row],[ProjectName]]),(ProjectInfoTable[ProjectName]=ContinuousStatsTable[[#This Row],[ProjectName]])*ProjectInfoTable[NumberOfReplications]))</f>
        <v>50</v>
      </c>
      <c r="O89" s="5" cm="1">
        <f t="array" ref="O89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89" s="5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89" s="5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89" s="5" cm="1">
        <f t="array" ref="S89">MIN(IF((ContinuousStatsTable[GroupByKey]=ContinuousStatsTable[[#This Row],[GroupByKey]]),(ContinuousStatsTable[GroupByKey]=ContinuousStatsTable[[#This Row],[GroupByKey]])*ContinuousStatsTable[Average]))</f>
        <v>0.60846830422583797</v>
      </c>
      <c r="T89" s="5" cm="1">
        <f t="array" ref="T89">MAX(IF((ContinuousStatsTable[GroupByKey]=ContinuousStatsTable[[#This Row],[GroupByKey]]),(ContinuousStatsTable[GroupByKey]=ContinuousStatsTable[[#This Row],[GroupByKey]])*ContinuousStatsTable[Average]))</f>
        <v>1</v>
      </c>
      <c r="U89" s="5">
        <f>IF((ContinuousStatsTable[[#This Row],[RepsRequested]]&gt;1),ContinuousStatsTable[[#This Row],[HalfWidth]],ContinuousStatsTable[[#This Row],[BatchMeansHalfWidth]])</f>
        <v>3.350588705034975E-2</v>
      </c>
    </row>
    <row r="90" spans="1:21" x14ac:dyDescent="0.35">
      <c r="A90" t="s">
        <v>66</v>
      </c>
      <c r="B90" t="s">
        <v>69</v>
      </c>
      <c r="C90">
        <v>18</v>
      </c>
      <c r="D90" t="s">
        <v>83</v>
      </c>
      <c r="E90" t="s">
        <v>86</v>
      </c>
      <c r="F90" t="s">
        <v>85</v>
      </c>
      <c r="G90">
        <v>0.82152455051824103</v>
      </c>
      <c r="H90">
        <v>2E+20</v>
      </c>
      <c r="I90">
        <v>0</v>
      </c>
      <c r="J90">
        <v>1</v>
      </c>
      <c r="K90">
        <v>1</v>
      </c>
      <c r="L90">
        <v>0</v>
      </c>
      <c r="M90" s="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90" s="5" cm="1">
        <f t="array" ref="N90">MAX(IF((ProjectInfoTable[ProjectName]=ContinuousStatsTable[[#This Row],[ProjectName]]),(ProjectInfoTable[ProjectName]=ContinuousStatsTable[[#This Row],[ProjectName]])*ProjectInfoTable[NumberOfReplications]))</f>
        <v>50</v>
      </c>
      <c r="O90" s="5" cm="1">
        <f t="array" ref="O90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90" s="5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90" s="5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90" s="5" cm="1">
        <f t="array" ref="S90">MIN(IF((ContinuousStatsTable[GroupByKey]=ContinuousStatsTable[[#This Row],[GroupByKey]]),(ContinuousStatsTable[GroupByKey]=ContinuousStatsTable[[#This Row],[GroupByKey]])*ContinuousStatsTable[Average]))</f>
        <v>0.60846830422583797</v>
      </c>
      <c r="T90" s="5" cm="1">
        <f t="array" ref="T90">MAX(IF((ContinuousStatsTable[GroupByKey]=ContinuousStatsTable[[#This Row],[GroupByKey]]),(ContinuousStatsTable[GroupByKey]=ContinuousStatsTable[[#This Row],[GroupByKey]])*ContinuousStatsTable[Average]))</f>
        <v>1</v>
      </c>
      <c r="U90" s="5">
        <f>IF((ContinuousStatsTable[[#This Row],[RepsRequested]]&gt;1),ContinuousStatsTable[[#This Row],[HalfWidth]],ContinuousStatsTable[[#This Row],[BatchMeansHalfWidth]])</f>
        <v>3.350588705034975E-2</v>
      </c>
    </row>
    <row r="91" spans="1:21" x14ac:dyDescent="0.35">
      <c r="A91" t="s">
        <v>66</v>
      </c>
      <c r="B91" t="s">
        <v>69</v>
      </c>
      <c r="C91">
        <v>18</v>
      </c>
      <c r="D91" t="s">
        <v>83</v>
      </c>
      <c r="E91" t="s">
        <v>87</v>
      </c>
      <c r="F91" t="s">
        <v>85</v>
      </c>
      <c r="G91">
        <v>1</v>
      </c>
      <c r="H91">
        <v>2E+20</v>
      </c>
      <c r="I91">
        <v>1</v>
      </c>
      <c r="J91">
        <v>1</v>
      </c>
      <c r="K91">
        <v>1</v>
      </c>
      <c r="L91">
        <v>0</v>
      </c>
      <c r="M91" s="5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91" s="5" cm="1">
        <f t="array" ref="N91">MAX(IF((ProjectInfoTable[ProjectName]=ContinuousStatsTable[[#This Row],[ProjectName]]),(ProjectInfoTable[ProjectName]=ContinuousStatsTable[[#This Row],[ProjectName]])*ProjectInfoTable[NumberOfReplications]))</f>
        <v>50</v>
      </c>
      <c r="O91" s="5" cm="1">
        <f t="array" ref="O91">IFERROR(AVERAGE(IF((ContinuousStatsTable[GroupByKey]=ContinuousStatsTable[[#This Row],[GroupByKey]]),(ContinuousStatsTable[GroupByKey]=ContinuousStatsTable[[#This Row],[GroupByKey]])*ContinuousStatsTable[Average])),0)</f>
        <v>1</v>
      </c>
      <c r="P91" s="5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0</v>
      </c>
      <c r="Q91" s="5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1" s="5" cm="1">
        <f t="array" ref="S91">MIN(IF((ContinuousStatsTable[GroupByKey]=ContinuousStatsTable[[#This Row],[GroupByKey]]),(ContinuousStatsTable[GroupByKey]=ContinuousStatsTable[[#This Row],[GroupByKey]])*ContinuousStatsTable[Average]))</f>
        <v>1</v>
      </c>
      <c r="T91" s="5" cm="1">
        <f t="array" ref="T91">MAX(IF((ContinuousStatsTable[GroupByKey]=ContinuousStatsTable[[#This Row],[GroupByKey]]),(ContinuousStatsTable[GroupByKey]=ContinuousStatsTable[[#This Row],[GroupByKey]])*ContinuousStatsTable[Average]))</f>
        <v>1</v>
      </c>
      <c r="U91" s="5">
        <f>IF((ContinuousStatsTable[[#This Row],[RepsRequested]]&gt;1),ContinuousStatsTable[[#This Row],[HalfWidth]],ContinuousStatsTable[[#This Row],[BatchMeansHalfWidth]])</f>
        <v>0</v>
      </c>
    </row>
    <row r="92" spans="1:21" x14ac:dyDescent="0.35">
      <c r="A92" t="s">
        <v>66</v>
      </c>
      <c r="B92" t="s">
        <v>69</v>
      </c>
      <c r="C92">
        <v>19</v>
      </c>
      <c r="D92" t="s">
        <v>70</v>
      </c>
      <c r="E92" t="s">
        <v>81</v>
      </c>
      <c r="F92" t="s">
        <v>72</v>
      </c>
      <c r="G92">
        <v>2.7026991647626102</v>
      </c>
      <c r="H92">
        <v>2E+20</v>
      </c>
      <c r="I92">
        <v>0</v>
      </c>
      <c r="J92">
        <v>4</v>
      </c>
      <c r="K92">
        <v>3</v>
      </c>
      <c r="L92">
        <v>0</v>
      </c>
      <c r="M92" s="5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92" s="5" cm="1">
        <f t="array" ref="N92">MAX(IF((ProjectInfoTable[ProjectName]=ContinuousStatsTable[[#This Row],[ProjectName]]),(ProjectInfoTable[ProjectName]=ContinuousStatsTable[[#This Row],[ProjectName]])*ProjectInfoTable[NumberOfReplications]))</f>
        <v>50</v>
      </c>
      <c r="O92" s="5" cm="1">
        <f t="array" ref="O92">IFERROR(AVERAGE(IF((ContinuousStatsTable[GroupByKey]=ContinuousStatsTable[[#This Row],[GroupByKey]]),(ContinuousStatsTable[GroupByKey]=ContinuousStatsTable[[#This Row],[GroupByKey]])*ContinuousStatsTable[Average])),0)</f>
        <v>2.1996658161417075</v>
      </c>
      <c r="P92" s="5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1.1994598865431718</v>
      </c>
      <c r="Q92" s="5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0.34088272804883424</v>
      </c>
      <c r="S92" s="5" cm="1">
        <f t="array" ref="S92">MIN(IF((ContinuousStatsTable[GroupByKey]=ContinuousStatsTable[[#This Row],[GroupByKey]]),(ContinuousStatsTable[GroupByKey]=ContinuousStatsTable[[#This Row],[GroupByKey]])*ContinuousStatsTable[Average]))</f>
        <v>0.70499985227053297</v>
      </c>
      <c r="T92" s="5" cm="1">
        <f t="array" ref="T92">MAX(IF((ContinuousStatsTable[GroupByKey]=ContinuousStatsTable[[#This Row],[GroupByKey]]),(ContinuousStatsTable[GroupByKey]=ContinuousStatsTable[[#This Row],[GroupByKey]])*ContinuousStatsTable[Average]))</f>
        <v>6.3083923025689197</v>
      </c>
      <c r="U92" s="5">
        <f>IF((ContinuousStatsTable[[#This Row],[RepsRequested]]&gt;1),ContinuousStatsTable[[#This Row],[HalfWidth]],ContinuousStatsTable[[#This Row],[BatchMeansHalfWidth]])</f>
        <v>0.34088272804883424</v>
      </c>
    </row>
    <row r="93" spans="1:21" x14ac:dyDescent="0.35">
      <c r="A93" t="s">
        <v>66</v>
      </c>
      <c r="B93" t="s">
        <v>69</v>
      </c>
      <c r="C93">
        <v>19</v>
      </c>
      <c r="D93" t="s">
        <v>78</v>
      </c>
      <c r="E93" t="s">
        <v>82</v>
      </c>
      <c r="F93" t="s">
        <v>80</v>
      </c>
      <c r="G93">
        <v>1.70269916476261</v>
      </c>
      <c r="H93">
        <v>2E+20</v>
      </c>
      <c r="I93">
        <v>0</v>
      </c>
      <c r="J93">
        <v>3</v>
      </c>
      <c r="K93">
        <v>2</v>
      </c>
      <c r="L93">
        <v>0</v>
      </c>
      <c r="M93" s="5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93" s="5" cm="1">
        <f t="array" ref="N93">MAX(IF((ProjectInfoTable[ProjectName]=ContinuousStatsTable[[#This Row],[ProjectName]]),(ProjectInfoTable[ProjectName]=ContinuousStatsTable[[#This Row],[ProjectName]])*ProjectInfoTable[NumberOfReplications]))</f>
        <v>50</v>
      </c>
      <c r="O93" s="5" cm="1">
        <f t="array" ref="O93">IFERROR(AVERAGE(IF((ContinuousStatsTable[GroupByKey]=ContinuousStatsTable[[#This Row],[GroupByKey]]),(ContinuousStatsTable[GroupByKey]=ContinuousStatsTable[[#This Row],[GroupByKey]])*ContinuousStatsTable[Average])),0)</f>
        <v>1.2732860367273062</v>
      </c>
      <c r="P93" s="5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1.137870000737736</v>
      </c>
      <c r="Q93" s="5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0.32337907617258832</v>
      </c>
      <c r="S93" s="5" cm="1">
        <f t="array" ref="S93">MIN(IF((ContinuousStatsTable[GroupByKey]=ContinuousStatsTable[[#This Row],[GroupByKey]]),(ContinuousStatsTable[GroupByKey]=ContinuousStatsTable[[#This Row],[GroupByKey]])*ContinuousStatsTable[Average]))</f>
        <v>0</v>
      </c>
      <c r="T93" s="5" cm="1">
        <f t="array" ref="T93">MAX(IF((ContinuousStatsTable[GroupByKey]=ContinuousStatsTable[[#This Row],[GroupByKey]]),(ContinuousStatsTable[GroupByKey]=ContinuousStatsTable[[#This Row],[GroupByKey]])*ContinuousStatsTable[Average]))</f>
        <v>5.3083923025689197</v>
      </c>
      <c r="U93" s="5">
        <f>IF((ContinuousStatsTable[[#This Row],[RepsRequested]]&gt;1),ContinuousStatsTable[[#This Row],[HalfWidth]],ContinuousStatsTable[[#This Row],[BatchMeansHalfWidth]])</f>
        <v>0.32337907617258832</v>
      </c>
    </row>
    <row r="94" spans="1:21" x14ac:dyDescent="0.35">
      <c r="A94" t="s">
        <v>66</v>
      </c>
      <c r="B94" t="s">
        <v>69</v>
      </c>
      <c r="C94">
        <v>19</v>
      </c>
      <c r="D94" t="s">
        <v>83</v>
      </c>
      <c r="E94" t="s">
        <v>84</v>
      </c>
      <c r="F94" t="s">
        <v>85</v>
      </c>
      <c r="G94">
        <v>1</v>
      </c>
      <c r="H94">
        <v>2E+20</v>
      </c>
      <c r="I94">
        <v>0</v>
      </c>
      <c r="J94">
        <v>1</v>
      </c>
      <c r="K94">
        <v>1</v>
      </c>
      <c r="L94">
        <v>0</v>
      </c>
      <c r="M94" s="5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94" s="5" cm="1">
        <f t="array" ref="N94">MAX(IF((ProjectInfoTable[ProjectName]=ContinuousStatsTable[[#This Row],[ProjectName]]),(ProjectInfoTable[ProjectName]=ContinuousStatsTable[[#This Row],[ProjectName]])*ProjectInfoTable[NumberOfReplications]))</f>
        <v>50</v>
      </c>
      <c r="O94" s="5" cm="1">
        <f t="array" ref="O94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94" s="5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94" s="5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94" s="5" cm="1">
        <f t="array" ref="S94">MIN(IF((ContinuousStatsTable[GroupByKey]=ContinuousStatsTable[[#This Row],[GroupByKey]]),(ContinuousStatsTable[GroupByKey]=ContinuousStatsTable[[#This Row],[GroupByKey]])*ContinuousStatsTable[Average]))</f>
        <v>0.60846830422583797</v>
      </c>
      <c r="T94" s="5" cm="1">
        <f t="array" ref="T94">MAX(IF((ContinuousStatsTable[GroupByKey]=ContinuousStatsTable[[#This Row],[GroupByKey]]),(ContinuousStatsTable[GroupByKey]=ContinuousStatsTable[[#This Row],[GroupByKey]])*ContinuousStatsTable[Average]))</f>
        <v>1</v>
      </c>
      <c r="U94" s="5">
        <f>IF((ContinuousStatsTable[[#This Row],[RepsRequested]]&gt;1),ContinuousStatsTable[[#This Row],[HalfWidth]],ContinuousStatsTable[[#This Row],[BatchMeansHalfWidth]])</f>
        <v>3.350588705034975E-2</v>
      </c>
    </row>
    <row r="95" spans="1:21" x14ac:dyDescent="0.35">
      <c r="A95" t="s">
        <v>66</v>
      </c>
      <c r="B95" t="s">
        <v>69</v>
      </c>
      <c r="C95">
        <v>19</v>
      </c>
      <c r="D95" t="s">
        <v>83</v>
      </c>
      <c r="E95" t="s">
        <v>86</v>
      </c>
      <c r="F95" t="s">
        <v>85</v>
      </c>
      <c r="G95">
        <v>1</v>
      </c>
      <c r="H95">
        <v>2E+20</v>
      </c>
      <c r="I95">
        <v>0</v>
      </c>
      <c r="J95">
        <v>1</v>
      </c>
      <c r="K95">
        <v>1</v>
      </c>
      <c r="L95">
        <v>0</v>
      </c>
      <c r="M95" s="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95" s="5" cm="1">
        <f t="array" ref="N95">MAX(IF((ProjectInfoTable[ProjectName]=ContinuousStatsTable[[#This Row],[ProjectName]]),(ProjectInfoTable[ProjectName]=ContinuousStatsTable[[#This Row],[ProjectName]])*ProjectInfoTable[NumberOfReplications]))</f>
        <v>50</v>
      </c>
      <c r="O95" s="5" cm="1">
        <f t="array" ref="O95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95" s="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95" s="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95" s="5" cm="1">
        <f t="array" ref="S95">MIN(IF((ContinuousStatsTable[GroupByKey]=ContinuousStatsTable[[#This Row],[GroupByKey]]),(ContinuousStatsTable[GroupByKey]=ContinuousStatsTable[[#This Row],[GroupByKey]])*ContinuousStatsTable[Average]))</f>
        <v>0.60846830422583797</v>
      </c>
      <c r="T95" s="5" cm="1">
        <f t="array" ref="T95">MAX(IF((ContinuousStatsTable[GroupByKey]=ContinuousStatsTable[[#This Row],[GroupByKey]]),(ContinuousStatsTable[GroupByKey]=ContinuousStatsTable[[#This Row],[GroupByKey]])*ContinuousStatsTable[Average]))</f>
        <v>1</v>
      </c>
      <c r="U95" s="5">
        <f>IF((ContinuousStatsTable[[#This Row],[RepsRequested]]&gt;1),ContinuousStatsTable[[#This Row],[HalfWidth]],ContinuousStatsTable[[#This Row],[BatchMeansHalfWidth]])</f>
        <v>3.350588705034975E-2</v>
      </c>
    </row>
    <row r="96" spans="1:21" x14ac:dyDescent="0.35">
      <c r="A96" t="s">
        <v>66</v>
      </c>
      <c r="B96" t="s">
        <v>69</v>
      </c>
      <c r="C96">
        <v>19</v>
      </c>
      <c r="D96" t="s">
        <v>83</v>
      </c>
      <c r="E96" t="s">
        <v>87</v>
      </c>
      <c r="F96" t="s">
        <v>85</v>
      </c>
      <c r="G96">
        <v>1</v>
      </c>
      <c r="H96">
        <v>2E+20</v>
      </c>
      <c r="I96">
        <v>1</v>
      </c>
      <c r="J96">
        <v>1</v>
      </c>
      <c r="K96">
        <v>1</v>
      </c>
      <c r="L96">
        <v>0</v>
      </c>
      <c r="M96" s="5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96" s="5" cm="1">
        <f t="array" ref="N96">MAX(IF((ProjectInfoTable[ProjectName]=ContinuousStatsTable[[#This Row],[ProjectName]]),(ProjectInfoTable[ProjectName]=ContinuousStatsTable[[#This Row],[ProjectName]])*ProjectInfoTable[NumberOfReplications]))</f>
        <v>50</v>
      </c>
      <c r="O96" s="5" cm="1">
        <f t="array" ref="O96">IFERROR(AVERAGE(IF((ContinuousStatsTable[GroupByKey]=ContinuousStatsTable[[#This Row],[GroupByKey]]),(ContinuousStatsTable[GroupByKey]=ContinuousStatsTable[[#This Row],[GroupByKey]])*ContinuousStatsTable[Average])),0)</f>
        <v>1</v>
      </c>
      <c r="P96" s="5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0</v>
      </c>
      <c r="Q96" s="5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6" s="5" cm="1">
        <f t="array" ref="S96">MIN(IF((ContinuousStatsTable[GroupByKey]=ContinuousStatsTable[[#This Row],[GroupByKey]]),(ContinuousStatsTable[GroupByKey]=ContinuousStatsTable[[#This Row],[GroupByKey]])*ContinuousStatsTable[Average]))</f>
        <v>1</v>
      </c>
      <c r="T96" s="5" cm="1">
        <f t="array" ref="T96">MAX(IF((ContinuousStatsTable[GroupByKey]=ContinuousStatsTable[[#This Row],[GroupByKey]]),(ContinuousStatsTable[GroupByKey]=ContinuousStatsTable[[#This Row],[GroupByKey]])*ContinuousStatsTable[Average]))</f>
        <v>1</v>
      </c>
      <c r="U96" s="5">
        <f>IF((ContinuousStatsTable[[#This Row],[RepsRequested]]&gt;1),ContinuousStatsTable[[#This Row],[HalfWidth]],ContinuousStatsTable[[#This Row],[BatchMeansHalfWidth]])</f>
        <v>0</v>
      </c>
    </row>
    <row r="97" spans="1:21" x14ac:dyDescent="0.35">
      <c r="A97" t="s">
        <v>66</v>
      </c>
      <c r="B97" t="s">
        <v>69</v>
      </c>
      <c r="C97">
        <v>20</v>
      </c>
      <c r="D97" t="s">
        <v>70</v>
      </c>
      <c r="E97" t="s">
        <v>81</v>
      </c>
      <c r="F97" t="s">
        <v>72</v>
      </c>
      <c r="G97">
        <v>4.1738970890110396</v>
      </c>
      <c r="H97">
        <v>2E+20</v>
      </c>
      <c r="I97">
        <v>0</v>
      </c>
      <c r="J97">
        <v>6</v>
      </c>
      <c r="K97">
        <v>5</v>
      </c>
      <c r="L97">
        <v>0</v>
      </c>
      <c r="M97" s="5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97" s="5" cm="1">
        <f t="array" ref="N97">MAX(IF((ProjectInfoTable[ProjectName]=ContinuousStatsTable[[#This Row],[ProjectName]]),(ProjectInfoTable[ProjectName]=ContinuousStatsTable[[#This Row],[ProjectName]])*ProjectInfoTable[NumberOfReplications]))</f>
        <v>50</v>
      </c>
      <c r="O97" s="5" cm="1">
        <f t="array" ref="O97">IFERROR(AVERAGE(IF((ContinuousStatsTable[GroupByKey]=ContinuousStatsTable[[#This Row],[GroupByKey]]),(ContinuousStatsTable[GroupByKey]=ContinuousStatsTable[[#This Row],[GroupByKey]])*ContinuousStatsTable[Average])),0)</f>
        <v>2.1996658161417075</v>
      </c>
      <c r="P97" s="5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1.1994598865431718</v>
      </c>
      <c r="Q97" s="5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0.34088272804883424</v>
      </c>
      <c r="S97" s="5" cm="1">
        <f t="array" ref="S97">MIN(IF((ContinuousStatsTable[GroupByKey]=ContinuousStatsTable[[#This Row],[GroupByKey]]),(ContinuousStatsTable[GroupByKey]=ContinuousStatsTable[[#This Row],[GroupByKey]])*ContinuousStatsTable[Average]))</f>
        <v>0.70499985227053297</v>
      </c>
      <c r="T97" s="5" cm="1">
        <f t="array" ref="T97">MAX(IF((ContinuousStatsTable[GroupByKey]=ContinuousStatsTable[[#This Row],[GroupByKey]]),(ContinuousStatsTable[GroupByKey]=ContinuousStatsTable[[#This Row],[GroupByKey]])*ContinuousStatsTable[Average]))</f>
        <v>6.3083923025689197</v>
      </c>
      <c r="U97" s="5">
        <f>IF((ContinuousStatsTable[[#This Row],[RepsRequested]]&gt;1),ContinuousStatsTable[[#This Row],[HalfWidth]],ContinuousStatsTable[[#This Row],[BatchMeansHalfWidth]])</f>
        <v>0.34088272804883424</v>
      </c>
    </row>
    <row r="98" spans="1:21" x14ac:dyDescent="0.35">
      <c r="A98" t="s">
        <v>66</v>
      </c>
      <c r="B98" t="s">
        <v>69</v>
      </c>
      <c r="C98">
        <v>20</v>
      </c>
      <c r="D98" t="s">
        <v>78</v>
      </c>
      <c r="E98" t="s">
        <v>82</v>
      </c>
      <c r="F98" t="s">
        <v>80</v>
      </c>
      <c r="G98">
        <v>3.1738970890110401</v>
      </c>
      <c r="H98">
        <v>2E+20</v>
      </c>
      <c r="I98">
        <v>0</v>
      </c>
      <c r="J98">
        <v>5</v>
      </c>
      <c r="K98">
        <v>4</v>
      </c>
      <c r="L98">
        <v>0</v>
      </c>
      <c r="M98" s="5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98" s="5" cm="1">
        <f t="array" ref="N98">MAX(IF((ProjectInfoTable[ProjectName]=ContinuousStatsTable[[#This Row],[ProjectName]]),(ProjectInfoTable[ProjectName]=ContinuousStatsTable[[#This Row],[ProjectName]])*ProjectInfoTable[NumberOfReplications]))</f>
        <v>50</v>
      </c>
      <c r="O98" s="5" cm="1">
        <f t="array" ref="O98">IFERROR(AVERAGE(IF((ContinuousStatsTable[GroupByKey]=ContinuousStatsTable[[#This Row],[GroupByKey]]),(ContinuousStatsTable[GroupByKey]=ContinuousStatsTable[[#This Row],[GroupByKey]])*ContinuousStatsTable[Average])),0)</f>
        <v>1.2732860367273062</v>
      </c>
      <c r="P98" s="5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1.137870000737736</v>
      </c>
      <c r="Q98" s="5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0.32337907617258832</v>
      </c>
      <c r="S98" s="5" cm="1">
        <f t="array" ref="S98">MIN(IF((ContinuousStatsTable[GroupByKey]=ContinuousStatsTable[[#This Row],[GroupByKey]]),(ContinuousStatsTable[GroupByKey]=ContinuousStatsTable[[#This Row],[GroupByKey]])*ContinuousStatsTable[Average]))</f>
        <v>0</v>
      </c>
      <c r="T98" s="5" cm="1">
        <f t="array" ref="T98">MAX(IF((ContinuousStatsTable[GroupByKey]=ContinuousStatsTable[[#This Row],[GroupByKey]]),(ContinuousStatsTable[GroupByKey]=ContinuousStatsTable[[#This Row],[GroupByKey]])*ContinuousStatsTable[Average]))</f>
        <v>5.3083923025689197</v>
      </c>
      <c r="U98" s="5">
        <f>IF((ContinuousStatsTable[[#This Row],[RepsRequested]]&gt;1),ContinuousStatsTable[[#This Row],[HalfWidth]],ContinuousStatsTable[[#This Row],[BatchMeansHalfWidth]])</f>
        <v>0.32337907617258832</v>
      </c>
    </row>
    <row r="99" spans="1:21" x14ac:dyDescent="0.35">
      <c r="A99" t="s">
        <v>66</v>
      </c>
      <c r="B99" t="s">
        <v>69</v>
      </c>
      <c r="C99">
        <v>20</v>
      </c>
      <c r="D99" t="s">
        <v>83</v>
      </c>
      <c r="E99" t="s">
        <v>84</v>
      </c>
      <c r="F99" t="s">
        <v>85</v>
      </c>
      <c r="G99">
        <v>1</v>
      </c>
      <c r="H99">
        <v>2E+20</v>
      </c>
      <c r="I99">
        <v>0</v>
      </c>
      <c r="J99">
        <v>1</v>
      </c>
      <c r="K99">
        <v>1</v>
      </c>
      <c r="L99">
        <v>0</v>
      </c>
      <c r="M99" s="5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99" s="5" cm="1">
        <f t="array" ref="N99">MAX(IF((ProjectInfoTable[ProjectName]=ContinuousStatsTable[[#This Row],[ProjectName]]),(ProjectInfoTable[ProjectName]=ContinuousStatsTable[[#This Row],[ProjectName]])*ProjectInfoTable[NumberOfReplications]))</f>
        <v>50</v>
      </c>
      <c r="O99" s="5" cm="1">
        <f t="array" ref="O99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99" s="5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99" s="5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99" s="5" cm="1">
        <f t="array" ref="S99">MIN(IF((ContinuousStatsTable[GroupByKey]=ContinuousStatsTable[[#This Row],[GroupByKey]]),(ContinuousStatsTable[GroupByKey]=ContinuousStatsTable[[#This Row],[GroupByKey]])*ContinuousStatsTable[Average]))</f>
        <v>0.60846830422583797</v>
      </c>
      <c r="T99" s="5" cm="1">
        <f t="array" ref="T99">MAX(IF((ContinuousStatsTable[GroupByKey]=ContinuousStatsTable[[#This Row],[GroupByKey]]),(ContinuousStatsTable[GroupByKey]=ContinuousStatsTable[[#This Row],[GroupByKey]])*ContinuousStatsTable[Average]))</f>
        <v>1</v>
      </c>
      <c r="U99" s="5">
        <f>IF((ContinuousStatsTable[[#This Row],[RepsRequested]]&gt;1),ContinuousStatsTable[[#This Row],[HalfWidth]],ContinuousStatsTable[[#This Row],[BatchMeansHalfWidth]])</f>
        <v>3.350588705034975E-2</v>
      </c>
    </row>
    <row r="100" spans="1:21" x14ac:dyDescent="0.35">
      <c r="A100" t="s">
        <v>66</v>
      </c>
      <c r="B100" t="s">
        <v>69</v>
      </c>
      <c r="C100">
        <v>20</v>
      </c>
      <c r="D100" t="s">
        <v>83</v>
      </c>
      <c r="E100" t="s">
        <v>86</v>
      </c>
      <c r="F100" t="s">
        <v>85</v>
      </c>
      <c r="G100">
        <v>1</v>
      </c>
      <c r="H100">
        <v>2E+20</v>
      </c>
      <c r="I100">
        <v>0</v>
      </c>
      <c r="J100">
        <v>1</v>
      </c>
      <c r="K100">
        <v>1</v>
      </c>
      <c r="L100">
        <v>0</v>
      </c>
      <c r="M100" s="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100" s="5" cm="1">
        <f t="array" ref="N100">MAX(IF((ProjectInfoTable[ProjectName]=ContinuousStatsTable[[#This Row],[ProjectName]]),(ProjectInfoTable[ProjectName]=ContinuousStatsTable[[#This Row],[ProjectName]])*ProjectInfoTable[NumberOfReplications]))</f>
        <v>50</v>
      </c>
      <c r="O100" s="5" cm="1">
        <f t="array" ref="O100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100" s="5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100" s="5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100" s="5" cm="1">
        <f t="array" ref="S100">MIN(IF((ContinuousStatsTable[GroupByKey]=ContinuousStatsTable[[#This Row],[GroupByKey]]),(ContinuousStatsTable[GroupByKey]=ContinuousStatsTable[[#This Row],[GroupByKey]])*ContinuousStatsTable[Average]))</f>
        <v>0.60846830422583797</v>
      </c>
      <c r="T100" s="5" cm="1">
        <f t="array" ref="T100">MAX(IF((ContinuousStatsTable[GroupByKey]=ContinuousStatsTable[[#This Row],[GroupByKey]]),(ContinuousStatsTable[GroupByKey]=ContinuousStatsTable[[#This Row],[GroupByKey]])*ContinuousStatsTable[Average]))</f>
        <v>1</v>
      </c>
      <c r="U100" s="5">
        <f>IF((ContinuousStatsTable[[#This Row],[RepsRequested]]&gt;1),ContinuousStatsTable[[#This Row],[HalfWidth]],ContinuousStatsTable[[#This Row],[BatchMeansHalfWidth]])</f>
        <v>3.350588705034975E-2</v>
      </c>
    </row>
    <row r="101" spans="1:21" x14ac:dyDescent="0.35">
      <c r="A101" t="s">
        <v>66</v>
      </c>
      <c r="B101" t="s">
        <v>69</v>
      </c>
      <c r="C101">
        <v>20</v>
      </c>
      <c r="D101" t="s">
        <v>83</v>
      </c>
      <c r="E101" t="s">
        <v>87</v>
      </c>
      <c r="F101" t="s">
        <v>85</v>
      </c>
      <c r="G101">
        <v>1</v>
      </c>
      <c r="H101">
        <v>2E+20</v>
      </c>
      <c r="I101">
        <v>1</v>
      </c>
      <c r="J101">
        <v>1</v>
      </c>
      <c r="K101">
        <v>1</v>
      </c>
      <c r="L101">
        <v>0</v>
      </c>
      <c r="M101" s="5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101" s="5" cm="1">
        <f t="array" ref="N101">MAX(IF((ProjectInfoTable[ProjectName]=ContinuousStatsTable[[#This Row],[ProjectName]]),(ProjectInfoTable[ProjectName]=ContinuousStatsTable[[#This Row],[ProjectName]])*ProjectInfoTable[NumberOfReplications]))</f>
        <v>50</v>
      </c>
      <c r="O101" s="5" cm="1">
        <f t="array" ref="O101">IFERROR(AVERAGE(IF((ContinuousStatsTable[GroupByKey]=ContinuousStatsTable[[#This Row],[GroupByKey]]),(ContinuousStatsTable[GroupByKey]=ContinuousStatsTable[[#This Row],[GroupByKey]])*ContinuousStatsTable[Average])),0)</f>
        <v>1</v>
      </c>
      <c r="P101" s="5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0</v>
      </c>
      <c r="Q101" s="5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1" s="5" cm="1">
        <f t="array" ref="S101">MIN(IF((ContinuousStatsTable[GroupByKey]=ContinuousStatsTable[[#This Row],[GroupByKey]]),(ContinuousStatsTable[GroupByKey]=ContinuousStatsTable[[#This Row],[GroupByKey]])*ContinuousStatsTable[Average]))</f>
        <v>1</v>
      </c>
      <c r="T101" s="5" cm="1">
        <f t="array" ref="T101">MAX(IF((ContinuousStatsTable[GroupByKey]=ContinuousStatsTable[[#This Row],[GroupByKey]]),(ContinuousStatsTable[GroupByKey]=ContinuousStatsTable[[#This Row],[GroupByKey]])*ContinuousStatsTable[Average]))</f>
        <v>1</v>
      </c>
      <c r="U101" s="5">
        <f>IF((ContinuousStatsTable[[#This Row],[RepsRequested]]&gt;1),ContinuousStatsTable[[#This Row],[HalfWidth]],ContinuousStatsTable[[#This Row],[BatchMeansHalfWidth]])</f>
        <v>0</v>
      </c>
    </row>
    <row r="102" spans="1:21" x14ac:dyDescent="0.35">
      <c r="A102" t="s">
        <v>66</v>
      </c>
      <c r="B102" t="s">
        <v>69</v>
      </c>
      <c r="C102">
        <v>21</v>
      </c>
      <c r="D102" t="s">
        <v>70</v>
      </c>
      <c r="E102" t="s">
        <v>81</v>
      </c>
      <c r="F102" t="s">
        <v>72</v>
      </c>
      <c r="G102">
        <v>1.7039869609604901</v>
      </c>
      <c r="H102">
        <v>2E+20</v>
      </c>
      <c r="I102">
        <v>0</v>
      </c>
      <c r="J102">
        <v>4</v>
      </c>
      <c r="K102">
        <v>3</v>
      </c>
      <c r="L102">
        <v>0</v>
      </c>
      <c r="M102" s="5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102" s="5" cm="1">
        <f t="array" ref="N102">MAX(IF((ProjectInfoTable[ProjectName]=ContinuousStatsTable[[#This Row],[ProjectName]]),(ProjectInfoTable[ProjectName]=ContinuousStatsTable[[#This Row],[ProjectName]])*ProjectInfoTable[NumberOfReplications]))</f>
        <v>50</v>
      </c>
      <c r="O102" s="5" cm="1">
        <f t="array" ref="O102">IFERROR(AVERAGE(IF((ContinuousStatsTable[GroupByKey]=ContinuousStatsTable[[#This Row],[GroupByKey]]),(ContinuousStatsTable[GroupByKey]=ContinuousStatsTable[[#This Row],[GroupByKey]])*ContinuousStatsTable[Average])),0)</f>
        <v>2.1996658161417075</v>
      </c>
      <c r="P102" s="5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1.1994598865431718</v>
      </c>
      <c r="Q102" s="5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0.34088272804883424</v>
      </c>
      <c r="S102" s="5" cm="1">
        <f t="array" ref="S102">MIN(IF((ContinuousStatsTable[GroupByKey]=ContinuousStatsTable[[#This Row],[GroupByKey]]),(ContinuousStatsTable[GroupByKey]=ContinuousStatsTable[[#This Row],[GroupByKey]])*ContinuousStatsTable[Average]))</f>
        <v>0.70499985227053297</v>
      </c>
      <c r="T102" s="5" cm="1">
        <f t="array" ref="T102">MAX(IF((ContinuousStatsTable[GroupByKey]=ContinuousStatsTable[[#This Row],[GroupByKey]]),(ContinuousStatsTable[GroupByKey]=ContinuousStatsTable[[#This Row],[GroupByKey]])*ContinuousStatsTable[Average]))</f>
        <v>6.3083923025689197</v>
      </c>
      <c r="U102" s="5">
        <f>IF((ContinuousStatsTable[[#This Row],[RepsRequested]]&gt;1),ContinuousStatsTable[[#This Row],[HalfWidth]],ContinuousStatsTable[[#This Row],[BatchMeansHalfWidth]])</f>
        <v>0.34088272804883424</v>
      </c>
    </row>
    <row r="103" spans="1:21" x14ac:dyDescent="0.35">
      <c r="A103" t="s">
        <v>66</v>
      </c>
      <c r="B103" t="s">
        <v>69</v>
      </c>
      <c r="C103">
        <v>21</v>
      </c>
      <c r="D103" t="s">
        <v>78</v>
      </c>
      <c r="E103" t="s">
        <v>82</v>
      </c>
      <c r="F103" t="s">
        <v>80</v>
      </c>
      <c r="G103">
        <v>0.75097382483349395</v>
      </c>
      <c r="H103">
        <v>2E+20</v>
      </c>
      <c r="I103">
        <v>0</v>
      </c>
      <c r="J103">
        <v>3</v>
      </c>
      <c r="K103">
        <v>2</v>
      </c>
      <c r="L103">
        <v>0</v>
      </c>
      <c r="M103" s="5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103" s="5" cm="1">
        <f t="array" ref="N103">MAX(IF((ProjectInfoTable[ProjectName]=ContinuousStatsTable[[#This Row],[ProjectName]]),(ProjectInfoTable[ProjectName]=ContinuousStatsTable[[#This Row],[ProjectName]])*ProjectInfoTable[NumberOfReplications]))</f>
        <v>50</v>
      </c>
      <c r="O103" s="5" cm="1">
        <f t="array" ref="O103">IFERROR(AVERAGE(IF((ContinuousStatsTable[GroupByKey]=ContinuousStatsTable[[#This Row],[GroupByKey]]),(ContinuousStatsTable[GroupByKey]=ContinuousStatsTable[[#This Row],[GroupByKey]])*ContinuousStatsTable[Average])),0)</f>
        <v>1.2732860367273062</v>
      </c>
      <c r="P103" s="5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1.137870000737736</v>
      </c>
      <c r="Q103" s="5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0.32337907617258832</v>
      </c>
      <c r="S103" s="5" cm="1">
        <f t="array" ref="S103">MIN(IF((ContinuousStatsTable[GroupByKey]=ContinuousStatsTable[[#This Row],[GroupByKey]]),(ContinuousStatsTable[GroupByKey]=ContinuousStatsTable[[#This Row],[GroupByKey]])*ContinuousStatsTable[Average]))</f>
        <v>0</v>
      </c>
      <c r="T103" s="5" cm="1">
        <f t="array" ref="T103">MAX(IF((ContinuousStatsTable[GroupByKey]=ContinuousStatsTable[[#This Row],[GroupByKey]]),(ContinuousStatsTable[GroupByKey]=ContinuousStatsTable[[#This Row],[GroupByKey]])*ContinuousStatsTable[Average]))</f>
        <v>5.3083923025689197</v>
      </c>
      <c r="U103" s="5">
        <f>IF((ContinuousStatsTable[[#This Row],[RepsRequested]]&gt;1),ContinuousStatsTable[[#This Row],[HalfWidth]],ContinuousStatsTable[[#This Row],[BatchMeansHalfWidth]])</f>
        <v>0.32337907617258832</v>
      </c>
    </row>
    <row r="104" spans="1:21" x14ac:dyDescent="0.35">
      <c r="A104" t="s">
        <v>66</v>
      </c>
      <c r="B104" t="s">
        <v>69</v>
      </c>
      <c r="C104">
        <v>21</v>
      </c>
      <c r="D104" t="s">
        <v>83</v>
      </c>
      <c r="E104" t="s">
        <v>84</v>
      </c>
      <c r="F104" t="s">
        <v>85</v>
      </c>
      <c r="G104">
        <v>0.95301313612699601</v>
      </c>
      <c r="H104">
        <v>2E+20</v>
      </c>
      <c r="I104">
        <v>0</v>
      </c>
      <c r="J104">
        <v>1</v>
      </c>
      <c r="K104">
        <v>1</v>
      </c>
      <c r="L104">
        <v>0</v>
      </c>
      <c r="M104" s="5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104" s="5" cm="1">
        <f t="array" ref="N104">MAX(IF((ProjectInfoTable[ProjectName]=ContinuousStatsTable[[#This Row],[ProjectName]]),(ProjectInfoTable[ProjectName]=ContinuousStatsTable[[#This Row],[ProjectName]])*ProjectInfoTable[NumberOfReplications]))</f>
        <v>50</v>
      </c>
      <c r="O104" s="5" cm="1">
        <f t="array" ref="O104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104" s="5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104" s="5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104" s="5" cm="1">
        <f t="array" ref="S104">MIN(IF((ContinuousStatsTable[GroupByKey]=ContinuousStatsTable[[#This Row],[GroupByKey]]),(ContinuousStatsTable[GroupByKey]=ContinuousStatsTable[[#This Row],[GroupByKey]])*ContinuousStatsTable[Average]))</f>
        <v>0.60846830422583797</v>
      </c>
      <c r="T104" s="5" cm="1">
        <f t="array" ref="T104">MAX(IF((ContinuousStatsTable[GroupByKey]=ContinuousStatsTable[[#This Row],[GroupByKey]]),(ContinuousStatsTable[GroupByKey]=ContinuousStatsTable[[#This Row],[GroupByKey]])*ContinuousStatsTable[Average]))</f>
        <v>1</v>
      </c>
      <c r="U104" s="5">
        <f>IF((ContinuousStatsTable[[#This Row],[RepsRequested]]&gt;1),ContinuousStatsTable[[#This Row],[HalfWidth]],ContinuousStatsTable[[#This Row],[BatchMeansHalfWidth]])</f>
        <v>3.350588705034975E-2</v>
      </c>
    </row>
    <row r="105" spans="1:21" x14ac:dyDescent="0.35">
      <c r="A105" t="s">
        <v>66</v>
      </c>
      <c r="B105" t="s">
        <v>69</v>
      </c>
      <c r="C105">
        <v>21</v>
      </c>
      <c r="D105" t="s">
        <v>83</v>
      </c>
      <c r="E105" t="s">
        <v>86</v>
      </c>
      <c r="F105" t="s">
        <v>85</v>
      </c>
      <c r="G105">
        <v>0.95301313612699601</v>
      </c>
      <c r="H105">
        <v>2E+20</v>
      </c>
      <c r="I105">
        <v>0</v>
      </c>
      <c r="J105">
        <v>1</v>
      </c>
      <c r="K105">
        <v>1</v>
      </c>
      <c r="L105">
        <v>0</v>
      </c>
      <c r="M105" s="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105" s="5" cm="1">
        <f t="array" ref="N105">MAX(IF((ProjectInfoTable[ProjectName]=ContinuousStatsTable[[#This Row],[ProjectName]]),(ProjectInfoTable[ProjectName]=ContinuousStatsTable[[#This Row],[ProjectName]])*ProjectInfoTable[NumberOfReplications]))</f>
        <v>50</v>
      </c>
      <c r="O105" s="5" cm="1">
        <f t="array" ref="O105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105" s="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105" s="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105" s="5" cm="1">
        <f t="array" ref="S105">MIN(IF((ContinuousStatsTable[GroupByKey]=ContinuousStatsTable[[#This Row],[GroupByKey]]),(ContinuousStatsTable[GroupByKey]=ContinuousStatsTable[[#This Row],[GroupByKey]])*ContinuousStatsTable[Average]))</f>
        <v>0.60846830422583797</v>
      </c>
      <c r="T105" s="5" cm="1">
        <f t="array" ref="T105">MAX(IF((ContinuousStatsTable[GroupByKey]=ContinuousStatsTable[[#This Row],[GroupByKey]]),(ContinuousStatsTable[GroupByKey]=ContinuousStatsTable[[#This Row],[GroupByKey]])*ContinuousStatsTable[Average]))</f>
        <v>1</v>
      </c>
      <c r="U105" s="5">
        <f>IF((ContinuousStatsTable[[#This Row],[RepsRequested]]&gt;1),ContinuousStatsTable[[#This Row],[HalfWidth]],ContinuousStatsTable[[#This Row],[BatchMeansHalfWidth]])</f>
        <v>3.350588705034975E-2</v>
      </c>
    </row>
    <row r="106" spans="1:21" x14ac:dyDescent="0.35">
      <c r="A106" t="s">
        <v>66</v>
      </c>
      <c r="B106" t="s">
        <v>69</v>
      </c>
      <c r="C106">
        <v>21</v>
      </c>
      <c r="D106" t="s">
        <v>83</v>
      </c>
      <c r="E106" t="s">
        <v>87</v>
      </c>
      <c r="F106" t="s">
        <v>85</v>
      </c>
      <c r="G106">
        <v>1</v>
      </c>
      <c r="H106">
        <v>2E+20</v>
      </c>
      <c r="I106">
        <v>1</v>
      </c>
      <c r="J106">
        <v>1</v>
      </c>
      <c r="K106">
        <v>1</v>
      </c>
      <c r="L106">
        <v>0</v>
      </c>
      <c r="M106" s="5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106" s="5" cm="1">
        <f t="array" ref="N106">MAX(IF((ProjectInfoTable[ProjectName]=ContinuousStatsTable[[#This Row],[ProjectName]]),(ProjectInfoTable[ProjectName]=ContinuousStatsTable[[#This Row],[ProjectName]])*ProjectInfoTable[NumberOfReplications]))</f>
        <v>50</v>
      </c>
      <c r="O106" s="5" cm="1">
        <f t="array" ref="O106">IFERROR(AVERAGE(IF((ContinuousStatsTable[GroupByKey]=ContinuousStatsTable[[#This Row],[GroupByKey]]),(ContinuousStatsTable[GroupByKey]=ContinuousStatsTable[[#This Row],[GroupByKey]])*ContinuousStatsTable[Average])),0)</f>
        <v>1</v>
      </c>
      <c r="P106" s="5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0</v>
      </c>
      <c r="Q106" s="5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6" s="5" cm="1">
        <f t="array" ref="S106">MIN(IF((ContinuousStatsTable[GroupByKey]=ContinuousStatsTable[[#This Row],[GroupByKey]]),(ContinuousStatsTable[GroupByKey]=ContinuousStatsTable[[#This Row],[GroupByKey]])*ContinuousStatsTable[Average]))</f>
        <v>1</v>
      </c>
      <c r="T106" s="5" cm="1">
        <f t="array" ref="T106">MAX(IF((ContinuousStatsTable[GroupByKey]=ContinuousStatsTable[[#This Row],[GroupByKey]]),(ContinuousStatsTable[GroupByKey]=ContinuousStatsTable[[#This Row],[GroupByKey]])*ContinuousStatsTable[Average]))</f>
        <v>1</v>
      </c>
      <c r="U106" s="5">
        <f>IF((ContinuousStatsTable[[#This Row],[RepsRequested]]&gt;1),ContinuousStatsTable[[#This Row],[HalfWidth]],ContinuousStatsTable[[#This Row],[BatchMeansHalfWidth]])</f>
        <v>0</v>
      </c>
    </row>
    <row r="107" spans="1:21" x14ac:dyDescent="0.35">
      <c r="A107" t="s">
        <v>66</v>
      </c>
      <c r="B107" t="s">
        <v>69</v>
      </c>
      <c r="C107">
        <v>22</v>
      </c>
      <c r="D107" t="s">
        <v>70</v>
      </c>
      <c r="E107" t="s">
        <v>81</v>
      </c>
      <c r="F107" t="s">
        <v>72</v>
      </c>
      <c r="G107">
        <v>1.3421954663659501</v>
      </c>
      <c r="H107">
        <v>2E+20</v>
      </c>
      <c r="I107">
        <v>0</v>
      </c>
      <c r="J107">
        <v>3</v>
      </c>
      <c r="K107">
        <v>3</v>
      </c>
      <c r="L107">
        <v>0</v>
      </c>
      <c r="M107" s="5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107" s="5" cm="1">
        <f t="array" ref="N107">MAX(IF((ProjectInfoTable[ProjectName]=ContinuousStatsTable[[#This Row],[ProjectName]]),(ProjectInfoTable[ProjectName]=ContinuousStatsTable[[#This Row],[ProjectName]])*ProjectInfoTable[NumberOfReplications]))</f>
        <v>50</v>
      </c>
      <c r="O107" s="5" cm="1">
        <f t="array" ref="O107">IFERROR(AVERAGE(IF((ContinuousStatsTable[GroupByKey]=ContinuousStatsTable[[#This Row],[GroupByKey]]),(ContinuousStatsTable[GroupByKey]=ContinuousStatsTable[[#This Row],[GroupByKey]])*ContinuousStatsTable[Average])),0)</f>
        <v>2.1996658161417075</v>
      </c>
      <c r="P107" s="5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1.1994598865431718</v>
      </c>
      <c r="Q107" s="5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0.34088272804883424</v>
      </c>
      <c r="S107" s="5" cm="1">
        <f t="array" ref="S107">MIN(IF((ContinuousStatsTable[GroupByKey]=ContinuousStatsTable[[#This Row],[GroupByKey]]),(ContinuousStatsTable[GroupByKey]=ContinuousStatsTable[[#This Row],[GroupByKey]])*ContinuousStatsTable[Average]))</f>
        <v>0.70499985227053297</v>
      </c>
      <c r="T107" s="5" cm="1">
        <f t="array" ref="T107">MAX(IF((ContinuousStatsTable[GroupByKey]=ContinuousStatsTable[[#This Row],[GroupByKey]]),(ContinuousStatsTable[GroupByKey]=ContinuousStatsTable[[#This Row],[GroupByKey]])*ContinuousStatsTable[Average]))</f>
        <v>6.3083923025689197</v>
      </c>
      <c r="U107" s="5">
        <f>IF((ContinuousStatsTable[[#This Row],[RepsRequested]]&gt;1),ContinuousStatsTable[[#This Row],[HalfWidth]],ContinuousStatsTable[[#This Row],[BatchMeansHalfWidth]])</f>
        <v>0.34088272804883424</v>
      </c>
    </row>
    <row r="108" spans="1:21" x14ac:dyDescent="0.35">
      <c r="A108" t="s">
        <v>66</v>
      </c>
      <c r="B108" t="s">
        <v>69</v>
      </c>
      <c r="C108">
        <v>22</v>
      </c>
      <c r="D108" t="s">
        <v>78</v>
      </c>
      <c r="E108" t="s">
        <v>82</v>
      </c>
      <c r="F108" t="s">
        <v>80</v>
      </c>
      <c r="G108">
        <v>0.42343494668009501</v>
      </c>
      <c r="H108">
        <v>2E+20</v>
      </c>
      <c r="I108">
        <v>0</v>
      </c>
      <c r="J108">
        <v>2</v>
      </c>
      <c r="K108">
        <v>2</v>
      </c>
      <c r="L108">
        <v>0</v>
      </c>
      <c r="M108" s="5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108" s="5" cm="1">
        <f t="array" ref="N108">MAX(IF((ProjectInfoTable[ProjectName]=ContinuousStatsTable[[#This Row],[ProjectName]]),(ProjectInfoTable[ProjectName]=ContinuousStatsTable[[#This Row],[ProjectName]])*ProjectInfoTable[NumberOfReplications]))</f>
        <v>50</v>
      </c>
      <c r="O108" s="5" cm="1">
        <f t="array" ref="O108">IFERROR(AVERAGE(IF((ContinuousStatsTable[GroupByKey]=ContinuousStatsTable[[#This Row],[GroupByKey]]),(ContinuousStatsTable[GroupByKey]=ContinuousStatsTable[[#This Row],[GroupByKey]])*ContinuousStatsTable[Average])),0)</f>
        <v>1.2732860367273062</v>
      </c>
      <c r="P108" s="5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1.137870000737736</v>
      </c>
      <c r="Q108" s="5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0.32337907617258832</v>
      </c>
      <c r="S108" s="5" cm="1">
        <f t="array" ref="S108">MIN(IF((ContinuousStatsTable[GroupByKey]=ContinuousStatsTable[[#This Row],[GroupByKey]]),(ContinuousStatsTable[GroupByKey]=ContinuousStatsTable[[#This Row],[GroupByKey]])*ContinuousStatsTable[Average]))</f>
        <v>0</v>
      </c>
      <c r="T108" s="5" cm="1">
        <f t="array" ref="T108">MAX(IF((ContinuousStatsTable[GroupByKey]=ContinuousStatsTable[[#This Row],[GroupByKey]]),(ContinuousStatsTable[GroupByKey]=ContinuousStatsTable[[#This Row],[GroupByKey]])*ContinuousStatsTable[Average]))</f>
        <v>5.3083923025689197</v>
      </c>
      <c r="U108" s="5">
        <f>IF((ContinuousStatsTable[[#This Row],[RepsRequested]]&gt;1),ContinuousStatsTable[[#This Row],[HalfWidth]],ContinuousStatsTable[[#This Row],[BatchMeansHalfWidth]])</f>
        <v>0.32337907617258832</v>
      </c>
    </row>
    <row r="109" spans="1:21" x14ac:dyDescent="0.35">
      <c r="A109" t="s">
        <v>66</v>
      </c>
      <c r="B109" t="s">
        <v>69</v>
      </c>
      <c r="C109">
        <v>22</v>
      </c>
      <c r="D109" t="s">
        <v>83</v>
      </c>
      <c r="E109" t="s">
        <v>84</v>
      </c>
      <c r="F109" t="s">
        <v>85</v>
      </c>
      <c r="G109">
        <v>0.91876051968585803</v>
      </c>
      <c r="H109">
        <v>2E+20</v>
      </c>
      <c r="I109">
        <v>0</v>
      </c>
      <c r="J109">
        <v>1</v>
      </c>
      <c r="K109">
        <v>1</v>
      </c>
      <c r="L109">
        <v>0</v>
      </c>
      <c r="M109" s="5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109" s="5" cm="1">
        <f t="array" ref="N109">MAX(IF((ProjectInfoTable[ProjectName]=ContinuousStatsTable[[#This Row],[ProjectName]]),(ProjectInfoTable[ProjectName]=ContinuousStatsTable[[#This Row],[ProjectName]])*ProjectInfoTable[NumberOfReplications]))</f>
        <v>50</v>
      </c>
      <c r="O109" s="5" cm="1">
        <f t="array" ref="O109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109" s="5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109" s="5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109" s="5" cm="1">
        <f t="array" ref="S109">MIN(IF((ContinuousStatsTable[GroupByKey]=ContinuousStatsTable[[#This Row],[GroupByKey]]),(ContinuousStatsTable[GroupByKey]=ContinuousStatsTable[[#This Row],[GroupByKey]])*ContinuousStatsTable[Average]))</f>
        <v>0.60846830422583797</v>
      </c>
      <c r="T109" s="5" cm="1">
        <f t="array" ref="T109">MAX(IF((ContinuousStatsTable[GroupByKey]=ContinuousStatsTable[[#This Row],[GroupByKey]]),(ContinuousStatsTable[GroupByKey]=ContinuousStatsTable[[#This Row],[GroupByKey]])*ContinuousStatsTable[Average]))</f>
        <v>1</v>
      </c>
      <c r="U109" s="5">
        <f>IF((ContinuousStatsTable[[#This Row],[RepsRequested]]&gt;1),ContinuousStatsTable[[#This Row],[HalfWidth]],ContinuousStatsTable[[#This Row],[BatchMeansHalfWidth]])</f>
        <v>3.350588705034975E-2</v>
      </c>
    </row>
    <row r="110" spans="1:21" x14ac:dyDescent="0.35">
      <c r="A110" t="s">
        <v>66</v>
      </c>
      <c r="B110" t="s">
        <v>69</v>
      </c>
      <c r="C110">
        <v>22</v>
      </c>
      <c r="D110" t="s">
        <v>83</v>
      </c>
      <c r="E110" t="s">
        <v>86</v>
      </c>
      <c r="F110" t="s">
        <v>85</v>
      </c>
      <c r="G110">
        <v>0.91876051968585803</v>
      </c>
      <c r="H110">
        <v>2E+20</v>
      </c>
      <c r="I110">
        <v>0</v>
      </c>
      <c r="J110">
        <v>1</v>
      </c>
      <c r="K110">
        <v>1</v>
      </c>
      <c r="L110">
        <v>0</v>
      </c>
      <c r="M110" s="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110" s="5" cm="1">
        <f t="array" ref="N110">MAX(IF((ProjectInfoTable[ProjectName]=ContinuousStatsTable[[#This Row],[ProjectName]]),(ProjectInfoTable[ProjectName]=ContinuousStatsTable[[#This Row],[ProjectName]])*ProjectInfoTable[NumberOfReplications]))</f>
        <v>50</v>
      </c>
      <c r="O110" s="5" cm="1">
        <f t="array" ref="O110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110" s="5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110" s="5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110" s="5" cm="1">
        <f t="array" ref="S110">MIN(IF((ContinuousStatsTable[GroupByKey]=ContinuousStatsTable[[#This Row],[GroupByKey]]),(ContinuousStatsTable[GroupByKey]=ContinuousStatsTable[[#This Row],[GroupByKey]])*ContinuousStatsTable[Average]))</f>
        <v>0.60846830422583797</v>
      </c>
      <c r="T110" s="5" cm="1">
        <f t="array" ref="T110">MAX(IF((ContinuousStatsTable[GroupByKey]=ContinuousStatsTable[[#This Row],[GroupByKey]]),(ContinuousStatsTable[GroupByKey]=ContinuousStatsTable[[#This Row],[GroupByKey]])*ContinuousStatsTable[Average]))</f>
        <v>1</v>
      </c>
      <c r="U110" s="5">
        <f>IF((ContinuousStatsTable[[#This Row],[RepsRequested]]&gt;1),ContinuousStatsTable[[#This Row],[HalfWidth]],ContinuousStatsTable[[#This Row],[BatchMeansHalfWidth]])</f>
        <v>3.350588705034975E-2</v>
      </c>
    </row>
    <row r="111" spans="1:21" x14ac:dyDescent="0.35">
      <c r="A111" t="s">
        <v>66</v>
      </c>
      <c r="B111" t="s">
        <v>69</v>
      </c>
      <c r="C111">
        <v>22</v>
      </c>
      <c r="D111" t="s">
        <v>83</v>
      </c>
      <c r="E111" t="s">
        <v>87</v>
      </c>
      <c r="F111" t="s">
        <v>85</v>
      </c>
      <c r="G111">
        <v>1</v>
      </c>
      <c r="H111">
        <v>2E+20</v>
      </c>
      <c r="I111">
        <v>1</v>
      </c>
      <c r="J111">
        <v>1</v>
      </c>
      <c r="K111">
        <v>1</v>
      </c>
      <c r="L111">
        <v>0</v>
      </c>
      <c r="M111" s="5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111" s="5" cm="1">
        <f t="array" ref="N111">MAX(IF((ProjectInfoTable[ProjectName]=ContinuousStatsTable[[#This Row],[ProjectName]]),(ProjectInfoTable[ProjectName]=ContinuousStatsTable[[#This Row],[ProjectName]])*ProjectInfoTable[NumberOfReplications]))</f>
        <v>50</v>
      </c>
      <c r="O111" s="5" cm="1">
        <f t="array" ref="O111">IFERROR(AVERAGE(IF((ContinuousStatsTable[GroupByKey]=ContinuousStatsTable[[#This Row],[GroupByKey]]),(ContinuousStatsTable[GroupByKey]=ContinuousStatsTable[[#This Row],[GroupByKey]])*ContinuousStatsTable[Average])),0)</f>
        <v>1</v>
      </c>
      <c r="P111" s="5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0</v>
      </c>
      <c r="Q111" s="5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1" s="5" cm="1">
        <f t="array" ref="S111">MIN(IF((ContinuousStatsTable[GroupByKey]=ContinuousStatsTable[[#This Row],[GroupByKey]]),(ContinuousStatsTable[GroupByKey]=ContinuousStatsTable[[#This Row],[GroupByKey]])*ContinuousStatsTable[Average]))</f>
        <v>1</v>
      </c>
      <c r="T111" s="5" cm="1">
        <f t="array" ref="T111">MAX(IF((ContinuousStatsTable[GroupByKey]=ContinuousStatsTable[[#This Row],[GroupByKey]]),(ContinuousStatsTable[GroupByKey]=ContinuousStatsTable[[#This Row],[GroupByKey]])*ContinuousStatsTable[Average]))</f>
        <v>1</v>
      </c>
      <c r="U111" s="5">
        <f>IF((ContinuousStatsTable[[#This Row],[RepsRequested]]&gt;1),ContinuousStatsTable[[#This Row],[HalfWidth]],ContinuousStatsTable[[#This Row],[BatchMeansHalfWidth]])</f>
        <v>0</v>
      </c>
    </row>
    <row r="112" spans="1:21" x14ac:dyDescent="0.35">
      <c r="A112" t="s">
        <v>66</v>
      </c>
      <c r="B112" t="s">
        <v>69</v>
      </c>
      <c r="C112">
        <v>23</v>
      </c>
      <c r="D112" t="s">
        <v>70</v>
      </c>
      <c r="E112" t="s">
        <v>81</v>
      </c>
      <c r="F112" t="s">
        <v>72</v>
      </c>
      <c r="G112">
        <v>2.2099432454153001</v>
      </c>
      <c r="H112">
        <v>2E+20</v>
      </c>
      <c r="I112">
        <v>0</v>
      </c>
      <c r="J112">
        <v>3</v>
      </c>
      <c r="K112">
        <v>2</v>
      </c>
      <c r="L112">
        <v>0</v>
      </c>
      <c r="M112" s="5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112" s="5" cm="1">
        <f t="array" ref="N112">MAX(IF((ProjectInfoTable[ProjectName]=ContinuousStatsTable[[#This Row],[ProjectName]]),(ProjectInfoTable[ProjectName]=ContinuousStatsTable[[#This Row],[ProjectName]])*ProjectInfoTable[NumberOfReplications]))</f>
        <v>50</v>
      </c>
      <c r="O112" s="5" cm="1">
        <f t="array" ref="O112">IFERROR(AVERAGE(IF((ContinuousStatsTable[GroupByKey]=ContinuousStatsTable[[#This Row],[GroupByKey]]),(ContinuousStatsTable[GroupByKey]=ContinuousStatsTable[[#This Row],[GroupByKey]])*ContinuousStatsTable[Average])),0)</f>
        <v>2.1996658161417075</v>
      </c>
      <c r="P112" s="5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1.1994598865431718</v>
      </c>
      <c r="Q112" s="5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0.34088272804883424</v>
      </c>
      <c r="S112" s="5" cm="1">
        <f t="array" ref="S112">MIN(IF((ContinuousStatsTable[GroupByKey]=ContinuousStatsTable[[#This Row],[GroupByKey]]),(ContinuousStatsTable[GroupByKey]=ContinuousStatsTable[[#This Row],[GroupByKey]])*ContinuousStatsTable[Average]))</f>
        <v>0.70499985227053297</v>
      </c>
      <c r="T112" s="5" cm="1">
        <f t="array" ref="T112">MAX(IF((ContinuousStatsTable[GroupByKey]=ContinuousStatsTable[[#This Row],[GroupByKey]]),(ContinuousStatsTable[GroupByKey]=ContinuousStatsTable[[#This Row],[GroupByKey]])*ContinuousStatsTable[Average]))</f>
        <v>6.3083923025689197</v>
      </c>
      <c r="U112" s="5">
        <f>IF((ContinuousStatsTable[[#This Row],[RepsRequested]]&gt;1),ContinuousStatsTable[[#This Row],[HalfWidth]],ContinuousStatsTable[[#This Row],[BatchMeansHalfWidth]])</f>
        <v>0.34088272804883424</v>
      </c>
    </row>
    <row r="113" spans="1:21" x14ac:dyDescent="0.35">
      <c r="A113" t="s">
        <v>66</v>
      </c>
      <c r="B113" t="s">
        <v>69</v>
      </c>
      <c r="C113">
        <v>23</v>
      </c>
      <c r="D113" t="s">
        <v>78</v>
      </c>
      <c r="E113" t="s">
        <v>82</v>
      </c>
      <c r="F113" t="s">
        <v>80</v>
      </c>
      <c r="G113">
        <v>1.2099432454153001</v>
      </c>
      <c r="H113">
        <v>2E+20</v>
      </c>
      <c r="I113">
        <v>0</v>
      </c>
      <c r="J113">
        <v>2</v>
      </c>
      <c r="K113">
        <v>1</v>
      </c>
      <c r="L113">
        <v>0</v>
      </c>
      <c r="M113" s="5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113" s="5" cm="1">
        <f t="array" ref="N113">MAX(IF((ProjectInfoTable[ProjectName]=ContinuousStatsTable[[#This Row],[ProjectName]]),(ProjectInfoTable[ProjectName]=ContinuousStatsTable[[#This Row],[ProjectName]])*ProjectInfoTable[NumberOfReplications]))</f>
        <v>50</v>
      </c>
      <c r="O113" s="5" cm="1">
        <f t="array" ref="O113">IFERROR(AVERAGE(IF((ContinuousStatsTable[GroupByKey]=ContinuousStatsTable[[#This Row],[GroupByKey]]),(ContinuousStatsTable[GroupByKey]=ContinuousStatsTable[[#This Row],[GroupByKey]])*ContinuousStatsTable[Average])),0)</f>
        <v>1.2732860367273062</v>
      </c>
      <c r="P113" s="5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1.137870000737736</v>
      </c>
      <c r="Q113" s="5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0.32337907617258832</v>
      </c>
      <c r="S113" s="5" cm="1">
        <f t="array" ref="S113">MIN(IF((ContinuousStatsTable[GroupByKey]=ContinuousStatsTable[[#This Row],[GroupByKey]]),(ContinuousStatsTable[GroupByKey]=ContinuousStatsTable[[#This Row],[GroupByKey]])*ContinuousStatsTable[Average]))</f>
        <v>0</v>
      </c>
      <c r="T113" s="5" cm="1">
        <f t="array" ref="T113">MAX(IF((ContinuousStatsTable[GroupByKey]=ContinuousStatsTable[[#This Row],[GroupByKey]]),(ContinuousStatsTable[GroupByKey]=ContinuousStatsTable[[#This Row],[GroupByKey]])*ContinuousStatsTable[Average]))</f>
        <v>5.3083923025689197</v>
      </c>
      <c r="U113" s="5">
        <f>IF((ContinuousStatsTable[[#This Row],[RepsRequested]]&gt;1),ContinuousStatsTable[[#This Row],[HalfWidth]],ContinuousStatsTable[[#This Row],[BatchMeansHalfWidth]])</f>
        <v>0.32337907617258832</v>
      </c>
    </row>
    <row r="114" spans="1:21" x14ac:dyDescent="0.35">
      <c r="A114" t="s">
        <v>66</v>
      </c>
      <c r="B114" t="s">
        <v>69</v>
      </c>
      <c r="C114">
        <v>23</v>
      </c>
      <c r="D114" t="s">
        <v>83</v>
      </c>
      <c r="E114" t="s">
        <v>84</v>
      </c>
      <c r="F114" t="s">
        <v>85</v>
      </c>
      <c r="G114">
        <v>1</v>
      </c>
      <c r="H114">
        <v>2E+20</v>
      </c>
      <c r="I114">
        <v>0</v>
      </c>
      <c r="J114">
        <v>1</v>
      </c>
      <c r="K114">
        <v>1</v>
      </c>
      <c r="L114">
        <v>0</v>
      </c>
      <c r="M114" s="5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114" s="5" cm="1">
        <f t="array" ref="N114">MAX(IF((ProjectInfoTable[ProjectName]=ContinuousStatsTable[[#This Row],[ProjectName]]),(ProjectInfoTable[ProjectName]=ContinuousStatsTable[[#This Row],[ProjectName]])*ProjectInfoTable[NumberOfReplications]))</f>
        <v>50</v>
      </c>
      <c r="O114" s="5" cm="1">
        <f t="array" ref="O114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114" s="5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114" s="5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114" s="5" cm="1">
        <f t="array" ref="S114">MIN(IF((ContinuousStatsTable[GroupByKey]=ContinuousStatsTable[[#This Row],[GroupByKey]]),(ContinuousStatsTable[GroupByKey]=ContinuousStatsTable[[#This Row],[GroupByKey]])*ContinuousStatsTable[Average]))</f>
        <v>0.60846830422583797</v>
      </c>
      <c r="T114" s="5" cm="1">
        <f t="array" ref="T114">MAX(IF((ContinuousStatsTable[GroupByKey]=ContinuousStatsTable[[#This Row],[GroupByKey]]),(ContinuousStatsTable[GroupByKey]=ContinuousStatsTable[[#This Row],[GroupByKey]])*ContinuousStatsTable[Average]))</f>
        <v>1</v>
      </c>
      <c r="U114" s="5">
        <f>IF((ContinuousStatsTable[[#This Row],[RepsRequested]]&gt;1),ContinuousStatsTable[[#This Row],[HalfWidth]],ContinuousStatsTable[[#This Row],[BatchMeansHalfWidth]])</f>
        <v>3.350588705034975E-2</v>
      </c>
    </row>
    <row r="115" spans="1:21" x14ac:dyDescent="0.35">
      <c r="A115" t="s">
        <v>66</v>
      </c>
      <c r="B115" t="s">
        <v>69</v>
      </c>
      <c r="C115">
        <v>23</v>
      </c>
      <c r="D115" t="s">
        <v>83</v>
      </c>
      <c r="E115" t="s">
        <v>86</v>
      </c>
      <c r="F115" t="s">
        <v>85</v>
      </c>
      <c r="G115">
        <v>1</v>
      </c>
      <c r="H115">
        <v>2E+20</v>
      </c>
      <c r="I115">
        <v>0</v>
      </c>
      <c r="J115">
        <v>1</v>
      </c>
      <c r="K115">
        <v>1</v>
      </c>
      <c r="L115">
        <v>0</v>
      </c>
      <c r="M115" s="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115" s="5" cm="1">
        <f t="array" ref="N115">MAX(IF((ProjectInfoTable[ProjectName]=ContinuousStatsTable[[#This Row],[ProjectName]]),(ProjectInfoTable[ProjectName]=ContinuousStatsTable[[#This Row],[ProjectName]])*ProjectInfoTable[NumberOfReplications]))</f>
        <v>50</v>
      </c>
      <c r="O115" s="5" cm="1">
        <f t="array" ref="O115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115" s="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115" s="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115" s="5" cm="1">
        <f t="array" ref="S115">MIN(IF((ContinuousStatsTable[GroupByKey]=ContinuousStatsTable[[#This Row],[GroupByKey]]),(ContinuousStatsTable[GroupByKey]=ContinuousStatsTable[[#This Row],[GroupByKey]])*ContinuousStatsTable[Average]))</f>
        <v>0.60846830422583797</v>
      </c>
      <c r="T115" s="5" cm="1">
        <f t="array" ref="T115">MAX(IF((ContinuousStatsTable[GroupByKey]=ContinuousStatsTable[[#This Row],[GroupByKey]]),(ContinuousStatsTable[GroupByKey]=ContinuousStatsTable[[#This Row],[GroupByKey]])*ContinuousStatsTable[Average]))</f>
        <v>1</v>
      </c>
      <c r="U115" s="5">
        <f>IF((ContinuousStatsTable[[#This Row],[RepsRequested]]&gt;1),ContinuousStatsTable[[#This Row],[HalfWidth]],ContinuousStatsTable[[#This Row],[BatchMeansHalfWidth]])</f>
        <v>3.350588705034975E-2</v>
      </c>
    </row>
    <row r="116" spans="1:21" x14ac:dyDescent="0.35">
      <c r="A116" t="s">
        <v>66</v>
      </c>
      <c r="B116" t="s">
        <v>69</v>
      </c>
      <c r="C116">
        <v>23</v>
      </c>
      <c r="D116" t="s">
        <v>83</v>
      </c>
      <c r="E116" t="s">
        <v>87</v>
      </c>
      <c r="F116" t="s">
        <v>85</v>
      </c>
      <c r="G116">
        <v>1</v>
      </c>
      <c r="H116">
        <v>2E+20</v>
      </c>
      <c r="I116">
        <v>1</v>
      </c>
      <c r="J116">
        <v>1</v>
      </c>
      <c r="K116">
        <v>1</v>
      </c>
      <c r="L116">
        <v>0</v>
      </c>
      <c r="M116" s="5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116" s="5" cm="1">
        <f t="array" ref="N116">MAX(IF((ProjectInfoTable[ProjectName]=ContinuousStatsTable[[#This Row],[ProjectName]]),(ProjectInfoTable[ProjectName]=ContinuousStatsTable[[#This Row],[ProjectName]])*ProjectInfoTable[NumberOfReplications]))</f>
        <v>50</v>
      </c>
      <c r="O116" s="5" cm="1">
        <f t="array" ref="O116">IFERROR(AVERAGE(IF((ContinuousStatsTable[GroupByKey]=ContinuousStatsTable[[#This Row],[GroupByKey]]),(ContinuousStatsTable[GroupByKey]=ContinuousStatsTable[[#This Row],[GroupByKey]])*ContinuousStatsTable[Average])),0)</f>
        <v>1</v>
      </c>
      <c r="P116" s="5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0</v>
      </c>
      <c r="Q116" s="5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6" s="5" cm="1">
        <f t="array" ref="S116">MIN(IF((ContinuousStatsTable[GroupByKey]=ContinuousStatsTable[[#This Row],[GroupByKey]]),(ContinuousStatsTable[GroupByKey]=ContinuousStatsTable[[#This Row],[GroupByKey]])*ContinuousStatsTable[Average]))</f>
        <v>1</v>
      </c>
      <c r="T116" s="5" cm="1">
        <f t="array" ref="T116">MAX(IF((ContinuousStatsTable[GroupByKey]=ContinuousStatsTable[[#This Row],[GroupByKey]]),(ContinuousStatsTable[GroupByKey]=ContinuousStatsTable[[#This Row],[GroupByKey]])*ContinuousStatsTable[Average]))</f>
        <v>1</v>
      </c>
      <c r="U116" s="5">
        <f>IF((ContinuousStatsTable[[#This Row],[RepsRequested]]&gt;1),ContinuousStatsTable[[#This Row],[HalfWidth]],ContinuousStatsTable[[#This Row],[BatchMeansHalfWidth]])</f>
        <v>0</v>
      </c>
    </row>
    <row r="117" spans="1:21" x14ac:dyDescent="0.35">
      <c r="A117" t="s">
        <v>66</v>
      </c>
      <c r="B117" t="s">
        <v>69</v>
      </c>
      <c r="C117">
        <v>24</v>
      </c>
      <c r="D117" t="s">
        <v>70</v>
      </c>
      <c r="E117" t="s">
        <v>81</v>
      </c>
      <c r="F117" t="s">
        <v>72</v>
      </c>
      <c r="G117">
        <v>1.8292325437742301</v>
      </c>
      <c r="H117">
        <v>2E+20</v>
      </c>
      <c r="I117">
        <v>0</v>
      </c>
      <c r="J117">
        <v>3</v>
      </c>
      <c r="K117">
        <v>2</v>
      </c>
      <c r="L117">
        <v>0</v>
      </c>
      <c r="M117" s="5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117" s="5" cm="1">
        <f t="array" ref="N117">MAX(IF((ProjectInfoTable[ProjectName]=ContinuousStatsTable[[#This Row],[ProjectName]]),(ProjectInfoTable[ProjectName]=ContinuousStatsTable[[#This Row],[ProjectName]])*ProjectInfoTable[NumberOfReplications]))</f>
        <v>50</v>
      </c>
      <c r="O117" s="5" cm="1">
        <f t="array" ref="O117">IFERROR(AVERAGE(IF((ContinuousStatsTable[GroupByKey]=ContinuousStatsTable[[#This Row],[GroupByKey]]),(ContinuousStatsTable[GroupByKey]=ContinuousStatsTable[[#This Row],[GroupByKey]])*ContinuousStatsTable[Average])),0)</f>
        <v>2.1996658161417075</v>
      </c>
      <c r="P117" s="5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1.1994598865431718</v>
      </c>
      <c r="Q117" s="5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0.34088272804883424</v>
      </c>
      <c r="S117" s="5" cm="1">
        <f t="array" ref="S117">MIN(IF((ContinuousStatsTable[GroupByKey]=ContinuousStatsTable[[#This Row],[GroupByKey]]),(ContinuousStatsTable[GroupByKey]=ContinuousStatsTable[[#This Row],[GroupByKey]])*ContinuousStatsTable[Average]))</f>
        <v>0.70499985227053297</v>
      </c>
      <c r="T117" s="5" cm="1">
        <f t="array" ref="T117">MAX(IF((ContinuousStatsTable[GroupByKey]=ContinuousStatsTable[[#This Row],[GroupByKey]]),(ContinuousStatsTable[GroupByKey]=ContinuousStatsTable[[#This Row],[GroupByKey]])*ContinuousStatsTable[Average]))</f>
        <v>6.3083923025689197</v>
      </c>
      <c r="U117" s="5">
        <f>IF((ContinuousStatsTable[[#This Row],[RepsRequested]]&gt;1),ContinuousStatsTable[[#This Row],[HalfWidth]],ContinuousStatsTable[[#This Row],[BatchMeansHalfWidth]])</f>
        <v>0.34088272804883424</v>
      </c>
    </row>
    <row r="118" spans="1:21" x14ac:dyDescent="0.35">
      <c r="A118" t="s">
        <v>66</v>
      </c>
      <c r="B118" t="s">
        <v>69</v>
      </c>
      <c r="C118">
        <v>24</v>
      </c>
      <c r="D118" t="s">
        <v>78</v>
      </c>
      <c r="E118" t="s">
        <v>82</v>
      </c>
      <c r="F118" t="s">
        <v>80</v>
      </c>
      <c r="G118">
        <v>0.82923254377422595</v>
      </c>
      <c r="H118">
        <v>2E+20</v>
      </c>
      <c r="I118">
        <v>0</v>
      </c>
      <c r="J118">
        <v>2</v>
      </c>
      <c r="K118">
        <v>1</v>
      </c>
      <c r="L118">
        <v>0</v>
      </c>
      <c r="M118" s="5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118" s="5" cm="1">
        <f t="array" ref="N118">MAX(IF((ProjectInfoTable[ProjectName]=ContinuousStatsTable[[#This Row],[ProjectName]]),(ProjectInfoTable[ProjectName]=ContinuousStatsTable[[#This Row],[ProjectName]])*ProjectInfoTable[NumberOfReplications]))</f>
        <v>50</v>
      </c>
      <c r="O118" s="5" cm="1">
        <f t="array" ref="O118">IFERROR(AVERAGE(IF((ContinuousStatsTable[GroupByKey]=ContinuousStatsTable[[#This Row],[GroupByKey]]),(ContinuousStatsTable[GroupByKey]=ContinuousStatsTable[[#This Row],[GroupByKey]])*ContinuousStatsTable[Average])),0)</f>
        <v>1.2732860367273062</v>
      </c>
      <c r="P118" s="5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1.137870000737736</v>
      </c>
      <c r="Q118" s="5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0.32337907617258832</v>
      </c>
      <c r="S118" s="5" cm="1">
        <f t="array" ref="S118">MIN(IF((ContinuousStatsTable[GroupByKey]=ContinuousStatsTable[[#This Row],[GroupByKey]]),(ContinuousStatsTable[GroupByKey]=ContinuousStatsTable[[#This Row],[GroupByKey]])*ContinuousStatsTable[Average]))</f>
        <v>0</v>
      </c>
      <c r="T118" s="5" cm="1">
        <f t="array" ref="T118">MAX(IF((ContinuousStatsTable[GroupByKey]=ContinuousStatsTable[[#This Row],[GroupByKey]]),(ContinuousStatsTable[GroupByKey]=ContinuousStatsTable[[#This Row],[GroupByKey]])*ContinuousStatsTable[Average]))</f>
        <v>5.3083923025689197</v>
      </c>
      <c r="U118" s="5">
        <f>IF((ContinuousStatsTable[[#This Row],[RepsRequested]]&gt;1),ContinuousStatsTable[[#This Row],[HalfWidth]],ContinuousStatsTable[[#This Row],[BatchMeansHalfWidth]])</f>
        <v>0.32337907617258832</v>
      </c>
    </row>
    <row r="119" spans="1:21" x14ac:dyDescent="0.35">
      <c r="A119" t="s">
        <v>66</v>
      </c>
      <c r="B119" t="s">
        <v>69</v>
      </c>
      <c r="C119">
        <v>24</v>
      </c>
      <c r="D119" t="s">
        <v>83</v>
      </c>
      <c r="E119" t="s">
        <v>84</v>
      </c>
      <c r="F119" t="s">
        <v>85</v>
      </c>
      <c r="G119">
        <v>1</v>
      </c>
      <c r="H119">
        <v>2E+20</v>
      </c>
      <c r="I119">
        <v>0</v>
      </c>
      <c r="J119">
        <v>1</v>
      </c>
      <c r="K119">
        <v>1</v>
      </c>
      <c r="L119">
        <v>0</v>
      </c>
      <c r="M119" s="5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119" s="5" cm="1">
        <f t="array" ref="N119">MAX(IF((ProjectInfoTable[ProjectName]=ContinuousStatsTable[[#This Row],[ProjectName]]),(ProjectInfoTable[ProjectName]=ContinuousStatsTable[[#This Row],[ProjectName]])*ProjectInfoTable[NumberOfReplications]))</f>
        <v>50</v>
      </c>
      <c r="O119" s="5" cm="1">
        <f t="array" ref="O119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119" s="5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119" s="5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119" s="5" cm="1">
        <f t="array" ref="S119">MIN(IF((ContinuousStatsTable[GroupByKey]=ContinuousStatsTable[[#This Row],[GroupByKey]]),(ContinuousStatsTable[GroupByKey]=ContinuousStatsTable[[#This Row],[GroupByKey]])*ContinuousStatsTable[Average]))</f>
        <v>0.60846830422583797</v>
      </c>
      <c r="T119" s="5" cm="1">
        <f t="array" ref="T119">MAX(IF((ContinuousStatsTable[GroupByKey]=ContinuousStatsTable[[#This Row],[GroupByKey]]),(ContinuousStatsTable[GroupByKey]=ContinuousStatsTable[[#This Row],[GroupByKey]])*ContinuousStatsTable[Average]))</f>
        <v>1</v>
      </c>
      <c r="U119" s="5">
        <f>IF((ContinuousStatsTable[[#This Row],[RepsRequested]]&gt;1),ContinuousStatsTable[[#This Row],[HalfWidth]],ContinuousStatsTable[[#This Row],[BatchMeansHalfWidth]])</f>
        <v>3.350588705034975E-2</v>
      </c>
    </row>
    <row r="120" spans="1:21" x14ac:dyDescent="0.35">
      <c r="A120" t="s">
        <v>66</v>
      </c>
      <c r="B120" t="s">
        <v>69</v>
      </c>
      <c r="C120">
        <v>24</v>
      </c>
      <c r="D120" t="s">
        <v>83</v>
      </c>
      <c r="E120" t="s">
        <v>86</v>
      </c>
      <c r="F120" t="s">
        <v>85</v>
      </c>
      <c r="G120">
        <v>1</v>
      </c>
      <c r="H120">
        <v>2E+20</v>
      </c>
      <c r="I120">
        <v>0</v>
      </c>
      <c r="J120">
        <v>1</v>
      </c>
      <c r="K120">
        <v>1</v>
      </c>
      <c r="L120">
        <v>0</v>
      </c>
      <c r="M120" s="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120" s="5" cm="1">
        <f t="array" ref="N120">MAX(IF((ProjectInfoTable[ProjectName]=ContinuousStatsTable[[#This Row],[ProjectName]]),(ProjectInfoTable[ProjectName]=ContinuousStatsTable[[#This Row],[ProjectName]])*ProjectInfoTable[NumberOfReplications]))</f>
        <v>50</v>
      </c>
      <c r="O120" s="5" cm="1">
        <f t="array" ref="O120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120" s="5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120" s="5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120" s="5" cm="1">
        <f t="array" ref="S120">MIN(IF((ContinuousStatsTable[GroupByKey]=ContinuousStatsTable[[#This Row],[GroupByKey]]),(ContinuousStatsTable[GroupByKey]=ContinuousStatsTable[[#This Row],[GroupByKey]])*ContinuousStatsTable[Average]))</f>
        <v>0.60846830422583797</v>
      </c>
      <c r="T120" s="5" cm="1">
        <f t="array" ref="T120">MAX(IF((ContinuousStatsTable[GroupByKey]=ContinuousStatsTable[[#This Row],[GroupByKey]]),(ContinuousStatsTable[GroupByKey]=ContinuousStatsTable[[#This Row],[GroupByKey]])*ContinuousStatsTable[Average]))</f>
        <v>1</v>
      </c>
      <c r="U120" s="5">
        <f>IF((ContinuousStatsTable[[#This Row],[RepsRequested]]&gt;1),ContinuousStatsTable[[#This Row],[HalfWidth]],ContinuousStatsTable[[#This Row],[BatchMeansHalfWidth]])</f>
        <v>3.350588705034975E-2</v>
      </c>
    </row>
    <row r="121" spans="1:21" x14ac:dyDescent="0.35">
      <c r="A121" t="s">
        <v>66</v>
      </c>
      <c r="B121" t="s">
        <v>69</v>
      </c>
      <c r="C121">
        <v>24</v>
      </c>
      <c r="D121" t="s">
        <v>83</v>
      </c>
      <c r="E121" t="s">
        <v>87</v>
      </c>
      <c r="F121" t="s">
        <v>85</v>
      </c>
      <c r="G121">
        <v>1</v>
      </c>
      <c r="H121">
        <v>2E+20</v>
      </c>
      <c r="I121">
        <v>1</v>
      </c>
      <c r="J121">
        <v>1</v>
      </c>
      <c r="K121">
        <v>1</v>
      </c>
      <c r="L121">
        <v>0</v>
      </c>
      <c r="M121" s="5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121" s="5" cm="1">
        <f t="array" ref="N121">MAX(IF((ProjectInfoTable[ProjectName]=ContinuousStatsTable[[#This Row],[ProjectName]]),(ProjectInfoTable[ProjectName]=ContinuousStatsTable[[#This Row],[ProjectName]])*ProjectInfoTable[NumberOfReplications]))</f>
        <v>50</v>
      </c>
      <c r="O121" s="5" cm="1">
        <f t="array" ref="O121">IFERROR(AVERAGE(IF((ContinuousStatsTable[GroupByKey]=ContinuousStatsTable[[#This Row],[GroupByKey]]),(ContinuousStatsTable[GroupByKey]=ContinuousStatsTable[[#This Row],[GroupByKey]])*ContinuousStatsTable[Average])),0)</f>
        <v>1</v>
      </c>
      <c r="P121" s="5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0</v>
      </c>
      <c r="Q121" s="5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1" s="5" cm="1">
        <f t="array" ref="S121">MIN(IF((ContinuousStatsTable[GroupByKey]=ContinuousStatsTable[[#This Row],[GroupByKey]]),(ContinuousStatsTable[GroupByKey]=ContinuousStatsTable[[#This Row],[GroupByKey]])*ContinuousStatsTable[Average]))</f>
        <v>1</v>
      </c>
      <c r="T121" s="5" cm="1">
        <f t="array" ref="T121">MAX(IF((ContinuousStatsTable[GroupByKey]=ContinuousStatsTable[[#This Row],[GroupByKey]]),(ContinuousStatsTable[GroupByKey]=ContinuousStatsTable[[#This Row],[GroupByKey]])*ContinuousStatsTable[Average]))</f>
        <v>1</v>
      </c>
      <c r="U121" s="5">
        <f>IF((ContinuousStatsTable[[#This Row],[RepsRequested]]&gt;1),ContinuousStatsTable[[#This Row],[HalfWidth]],ContinuousStatsTable[[#This Row],[BatchMeansHalfWidth]])</f>
        <v>0</v>
      </c>
    </row>
    <row r="122" spans="1:21" x14ac:dyDescent="0.35">
      <c r="A122" t="s">
        <v>66</v>
      </c>
      <c r="B122" t="s">
        <v>69</v>
      </c>
      <c r="C122">
        <v>25</v>
      </c>
      <c r="D122" t="s">
        <v>70</v>
      </c>
      <c r="E122" t="s">
        <v>81</v>
      </c>
      <c r="F122" t="s">
        <v>72</v>
      </c>
      <c r="G122">
        <v>1.0534113737436099</v>
      </c>
      <c r="H122">
        <v>2E+20</v>
      </c>
      <c r="I122">
        <v>0</v>
      </c>
      <c r="J122">
        <v>3</v>
      </c>
      <c r="K122">
        <v>0</v>
      </c>
      <c r="L122">
        <v>0</v>
      </c>
      <c r="M122" s="5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122" s="5" cm="1">
        <f t="array" ref="N122">MAX(IF((ProjectInfoTable[ProjectName]=ContinuousStatsTable[[#This Row],[ProjectName]]),(ProjectInfoTable[ProjectName]=ContinuousStatsTable[[#This Row],[ProjectName]])*ProjectInfoTable[NumberOfReplications]))</f>
        <v>50</v>
      </c>
      <c r="O122" s="5" cm="1">
        <f t="array" ref="O122">IFERROR(AVERAGE(IF((ContinuousStatsTable[GroupByKey]=ContinuousStatsTable[[#This Row],[GroupByKey]]),(ContinuousStatsTable[GroupByKey]=ContinuousStatsTable[[#This Row],[GroupByKey]])*ContinuousStatsTable[Average])),0)</f>
        <v>2.1996658161417075</v>
      </c>
      <c r="P122" s="5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1.1994598865431718</v>
      </c>
      <c r="Q122" s="5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0.34088272804883424</v>
      </c>
      <c r="S122" s="5" cm="1">
        <f t="array" ref="S122">MIN(IF((ContinuousStatsTable[GroupByKey]=ContinuousStatsTable[[#This Row],[GroupByKey]]),(ContinuousStatsTable[GroupByKey]=ContinuousStatsTable[[#This Row],[GroupByKey]])*ContinuousStatsTable[Average]))</f>
        <v>0.70499985227053297</v>
      </c>
      <c r="T122" s="5" cm="1">
        <f t="array" ref="T122">MAX(IF((ContinuousStatsTable[GroupByKey]=ContinuousStatsTable[[#This Row],[GroupByKey]]),(ContinuousStatsTable[GroupByKey]=ContinuousStatsTable[[#This Row],[GroupByKey]])*ContinuousStatsTable[Average]))</f>
        <v>6.3083923025689197</v>
      </c>
      <c r="U122" s="5">
        <f>IF((ContinuousStatsTable[[#This Row],[RepsRequested]]&gt;1),ContinuousStatsTable[[#This Row],[HalfWidth]],ContinuousStatsTable[[#This Row],[BatchMeansHalfWidth]])</f>
        <v>0.34088272804883424</v>
      </c>
    </row>
    <row r="123" spans="1:21" x14ac:dyDescent="0.35">
      <c r="A123" t="s">
        <v>66</v>
      </c>
      <c r="B123" t="s">
        <v>69</v>
      </c>
      <c r="C123">
        <v>25</v>
      </c>
      <c r="D123" t="s">
        <v>78</v>
      </c>
      <c r="E123" t="s">
        <v>82</v>
      </c>
      <c r="F123" t="s">
        <v>80</v>
      </c>
      <c r="G123">
        <v>0.29054504960025801</v>
      </c>
      <c r="H123">
        <v>2E+20</v>
      </c>
      <c r="I123">
        <v>0</v>
      </c>
      <c r="J123">
        <v>2</v>
      </c>
      <c r="K123">
        <v>0</v>
      </c>
      <c r="L123">
        <v>0</v>
      </c>
      <c r="M123" s="5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123" s="5" cm="1">
        <f t="array" ref="N123">MAX(IF((ProjectInfoTable[ProjectName]=ContinuousStatsTable[[#This Row],[ProjectName]]),(ProjectInfoTable[ProjectName]=ContinuousStatsTable[[#This Row],[ProjectName]])*ProjectInfoTable[NumberOfReplications]))</f>
        <v>50</v>
      </c>
      <c r="O123" s="5" cm="1">
        <f t="array" ref="O123">IFERROR(AVERAGE(IF((ContinuousStatsTable[GroupByKey]=ContinuousStatsTable[[#This Row],[GroupByKey]]),(ContinuousStatsTable[GroupByKey]=ContinuousStatsTable[[#This Row],[GroupByKey]])*ContinuousStatsTable[Average])),0)</f>
        <v>1.2732860367273062</v>
      </c>
      <c r="P123" s="5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1.137870000737736</v>
      </c>
      <c r="Q123" s="5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0.32337907617258832</v>
      </c>
      <c r="S123" s="5" cm="1">
        <f t="array" ref="S123">MIN(IF((ContinuousStatsTable[GroupByKey]=ContinuousStatsTable[[#This Row],[GroupByKey]]),(ContinuousStatsTable[GroupByKey]=ContinuousStatsTable[[#This Row],[GroupByKey]])*ContinuousStatsTable[Average]))</f>
        <v>0</v>
      </c>
      <c r="T123" s="5" cm="1">
        <f t="array" ref="T123">MAX(IF((ContinuousStatsTable[GroupByKey]=ContinuousStatsTable[[#This Row],[GroupByKey]]),(ContinuousStatsTable[GroupByKey]=ContinuousStatsTable[[#This Row],[GroupByKey]])*ContinuousStatsTable[Average]))</f>
        <v>5.3083923025689197</v>
      </c>
      <c r="U123" s="5">
        <f>IF((ContinuousStatsTable[[#This Row],[RepsRequested]]&gt;1),ContinuousStatsTable[[#This Row],[HalfWidth]],ContinuousStatsTable[[#This Row],[BatchMeansHalfWidth]])</f>
        <v>0.32337907617258832</v>
      </c>
    </row>
    <row r="124" spans="1:21" x14ac:dyDescent="0.35">
      <c r="A124" t="s">
        <v>66</v>
      </c>
      <c r="B124" t="s">
        <v>69</v>
      </c>
      <c r="C124">
        <v>25</v>
      </c>
      <c r="D124" t="s">
        <v>83</v>
      </c>
      <c r="E124" t="s">
        <v>84</v>
      </c>
      <c r="F124" t="s">
        <v>85</v>
      </c>
      <c r="G124">
        <v>0.76286632414334898</v>
      </c>
      <c r="H124">
        <v>2E+20</v>
      </c>
      <c r="I124">
        <v>0</v>
      </c>
      <c r="J124">
        <v>1</v>
      </c>
      <c r="K124">
        <v>0</v>
      </c>
      <c r="L124">
        <v>0</v>
      </c>
      <c r="M124" s="5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124" s="5" cm="1">
        <f t="array" ref="N124">MAX(IF((ProjectInfoTable[ProjectName]=ContinuousStatsTable[[#This Row],[ProjectName]]),(ProjectInfoTable[ProjectName]=ContinuousStatsTable[[#This Row],[ProjectName]])*ProjectInfoTable[NumberOfReplications]))</f>
        <v>50</v>
      </c>
      <c r="O124" s="5" cm="1">
        <f t="array" ref="O124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124" s="5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124" s="5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124" s="5" cm="1">
        <f t="array" ref="S124">MIN(IF((ContinuousStatsTable[GroupByKey]=ContinuousStatsTable[[#This Row],[GroupByKey]]),(ContinuousStatsTable[GroupByKey]=ContinuousStatsTable[[#This Row],[GroupByKey]])*ContinuousStatsTable[Average]))</f>
        <v>0.60846830422583797</v>
      </c>
      <c r="T124" s="5" cm="1">
        <f t="array" ref="T124">MAX(IF((ContinuousStatsTable[GroupByKey]=ContinuousStatsTable[[#This Row],[GroupByKey]]),(ContinuousStatsTable[GroupByKey]=ContinuousStatsTable[[#This Row],[GroupByKey]])*ContinuousStatsTable[Average]))</f>
        <v>1</v>
      </c>
      <c r="U124" s="5">
        <f>IF((ContinuousStatsTable[[#This Row],[RepsRequested]]&gt;1),ContinuousStatsTable[[#This Row],[HalfWidth]],ContinuousStatsTable[[#This Row],[BatchMeansHalfWidth]])</f>
        <v>3.350588705034975E-2</v>
      </c>
    </row>
    <row r="125" spans="1:21" x14ac:dyDescent="0.35">
      <c r="A125" t="s">
        <v>66</v>
      </c>
      <c r="B125" t="s">
        <v>69</v>
      </c>
      <c r="C125">
        <v>25</v>
      </c>
      <c r="D125" t="s">
        <v>83</v>
      </c>
      <c r="E125" t="s">
        <v>86</v>
      </c>
      <c r="F125" t="s">
        <v>85</v>
      </c>
      <c r="G125">
        <v>0.76286632414334898</v>
      </c>
      <c r="H125">
        <v>2E+20</v>
      </c>
      <c r="I125">
        <v>0</v>
      </c>
      <c r="J125">
        <v>1</v>
      </c>
      <c r="K125">
        <v>0</v>
      </c>
      <c r="L125">
        <v>0</v>
      </c>
      <c r="M125" s="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125" s="5" cm="1">
        <f t="array" ref="N125">MAX(IF((ProjectInfoTable[ProjectName]=ContinuousStatsTable[[#This Row],[ProjectName]]),(ProjectInfoTable[ProjectName]=ContinuousStatsTable[[#This Row],[ProjectName]])*ProjectInfoTable[NumberOfReplications]))</f>
        <v>50</v>
      </c>
      <c r="O125" s="5" cm="1">
        <f t="array" ref="O125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125" s="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125" s="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125" s="5" cm="1">
        <f t="array" ref="S125">MIN(IF((ContinuousStatsTable[GroupByKey]=ContinuousStatsTable[[#This Row],[GroupByKey]]),(ContinuousStatsTable[GroupByKey]=ContinuousStatsTable[[#This Row],[GroupByKey]])*ContinuousStatsTable[Average]))</f>
        <v>0.60846830422583797</v>
      </c>
      <c r="T125" s="5" cm="1">
        <f t="array" ref="T125">MAX(IF((ContinuousStatsTable[GroupByKey]=ContinuousStatsTable[[#This Row],[GroupByKey]]),(ContinuousStatsTable[GroupByKey]=ContinuousStatsTable[[#This Row],[GroupByKey]])*ContinuousStatsTable[Average]))</f>
        <v>1</v>
      </c>
      <c r="U125" s="5">
        <f>IF((ContinuousStatsTable[[#This Row],[RepsRequested]]&gt;1),ContinuousStatsTable[[#This Row],[HalfWidth]],ContinuousStatsTable[[#This Row],[BatchMeansHalfWidth]])</f>
        <v>3.350588705034975E-2</v>
      </c>
    </row>
    <row r="126" spans="1:21" x14ac:dyDescent="0.35">
      <c r="A126" t="s">
        <v>66</v>
      </c>
      <c r="B126" t="s">
        <v>69</v>
      </c>
      <c r="C126">
        <v>25</v>
      </c>
      <c r="D126" t="s">
        <v>83</v>
      </c>
      <c r="E126" t="s">
        <v>87</v>
      </c>
      <c r="F126" t="s">
        <v>85</v>
      </c>
      <c r="G126">
        <v>1</v>
      </c>
      <c r="H126">
        <v>2E+20</v>
      </c>
      <c r="I126">
        <v>1</v>
      </c>
      <c r="J126">
        <v>1</v>
      </c>
      <c r="K126">
        <v>1</v>
      </c>
      <c r="L126">
        <v>0</v>
      </c>
      <c r="M126" s="5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126" s="5" cm="1">
        <f t="array" ref="N126">MAX(IF((ProjectInfoTable[ProjectName]=ContinuousStatsTable[[#This Row],[ProjectName]]),(ProjectInfoTable[ProjectName]=ContinuousStatsTable[[#This Row],[ProjectName]])*ProjectInfoTable[NumberOfReplications]))</f>
        <v>50</v>
      </c>
      <c r="O126" s="5" cm="1">
        <f t="array" ref="O126">IFERROR(AVERAGE(IF((ContinuousStatsTable[GroupByKey]=ContinuousStatsTable[[#This Row],[GroupByKey]]),(ContinuousStatsTable[GroupByKey]=ContinuousStatsTable[[#This Row],[GroupByKey]])*ContinuousStatsTable[Average])),0)</f>
        <v>1</v>
      </c>
      <c r="P126" s="5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0</v>
      </c>
      <c r="Q126" s="5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6" s="5" cm="1">
        <f t="array" ref="S126">MIN(IF((ContinuousStatsTable[GroupByKey]=ContinuousStatsTable[[#This Row],[GroupByKey]]),(ContinuousStatsTable[GroupByKey]=ContinuousStatsTable[[#This Row],[GroupByKey]])*ContinuousStatsTable[Average]))</f>
        <v>1</v>
      </c>
      <c r="T126" s="5" cm="1">
        <f t="array" ref="T126">MAX(IF((ContinuousStatsTable[GroupByKey]=ContinuousStatsTable[[#This Row],[GroupByKey]]),(ContinuousStatsTable[GroupByKey]=ContinuousStatsTable[[#This Row],[GroupByKey]])*ContinuousStatsTable[Average]))</f>
        <v>1</v>
      </c>
      <c r="U126" s="5">
        <f>IF((ContinuousStatsTable[[#This Row],[RepsRequested]]&gt;1),ContinuousStatsTable[[#This Row],[HalfWidth]],ContinuousStatsTable[[#This Row],[BatchMeansHalfWidth]])</f>
        <v>0</v>
      </c>
    </row>
    <row r="127" spans="1:21" x14ac:dyDescent="0.35">
      <c r="A127" t="s">
        <v>66</v>
      </c>
      <c r="B127" t="s">
        <v>69</v>
      </c>
      <c r="C127">
        <v>26</v>
      </c>
      <c r="D127" t="s">
        <v>70</v>
      </c>
      <c r="E127" t="s">
        <v>81</v>
      </c>
      <c r="F127" t="s">
        <v>72</v>
      </c>
      <c r="G127">
        <v>2.2251554708360599</v>
      </c>
      <c r="H127">
        <v>2E+20</v>
      </c>
      <c r="I127">
        <v>0</v>
      </c>
      <c r="J127">
        <v>4</v>
      </c>
      <c r="K127">
        <v>3</v>
      </c>
      <c r="L127">
        <v>0</v>
      </c>
      <c r="M127" s="5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127" s="5" cm="1">
        <f t="array" ref="N127">MAX(IF((ProjectInfoTable[ProjectName]=ContinuousStatsTable[[#This Row],[ProjectName]]),(ProjectInfoTable[ProjectName]=ContinuousStatsTable[[#This Row],[ProjectName]])*ProjectInfoTable[NumberOfReplications]))</f>
        <v>50</v>
      </c>
      <c r="O127" s="5" cm="1">
        <f t="array" ref="O127">IFERROR(AVERAGE(IF((ContinuousStatsTable[GroupByKey]=ContinuousStatsTable[[#This Row],[GroupByKey]]),(ContinuousStatsTable[GroupByKey]=ContinuousStatsTable[[#This Row],[GroupByKey]])*ContinuousStatsTable[Average])),0)</f>
        <v>2.1996658161417075</v>
      </c>
      <c r="P127" s="5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1.1994598865431718</v>
      </c>
      <c r="Q127" s="5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0.34088272804883424</v>
      </c>
      <c r="S127" s="5" cm="1">
        <f t="array" ref="S127">MIN(IF((ContinuousStatsTable[GroupByKey]=ContinuousStatsTable[[#This Row],[GroupByKey]]),(ContinuousStatsTable[GroupByKey]=ContinuousStatsTable[[#This Row],[GroupByKey]])*ContinuousStatsTable[Average]))</f>
        <v>0.70499985227053297</v>
      </c>
      <c r="T127" s="5" cm="1">
        <f t="array" ref="T127">MAX(IF((ContinuousStatsTable[GroupByKey]=ContinuousStatsTable[[#This Row],[GroupByKey]]),(ContinuousStatsTable[GroupByKey]=ContinuousStatsTable[[#This Row],[GroupByKey]])*ContinuousStatsTable[Average]))</f>
        <v>6.3083923025689197</v>
      </c>
      <c r="U127" s="5">
        <f>IF((ContinuousStatsTable[[#This Row],[RepsRequested]]&gt;1),ContinuousStatsTable[[#This Row],[HalfWidth]],ContinuousStatsTable[[#This Row],[BatchMeansHalfWidth]])</f>
        <v>0.34088272804883424</v>
      </c>
    </row>
    <row r="128" spans="1:21" x14ac:dyDescent="0.35">
      <c r="A128" t="s">
        <v>66</v>
      </c>
      <c r="B128" t="s">
        <v>69</v>
      </c>
      <c r="C128">
        <v>26</v>
      </c>
      <c r="D128" t="s">
        <v>78</v>
      </c>
      <c r="E128" t="s">
        <v>82</v>
      </c>
      <c r="F128" t="s">
        <v>80</v>
      </c>
      <c r="G128">
        <v>1.2470341599681201</v>
      </c>
      <c r="H128">
        <v>2E+20</v>
      </c>
      <c r="I128">
        <v>0</v>
      </c>
      <c r="J128">
        <v>3</v>
      </c>
      <c r="K128">
        <v>2</v>
      </c>
      <c r="L128">
        <v>0</v>
      </c>
      <c r="M128" s="5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128" s="5" cm="1">
        <f t="array" ref="N128">MAX(IF((ProjectInfoTable[ProjectName]=ContinuousStatsTable[[#This Row],[ProjectName]]),(ProjectInfoTable[ProjectName]=ContinuousStatsTable[[#This Row],[ProjectName]])*ProjectInfoTable[NumberOfReplications]))</f>
        <v>50</v>
      </c>
      <c r="O128" s="5" cm="1">
        <f t="array" ref="O128">IFERROR(AVERAGE(IF((ContinuousStatsTable[GroupByKey]=ContinuousStatsTable[[#This Row],[GroupByKey]]),(ContinuousStatsTable[GroupByKey]=ContinuousStatsTable[[#This Row],[GroupByKey]])*ContinuousStatsTable[Average])),0)</f>
        <v>1.2732860367273062</v>
      </c>
      <c r="P128" s="5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1.137870000737736</v>
      </c>
      <c r="Q128" s="5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0.32337907617258832</v>
      </c>
      <c r="S128" s="5" cm="1">
        <f t="array" ref="S128">MIN(IF((ContinuousStatsTable[GroupByKey]=ContinuousStatsTable[[#This Row],[GroupByKey]]),(ContinuousStatsTable[GroupByKey]=ContinuousStatsTable[[#This Row],[GroupByKey]])*ContinuousStatsTable[Average]))</f>
        <v>0</v>
      </c>
      <c r="T128" s="5" cm="1">
        <f t="array" ref="T128">MAX(IF((ContinuousStatsTable[GroupByKey]=ContinuousStatsTable[[#This Row],[GroupByKey]]),(ContinuousStatsTable[GroupByKey]=ContinuousStatsTable[[#This Row],[GroupByKey]])*ContinuousStatsTable[Average]))</f>
        <v>5.3083923025689197</v>
      </c>
      <c r="U128" s="5">
        <f>IF((ContinuousStatsTable[[#This Row],[RepsRequested]]&gt;1),ContinuousStatsTable[[#This Row],[HalfWidth]],ContinuousStatsTable[[#This Row],[BatchMeansHalfWidth]])</f>
        <v>0.32337907617258832</v>
      </c>
    </row>
    <row r="129" spans="1:21" x14ac:dyDescent="0.35">
      <c r="A129" t="s">
        <v>66</v>
      </c>
      <c r="B129" t="s">
        <v>69</v>
      </c>
      <c r="C129">
        <v>26</v>
      </c>
      <c r="D129" t="s">
        <v>83</v>
      </c>
      <c r="E129" t="s">
        <v>84</v>
      </c>
      <c r="F129" t="s">
        <v>85</v>
      </c>
      <c r="G129">
        <v>0.97812131086793197</v>
      </c>
      <c r="H129">
        <v>2E+20</v>
      </c>
      <c r="I129">
        <v>0</v>
      </c>
      <c r="J129">
        <v>1</v>
      </c>
      <c r="K129">
        <v>1</v>
      </c>
      <c r="L129">
        <v>0</v>
      </c>
      <c r="M129" s="5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129" s="5" cm="1">
        <f t="array" ref="N129">MAX(IF((ProjectInfoTable[ProjectName]=ContinuousStatsTable[[#This Row],[ProjectName]]),(ProjectInfoTable[ProjectName]=ContinuousStatsTable[[#This Row],[ProjectName]])*ProjectInfoTable[NumberOfReplications]))</f>
        <v>50</v>
      </c>
      <c r="O129" s="5" cm="1">
        <f t="array" ref="O129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129" s="5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129" s="5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129" s="5" cm="1">
        <f t="array" ref="S129">MIN(IF((ContinuousStatsTable[GroupByKey]=ContinuousStatsTable[[#This Row],[GroupByKey]]),(ContinuousStatsTable[GroupByKey]=ContinuousStatsTable[[#This Row],[GroupByKey]])*ContinuousStatsTable[Average]))</f>
        <v>0.60846830422583797</v>
      </c>
      <c r="T129" s="5" cm="1">
        <f t="array" ref="T129">MAX(IF((ContinuousStatsTable[GroupByKey]=ContinuousStatsTable[[#This Row],[GroupByKey]]),(ContinuousStatsTable[GroupByKey]=ContinuousStatsTable[[#This Row],[GroupByKey]])*ContinuousStatsTable[Average]))</f>
        <v>1</v>
      </c>
      <c r="U129" s="5">
        <f>IF((ContinuousStatsTable[[#This Row],[RepsRequested]]&gt;1),ContinuousStatsTable[[#This Row],[HalfWidth]],ContinuousStatsTable[[#This Row],[BatchMeansHalfWidth]])</f>
        <v>3.350588705034975E-2</v>
      </c>
    </row>
    <row r="130" spans="1:21" x14ac:dyDescent="0.35">
      <c r="A130" t="s">
        <v>66</v>
      </c>
      <c r="B130" t="s">
        <v>69</v>
      </c>
      <c r="C130">
        <v>26</v>
      </c>
      <c r="D130" t="s">
        <v>83</v>
      </c>
      <c r="E130" t="s">
        <v>86</v>
      </c>
      <c r="F130" t="s">
        <v>85</v>
      </c>
      <c r="G130">
        <v>0.97812131086793197</v>
      </c>
      <c r="H130">
        <v>2E+20</v>
      </c>
      <c r="I130">
        <v>0</v>
      </c>
      <c r="J130">
        <v>1</v>
      </c>
      <c r="K130">
        <v>1</v>
      </c>
      <c r="L130">
        <v>0</v>
      </c>
      <c r="M130" s="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130" s="5" cm="1">
        <f t="array" ref="N130">MAX(IF((ProjectInfoTable[ProjectName]=ContinuousStatsTable[[#This Row],[ProjectName]]),(ProjectInfoTable[ProjectName]=ContinuousStatsTable[[#This Row],[ProjectName]])*ProjectInfoTable[NumberOfReplications]))</f>
        <v>50</v>
      </c>
      <c r="O130" s="5" cm="1">
        <f t="array" ref="O130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130" s="5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130" s="5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130" s="5" cm="1">
        <f t="array" ref="S130">MIN(IF((ContinuousStatsTable[GroupByKey]=ContinuousStatsTable[[#This Row],[GroupByKey]]),(ContinuousStatsTable[GroupByKey]=ContinuousStatsTable[[#This Row],[GroupByKey]])*ContinuousStatsTable[Average]))</f>
        <v>0.60846830422583797</v>
      </c>
      <c r="T130" s="5" cm="1">
        <f t="array" ref="T130">MAX(IF((ContinuousStatsTable[GroupByKey]=ContinuousStatsTable[[#This Row],[GroupByKey]]),(ContinuousStatsTable[GroupByKey]=ContinuousStatsTable[[#This Row],[GroupByKey]])*ContinuousStatsTable[Average]))</f>
        <v>1</v>
      </c>
      <c r="U130" s="5">
        <f>IF((ContinuousStatsTable[[#This Row],[RepsRequested]]&gt;1),ContinuousStatsTable[[#This Row],[HalfWidth]],ContinuousStatsTable[[#This Row],[BatchMeansHalfWidth]])</f>
        <v>3.350588705034975E-2</v>
      </c>
    </row>
    <row r="131" spans="1:21" x14ac:dyDescent="0.35">
      <c r="A131" t="s">
        <v>66</v>
      </c>
      <c r="B131" t="s">
        <v>69</v>
      </c>
      <c r="C131">
        <v>26</v>
      </c>
      <c r="D131" t="s">
        <v>83</v>
      </c>
      <c r="E131" t="s">
        <v>87</v>
      </c>
      <c r="F131" t="s">
        <v>85</v>
      </c>
      <c r="G131">
        <v>1</v>
      </c>
      <c r="H131">
        <v>2E+20</v>
      </c>
      <c r="I131">
        <v>1</v>
      </c>
      <c r="J131">
        <v>1</v>
      </c>
      <c r="K131">
        <v>1</v>
      </c>
      <c r="L131">
        <v>0</v>
      </c>
      <c r="M131" s="5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131" s="5" cm="1">
        <f t="array" ref="N131">MAX(IF((ProjectInfoTable[ProjectName]=ContinuousStatsTable[[#This Row],[ProjectName]]),(ProjectInfoTable[ProjectName]=ContinuousStatsTable[[#This Row],[ProjectName]])*ProjectInfoTable[NumberOfReplications]))</f>
        <v>50</v>
      </c>
      <c r="O131" s="5" cm="1">
        <f t="array" ref="O131">IFERROR(AVERAGE(IF((ContinuousStatsTable[GroupByKey]=ContinuousStatsTable[[#This Row],[GroupByKey]]),(ContinuousStatsTable[GroupByKey]=ContinuousStatsTable[[#This Row],[GroupByKey]])*ContinuousStatsTable[Average])),0)</f>
        <v>1</v>
      </c>
      <c r="P131" s="5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0</v>
      </c>
      <c r="Q131" s="5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1" s="5" cm="1">
        <f t="array" ref="S131">MIN(IF((ContinuousStatsTable[GroupByKey]=ContinuousStatsTable[[#This Row],[GroupByKey]]),(ContinuousStatsTable[GroupByKey]=ContinuousStatsTable[[#This Row],[GroupByKey]])*ContinuousStatsTable[Average]))</f>
        <v>1</v>
      </c>
      <c r="T131" s="5" cm="1">
        <f t="array" ref="T131">MAX(IF((ContinuousStatsTable[GroupByKey]=ContinuousStatsTable[[#This Row],[GroupByKey]]),(ContinuousStatsTable[GroupByKey]=ContinuousStatsTable[[#This Row],[GroupByKey]])*ContinuousStatsTable[Average]))</f>
        <v>1</v>
      </c>
      <c r="U131" s="5">
        <f>IF((ContinuousStatsTable[[#This Row],[RepsRequested]]&gt;1),ContinuousStatsTable[[#This Row],[HalfWidth]],ContinuousStatsTable[[#This Row],[BatchMeansHalfWidth]])</f>
        <v>0</v>
      </c>
    </row>
    <row r="132" spans="1:21" x14ac:dyDescent="0.35">
      <c r="A132" t="s">
        <v>66</v>
      </c>
      <c r="B132" t="s">
        <v>69</v>
      </c>
      <c r="C132">
        <v>27</v>
      </c>
      <c r="D132" t="s">
        <v>70</v>
      </c>
      <c r="E132" t="s">
        <v>81</v>
      </c>
      <c r="F132" t="s">
        <v>72</v>
      </c>
      <c r="G132">
        <v>3.61546795029553</v>
      </c>
      <c r="H132">
        <v>2E+20</v>
      </c>
      <c r="I132">
        <v>0</v>
      </c>
      <c r="J132">
        <v>5</v>
      </c>
      <c r="K132">
        <v>3</v>
      </c>
      <c r="L132">
        <v>0</v>
      </c>
      <c r="M132" s="5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132" s="5" cm="1">
        <f t="array" ref="N132">MAX(IF((ProjectInfoTable[ProjectName]=ContinuousStatsTable[[#This Row],[ProjectName]]),(ProjectInfoTable[ProjectName]=ContinuousStatsTable[[#This Row],[ProjectName]])*ProjectInfoTable[NumberOfReplications]))</f>
        <v>50</v>
      </c>
      <c r="O132" s="5" cm="1">
        <f t="array" ref="O132">IFERROR(AVERAGE(IF((ContinuousStatsTable[GroupByKey]=ContinuousStatsTable[[#This Row],[GroupByKey]]),(ContinuousStatsTable[GroupByKey]=ContinuousStatsTable[[#This Row],[GroupByKey]])*ContinuousStatsTable[Average])),0)</f>
        <v>2.1996658161417075</v>
      </c>
      <c r="P132" s="5" cm="1">
        <f t="array" ref="P132">IFERROR(_xlfn.STDEV.S(IF((ContinuousStatsTable[GroupByKey]=ContinuousStatsTable[[#This Row],[GroupByKey]]),(ContinuousStatsTable[GroupByKey]=ContinuousStatsTable[[#This Row],[GroupByKey]])*ContinuousStatsTable[Average])),0)</f>
        <v>1.1994598865431718</v>
      </c>
      <c r="Q132" s="5" cm="1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0.34088272804883424</v>
      </c>
      <c r="S132" s="5" cm="1">
        <f t="array" ref="S132">MIN(IF((ContinuousStatsTable[GroupByKey]=ContinuousStatsTable[[#This Row],[GroupByKey]]),(ContinuousStatsTable[GroupByKey]=ContinuousStatsTable[[#This Row],[GroupByKey]])*ContinuousStatsTable[Average]))</f>
        <v>0.70499985227053297</v>
      </c>
      <c r="T132" s="5" cm="1">
        <f t="array" ref="T132">MAX(IF((ContinuousStatsTable[GroupByKey]=ContinuousStatsTable[[#This Row],[GroupByKey]]),(ContinuousStatsTable[GroupByKey]=ContinuousStatsTable[[#This Row],[GroupByKey]])*ContinuousStatsTable[Average]))</f>
        <v>6.3083923025689197</v>
      </c>
      <c r="U132" s="5">
        <f>IF((ContinuousStatsTable[[#This Row],[RepsRequested]]&gt;1),ContinuousStatsTable[[#This Row],[HalfWidth]],ContinuousStatsTable[[#This Row],[BatchMeansHalfWidth]])</f>
        <v>0.34088272804883424</v>
      </c>
    </row>
    <row r="133" spans="1:21" x14ac:dyDescent="0.35">
      <c r="A133" t="s">
        <v>66</v>
      </c>
      <c r="B133" t="s">
        <v>69</v>
      </c>
      <c r="C133">
        <v>27</v>
      </c>
      <c r="D133" t="s">
        <v>78</v>
      </c>
      <c r="E133" t="s">
        <v>82</v>
      </c>
      <c r="F133" t="s">
        <v>80</v>
      </c>
      <c r="G133">
        <v>2.61546795029553</v>
      </c>
      <c r="H133">
        <v>2E+20</v>
      </c>
      <c r="I133">
        <v>0</v>
      </c>
      <c r="J133">
        <v>4</v>
      </c>
      <c r="K133">
        <v>2</v>
      </c>
      <c r="L133">
        <v>0</v>
      </c>
      <c r="M133" s="5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133" s="5" cm="1">
        <f t="array" ref="N133">MAX(IF((ProjectInfoTable[ProjectName]=ContinuousStatsTable[[#This Row],[ProjectName]]),(ProjectInfoTable[ProjectName]=ContinuousStatsTable[[#This Row],[ProjectName]])*ProjectInfoTable[NumberOfReplications]))</f>
        <v>50</v>
      </c>
      <c r="O133" s="5" cm="1">
        <f t="array" ref="O133">IFERROR(AVERAGE(IF((ContinuousStatsTable[GroupByKey]=ContinuousStatsTable[[#This Row],[GroupByKey]]),(ContinuousStatsTable[GroupByKey]=ContinuousStatsTable[[#This Row],[GroupByKey]])*ContinuousStatsTable[Average])),0)</f>
        <v>1.2732860367273062</v>
      </c>
      <c r="P133" s="5" cm="1">
        <f t="array" ref="P133">IFERROR(_xlfn.STDEV.S(IF((ContinuousStatsTable[GroupByKey]=ContinuousStatsTable[[#This Row],[GroupByKey]]),(ContinuousStatsTable[GroupByKey]=ContinuousStatsTable[[#This Row],[GroupByKey]])*ContinuousStatsTable[Average])),0)</f>
        <v>1.137870000737736</v>
      </c>
      <c r="Q133" s="5" cm="1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0.32337907617258832</v>
      </c>
      <c r="S133" s="5" cm="1">
        <f t="array" ref="S133">MIN(IF((ContinuousStatsTable[GroupByKey]=ContinuousStatsTable[[#This Row],[GroupByKey]]),(ContinuousStatsTable[GroupByKey]=ContinuousStatsTable[[#This Row],[GroupByKey]])*ContinuousStatsTable[Average]))</f>
        <v>0</v>
      </c>
      <c r="T133" s="5" cm="1">
        <f t="array" ref="T133">MAX(IF((ContinuousStatsTable[GroupByKey]=ContinuousStatsTable[[#This Row],[GroupByKey]]),(ContinuousStatsTable[GroupByKey]=ContinuousStatsTable[[#This Row],[GroupByKey]])*ContinuousStatsTable[Average]))</f>
        <v>5.3083923025689197</v>
      </c>
      <c r="U133" s="5">
        <f>IF((ContinuousStatsTable[[#This Row],[RepsRequested]]&gt;1),ContinuousStatsTable[[#This Row],[HalfWidth]],ContinuousStatsTable[[#This Row],[BatchMeansHalfWidth]])</f>
        <v>0.32337907617258832</v>
      </c>
    </row>
    <row r="134" spans="1:21" x14ac:dyDescent="0.35">
      <c r="A134" t="s">
        <v>66</v>
      </c>
      <c r="B134" t="s">
        <v>69</v>
      </c>
      <c r="C134">
        <v>27</v>
      </c>
      <c r="D134" t="s">
        <v>83</v>
      </c>
      <c r="E134" t="s">
        <v>84</v>
      </c>
      <c r="F134" t="s">
        <v>85</v>
      </c>
      <c r="G134">
        <v>1</v>
      </c>
      <c r="H134">
        <v>2E+20</v>
      </c>
      <c r="I134">
        <v>0</v>
      </c>
      <c r="J134">
        <v>1</v>
      </c>
      <c r="K134">
        <v>1</v>
      </c>
      <c r="L134">
        <v>0</v>
      </c>
      <c r="M134" s="5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134" s="5" cm="1">
        <f t="array" ref="N134">MAX(IF((ProjectInfoTable[ProjectName]=ContinuousStatsTable[[#This Row],[ProjectName]]),(ProjectInfoTable[ProjectName]=ContinuousStatsTable[[#This Row],[ProjectName]])*ProjectInfoTable[NumberOfReplications]))</f>
        <v>50</v>
      </c>
      <c r="O134" s="5" cm="1">
        <f t="array" ref="O134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134" s="5" cm="1">
        <f t="array" ref="P134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134" s="5" cm="1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134" s="5" cm="1">
        <f t="array" ref="S134">MIN(IF((ContinuousStatsTable[GroupByKey]=ContinuousStatsTable[[#This Row],[GroupByKey]]),(ContinuousStatsTable[GroupByKey]=ContinuousStatsTable[[#This Row],[GroupByKey]])*ContinuousStatsTable[Average]))</f>
        <v>0.60846830422583797</v>
      </c>
      <c r="T134" s="5" cm="1">
        <f t="array" ref="T134">MAX(IF((ContinuousStatsTable[GroupByKey]=ContinuousStatsTable[[#This Row],[GroupByKey]]),(ContinuousStatsTable[GroupByKey]=ContinuousStatsTable[[#This Row],[GroupByKey]])*ContinuousStatsTable[Average]))</f>
        <v>1</v>
      </c>
      <c r="U134" s="5">
        <f>IF((ContinuousStatsTable[[#This Row],[RepsRequested]]&gt;1),ContinuousStatsTable[[#This Row],[HalfWidth]],ContinuousStatsTable[[#This Row],[BatchMeansHalfWidth]])</f>
        <v>3.350588705034975E-2</v>
      </c>
    </row>
    <row r="135" spans="1:21" x14ac:dyDescent="0.35">
      <c r="A135" t="s">
        <v>66</v>
      </c>
      <c r="B135" t="s">
        <v>69</v>
      </c>
      <c r="C135">
        <v>27</v>
      </c>
      <c r="D135" t="s">
        <v>83</v>
      </c>
      <c r="E135" t="s">
        <v>86</v>
      </c>
      <c r="F135" t="s">
        <v>85</v>
      </c>
      <c r="G135">
        <v>1</v>
      </c>
      <c r="H135">
        <v>2E+20</v>
      </c>
      <c r="I135">
        <v>0</v>
      </c>
      <c r="J135">
        <v>1</v>
      </c>
      <c r="K135">
        <v>1</v>
      </c>
      <c r="L135">
        <v>0</v>
      </c>
      <c r="M135" s="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135" s="5" cm="1">
        <f t="array" ref="N135">MAX(IF((ProjectInfoTable[ProjectName]=ContinuousStatsTable[[#This Row],[ProjectName]]),(ProjectInfoTable[ProjectName]=ContinuousStatsTable[[#This Row],[ProjectName]])*ProjectInfoTable[NumberOfReplications]))</f>
        <v>50</v>
      </c>
      <c r="O135" s="5" cm="1">
        <f t="array" ref="O135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135" s="5" cm="1">
        <f t="array" ref="P135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135" s="5" cm="1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135" s="5" cm="1">
        <f t="array" ref="S135">MIN(IF((ContinuousStatsTable[GroupByKey]=ContinuousStatsTable[[#This Row],[GroupByKey]]),(ContinuousStatsTable[GroupByKey]=ContinuousStatsTable[[#This Row],[GroupByKey]])*ContinuousStatsTable[Average]))</f>
        <v>0.60846830422583797</v>
      </c>
      <c r="T135" s="5" cm="1">
        <f t="array" ref="T135">MAX(IF((ContinuousStatsTable[GroupByKey]=ContinuousStatsTable[[#This Row],[GroupByKey]]),(ContinuousStatsTable[GroupByKey]=ContinuousStatsTable[[#This Row],[GroupByKey]])*ContinuousStatsTable[Average]))</f>
        <v>1</v>
      </c>
      <c r="U135" s="5">
        <f>IF((ContinuousStatsTable[[#This Row],[RepsRequested]]&gt;1),ContinuousStatsTable[[#This Row],[HalfWidth]],ContinuousStatsTable[[#This Row],[BatchMeansHalfWidth]])</f>
        <v>3.350588705034975E-2</v>
      </c>
    </row>
    <row r="136" spans="1:21" x14ac:dyDescent="0.35">
      <c r="A136" t="s">
        <v>66</v>
      </c>
      <c r="B136" t="s">
        <v>69</v>
      </c>
      <c r="C136">
        <v>27</v>
      </c>
      <c r="D136" t="s">
        <v>83</v>
      </c>
      <c r="E136" t="s">
        <v>87</v>
      </c>
      <c r="F136" t="s">
        <v>85</v>
      </c>
      <c r="G136">
        <v>1</v>
      </c>
      <c r="H136">
        <v>2E+20</v>
      </c>
      <c r="I136">
        <v>1</v>
      </c>
      <c r="J136">
        <v>1</v>
      </c>
      <c r="K136">
        <v>1</v>
      </c>
      <c r="L136">
        <v>0</v>
      </c>
      <c r="M136" s="5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136" s="5" cm="1">
        <f t="array" ref="N136">MAX(IF((ProjectInfoTable[ProjectName]=ContinuousStatsTable[[#This Row],[ProjectName]]),(ProjectInfoTable[ProjectName]=ContinuousStatsTable[[#This Row],[ProjectName]])*ProjectInfoTable[NumberOfReplications]))</f>
        <v>50</v>
      </c>
      <c r="O136" s="5" cm="1">
        <f t="array" ref="O136">IFERROR(AVERAGE(IF((ContinuousStatsTable[GroupByKey]=ContinuousStatsTable[[#This Row],[GroupByKey]]),(ContinuousStatsTable[GroupByKey]=ContinuousStatsTable[[#This Row],[GroupByKey]])*ContinuousStatsTable[Average])),0)</f>
        <v>1</v>
      </c>
      <c r="P136" s="5" cm="1">
        <f t="array" ref="P136">IFERROR(_xlfn.STDEV.S(IF((ContinuousStatsTable[GroupByKey]=ContinuousStatsTable[[#This Row],[GroupByKey]]),(ContinuousStatsTable[GroupByKey]=ContinuousStatsTable[[#This Row],[GroupByKey]])*ContinuousStatsTable[Average])),0)</f>
        <v>0</v>
      </c>
      <c r="Q136" s="5" cm="1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6" s="5" cm="1">
        <f t="array" ref="S136">MIN(IF((ContinuousStatsTable[GroupByKey]=ContinuousStatsTable[[#This Row],[GroupByKey]]),(ContinuousStatsTable[GroupByKey]=ContinuousStatsTable[[#This Row],[GroupByKey]])*ContinuousStatsTable[Average]))</f>
        <v>1</v>
      </c>
      <c r="T136" s="5" cm="1">
        <f t="array" ref="T136">MAX(IF((ContinuousStatsTable[GroupByKey]=ContinuousStatsTable[[#This Row],[GroupByKey]]),(ContinuousStatsTable[GroupByKey]=ContinuousStatsTable[[#This Row],[GroupByKey]])*ContinuousStatsTable[Average]))</f>
        <v>1</v>
      </c>
      <c r="U136" s="5">
        <f>IF((ContinuousStatsTable[[#This Row],[RepsRequested]]&gt;1),ContinuousStatsTable[[#This Row],[HalfWidth]],ContinuousStatsTable[[#This Row],[BatchMeansHalfWidth]])</f>
        <v>0</v>
      </c>
    </row>
    <row r="137" spans="1:21" x14ac:dyDescent="0.35">
      <c r="A137" t="s">
        <v>66</v>
      </c>
      <c r="B137" t="s">
        <v>69</v>
      </c>
      <c r="C137">
        <v>28</v>
      </c>
      <c r="D137" t="s">
        <v>70</v>
      </c>
      <c r="E137" t="s">
        <v>81</v>
      </c>
      <c r="F137" t="s">
        <v>72</v>
      </c>
      <c r="G137">
        <v>1.4432191268771299</v>
      </c>
      <c r="H137">
        <v>2E+20</v>
      </c>
      <c r="I137">
        <v>0</v>
      </c>
      <c r="J137">
        <v>3</v>
      </c>
      <c r="K137">
        <v>1</v>
      </c>
      <c r="L137">
        <v>0</v>
      </c>
      <c r="M137" s="5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137" s="5" cm="1">
        <f t="array" ref="N137">MAX(IF((ProjectInfoTable[ProjectName]=ContinuousStatsTable[[#This Row],[ProjectName]]),(ProjectInfoTable[ProjectName]=ContinuousStatsTable[[#This Row],[ProjectName]])*ProjectInfoTable[NumberOfReplications]))</f>
        <v>50</v>
      </c>
      <c r="O137" s="5" cm="1">
        <f t="array" ref="O137">IFERROR(AVERAGE(IF((ContinuousStatsTable[GroupByKey]=ContinuousStatsTable[[#This Row],[GroupByKey]]),(ContinuousStatsTable[GroupByKey]=ContinuousStatsTable[[#This Row],[GroupByKey]])*ContinuousStatsTable[Average])),0)</f>
        <v>2.1996658161417075</v>
      </c>
      <c r="P137" s="5" cm="1">
        <f t="array" ref="P137">IFERROR(_xlfn.STDEV.S(IF((ContinuousStatsTable[GroupByKey]=ContinuousStatsTable[[#This Row],[GroupByKey]]),(ContinuousStatsTable[GroupByKey]=ContinuousStatsTable[[#This Row],[GroupByKey]])*ContinuousStatsTable[Average])),0)</f>
        <v>1.1994598865431718</v>
      </c>
      <c r="Q137" s="5" cm="1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0.34088272804883424</v>
      </c>
      <c r="S137" s="5" cm="1">
        <f t="array" ref="S137">MIN(IF((ContinuousStatsTable[GroupByKey]=ContinuousStatsTable[[#This Row],[GroupByKey]]),(ContinuousStatsTable[GroupByKey]=ContinuousStatsTable[[#This Row],[GroupByKey]])*ContinuousStatsTable[Average]))</f>
        <v>0.70499985227053297</v>
      </c>
      <c r="T137" s="5" cm="1">
        <f t="array" ref="T137">MAX(IF((ContinuousStatsTable[GroupByKey]=ContinuousStatsTable[[#This Row],[GroupByKey]]),(ContinuousStatsTable[GroupByKey]=ContinuousStatsTable[[#This Row],[GroupByKey]])*ContinuousStatsTable[Average]))</f>
        <v>6.3083923025689197</v>
      </c>
      <c r="U137" s="5">
        <f>IF((ContinuousStatsTable[[#This Row],[RepsRequested]]&gt;1),ContinuousStatsTable[[#This Row],[HalfWidth]],ContinuousStatsTable[[#This Row],[BatchMeansHalfWidth]])</f>
        <v>0.34088272804883424</v>
      </c>
    </row>
    <row r="138" spans="1:21" x14ac:dyDescent="0.35">
      <c r="A138" t="s">
        <v>66</v>
      </c>
      <c r="B138" t="s">
        <v>69</v>
      </c>
      <c r="C138">
        <v>28</v>
      </c>
      <c r="D138" t="s">
        <v>78</v>
      </c>
      <c r="E138" t="s">
        <v>82</v>
      </c>
      <c r="F138" t="s">
        <v>80</v>
      </c>
      <c r="G138">
        <v>0.443219126877134</v>
      </c>
      <c r="H138">
        <v>2E+20</v>
      </c>
      <c r="I138">
        <v>0</v>
      </c>
      <c r="J138">
        <v>2</v>
      </c>
      <c r="K138">
        <v>0</v>
      </c>
      <c r="L138">
        <v>0</v>
      </c>
      <c r="M138" s="5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138" s="5" cm="1">
        <f t="array" ref="N138">MAX(IF((ProjectInfoTable[ProjectName]=ContinuousStatsTable[[#This Row],[ProjectName]]),(ProjectInfoTable[ProjectName]=ContinuousStatsTable[[#This Row],[ProjectName]])*ProjectInfoTable[NumberOfReplications]))</f>
        <v>50</v>
      </c>
      <c r="O138" s="5" cm="1">
        <f t="array" ref="O138">IFERROR(AVERAGE(IF((ContinuousStatsTable[GroupByKey]=ContinuousStatsTable[[#This Row],[GroupByKey]]),(ContinuousStatsTable[GroupByKey]=ContinuousStatsTable[[#This Row],[GroupByKey]])*ContinuousStatsTable[Average])),0)</f>
        <v>1.2732860367273062</v>
      </c>
      <c r="P138" s="5" cm="1">
        <f t="array" ref="P138">IFERROR(_xlfn.STDEV.S(IF((ContinuousStatsTable[GroupByKey]=ContinuousStatsTable[[#This Row],[GroupByKey]]),(ContinuousStatsTable[GroupByKey]=ContinuousStatsTable[[#This Row],[GroupByKey]])*ContinuousStatsTable[Average])),0)</f>
        <v>1.137870000737736</v>
      </c>
      <c r="Q138" s="5" cm="1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0.32337907617258832</v>
      </c>
      <c r="S138" s="5" cm="1">
        <f t="array" ref="S138">MIN(IF((ContinuousStatsTable[GroupByKey]=ContinuousStatsTable[[#This Row],[GroupByKey]]),(ContinuousStatsTable[GroupByKey]=ContinuousStatsTable[[#This Row],[GroupByKey]])*ContinuousStatsTable[Average]))</f>
        <v>0</v>
      </c>
      <c r="T138" s="5" cm="1">
        <f t="array" ref="T138">MAX(IF((ContinuousStatsTable[GroupByKey]=ContinuousStatsTable[[#This Row],[GroupByKey]]),(ContinuousStatsTable[GroupByKey]=ContinuousStatsTable[[#This Row],[GroupByKey]])*ContinuousStatsTable[Average]))</f>
        <v>5.3083923025689197</v>
      </c>
      <c r="U138" s="5">
        <f>IF((ContinuousStatsTable[[#This Row],[RepsRequested]]&gt;1),ContinuousStatsTable[[#This Row],[HalfWidth]],ContinuousStatsTable[[#This Row],[BatchMeansHalfWidth]])</f>
        <v>0.32337907617258832</v>
      </c>
    </row>
    <row r="139" spans="1:21" x14ac:dyDescent="0.35">
      <c r="A139" t="s">
        <v>66</v>
      </c>
      <c r="B139" t="s">
        <v>69</v>
      </c>
      <c r="C139">
        <v>28</v>
      </c>
      <c r="D139" t="s">
        <v>83</v>
      </c>
      <c r="E139" t="s">
        <v>84</v>
      </c>
      <c r="F139" t="s">
        <v>85</v>
      </c>
      <c r="G139">
        <v>1</v>
      </c>
      <c r="H139">
        <v>2E+20</v>
      </c>
      <c r="I139">
        <v>0</v>
      </c>
      <c r="J139">
        <v>1</v>
      </c>
      <c r="K139">
        <v>1</v>
      </c>
      <c r="L139">
        <v>0</v>
      </c>
      <c r="M139" s="5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139" s="5" cm="1">
        <f t="array" ref="N139">MAX(IF((ProjectInfoTable[ProjectName]=ContinuousStatsTable[[#This Row],[ProjectName]]),(ProjectInfoTable[ProjectName]=ContinuousStatsTable[[#This Row],[ProjectName]])*ProjectInfoTable[NumberOfReplications]))</f>
        <v>50</v>
      </c>
      <c r="O139" s="5" cm="1">
        <f t="array" ref="O139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139" s="5" cm="1">
        <f t="array" ref="P139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139" s="5" cm="1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139" s="5" cm="1">
        <f t="array" ref="S139">MIN(IF((ContinuousStatsTable[GroupByKey]=ContinuousStatsTable[[#This Row],[GroupByKey]]),(ContinuousStatsTable[GroupByKey]=ContinuousStatsTable[[#This Row],[GroupByKey]])*ContinuousStatsTable[Average]))</f>
        <v>0.60846830422583797</v>
      </c>
      <c r="T139" s="5" cm="1">
        <f t="array" ref="T139">MAX(IF((ContinuousStatsTable[GroupByKey]=ContinuousStatsTable[[#This Row],[GroupByKey]]),(ContinuousStatsTable[GroupByKey]=ContinuousStatsTable[[#This Row],[GroupByKey]])*ContinuousStatsTable[Average]))</f>
        <v>1</v>
      </c>
      <c r="U139" s="5">
        <f>IF((ContinuousStatsTable[[#This Row],[RepsRequested]]&gt;1),ContinuousStatsTable[[#This Row],[HalfWidth]],ContinuousStatsTable[[#This Row],[BatchMeansHalfWidth]])</f>
        <v>3.350588705034975E-2</v>
      </c>
    </row>
    <row r="140" spans="1:21" x14ac:dyDescent="0.35">
      <c r="A140" t="s">
        <v>66</v>
      </c>
      <c r="B140" t="s">
        <v>69</v>
      </c>
      <c r="C140">
        <v>28</v>
      </c>
      <c r="D140" t="s">
        <v>83</v>
      </c>
      <c r="E140" t="s">
        <v>86</v>
      </c>
      <c r="F140" t="s">
        <v>85</v>
      </c>
      <c r="G140">
        <v>1</v>
      </c>
      <c r="H140">
        <v>2E+20</v>
      </c>
      <c r="I140">
        <v>0</v>
      </c>
      <c r="J140">
        <v>1</v>
      </c>
      <c r="K140">
        <v>1</v>
      </c>
      <c r="L140">
        <v>0</v>
      </c>
      <c r="M140" s="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140" s="5" cm="1">
        <f t="array" ref="N140">MAX(IF((ProjectInfoTable[ProjectName]=ContinuousStatsTable[[#This Row],[ProjectName]]),(ProjectInfoTable[ProjectName]=ContinuousStatsTable[[#This Row],[ProjectName]])*ProjectInfoTable[NumberOfReplications]))</f>
        <v>50</v>
      </c>
      <c r="O140" s="5" cm="1">
        <f t="array" ref="O140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140" s="5" cm="1">
        <f t="array" ref="P140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140" s="5" cm="1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140" s="5" cm="1">
        <f t="array" ref="S140">MIN(IF((ContinuousStatsTable[GroupByKey]=ContinuousStatsTable[[#This Row],[GroupByKey]]),(ContinuousStatsTable[GroupByKey]=ContinuousStatsTable[[#This Row],[GroupByKey]])*ContinuousStatsTable[Average]))</f>
        <v>0.60846830422583797</v>
      </c>
      <c r="T140" s="5" cm="1">
        <f t="array" ref="T140">MAX(IF((ContinuousStatsTable[GroupByKey]=ContinuousStatsTable[[#This Row],[GroupByKey]]),(ContinuousStatsTable[GroupByKey]=ContinuousStatsTable[[#This Row],[GroupByKey]])*ContinuousStatsTable[Average]))</f>
        <v>1</v>
      </c>
      <c r="U140" s="5">
        <f>IF((ContinuousStatsTable[[#This Row],[RepsRequested]]&gt;1),ContinuousStatsTable[[#This Row],[HalfWidth]],ContinuousStatsTable[[#This Row],[BatchMeansHalfWidth]])</f>
        <v>3.350588705034975E-2</v>
      </c>
    </row>
    <row r="141" spans="1:21" x14ac:dyDescent="0.35">
      <c r="A141" t="s">
        <v>66</v>
      </c>
      <c r="B141" t="s">
        <v>69</v>
      </c>
      <c r="C141">
        <v>28</v>
      </c>
      <c r="D141" t="s">
        <v>83</v>
      </c>
      <c r="E141" t="s">
        <v>87</v>
      </c>
      <c r="F141" t="s">
        <v>85</v>
      </c>
      <c r="G141">
        <v>1</v>
      </c>
      <c r="H141">
        <v>2E+20</v>
      </c>
      <c r="I141">
        <v>1</v>
      </c>
      <c r="J141">
        <v>1</v>
      </c>
      <c r="K141">
        <v>1</v>
      </c>
      <c r="L141">
        <v>0</v>
      </c>
      <c r="M141" s="5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141" s="5" cm="1">
        <f t="array" ref="N141">MAX(IF((ProjectInfoTable[ProjectName]=ContinuousStatsTable[[#This Row],[ProjectName]]),(ProjectInfoTable[ProjectName]=ContinuousStatsTable[[#This Row],[ProjectName]])*ProjectInfoTable[NumberOfReplications]))</f>
        <v>50</v>
      </c>
      <c r="O141" s="5" cm="1">
        <f t="array" ref="O141">IFERROR(AVERAGE(IF((ContinuousStatsTable[GroupByKey]=ContinuousStatsTable[[#This Row],[GroupByKey]]),(ContinuousStatsTable[GroupByKey]=ContinuousStatsTable[[#This Row],[GroupByKey]])*ContinuousStatsTable[Average])),0)</f>
        <v>1</v>
      </c>
      <c r="P141" s="5" cm="1">
        <f t="array" ref="P141">IFERROR(_xlfn.STDEV.S(IF((ContinuousStatsTable[GroupByKey]=ContinuousStatsTable[[#This Row],[GroupByKey]]),(ContinuousStatsTable[GroupByKey]=ContinuousStatsTable[[#This Row],[GroupByKey]])*ContinuousStatsTable[Average])),0)</f>
        <v>0</v>
      </c>
      <c r="Q141" s="5" cm="1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1" s="5" cm="1">
        <f t="array" ref="S141">MIN(IF((ContinuousStatsTable[GroupByKey]=ContinuousStatsTable[[#This Row],[GroupByKey]]),(ContinuousStatsTable[GroupByKey]=ContinuousStatsTable[[#This Row],[GroupByKey]])*ContinuousStatsTable[Average]))</f>
        <v>1</v>
      </c>
      <c r="T141" s="5" cm="1">
        <f t="array" ref="T141">MAX(IF((ContinuousStatsTable[GroupByKey]=ContinuousStatsTable[[#This Row],[GroupByKey]]),(ContinuousStatsTable[GroupByKey]=ContinuousStatsTable[[#This Row],[GroupByKey]])*ContinuousStatsTable[Average]))</f>
        <v>1</v>
      </c>
      <c r="U141" s="5">
        <f>IF((ContinuousStatsTable[[#This Row],[RepsRequested]]&gt;1),ContinuousStatsTable[[#This Row],[HalfWidth]],ContinuousStatsTable[[#This Row],[BatchMeansHalfWidth]])</f>
        <v>0</v>
      </c>
    </row>
    <row r="142" spans="1:21" x14ac:dyDescent="0.35">
      <c r="A142" t="s">
        <v>66</v>
      </c>
      <c r="B142" t="s">
        <v>69</v>
      </c>
      <c r="C142">
        <v>29</v>
      </c>
      <c r="D142" t="s">
        <v>70</v>
      </c>
      <c r="E142" t="s">
        <v>81</v>
      </c>
      <c r="F142" t="s">
        <v>72</v>
      </c>
      <c r="G142">
        <v>3.1424566657800099</v>
      </c>
      <c r="H142">
        <v>2E+20</v>
      </c>
      <c r="I142">
        <v>0</v>
      </c>
      <c r="J142">
        <v>5</v>
      </c>
      <c r="K142">
        <v>4</v>
      </c>
      <c r="L142">
        <v>0</v>
      </c>
      <c r="M142" s="5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142" s="5" cm="1">
        <f t="array" ref="N142">MAX(IF((ProjectInfoTable[ProjectName]=ContinuousStatsTable[[#This Row],[ProjectName]]),(ProjectInfoTable[ProjectName]=ContinuousStatsTable[[#This Row],[ProjectName]])*ProjectInfoTable[NumberOfReplications]))</f>
        <v>50</v>
      </c>
      <c r="O142" s="5" cm="1">
        <f t="array" ref="O142">IFERROR(AVERAGE(IF((ContinuousStatsTable[GroupByKey]=ContinuousStatsTable[[#This Row],[GroupByKey]]),(ContinuousStatsTable[GroupByKey]=ContinuousStatsTable[[#This Row],[GroupByKey]])*ContinuousStatsTable[Average])),0)</f>
        <v>2.1996658161417075</v>
      </c>
      <c r="P142" s="5" cm="1">
        <f t="array" ref="P142">IFERROR(_xlfn.STDEV.S(IF((ContinuousStatsTable[GroupByKey]=ContinuousStatsTable[[#This Row],[GroupByKey]]),(ContinuousStatsTable[GroupByKey]=ContinuousStatsTable[[#This Row],[GroupByKey]])*ContinuousStatsTable[Average])),0)</f>
        <v>1.1994598865431718</v>
      </c>
      <c r="Q142" s="5" cm="1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0.34088272804883424</v>
      </c>
      <c r="S142" s="5" cm="1">
        <f t="array" ref="S142">MIN(IF((ContinuousStatsTable[GroupByKey]=ContinuousStatsTable[[#This Row],[GroupByKey]]),(ContinuousStatsTable[GroupByKey]=ContinuousStatsTable[[#This Row],[GroupByKey]])*ContinuousStatsTable[Average]))</f>
        <v>0.70499985227053297</v>
      </c>
      <c r="T142" s="5" cm="1">
        <f t="array" ref="T142">MAX(IF((ContinuousStatsTable[GroupByKey]=ContinuousStatsTable[[#This Row],[GroupByKey]]),(ContinuousStatsTable[GroupByKey]=ContinuousStatsTable[[#This Row],[GroupByKey]])*ContinuousStatsTable[Average]))</f>
        <v>6.3083923025689197</v>
      </c>
      <c r="U142" s="5">
        <f>IF((ContinuousStatsTable[[#This Row],[RepsRequested]]&gt;1),ContinuousStatsTable[[#This Row],[HalfWidth]],ContinuousStatsTable[[#This Row],[BatchMeansHalfWidth]])</f>
        <v>0.34088272804883424</v>
      </c>
    </row>
    <row r="143" spans="1:21" x14ac:dyDescent="0.35">
      <c r="A143" t="s">
        <v>66</v>
      </c>
      <c r="B143" t="s">
        <v>69</v>
      </c>
      <c r="C143">
        <v>29</v>
      </c>
      <c r="D143" t="s">
        <v>78</v>
      </c>
      <c r="E143" t="s">
        <v>82</v>
      </c>
      <c r="F143" t="s">
        <v>80</v>
      </c>
      <c r="G143">
        <v>2.1424566657800099</v>
      </c>
      <c r="H143">
        <v>2E+20</v>
      </c>
      <c r="I143">
        <v>0</v>
      </c>
      <c r="J143">
        <v>4</v>
      </c>
      <c r="K143">
        <v>3</v>
      </c>
      <c r="L143">
        <v>0</v>
      </c>
      <c r="M143" s="5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143" s="5" cm="1">
        <f t="array" ref="N143">MAX(IF((ProjectInfoTable[ProjectName]=ContinuousStatsTable[[#This Row],[ProjectName]]),(ProjectInfoTable[ProjectName]=ContinuousStatsTable[[#This Row],[ProjectName]])*ProjectInfoTable[NumberOfReplications]))</f>
        <v>50</v>
      </c>
      <c r="O143" s="5" cm="1">
        <f t="array" ref="O143">IFERROR(AVERAGE(IF((ContinuousStatsTable[GroupByKey]=ContinuousStatsTable[[#This Row],[GroupByKey]]),(ContinuousStatsTable[GroupByKey]=ContinuousStatsTable[[#This Row],[GroupByKey]])*ContinuousStatsTable[Average])),0)</f>
        <v>1.2732860367273062</v>
      </c>
      <c r="P143" s="5" cm="1">
        <f t="array" ref="P143">IFERROR(_xlfn.STDEV.S(IF((ContinuousStatsTable[GroupByKey]=ContinuousStatsTable[[#This Row],[GroupByKey]]),(ContinuousStatsTable[GroupByKey]=ContinuousStatsTable[[#This Row],[GroupByKey]])*ContinuousStatsTable[Average])),0)</f>
        <v>1.137870000737736</v>
      </c>
      <c r="Q143" s="5" cm="1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0.32337907617258832</v>
      </c>
      <c r="S143" s="5" cm="1">
        <f t="array" ref="S143">MIN(IF((ContinuousStatsTable[GroupByKey]=ContinuousStatsTable[[#This Row],[GroupByKey]]),(ContinuousStatsTable[GroupByKey]=ContinuousStatsTable[[#This Row],[GroupByKey]])*ContinuousStatsTable[Average]))</f>
        <v>0</v>
      </c>
      <c r="T143" s="5" cm="1">
        <f t="array" ref="T143">MAX(IF((ContinuousStatsTable[GroupByKey]=ContinuousStatsTable[[#This Row],[GroupByKey]]),(ContinuousStatsTable[GroupByKey]=ContinuousStatsTable[[#This Row],[GroupByKey]])*ContinuousStatsTable[Average]))</f>
        <v>5.3083923025689197</v>
      </c>
      <c r="U143" s="5">
        <f>IF((ContinuousStatsTable[[#This Row],[RepsRequested]]&gt;1),ContinuousStatsTable[[#This Row],[HalfWidth]],ContinuousStatsTable[[#This Row],[BatchMeansHalfWidth]])</f>
        <v>0.32337907617258832</v>
      </c>
    </row>
    <row r="144" spans="1:21" x14ac:dyDescent="0.35">
      <c r="A144" t="s">
        <v>66</v>
      </c>
      <c r="B144" t="s">
        <v>69</v>
      </c>
      <c r="C144">
        <v>29</v>
      </c>
      <c r="D144" t="s">
        <v>83</v>
      </c>
      <c r="E144" t="s">
        <v>84</v>
      </c>
      <c r="F144" t="s">
        <v>85</v>
      </c>
      <c r="G144">
        <v>1</v>
      </c>
      <c r="H144">
        <v>2E+20</v>
      </c>
      <c r="I144">
        <v>0</v>
      </c>
      <c r="J144">
        <v>1</v>
      </c>
      <c r="K144">
        <v>1</v>
      </c>
      <c r="L144">
        <v>0</v>
      </c>
      <c r="M144" s="5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144" s="5" cm="1">
        <f t="array" ref="N144">MAX(IF((ProjectInfoTable[ProjectName]=ContinuousStatsTable[[#This Row],[ProjectName]]),(ProjectInfoTable[ProjectName]=ContinuousStatsTable[[#This Row],[ProjectName]])*ProjectInfoTable[NumberOfReplications]))</f>
        <v>50</v>
      </c>
      <c r="O144" s="5" cm="1">
        <f t="array" ref="O144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144" s="5" cm="1">
        <f t="array" ref="P144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144" s="5" cm="1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144" s="5" cm="1">
        <f t="array" ref="S144">MIN(IF((ContinuousStatsTable[GroupByKey]=ContinuousStatsTable[[#This Row],[GroupByKey]]),(ContinuousStatsTable[GroupByKey]=ContinuousStatsTable[[#This Row],[GroupByKey]])*ContinuousStatsTable[Average]))</f>
        <v>0.60846830422583797</v>
      </c>
      <c r="T144" s="5" cm="1">
        <f t="array" ref="T144">MAX(IF((ContinuousStatsTable[GroupByKey]=ContinuousStatsTable[[#This Row],[GroupByKey]]),(ContinuousStatsTable[GroupByKey]=ContinuousStatsTable[[#This Row],[GroupByKey]])*ContinuousStatsTable[Average]))</f>
        <v>1</v>
      </c>
      <c r="U144" s="5">
        <f>IF((ContinuousStatsTable[[#This Row],[RepsRequested]]&gt;1),ContinuousStatsTable[[#This Row],[HalfWidth]],ContinuousStatsTable[[#This Row],[BatchMeansHalfWidth]])</f>
        <v>3.350588705034975E-2</v>
      </c>
    </row>
    <row r="145" spans="1:21" x14ac:dyDescent="0.35">
      <c r="A145" t="s">
        <v>66</v>
      </c>
      <c r="B145" t="s">
        <v>69</v>
      </c>
      <c r="C145">
        <v>29</v>
      </c>
      <c r="D145" t="s">
        <v>83</v>
      </c>
      <c r="E145" t="s">
        <v>86</v>
      </c>
      <c r="F145" t="s">
        <v>85</v>
      </c>
      <c r="G145">
        <v>1</v>
      </c>
      <c r="H145">
        <v>2E+20</v>
      </c>
      <c r="I145">
        <v>0</v>
      </c>
      <c r="J145">
        <v>1</v>
      </c>
      <c r="K145">
        <v>1</v>
      </c>
      <c r="L145">
        <v>0</v>
      </c>
      <c r="M145" s="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145" s="5" cm="1">
        <f t="array" ref="N145">MAX(IF((ProjectInfoTable[ProjectName]=ContinuousStatsTable[[#This Row],[ProjectName]]),(ProjectInfoTable[ProjectName]=ContinuousStatsTable[[#This Row],[ProjectName]])*ProjectInfoTable[NumberOfReplications]))</f>
        <v>50</v>
      </c>
      <c r="O145" s="5" cm="1">
        <f t="array" ref="O145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145" s="5" cm="1">
        <f t="array" ref="P145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145" s="5" cm="1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145" s="5" cm="1">
        <f t="array" ref="S145">MIN(IF((ContinuousStatsTable[GroupByKey]=ContinuousStatsTable[[#This Row],[GroupByKey]]),(ContinuousStatsTable[GroupByKey]=ContinuousStatsTable[[#This Row],[GroupByKey]])*ContinuousStatsTable[Average]))</f>
        <v>0.60846830422583797</v>
      </c>
      <c r="T145" s="5" cm="1">
        <f t="array" ref="T145">MAX(IF((ContinuousStatsTable[GroupByKey]=ContinuousStatsTable[[#This Row],[GroupByKey]]),(ContinuousStatsTable[GroupByKey]=ContinuousStatsTable[[#This Row],[GroupByKey]])*ContinuousStatsTable[Average]))</f>
        <v>1</v>
      </c>
      <c r="U145" s="5">
        <f>IF((ContinuousStatsTable[[#This Row],[RepsRequested]]&gt;1),ContinuousStatsTable[[#This Row],[HalfWidth]],ContinuousStatsTable[[#This Row],[BatchMeansHalfWidth]])</f>
        <v>3.350588705034975E-2</v>
      </c>
    </row>
    <row r="146" spans="1:21" x14ac:dyDescent="0.35">
      <c r="A146" t="s">
        <v>66</v>
      </c>
      <c r="B146" t="s">
        <v>69</v>
      </c>
      <c r="C146">
        <v>29</v>
      </c>
      <c r="D146" t="s">
        <v>83</v>
      </c>
      <c r="E146" t="s">
        <v>87</v>
      </c>
      <c r="F146" t="s">
        <v>85</v>
      </c>
      <c r="G146">
        <v>1</v>
      </c>
      <c r="H146">
        <v>2E+20</v>
      </c>
      <c r="I146">
        <v>1</v>
      </c>
      <c r="J146">
        <v>1</v>
      </c>
      <c r="K146">
        <v>1</v>
      </c>
      <c r="L146">
        <v>0</v>
      </c>
      <c r="M146" s="5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146" s="5" cm="1">
        <f t="array" ref="N146">MAX(IF((ProjectInfoTable[ProjectName]=ContinuousStatsTable[[#This Row],[ProjectName]]),(ProjectInfoTable[ProjectName]=ContinuousStatsTable[[#This Row],[ProjectName]])*ProjectInfoTable[NumberOfReplications]))</f>
        <v>50</v>
      </c>
      <c r="O146" s="5" cm="1">
        <f t="array" ref="O146">IFERROR(AVERAGE(IF((ContinuousStatsTable[GroupByKey]=ContinuousStatsTable[[#This Row],[GroupByKey]]),(ContinuousStatsTable[GroupByKey]=ContinuousStatsTable[[#This Row],[GroupByKey]])*ContinuousStatsTable[Average])),0)</f>
        <v>1</v>
      </c>
      <c r="P146" s="5" cm="1">
        <f t="array" ref="P146">IFERROR(_xlfn.STDEV.S(IF((ContinuousStatsTable[GroupByKey]=ContinuousStatsTable[[#This Row],[GroupByKey]]),(ContinuousStatsTable[GroupByKey]=ContinuousStatsTable[[#This Row],[GroupByKey]])*ContinuousStatsTable[Average])),0)</f>
        <v>0</v>
      </c>
      <c r="Q146" s="5" cm="1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6" s="5" cm="1">
        <f t="array" ref="S146">MIN(IF((ContinuousStatsTable[GroupByKey]=ContinuousStatsTable[[#This Row],[GroupByKey]]),(ContinuousStatsTable[GroupByKey]=ContinuousStatsTable[[#This Row],[GroupByKey]])*ContinuousStatsTable[Average]))</f>
        <v>1</v>
      </c>
      <c r="T146" s="5" cm="1">
        <f t="array" ref="T146">MAX(IF((ContinuousStatsTable[GroupByKey]=ContinuousStatsTable[[#This Row],[GroupByKey]]),(ContinuousStatsTable[GroupByKey]=ContinuousStatsTable[[#This Row],[GroupByKey]])*ContinuousStatsTable[Average]))</f>
        <v>1</v>
      </c>
      <c r="U146" s="5">
        <f>IF((ContinuousStatsTable[[#This Row],[RepsRequested]]&gt;1),ContinuousStatsTable[[#This Row],[HalfWidth]],ContinuousStatsTable[[#This Row],[BatchMeansHalfWidth]])</f>
        <v>0</v>
      </c>
    </row>
    <row r="147" spans="1:21" x14ac:dyDescent="0.35">
      <c r="A147" t="s">
        <v>66</v>
      </c>
      <c r="B147" t="s">
        <v>69</v>
      </c>
      <c r="C147">
        <v>30</v>
      </c>
      <c r="D147" t="s">
        <v>70</v>
      </c>
      <c r="E147" t="s">
        <v>81</v>
      </c>
      <c r="F147" t="s">
        <v>72</v>
      </c>
      <c r="G147">
        <v>1.82203597568187</v>
      </c>
      <c r="H147">
        <v>2E+20</v>
      </c>
      <c r="I147">
        <v>0</v>
      </c>
      <c r="J147">
        <v>4</v>
      </c>
      <c r="K147">
        <v>4</v>
      </c>
      <c r="L147">
        <v>0</v>
      </c>
      <c r="M147" s="5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147" s="5" cm="1">
        <f t="array" ref="N147">MAX(IF((ProjectInfoTable[ProjectName]=ContinuousStatsTable[[#This Row],[ProjectName]]),(ProjectInfoTable[ProjectName]=ContinuousStatsTable[[#This Row],[ProjectName]])*ProjectInfoTable[NumberOfReplications]))</f>
        <v>50</v>
      </c>
      <c r="O147" s="5" cm="1">
        <f t="array" ref="O147">IFERROR(AVERAGE(IF((ContinuousStatsTable[GroupByKey]=ContinuousStatsTable[[#This Row],[GroupByKey]]),(ContinuousStatsTable[GroupByKey]=ContinuousStatsTable[[#This Row],[GroupByKey]])*ContinuousStatsTable[Average])),0)</f>
        <v>2.1996658161417075</v>
      </c>
      <c r="P147" s="5" cm="1">
        <f t="array" ref="P147">IFERROR(_xlfn.STDEV.S(IF((ContinuousStatsTable[GroupByKey]=ContinuousStatsTable[[#This Row],[GroupByKey]]),(ContinuousStatsTable[GroupByKey]=ContinuousStatsTable[[#This Row],[GroupByKey]])*ContinuousStatsTable[Average])),0)</f>
        <v>1.1994598865431718</v>
      </c>
      <c r="Q147" s="5" cm="1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0.34088272804883424</v>
      </c>
      <c r="S147" s="5" cm="1">
        <f t="array" ref="S147">MIN(IF((ContinuousStatsTable[GroupByKey]=ContinuousStatsTable[[#This Row],[GroupByKey]]),(ContinuousStatsTable[GroupByKey]=ContinuousStatsTable[[#This Row],[GroupByKey]])*ContinuousStatsTable[Average]))</f>
        <v>0.70499985227053297</v>
      </c>
      <c r="T147" s="5" cm="1">
        <f t="array" ref="T147">MAX(IF((ContinuousStatsTable[GroupByKey]=ContinuousStatsTable[[#This Row],[GroupByKey]]),(ContinuousStatsTable[GroupByKey]=ContinuousStatsTable[[#This Row],[GroupByKey]])*ContinuousStatsTable[Average]))</f>
        <v>6.3083923025689197</v>
      </c>
      <c r="U147" s="5">
        <f>IF((ContinuousStatsTable[[#This Row],[RepsRequested]]&gt;1),ContinuousStatsTable[[#This Row],[HalfWidth]],ContinuousStatsTable[[#This Row],[BatchMeansHalfWidth]])</f>
        <v>0.34088272804883424</v>
      </c>
    </row>
    <row r="148" spans="1:21" x14ac:dyDescent="0.35">
      <c r="A148" t="s">
        <v>66</v>
      </c>
      <c r="B148" t="s">
        <v>69</v>
      </c>
      <c r="C148">
        <v>30</v>
      </c>
      <c r="D148" t="s">
        <v>78</v>
      </c>
      <c r="E148" t="s">
        <v>82</v>
      </c>
      <c r="F148" t="s">
        <v>80</v>
      </c>
      <c r="G148">
        <v>1.0920266905043501</v>
      </c>
      <c r="H148">
        <v>2E+20</v>
      </c>
      <c r="I148">
        <v>0</v>
      </c>
      <c r="J148">
        <v>3</v>
      </c>
      <c r="K148">
        <v>3</v>
      </c>
      <c r="L148">
        <v>0</v>
      </c>
      <c r="M148" s="5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148" s="5" cm="1">
        <f t="array" ref="N148">MAX(IF((ProjectInfoTable[ProjectName]=ContinuousStatsTable[[#This Row],[ProjectName]]),(ProjectInfoTable[ProjectName]=ContinuousStatsTable[[#This Row],[ProjectName]])*ProjectInfoTable[NumberOfReplications]))</f>
        <v>50</v>
      </c>
      <c r="O148" s="5" cm="1">
        <f t="array" ref="O148">IFERROR(AVERAGE(IF((ContinuousStatsTable[GroupByKey]=ContinuousStatsTable[[#This Row],[GroupByKey]]),(ContinuousStatsTable[GroupByKey]=ContinuousStatsTable[[#This Row],[GroupByKey]])*ContinuousStatsTable[Average])),0)</f>
        <v>1.2732860367273062</v>
      </c>
      <c r="P148" s="5" cm="1">
        <f t="array" ref="P148">IFERROR(_xlfn.STDEV.S(IF((ContinuousStatsTable[GroupByKey]=ContinuousStatsTable[[#This Row],[GroupByKey]]),(ContinuousStatsTable[GroupByKey]=ContinuousStatsTable[[#This Row],[GroupByKey]])*ContinuousStatsTable[Average])),0)</f>
        <v>1.137870000737736</v>
      </c>
      <c r="Q148" s="5" cm="1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0.32337907617258832</v>
      </c>
      <c r="S148" s="5" cm="1">
        <f t="array" ref="S148">MIN(IF((ContinuousStatsTable[GroupByKey]=ContinuousStatsTable[[#This Row],[GroupByKey]]),(ContinuousStatsTable[GroupByKey]=ContinuousStatsTable[[#This Row],[GroupByKey]])*ContinuousStatsTable[Average]))</f>
        <v>0</v>
      </c>
      <c r="T148" s="5" cm="1">
        <f t="array" ref="T148">MAX(IF((ContinuousStatsTable[GroupByKey]=ContinuousStatsTable[[#This Row],[GroupByKey]]),(ContinuousStatsTable[GroupByKey]=ContinuousStatsTable[[#This Row],[GroupByKey]])*ContinuousStatsTable[Average]))</f>
        <v>5.3083923025689197</v>
      </c>
      <c r="U148" s="5">
        <f>IF((ContinuousStatsTable[[#This Row],[RepsRequested]]&gt;1),ContinuousStatsTable[[#This Row],[HalfWidth]],ContinuousStatsTable[[#This Row],[BatchMeansHalfWidth]])</f>
        <v>0.32337907617258832</v>
      </c>
    </row>
    <row r="149" spans="1:21" x14ac:dyDescent="0.35">
      <c r="A149" t="s">
        <v>66</v>
      </c>
      <c r="B149" t="s">
        <v>69</v>
      </c>
      <c r="C149">
        <v>30</v>
      </c>
      <c r="D149" t="s">
        <v>83</v>
      </c>
      <c r="E149" t="s">
        <v>84</v>
      </c>
      <c r="F149" t="s">
        <v>85</v>
      </c>
      <c r="G149">
        <v>0.73000928517752095</v>
      </c>
      <c r="H149">
        <v>2E+20</v>
      </c>
      <c r="I149">
        <v>0</v>
      </c>
      <c r="J149">
        <v>1</v>
      </c>
      <c r="K149">
        <v>1</v>
      </c>
      <c r="L149">
        <v>0</v>
      </c>
      <c r="M149" s="5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149" s="5" cm="1">
        <f t="array" ref="N149">MAX(IF((ProjectInfoTable[ProjectName]=ContinuousStatsTable[[#This Row],[ProjectName]]),(ProjectInfoTable[ProjectName]=ContinuousStatsTable[[#This Row],[ProjectName]])*ProjectInfoTable[NumberOfReplications]))</f>
        <v>50</v>
      </c>
      <c r="O149" s="5" cm="1">
        <f t="array" ref="O149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149" s="5" cm="1">
        <f t="array" ref="P149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149" s="5" cm="1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149" s="5" cm="1">
        <f t="array" ref="S149">MIN(IF((ContinuousStatsTable[GroupByKey]=ContinuousStatsTable[[#This Row],[GroupByKey]]),(ContinuousStatsTable[GroupByKey]=ContinuousStatsTable[[#This Row],[GroupByKey]])*ContinuousStatsTable[Average]))</f>
        <v>0.60846830422583797</v>
      </c>
      <c r="T149" s="5" cm="1">
        <f t="array" ref="T149">MAX(IF((ContinuousStatsTable[GroupByKey]=ContinuousStatsTable[[#This Row],[GroupByKey]]),(ContinuousStatsTable[GroupByKey]=ContinuousStatsTable[[#This Row],[GroupByKey]])*ContinuousStatsTable[Average]))</f>
        <v>1</v>
      </c>
      <c r="U149" s="5">
        <f>IF((ContinuousStatsTable[[#This Row],[RepsRequested]]&gt;1),ContinuousStatsTable[[#This Row],[HalfWidth]],ContinuousStatsTable[[#This Row],[BatchMeansHalfWidth]])</f>
        <v>3.350588705034975E-2</v>
      </c>
    </row>
    <row r="150" spans="1:21" x14ac:dyDescent="0.35">
      <c r="A150" t="s">
        <v>66</v>
      </c>
      <c r="B150" t="s">
        <v>69</v>
      </c>
      <c r="C150">
        <v>30</v>
      </c>
      <c r="D150" t="s">
        <v>83</v>
      </c>
      <c r="E150" t="s">
        <v>86</v>
      </c>
      <c r="F150" t="s">
        <v>85</v>
      </c>
      <c r="G150">
        <v>0.73000928517752095</v>
      </c>
      <c r="H150">
        <v>2E+20</v>
      </c>
      <c r="I150">
        <v>0</v>
      </c>
      <c r="J150">
        <v>1</v>
      </c>
      <c r="K150">
        <v>1</v>
      </c>
      <c r="L150">
        <v>0</v>
      </c>
      <c r="M150" s="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150" s="5" cm="1">
        <f t="array" ref="N150">MAX(IF((ProjectInfoTable[ProjectName]=ContinuousStatsTable[[#This Row],[ProjectName]]),(ProjectInfoTable[ProjectName]=ContinuousStatsTable[[#This Row],[ProjectName]])*ProjectInfoTable[NumberOfReplications]))</f>
        <v>50</v>
      </c>
      <c r="O150" s="5" cm="1">
        <f t="array" ref="O150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150" s="5" cm="1">
        <f t="array" ref="P150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150" s="5" cm="1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150" s="5" cm="1">
        <f t="array" ref="S150">MIN(IF((ContinuousStatsTable[GroupByKey]=ContinuousStatsTable[[#This Row],[GroupByKey]]),(ContinuousStatsTable[GroupByKey]=ContinuousStatsTable[[#This Row],[GroupByKey]])*ContinuousStatsTable[Average]))</f>
        <v>0.60846830422583797</v>
      </c>
      <c r="T150" s="5" cm="1">
        <f t="array" ref="T150">MAX(IF((ContinuousStatsTable[GroupByKey]=ContinuousStatsTable[[#This Row],[GroupByKey]]),(ContinuousStatsTable[GroupByKey]=ContinuousStatsTable[[#This Row],[GroupByKey]])*ContinuousStatsTable[Average]))</f>
        <v>1</v>
      </c>
      <c r="U150" s="5">
        <f>IF((ContinuousStatsTable[[#This Row],[RepsRequested]]&gt;1),ContinuousStatsTable[[#This Row],[HalfWidth]],ContinuousStatsTable[[#This Row],[BatchMeansHalfWidth]])</f>
        <v>3.350588705034975E-2</v>
      </c>
    </row>
    <row r="151" spans="1:21" x14ac:dyDescent="0.35">
      <c r="A151" t="s">
        <v>66</v>
      </c>
      <c r="B151" t="s">
        <v>69</v>
      </c>
      <c r="C151">
        <v>30</v>
      </c>
      <c r="D151" t="s">
        <v>83</v>
      </c>
      <c r="E151" t="s">
        <v>87</v>
      </c>
      <c r="F151" t="s">
        <v>85</v>
      </c>
      <c r="G151">
        <v>1</v>
      </c>
      <c r="H151">
        <v>2E+20</v>
      </c>
      <c r="I151">
        <v>1</v>
      </c>
      <c r="J151">
        <v>1</v>
      </c>
      <c r="K151">
        <v>1</v>
      </c>
      <c r="L151">
        <v>0</v>
      </c>
      <c r="M151" s="5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151" s="5" cm="1">
        <f t="array" ref="N151">MAX(IF((ProjectInfoTable[ProjectName]=ContinuousStatsTable[[#This Row],[ProjectName]]),(ProjectInfoTable[ProjectName]=ContinuousStatsTable[[#This Row],[ProjectName]])*ProjectInfoTable[NumberOfReplications]))</f>
        <v>50</v>
      </c>
      <c r="O151" s="5" cm="1">
        <f t="array" ref="O151">IFERROR(AVERAGE(IF((ContinuousStatsTable[GroupByKey]=ContinuousStatsTable[[#This Row],[GroupByKey]]),(ContinuousStatsTable[GroupByKey]=ContinuousStatsTable[[#This Row],[GroupByKey]])*ContinuousStatsTable[Average])),0)</f>
        <v>1</v>
      </c>
      <c r="P151" s="5" cm="1">
        <f t="array" ref="P151">IFERROR(_xlfn.STDEV.S(IF((ContinuousStatsTable[GroupByKey]=ContinuousStatsTable[[#This Row],[GroupByKey]]),(ContinuousStatsTable[GroupByKey]=ContinuousStatsTable[[#This Row],[GroupByKey]])*ContinuousStatsTable[Average])),0)</f>
        <v>0</v>
      </c>
      <c r="Q151" s="5" cm="1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1" s="5" cm="1">
        <f t="array" ref="S151">MIN(IF((ContinuousStatsTable[GroupByKey]=ContinuousStatsTable[[#This Row],[GroupByKey]]),(ContinuousStatsTable[GroupByKey]=ContinuousStatsTable[[#This Row],[GroupByKey]])*ContinuousStatsTable[Average]))</f>
        <v>1</v>
      </c>
      <c r="T151" s="5" cm="1">
        <f t="array" ref="T151">MAX(IF((ContinuousStatsTable[GroupByKey]=ContinuousStatsTable[[#This Row],[GroupByKey]]),(ContinuousStatsTable[GroupByKey]=ContinuousStatsTable[[#This Row],[GroupByKey]])*ContinuousStatsTable[Average]))</f>
        <v>1</v>
      </c>
      <c r="U151" s="5">
        <f>IF((ContinuousStatsTable[[#This Row],[RepsRequested]]&gt;1),ContinuousStatsTable[[#This Row],[HalfWidth]],ContinuousStatsTable[[#This Row],[BatchMeansHalfWidth]])</f>
        <v>0</v>
      </c>
    </row>
    <row r="152" spans="1:21" x14ac:dyDescent="0.35">
      <c r="A152" t="s">
        <v>66</v>
      </c>
      <c r="B152" t="s">
        <v>69</v>
      </c>
      <c r="C152">
        <v>31</v>
      </c>
      <c r="D152" t="s">
        <v>70</v>
      </c>
      <c r="E152" t="s">
        <v>81</v>
      </c>
      <c r="F152" t="s">
        <v>72</v>
      </c>
      <c r="G152">
        <v>1.1960680334756899</v>
      </c>
      <c r="H152">
        <v>2E+20</v>
      </c>
      <c r="I152">
        <v>0</v>
      </c>
      <c r="J152">
        <v>2</v>
      </c>
      <c r="K152">
        <v>2</v>
      </c>
      <c r="L152">
        <v>0</v>
      </c>
      <c r="M152" s="5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152" s="5" cm="1">
        <f t="array" ref="N152">MAX(IF((ProjectInfoTable[ProjectName]=ContinuousStatsTable[[#This Row],[ProjectName]]),(ProjectInfoTable[ProjectName]=ContinuousStatsTable[[#This Row],[ProjectName]])*ProjectInfoTable[NumberOfReplications]))</f>
        <v>50</v>
      </c>
      <c r="O152" s="5" cm="1">
        <f t="array" ref="O152">IFERROR(AVERAGE(IF((ContinuousStatsTable[GroupByKey]=ContinuousStatsTable[[#This Row],[GroupByKey]]),(ContinuousStatsTable[GroupByKey]=ContinuousStatsTable[[#This Row],[GroupByKey]])*ContinuousStatsTable[Average])),0)</f>
        <v>2.1996658161417075</v>
      </c>
      <c r="P152" s="5" cm="1">
        <f t="array" ref="P152">IFERROR(_xlfn.STDEV.S(IF((ContinuousStatsTable[GroupByKey]=ContinuousStatsTable[[#This Row],[GroupByKey]]),(ContinuousStatsTable[GroupByKey]=ContinuousStatsTable[[#This Row],[GroupByKey]])*ContinuousStatsTable[Average])),0)</f>
        <v>1.1994598865431718</v>
      </c>
      <c r="Q152" s="5" cm="1">
        <f t="array" ref="Q152">MAX(IF((ProjectInfoTable[ProjectName]=ContinuousStatsTable[[#This Row],[ProjectName]]),(ProjectInfoTable[ProjectName]=ContinuousStatsTable[[#This Row],[ProjectName]])*ProjectInfoTable[ConfidenceInterval]))</f>
        <v>0.95</v>
      </c>
      <c r="R15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0.34088272804883424</v>
      </c>
      <c r="S152" s="5" cm="1">
        <f t="array" ref="S152">MIN(IF((ContinuousStatsTable[GroupByKey]=ContinuousStatsTable[[#This Row],[GroupByKey]]),(ContinuousStatsTable[GroupByKey]=ContinuousStatsTable[[#This Row],[GroupByKey]])*ContinuousStatsTable[Average]))</f>
        <v>0.70499985227053297</v>
      </c>
      <c r="T152" s="5" cm="1">
        <f t="array" ref="T152">MAX(IF((ContinuousStatsTable[GroupByKey]=ContinuousStatsTable[[#This Row],[GroupByKey]]),(ContinuousStatsTable[GroupByKey]=ContinuousStatsTable[[#This Row],[GroupByKey]])*ContinuousStatsTable[Average]))</f>
        <v>6.3083923025689197</v>
      </c>
      <c r="U152" s="5">
        <f>IF((ContinuousStatsTable[[#This Row],[RepsRequested]]&gt;1),ContinuousStatsTable[[#This Row],[HalfWidth]],ContinuousStatsTable[[#This Row],[BatchMeansHalfWidth]])</f>
        <v>0.34088272804883424</v>
      </c>
    </row>
    <row r="153" spans="1:21" x14ac:dyDescent="0.35">
      <c r="A153" t="s">
        <v>66</v>
      </c>
      <c r="B153" t="s">
        <v>69</v>
      </c>
      <c r="C153">
        <v>31</v>
      </c>
      <c r="D153" t="s">
        <v>78</v>
      </c>
      <c r="E153" t="s">
        <v>82</v>
      </c>
      <c r="F153" t="s">
        <v>80</v>
      </c>
      <c r="G153">
        <v>0.30336558777712003</v>
      </c>
      <c r="H153">
        <v>2E+20</v>
      </c>
      <c r="I153">
        <v>0</v>
      </c>
      <c r="J153">
        <v>1</v>
      </c>
      <c r="K153">
        <v>1</v>
      </c>
      <c r="L153">
        <v>0</v>
      </c>
      <c r="M153" s="5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153" s="5" cm="1">
        <f t="array" ref="N153">MAX(IF((ProjectInfoTable[ProjectName]=ContinuousStatsTable[[#This Row],[ProjectName]]),(ProjectInfoTable[ProjectName]=ContinuousStatsTable[[#This Row],[ProjectName]])*ProjectInfoTable[NumberOfReplications]))</f>
        <v>50</v>
      </c>
      <c r="O153" s="5" cm="1">
        <f t="array" ref="O153">IFERROR(AVERAGE(IF((ContinuousStatsTable[GroupByKey]=ContinuousStatsTable[[#This Row],[GroupByKey]]),(ContinuousStatsTable[GroupByKey]=ContinuousStatsTable[[#This Row],[GroupByKey]])*ContinuousStatsTable[Average])),0)</f>
        <v>1.2732860367273062</v>
      </c>
      <c r="P153" s="5" cm="1">
        <f t="array" ref="P153">IFERROR(_xlfn.STDEV.S(IF((ContinuousStatsTable[GroupByKey]=ContinuousStatsTable[[#This Row],[GroupByKey]]),(ContinuousStatsTable[GroupByKey]=ContinuousStatsTable[[#This Row],[GroupByKey]])*ContinuousStatsTable[Average])),0)</f>
        <v>1.137870000737736</v>
      </c>
      <c r="Q153" s="5" cm="1">
        <f t="array" ref="Q153">MAX(IF((ProjectInfoTable[ProjectName]=ContinuousStatsTable[[#This Row],[ProjectName]]),(ProjectInfoTable[ProjectName]=ContinuousStatsTable[[#This Row],[ProjectName]])*ProjectInfoTable[ConfidenceInterval]))</f>
        <v>0.95</v>
      </c>
      <c r="R15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0.32337907617258832</v>
      </c>
      <c r="S153" s="5" cm="1">
        <f t="array" ref="S153">MIN(IF((ContinuousStatsTable[GroupByKey]=ContinuousStatsTable[[#This Row],[GroupByKey]]),(ContinuousStatsTable[GroupByKey]=ContinuousStatsTable[[#This Row],[GroupByKey]])*ContinuousStatsTable[Average]))</f>
        <v>0</v>
      </c>
      <c r="T153" s="5" cm="1">
        <f t="array" ref="T153">MAX(IF((ContinuousStatsTable[GroupByKey]=ContinuousStatsTable[[#This Row],[GroupByKey]]),(ContinuousStatsTable[GroupByKey]=ContinuousStatsTable[[#This Row],[GroupByKey]])*ContinuousStatsTable[Average]))</f>
        <v>5.3083923025689197</v>
      </c>
      <c r="U153" s="5">
        <f>IF((ContinuousStatsTable[[#This Row],[RepsRequested]]&gt;1),ContinuousStatsTable[[#This Row],[HalfWidth]],ContinuousStatsTable[[#This Row],[BatchMeansHalfWidth]])</f>
        <v>0.32337907617258832</v>
      </c>
    </row>
    <row r="154" spans="1:21" x14ac:dyDescent="0.35">
      <c r="A154" t="s">
        <v>66</v>
      </c>
      <c r="B154" t="s">
        <v>69</v>
      </c>
      <c r="C154">
        <v>31</v>
      </c>
      <c r="D154" t="s">
        <v>83</v>
      </c>
      <c r="E154" t="s">
        <v>84</v>
      </c>
      <c r="F154" t="s">
        <v>85</v>
      </c>
      <c r="G154">
        <v>0.89270244569856905</v>
      </c>
      <c r="H154">
        <v>2E+20</v>
      </c>
      <c r="I154">
        <v>0</v>
      </c>
      <c r="J154">
        <v>1</v>
      </c>
      <c r="K154">
        <v>1</v>
      </c>
      <c r="L154">
        <v>0</v>
      </c>
      <c r="M154" s="5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154" s="5" cm="1">
        <f t="array" ref="N154">MAX(IF((ProjectInfoTable[ProjectName]=ContinuousStatsTable[[#This Row],[ProjectName]]),(ProjectInfoTable[ProjectName]=ContinuousStatsTable[[#This Row],[ProjectName]])*ProjectInfoTable[NumberOfReplications]))</f>
        <v>50</v>
      </c>
      <c r="O154" s="5" cm="1">
        <f t="array" ref="O154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154" s="5" cm="1">
        <f t="array" ref="P154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154" s="5" cm="1">
        <f t="array" ref="Q154">MAX(IF((ProjectInfoTable[ProjectName]=ContinuousStatsTable[[#This Row],[ProjectName]]),(ProjectInfoTable[ProjectName]=ContinuousStatsTable[[#This Row],[ProjectName]])*ProjectInfoTable[ConfidenceInterval]))</f>
        <v>0.95</v>
      </c>
      <c r="R15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154" s="5" cm="1">
        <f t="array" ref="S154">MIN(IF((ContinuousStatsTable[GroupByKey]=ContinuousStatsTable[[#This Row],[GroupByKey]]),(ContinuousStatsTable[GroupByKey]=ContinuousStatsTable[[#This Row],[GroupByKey]])*ContinuousStatsTable[Average]))</f>
        <v>0.60846830422583797</v>
      </c>
      <c r="T154" s="5" cm="1">
        <f t="array" ref="T154">MAX(IF((ContinuousStatsTable[GroupByKey]=ContinuousStatsTable[[#This Row],[GroupByKey]]),(ContinuousStatsTable[GroupByKey]=ContinuousStatsTable[[#This Row],[GroupByKey]])*ContinuousStatsTable[Average]))</f>
        <v>1</v>
      </c>
      <c r="U154" s="5">
        <f>IF((ContinuousStatsTable[[#This Row],[RepsRequested]]&gt;1),ContinuousStatsTable[[#This Row],[HalfWidth]],ContinuousStatsTable[[#This Row],[BatchMeansHalfWidth]])</f>
        <v>3.350588705034975E-2</v>
      </c>
    </row>
    <row r="155" spans="1:21" x14ac:dyDescent="0.35">
      <c r="A155" t="s">
        <v>66</v>
      </c>
      <c r="B155" t="s">
        <v>69</v>
      </c>
      <c r="C155">
        <v>31</v>
      </c>
      <c r="D155" t="s">
        <v>83</v>
      </c>
      <c r="E155" t="s">
        <v>86</v>
      </c>
      <c r="F155" t="s">
        <v>85</v>
      </c>
      <c r="G155">
        <v>0.89270244569856905</v>
      </c>
      <c r="H155">
        <v>2E+20</v>
      </c>
      <c r="I155">
        <v>0</v>
      </c>
      <c r="J155">
        <v>1</v>
      </c>
      <c r="K155">
        <v>1</v>
      </c>
      <c r="L155">
        <v>0</v>
      </c>
      <c r="M155" s="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155" s="5" cm="1">
        <f t="array" ref="N155">MAX(IF((ProjectInfoTable[ProjectName]=ContinuousStatsTable[[#This Row],[ProjectName]]),(ProjectInfoTable[ProjectName]=ContinuousStatsTable[[#This Row],[ProjectName]])*ProjectInfoTable[NumberOfReplications]))</f>
        <v>50</v>
      </c>
      <c r="O155" s="5" cm="1">
        <f t="array" ref="O155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155" s="5" cm="1">
        <f t="array" ref="P155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155" s="5" cm="1">
        <f t="array" ref="Q155">MAX(IF((ProjectInfoTable[ProjectName]=ContinuousStatsTable[[#This Row],[ProjectName]]),(ProjectInfoTable[ProjectName]=ContinuousStatsTable[[#This Row],[ProjectName]])*ProjectInfoTable[ConfidenceInterval]))</f>
        <v>0.95</v>
      </c>
      <c r="R15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155" s="5" cm="1">
        <f t="array" ref="S155">MIN(IF((ContinuousStatsTable[GroupByKey]=ContinuousStatsTable[[#This Row],[GroupByKey]]),(ContinuousStatsTable[GroupByKey]=ContinuousStatsTable[[#This Row],[GroupByKey]])*ContinuousStatsTable[Average]))</f>
        <v>0.60846830422583797</v>
      </c>
      <c r="T155" s="5" cm="1">
        <f t="array" ref="T155">MAX(IF((ContinuousStatsTable[GroupByKey]=ContinuousStatsTable[[#This Row],[GroupByKey]]),(ContinuousStatsTable[GroupByKey]=ContinuousStatsTable[[#This Row],[GroupByKey]])*ContinuousStatsTable[Average]))</f>
        <v>1</v>
      </c>
      <c r="U155" s="5">
        <f>IF((ContinuousStatsTable[[#This Row],[RepsRequested]]&gt;1),ContinuousStatsTable[[#This Row],[HalfWidth]],ContinuousStatsTable[[#This Row],[BatchMeansHalfWidth]])</f>
        <v>3.350588705034975E-2</v>
      </c>
    </row>
    <row r="156" spans="1:21" x14ac:dyDescent="0.35">
      <c r="A156" t="s">
        <v>66</v>
      </c>
      <c r="B156" t="s">
        <v>69</v>
      </c>
      <c r="C156">
        <v>31</v>
      </c>
      <c r="D156" t="s">
        <v>83</v>
      </c>
      <c r="E156" t="s">
        <v>87</v>
      </c>
      <c r="F156" t="s">
        <v>85</v>
      </c>
      <c r="G156">
        <v>1</v>
      </c>
      <c r="H156">
        <v>2E+20</v>
      </c>
      <c r="I156">
        <v>1</v>
      </c>
      <c r="J156">
        <v>1</v>
      </c>
      <c r="K156">
        <v>1</v>
      </c>
      <c r="L156">
        <v>0</v>
      </c>
      <c r="M156" s="5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156" s="5" cm="1">
        <f t="array" ref="N156">MAX(IF((ProjectInfoTable[ProjectName]=ContinuousStatsTable[[#This Row],[ProjectName]]),(ProjectInfoTable[ProjectName]=ContinuousStatsTable[[#This Row],[ProjectName]])*ProjectInfoTable[NumberOfReplications]))</f>
        <v>50</v>
      </c>
      <c r="O156" s="5" cm="1">
        <f t="array" ref="O156">IFERROR(AVERAGE(IF((ContinuousStatsTable[GroupByKey]=ContinuousStatsTable[[#This Row],[GroupByKey]]),(ContinuousStatsTable[GroupByKey]=ContinuousStatsTable[[#This Row],[GroupByKey]])*ContinuousStatsTable[Average])),0)</f>
        <v>1</v>
      </c>
      <c r="P156" s="5" cm="1">
        <f t="array" ref="P156">IFERROR(_xlfn.STDEV.S(IF((ContinuousStatsTable[GroupByKey]=ContinuousStatsTable[[#This Row],[GroupByKey]]),(ContinuousStatsTable[GroupByKey]=ContinuousStatsTable[[#This Row],[GroupByKey]])*ContinuousStatsTable[Average])),0)</f>
        <v>0</v>
      </c>
      <c r="Q156" s="5" cm="1">
        <f t="array" ref="Q156">MAX(IF((ProjectInfoTable[ProjectName]=ContinuousStatsTable[[#This Row],[ProjectName]]),(ProjectInfoTable[ProjectName]=ContinuousStatsTable[[#This Row],[ProjectName]])*ProjectInfoTable[ConfidenceInterval]))</f>
        <v>0.95</v>
      </c>
      <c r="R15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6" s="5" cm="1">
        <f t="array" ref="S156">MIN(IF((ContinuousStatsTable[GroupByKey]=ContinuousStatsTable[[#This Row],[GroupByKey]]),(ContinuousStatsTable[GroupByKey]=ContinuousStatsTable[[#This Row],[GroupByKey]])*ContinuousStatsTable[Average]))</f>
        <v>1</v>
      </c>
      <c r="T156" s="5" cm="1">
        <f t="array" ref="T156">MAX(IF((ContinuousStatsTable[GroupByKey]=ContinuousStatsTable[[#This Row],[GroupByKey]]),(ContinuousStatsTable[GroupByKey]=ContinuousStatsTable[[#This Row],[GroupByKey]])*ContinuousStatsTable[Average]))</f>
        <v>1</v>
      </c>
      <c r="U156" s="5">
        <f>IF((ContinuousStatsTable[[#This Row],[RepsRequested]]&gt;1),ContinuousStatsTable[[#This Row],[HalfWidth]],ContinuousStatsTable[[#This Row],[BatchMeansHalfWidth]])</f>
        <v>0</v>
      </c>
    </row>
    <row r="157" spans="1:21" x14ac:dyDescent="0.35">
      <c r="A157" t="s">
        <v>66</v>
      </c>
      <c r="B157" t="s">
        <v>69</v>
      </c>
      <c r="C157">
        <v>32</v>
      </c>
      <c r="D157" t="s">
        <v>70</v>
      </c>
      <c r="E157" t="s">
        <v>81</v>
      </c>
      <c r="F157" t="s">
        <v>72</v>
      </c>
      <c r="G157">
        <v>0.70499985227053297</v>
      </c>
      <c r="H157">
        <v>2E+20</v>
      </c>
      <c r="I157">
        <v>0</v>
      </c>
      <c r="J157">
        <v>4</v>
      </c>
      <c r="K157">
        <v>4</v>
      </c>
      <c r="L157">
        <v>0</v>
      </c>
      <c r="M157" s="5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157" s="5" cm="1">
        <f t="array" ref="N157">MAX(IF((ProjectInfoTable[ProjectName]=ContinuousStatsTable[[#This Row],[ProjectName]]),(ProjectInfoTable[ProjectName]=ContinuousStatsTable[[#This Row],[ProjectName]])*ProjectInfoTable[NumberOfReplications]))</f>
        <v>50</v>
      </c>
      <c r="O157" s="5" cm="1">
        <f t="array" ref="O157">IFERROR(AVERAGE(IF((ContinuousStatsTable[GroupByKey]=ContinuousStatsTable[[#This Row],[GroupByKey]]),(ContinuousStatsTable[GroupByKey]=ContinuousStatsTable[[#This Row],[GroupByKey]])*ContinuousStatsTable[Average])),0)</f>
        <v>2.1996658161417075</v>
      </c>
      <c r="P157" s="5" cm="1">
        <f t="array" ref="P157">IFERROR(_xlfn.STDEV.S(IF((ContinuousStatsTable[GroupByKey]=ContinuousStatsTable[[#This Row],[GroupByKey]]),(ContinuousStatsTable[GroupByKey]=ContinuousStatsTable[[#This Row],[GroupByKey]])*ContinuousStatsTable[Average])),0)</f>
        <v>1.1994598865431718</v>
      </c>
      <c r="Q157" s="5" cm="1">
        <f t="array" ref="Q157">MAX(IF((ProjectInfoTable[ProjectName]=ContinuousStatsTable[[#This Row],[ProjectName]]),(ProjectInfoTable[ProjectName]=ContinuousStatsTable[[#This Row],[ProjectName]])*ProjectInfoTable[ConfidenceInterval]))</f>
        <v>0.95</v>
      </c>
      <c r="R15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0.34088272804883424</v>
      </c>
      <c r="S157" s="5" cm="1">
        <f t="array" ref="S157">MIN(IF((ContinuousStatsTable[GroupByKey]=ContinuousStatsTable[[#This Row],[GroupByKey]]),(ContinuousStatsTable[GroupByKey]=ContinuousStatsTable[[#This Row],[GroupByKey]])*ContinuousStatsTable[Average]))</f>
        <v>0.70499985227053297</v>
      </c>
      <c r="T157" s="5" cm="1">
        <f t="array" ref="T157">MAX(IF((ContinuousStatsTable[GroupByKey]=ContinuousStatsTable[[#This Row],[GroupByKey]]),(ContinuousStatsTable[GroupByKey]=ContinuousStatsTable[[#This Row],[GroupByKey]])*ContinuousStatsTable[Average]))</f>
        <v>6.3083923025689197</v>
      </c>
      <c r="U157" s="5">
        <f>IF((ContinuousStatsTable[[#This Row],[RepsRequested]]&gt;1),ContinuousStatsTable[[#This Row],[HalfWidth]],ContinuousStatsTable[[#This Row],[BatchMeansHalfWidth]])</f>
        <v>0.34088272804883424</v>
      </c>
    </row>
    <row r="158" spans="1:21" x14ac:dyDescent="0.35">
      <c r="A158" t="s">
        <v>66</v>
      </c>
      <c r="B158" t="s">
        <v>69</v>
      </c>
      <c r="C158">
        <v>32</v>
      </c>
      <c r="D158" t="s">
        <v>78</v>
      </c>
      <c r="E158" t="s">
        <v>82</v>
      </c>
      <c r="F158" t="s">
        <v>80</v>
      </c>
      <c r="G158">
        <v>8.5768264725599203E-2</v>
      </c>
      <c r="H158">
        <v>2E+20</v>
      </c>
      <c r="I158">
        <v>0</v>
      </c>
      <c r="J158">
        <v>3</v>
      </c>
      <c r="K158">
        <v>3</v>
      </c>
      <c r="L158">
        <v>0</v>
      </c>
      <c r="M158" s="5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158" s="5" cm="1">
        <f t="array" ref="N158">MAX(IF((ProjectInfoTable[ProjectName]=ContinuousStatsTable[[#This Row],[ProjectName]]),(ProjectInfoTable[ProjectName]=ContinuousStatsTable[[#This Row],[ProjectName]])*ProjectInfoTable[NumberOfReplications]))</f>
        <v>50</v>
      </c>
      <c r="O158" s="5" cm="1">
        <f t="array" ref="O158">IFERROR(AVERAGE(IF((ContinuousStatsTable[GroupByKey]=ContinuousStatsTable[[#This Row],[GroupByKey]]),(ContinuousStatsTable[GroupByKey]=ContinuousStatsTable[[#This Row],[GroupByKey]])*ContinuousStatsTable[Average])),0)</f>
        <v>1.2732860367273062</v>
      </c>
      <c r="P158" s="5" cm="1">
        <f t="array" ref="P158">IFERROR(_xlfn.STDEV.S(IF((ContinuousStatsTable[GroupByKey]=ContinuousStatsTable[[#This Row],[GroupByKey]]),(ContinuousStatsTable[GroupByKey]=ContinuousStatsTable[[#This Row],[GroupByKey]])*ContinuousStatsTable[Average])),0)</f>
        <v>1.137870000737736</v>
      </c>
      <c r="Q158" s="5" cm="1">
        <f t="array" ref="Q158">MAX(IF((ProjectInfoTable[ProjectName]=ContinuousStatsTable[[#This Row],[ProjectName]]),(ProjectInfoTable[ProjectName]=ContinuousStatsTable[[#This Row],[ProjectName]])*ProjectInfoTable[ConfidenceInterval]))</f>
        <v>0.95</v>
      </c>
      <c r="R15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0.32337907617258832</v>
      </c>
      <c r="S158" s="5" cm="1">
        <f t="array" ref="S158">MIN(IF((ContinuousStatsTable[GroupByKey]=ContinuousStatsTable[[#This Row],[GroupByKey]]),(ContinuousStatsTable[GroupByKey]=ContinuousStatsTable[[#This Row],[GroupByKey]])*ContinuousStatsTable[Average]))</f>
        <v>0</v>
      </c>
      <c r="T158" s="5" cm="1">
        <f t="array" ref="T158">MAX(IF((ContinuousStatsTable[GroupByKey]=ContinuousStatsTable[[#This Row],[GroupByKey]]),(ContinuousStatsTable[GroupByKey]=ContinuousStatsTable[[#This Row],[GroupByKey]])*ContinuousStatsTable[Average]))</f>
        <v>5.3083923025689197</v>
      </c>
      <c r="U158" s="5">
        <f>IF((ContinuousStatsTable[[#This Row],[RepsRequested]]&gt;1),ContinuousStatsTable[[#This Row],[HalfWidth]],ContinuousStatsTable[[#This Row],[BatchMeansHalfWidth]])</f>
        <v>0.32337907617258832</v>
      </c>
    </row>
    <row r="159" spans="1:21" x14ac:dyDescent="0.35">
      <c r="A159" t="s">
        <v>66</v>
      </c>
      <c r="B159" t="s">
        <v>69</v>
      </c>
      <c r="C159">
        <v>32</v>
      </c>
      <c r="D159" t="s">
        <v>83</v>
      </c>
      <c r="E159" t="s">
        <v>84</v>
      </c>
      <c r="F159" t="s">
        <v>85</v>
      </c>
      <c r="G159">
        <v>0.61923158754493401</v>
      </c>
      <c r="H159">
        <v>2E+20</v>
      </c>
      <c r="I159">
        <v>0</v>
      </c>
      <c r="J159">
        <v>1</v>
      </c>
      <c r="K159">
        <v>1</v>
      </c>
      <c r="L159">
        <v>0</v>
      </c>
      <c r="M159" s="5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159" s="5" cm="1">
        <f t="array" ref="N159">MAX(IF((ProjectInfoTable[ProjectName]=ContinuousStatsTable[[#This Row],[ProjectName]]),(ProjectInfoTable[ProjectName]=ContinuousStatsTable[[#This Row],[ProjectName]])*ProjectInfoTable[NumberOfReplications]))</f>
        <v>50</v>
      </c>
      <c r="O159" s="5" cm="1">
        <f t="array" ref="O159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159" s="5" cm="1">
        <f t="array" ref="P159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159" s="5" cm="1">
        <f t="array" ref="Q159">MAX(IF((ProjectInfoTable[ProjectName]=ContinuousStatsTable[[#This Row],[ProjectName]]),(ProjectInfoTable[ProjectName]=ContinuousStatsTable[[#This Row],[ProjectName]])*ProjectInfoTable[ConfidenceInterval]))</f>
        <v>0.95</v>
      </c>
      <c r="R15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159" s="5" cm="1">
        <f t="array" ref="S159">MIN(IF((ContinuousStatsTable[GroupByKey]=ContinuousStatsTable[[#This Row],[GroupByKey]]),(ContinuousStatsTable[GroupByKey]=ContinuousStatsTable[[#This Row],[GroupByKey]])*ContinuousStatsTable[Average]))</f>
        <v>0.60846830422583797</v>
      </c>
      <c r="T159" s="5" cm="1">
        <f t="array" ref="T159">MAX(IF((ContinuousStatsTable[GroupByKey]=ContinuousStatsTable[[#This Row],[GroupByKey]]),(ContinuousStatsTable[GroupByKey]=ContinuousStatsTable[[#This Row],[GroupByKey]])*ContinuousStatsTable[Average]))</f>
        <v>1</v>
      </c>
      <c r="U159" s="5">
        <f>IF((ContinuousStatsTable[[#This Row],[RepsRequested]]&gt;1),ContinuousStatsTable[[#This Row],[HalfWidth]],ContinuousStatsTable[[#This Row],[BatchMeansHalfWidth]])</f>
        <v>3.350588705034975E-2</v>
      </c>
    </row>
    <row r="160" spans="1:21" x14ac:dyDescent="0.35">
      <c r="A160" t="s">
        <v>66</v>
      </c>
      <c r="B160" t="s">
        <v>69</v>
      </c>
      <c r="C160">
        <v>32</v>
      </c>
      <c r="D160" t="s">
        <v>83</v>
      </c>
      <c r="E160" t="s">
        <v>86</v>
      </c>
      <c r="F160" t="s">
        <v>85</v>
      </c>
      <c r="G160">
        <v>0.61923158754493401</v>
      </c>
      <c r="H160">
        <v>2E+20</v>
      </c>
      <c r="I160">
        <v>0</v>
      </c>
      <c r="J160">
        <v>1</v>
      </c>
      <c r="K160">
        <v>1</v>
      </c>
      <c r="L160">
        <v>0</v>
      </c>
      <c r="M160" s="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160" s="5" cm="1">
        <f t="array" ref="N160">MAX(IF((ProjectInfoTable[ProjectName]=ContinuousStatsTable[[#This Row],[ProjectName]]),(ProjectInfoTable[ProjectName]=ContinuousStatsTable[[#This Row],[ProjectName]])*ProjectInfoTable[NumberOfReplications]))</f>
        <v>50</v>
      </c>
      <c r="O160" s="5" cm="1">
        <f t="array" ref="O160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160" s="5" cm="1">
        <f t="array" ref="P160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160" s="5" cm="1">
        <f t="array" ref="Q160">MAX(IF((ProjectInfoTable[ProjectName]=ContinuousStatsTable[[#This Row],[ProjectName]]),(ProjectInfoTable[ProjectName]=ContinuousStatsTable[[#This Row],[ProjectName]])*ProjectInfoTable[ConfidenceInterval]))</f>
        <v>0.95</v>
      </c>
      <c r="R16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160" s="5" cm="1">
        <f t="array" ref="S160">MIN(IF((ContinuousStatsTable[GroupByKey]=ContinuousStatsTable[[#This Row],[GroupByKey]]),(ContinuousStatsTable[GroupByKey]=ContinuousStatsTable[[#This Row],[GroupByKey]])*ContinuousStatsTable[Average]))</f>
        <v>0.60846830422583797</v>
      </c>
      <c r="T160" s="5" cm="1">
        <f t="array" ref="T160">MAX(IF((ContinuousStatsTable[GroupByKey]=ContinuousStatsTable[[#This Row],[GroupByKey]]),(ContinuousStatsTable[GroupByKey]=ContinuousStatsTable[[#This Row],[GroupByKey]])*ContinuousStatsTable[Average]))</f>
        <v>1</v>
      </c>
      <c r="U160" s="5">
        <f>IF((ContinuousStatsTable[[#This Row],[RepsRequested]]&gt;1),ContinuousStatsTable[[#This Row],[HalfWidth]],ContinuousStatsTable[[#This Row],[BatchMeansHalfWidth]])</f>
        <v>3.350588705034975E-2</v>
      </c>
    </row>
    <row r="161" spans="1:21" x14ac:dyDescent="0.35">
      <c r="A161" t="s">
        <v>66</v>
      </c>
      <c r="B161" t="s">
        <v>69</v>
      </c>
      <c r="C161">
        <v>32</v>
      </c>
      <c r="D161" t="s">
        <v>83</v>
      </c>
      <c r="E161" t="s">
        <v>87</v>
      </c>
      <c r="F161" t="s">
        <v>85</v>
      </c>
      <c r="G161">
        <v>1</v>
      </c>
      <c r="H161">
        <v>2E+20</v>
      </c>
      <c r="I161">
        <v>1</v>
      </c>
      <c r="J161">
        <v>1</v>
      </c>
      <c r="K161">
        <v>1</v>
      </c>
      <c r="L161">
        <v>0</v>
      </c>
      <c r="M161" s="5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161" s="5" cm="1">
        <f t="array" ref="N161">MAX(IF((ProjectInfoTable[ProjectName]=ContinuousStatsTable[[#This Row],[ProjectName]]),(ProjectInfoTable[ProjectName]=ContinuousStatsTable[[#This Row],[ProjectName]])*ProjectInfoTable[NumberOfReplications]))</f>
        <v>50</v>
      </c>
      <c r="O161" s="5" cm="1">
        <f t="array" ref="O161">IFERROR(AVERAGE(IF((ContinuousStatsTable[GroupByKey]=ContinuousStatsTable[[#This Row],[GroupByKey]]),(ContinuousStatsTable[GroupByKey]=ContinuousStatsTable[[#This Row],[GroupByKey]])*ContinuousStatsTable[Average])),0)</f>
        <v>1</v>
      </c>
      <c r="P161" s="5" cm="1">
        <f t="array" ref="P161">IFERROR(_xlfn.STDEV.S(IF((ContinuousStatsTable[GroupByKey]=ContinuousStatsTable[[#This Row],[GroupByKey]]),(ContinuousStatsTable[GroupByKey]=ContinuousStatsTable[[#This Row],[GroupByKey]])*ContinuousStatsTable[Average])),0)</f>
        <v>0</v>
      </c>
      <c r="Q161" s="5" cm="1">
        <f t="array" ref="Q161">MAX(IF((ProjectInfoTable[ProjectName]=ContinuousStatsTable[[#This Row],[ProjectName]]),(ProjectInfoTable[ProjectName]=ContinuousStatsTable[[#This Row],[ProjectName]])*ProjectInfoTable[ConfidenceInterval]))</f>
        <v>0.95</v>
      </c>
      <c r="R16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1" s="5" cm="1">
        <f t="array" ref="S161">MIN(IF((ContinuousStatsTable[GroupByKey]=ContinuousStatsTable[[#This Row],[GroupByKey]]),(ContinuousStatsTable[GroupByKey]=ContinuousStatsTable[[#This Row],[GroupByKey]])*ContinuousStatsTable[Average]))</f>
        <v>1</v>
      </c>
      <c r="T161" s="5" cm="1">
        <f t="array" ref="T161">MAX(IF((ContinuousStatsTable[GroupByKey]=ContinuousStatsTable[[#This Row],[GroupByKey]]),(ContinuousStatsTable[GroupByKey]=ContinuousStatsTable[[#This Row],[GroupByKey]])*ContinuousStatsTable[Average]))</f>
        <v>1</v>
      </c>
      <c r="U161" s="5">
        <f>IF((ContinuousStatsTable[[#This Row],[RepsRequested]]&gt;1),ContinuousStatsTable[[#This Row],[HalfWidth]],ContinuousStatsTable[[#This Row],[BatchMeansHalfWidth]])</f>
        <v>0</v>
      </c>
    </row>
    <row r="162" spans="1:21" x14ac:dyDescent="0.35">
      <c r="A162" t="s">
        <v>66</v>
      </c>
      <c r="B162" t="s">
        <v>69</v>
      </c>
      <c r="C162">
        <v>33</v>
      </c>
      <c r="D162" t="s">
        <v>70</v>
      </c>
      <c r="E162" t="s">
        <v>81</v>
      </c>
      <c r="F162" t="s">
        <v>72</v>
      </c>
      <c r="G162">
        <v>3.6660709419667898</v>
      </c>
      <c r="H162">
        <v>2E+20</v>
      </c>
      <c r="I162">
        <v>0</v>
      </c>
      <c r="J162">
        <v>6</v>
      </c>
      <c r="K162">
        <v>2</v>
      </c>
      <c r="L162">
        <v>0</v>
      </c>
      <c r="M162" s="5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162" s="5" cm="1">
        <f t="array" ref="N162">MAX(IF((ProjectInfoTable[ProjectName]=ContinuousStatsTable[[#This Row],[ProjectName]]),(ProjectInfoTable[ProjectName]=ContinuousStatsTable[[#This Row],[ProjectName]])*ProjectInfoTable[NumberOfReplications]))</f>
        <v>50</v>
      </c>
      <c r="O162" s="5" cm="1">
        <f t="array" ref="O162">IFERROR(AVERAGE(IF((ContinuousStatsTable[GroupByKey]=ContinuousStatsTable[[#This Row],[GroupByKey]]),(ContinuousStatsTable[GroupByKey]=ContinuousStatsTable[[#This Row],[GroupByKey]])*ContinuousStatsTable[Average])),0)</f>
        <v>2.1996658161417075</v>
      </c>
      <c r="P162" s="5" cm="1">
        <f t="array" ref="P162">IFERROR(_xlfn.STDEV.S(IF((ContinuousStatsTable[GroupByKey]=ContinuousStatsTable[[#This Row],[GroupByKey]]),(ContinuousStatsTable[GroupByKey]=ContinuousStatsTable[[#This Row],[GroupByKey]])*ContinuousStatsTable[Average])),0)</f>
        <v>1.1994598865431718</v>
      </c>
      <c r="Q162" s="5" cm="1">
        <f t="array" ref="Q162">MAX(IF((ProjectInfoTable[ProjectName]=ContinuousStatsTable[[#This Row],[ProjectName]]),(ProjectInfoTable[ProjectName]=ContinuousStatsTable[[#This Row],[ProjectName]])*ProjectInfoTable[ConfidenceInterval]))</f>
        <v>0.95</v>
      </c>
      <c r="R16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0.34088272804883424</v>
      </c>
      <c r="S162" s="5" cm="1">
        <f t="array" ref="S162">MIN(IF((ContinuousStatsTable[GroupByKey]=ContinuousStatsTable[[#This Row],[GroupByKey]]),(ContinuousStatsTable[GroupByKey]=ContinuousStatsTable[[#This Row],[GroupByKey]])*ContinuousStatsTable[Average]))</f>
        <v>0.70499985227053297</v>
      </c>
      <c r="T162" s="5" cm="1">
        <f t="array" ref="T162">MAX(IF((ContinuousStatsTable[GroupByKey]=ContinuousStatsTable[[#This Row],[GroupByKey]]),(ContinuousStatsTable[GroupByKey]=ContinuousStatsTable[[#This Row],[GroupByKey]])*ContinuousStatsTable[Average]))</f>
        <v>6.3083923025689197</v>
      </c>
      <c r="U162" s="5">
        <f>IF((ContinuousStatsTable[[#This Row],[RepsRequested]]&gt;1),ContinuousStatsTable[[#This Row],[HalfWidth]],ContinuousStatsTable[[#This Row],[BatchMeansHalfWidth]])</f>
        <v>0.34088272804883424</v>
      </c>
    </row>
    <row r="163" spans="1:21" x14ac:dyDescent="0.35">
      <c r="A163" t="s">
        <v>66</v>
      </c>
      <c r="B163" t="s">
        <v>69</v>
      </c>
      <c r="C163">
        <v>33</v>
      </c>
      <c r="D163" t="s">
        <v>78</v>
      </c>
      <c r="E163" t="s">
        <v>82</v>
      </c>
      <c r="F163" t="s">
        <v>80</v>
      </c>
      <c r="G163">
        <v>2.6660709419667898</v>
      </c>
      <c r="H163">
        <v>2E+20</v>
      </c>
      <c r="I163">
        <v>0</v>
      </c>
      <c r="J163">
        <v>5</v>
      </c>
      <c r="K163">
        <v>1</v>
      </c>
      <c r="L163">
        <v>0</v>
      </c>
      <c r="M163" s="5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163" s="5" cm="1">
        <f t="array" ref="N163">MAX(IF((ProjectInfoTable[ProjectName]=ContinuousStatsTable[[#This Row],[ProjectName]]),(ProjectInfoTable[ProjectName]=ContinuousStatsTable[[#This Row],[ProjectName]])*ProjectInfoTable[NumberOfReplications]))</f>
        <v>50</v>
      </c>
      <c r="O163" s="5" cm="1">
        <f t="array" ref="O163">IFERROR(AVERAGE(IF((ContinuousStatsTable[GroupByKey]=ContinuousStatsTable[[#This Row],[GroupByKey]]),(ContinuousStatsTable[GroupByKey]=ContinuousStatsTable[[#This Row],[GroupByKey]])*ContinuousStatsTable[Average])),0)</f>
        <v>1.2732860367273062</v>
      </c>
      <c r="P163" s="5" cm="1">
        <f t="array" ref="P163">IFERROR(_xlfn.STDEV.S(IF((ContinuousStatsTable[GroupByKey]=ContinuousStatsTable[[#This Row],[GroupByKey]]),(ContinuousStatsTable[GroupByKey]=ContinuousStatsTable[[#This Row],[GroupByKey]])*ContinuousStatsTable[Average])),0)</f>
        <v>1.137870000737736</v>
      </c>
      <c r="Q163" s="5" cm="1">
        <f t="array" ref="Q163">MAX(IF((ProjectInfoTable[ProjectName]=ContinuousStatsTable[[#This Row],[ProjectName]]),(ProjectInfoTable[ProjectName]=ContinuousStatsTable[[#This Row],[ProjectName]])*ProjectInfoTable[ConfidenceInterval]))</f>
        <v>0.95</v>
      </c>
      <c r="R16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0.32337907617258832</v>
      </c>
      <c r="S163" s="5" cm="1">
        <f t="array" ref="S163">MIN(IF((ContinuousStatsTable[GroupByKey]=ContinuousStatsTable[[#This Row],[GroupByKey]]),(ContinuousStatsTable[GroupByKey]=ContinuousStatsTable[[#This Row],[GroupByKey]])*ContinuousStatsTable[Average]))</f>
        <v>0</v>
      </c>
      <c r="T163" s="5" cm="1">
        <f t="array" ref="T163">MAX(IF((ContinuousStatsTable[GroupByKey]=ContinuousStatsTable[[#This Row],[GroupByKey]]),(ContinuousStatsTable[GroupByKey]=ContinuousStatsTable[[#This Row],[GroupByKey]])*ContinuousStatsTable[Average]))</f>
        <v>5.3083923025689197</v>
      </c>
      <c r="U163" s="5">
        <f>IF((ContinuousStatsTable[[#This Row],[RepsRequested]]&gt;1),ContinuousStatsTable[[#This Row],[HalfWidth]],ContinuousStatsTable[[#This Row],[BatchMeansHalfWidth]])</f>
        <v>0.32337907617258832</v>
      </c>
    </row>
    <row r="164" spans="1:21" x14ac:dyDescent="0.35">
      <c r="A164" t="s">
        <v>66</v>
      </c>
      <c r="B164" t="s">
        <v>69</v>
      </c>
      <c r="C164">
        <v>33</v>
      </c>
      <c r="D164" t="s">
        <v>83</v>
      </c>
      <c r="E164" t="s">
        <v>84</v>
      </c>
      <c r="F164" t="s">
        <v>85</v>
      </c>
      <c r="G164">
        <v>1</v>
      </c>
      <c r="H164">
        <v>2E+20</v>
      </c>
      <c r="I164">
        <v>0</v>
      </c>
      <c r="J164">
        <v>1</v>
      </c>
      <c r="K164">
        <v>1</v>
      </c>
      <c r="L164">
        <v>0</v>
      </c>
      <c r="M164" s="5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164" s="5" cm="1">
        <f t="array" ref="N164">MAX(IF((ProjectInfoTable[ProjectName]=ContinuousStatsTable[[#This Row],[ProjectName]]),(ProjectInfoTable[ProjectName]=ContinuousStatsTable[[#This Row],[ProjectName]])*ProjectInfoTable[NumberOfReplications]))</f>
        <v>50</v>
      </c>
      <c r="O164" s="5" cm="1">
        <f t="array" ref="O164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164" s="5" cm="1">
        <f t="array" ref="P164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164" s="5" cm="1">
        <f t="array" ref="Q164">MAX(IF((ProjectInfoTable[ProjectName]=ContinuousStatsTable[[#This Row],[ProjectName]]),(ProjectInfoTable[ProjectName]=ContinuousStatsTable[[#This Row],[ProjectName]])*ProjectInfoTable[ConfidenceInterval]))</f>
        <v>0.95</v>
      </c>
      <c r="R16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164" s="5" cm="1">
        <f t="array" ref="S164">MIN(IF((ContinuousStatsTable[GroupByKey]=ContinuousStatsTable[[#This Row],[GroupByKey]]),(ContinuousStatsTable[GroupByKey]=ContinuousStatsTable[[#This Row],[GroupByKey]])*ContinuousStatsTable[Average]))</f>
        <v>0.60846830422583797</v>
      </c>
      <c r="T164" s="5" cm="1">
        <f t="array" ref="T164">MAX(IF((ContinuousStatsTable[GroupByKey]=ContinuousStatsTable[[#This Row],[GroupByKey]]),(ContinuousStatsTable[GroupByKey]=ContinuousStatsTable[[#This Row],[GroupByKey]])*ContinuousStatsTable[Average]))</f>
        <v>1</v>
      </c>
      <c r="U164" s="5">
        <f>IF((ContinuousStatsTable[[#This Row],[RepsRequested]]&gt;1),ContinuousStatsTable[[#This Row],[HalfWidth]],ContinuousStatsTable[[#This Row],[BatchMeansHalfWidth]])</f>
        <v>3.350588705034975E-2</v>
      </c>
    </row>
    <row r="165" spans="1:21" x14ac:dyDescent="0.35">
      <c r="A165" t="s">
        <v>66</v>
      </c>
      <c r="B165" t="s">
        <v>69</v>
      </c>
      <c r="C165">
        <v>33</v>
      </c>
      <c r="D165" t="s">
        <v>83</v>
      </c>
      <c r="E165" t="s">
        <v>86</v>
      </c>
      <c r="F165" t="s">
        <v>85</v>
      </c>
      <c r="G165">
        <v>1</v>
      </c>
      <c r="H165">
        <v>2E+20</v>
      </c>
      <c r="I165">
        <v>0</v>
      </c>
      <c r="J165">
        <v>1</v>
      </c>
      <c r="K165">
        <v>1</v>
      </c>
      <c r="L165">
        <v>0</v>
      </c>
      <c r="M165" s="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165" s="5" cm="1">
        <f t="array" ref="N165">MAX(IF((ProjectInfoTable[ProjectName]=ContinuousStatsTable[[#This Row],[ProjectName]]),(ProjectInfoTable[ProjectName]=ContinuousStatsTable[[#This Row],[ProjectName]])*ProjectInfoTable[NumberOfReplications]))</f>
        <v>50</v>
      </c>
      <c r="O165" s="5" cm="1">
        <f t="array" ref="O165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165" s="5" cm="1">
        <f t="array" ref="P165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165" s="5" cm="1">
        <f t="array" ref="Q165">MAX(IF((ProjectInfoTable[ProjectName]=ContinuousStatsTable[[#This Row],[ProjectName]]),(ProjectInfoTable[ProjectName]=ContinuousStatsTable[[#This Row],[ProjectName]])*ProjectInfoTable[ConfidenceInterval]))</f>
        <v>0.95</v>
      </c>
      <c r="R16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165" s="5" cm="1">
        <f t="array" ref="S165">MIN(IF((ContinuousStatsTable[GroupByKey]=ContinuousStatsTable[[#This Row],[GroupByKey]]),(ContinuousStatsTable[GroupByKey]=ContinuousStatsTable[[#This Row],[GroupByKey]])*ContinuousStatsTable[Average]))</f>
        <v>0.60846830422583797</v>
      </c>
      <c r="T165" s="5" cm="1">
        <f t="array" ref="T165">MAX(IF((ContinuousStatsTable[GroupByKey]=ContinuousStatsTable[[#This Row],[GroupByKey]]),(ContinuousStatsTable[GroupByKey]=ContinuousStatsTable[[#This Row],[GroupByKey]])*ContinuousStatsTable[Average]))</f>
        <v>1</v>
      </c>
      <c r="U165" s="5">
        <f>IF((ContinuousStatsTable[[#This Row],[RepsRequested]]&gt;1),ContinuousStatsTable[[#This Row],[HalfWidth]],ContinuousStatsTable[[#This Row],[BatchMeansHalfWidth]])</f>
        <v>3.350588705034975E-2</v>
      </c>
    </row>
    <row r="166" spans="1:21" x14ac:dyDescent="0.35">
      <c r="A166" t="s">
        <v>66</v>
      </c>
      <c r="B166" t="s">
        <v>69</v>
      </c>
      <c r="C166">
        <v>33</v>
      </c>
      <c r="D166" t="s">
        <v>83</v>
      </c>
      <c r="E166" t="s">
        <v>87</v>
      </c>
      <c r="F166" t="s">
        <v>85</v>
      </c>
      <c r="G166">
        <v>1</v>
      </c>
      <c r="H166">
        <v>2E+20</v>
      </c>
      <c r="I166">
        <v>1</v>
      </c>
      <c r="J166">
        <v>1</v>
      </c>
      <c r="K166">
        <v>1</v>
      </c>
      <c r="L166">
        <v>0</v>
      </c>
      <c r="M166" s="5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166" s="5" cm="1">
        <f t="array" ref="N166">MAX(IF((ProjectInfoTable[ProjectName]=ContinuousStatsTable[[#This Row],[ProjectName]]),(ProjectInfoTable[ProjectName]=ContinuousStatsTable[[#This Row],[ProjectName]])*ProjectInfoTable[NumberOfReplications]))</f>
        <v>50</v>
      </c>
      <c r="O166" s="5" cm="1">
        <f t="array" ref="O166">IFERROR(AVERAGE(IF((ContinuousStatsTable[GroupByKey]=ContinuousStatsTable[[#This Row],[GroupByKey]]),(ContinuousStatsTable[GroupByKey]=ContinuousStatsTable[[#This Row],[GroupByKey]])*ContinuousStatsTable[Average])),0)</f>
        <v>1</v>
      </c>
      <c r="P166" s="5" cm="1">
        <f t="array" ref="P166">IFERROR(_xlfn.STDEV.S(IF((ContinuousStatsTable[GroupByKey]=ContinuousStatsTable[[#This Row],[GroupByKey]]),(ContinuousStatsTable[GroupByKey]=ContinuousStatsTable[[#This Row],[GroupByKey]])*ContinuousStatsTable[Average])),0)</f>
        <v>0</v>
      </c>
      <c r="Q166" s="5" cm="1">
        <f t="array" ref="Q166">MAX(IF((ProjectInfoTable[ProjectName]=ContinuousStatsTable[[#This Row],[ProjectName]]),(ProjectInfoTable[ProjectName]=ContinuousStatsTable[[#This Row],[ProjectName]])*ProjectInfoTable[ConfidenceInterval]))</f>
        <v>0.95</v>
      </c>
      <c r="R16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66" s="5" cm="1">
        <f t="array" ref="S166">MIN(IF((ContinuousStatsTable[GroupByKey]=ContinuousStatsTable[[#This Row],[GroupByKey]]),(ContinuousStatsTable[GroupByKey]=ContinuousStatsTable[[#This Row],[GroupByKey]])*ContinuousStatsTable[Average]))</f>
        <v>1</v>
      </c>
      <c r="T166" s="5" cm="1">
        <f t="array" ref="T166">MAX(IF((ContinuousStatsTable[GroupByKey]=ContinuousStatsTable[[#This Row],[GroupByKey]]),(ContinuousStatsTable[GroupByKey]=ContinuousStatsTable[[#This Row],[GroupByKey]])*ContinuousStatsTable[Average]))</f>
        <v>1</v>
      </c>
      <c r="U166" s="5">
        <f>IF((ContinuousStatsTable[[#This Row],[RepsRequested]]&gt;1),ContinuousStatsTable[[#This Row],[HalfWidth]],ContinuousStatsTable[[#This Row],[BatchMeansHalfWidth]])</f>
        <v>0</v>
      </c>
    </row>
    <row r="167" spans="1:21" x14ac:dyDescent="0.35">
      <c r="A167" t="s">
        <v>66</v>
      </c>
      <c r="B167" t="s">
        <v>69</v>
      </c>
      <c r="C167">
        <v>34</v>
      </c>
      <c r="D167" t="s">
        <v>70</v>
      </c>
      <c r="E167" t="s">
        <v>81</v>
      </c>
      <c r="F167" t="s">
        <v>72</v>
      </c>
      <c r="G167">
        <v>2.0406554138362898</v>
      </c>
      <c r="H167">
        <v>2E+20</v>
      </c>
      <c r="I167">
        <v>0</v>
      </c>
      <c r="J167">
        <v>3</v>
      </c>
      <c r="K167">
        <v>2</v>
      </c>
      <c r="L167">
        <v>0</v>
      </c>
      <c r="M167" s="5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167" s="5" cm="1">
        <f t="array" ref="N167">MAX(IF((ProjectInfoTable[ProjectName]=ContinuousStatsTable[[#This Row],[ProjectName]]),(ProjectInfoTable[ProjectName]=ContinuousStatsTable[[#This Row],[ProjectName]])*ProjectInfoTable[NumberOfReplications]))</f>
        <v>50</v>
      </c>
      <c r="O167" s="5" cm="1">
        <f t="array" ref="O167">IFERROR(AVERAGE(IF((ContinuousStatsTable[GroupByKey]=ContinuousStatsTable[[#This Row],[GroupByKey]]),(ContinuousStatsTable[GroupByKey]=ContinuousStatsTable[[#This Row],[GroupByKey]])*ContinuousStatsTable[Average])),0)</f>
        <v>2.1996658161417075</v>
      </c>
      <c r="P167" s="5" cm="1">
        <f t="array" ref="P167">IFERROR(_xlfn.STDEV.S(IF((ContinuousStatsTable[GroupByKey]=ContinuousStatsTable[[#This Row],[GroupByKey]]),(ContinuousStatsTable[GroupByKey]=ContinuousStatsTable[[#This Row],[GroupByKey]])*ContinuousStatsTable[Average])),0)</f>
        <v>1.1994598865431718</v>
      </c>
      <c r="Q167" s="5" cm="1">
        <f t="array" ref="Q167">MAX(IF((ProjectInfoTable[ProjectName]=ContinuousStatsTable[[#This Row],[ProjectName]]),(ProjectInfoTable[ProjectName]=ContinuousStatsTable[[#This Row],[ProjectName]])*ProjectInfoTable[ConfidenceInterval]))</f>
        <v>0.95</v>
      </c>
      <c r="R16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0.34088272804883424</v>
      </c>
      <c r="S167" s="5" cm="1">
        <f t="array" ref="S167">MIN(IF((ContinuousStatsTable[GroupByKey]=ContinuousStatsTable[[#This Row],[GroupByKey]]),(ContinuousStatsTable[GroupByKey]=ContinuousStatsTable[[#This Row],[GroupByKey]])*ContinuousStatsTable[Average]))</f>
        <v>0.70499985227053297</v>
      </c>
      <c r="T167" s="5" cm="1">
        <f t="array" ref="T167">MAX(IF((ContinuousStatsTable[GroupByKey]=ContinuousStatsTable[[#This Row],[GroupByKey]]),(ContinuousStatsTable[GroupByKey]=ContinuousStatsTable[[#This Row],[GroupByKey]])*ContinuousStatsTable[Average]))</f>
        <v>6.3083923025689197</v>
      </c>
      <c r="U167" s="5">
        <f>IF((ContinuousStatsTable[[#This Row],[RepsRequested]]&gt;1),ContinuousStatsTable[[#This Row],[HalfWidth]],ContinuousStatsTable[[#This Row],[BatchMeansHalfWidth]])</f>
        <v>0.34088272804883424</v>
      </c>
    </row>
    <row r="168" spans="1:21" x14ac:dyDescent="0.35">
      <c r="A168" t="s">
        <v>66</v>
      </c>
      <c r="B168" t="s">
        <v>69</v>
      </c>
      <c r="C168">
        <v>34</v>
      </c>
      <c r="D168" t="s">
        <v>78</v>
      </c>
      <c r="E168" t="s">
        <v>82</v>
      </c>
      <c r="F168" t="s">
        <v>80</v>
      </c>
      <c r="G168">
        <v>1.04065541383629</v>
      </c>
      <c r="H168">
        <v>2E+20</v>
      </c>
      <c r="I168">
        <v>0</v>
      </c>
      <c r="J168">
        <v>2</v>
      </c>
      <c r="K168">
        <v>1</v>
      </c>
      <c r="L168">
        <v>0</v>
      </c>
      <c r="M168" s="5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168" s="5" cm="1">
        <f t="array" ref="N168">MAX(IF((ProjectInfoTable[ProjectName]=ContinuousStatsTable[[#This Row],[ProjectName]]),(ProjectInfoTable[ProjectName]=ContinuousStatsTable[[#This Row],[ProjectName]])*ProjectInfoTable[NumberOfReplications]))</f>
        <v>50</v>
      </c>
      <c r="O168" s="5" cm="1">
        <f t="array" ref="O168">IFERROR(AVERAGE(IF((ContinuousStatsTable[GroupByKey]=ContinuousStatsTable[[#This Row],[GroupByKey]]),(ContinuousStatsTable[GroupByKey]=ContinuousStatsTable[[#This Row],[GroupByKey]])*ContinuousStatsTable[Average])),0)</f>
        <v>1.2732860367273062</v>
      </c>
      <c r="P168" s="5" cm="1">
        <f t="array" ref="P168">IFERROR(_xlfn.STDEV.S(IF((ContinuousStatsTable[GroupByKey]=ContinuousStatsTable[[#This Row],[GroupByKey]]),(ContinuousStatsTable[GroupByKey]=ContinuousStatsTable[[#This Row],[GroupByKey]])*ContinuousStatsTable[Average])),0)</f>
        <v>1.137870000737736</v>
      </c>
      <c r="Q168" s="5" cm="1">
        <f t="array" ref="Q168">MAX(IF((ProjectInfoTable[ProjectName]=ContinuousStatsTable[[#This Row],[ProjectName]]),(ProjectInfoTable[ProjectName]=ContinuousStatsTable[[#This Row],[ProjectName]])*ProjectInfoTable[ConfidenceInterval]))</f>
        <v>0.95</v>
      </c>
      <c r="R16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0.32337907617258832</v>
      </c>
      <c r="S168" s="5" cm="1">
        <f t="array" ref="S168">MIN(IF((ContinuousStatsTable[GroupByKey]=ContinuousStatsTable[[#This Row],[GroupByKey]]),(ContinuousStatsTable[GroupByKey]=ContinuousStatsTable[[#This Row],[GroupByKey]])*ContinuousStatsTable[Average]))</f>
        <v>0</v>
      </c>
      <c r="T168" s="5" cm="1">
        <f t="array" ref="T168">MAX(IF((ContinuousStatsTable[GroupByKey]=ContinuousStatsTable[[#This Row],[GroupByKey]]),(ContinuousStatsTable[GroupByKey]=ContinuousStatsTable[[#This Row],[GroupByKey]])*ContinuousStatsTable[Average]))</f>
        <v>5.3083923025689197</v>
      </c>
      <c r="U168" s="5">
        <f>IF((ContinuousStatsTable[[#This Row],[RepsRequested]]&gt;1),ContinuousStatsTable[[#This Row],[HalfWidth]],ContinuousStatsTable[[#This Row],[BatchMeansHalfWidth]])</f>
        <v>0.32337907617258832</v>
      </c>
    </row>
    <row r="169" spans="1:21" x14ac:dyDescent="0.35">
      <c r="A169" t="s">
        <v>66</v>
      </c>
      <c r="B169" t="s">
        <v>69</v>
      </c>
      <c r="C169">
        <v>34</v>
      </c>
      <c r="D169" t="s">
        <v>83</v>
      </c>
      <c r="E169" t="s">
        <v>84</v>
      </c>
      <c r="F169" t="s">
        <v>85</v>
      </c>
      <c r="G169">
        <v>1</v>
      </c>
      <c r="H169">
        <v>2E+20</v>
      </c>
      <c r="I169">
        <v>0</v>
      </c>
      <c r="J169">
        <v>1</v>
      </c>
      <c r="K169">
        <v>1</v>
      </c>
      <c r="L169">
        <v>0</v>
      </c>
      <c r="M169" s="5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169" s="5" cm="1">
        <f t="array" ref="N169">MAX(IF((ProjectInfoTable[ProjectName]=ContinuousStatsTable[[#This Row],[ProjectName]]),(ProjectInfoTable[ProjectName]=ContinuousStatsTable[[#This Row],[ProjectName]])*ProjectInfoTable[NumberOfReplications]))</f>
        <v>50</v>
      </c>
      <c r="O169" s="5" cm="1">
        <f t="array" ref="O169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169" s="5" cm="1">
        <f t="array" ref="P169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169" s="5" cm="1">
        <f t="array" ref="Q169">MAX(IF((ProjectInfoTable[ProjectName]=ContinuousStatsTable[[#This Row],[ProjectName]]),(ProjectInfoTable[ProjectName]=ContinuousStatsTable[[#This Row],[ProjectName]])*ProjectInfoTable[ConfidenceInterval]))</f>
        <v>0.95</v>
      </c>
      <c r="R16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169" s="5" cm="1">
        <f t="array" ref="S169">MIN(IF((ContinuousStatsTable[GroupByKey]=ContinuousStatsTable[[#This Row],[GroupByKey]]),(ContinuousStatsTable[GroupByKey]=ContinuousStatsTable[[#This Row],[GroupByKey]])*ContinuousStatsTable[Average]))</f>
        <v>0.60846830422583797</v>
      </c>
      <c r="T169" s="5" cm="1">
        <f t="array" ref="T169">MAX(IF((ContinuousStatsTable[GroupByKey]=ContinuousStatsTable[[#This Row],[GroupByKey]]),(ContinuousStatsTable[GroupByKey]=ContinuousStatsTable[[#This Row],[GroupByKey]])*ContinuousStatsTable[Average]))</f>
        <v>1</v>
      </c>
      <c r="U169" s="5">
        <f>IF((ContinuousStatsTable[[#This Row],[RepsRequested]]&gt;1),ContinuousStatsTable[[#This Row],[HalfWidth]],ContinuousStatsTable[[#This Row],[BatchMeansHalfWidth]])</f>
        <v>3.350588705034975E-2</v>
      </c>
    </row>
    <row r="170" spans="1:21" x14ac:dyDescent="0.35">
      <c r="A170" t="s">
        <v>66</v>
      </c>
      <c r="B170" t="s">
        <v>69</v>
      </c>
      <c r="C170">
        <v>34</v>
      </c>
      <c r="D170" t="s">
        <v>83</v>
      </c>
      <c r="E170" t="s">
        <v>86</v>
      </c>
      <c r="F170" t="s">
        <v>85</v>
      </c>
      <c r="G170">
        <v>1</v>
      </c>
      <c r="H170">
        <v>2E+20</v>
      </c>
      <c r="I170">
        <v>0</v>
      </c>
      <c r="J170">
        <v>1</v>
      </c>
      <c r="K170">
        <v>1</v>
      </c>
      <c r="L170">
        <v>0</v>
      </c>
      <c r="M170" s="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170" s="5" cm="1">
        <f t="array" ref="N170">MAX(IF((ProjectInfoTable[ProjectName]=ContinuousStatsTable[[#This Row],[ProjectName]]),(ProjectInfoTable[ProjectName]=ContinuousStatsTable[[#This Row],[ProjectName]])*ProjectInfoTable[NumberOfReplications]))</f>
        <v>50</v>
      </c>
      <c r="O170" s="5" cm="1">
        <f t="array" ref="O170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170" s="5" cm="1">
        <f t="array" ref="P170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170" s="5" cm="1">
        <f t="array" ref="Q170">MAX(IF((ProjectInfoTable[ProjectName]=ContinuousStatsTable[[#This Row],[ProjectName]]),(ProjectInfoTable[ProjectName]=ContinuousStatsTable[[#This Row],[ProjectName]])*ProjectInfoTable[ConfidenceInterval]))</f>
        <v>0.95</v>
      </c>
      <c r="R17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170" s="5" cm="1">
        <f t="array" ref="S170">MIN(IF((ContinuousStatsTable[GroupByKey]=ContinuousStatsTable[[#This Row],[GroupByKey]]),(ContinuousStatsTable[GroupByKey]=ContinuousStatsTable[[#This Row],[GroupByKey]])*ContinuousStatsTable[Average]))</f>
        <v>0.60846830422583797</v>
      </c>
      <c r="T170" s="5" cm="1">
        <f t="array" ref="T170">MAX(IF((ContinuousStatsTable[GroupByKey]=ContinuousStatsTable[[#This Row],[GroupByKey]]),(ContinuousStatsTable[GroupByKey]=ContinuousStatsTable[[#This Row],[GroupByKey]])*ContinuousStatsTable[Average]))</f>
        <v>1</v>
      </c>
      <c r="U170" s="5">
        <f>IF((ContinuousStatsTable[[#This Row],[RepsRequested]]&gt;1),ContinuousStatsTable[[#This Row],[HalfWidth]],ContinuousStatsTable[[#This Row],[BatchMeansHalfWidth]])</f>
        <v>3.350588705034975E-2</v>
      </c>
    </row>
    <row r="171" spans="1:21" x14ac:dyDescent="0.35">
      <c r="A171" t="s">
        <v>66</v>
      </c>
      <c r="B171" t="s">
        <v>69</v>
      </c>
      <c r="C171">
        <v>34</v>
      </c>
      <c r="D171" t="s">
        <v>83</v>
      </c>
      <c r="E171" t="s">
        <v>87</v>
      </c>
      <c r="F171" t="s">
        <v>85</v>
      </c>
      <c r="G171">
        <v>1</v>
      </c>
      <c r="H171">
        <v>2E+20</v>
      </c>
      <c r="I171">
        <v>1</v>
      </c>
      <c r="J171">
        <v>1</v>
      </c>
      <c r="K171">
        <v>1</v>
      </c>
      <c r="L171">
        <v>0</v>
      </c>
      <c r="M171" s="5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171" s="5" cm="1">
        <f t="array" ref="N171">MAX(IF((ProjectInfoTable[ProjectName]=ContinuousStatsTable[[#This Row],[ProjectName]]),(ProjectInfoTable[ProjectName]=ContinuousStatsTable[[#This Row],[ProjectName]])*ProjectInfoTable[NumberOfReplications]))</f>
        <v>50</v>
      </c>
      <c r="O171" s="5" cm="1">
        <f t="array" ref="O171">IFERROR(AVERAGE(IF((ContinuousStatsTable[GroupByKey]=ContinuousStatsTable[[#This Row],[GroupByKey]]),(ContinuousStatsTable[GroupByKey]=ContinuousStatsTable[[#This Row],[GroupByKey]])*ContinuousStatsTable[Average])),0)</f>
        <v>1</v>
      </c>
      <c r="P171" s="5" cm="1">
        <f t="array" ref="P171">IFERROR(_xlfn.STDEV.S(IF((ContinuousStatsTable[GroupByKey]=ContinuousStatsTable[[#This Row],[GroupByKey]]),(ContinuousStatsTable[GroupByKey]=ContinuousStatsTable[[#This Row],[GroupByKey]])*ContinuousStatsTable[Average])),0)</f>
        <v>0</v>
      </c>
      <c r="Q171" s="5" cm="1">
        <f t="array" ref="Q171">MAX(IF((ProjectInfoTable[ProjectName]=ContinuousStatsTable[[#This Row],[ProjectName]]),(ProjectInfoTable[ProjectName]=ContinuousStatsTable[[#This Row],[ProjectName]])*ProjectInfoTable[ConfidenceInterval]))</f>
        <v>0.95</v>
      </c>
      <c r="R17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1" s="5" cm="1">
        <f t="array" ref="S171">MIN(IF((ContinuousStatsTable[GroupByKey]=ContinuousStatsTable[[#This Row],[GroupByKey]]),(ContinuousStatsTable[GroupByKey]=ContinuousStatsTable[[#This Row],[GroupByKey]])*ContinuousStatsTable[Average]))</f>
        <v>1</v>
      </c>
      <c r="T171" s="5" cm="1">
        <f t="array" ref="T171">MAX(IF((ContinuousStatsTable[GroupByKey]=ContinuousStatsTable[[#This Row],[GroupByKey]]),(ContinuousStatsTable[GroupByKey]=ContinuousStatsTable[[#This Row],[GroupByKey]])*ContinuousStatsTable[Average]))</f>
        <v>1</v>
      </c>
      <c r="U171" s="5">
        <f>IF((ContinuousStatsTable[[#This Row],[RepsRequested]]&gt;1),ContinuousStatsTable[[#This Row],[HalfWidth]],ContinuousStatsTable[[#This Row],[BatchMeansHalfWidth]])</f>
        <v>0</v>
      </c>
    </row>
    <row r="172" spans="1:21" x14ac:dyDescent="0.35">
      <c r="A172" t="s">
        <v>66</v>
      </c>
      <c r="B172" t="s">
        <v>69</v>
      </c>
      <c r="C172">
        <v>35</v>
      </c>
      <c r="D172" t="s">
        <v>70</v>
      </c>
      <c r="E172" t="s">
        <v>81</v>
      </c>
      <c r="F172" t="s">
        <v>72</v>
      </c>
      <c r="G172">
        <v>2.9582528160995101</v>
      </c>
      <c r="H172">
        <v>2E+20</v>
      </c>
      <c r="I172">
        <v>0</v>
      </c>
      <c r="J172">
        <v>5</v>
      </c>
      <c r="K172">
        <v>4</v>
      </c>
      <c r="L172">
        <v>0</v>
      </c>
      <c r="M172" s="5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172" s="5" cm="1">
        <f t="array" ref="N172">MAX(IF((ProjectInfoTable[ProjectName]=ContinuousStatsTable[[#This Row],[ProjectName]]),(ProjectInfoTable[ProjectName]=ContinuousStatsTable[[#This Row],[ProjectName]])*ProjectInfoTable[NumberOfReplications]))</f>
        <v>50</v>
      </c>
      <c r="O172" s="5" cm="1">
        <f t="array" ref="O172">IFERROR(AVERAGE(IF((ContinuousStatsTable[GroupByKey]=ContinuousStatsTable[[#This Row],[GroupByKey]]),(ContinuousStatsTable[GroupByKey]=ContinuousStatsTable[[#This Row],[GroupByKey]])*ContinuousStatsTable[Average])),0)</f>
        <v>2.1996658161417075</v>
      </c>
      <c r="P172" s="5" cm="1">
        <f t="array" ref="P172">IFERROR(_xlfn.STDEV.S(IF((ContinuousStatsTable[GroupByKey]=ContinuousStatsTable[[#This Row],[GroupByKey]]),(ContinuousStatsTable[GroupByKey]=ContinuousStatsTable[[#This Row],[GroupByKey]])*ContinuousStatsTable[Average])),0)</f>
        <v>1.1994598865431718</v>
      </c>
      <c r="Q172" s="5" cm="1">
        <f t="array" ref="Q172">MAX(IF((ProjectInfoTable[ProjectName]=ContinuousStatsTable[[#This Row],[ProjectName]]),(ProjectInfoTable[ProjectName]=ContinuousStatsTable[[#This Row],[ProjectName]])*ProjectInfoTable[ConfidenceInterval]))</f>
        <v>0.95</v>
      </c>
      <c r="R17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0.34088272804883424</v>
      </c>
      <c r="S172" s="5" cm="1">
        <f t="array" ref="S172">MIN(IF((ContinuousStatsTable[GroupByKey]=ContinuousStatsTable[[#This Row],[GroupByKey]]),(ContinuousStatsTable[GroupByKey]=ContinuousStatsTable[[#This Row],[GroupByKey]])*ContinuousStatsTable[Average]))</f>
        <v>0.70499985227053297</v>
      </c>
      <c r="T172" s="5" cm="1">
        <f t="array" ref="T172">MAX(IF((ContinuousStatsTable[GroupByKey]=ContinuousStatsTable[[#This Row],[GroupByKey]]),(ContinuousStatsTable[GroupByKey]=ContinuousStatsTable[[#This Row],[GroupByKey]])*ContinuousStatsTable[Average]))</f>
        <v>6.3083923025689197</v>
      </c>
      <c r="U172" s="5">
        <f>IF((ContinuousStatsTable[[#This Row],[RepsRequested]]&gt;1),ContinuousStatsTable[[#This Row],[HalfWidth]],ContinuousStatsTable[[#This Row],[BatchMeansHalfWidth]])</f>
        <v>0.34088272804883424</v>
      </c>
    </row>
    <row r="173" spans="1:21" x14ac:dyDescent="0.35">
      <c r="A173" t="s">
        <v>66</v>
      </c>
      <c r="B173" t="s">
        <v>69</v>
      </c>
      <c r="C173">
        <v>35</v>
      </c>
      <c r="D173" t="s">
        <v>78</v>
      </c>
      <c r="E173" t="s">
        <v>82</v>
      </c>
      <c r="F173" t="s">
        <v>80</v>
      </c>
      <c r="G173">
        <v>1.9582528160995101</v>
      </c>
      <c r="H173">
        <v>2E+20</v>
      </c>
      <c r="I173">
        <v>0</v>
      </c>
      <c r="J173">
        <v>4</v>
      </c>
      <c r="K173">
        <v>3</v>
      </c>
      <c r="L173">
        <v>0</v>
      </c>
      <c r="M173" s="5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173" s="5" cm="1">
        <f t="array" ref="N173">MAX(IF((ProjectInfoTable[ProjectName]=ContinuousStatsTable[[#This Row],[ProjectName]]),(ProjectInfoTable[ProjectName]=ContinuousStatsTable[[#This Row],[ProjectName]])*ProjectInfoTable[NumberOfReplications]))</f>
        <v>50</v>
      </c>
      <c r="O173" s="5" cm="1">
        <f t="array" ref="O173">IFERROR(AVERAGE(IF((ContinuousStatsTable[GroupByKey]=ContinuousStatsTable[[#This Row],[GroupByKey]]),(ContinuousStatsTable[GroupByKey]=ContinuousStatsTable[[#This Row],[GroupByKey]])*ContinuousStatsTable[Average])),0)</f>
        <v>1.2732860367273062</v>
      </c>
      <c r="P173" s="5" cm="1">
        <f t="array" ref="P173">IFERROR(_xlfn.STDEV.S(IF((ContinuousStatsTable[GroupByKey]=ContinuousStatsTable[[#This Row],[GroupByKey]]),(ContinuousStatsTable[GroupByKey]=ContinuousStatsTable[[#This Row],[GroupByKey]])*ContinuousStatsTable[Average])),0)</f>
        <v>1.137870000737736</v>
      </c>
      <c r="Q173" s="5" cm="1">
        <f t="array" ref="Q173">MAX(IF((ProjectInfoTable[ProjectName]=ContinuousStatsTable[[#This Row],[ProjectName]]),(ProjectInfoTable[ProjectName]=ContinuousStatsTable[[#This Row],[ProjectName]])*ProjectInfoTable[ConfidenceInterval]))</f>
        <v>0.95</v>
      </c>
      <c r="R17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0.32337907617258832</v>
      </c>
      <c r="S173" s="5" cm="1">
        <f t="array" ref="S173">MIN(IF((ContinuousStatsTable[GroupByKey]=ContinuousStatsTable[[#This Row],[GroupByKey]]),(ContinuousStatsTable[GroupByKey]=ContinuousStatsTable[[#This Row],[GroupByKey]])*ContinuousStatsTable[Average]))</f>
        <v>0</v>
      </c>
      <c r="T173" s="5" cm="1">
        <f t="array" ref="T173">MAX(IF((ContinuousStatsTable[GroupByKey]=ContinuousStatsTable[[#This Row],[GroupByKey]]),(ContinuousStatsTable[GroupByKey]=ContinuousStatsTable[[#This Row],[GroupByKey]])*ContinuousStatsTable[Average]))</f>
        <v>5.3083923025689197</v>
      </c>
      <c r="U173" s="5">
        <f>IF((ContinuousStatsTable[[#This Row],[RepsRequested]]&gt;1),ContinuousStatsTable[[#This Row],[HalfWidth]],ContinuousStatsTable[[#This Row],[BatchMeansHalfWidth]])</f>
        <v>0.32337907617258832</v>
      </c>
    </row>
    <row r="174" spans="1:21" x14ac:dyDescent="0.35">
      <c r="A174" t="s">
        <v>66</v>
      </c>
      <c r="B174" t="s">
        <v>69</v>
      </c>
      <c r="C174">
        <v>35</v>
      </c>
      <c r="D174" t="s">
        <v>83</v>
      </c>
      <c r="E174" t="s">
        <v>84</v>
      </c>
      <c r="F174" t="s">
        <v>85</v>
      </c>
      <c r="G174">
        <v>1</v>
      </c>
      <c r="H174">
        <v>2E+20</v>
      </c>
      <c r="I174">
        <v>0</v>
      </c>
      <c r="J174">
        <v>1</v>
      </c>
      <c r="K174">
        <v>1</v>
      </c>
      <c r="L174">
        <v>0</v>
      </c>
      <c r="M174" s="5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174" s="5" cm="1">
        <f t="array" ref="N174">MAX(IF((ProjectInfoTable[ProjectName]=ContinuousStatsTable[[#This Row],[ProjectName]]),(ProjectInfoTable[ProjectName]=ContinuousStatsTable[[#This Row],[ProjectName]])*ProjectInfoTable[NumberOfReplications]))</f>
        <v>50</v>
      </c>
      <c r="O174" s="5" cm="1">
        <f t="array" ref="O174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174" s="5" cm="1">
        <f t="array" ref="P174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174" s="5" cm="1">
        <f t="array" ref="Q174">MAX(IF((ProjectInfoTable[ProjectName]=ContinuousStatsTable[[#This Row],[ProjectName]]),(ProjectInfoTable[ProjectName]=ContinuousStatsTable[[#This Row],[ProjectName]])*ProjectInfoTable[ConfidenceInterval]))</f>
        <v>0.95</v>
      </c>
      <c r="R17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174" s="5" cm="1">
        <f t="array" ref="S174">MIN(IF((ContinuousStatsTable[GroupByKey]=ContinuousStatsTable[[#This Row],[GroupByKey]]),(ContinuousStatsTable[GroupByKey]=ContinuousStatsTable[[#This Row],[GroupByKey]])*ContinuousStatsTable[Average]))</f>
        <v>0.60846830422583797</v>
      </c>
      <c r="T174" s="5" cm="1">
        <f t="array" ref="T174">MAX(IF((ContinuousStatsTable[GroupByKey]=ContinuousStatsTable[[#This Row],[GroupByKey]]),(ContinuousStatsTable[GroupByKey]=ContinuousStatsTable[[#This Row],[GroupByKey]])*ContinuousStatsTable[Average]))</f>
        <v>1</v>
      </c>
      <c r="U174" s="5">
        <f>IF((ContinuousStatsTable[[#This Row],[RepsRequested]]&gt;1),ContinuousStatsTable[[#This Row],[HalfWidth]],ContinuousStatsTable[[#This Row],[BatchMeansHalfWidth]])</f>
        <v>3.350588705034975E-2</v>
      </c>
    </row>
    <row r="175" spans="1:21" x14ac:dyDescent="0.35">
      <c r="A175" t="s">
        <v>66</v>
      </c>
      <c r="B175" t="s">
        <v>69</v>
      </c>
      <c r="C175">
        <v>35</v>
      </c>
      <c r="D175" t="s">
        <v>83</v>
      </c>
      <c r="E175" t="s">
        <v>86</v>
      </c>
      <c r="F175" t="s">
        <v>85</v>
      </c>
      <c r="G175">
        <v>1</v>
      </c>
      <c r="H175">
        <v>2E+20</v>
      </c>
      <c r="I175">
        <v>0</v>
      </c>
      <c r="J175">
        <v>1</v>
      </c>
      <c r="K175">
        <v>1</v>
      </c>
      <c r="L175">
        <v>0</v>
      </c>
      <c r="M175" s="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175" s="5" cm="1">
        <f t="array" ref="N175">MAX(IF((ProjectInfoTable[ProjectName]=ContinuousStatsTable[[#This Row],[ProjectName]]),(ProjectInfoTable[ProjectName]=ContinuousStatsTable[[#This Row],[ProjectName]])*ProjectInfoTable[NumberOfReplications]))</f>
        <v>50</v>
      </c>
      <c r="O175" s="5" cm="1">
        <f t="array" ref="O175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175" s="5" cm="1">
        <f t="array" ref="P175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175" s="5" cm="1">
        <f t="array" ref="Q175">MAX(IF((ProjectInfoTable[ProjectName]=ContinuousStatsTable[[#This Row],[ProjectName]]),(ProjectInfoTable[ProjectName]=ContinuousStatsTable[[#This Row],[ProjectName]])*ProjectInfoTable[ConfidenceInterval]))</f>
        <v>0.95</v>
      </c>
      <c r="R17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175" s="5" cm="1">
        <f t="array" ref="S175">MIN(IF((ContinuousStatsTable[GroupByKey]=ContinuousStatsTable[[#This Row],[GroupByKey]]),(ContinuousStatsTable[GroupByKey]=ContinuousStatsTable[[#This Row],[GroupByKey]])*ContinuousStatsTable[Average]))</f>
        <v>0.60846830422583797</v>
      </c>
      <c r="T175" s="5" cm="1">
        <f t="array" ref="T175">MAX(IF((ContinuousStatsTable[GroupByKey]=ContinuousStatsTable[[#This Row],[GroupByKey]]),(ContinuousStatsTable[GroupByKey]=ContinuousStatsTable[[#This Row],[GroupByKey]])*ContinuousStatsTable[Average]))</f>
        <v>1</v>
      </c>
      <c r="U175" s="5">
        <f>IF((ContinuousStatsTable[[#This Row],[RepsRequested]]&gt;1),ContinuousStatsTable[[#This Row],[HalfWidth]],ContinuousStatsTable[[#This Row],[BatchMeansHalfWidth]])</f>
        <v>3.350588705034975E-2</v>
      </c>
    </row>
    <row r="176" spans="1:21" x14ac:dyDescent="0.35">
      <c r="A176" t="s">
        <v>66</v>
      </c>
      <c r="B176" t="s">
        <v>69</v>
      </c>
      <c r="C176">
        <v>35</v>
      </c>
      <c r="D176" t="s">
        <v>83</v>
      </c>
      <c r="E176" t="s">
        <v>87</v>
      </c>
      <c r="F176" t="s">
        <v>85</v>
      </c>
      <c r="G176">
        <v>1</v>
      </c>
      <c r="H176">
        <v>2E+20</v>
      </c>
      <c r="I176">
        <v>1</v>
      </c>
      <c r="J176">
        <v>1</v>
      </c>
      <c r="K176">
        <v>1</v>
      </c>
      <c r="L176">
        <v>0</v>
      </c>
      <c r="M176" s="5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176" s="5" cm="1">
        <f t="array" ref="N176">MAX(IF((ProjectInfoTable[ProjectName]=ContinuousStatsTable[[#This Row],[ProjectName]]),(ProjectInfoTable[ProjectName]=ContinuousStatsTable[[#This Row],[ProjectName]])*ProjectInfoTable[NumberOfReplications]))</f>
        <v>50</v>
      </c>
      <c r="O176" s="5" cm="1">
        <f t="array" ref="O176">IFERROR(AVERAGE(IF((ContinuousStatsTable[GroupByKey]=ContinuousStatsTable[[#This Row],[GroupByKey]]),(ContinuousStatsTable[GroupByKey]=ContinuousStatsTable[[#This Row],[GroupByKey]])*ContinuousStatsTable[Average])),0)</f>
        <v>1</v>
      </c>
      <c r="P176" s="5" cm="1">
        <f t="array" ref="P176">IFERROR(_xlfn.STDEV.S(IF((ContinuousStatsTable[GroupByKey]=ContinuousStatsTable[[#This Row],[GroupByKey]]),(ContinuousStatsTable[GroupByKey]=ContinuousStatsTable[[#This Row],[GroupByKey]])*ContinuousStatsTable[Average])),0)</f>
        <v>0</v>
      </c>
      <c r="Q176" s="5" cm="1">
        <f t="array" ref="Q176">MAX(IF((ProjectInfoTable[ProjectName]=ContinuousStatsTable[[#This Row],[ProjectName]]),(ProjectInfoTable[ProjectName]=ContinuousStatsTable[[#This Row],[ProjectName]])*ProjectInfoTable[ConfidenceInterval]))</f>
        <v>0.95</v>
      </c>
      <c r="R17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76" s="5" cm="1">
        <f t="array" ref="S176">MIN(IF((ContinuousStatsTable[GroupByKey]=ContinuousStatsTable[[#This Row],[GroupByKey]]),(ContinuousStatsTable[GroupByKey]=ContinuousStatsTable[[#This Row],[GroupByKey]])*ContinuousStatsTable[Average]))</f>
        <v>1</v>
      </c>
      <c r="T176" s="5" cm="1">
        <f t="array" ref="T176">MAX(IF((ContinuousStatsTable[GroupByKey]=ContinuousStatsTable[[#This Row],[GroupByKey]]),(ContinuousStatsTable[GroupByKey]=ContinuousStatsTable[[#This Row],[GroupByKey]])*ContinuousStatsTable[Average]))</f>
        <v>1</v>
      </c>
      <c r="U176" s="5">
        <f>IF((ContinuousStatsTable[[#This Row],[RepsRequested]]&gt;1),ContinuousStatsTable[[#This Row],[HalfWidth]],ContinuousStatsTable[[#This Row],[BatchMeansHalfWidth]])</f>
        <v>0</v>
      </c>
    </row>
    <row r="177" spans="1:21" x14ac:dyDescent="0.35">
      <c r="A177" t="s">
        <v>66</v>
      </c>
      <c r="B177" t="s">
        <v>69</v>
      </c>
      <c r="C177">
        <v>36</v>
      </c>
      <c r="D177" t="s">
        <v>70</v>
      </c>
      <c r="E177" t="s">
        <v>81</v>
      </c>
      <c r="F177" t="s">
        <v>72</v>
      </c>
      <c r="G177">
        <v>2.5695378870383099</v>
      </c>
      <c r="H177">
        <v>2E+20</v>
      </c>
      <c r="I177">
        <v>0</v>
      </c>
      <c r="J177">
        <v>4</v>
      </c>
      <c r="K177">
        <v>3</v>
      </c>
      <c r="L177">
        <v>0</v>
      </c>
      <c r="M177" s="5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177" s="5" cm="1">
        <f t="array" ref="N177">MAX(IF((ProjectInfoTable[ProjectName]=ContinuousStatsTable[[#This Row],[ProjectName]]),(ProjectInfoTable[ProjectName]=ContinuousStatsTable[[#This Row],[ProjectName]])*ProjectInfoTable[NumberOfReplications]))</f>
        <v>50</v>
      </c>
      <c r="O177" s="5" cm="1">
        <f t="array" ref="O177">IFERROR(AVERAGE(IF((ContinuousStatsTable[GroupByKey]=ContinuousStatsTable[[#This Row],[GroupByKey]]),(ContinuousStatsTable[GroupByKey]=ContinuousStatsTable[[#This Row],[GroupByKey]])*ContinuousStatsTable[Average])),0)</f>
        <v>2.1996658161417075</v>
      </c>
      <c r="P177" s="5" cm="1">
        <f t="array" ref="P177">IFERROR(_xlfn.STDEV.S(IF((ContinuousStatsTable[GroupByKey]=ContinuousStatsTable[[#This Row],[GroupByKey]]),(ContinuousStatsTable[GroupByKey]=ContinuousStatsTable[[#This Row],[GroupByKey]])*ContinuousStatsTable[Average])),0)</f>
        <v>1.1994598865431718</v>
      </c>
      <c r="Q177" s="5" cm="1">
        <f t="array" ref="Q177">MAX(IF((ProjectInfoTable[ProjectName]=ContinuousStatsTable[[#This Row],[ProjectName]]),(ProjectInfoTable[ProjectName]=ContinuousStatsTable[[#This Row],[ProjectName]])*ProjectInfoTable[ConfidenceInterval]))</f>
        <v>0.95</v>
      </c>
      <c r="R17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0.34088272804883424</v>
      </c>
      <c r="S177" s="5" cm="1">
        <f t="array" ref="S177">MIN(IF((ContinuousStatsTable[GroupByKey]=ContinuousStatsTable[[#This Row],[GroupByKey]]),(ContinuousStatsTable[GroupByKey]=ContinuousStatsTable[[#This Row],[GroupByKey]])*ContinuousStatsTable[Average]))</f>
        <v>0.70499985227053297</v>
      </c>
      <c r="T177" s="5" cm="1">
        <f t="array" ref="T177">MAX(IF((ContinuousStatsTable[GroupByKey]=ContinuousStatsTable[[#This Row],[GroupByKey]]),(ContinuousStatsTable[GroupByKey]=ContinuousStatsTable[[#This Row],[GroupByKey]])*ContinuousStatsTable[Average]))</f>
        <v>6.3083923025689197</v>
      </c>
      <c r="U177" s="5">
        <f>IF((ContinuousStatsTable[[#This Row],[RepsRequested]]&gt;1),ContinuousStatsTable[[#This Row],[HalfWidth]],ContinuousStatsTable[[#This Row],[BatchMeansHalfWidth]])</f>
        <v>0.34088272804883424</v>
      </c>
    </row>
    <row r="178" spans="1:21" x14ac:dyDescent="0.35">
      <c r="A178" t="s">
        <v>66</v>
      </c>
      <c r="B178" t="s">
        <v>69</v>
      </c>
      <c r="C178">
        <v>36</v>
      </c>
      <c r="D178" t="s">
        <v>78</v>
      </c>
      <c r="E178" t="s">
        <v>82</v>
      </c>
      <c r="F178" t="s">
        <v>80</v>
      </c>
      <c r="G178">
        <v>1.5695378870383101</v>
      </c>
      <c r="H178">
        <v>2E+20</v>
      </c>
      <c r="I178">
        <v>0</v>
      </c>
      <c r="J178">
        <v>3</v>
      </c>
      <c r="K178">
        <v>2</v>
      </c>
      <c r="L178">
        <v>0</v>
      </c>
      <c r="M178" s="5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178" s="5" cm="1">
        <f t="array" ref="N178">MAX(IF((ProjectInfoTable[ProjectName]=ContinuousStatsTable[[#This Row],[ProjectName]]),(ProjectInfoTable[ProjectName]=ContinuousStatsTable[[#This Row],[ProjectName]])*ProjectInfoTable[NumberOfReplications]))</f>
        <v>50</v>
      </c>
      <c r="O178" s="5" cm="1">
        <f t="array" ref="O178">IFERROR(AVERAGE(IF((ContinuousStatsTable[GroupByKey]=ContinuousStatsTable[[#This Row],[GroupByKey]]),(ContinuousStatsTable[GroupByKey]=ContinuousStatsTable[[#This Row],[GroupByKey]])*ContinuousStatsTable[Average])),0)</f>
        <v>1.2732860367273062</v>
      </c>
      <c r="P178" s="5" cm="1">
        <f t="array" ref="P178">IFERROR(_xlfn.STDEV.S(IF((ContinuousStatsTable[GroupByKey]=ContinuousStatsTable[[#This Row],[GroupByKey]]),(ContinuousStatsTable[GroupByKey]=ContinuousStatsTable[[#This Row],[GroupByKey]])*ContinuousStatsTable[Average])),0)</f>
        <v>1.137870000737736</v>
      </c>
      <c r="Q178" s="5" cm="1">
        <f t="array" ref="Q178">MAX(IF((ProjectInfoTable[ProjectName]=ContinuousStatsTable[[#This Row],[ProjectName]]),(ProjectInfoTable[ProjectName]=ContinuousStatsTable[[#This Row],[ProjectName]])*ProjectInfoTable[ConfidenceInterval]))</f>
        <v>0.95</v>
      </c>
      <c r="R17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0.32337907617258832</v>
      </c>
      <c r="S178" s="5" cm="1">
        <f t="array" ref="S178">MIN(IF((ContinuousStatsTable[GroupByKey]=ContinuousStatsTable[[#This Row],[GroupByKey]]),(ContinuousStatsTable[GroupByKey]=ContinuousStatsTable[[#This Row],[GroupByKey]])*ContinuousStatsTable[Average]))</f>
        <v>0</v>
      </c>
      <c r="T178" s="5" cm="1">
        <f t="array" ref="T178">MAX(IF((ContinuousStatsTable[GroupByKey]=ContinuousStatsTable[[#This Row],[GroupByKey]]),(ContinuousStatsTable[GroupByKey]=ContinuousStatsTable[[#This Row],[GroupByKey]])*ContinuousStatsTable[Average]))</f>
        <v>5.3083923025689197</v>
      </c>
      <c r="U178" s="5">
        <f>IF((ContinuousStatsTable[[#This Row],[RepsRequested]]&gt;1),ContinuousStatsTable[[#This Row],[HalfWidth]],ContinuousStatsTable[[#This Row],[BatchMeansHalfWidth]])</f>
        <v>0.32337907617258832</v>
      </c>
    </row>
    <row r="179" spans="1:21" x14ac:dyDescent="0.35">
      <c r="A179" t="s">
        <v>66</v>
      </c>
      <c r="B179" t="s">
        <v>69</v>
      </c>
      <c r="C179">
        <v>36</v>
      </c>
      <c r="D179" t="s">
        <v>83</v>
      </c>
      <c r="E179" t="s">
        <v>84</v>
      </c>
      <c r="F179" t="s">
        <v>85</v>
      </c>
      <c r="G179">
        <v>1</v>
      </c>
      <c r="H179">
        <v>2E+20</v>
      </c>
      <c r="I179">
        <v>0</v>
      </c>
      <c r="J179">
        <v>1</v>
      </c>
      <c r="K179">
        <v>1</v>
      </c>
      <c r="L179">
        <v>0</v>
      </c>
      <c r="M179" s="5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179" s="5" cm="1">
        <f t="array" ref="N179">MAX(IF((ProjectInfoTable[ProjectName]=ContinuousStatsTable[[#This Row],[ProjectName]]),(ProjectInfoTable[ProjectName]=ContinuousStatsTable[[#This Row],[ProjectName]])*ProjectInfoTable[NumberOfReplications]))</f>
        <v>50</v>
      </c>
      <c r="O179" s="5" cm="1">
        <f t="array" ref="O179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179" s="5" cm="1">
        <f t="array" ref="P179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179" s="5" cm="1">
        <f t="array" ref="Q179">MAX(IF((ProjectInfoTable[ProjectName]=ContinuousStatsTable[[#This Row],[ProjectName]]),(ProjectInfoTable[ProjectName]=ContinuousStatsTable[[#This Row],[ProjectName]])*ProjectInfoTable[ConfidenceInterval]))</f>
        <v>0.95</v>
      </c>
      <c r="R17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179" s="5" cm="1">
        <f t="array" ref="S179">MIN(IF((ContinuousStatsTable[GroupByKey]=ContinuousStatsTable[[#This Row],[GroupByKey]]),(ContinuousStatsTable[GroupByKey]=ContinuousStatsTable[[#This Row],[GroupByKey]])*ContinuousStatsTable[Average]))</f>
        <v>0.60846830422583797</v>
      </c>
      <c r="T179" s="5" cm="1">
        <f t="array" ref="T179">MAX(IF((ContinuousStatsTable[GroupByKey]=ContinuousStatsTable[[#This Row],[GroupByKey]]),(ContinuousStatsTable[GroupByKey]=ContinuousStatsTable[[#This Row],[GroupByKey]])*ContinuousStatsTable[Average]))</f>
        <v>1</v>
      </c>
      <c r="U179" s="5">
        <f>IF((ContinuousStatsTable[[#This Row],[RepsRequested]]&gt;1),ContinuousStatsTable[[#This Row],[HalfWidth]],ContinuousStatsTable[[#This Row],[BatchMeansHalfWidth]])</f>
        <v>3.350588705034975E-2</v>
      </c>
    </row>
    <row r="180" spans="1:21" x14ac:dyDescent="0.35">
      <c r="A180" t="s">
        <v>66</v>
      </c>
      <c r="B180" t="s">
        <v>69</v>
      </c>
      <c r="C180">
        <v>36</v>
      </c>
      <c r="D180" t="s">
        <v>83</v>
      </c>
      <c r="E180" t="s">
        <v>86</v>
      </c>
      <c r="F180" t="s">
        <v>85</v>
      </c>
      <c r="G180">
        <v>1</v>
      </c>
      <c r="H180">
        <v>2E+20</v>
      </c>
      <c r="I180">
        <v>0</v>
      </c>
      <c r="J180">
        <v>1</v>
      </c>
      <c r="K180">
        <v>1</v>
      </c>
      <c r="L180">
        <v>0</v>
      </c>
      <c r="M180" s="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180" s="5" cm="1">
        <f t="array" ref="N180">MAX(IF((ProjectInfoTable[ProjectName]=ContinuousStatsTable[[#This Row],[ProjectName]]),(ProjectInfoTable[ProjectName]=ContinuousStatsTable[[#This Row],[ProjectName]])*ProjectInfoTable[NumberOfReplications]))</f>
        <v>50</v>
      </c>
      <c r="O180" s="5" cm="1">
        <f t="array" ref="O180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180" s="5" cm="1">
        <f t="array" ref="P180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180" s="5" cm="1">
        <f t="array" ref="Q180">MAX(IF((ProjectInfoTable[ProjectName]=ContinuousStatsTable[[#This Row],[ProjectName]]),(ProjectInfoTable[ProjectName]=ContinuousStatsTable[[#This Row],[ProjectName]])*ProjectInfoTable[ConfidenceInterval]))</f>
        <v>0.95</v>
      </c>
      <c r="R18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180" s="5" cm="1">
        <f t="array" ref="S180">MIN(IF((ContinuousStatsTable[GroupByKey]=ContinuousStatsTable[[#This Row],[GroupByKey]]),(ContinuousStatsTable[GroupByKey]=ContinuousStatsTable[[#This Row],[GroupByKey]])*ContinuousStatsTable[Average]))</f>
        <v>0.60846830422583797</v>
      </c>
      <c r="T180" s="5" cm="1">
        <f t="array" ref="T180">MAX(IF((ContinuousStatsTable[GroupByKey]=ContinuousStatsTable[[#This Row],[GroupByKey]]),(ContinuousStatsTable[GroupByKey]=ContinuousStatsTable[[#This Row],[GroupByKey]])*ContinuousStatsTable[Average]))</f>
        <v>1</v>
      </c>
      <c r="U180" s="5">
        <f>IF((ContinuousStatsTable[[#This Row],[RepsRequested]]&gt;1),ContinuousStatsTable[[#This Row],[HalfWidth]],ContinuousStatsTable[[#This Row],[BatchMeansHalfWidth]])</f>
        <v>3.350588705034975E-2</v>
      </c>
    </row>
    <row r="181" spans="1:21" x14ac:dyDescent="0.35">
      <c r="A181" t="s">
        <v>66</v>
      </c>
      <c r="B181" t="s">
        <v>69</v>
      </c>
      <c r="C181">
        <v>36</v>
      </c>
      <c r="D181" t="s">
        <v>83</v>
      </c>
      <c r="E181" t="s">
        <v>87</v>
      </c>
      <c r="F181" t="s">
        <v>85</v>
      </c>
      <c r="G181">
        <v>1</v>
      </c>
      <c r="H181">
        <v>2E+20</v>
      </c>
      <c r="I181">
        <v>1</v>
      </c>
      <c r="J181">
        <v>1</v>
      </c>
      <c r="K181">
        <v>1</v>
      </c>
      <c r="L181">
        <v>0</v>
      </c>
      <c r="M181" s="5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181" s="5" cm="1">
        <f t="array" ref="N181">MAX(IF((ProjectInfoTable[ProjectName]=ContinuousStatsTable[[#This Row],[ProjectName]]),(ProjectInfoTable[ProjectName]=ContinuousStatsTable[[#This Row],[ProjectName]])*ProjectInfoTable[NumberOfReplications]))</f>
        <v>50</v>
      </c>
      <c r="O181" s="5" cm="1">
        <f t="array" ref="O181">IFERROR(AVERAGE(IF((ContinuousStatsTable[GroupByKey]=ContinuousStatsTable[[#This Row],[GroupByKey]]),(ContinuousStatsTable[GroupByKey]=ContinuousStatsTable[[#This Row],[GroupByKey]])*ContinuousStatsTable[Average])),0)</f>
        <v>1</v>
      </c>
      <c r="P181" s="5" cm="1">
        <f t="array" ref="P181">IFERROR(_xlfn.STDEV.S(IF((ContinuousStatsTable[GroupByKey]=ContinuousStatsTable[[#This Row],[GroupByKey]]),(ContinuousStatsTable[GroupByKey]=ContinuousStatsTable[[#This Row],[GroupByKey]])*ContinuousStatsTable[Average])),0)</f>
        <v>0</v>
      </c>
      <c r="Q181" s="5" cm="1">
        <f t="array" ref="Q181">MAX(IF((ProjectInfoTable[ProjectName]=ContinuousStatsTable[[#This Row],[ProjectName]]),(ProjectInfoTable[ProjectName]=ContinuousStatsTable[[#This Row],[ProjectName]])*ProjectInfoTable[ConfidenceInterval]))</f>
        <v>0.95</v>
      </c>
      <c r="R18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1" s="5" cm="1">
        <f t="array" ref="S181">MIN(IF((ContinuousStatsTable[GroupByKey]=ContinuousStatsTable[[#This Row],[GroupByKey]]),(ContinuousStatsTable[GroupByKey]=ContinuousStatsTable[[#This Row],[GroupByKey]])*ContinuousStatsTable[Average]))</f>
        <v>1</v>
      </c>
      <c r="T181" s="5" cm="1">
        <f t="array" ref="T181">MAX(IF((ContinuousStatsTable[GroupByKey]=ContinuousStatsTable[[#This Row],[GroupByKey]]),(ContinuousStatsTable[GroupByKey]=ContinuousStatsTable[[#This Row],[GroupByKey]])*ContinuousStatsTable[Average]))</f>
        <v>1</v>
      </c>
      <c r="U181" s="5">
        <f>IF((ContinuousStatsTable[[#This Row],[RepsRequested]]&gt;1),ContinuousStatsTable[[#This Row],[HalfWidth]],ContinuousStatsTable[[#This Row],[BatchMeansHalfWidth]])</f>
        <v>0</v>
      </c>
    </row>
    <row r="182" spans="1:21" x14ac:dyDescent="0.35">
      <c r="A182" t="s">
        <v>66</v>
      </c>
      <c r="B182" t="s">
        <v>69</v>
      </c>
      <c r="C182">
        <v>37</v>
      </c>
      <c r="D182" t="s">
        <v>70</v>
      </c>
      <c r="E182" t="s">
        <v>81</v>
      </c>
      <c r="F182" t="s">
        <v>72</v>
      </c>
      <c r="G182">
        <v>6.0440744204149102</v>
      </c>
      <c r="H182">
        <v>2E+20</v>
      </c>
      <c r="I182">
        <v>0</v>
      </c>
      <c r="J182">
        <v>9</v>
      </c>
      <c r="K182">
        <v>8</v>
      </c>
      <c r="L182">
        <v>0</v>
      </c>
      <c r="M182" s="5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182" s="5" cm="1">
        <f t="array" ref="N182">MAX(IF((ProjectInfoTable[ProjectName]=ContinuousStatsTable[[#This Row],[ProjectName]]),(ProjectInfoTable[ProjectName]=ContinuousStatsTable[[#This Row],[ProjectName]])*ProjectInfoTable[NumberOfReplications]))</f>
        <v>50</v>
      </c>
      <c r="O182" s="5" cm="1">
        <f t="array" ref="O182">IFERROR(AVERAGE(IF((ContinuousStatsTable[GroupByKey]=ContinuousStatsTable[[#This Row],[GroupByKey]]),(ContinuousStatsTable[GroupByKey]=ContinuousStatsTable[[#This Row],[GroupByKey]])*ContinuousStatsTable[Average])),0)</f>
        <v>2.1996658161417075</v>
      </c>
      <c r="P182" s="5" cm="1">
        <f t="array" ref="P182">IFERROR(_xlfn.STDEV.S(IF((ContinuousStatsTable[GroupByKey]=ContinuousStatsTable[[#This Row],[GroupByKey]]),(ContinuousStatsTable[GroupByKey]=ContinuousStatsTable[[#This Row],[GroupByKey]])*ContinuousStatsTable[Average])),0)</f>
        <v>1.1994598865431718</v>
      </c>
      <c r="Q182" s="5" cm="1">
        <f t="array" ref="Q182">MAX(IF((ProjectInfoTable[ProjectName]=ContinuousStatsTable[[#This Row],[ProjectName]]),(ProjectInfoTable[ProjectName]=ContinuousStatsTable[[#This Row],[ProjectName]])*ProjectInfoTable[ConfidenceInterval]))</f>
        <v>0.95</v>
      </c>
      <c r="R18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0.34088272804883424</v>
      </c>
      <c r="S182" s="5" cm="1">
        <f t="array" ref="S182">MIN(IF((ContinuousStatsTable[GroupByKey]=ContinuousStatsTable[[#This Row],[GroupByKey]]),(ContinuousStatsTable[GroupByKey]=ContinuousStatsTable[[#This Row],[GroupByKey]])*ContinuousStatsTable[Average]))</f>
        <v>0.70499985227053297</v>
      </c>
      <c r="T182" s="5" cm="1">
        <f t="array" ref="T182">MAX(IF((ContinuousStatsTable[GroupByKey]=ContinuousStatsTable[[#This Row],[GroupByKey]]),(ContinuousStatsTable[GroupByKey]=ContinuousStatsTable[[#This Row],[GroupByKey]])*ContinuousStatsTable[Average]))</f>
        <v>6.3083923025689197</v>
      </c>
      <c r="U182" s="5">
        <f>IF((ContinuousStatsTable[[#This Row],[RepsRequested]]&gt;1),ContinuousStatsTable[[#This Row],[HalfWidth]],ContinuousStatsTable[[#This Row],[BatchMeansHalfWidth]])</f>
        <v>0.34088272804883424</v>
      </c>
    </row>
    <row r="183" spans="1:21" x14ac:dyDescent="0.35">
      <c r="A183" t="s">
        <v>66</v>
      </c>
      <c r="B183" t="s">
        <v>69</v>
      </c>
      <c r="C183">
        <v>37</v>
      </c>
      <c r="D183" t="s">
        <v>78</v>
      </c>
      <c r="E183" t="s">
        <v>82</v>
      </c>
      <c r="F183" t="s">
        <v>80</v>
      </c>
      <c r="G183">
        <v>5.0440744204149102</v>
      </c>
      <c r="H183">
        <v>2E+20</v>
      </c>
      <c r="I183">
        <v>0</v>
      </c>
      <c r="J183">
        <v>8</v>
      </c>
      <c r="K183">
        <v>7</v>
      </c>
      <c r="L183">
        <v>0</v>
      </c>
      <c r="M183" s="5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183" s="5" cm="1">
        <f t="array" ref="N183">MAX(IF((ProjectInfoTable[ProjectName]=ContinuousStatsTable[[#This Row],[ProjectName]]),(ProjectInfoTable[ProjectName]=ContinuousStatsTable[[#This Row],[ProjectName]])*ProjectInfoTable[NumberOfReplications]))</f>
        <v>50</v>
      </c>
      <c r="O183" s="5" cm="1">
        <f t="array" ref="O183">IFERROR(AVERAGE(IF((ContinuousStatsTable[GroupByKey]=ContinuousStatsTable[[#This Row],[GroupByKey]]),(ContinuousStatsTable[GroupByKey]=ContinuousStatsTable[[#This Row],[GroupByKey]])*ContinuousStatsTable[Average])),0)</f>
        <v>1.2732860367273062</v>
      </c>
      <c r="P183" s="5" cm="1">
        <f t="array" ref="P183">IFERROR(_xlfn.STDEV.S(IF((ContinuousStatsTable[GroupByKey]=ContinuousStatsTable[[#This Row],[GroupByKey]]),(ContinuousStatsTable[GroupByKey]=ContinuousStatsTable[[#This Row],[GroupByKey]])*ContinuousStatsTable[Average])),0)</f>
        <v>1.137870000737736</v>
      </c>
      <c r="Q183" s="5" cm="1">
        <f t="array" ref="Q183">MAX(IF((ProjectInfoTable[ProjectName]=ContinuousStatsTable[[#This Row],[ProjectName]]),(ProjectInfoTable[ProjectName]=ContinuousStatsTable[[#This Row],[ProjectName]])*ProjectInfoTable[ConfidenceInterval]))</f>
        <v>0.95</v>
      </c>
      <c r="R18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0.32337907617258832</v>
      </c>
      <c r="S183" s="5" cm="1">
        <f t="array" ref="S183">MIN(IF((ContinuousStatsTable[GroupByKey]=ContinuousStatsTable[[#This Row],[GroupByKey]]),(ContinuousStatsTable[GroupByKey]=ContinuousStatsTable[[#This Row],[GroupByKey]])*ContinuousStatsTable[Average]))</f>
        <v>0</v>
      </c>
      <c r="T183" s="5" cm="1">
        <f t="array" ref="T183">MAX(IF((ContinuousStatsTable[GroupByKey]=ContinuousStatsTable[[#This Row],[GroupByKey]]),(ContinuousStatsTable[GroupByKey]=ContinuousStatsTable[[#This Row],[GroupByKey]])*ContinuousStatsTable[Average]))</f>
        <v>5.3083923025689197</v>
      </c>
      <c r="U183" s="5">
        <f>IF((ContinuousStatsTable[[#This Row],[RepsRequested]]&gt;1),ContinuousStatsTable[[#This Row],[HalfWidth]],ContinuousStatsTable[[#This Row],[BatchMeansHalfWidth]])</f>
        <v>0.32337907617258832</v>
      </c>
    </row>
    <row r="184" spans="1:21" x14ac:dyDescent="0.35">
      <c r="A184" t="s">
        <v>66</v>
      </c>
      <c r="B184" t="s">
        <v>69</v>
      </c>
      <c r="C184">
        <v>37</v>
      </c>
      <c r="D184" t="s">
        <v>83</v>
      </c>
      <c r="E184" t="s">
        <v>84</v>
      </c>
      <c r="F184" t="s">
        <v>85</v>
      </c>
      <c r="G184">
        <v>1</v>
      </c>
      <c r="H184">
        <v>2E+20</v>
      </c>
      <c r="I184">
        <v>0</v>
      </c>
      <c r="J184">
        <v>1</v>
      </c>
      <c r="K184">
        <v>1</v>
      </c>
      <c r="L184">
        <v>0</v>
      </c>
      <c r="M184" s="5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184" s="5" cm="1">
        <f t="array" ref="N184">MAX(IF((ProjectInfoTable[ProjectName]=ContinuousStatsTable[[#This Row],[ProjectName]]),(ProjectInfoTable[ProjectName]=ContinuousStatsTable[[#This Row],[ProjectName]])*ProjectInfoTable[NumberOfReplications]))</f>
        <v>50</v>
      </c>
      <c r="O184" s="5" cm="1">
        <f t="array" ref="O184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184" s="5" cm="1">
        <f t="array" ref="P184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184" s="5" cm="1">
        <f t="array" ref="Q184">MAX(IF((ProjectInfoTable[ProjectName]=ContinuousStatsTable[[#This Row],[ProjectName]]),(ProjectInfoTable[ProjectName]=ContinuousStatsTable[[#This Row],[ProjectName]])*ProjectInfoTable[ConfidenceInterval]))</f>
        <v>0.95</v>
      </c>
      <c r="R18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184" s="5" cm="1">
        <f t="array" ref="S184">MIN(IF((ContinuousStatsTable[GroupByKey]=ContinuousStatsTable[[#This Row],[GroupByKey]]),(ContinuousStatsTable[GroupByKey]=ContinuousStatsTable[[#This Row],[GroupByKey]])*ContinuousStatsTable[Average]))</f>
        <v>0.60846830422583797</v>
      </c>
      <c r="T184" s="5" cm="1">
        <f t="array" ref="T184">MAX(IF((ContinuousStatsTable[GroupByKey]=ContinuousStatsTable[[#This Row],[GroupByKey]]),(ContinuousStatsTable[GroupByKey]=ContinuousStatsTable[[#This Row],[GroupByKey]])*ContinuousStatsTable[Average]))</f>
        <v>1</v>
      </c>
      <c r="U184" s="5">
        <f>IF((ContinuousStatsTable[[#This Row],[RepsRequested]]&gt;1),ContinuousStatsTable[[#This Row],[HalfWidth]],ContinuousStatsTable[[#This Row],[BatchMeansHalfWidth]])</f>
        <v>3.350588705034975E-2</v>
      </c>
    </row>
    <row r="185" spans="1:21" x14ac:dyDescent="0.35">
      <c r="A185" t="s">
        <v>66</v>
      </c>
      <c r="B185" t="s">
        <v>69</v>
      </c>
      <c r="C185">
        <v>37</v>
      </c>
      <c r="D185" t="s">
        <v>83</v>
      </c>
      <c r="E185" t="s">
        <v>86</v>
      </c>
      <c r="F185" t="s">
        <v>85</v>
      </c>
      <c r="G185">
        <v>1</v>
      </c>
      <c r="H185">
        <v>2E+20</v>
      </c>
      <c r="I185">
        <v>0</v>
      </c>
      <c r="J185">
        <v>1</v>
      </c>
      <c r="K185">
        <v>1</v>
      </c>
      <c r="L185">
        <v>0</v>
      </c>
      <c r="M185" s="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185" s="5" cm="1">
        <f t="array" ref="N185">MAX(IF((ProjectInfoTable[ProjectName]=ContinuousStatsTable[[#This Row],[ProjectName]]),(ProjectInfoTable[ProjectName]=ContinuousStatsTable[[#This Row],[ProjectName]])*ProjectInfoTable[NumberOfReplications]))</f>
        <v>50</v>
      </c>
      <c r="O185" s="5" cm="1">
        <f t="array" ref="O185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185" s="5" cm="1">
        <f t="array" ref="P185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185" s="5" cm="1">
        <f t="array" ref="Q185">MAX(IF((ProjectInfoTable[ProjectName]=ContinuousStatsTable[[#This Row],[ProjectName]]),(ProjectInfoTable[ProjectName]=ContinuousStatsTable[[#This Row],[ProjectName]])*ProjectInfoTable[ConfidenceInterval]))</f>
        <v>0.95</v>
      </c>
      <c r="R18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185" s="5" cm="1">
        <f t="array" ref="S185">MIN(IF((ContinuousStatsTable[GroupByKey]=ContinuousStatsTable[[#This Row],[GroupByKey]]),(ContinuousStatsTable[GroupByKey]=ContinuousStatsTable[[#This Row],[GroupByKey]])*ContinuousStatsTable[Average]))</f>
        <v>0.60846830422583797</v>
      </c>
      <c r="T185" s="5" cm="1">
        <f t="array" ref="T185">MAX(IF((ContinuousStatsTable[GroupByKey]=ContinuousStatsTable[[#This Row],[GroupByKey]]),(ContinuousStatsTable[GroupByKey]=ContinuousStatsTable[[#This Row],[GroupByKey]])*ContinuousStatsTable[Average]))</f>
        <v>1</v>
      </c>
      <c r="U185" s="5">
        <f>IF((ContinuousStatsTable[[#This Row],[RepsRequested]]&gt;1),ContinuousStatsTable[[#This Row],[HalfWidth]],ContinuousStatsTable[[#This Row],[BatchMeansHalfWidth]])</f>
        <v>3.350588705034975E-2</v>
      </c>
    </row>
    <row r="186" spans="1:21" x14ac:dyDescent="0.35">
      <c r="A186" t="s">
        <v>66</v>
      </c>
      <c r="B186" t="s">
        <v>69</v>
      </c>
      <c r="C186">
        <v>37</v>
      </c>
      <c r="D186" t="s">
        <v>83</v>
      </c>
      <c r="E186" t="s">
        <v>87</v>
      </c>
      <c r="F186" t="s">
        <v>85</v>
      </c>
      <c r="G186">
        <v>1</v>
      </c>
      <c r="H186">
        <v>2E+20</v>
      </c>
      <c r="I186">
        <v>1</v>
      </c>
      <c r="J186">
        <v>1</v>
      </c>
      <c r="K186">
        <v>1</v>
      </c>
      <c r="L186">
        <v>0</v>
      </c>
      <c r="M186" s="5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186" s="5" cm="1">
        <f t="array" ref="N186">MAX(IF((ProjectInfoTable[ProjectName]=ContinuousStatsTable[[#This Row],[ProjectName]]),(ProjectInfoTable[ProjectName]=ContinuousStatsTable[[#This Row],[ProjectName]])*ProjectInfoTable[NumberOfReplications]))</f>
        <v>50</v>
      </c>
      <c r="O186" s="5" cm="1">
        <f t="array" ref="O186">IFERROR(AVERAGE(IF((ContinuousStatsTable[GroupByKey]=ContinuousStatsTable[[#This Row],[GroupByKey]]),(ContinuousStatsTable[GroupByKey]=ContinuousStatsTable[[#This Row],[GroupByKey]])*ContinuousStatsTable[Average])),0)</f>
        <v>1</v>
      </c>
      <c r="P186" s="5" cm="1">
        <f t="array" ref="P186">IFERROR(_xlfn.STDEV.S(IF((ContinuousStatsTable[GroupByKey]=ContinuousStatsTable[[#This Row],[GroupByKey]]),(ContinuousStatsTable[GroupByKey]=ContinuousStatsTable[[#This Row],[GroupByKey]])*ContinuousStatsTable[Average])),0)</f>
        <v>0</v>
      </c>
      <c r="Q186" s="5" cm="1">
        <f t="array" ref="Q186">MAX(IF((ProjectInfoTable[ProjectName]=ContinuousStatsTable[[#This Row],[ProjectName]]),(ProjectInfoTable[ProjectName]=ContinuousStatsTable[[#This Row],[ProjectName]])*ProjectInfoTable[ConfidenceInterval]))</f>
        <v>0.95</v>
      </c>
      <c r="R18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86" s="5" cm="1">
        <f t="array" ref="S186">MIN(IF((ContinuousStatsTable[GroupByKey]=ContinuousStatsTable[[#This Row],[GroupByKey]]),(ContinuousStatsTable[GroupByKey]=ContinuousStatsTable[[#This Row],[GroupByKey]])*ContinuousStatsTable[Average]))</f>
        <v>1</v>
      </c>
      <c r="T186" s="5" cm="1">
        <f t="array" ref="T186">MAX(IF((ContinuousStatsTable[GroupByKey]=ContinuousStatsTable[[#This Row],[GroupByKey]]),(ContinuousStatsTable[GroupByKey]=ContinuousStatsTable[[#This Row],[GroupByKey]])*ContinuousStatsTable[Average]))</f>
        <v>1</v>
      </c>
      <c r="U186" s="5">
        <f>IF((ContinuousStatsTable[[#This Row],[RepsRequested]]&gt;1),ContinuousStatsTable[[#This Row],[HalfWidth]],ContinuousStatsTable[[#This Row],[BatchMeansHalfWidth]])</f>
        <v>0</v>
      </c>
    </row>
    <row r="187" spans="1:21" x14ac:dyDescent="0.35">
      <c r="A187" t="s">
        <v>66</v>
      </c>
      <c r="B187" t="s">
        <v>69</v>
      </c>
      <c r="C187">
        <v>38</v>
      </c>
      <c r="D187" t="s">
        <v>70</v>
      </c>
      <c r="E187" t="s">
        <v>81</v>
      </c>
      <c r="F187" t="s">
        <v>72</v>
      </c>
      <c r="G187">
        <v>6.3083923025689197</v>
      </c>
      <c r="H187">
        <v>2E+20</v>
      </c>
      <c r="I187">
        <v>0</v>
      </c>
      <c r="J187">
        <v>10</v>
      </c>
      <c r="K187">
        <v>10</v>
      </c>
      <c r="L187">
        <v>0</v>
      </c>
      <c r="M187" s="5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187" s="5" cm="1">
        <f t="array" ref="N187">MAX(IF((ProjectInfoTable[ProjectName]=ContinuousStatsTable[[#This Row],[ProjectName]]),(ProjectInfoTable[ProjectName]=ContinuousStatsTable[[#This Row],[ProjectName]])*ProjectInfoTable[NumberOfReplications]))</f>
        <v>50</v>
      </c>
      <c r="O187" s="5" cm="1">
        <f t="array" ref="O187">IFERROR(AVERAGE(IF((ContinuousStatsTable[GroupByKey]=ContinuousStatsTable[[#This Row],[GroupByKey]]),(ContinuousStatsTable[GroupByKey]=ContinuousStatsTable[[#This Row],[GroupByKey]])*ContinuousStatsTable[Average])),0)</f>
        <v>2.1996658161417075</v>
      </c>
      <c r="P187" s="5" cm="1">
        <f t="array" ref="P187">IFERROR(_xlfn.STDEV.S(IF((ContinuousStatsTable[GroupByKey]=ContinuousStatsTable[[#This Row],[GroupByKey]]),(ContinuousStatsTable[GroupByKey]=ContinuousStatsTable[[#This Row],[GroupByKey]])*ContinuousStatsTable[Average])),0)</f>
        <v>1.1994598865431718</v>
      </c>
      <c r="Q187" s="5" cm="1">
        <f t="array" ref="Q187">MAX(IF((ProjectInfoTable[ProjectName]=ContinuousStatsTable[[#This Row],[ProjectName]]),(ProjectInfoTable[ProjectName]=ContinuousStatsTable[[#This Row],[ProjectName]])*ProjectInfoTable[ConfidenceInterval]))</f>
        <v>0.95</v>
      </c>
      <c r="R18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0.34088272804883424</v>
      </c>
      <c r="S187" s="5" cm="1">
        <f t="array" ref="S187">MIN(IF((ContinuousStatsTable[GroupByKey]=ContinuousStatsTable[[#This Row],[GroupByKey]]),(ContinuousStatsTable[GroupByKey]=ContinuousStatsTable[[#This Row],[GroupByKey]])*ContinuousStatsTable[Average]))</f>
        <v>0.70499985227053297</v>
      </c>
      <c r="T187" s="5" cm="1">
        <f t="array" ref="T187">MAX(IF((ContinuousStatsTable[GroupByKey]=ContinuousStatsTable[[#This Row],[GroupByKey]]),(ContinuousStatsTable[GroupByKey]=ContinuousStatsTable[[#This Row],[GroupByKey]])*ContinuousStatsTable[Average]))</f>
        <v>6.3083923025689197</v>
      </c>
      <c r="U187" s="5">
        <f>IF((ContinuousStatsTable[[#This Row],[RepsRequested]]&gt;1),ContinuousStatsTable[[#This Row],[HalfWidth]],ContinuousStatsTable[[#This Row],[BatchMeansHalfWidth]])</f>
        <v>0.34088272804883424</v>
      </c>
    </row>
    <row r="188" spans="1:21" x14ac:dyDescent="0.35">
      <c r="A188" t="s">
        <v>66</v>
      </c>
      <c r="B188" t="s">
        <v>69</v>
      </c>
      <c r="C188">
        <v>38</v>
      </c>
      <c r="D188" t="s">
        <v>78</v>
      </c>
      <c r="E188" t="s">
        <v>82</v>
      </c>
      <c r="F188" t="s">
        <v>80</v>
      </c>
      <c r="G188">
        <v>5.3083923025689197</v>
      </c>
      <c r="H188">
        <v>2E+20</v>
      </c>
      <c r="I188">
        <v>0</v>
      </c>
      <c r="J188">
        <v>9</v>
      </c>
      <c r="K188">
        <v>9</v>
      </c>
      <c r="L188">
        <v>0</v>
      </c>
      <c r="M188" s="5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188" s="5" cm="1">
        <f t="array" ref="N188">MAX(IF((ProjectInfoTable[ProjectName]=ContinuousStatsTable[[#This Row],[ProjectName]]),(ProjectInfoTable[ProjectName]=ContinuousStatsTable[[#This Row],[ProjectName]])*ProjectInfoTable[NumberOfReplications]))</f>
        <v>50</v>
      </c>
      <c r="O188" s="5" cm="1">
        <f t="array" ref="O188">IFERROR(AVERAGE(IF((ContinuousStatsTable[GroupByKey]=ContinuousStatsTable[[#This Row],[GroupByKey]]),(ContinuousStatsTable[GroupByKey]=ContinuousStatsTable[[#This Row],[GroupByKey]])*ContinuousStatsTable[Average])),0)</f>
        <v>1.2732860367273062</v>
      </c>
      <c r="P188" s="5" cm="1">
        <f t="array" ref="P188">IFERROR(_xlfn.STDEV.S(IF((ContinuousStatsTable[GroupByKey]=ContinuousStatsTable[[#This Row],[GroupByKey]]),(ContinuousStatsTable[GroupByKey]=ContinuousStatsTable[[#This Row],[GroupByKey]])*ContinuousStatsTable[Average])),0)</f>
        <v>1.137870000737736</v>
      </c>
      <c r="Q188" s="5" cm="1">
        <f t="array" ref="Q188">MAX(IF((ProjectInfoTable[ProjectName]=ContinuousStatsTable[[#This Row],[ProjectName]]),(ProjectInfoTable[ProjectName]=ContinuousStatsTable[[#This Row],[ProjectName]])*ProjectInfoTable[ConfidenceInterval]))</f>
        <v>0.95</v>
      </c>
      <c r="R18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0.32337907617258832</v>
      </c>
      <c r="S188" s="5" cm="1">
        <f t="array" ref="S188">MIN(IF((ContinuousStatsTable[GroupByKey]=ContinuousStatsTable[[#This Row],[GroupByKey]]),(ContinuousStatsTable[GroupByKey]=ContinuousStatsTable[[#This Row],[GroupByKey]])*ContinuousStatsTable[Average]))</f>
        <v>0</v>
      </c>
      <c r="T188" s="5" cm="1">
        <f t="array" ref="T188">MAX(IF((ContinuousStatsTable[GroupByKey]=ContinuousStatsTable[[#This Row],[GroupByKey]]),(ContinuousStatsTable[GroupByKey]=ContinuousStatsTable[[#This Row],[GroupByKey]])*ContinuousStatsTable[Average]))</f>
        <v>5.3083923025689197</v>
      </c>
      <c r="U188" s="5">
        <f>IF((ContinuousStatsTable[[#This Row],[RepsRequested]]&gt;1),ContinuousStatsTable[[#This Row],[HalfWidth]],ContinuousStatsTable[[#This Row],[BatchMeansHalfWidth]])</f>
        <v>0.32337907617258832</v>
      </c>
    </row>
    <row r="189" spans="1:21" x14ac:dyDescent="0.35">
      <c r="A189" t="s">
        <v>66</v>
      </c>
      <c r="B189" t="s">
        <v>69</v>
      </c>
      <c r="C189">
        <v>38</v>
      </c>
      <c r="D189" t="s">
        <v>83</v>
      </c>
      <c r="E189" t="s">
        <v>84</v>
      </c>
      <c r="F189" t="s">
        <v>85</v>
      </c>
      <c r="G189">
        <v>1</v>
      </c>
      <c r="H189">
        <v>2E+20</v>
      </c>
      <c r="I189">
        <v>0</v>
      </c>
      <c r="J189">
        <v>1</v>
      </c>
      <c r="K189">
        <v>1</v>
      </c>
      <c r="L189">
        <v>0</v>
      </c>
      <c r="M189" s="5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189" s="5" cm="1">
        <f t="array" ref="N189">MAX(IF((ProjectInfoTable[ProjectName]=ContinuousStatsTable[[#This Row],[ProjectName]]),(ProjectInfoTable[ProjectName]=ContinuousStatsTable[[#This Row],[ProjectName]])*ProjectInfoTable[NumberOfReplications]))</f>
        <v>50</v>
      </c>
      <c r="O189" s="5" cm="1">
        <f t="array" ref="O189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189" s="5" cm="1">
        <f t="array" ref="P189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189" s="5" cm="1">
        <f t="array" ref="Q189">MAX(IF((ProjectInfoTable[ProjectName]=ContinuousStatsTable[[#This Row],[ProjectName]]),(ProjectInfoTable[ProjectName]=ContinuousStatsTable[[#This Row],[ProjectName]])*ProjectInfoTable[ConfidenceInterval]))</f>
        <v>0.95</v>
      </c>
      <c r="R18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189" s="5" cm="1">
        <f t="array" ref="S189">MIN(IF((ContinuousStatsTable[GroupByKey]=ContinuousStatsTable[[#This Row],[GroupByKey]]),(ContinuousStatsTable[GroupByKey]=ContinuousStatsTable[[#This Row],[GroupByKey]])*ContinuousStatsTable[Average]))</f>
        <v>0.60846830422583797</v>
      </c>
      <c r="T189" s="5" cm="1">
        <f t="array" ref="T189">MAX(IF((ContinuousStatsTable[GroupByKey]=ContinuousStatsTable[[#This Row],[GroupByKey]]),(ContinuousStatsTable[GroupByKey]=ContinuousStatsTable[[#This Row],[GroupByKey]])*ContinuousStatsTable[Average]))</f>
        <v>1</v>
      </c>
      <c r="U189" s="5">
        <f>IF((ContinuousStatsTable[[#This Row],[RepsRequested]]&gt;1),ContinuousStatsTable[[#This Row],[HalfWidth]],ContinuousStatsTable[[#This Row],[BatchMeansHalfWidth]])</f>
        <v>3.350588705034975E-2</v>
      </c>
    </row>
    <row r="190" spans="1:21" x14ac:dyDescent="0.35">
      <c r="A190" t="s">
        <v>66</v>
      </c>
      <c r="B190" t="s">
        <v>69</v>
      </c>
      <c r="C190">
        <v>38</v>
      </c>
      <c r="D190" t="s">
        <v>83</v>
      </c>
      <c r="E190" t="s">
        <v>86</v>
      </c>
      <c r="F190" t="s">
        <v>85</v>
      </c>
      <c r="G190">
        <v>1</v>
      </c>
      <c r="H190">
        <v>2E+20</v>
      </c>
      <c r="I190">
        <v>0</v>
      </c>
      <c r="J190">
        <v>1</v>
      </c>
      <c r="K190">
        <v>1</v>
      </c>
      <c r="L190">
        <v>0</v>
      </c>
      <c r="M190" s="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190" s="5" cm="1">
        <f t="array" ref="N190">MAX(IF((ProjectInfoTable[ProjectName]=ContinuousStatsTable[[#This Row],[ProjectName]]),(ProjectInfoTable[ProjectName]=ContinuousStatsTable[[#This Row],[ProjectName]])*ProjectInfoTable[NumberOfReplications]))</f>
        <v>50</v>
      </c>
      <c r="O190" s="5" cm="1">
        <f t="array" ref="O190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190" s="5" cm="1">
        <f t="array" ref="P190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190" s="5" cm="1">
        <f t="array" ref="Q190">MAX(IF((ProjectInfoTable[ProjectName]=ContinuousStatsTable[[#This Row],[ProjectName]]),(ProjectInfoTable[ProjectName]=ContinuousStatsTable[[#This Row],[ProjectName]])*ProjectInfoTable[ConfidenceInterval]))</f>
        <v>0.95</v>
      </c>
      <c r="R19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190" s="5" cm="1">
        <f t="array" ref="S190">MIN(IF((ContinuousStatsTable[GroupByKey]=ContinuousStatsTable[[#This Row],[GroupByKey]]),(ContinuousStatsTable[GroupByKey]=ContinuousStatsTable[[#This Row],[GroupByKey]])*ContinuousStatsTable[Average]))</f>
        <v>0.60846830422583797</v>
      </c>
      <c r="T190" s="5" cm="1">
        <f t="array" ref="T190">MAX(IF((ContinuousStatsTable[GroupByKey]=ContinuousStatsTable[[#This Row],[GroupByKey]]),(ContinuousStatsTable[GroupByKey]=ContinuousStatsTable[[#This Row],[GroupByKey]])*ContinuousStatsTable[Average]))</f>
        <v>1</v>
      </c>
      <c r="U190" s="5">
        <f>IF((ContinuousStatsTable[[#This Row],[RepsRequested]]&gt;1),ContinuousStatsTable[[#This Row],[HalfWidth]],ContinuousStatsTable[[#This Row],[BatchMeansHalfWidth]])</f>
        <v>3.350588705034975E-2</v>
      </c>
    </row>
    <row r="191" spans="1:21" x14ac:dyDescent="0.35">
      <c r="A191" t="s">
        <v>66</v>
      </c>
      <c r="B191" t="s">
        <v>69</v>
      </c>
      <c r="C191">
        <v>38</v>
      </c>
      <c r="D191" t="s">
        <v>83</v>
      </c>
      <c r="E191" t="s">
        <v>87</v>
      </c>
      <c r="F191" t="s">
        <v>85</v>
      </c>
      <c r="G191">
        <v>1</v>
      </c>
      <c r="H191">
        <v>2E+20</v>
      </c>
      <c r="I191">
        <v>1</v>
      </c>
      <c r="J191">
        <v>1</v>
      </c>
      <c r="K191">
        <v>1</v>
      </c>
      <c r="L191">
        <v>0</v>
      </c>
      <c r="M191" s="5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191" s="5" cm="1">
        <f t="array" ref="N191">MAX(IF((ProjectInfoTable[ProjectName]=ContinuousStatsTable[[#This Row],[ProjectName]]),(ProjectInfoTable[ProjectName]=ContinuousStatsTable[[#This Row],[ProjectName]])*ProjectInfoTable[NumberOfReplications]))</f>
        <v>50</v>
      </c>
      <c r="O191" s="5" cm="1">
        <f t="array" ref="O191">IFERROR(AVERAGE(IF((ContinuousStatsTable[GroupByKey]=ContinuousStatsTable[[#This Row],[GroupByKey]]),(ContinuousStatsTable[GroupByKey]=ContinuousStatsTable[[#This Row],[GroupByKey]])*ContinuousStatsTable[Average])),0)</f>
        <v>1</v>
      </c>
      <c r="P191" s="5" cm="1">
        <f t="array" ref="P191">IFERROR(_xlfn.STDEV.S(IF((ContinuousStatsTable[GroupByKey]=ContinuousStatsTable[[#This Row],[GroupByKey]]),(ContinuousStatsTable[GroupByKey]=ContinuousStatsTable[[#This Row],[GroupByKey]])*ContinuousStatsTable[Average])),0)</f>
        <v>0</v>
      </c>
      <c r="Q191" s="5" cm="1">
        <f t="array" ref="Q191">MAX(IF((ProjectInfoTable[ProjectName]=ContinuousStatsTable[[#This Row],[ProjectName]]),(ProjectInfoTable[ProjectName]=ContinuousStatsTable[[#This Row],[ProjectName]])*ProjectInfoTable[ConfidenceInterval]))</f>
        <v>0.95</v>
      </c>
      <c r="R19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1" s="5" cm="1">
        <f t="array" ref="S191">MIN(IF((ContinuousStatsTable[GroupByKey]=ContinuousStatsTable[[#This Row],[GroupByKey]]),(ContinuousStatsTable[GroupByKey]=ContinuousStatsTable[[#This Row],[GroupByKey]])*ContinuousStatsTable[Average]))</f>
        <v>1</v>
      </c>
      <c r="T191" s="5" cm="1">
        <f t="array" ref="T191">MAX(IF((ContinuousStatsTable[GroupByKey]=ContinuousStatsTable[[#This Row],[GroupByKey]]),(ContinuousStatsTable[GroupByKey]=ContinuousStatsTable[[#This Row],[GroupByKey]])*ContinuousStatsTable[Average]))</f>
        <v>1</v>
      </c>
      <c r="U191" s="5">
        <f>IF((ContinuousStatsTable[[#This Row],[RepsRequested]]&gt;1),ContinuousStatsTable[[#This Row],[HalfWidth]],ContinuousStatsTable[[#This Row],[BatchMeansHalfWidth]])</f>
        <v>0</v>
      </c>
    </row>
    <row r="192" spans="1:21" x14ac:dyDescent="0.35">
      <c r="A192" t="s">
        <v>66</v>
      </c>
      <c r="B192" t="s">
        <v>69</v>
      </c>
      <c r="C192">
        <v>39</v>
      </c>
      <c r="D192" t="s">
        <v>70</v>
      </c>
      <c r="E192" t="s">
        <v>81</v>
      </c>
      <c r="F192" t="s">
        <v>72</v>
      </c>
      <c r="G192">
        <v>1.5133534562600699</v>
      </c>
      <c r="H192">
        <v>2E+20</v>
      </c>
      <c r="I192">
        <v>0</v>
      </c>
      <c r="J192">
        <v>3</v>
      </c>
      <c r="K192">
        <v>1</v>
      </c>
      <c r="L192">
        <v>0</v>
      </c>
      <c r="M192" s="5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192" s="5" cm="1">
        <f t="array" ref="N192">MAX(IF((ProjectInfoTable[ProjectName]=ContinuousStatsTable[[#This Row],[ProjectName]]),(ProjectInfoTable[ProjectName]=ContinuousStatsTable[[#This Row],[ProjectName]])*ProjectInfoTable[NumberOfReplications]))</f>
        <v>50</v>
      </c>
      <c r="O192" s="5" cm="1">
        <f t="array" ref="O192">IFERROR(AVERAGE(IF((ContinuousStatsTable[GroupByKey]=ContinuousStatsTable[[#This Row],[GroupByKey]]),(ContinuousStatsTable[GroupByKey]=ContinuousStatsTable[[#This Row],[GroupByKey]])*ContinuousStatsTable[Average])),0)</f>
        <v>2.1996658161417075</v>
      </c>
      <c r="P192" s="5" cm="1">
        <f t="array" ref="P192">IFERROR(_xlfn.STDEV.S(IF((ContinuousStatsTable[GroupByKey]=ContinuousStatsTable[[#This Row],[GroupByKey]]),(ContinuousStatsTable[GroupByKey]=ContinuousStatsTable[[#This Row],[GroupByKey]])*ContinuousStatsTable[Average])),0)</f>
        <v>1.1994598865431718</v>
      </c>
      <c r="Q192" s="5" cm="1">
        <f t="array" ref="Q192">MAX(IF((ProjectInfoTable[ProjectName]=ContinuousStatsTable[[#This Row],[ProjectName]]),(ProjectInfoTable[ProjectName]=ContinuousStatsTable[[#This Row],[ProjectName]])*ProjectInfoTable[ConfidenceInterval]))</f>
        <v>0.95</v>
      </c>
      <c r="R19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0.34088272804883424</v>
      </c>
      <c r="S192" s="5" cm="1">
        <f t="array" ref="S192">MIN(IF((ContinuousStatsTable[GroupByKey]=ContinuousStatsTable[[#This Row],[GroupByKey]]),(ContinuousStatsTable[GroupByKey]=ContinuousStatsTable[[#This Row],[GroupByKey]])*ContinuousStatsTable[Average]))</f>
        <v>0.70499985227053297</v>
      </c>
      <c r="T192" s="5" cm="1">
        <f t="array" ref="T192">MAX(IF((ContinuousStatsTable[GroupByKey]=ContinuousStatsTable[[#This Row],[GroupByKey]]),(ContinuousStatsTable[GroupByKey]=ContinuousStatsTable[[#This Row],[GroupByKey]])*ContinuousStatsTable[Average]))</f>
        <v>6.3083923025689197</v>
      </c>
      <c r="U192" s="5">
        <f>IF((ContinuousStatsTable[[#This Row],[RepsRequested]]&gt;1),ContinuousStatsTable[[#This Row],[HalfWidth]],ContinuousStatsTable[[#This Row],[BatchMeansHalfWidth]])</f>
        <v>0.34088272804883424</v>
      </c>
    </row>
    <row r="193" spans="1:21" x14ac:dyDescent="0.35">
      <c r="A193" t="s">
        <v>66</v>
      </c>
      <c r="B193" t="s">
        <v>69</v>
      </c>
      <c r="C193">
        <v>39</v>
      </c>
      <c r="D193" t="s">
        <v>78</v>
      </c>
      <c r="E193" t="s">
        <v>82</v>
      </c>
      <c r="F193" t="s">
        <v>80</v>
      </c>
      <c r="G193">
        <v>0.76858523950177104</v>
      </c>
      <c r="H193">
        <v>2E+20</v>
      </c>
      <c r="I193">
        <v>0</v>
      </c>
      <c r="J193">
        <v>2</v>
      </c>
      <c r="K193">
        <v>0</v>
      </c>
      <c r="L193">
        <v>0</v>
      </c>
      <c r="M193" s="5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193" s="5" cm="1">
        <f t="array" ref="N193">MAX(IF((ProjectInfoTable[ProjectName]=ContinuousStatsTable[[#This Row],[ProjectName]]),(ProjectInfoTable[ProjectName]=ContinuousStatsTable[[#This Row],[ProjectName]])*ProjectInfoTable[NumberOfReplications]))</f>
        <v>50</v>
      </c>
      <c r="O193" s="5" cm="1">
        <f t="array" ref="O193">IFERROR(AVERAGE(IF((ContinuousStatsTable[GroupByKey]=ContinuousStatsTable[[#This Row],[GroupByKey]]),(ContinuousStatsTable[GroupByKey]=ContinuousStatsTable[[#This Row],[GroupByKey]])*ContinuousStatsTable[Average])),0)</f>
        <v>1.2732860367273062</v>
      </c>
      <c r="P193" s="5" cm="1">
        <f t="array" ref="P193">IFERROR(_xlfn.STDEV.S(IF((ContinuousStatsTable[GroupByKey]=ContinuousStatsTable[[#This Row],[GroupByKey]]),(ContinuousStatsTable[GroupByKey]=ContinuousStatsTable[[#This Row],[GroupByKey]])*ContinuousStatsTable[Average])),0)</f>
        <v>1.137870000737736</v>
      </c>
      <c r="Q193" s="5" cm="1">
        <f t="array" ref="Q193">MAX(IF((ProjectInfoTable[ProjectName]=ContinuousStatsTable[[#This Row],[ProjectName]]),(ProjectInfoTable[ProjectName]=ContinuousStatsTable[[#This Row],[ProjectName]])*ProjectInfoTable[ConfidenceInterval]))</f>
        <v>0.95</v>
      </c>
      <c r="R19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0.32337907617258832</v>
      </c>
      <c r="S193" s="5" cm="1">
        <f t="array" ref="S193">MIN(IF((ContinuousStatsTable[GroupByKey]=ContinuousStatsTable[[#This Row],[GroupByKey]]),(ContinuousStatsTable[GroupByKey]=ContinuousStatsTable[[#This Row],[GroupByKey]])*ContinuousStatsTable[Average]))</f>
        <v>0</v>
      </c>
      <c r="T193" s="5" cm="1">
        <f t="array" ref="T193">MAX(IF((ContinuousStatsTable[GroupByKey]=ContinuousStatsTable[[#This Row],[GroupByKey]]),(ContinuousStatsTable[GroupByKey]=ContinuousStatsTable[[#This Row],[GroupByKey]])*ContinuousStatsTable[Average]))</f>
        <v>5.3083923025689197</v>
      </c>
      <c r="U193" s="5">
        <f>IF((ContinuousStatsTable[[#This Row],[RepsRequested]]&gt;1),ContinuousStatsTable[[#This Row],[HalfWidth]],ContinuousStatsTable[[#This Row],[BatchMeansHalfWidth]])</f>
        <v>0.32337907617258832</v>
      </c>
    </row>
    <row r="194" spans="1:21" x14ac:dyDescent="0.35">
      <c r="A194" t="s">
        <v>66</v>
      </c>
      <c r="B194" t="s">
        <v>69</v>
      </c>
      <c r="C194">
        <v>39</v>
      </c>
      <c r="D194" t="s">
        <v>83</v>
      </c>
      <c r="E194" t="s">
        <v>84</v>
      </c>
      <c r="F194" t="s">
        <v>85</v>
      </c>
      <c r="G194">
        <v>0.74476821675830196</v>
      </c>
      <c r="H194">
        <v>2E+20</v>
      </c>
      <c r="I194">
        <v>0</v>
      </c>
      <c r="J194">
        <v>1</v>
      </c>
      <c r="K194">
        <v>1</v>
      </c>
      <c r="L194">
        <v>0</v>
      </c>
      <c r="M194" s="5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194" s="5" cm="1">
        <f t="array" ref="N194">MAX(IF((ProjectInfoTable[ProjectName]=ContinuousStatsTable[[#This Row],[ProjectName]]),(ProjectInfoTable[ProjectName]=ContinuousStatsTable[[#This Row],[ProjectName]])*ProjectInfoTable[NumberOfReplications]))</f>
        <v>50</v>
      </c>
      <c r="O194" s="5" cm="1">
        <f t="array" ref="O194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194" s="5" cm="1">
        <f t="array" ref="P194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194" s="5" cm="1">
        <f t="array" ref="Q194">MAX(IF((ProjectInfoTable[ProjectName]=ContinuousStatsTable[[#This Row],[ProjectName]]),(ProjectInfoTable[ProjectName]=ContinuousStatsTable[[#This Row],[ProjectName]])*ProjectInfoTable[ConfidenceInterval]))</f>
        <v>0.95</v>
      </c>
      <c r="R19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194" s="5" cm="1">
        <f t="array" ref="S194">MIN(IF((ContinuousStatsTable[GroupByKey]=ContinuousStatsTable[[#This Row],[GroupByKey]]),(ContinuousStatsTable[GroupByKey]=ContinuousStatsTable[[#This Row],[GroupByKey]])*ContinuousStatsTable[Average]))</f>
        <v>0.60846830422583797</v>
      </c>
      <c r="T194" s="5" cm="1">
        <f t="array" ref="T194">MAX(IF((ContinuousStatsTable[GroupByKey]=ContinuousStatsTable[[#This Row],[GroupByKey]]),(ContinuousStatsTable[GroupByKey]=ContinuousStatsTable[[#This Row],[GroupByKey]])*ContinuousStatsTable[Average]))</f>
        <v>1</v>
      </c>
      <c r="U194" s="5">
        <f>IF((ContinuousStatsTable[[#This Row],[RepsRequested]]&gt;1),ContinuousStatsTable[[#This Row],[HalfWidth]],ContinuousStatsTable[[#This Row],[BatchMeansHalfWidth]])</f>
        <v>3.350588705034975E-2</v>
      </c>
    </row>
    <row r="195" spans="1:21" x14ac:dyDescent="0.35">
      <c r="A195" t="s">
        <v>66</v>
      </c>
      <c r="B195" t="s">
        <v>69</v>
      </c>
      <c r="C195">
        <v>39</v>
      </c>
      <c r="D195" t="s">
        <v>83</v>
      </c>
      <c r="E195" t="s">
        <v>86</v>
      </c>
      <c r="F195" t="s">
        <v>85</v>
      </c>
      <c r="G195">
        <v>0.74476821675830196</v>
      </c>
      <c r="H195">
        <v>2E+20</v>
      </c>
      <c r="I195">
        <v>0</v>
      </c>
      <c r="J195">
        <v>1</v>
      </c>
      <c r="K195">
        <v>1</v>
      </c>
      <c r="L195">
        <v>0</v>
      </c>
      <c r="M195" s="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195" s="5" cm="1">
        <f t="array" ref="N195">MAX(IF((ProjectInfoTable[ProjectName]=ContinuousStatsTable[[#This Row],[ProjectName]]),(ProjectInfoTable[ProjectName]=ContinuousStatsTable[[#This Row],[ProjectName]])*ProjectInfoTable[NumberOfReplications]))</f>
        <v>50</v>
      </c>
      <c r="O195" s="5" cm="1">
        <f t="array" ref="O195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195" s="5" cm="1">
        <f t="array" ref="P195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195" s="5" cm="1">
        <f t="array" ref="Q195">MAX(IF((ProjectInfoTable[ProjectName]=ContinuousStatsTable[[#This Row],[ProjectName]]),(ProjectInfoTable[ProjectName]=ContinuousStatsTable[[#This Row],[ProjectName]])*ProjectInfoTable[ConfidenceInterval]))</f>
        <v>0.95</v>
      </c>
      <c r="R19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195" s="5" cm="1">
        <f t="array" ref="S195">MIN(IF((ContinuousStatsTable[GroupByKey]=ContinuousStatsTable[[#This Row],[GroupByKey]]),(ContinuousStatsTable[GroupByKey]=ContinuousStatsTable[[#This Row],[GroupByKey]])*ContinuousStatsTable[Average]))</f>
        <v>0.60846830422583797</v>
      </c>
      <c r="T195" s="5" cm="1">
        <f t="array" ref="T195">MAX(IF((ContinuousStatsTable[GroupByKey]=ContinuousStatsTable[[#This Row],[GroupByKey]]),(ContinuousStatsTable[GroupByKey]=ContinuousStatsTable[[#This Row],[GroupByKey]])*ContinuousStatsTable[Average]))</f>
        <v>1</v>
      </c>
      <c r="U195" s="5">
        <f>IF((ContinuousStatsTable[[#This Row],[RepsRequested]]&gt;1),ContinuousStatsTable[[#This Row],[HalfWidth]],ContinuousStatsTable[[#This Row],[BatchMeansHalfWidth]])</f>
        <v>3.350588705034975E-2</v>
      </c>
    </row>
    <row r="196" spans="1:21" x14ac:dyDescent="0.35">
      <c r="A196" t="s">
        <v>66</v>
      </c>
      <c r="B196" t="s">
        <v>69</v>
      </c>
      <c r="C196">
        <v>39</v>
      </c>
      <c r="D196" t="s">
        <v>83</v>
      </c>
      <c r="E196" t="s">
        <v>87</v>
      </c>
      <c r="F196" t="s">
        <v>85</v>
      </c>
      <c r="G196">
        <v>1</v>
      </c>
      <c r="H196">
        <v>2E+20</v>
      </c>
      <c r="I196">
        <v>1</v>
      </c>
      <c r="J196">
        <v>1</v>
      </c>
      <c r="K196">
        <v>1</v>
      </c>
      <c r="L196">
        <v>0</v>
      </c>
      <c r="M196" s="5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196" s="5" cm="1">
        <f t="array" ref="N196">MAX(IF((ProjectInfoTable[ProjectName]=ContinuousStatsTable[[#This Row],[ProjectName]]),(ProjectInfoTable[ProjectName]=ContinuousStatsTable[[#This Row],[ProjectName]])*ProjectInfoTable[NumberOfReplications]))</f>
        <v>50</v>
      </c>
      <c r="O196" s="5" cm="1">
        <f t="array" ref="O196">IFERROR(AVERAGE(IF((ContinuousStatsTable[GroupByKey]=ContinuousStatsTable[[#This Row],[GroupByKey]]),(ContinuousStatsTable[GroupByKey]=ContinuousStatsTable[[#This Row],[GroupByKey]])*ContinuousStatsTable[Average])),0)</f>
        <v>1</v>
      </c>
      <c r="P196" s="5" cm="1">
        <f t="array" ref="P196">IFERROR(_xlfn.STDEV.S(IF((ContinuousStatsTable[GroupByKey]=ContinuousStatsTable[[#This Row],[GroupByKey]]),(ContinuousStatsTable[GroupByKey]=ContinuousStatsTable[[#This Row],[GroupByKey]])*ContinuousStatsTable[Average])),0)</f>
        <v>0</v>
      </c>
      <c r="Q196" s="5" cm="1">
        <f t="array" ref="Q196">MAX(IF((ProjectInfoTable[ProjectName]=ContinuousStatsTable[[#This Row],[ProjectName]]),(ProjectInfoTable[ProjectName]=ContinuousStatsTable[[#This Row],[ProjectName]])*ProjectInfoTable[ConfidenceInterval]))</f>
        <v>0.95</v>
      </c>
      <c r="R19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96" s="5" cm="1">
        <f t="array" ref="S196">MIN(IF((ContinuousStatsTable[GroupByKey]=ContinuousStatsTable[[#This Row],[GroupByKey]]),(ContinuousStatsTable[GroupByKey]=ContinuousStatsTable[[#This Row],[GroupByKey]])*ContinuousStatsTable[Average]))</f>
        <v>1</v>
      </c>
      <c r="T196" s="5" cm="1">
        <f t="array" ref="T196">MAX(IF((ContinuousStatsTable[GroupByKey]=ContinuousStatsTable[[#This Row],[GroupByKey]]),(ContinuousStatsTable[GroupByKey]=ContinuousStatsTable[[#This Row],[GroupByKey]])*ContinuousStatsTable[Average]))</f>
        <v>1</v>
      </c>
      <c r="U196" s="5">
        <f>IF((ContinuousStatsTable[[#This Row],[RepsRequested]]&gt;1),ContinuousStatsTable[[#This Row],[HalfWidth]],ContinuousStatsTable[[#This Row],[BatchMeansHalfWidth]])</f>
        <v>0</v>
      </c>
    </row>
    <row r="197" spans="1:21" x14ac:dyDescent="0.35">
      <c r="A197" t="s">
        <v>66</v>
      </c>
      <c r="B197" t="s">
        <v>69</v>
      </c>
      <c r="C197">
        <v>40</v>
      </c>
      <c r="D197" t="s">
        <v>70</v>
      </c>
      <c r="E197" t="s">
        <v>81</v>
      </c>
      <c r="F197" t="s">
        <v>72</v>
      </c>
      <c r="G197">
        <v>1.42758212520008</v>
      </c>
      <c r="H197">
        <v>2E+20</v>
      </c>
      <c r="I197">
        <v>0</v>
      </c>
      <c r="J197">
        <v>3</v>
      </c>
      <c r="K197">
        <v>2</v>
      </c>
      <c r="L197">
        <v>0</v>
      </c>
      <c r="M197" s="5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197" s="5" cm="1">
        <f t="array" ref="N197">MAX(IF((ProjectInfoTable[ProjectName]=ContinuousStatsTable[[#This Row],[ProjectName]]),(ProjectInfoTable[ProjectName]=ContinuousStatsTable[[#This Row],[ProjectName]])*ProjectInfoTable[NumberOfReplications]))</f>
        <v>50</v>
      </c>
      <c r="O197" s="5" cm="1">
        <f t="array" ref="O197">IFERROR(AVERAGE(IF((ContinuousStatsTable[GroupByKey]=ContinuousStatsTable[[#This Row],[GroupByKey]]),(ContinuousStatsTable[GroupByKey]=ContinuousStatsTable[[#This Row],[GroupByKey]])*ContinuousStatsTable[Average])),0)</f>
        <v>2.1996658161417075</v>
      </c>
      <c r="P197" s="5" cm="1">
        <f t="array" ref="P197">IFERROR(_xlfn.STDEV.S(IF((ContinuousStatsTable[GroupByKey]=ContinuousStatsTable[[#This Row],[GroupByKey]]),(ContinuousStatsTable[GroupByKey]=ContinuousStatsTable[[#This Row],[GroupByKey]])*ContinuousStatsTable[Average])),0)</f>
        <v>1.1994598865431718</v>
      </c>
      <c r="Q197" s="5" cm="1">
        <f t="array" ref="Q197">MAX(IF((ProjectInfoTable[ProjectName]=ContinuousStatsTable[[#This Row],[ProjectName]]),(ProjectInfoTable[ProjectName]=ContinuousStatsTable[[#This Row],[ProjectName]])*ProjectInfoTable[ConfidenceInterval]))</f>
        <v>0.95</v>
      </c>
      <c r="R19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0.34088272804883424</v>
      </c>
      <c r="S197" s="5" cm="1">
        <f t="array" ref="S197">MIN(IF((ContinuousStatsTable[GroupByKey]=ContinuousStatsTable[[#This Row],[GroupByKey]]),(ContinuousStatsTable[GroupByKey]=ContinuousStatsTable[[#This Row],[GroupByKey]])*ContinuousStatsTable[Average]))</f>
        <v>0.70499985227053297</v>
      </c>
      <c r="T197" s="5" cm="1">
        <f t="array" ref="T197">MAX(IF((ContinuousStatsTable[GroupByKey]=ContinuousStatsTable[[#This Row],[GroupByKey]]),(ContinuousStatsTable[GroupByKey]=ContinuousStatsTable[[#This Row],[GroupByKey]])*ContinuousStatsTable[Average]))</f>
        <v>6.3083923025689197</v>
      </c>
      <c r="U197" s="5">
        <f>IF((ContinuousStatsTable[[#This Row],[RepsRequested]]&gt;1),ContinuousStatsTable[[#This Row],[HalfWidth]],ContinuousStatsTable[[#This Row],[BatchMeansHalfWidth]])</f>
        <v>0.34088272804883424</v>
      </c>
    </row>
    <row r="198" spans="1:21" x14ac:dyDescent="0.35">
      <c r="A198" t="s">
        <v>66</v>
      </c>
      <c r="B198" t="s">
        <v>69</v>
      </c>
      <c r="C198">
        <v>40</v>
      </c>
      <c r="D198" t="s">
        <v>78</v>
      </c>
      <c r="E198" t="s">
        <v>82</v>
      </c>
      <c r="F198" t="s">
        <v>80</v>
      </c>
      <c r="G198">
        <v>0.47683709135638003</v>
      </c>
      <c r="H198">
        <v>2E+20</v>
      </c>
      <c r="I198">
        <v>0</v>
      </c>
      <c r="J198">
        <v>2</v>
      </c>
      <c r="K198">
        <v>1</v>
      </c>
      <c r="L198">
        <v>0</v>
      </c>
      <c r="M198" s="5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198" s="5" cm="1">
        <f t="array" ref="N198">MAX(IF((ProjectInfoTable[ProjectName]=ContinuousStatsTable[[#This Row],[ProjectName]]),(ProjectInfoTable[ProjectName]=ContinuousStatsTable[[#This Row],[ProjectName]])*ProjectInfoTable[NumberOfReplications]))</f>
        <v>50</v>
      </c>
      <c r="O198" s="5" cm="1">
        <f t="array" ref="O198">IFERROR(AVERAGE(IF((ContinuousStatsTable[GroupByKey]=ContinuousStatsTable[[#This Row],[GroupByKey]]),(ContinuousStatsTable[GroupByKey]=ContinuousStatsTable[[#This Row],[GroupByKey]])*ContinuousStatsTable[Average])),0)</f>
        <v>1.2732860367273062</v>
      </c>
      <c r="P198" s="5" cm="1">
        <f t="array" ref="P198">IFERROR(_xlfn.STDEV.S(IF((ContinuousStatsTable[GroupByKey]=ContinuousStatsTable[[#This Row],[GroupByKey]]),(ContinuousStatsTable[GroupByKey]=ContinuousStatsTable[[#This Row],[GroupByKey]])*ContinuousStatsTable[Average])),0)</f>
        <v>1.137870000737736</v>
      </c>
      <c r="Q198" s="5" cm="1">
        <f t="array" ref="Q198">MAX(IF((ProjectInfoTable[ProjectName]=ContinuousStatsTable[[#This Row],[ProjectName]]),(ProjectInfoTable[ProjectName]=ContinuousStatsTable[[#This Row],[ProjectName]])*ProjectInfoTable[ConfidenceInterval]))</f>
        <v>0.95</v>
      </c>
      <c r="R19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0.32337907617258832</v>
      </c>
      <c r="S198" s="5" cm="1">
        <f t="array" ref="S198">MIN(IF((ContinuousStatsTable[GroupByKey]=ContinuousStatsTable[[#This Row],[GroupByKey]]),(ContinuousStatsTable[GroupByKey]=ContinuousStatsTable[[#This Row],[GroupByKey]])*ContinuousStatsTable[Average]))</f>
        <v>0</v>
      </c>
      <c r="T198" s="5" cm="1">
        <f t="array" ref="T198">MAX(IF((ContinuousStatsTable[GroupByKey]=ContinuousStatsTable[[#This Row],[GroupByKey]]),(ContinuousStatsTable[GroupByKey]=ContinuousStatsTable[[#This Row],[GroupByKey]])*ContinuousStatsTable[Average]))</f>
        <v>5.3083923025689197</v>
      </c>
      <c r="U198" s="5">
        <f>IF((ContinuousStatsTable[[#This Row],[RepsRequested]]&gt;1),ContinuousStatsTable[[#This Row],[HalfWidth]],ContinuousStatsTable[[#This Row],[BatchMeansHalfWidth]])</f>
        <v>0.32337907617258832</v>
      </c>
    </row>
    <row r="199" spans="1:21" x14ac:dyDescent="0.35">
      <c r="A199" t="s">
        <v>66</v>
      </c>
      <c r="B199" t="s">
        <v>69</v>
      </c>
      <c r="C199">
        <v>40</v>
      </c>
      <c r="D199" t="s">
        <v>83</v>
      </c>
      <c r="E199" t="s">
        <v>84</v>
      </c>
      <c r="F199" t="s">
        <v>85</v>
      </c>
      <c r="G199">
        <v>0.95074503384369902</v>
      </c>
      <c r="H199">
        <v>2E+20</v>
      </c>
      <c r="I199">
        <v>0</v>
      </c>
      <c r="J199">
        <v>1</v>
      </c>
      <c r="K199">
        <v>1</v>
      </c>
      <c r="L199">
        <v>0</v>
      </c>
      <c r="M199" s="5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199" s="5" cm="1">
        <f t="array" ref="N199">MAX(IF((ProjectInfoTable[ProjectName]=ContinuousStatsTable[[#This Row],[ProjectName]]),(ProjectInfoTable[ProjectName]=ContinuousStatsTable[[#This Row],[ProjectName]])*ProjectInfoTable[NumberOfReplications]))</f>
        <v>50</v>
      </c>
      <c r="O199" s="5" cm="1">
        <f t="array" ref="O199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199" s="5" cm="1">
        <f t="array" ref="P199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199" s="5" cm="1">
        <f t="array" ref="Q199">MAX(IF((ProjectInfoTable[ProjectName]=ContinuousStatsTable[[#This Row],[ProjectName]]),(ProjectInfoTable[ProjectName]=ContinuousStatsTable[[#This Row],[ProjectName]])*ProjectInfoTable[ConfidenceInterval]))</f>
        <v>0.95</v>
      </c>
      <c r="R19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199" s="5" cm="1">
        <f t="array" ref="S199">MIN(IF((ContinuousStatsTable[GroupByKey]=ContinuousStatsTable[[#This Row],[GroupByKey]]),(ContinuousStatsTable[GroupByKey]=ContinuousStatsTable[[#This Row],[GroupByKey]])*ContinuousStatsTable[Average]))</f>
        <v>0.60846830422583797</v>
      </c>
      <c r="T199" s="5" cm="1">
        <f t="array" ref="T199">MAX(IF((ContinuousStatsTable[GroupByKey]=ContinuousStatsTable[[#This Row],[GroupByKey]]),(ContinuousStatsTable[GroupByKey]=ContinuousStatsTable[[#This Row],[GroupByKey]])*ContinuousStatsTable[Average]))</f>
        <v>1</v>
      </c>
      <c r="U199" s="5">
        <f>IF((ContinuousStatsTable[[#This Row],[RepsRequested]]&gt;1),ContinuousStatsTable[[#This Row],[HalfWidth]],ContinuousStatsTable[[#This Row],[BatchMeansHalfWidth]])</f>
        <v>3.350588705034975E-2</v>
      </c>
    </row>
    <row r="200" spans="1:21" x14ac:dyDescent="0.35">
      <c r="A200" t="s">
        <v>66</v>
      </c>
      <c r="B200" t="s">
        <v>69</v>
      </c>
      <c r="C200">
        <v>40</v>
      </c>
      <c r="D200" t="s">
        <v>83</v>
      </c>
      <c r="E200" t="s">
        <v>86</v>
      </c>
      <c r="F200" t="s">
        <v>85</v>
      </c>
      <c r="G200">
        <v>0.95074503384369902</v>
      </c>
      <c r="H200">
        <v>2E+20</v>
      </c>
      <c r="I200">
        <v>0</v>
      </c>
      <c r="J200">
        <v>1</v>
      </c>
      <c r="K200">
        <v>1</v>
      </c>
      <c r="L200">
        <v>0</v>
      </c>
      <c r="M200" s="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200" s="5" cm="1">
        <f t="array" ref="N200">MAX(IF((ProjectInfoTable[ProjectName]=ContinuousStatsTable[[#This Row],[ProjectName]]),(ProjectInfoTable[ProjectName]=ContinuousStatsTable[[#This Row],[ProjectName]])*ProjectInfoTable[NumberOfReplications]))</f>
        <v>50</v>
      </c>
      <c r="O200" s="5" cm="1">
        <f t="array" ref="O200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200" s="5" cm="1">
        <f t="array" ref="P200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200" s="5" cm="1">
        <f t="array" ref="Q200">MAX(IF((ProjectInfoTable[ProjectName]=ContinuousStatsTable[[#This Row],[ProjectName]]),(ProjectInfoTable[ProjectName]=ContinuousStatsTable[[#This Row],[ProjectName]])*ProjectInfoTable[ConfidenceInterval]))</f>
        <v>0.95</v>
      </c>
      <c r="R20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200" s="5" cm="1">
        <f t="array" ref="S200">MIN(IF((ContinuousStatsTable[GroupByKey]=ContinuousStatsTable[[#This Row],[GroupByKey]]),(ContinuousStatsTable[GroupByKey]=ContinuousStatsTable[[#This Row],[GroupByKey]])*ContinuousStatsTable[Average]))</f>
        <v>0.60846830422583797</v>
      </c>
      <c r="T200" s="5" cm="1">
        <f t="array" ref="T200">MAX(IF((ContinuousStatsTable[GroupByKey]=ContinuousStatsTable[[#This Row],[GroupByKey]]),(ContinuousStatsTable[GroupByKey]=ContinuousStatsTable[[#This Row],[GroupByKey]])*ContinuousStatsTable[Average]))</f>
        <v>1</v>
      </c>
      <c r="U200" s="5">
        <f>IF((ContinuousStatsTable[[#This Row],[RepsRequested]]&gt;1),ContinuousStatsTable[[#This Row],[HalfWidth]],ContinuousStatsTable[[#This Row],[BatchMeansHalfWidth]])</f>
        <v>3.350588705034975E-2</v>
      </c>
    </row>
    <row r="201" spans="1:21" x14ac:dyDescent="0.35">
      <c r="A201" t="s">
        <v>66</v>
      </c>
      <c r="B201" t="s">
        <v>69</v>
      </c>
      <c r="C201">
        <v>40</v>
      </c>
      <c r="D201" t="s">
        <v>83</v>
      </c>
      <c r="E201" t="s">
        <v>87</v>
      </c>
      <c r="F201" t="s">
        <v>85</v>
      </c>
      <c r="G201">
        <v>1</v>
      </c>
      <c r="H201">
        <v>2E+20</v>
      </c>
      <c r="I201">
        <v>1</v>
      </c>
      <c r="J201">
        <v>1</v>
      </c>
      <c r="K201">
        <v>1</v>
      </c>
      <c r="L201">
        <v>0</v>
      </c>
      <c r="M201" s="5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201" s="5" cm="1">
        <f t="array" ref="N201">MAX(IF((ProjectInfoTable[ProjectName]=ContinuousStatsTable[[#This Row],[ProjectName]]),(ProjectInfoTable[ProjectName]=ContinuousStatsTable[[#This Row],[ProjectName]])*ProjectInfoTable[NumberOfReplications]))</f>
        <v>50</v>
      </c>
      <c r="O201" s="5" cm="1">
        <f t="array" ref="O201">IFERROR(AVERAGE(IF((ContinuousStatsTable[GroupByKey]=ContinuousStatsTable[[#This Row],[GroupByKey]]),(ContinuousStatsTable[GroupByKey]=ContinuousStatsTable[[#This Row],[GroupByKey]])*ContinuousStatsTable[Average])),0)</f>
        <v>1</v>
      </c>
      <c r="P201" s="5" cm="1">
        <f t="array" ref="P201">IFERROR(_xlfn.STDEV.S(IF((ContinuousStatsTable[GroupByKey]=ContinuousStatsTable[[#This Row],[GroupByKey]]),(ContinuousStatsTable[GroupByKey]=ContinuousStatsTable[[#This Row],[GroupByKey]])*ContinuousStatsTable[Average])),0)</f>
        <v>0</v>
      </c>
      <c r="Q201" s="5" cm="1">
        <f t="array" ref="Q201">MAX(IF((ProjectInfoTable[ProjectName]=ContinuousStatsTable[[#This Row],[ProjectName]]),(ProjectInfoTable[ProjectName]=ContinuousStatsTable[[#This Row],[ProjectName]])*ProjectInfoTable[ConfidenceInterval]))</f>
        <v>0.95</v>
      </c>
      <c r="R20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1" s="5" cm="1">
        <f t="array" ref="S201">MIN(IF((ContinuousStatsTable[GroupByKey]=ContinuousStatsTable[[#This Row],[GroupByKey]]),(ContinuousStatsTable[GroupByKey]=ContinuousStatsTable[[#This Row],[GroupByKey]])*ContinuousStatsTable[Average]))</f>
        <v>1</v>
      </c>
      <c r="T201" s="5" cm="1">
        <f t="array" ref="T201">MAX(IF((ContinuousStatsTable[GroupByKey]=ContinuousStatsTable[[#This Row],[GroupByKey]]),(ContinuousStatsTable[GroupByKey]=ContinuousStatsTable[[#This Row],[GroupByKey]])*ContinuousStatsTable[Average]))</f>
        <v>1</v>
      </c>
      <c r="U201" s="5">
        <f>IF((ContinuousStatsTable[[#This Row],[RepsRequested]]&gt;1),ContinuousStatsTable[[#This Row],[HalfWidth]],ContinuousStatsTable[[#This Row],[BatchMeansHalfWidth]])</f>
        <v>0</v>
      </c>
    </row>
    <row r="202" spans="1:21" x14ac:dyDescent="0.35">
      <c r="A202" t="s">
        <v>66</v>
      </c>
      <c r="B202" t="s">
        <v>69</v>
      </c>
      <c r="C202">
        <v>41</v>
      </c>
      <c r="D202" t="s">
        <v>70</v>
      </c>
      <c r="E202" t="s">
        <v>81</v>
      </c>
      <c r="F202" t="s">
        <v>72</v>
      </c>
      <c r="G202">
        <v>1.07506675918338</v>
      </c>
      <c r="H202">
        <v>2E+20</v>
      </c>
      <c r="I202">
        <v>0</v>
      </c>
      <c r="J202">
        <v>2</v>
      </c>
      <c r="K202">
        <v>2</v>
      </c>
      <c r="L202">
        <v>0</v>
      </c>
      <c r="M202" s="5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202" s="5" cm="1">
        <f t="array" ref="N202">MAX(IF((ProjectInfoTable[ProjectName]=ContinuousStatsTable[[#This Row],[ProjectName]]),(ProjectInfoTable[ProjectName]=ContinuousStatsTable[[#This Row],[ProjectName]])*ProjectInfoTable[NumberOfReplications]))</f>
        <v>50</v>
      </c>
      <c r="O202" s="5" cm="1">
        <f t="array" ref="O202">IFERROR(AVERAGE(IF((ContinuousStatsTable[GroupByKey]=ContinuousStatsTable[[#This Row],[GroupByKey]]),(ContinuousStatsTable[GroupByKey]=ContinuousStatsTable[[#This Row],[GroupByKey]])*ContinuousStatsTable[Average])),0)</f>
        <v>2.1996658161417075</v>
      </c>
      <c r="P202" s="5" cm="1">
        <f t="array" ref="P202">IFERROR(_xlfn.STDEV.S(IF((ContinuousStatsTable[GroupByKey]=ContinuousStatsTable[[#This Row],[GroupByKey]]),(ContinuousStatsTable[GroupByKey]=ContinuousStatsTable[[#This Row],[GroupByKey]])*ContinuousStatsTable[Average])),0)</f>
        <v>1.1994598865431718</v>
      </c>
      <c r="Q202" s="5" cm="1">
        <f t="array" ref="Q202">MAX(IF((ProjectInfoTable[ProjectName]=ContinuousStatsTable[[#This Row],[ProjectName]]),(ProjectInfoTable[ProjectName]=ContinuousStatsTable[[#This Row],[ProjectName]])*ProjectInfoTable[ConfidenceInterval]))</f>
        <v>0.95</v>
      </c>
      <c r="R20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0.34088272804883424</v>
      </c>
      <c r="S202" s="5" cm="1">
        <f t="array" ref="S202">MIN(IF((ContinuousStatsTable[GroupByKey]=ContinuousStatsTable[[#This Row],[GroupByKey]]),(ContinuousStatsTable[GroupByKey]=ContinuousStatsTable[[#This Row],[GroupByKey]])*ContinuousStatsTable[Average]))</f>
        <v>0.70499985227053297</v>
      </c>
      <c r="T202" s="5" cm="1">
        <f t="array" ref="T202">MAX(IF((ContinuousStatsTable[GroupByKey]=ContinuousStatsTable[[#This Row],[GroupByKey]]),(ContinuousStatsTable[GroupByKey]=ContinuousStatsTable[[#This Row],[GroupByKey]])*ContinuousStatsTable[Average]))</f>
        <v>6.3083923025689197</v>
      </c>
      <c r="U202" s="5">
        <f>IF((ContinuousStatsTable[[#This Row],[RepsRequested]]&gt;1),ContinuousStatsTable[[#This Row],[HalfWidth]],ContinuousStatsTable[[#This Row],[BatchMeansHalfWidth]])</f>
        <v>0.34088272804883424</v>
      </c>
    </row>
    <row r="203" spans="1:21" x14ac:dyDescent="0.35">
      <c r="A203" t="s">
        <v>66</v>
      </c>
      <c r="B203" t="s">
        <v>69</v>
      </c>
      <c r="C203">
        <v>41</v>
      </c>
      <c r="D203" t="s">
        <v>78</v>
      </c>
      <c r="E203" t="s">
        <v>82</v>
      </c>
      <c r="F203" t="s">
        <v>80</v>
      </c>
      <c r="G203">
        <v>0.15973723457525399</v>
      </c>
      <c r="H203">
        <v>2E+20</v>
      </c>
      <c r="I203">
        <v>0</v>
      </c>
      <c r="J203">
        <v>1</v>
      </c>
      <c r="K203">
        <v>1</v>
      </c>
      <c r="L203">
        <v>0</v>
      </c>
      <c r="M203" s="5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203" s="5" cm="1">
        <f t="array" ref="N203">MAX(IF((ProjectInfoTable[ProjectName]=ContinuousStatsTable[[#This Row],[ProjectName]]),(ProjectInfoTable[ProjectName]=ContinuousStatsTable[[#This Row],[ProjectName]])*ProjectInfoTable[NumberOfReplications]))</f>
        <v>50</v>
      </c>
      <c r="O203" s="5" cm="1">
        <f t="array" ref="O203">IFERROR(AVERAGE(IF((ContinuousStatsTable[GroupByKey]=ContinuousStatsTable[[#This Row],[GroupByKey]]),(ContinuousStatsTable[GroupByKey]=ContinuousStatsTable[[#This Row],[GroupByKey]])*ContinuousStatsTable[Average])),0)</f>
        <v>1.2732860367273062</v>
      </c>
      <c r="P203" s="5" cm="1">
        <f t="array" ref="P203">IFERROR(_xlfn.STDEV.S(IF((ContinuousStatsTable[GroupByKey]=ContinuousStatsTable[[#This Row],[GroupByKey]]),(ContinuousStatsTable[GroupByKey]=ContinuousStatsTable[[#This Row],[GroupByKey]])*ContinuousStatsTable[Average])),0)</f>
        <v>1.137870000737736</v>
      </c>
      <c r="Q203" s="5" cm="1">
        <f t="array" ref="Q203">MAX(IF((ProjectInfoTable[ProjectName]=ContinuousStatsTable[[#This Row],[ProjectName]]),(ProjectInfoTable[ProjectName]=ContinuousStatsTable[[#This Row],[ProjectName]])*ProjectInfoTable[ConfidenceInterval]))</f>
        <v>0.95</v>
      </c>
      <c r="R20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0.32337907617258832</v>
      </c>
      <c r="S203" s="5" cm="1">
        <f t="array" ref="S203">MIN(IF((ContinuousStatsTable[GroupByKey]=ContinuousStatsTable[[#This Row],[GroupByKey]]),(ContinuousStatsTable[GroupByKey]=ContinuousStatsTable[[#This Row],[GroupByKey]])*ContinuousStatsTable[Average]))</f>
        <v>0</v>
      </c>
      <c r="T203" s="5" cm="1">
        <f t="array" ref="T203">MAX(IF((ContinuousStatsTable[GroupByKey]=ContinuousStatsTable[[#This Row],[GroupByKey]]),(ContinuousStatsTable[GroupByKey]=ContinuousStatsTable[[#This Row],[GroupByKey]])*ContinuousStatsTable[Average]))</f>
        <v>5.3083923025689197</v>
      </c>
      <c r="U203" s="5">
        <f>IF((ContinuousStatsTable[[#This Row],[RepsRequested]]&gt;1),ContinuousStatsTable[[#This Row],[HalfWidth]],ContinuousStatsTable[[#This Row],[BatchMeansHalfWidth]])</f>
        <v>0.32337907617258832</v>
      </c>
    </row>
    <row r="204" spans="1:21" x14ac:dyDescent="0.35">
      <c r="A204" t="s">
        <v>66</v>
      </c>
      <c r="B204" t="s">
        <v>69</v>
      </c>
      <c r="C204">
        <v>41</v>
      </c>
      <c r="D204" t="s">
        <v>83</v>
      </c>
      <c r="E204" t="s">
        <v>84</v>
      </c>
      <c r="F204" t="s">
        <v>85</v>
      </c>
      <c r="G204">
        <v>0.915329524608128</v>
      </c>
      <c r="H204">
        <v>2E+20</v>
      </c>
      <c r="I204">
        <v>0</v>
      </c>
      <c r="J204">
        <v>1</v>
      </c>
      <c r="K204">
        <v>1</v>
      </c>
      <c r="L204">
        <v>0</v>
      </c>
      <c r="M204" s="5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204" s="5" cm="1">
        <f t="array" ref="N204">MAX(IF((ProjectInfoTable[ProjectName]=ContinuousStatsTable[[#This Row],[ProjectName]]),(ProjectInfoTable[ProjectName]=ContinuousStatsTable[[#This Row],[ProjectName]])*ProjectInfoTable[NumberOfReplications]))</f>
        <v>50</v>
      </c>
      <c r="O204" s="5" cm="1">
        <f t="array" ref="O204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204" s="5" cm="1">
        <f t="array" ref="P204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204" s="5" cm="1">
        <f t="array" ref="Q204">MAX(IF((ProjectInfoTable[ProjectName]=ContinuousStatsTable[[#This Row],[ProjectName]]),(ProjectInfoTable[ProjectName]=ContinuousStatsTable[[#This Row],[ProjectName]])*ProjectInfoTable[ConfidenceInterval]))</f>
        <v>0.95</v>
      </c>
      <c r="R20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204" s="5" cm="1">
        <f t="array" ref="S204">MIN(IF((ContinuousStatsTable[GroupByKey]=ContinuousStatsTable[[#This Row],[GroupByKey]]),(ContinuousStatsTable[GroupByKey]=ContinuousStatsTable[[#This Row],[GroupByKey]])*ContinuousStatsTable[Average]))</f>
        <v>0.60846830422583797</v>
      </c>
      <c r="T204" s="5" cm="1">
        <f t="array" ref="T204">MAX(IF((ContinuousStatsTable[GroupByKey]=ContinuousStatsTable[[#This Row],[GroupByKey]]),(ContinuousStatsTable[GroupByKey]=ContinuousStatsTable[[#This Row],[GroupByKey]])*ContinuousStatsTable[Average]))</f>
        <v>1</v>
      </c>
      <c r="U204" s="5">
        <f>IF((ContinuousStatsTable[[#This Row],[RepsRequested]]&gt;1),ContinuousStatsTable[[#This Row],[HalfWidth]],ContinuousStatsTable[[#This Row],[BatchMeansHalfWidth]])</f>
        <v>3.350588705034975E-2</v>
      </c>
    </row>
    <row r="205" spans="1:21" x14ac:dyDescent="0.35">
      <c r="A205" t="s">
        <v>66</v>
      </c>
      <c r="B205" t="s">
        <v>69</v>
      </c>
      <c r="C205">
        <v>41</v>
      </c>
      <c r="D205" t="s">
        <v>83</v>
      </c>
      <c r="E205" t="s">
        <v>86</v>
      </c>
      <c r="F205" t="s">
        <v>85</v>
      </c>
      <c r="G205">
        <v>0.915329524608128</v>
      </c>
      <c r="H205">
        <v>2E+20</v>
      </c>
      <c r="I205">
        <v>0</v>
      </c>
      <c r="J205">
        <v>1</v>
      </c>
      <c r="K205">
        <v>1</v>
      </c>
      <c r="L205">
        <v>0</v>
      </c>
      <c r="M205" s="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205" s="5" cm="1">
        <f t="array" ref="N205">MAX(IF((ProjectInfoTable[ProjectName]=ContinuousStatsTable[[#This Row],[ProjectName]]),(ProjectInfoTable[ProjectName]=ContinuousStatsTable[[#This Row],[ProjectName]])*ProjectInfoTable[NumberOfReplications]))</f>
        <v>50</v>
      </c>
      <c r="O205" s="5" cm="1">
        <f t="array" ref="O205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205" s="5" cm="1">
        <f t="array" ref="P205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205" s="5" cm="1">
        <f t="array" ref="Q205">MAX(IF((ProjectInfoTable[ProjectName]=ContinuousStatsTable[[#This Row],[ProjectName]]),(ProjectInfoTable[ProjectName]=ContinuousStatsTable[[#This Row],[ProjectName]])*ProjectInfoTable[ConfidenceInterval]))</f>
        <v>0.95</v>
      </c>
      <c r="R20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205" s="5" cm="1">
        <f t="array" ref="S205">MIN(IF((ContinuousStatsTable[GroupByKey]=ContinuousStatsTable[[#This Row],[GroupByKey]]),(ContinuousStatsTable[GroupByKey]=ContinuousStatsTable[[#This Row],[GroupByKey]])*ContinuousStatsTable[Average]))</f>
        <v>0.60846830422583797</v>
      </c>
      <c r="T205" s="5" cm="1">
        <f t="array" ref="T205">MAX(IF((ContinuousStatsTable[GroupByKey]=ContinuousStatsTable[[#This Row],[GroupByKey]]),(ContinuousStatsTable[GroupByKey]=ContinuousStatsTable[[#This Row],[GroupByKey]])*ContinuousStatsTable[Average]))</f>
        <v>1</v>
      </c>
      <c r="U205" s="5">
        <f>IF((ContinuousStatsTable[[#This Row],[RepsRequested]]&gt;1),ContinuousStatsTable[[#This Row],[HalfWidth]],ContinuousStatsTable[[#This Row],[BatchMeansHalfWidth]])</f>
        <v>3.350588705034975E-2</v>
      </c>
    </row>
    <row r="206" spans="1:21" x14ac:dyDescent="0.35">
      <c r="A206" t="s">
        <v>66</v>
      </c>
      <c r="B206" t="s">
        <v>69</v>
      </c>
      <c r="C206">
        <v>41</v>
      </c>
      <c r="D206" t="s">
        <v>83</v>
      </c>
      <c r="E206" t="s">
        <v>87</v>
      </c>
      <c r="F206" t="s">
        <v>85</v>
      </c>
      <c r="G206">
        <v>1</v>
      </c>
      <c r="H206">
        <v>2E+20</v>
      </c>
      <c r="I206">
        <v>1</v>
      </c>
      <c r="J206">
        <v>1</v>
      </c>
      <c r="K206">
        <v>1</v>
      </c>
      <c r="L206">
        <v>0</v>
      </c>
      <c r="M206" s="5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206" s="5" cm="1">
        <f t="array" ref="N206">MAX(IF((ProjectInfoTable[ProjectName]=ContinuousStatsTable[[#This Row],[ProjectName]]),(ProjectInfoTable[ProjectName]=ContinuousStatsTable[[#This Row],[ProjectName]])*ProjectInfoTable[NumberOfReplications]))</f>
        <v>50</v>
      </c>
      <c r="O206" s="5" cm="1">
        <f t="array" ref="O206">IFERROR(AVERAGE(IF((ContinuousStatsTable[GroupByKey]=ContinuousStatsTable[[#This Row],[GroupByKey]]),(ContinuousStatsTable[GroupByKey]=ContinuousStatsTable[[#This Row],[GroupByKey]])*ContinuousStatsTable[Average])),0)</f>
        <v>1</v>
      </c>
      <c r="P206" s="5" cm="1">
        <f t="array" ref="P206">IFERROR(_xlfn.STDEV.S(IF((ContinuousStatsTable[GroupByKey]=ContinuousStatsTable[[#This Row],[GroupByKey]]),(ContinuousStatsTable[GroupByKey]=ContinuousStatsTable[[#This Row],[GroupByKey]])*ContinuousStatsTable[Average])),0)</f>
        <v>0</v>
      </c>
      <c r="Q206" s="5" cm="1">
        <f t="array" ref="Q206">MAX(IF((ProjectInfoTable[ProjectName]=ContinuousStatsTable[[#This Row],[ProjectName]]),(ProjectInfoTable[ProjectName]=ContinuousStatsTable[[#This Row],[ProjectName]])*ProjectInfoTable[ConfidenceInterval]))</f>
        <v>0.95</v>
      </c>
      <c r="R20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6" s="5" cm="1">
        <f t="array" ref="S206">MIN(IF((ContinuousStatsTable[GroupByKey]=ContinuousStatsTable[[#This Row],[GroupByKey]]),(ContinuousStatsTable[GroupByKey]=ContinuousStatsTable[[#This Row],[GroupByKey]])*ContinuousStatsTable[Average]))</f>
        <v>1</v>
      </c>
      <c r="T206" s="5" cm="1">
        <f t="array" ref="T206">MAX(IF((ContinuousStatsTable[GroupByKey]=ContinuousStatsTable[[#This Row],[GroupByKey]]),(ContinuousStatsTable[GroupByKey]=ContinuousStatsTable[[#This Row],[GroupByKey]])*ContinuousStatsTable[Average]))</f>
        <v>1</v>
      </c>
      <c r="U206" s="5">
        <f>IF((ContinuousStatsTable[[#This Row],[RepsRequested]]&gt;1),ContinuousStatsTable[[#This Row],[HalfWidth]],ContinuousStatsTable[[#This Row],[BatchMeansHalfWidth]])</f>
        <v>0</v>
      </c>
    </row>
    <row r="207" spans="1:21" x14ac:dyDescent="0.35">
      <c r="A207" t="s">
        <v>66</v>
      </c>
      <c r="B207" t="s">
        <v>69</v>
      </c>
      <c r="C207">
        <v>42</v>
      </c>
      <c r="D207" t="s">
        <v>70</v>
      </c>
      <c r="E207" t="s">
        <v>81</v>
      </c>
      <c r="F207" t="s">
        <v>72</v>
      </c>
      <c r="G207">
        <v>1.13772957222418</v>
      </c>
      <c r="H207">
        <v>2E+20</v>
      </c>
      <c r="I207">
        <v>0</v>
      </c>
      <c r="J207">
        <v>3</v>
      </c>
      <c r="K207">
        <v>2</v>
      </c>
      <c r="L207">
        <v>0</v>
      </c>
      <c r="M207" s="5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207" s="5" cm="1">
        <f t="array" ref="N207">MAX(IF((ProjectInfoTable[ProjectName]=ContinuousStatsTable[[#This Row],[ProjectName]]),(ProjectInfoTable[ProjectName]=ContinuousStatsTable[[#This Row],[ProjectName]])*ProjectInfoTable[NumberOfReplications]))</f>
        <v>50</v>
      </c>
      <c r="O207" s="5" cm="1">
        <f t="array" ref="O207">IFERROR(AVERAGE(IF((ContinuousStatsTable[GroupByKey]=ContinuousStatsTable[[#This Row],[GroupByKey]]),(ContinuousStatsTable[GroupByKey]=ContinuousStatsTable[[#This Row],[GroupByKey]])*ContinuousStatsTable[Average])),0)</f>
        <v>2.1996658161417075</v>
      </c>
      <c r="P207" s="5" cm="1">
        <f t="array" ref="P207">IFERROR(_xlfn.STDEV.S(IF((ContinuousStatsTable[GroupByKey]=ContinuousStatsTable[[#This Row],[GroupByKey]]),(ContinuousStatsTable[GroupByKey]=ContinuousStatsTable[[#This Row],[GroupByKey]])*ContinuousStatsTable[Average])),0)</f>
        <v>1.1994598865431718</v>
      </c>
      <c r="Q207" s="5" cm="1">
        <f t="array" ref="Q207">MAX(IF((ProjectInfoTable[ProjectName]=ContinuousStatsTable[[#This Row],[ProjectName]]),(ProjectInfoTable[ProjectName]=ContinuousStatsTable[[#This Row],[ProjectName]])*ProjectInfoTable[ConfidenceInterval]))</f>
        <v>0.95</v>
      </c>
      <c r="R20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0.34088272804883424</v>
      </c>
      <c r="S207" s="5" cm="1">
        <f t="array" ref="S207">MIN(IF((ContinuousStatsTable[GroupByKey]=ContinuousStatsTable[[#This Row],[GroupByKey]]),(ContinuousStatsTable[GroupByKey]=ContinuousStatsTable[[#This Row],[GroupByKey]])*ContinuousStatsTable[Average]))</f>
        <v>0.70499985227053297</v>
      </c>
      <c r="T207" s="5" cm="1">
        <f t="array" ref="T207">MAX(IF((ContinuousStatsTable[GroupByKey]=ContinuousStatsTable[[#This Row],[GroupByKey]]),(ContinuousStatsTable[GroupByKey]=ContinuousStatsTable[[#This Row],[GroupByKey]])*ContinuousStatsTable[Average]))</f>
        <v>6.3083923025689197</v>
      </c>
      <c r="U207" s="5">
        <f>IF((ContinuousStatsTable[[#This Row],[RepsRequested]]&gt;1),ContinuousStatsTable[[#This Row],[HalfWidth]],ContinuousStatsTable[[#This Row],[BatchMeansHalfWidth]])</f>
        <v>0.34088272804883424</v>
      </c>
    </row>
    <row r="208" spans="1:21" x14ac:dyDescent="0.35">
      <c r="A208" t="s">
        <v>66</v>
      </c>
      <c r="B208" t="s">
        <v>69</v>
      </c>
      <c r="C208">
        <v>42</v>
      </c>
      <c r="D208" t="s">
        <v>78</v>
      </c>
      <c r="E208" t="s">
        <v>82</v>
      </c>
      <c r="F208" t="s">
        <v>80</v>
      </c>
      <c r="G208">
        <v>0.39610835308838799</v>
      </c>
      <c r="H208">
        <v>2E+20</v>
      </c>
      <c r="I208">
        <v>0</v>
      </c>
      <c r="J208">
        <v>2</v>
      </c>
      <c r="K208">
        <v>1</v>
      </c>
      <c r="L208">
        <v>0</v>
      </c>
      <c r="M208" s="5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208" s="5" cm="1">
        <f t="array" ref="N208">MAX(IF((ProjectInfoTable[ProjectName]=ContinuousStatsTable[[#This Row],[ProjectName]]),(ProjectInfoTable[ProjectName]=ContinuousStatsTable[[#This Row],[ProjectName]])*ProjectInfoTable[NumberOfReplications]))</f>
        <v>50</v>
      </c>
      <c r="O208" s="5" cm="1">
        <f t="array" ref="O208">IFERROR(AVERAGE(IF((ContinuousStatsTable[GroupByKey]=ContinuousStatsTable[[#This Row],[GroupByKey]]),(ContinuousStatsTable[GroupByKey]=ContinuousStatsTable[[#This Row],[GroupByKey]])*ContinuousStatsTable[Average])),0)</f>
        <v>1.2732860367273062</v>
      </c>
      <c r="P208" s="5" cm="1">
        <f t="array" ref="P208">IFERROR(_xlfn.STDEV.S(IF((ContinuousStatsTable[GroupByKey]=ContinuousStatsTable[[#This Row],[GroupByKey]]),(ContinuousStatsTable[GroupByKey]=ContinuousStatsTable[[#This Row],[GroupByKey]])*ContinuousStatsTable[Average])),0)</f>
        <v>1.137870000737736</v>
      </c>
      <c r="Q208" s="5" cm="1">
        <f t="array" ref="Q208">MAX(IF((ProjectInfoTable[ProjectName]=ContinuousStatsTable[[#This Row],[ProjectName]]),(ProjectInfoTable[ProjectName]=ContinuousStatsTable[[#This Row],[ProjectName]])*ProjectInfoTable[ConfidenceInterval]))</f>
        <v>0.95</v>
      </c>
      <c r="R20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0.32337907617258832</v>
      </c>
      <c r="S208" s="5" cm="1">
        <f t="array" ref="S208">MIN(IF((ContinuousStatsTable[GroupByKey]=ContinuousStatsTable[[#This Row],[GroupByKey]]),(ContinuousStatsTable[GroupByKey]=ContinuousStatsTable[[#This Row],[GroupByKey]])*ContinuousStatsTable[Average]))</f>
        <v>0</v>
      </c>
      <c r="T208" s="5" cm="1">
        <f t="array" ref="T208">MAX(IF((ContinuousStatsTable[GroupByKey]=ContinuousStatsTable[[#This Row],[GroupByKey]]),(ContinuousStatsTable[GroupByKey]=ContinuousStatsTable[[#This Row],[GroupByKey]])*ContinuousStatsTable[Average]))</f>
        <v>5.3083923025689197</v>
      </c>
      <c r="U208" s="5">
        <f>IF((ContinuousStatsTable[[#This Row],[RepsRequested]]&gt;1),ContinuousStatsTable[[#This Row],[HalfWidth]],ContinuousStatsTable[[#This Row],[BatchMeansHalfWidth]])</f>
        <v>0.32337907617258832</v>
      </c>
    </row>
    <row r="209" spans="1:21" x14ac:dyDescent="0.35">
      <c r="A209" t="s">
        <v>66</v>
      </c>
      <c r="B209" t="s">
        <v>69</v>
      </c>
      <c r="C209">
        <v>42</v>
      </c>
      <c r="D209" t="s">
        <v>83</v>
      </c>
      <c r="E209" t="s">
        <v>84</v>
      </c>
      <c r="F209" t="s">
        <v>85</v>
      </c>
      <c r="G209">
        <v>0.74162121913578904</v>
      </c>
      <c r="H209">
        <v>2E+20</v>
      </c>
      <c r="I209">
        <v>0</v>
      </c>
      <c r="J209">
        <v>1</v>
      </c>
      <c r="K209">
        <v>1</v>
      </c>
      <c r="L209">
        <v>0</v>
      </c>
      <c r="M209" s="5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209" s="5" cm="1">
        <f t="array" ref="N209">MAX(IF((ProjectInfoTable[ProjectName]=ContinuousStatsTable[[#This Row],[ProjectName]]),(ProjectInfoTable[ProjectName]=ContinuousStatsTable[[#This Row],[ProjectName]])*ProjectInfoTable[NumberOfReplications]))</f>
        <v>50</v>
      </c>
      <c r="O209" s="5" cm="1">
        <f t="array" ref="O209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209" s="5" cm="1">
        <f t="array" ref="P209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209" s="5" cm="1">
        <f t="array" ref="Q209">MAX(IF((ProjectInfoTable[ProjectName]=ContinuousStatsTable[[#This Row],[ProjectName]]),(ProjectInfoTable[ProjectName]=ContinuousStatsTable[[#This Row],[ProjectName]])*ProjectInfoTable[ConfidenceInterval]))</f>
        <v>0.95</v>
      </c>
      <c r="R20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209" s="5" cm="1">
        <f t="array" ref="S209">MIN(IF((ContinuousStatsTable[GroupByKey]=ContinuousStatsTable[[#This Row],[GroupByKey]]),(ContinuousStatsTable[GroupByKey]=ContinuousStatsTable[[#This Row],[GroupByKey]])*ContinuousStatsTable[Average]))</f>
        <v>0.60846830422583797</v>
      </c>
      <c r="T209" s="5" cm="1">
        <f t="array" ref="T209">MAX(IF((ContinuousStatsTable[GroupByKey]=ContinuousStatsTable[[#This Row],[GroupByKey]]),(ContinuousStatsTable[GroupByKey]=ContinuousStatsTable[[#This Row],[GroupByKey]])*ContinuousStatsTable[Average]))</f>
        <v>1</v>
      </c>
      <c r="U209" s="5">
        <f>IF((ContinuousStatsTable[[#This Row],[RepsRequested]]&gt;1),ContinuousStatsTable[[#This Row],[HalfWidth]],ContinuousStatsTable[[#This Row],[BatchMeansHalfWidth]])</f>
        <v>3.350588705034975E-2</v>
      </c>
    </row>
    <row r="210" spans="1:21" x14ac:dyDescent="0.35">
      <c r="A210" t="s">
        <v>66</v>
      </c>
      <c r="B210" t="s">
        <v>69</v>
      </c>
      <c r="C210">
        <v>42</v>
      </c>
      <c r="D210" t="s">
        <v>83</v>
      </c>
      <c r="E210" t="s">
        <v>86</v>
      </c>
      <c r="F210" t="s">
        <v>85</v>
      </c>
      <c r="G210">
        <v>0.74162121913578904</v>
      </c>
      <c r="H210">
        <v>2E+20</v>
      </c>
      <c r="I210">
        <v>0</v>
      </c>
      <c r="J210">
        <v>1</v>
      </c>
      <c r="K210">
        <v>1</v>
      </c>
      <c r="L210">
        <v>0</v>
      </c>
      <c r="M210" s="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210" s="5" cm="1">
        <f t="array" ref="N210">MAX(IF((ProjectInfoTable[ProjectName]=ContinuousStatsTable[[#This Row],[ProjectName]]),(ProjectInfoTable[ProjectName]=ContinuousStatsTable[[#This Row],[ProjectName]])*ProjectInfoTable[NumberOfReplications]))</f>
        <v>50</v>
      </c>
      <c r="O210" s="5" cm="1">
        <f t="array" ref="O210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210" s="5" cm="1">
        <f t="array" ref="P210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210" s="5" cm="1">
        <f t="array" ref="Q210">MAX(IF((ProjectInfoTable[ProjectName]=ContinuousStatsTable[[#This Row],[ProjectName]]),(ProjectInfoTable[ProjectName]=ContinuousStatsTable[[#This Row],[ProjectName]])*ProjectInfoTable[ConfidenceInterval]))</f>
        <v>0.95</v>
      </c>
      <c r="R21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210" s="5" cm="1">
        <f t="array" ref="S210">MIN(IF((ContinuousStatsTable[GroupByKey]=ContinuousStatsTable[[#This Row],[GroupByKey]]),(ContinuousStatsTable[GroupByKey]=ContinuousStatsTable[[#This Row],[GroupByKey]])*ContinuousStatsTable[Average]))</f>
        <v>0.60846830422583797</v>
      </c>
      <c r="T210" s="5" cm="1">
        <f t="array" ref="T210">MAX(IF((ContinuousStatsTable[GroupByKey]=ContinuousStatsTable[[#This Row],[GroupByKey]]),(ContinuousStatsTable[GroupByKey]=ContinuousStatsTable[[#This Row],[GroupByKey]])*ContinuousStatsTable[Average]))</f>
        <v>1</v>
      </c>
      <c r="U210" s="5">
        <f>IF((ContinuousStatsTable[[#This Row],[RepsRequested]]&gt;1),ContinuousStatsTable[[#This Row],[HalfWidth]],ContinuousStatsTable[[#This Row],[BatchMeansHalfWidth]])</f>
        <v>3.350588705034975E-2</v>
      </c>
    </row>
    <row r="211" spans="1:21" x14ac:dyDescent="0.35">
      <c r="A211" t="s">
        <v>66</v>
      </c>
      <c r="B211" t="s">
        <v>69</v>
      </c>
      <c r="C211">
        <v>42</v>
      </c>
      <c r="D211" t="s">
        <v>83</v>
      </c>
      <c r="E211" t="s">
        <v>87</v>
      </c>
      <c r="F211" t="s">
        <v>85</v>
      </c>
      <c r="G211">
        <v>1</v>
      </c>
      <c r="H211">
        <v>2E+20</v>
      </c>
      <c r="I211">
        <v>1</v>
      </c>
      <c r="J211">
        <v>1</v>
      </c>
      <c r="K211">
        <v>1</v>
      </c>
      <c r="L211">
        <v>0</v>
      </c>
      <c r="M211" s="5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211" s="5" cm="1">
        <f t="array" ref="N211">MAX(IF((ProjectInfoTable[ProjectName]=ContinuousStatsTable[[#This Row],[ProjectName]]),(ProjectInfoTable[ProjectName]=ContinuousStatsTable[[#This Row],[ProjectName]])*ProjectInfoTable[NumberOfReplications]))</f>
        <v>50</v>
      </c>
      <c r="O211" s="5" cm="1">
        <f t="array" ref="O211">IFERROR(AVERAGE(IF((ContinuousStatsTable[GroupByKey]=ContinuousStatsTable[[#This Row],[GroupByKey]]),(ContinuousStatsTable[GroupByKey]=ContinuousStatsTable[[#This Row],[GroupByKey]])*ContinuousStatsTable[Average])),0)</f>
        <v>1</v>
      </c>
      <c r="P211" s="5" cm="1">
        <f t="array" ref="P211">IFERROR(_xlfn.STDEV.S(IF((ContinuousStatsTable[GroupByKey]=ContinuousStatsTable[[#This Row],[GroupByKey]]),(ContinuousStatsTable[GroupByKey]=ContinuousStatsTable[[#This Row],[GroupByKey]])*ContinuousStatsTable[Average])),0)</f>
        <v>0</v>
      </c>
      <c r="Q211" s="5" cm="1">
        <f t="array" ref="Q211">MAX(IF((ProjectInfoTable[ProjectName]=ContinuousStatsTable[[#This Row],[ProjectName]]),(ProjectInfoTable[ProjectName]=ContinuousStatsTable[[#This Row],[ProjectName]])*ProjectInfoTable[ConfidenceInterval]))</f>
        <v>0.95</v>
      </c>
      <c r="R21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1" s="5" cm="1">
        <f t="array" ref="S211">MIN(IF((ContinuousStatsTable[GroupByKey]=ContinuousStatsTable[[#This Row],[GroupByKey]]),(ContinuousStatsTable[GroupByKey]=ContinuousStatsTable[[#This Row],[GroupByKey]])*ContinuousStatsTable[Average]))</f>
        <v>1</v>
      </c>
      <c r="T211" s="5" cm="1">
        <f t="array" ref="T211">MAX(IF((ContinuousStatsTable[GroupByKey]=ContinuousStatsTable[[#This Row],[GroupByKey]]),(ContinuousStatsTable[GroupByKey]=ContinuousStatsTable[[#This Row],[GroupByKey]])*ContinuousStatsTable[Average]))</f>
        <v>1</v>
      </c>
      <c r="U211" s="5">
        <f>IF((ContinuousStatsTable[[#This Row],[RepsRequested]]&gt;1),ContinuousStatsTable[[#This Row],[HalfWidth]],ContinuousStatsTable[[#This Row],[BatchMeansHalfWidth]])</f>
        <v>0</v>
      </c>
    </row>
    <row r="212" spans="1:21" x14ac:dyDescent="0.35">
      <c r="A212" t="s">
        <v>66</v>
      </c>
      <c r="B212" t="s">
        <v>69</v>
      </c>
      <c r="C212">
        <v>43</v>
      </c>
      <c r="D212" t="s">
        <v>70</v>
      </c>
      <c r="E212" t="s">
        <v>81</v>
      </c>
      <c r="F212" t="s">
        <v>72</v>
      </c>
      <c r="G212">
        <v>2.06025302683401</v>
      </c>
      <c r="H212">
        <v>2E+20</v>
      </c>
      <c r="I212">
        <v>0</v>
      </c>
      <c r="J212">
        <v>5</v>
      </c>
      <c r="K212">
        <v>5</v>
      </c>
      <c r="L212">
        <v>0</v>
      </c>
      <c r="M212" s="5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212" s="5" cm="1">
        <f t="array" ref="N212">MAX(IF((ProjectInfoTable[ProjectName]=ContinuousStatsTable[[#This Row],[ProjectName]]),(ProjectInfoTable[ProjectName]=ContinuousStatsTable[[#This Row],[ProjectName]])*ProjectInfoTable[NumberOfReplications]))</f>
        <v>50</v>
      </c>
      <c r="O212" s="5" cm="1">
        <f t="array" ref="O212">IFERROR(AVERAGE(IF((ContinuousStatsTable[GroupByKey]=ContinuousStatsTable[[#This Row],[GroupByKey]]),(ContinuousStatsTable[GroupByKey]=ContinuousStatsTable[[#This Row],[GroupByKey]])*ContinuousStatsTable[Average])),0)</f>
        <v>2.1996658161417075</v>
      </c>
      <c r="P212" s="5" cm="1">
        <f t="array" ref="P212">IFERROR(_xlfn.STDEV.S(IF((ContinuousStatsTable[GroupByKey]=ContinuousStatsTable[[#This Row],[GroupByKey]]),(ContinuousStatsTable[GroupByKey]=ContinuousStatsTable[[#This Row],[GroupByKey]])*ContinuousStatsTable[Average])),0)</f>
        <v>1.1994598865431718</v>
      </c>
      <c r="Q212" s="5" cm="1">
        <f t="array" ref="Q212">MAX(IF((ProjectInfoTable[ProjectName]=ContinuousStatsTable[[#This Row],[ProjectName]]),(ProjectInfoTable[ProjectName]=ContinuousStatsTable[[#This Row],[ProjectName]])*ProjectInfoTable[ConfidenceInterval]))</f>
        <v>0.95</v>
      </c>
      <c r="R2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0.34088272804883424</v>
      </c>
      <c r="S212" s="5" cm="1">
        <f t="array" ref="S212">MIN(IF((ContinuousStatsTable[GroupByKey]=ContinuousStatsTable[[#This Row],[GroupByKey]]),(ContinuousStatsTable[GroupByKey]=ContinuousStatsTable[[#This Row],[GroupByKey]])*ContinuousStatsTable[Average]))</f>
        <v>0.70499985227053297</v>
      </c>
      <c r="T212" s="5" cm="1">
        <f t="array" ref="T212">MAX(IF((ContinuousStatsTable[GroupByKey]=ContinuousStatsTable[[#This Row],[GroupByKey]]),(ContinuousStatsTable[GroupByKey]=ContinuousStatsTable[[#This Row],[GroupByKey]])*ContinuousStatsTable[Average]))</f>
        <v>6.3083923025689197</v>
      </c>
      <c r="U212" s="5">
        <f>IF((ContinuousStatsTable[[#This Row],[RepsRequested]]&gt;1),ContinuousStatsTable[[#This Row],[HalfWidth]],ContinuousStatsTable[[#This Row],[BatchMeansHalfWidth]])</f>
        <v>0.34088272804883424</v>
      </c>
    </row>
    <row r="213" spans="1:21" x14ac:dyDescent="0.35">
      <c r="A213" t="s">
        <v>66</v>
      </c>
      <c r="B213" t="s">
        <v>69</v>
      </c>
      <c r="C213">
        <v>43</v>
      </c>
      <c r="D213" t="s">
        <v>78</v>
      </c>
      <c r="E213" t="s">
        <v>82</v>
      </c>
      <c r="F213" t="s">
        <v>80</v>
      </c>
      <c r="G213">
        <v>1.06025302683401</v>
      </c>
      <c r="H213">
        <v>2E+20</v>
      </c>
      <c r="I213">
        <v>0</v>
      </c>
      <c r="J213">
        <v>4</v>
      </c>
      <c r="K213">
        <v>4</v>
      </c>
      <c r="L213">
        <v>0</v>
      </c>
      <c r="M213" s="5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213" s="5" cm="1">
        <f t="array" ref="N213">MAX(IF((ProjectInfoTable[ProjectName]=ContinuousStatsTable[[#This Row],[ProjectName]]),(ProjectInfoTable[ProjectName]=ContinuousStatsTable[[#This Row],[ProjectName]])*ProjectInfoTable[NumberOfReplications]))</f>
        <v>50</v>
      </c>
      <c r="O213" s="5" cm="1">
        <f t="array" ref="O213">IFERROR(AVERAGE(IF((ContinuousStatsTable[GroupByKey]=ContinuousStatsTable[[#This Row],[GroupByKey]]),(ContinuousStatsTable[GroupByKey]=ContinuousStatsTable[[#This Row],[GroupByKey]])*ContinuousStatsTable[Average])),0)</f>
        <v>1.2732860367273062</v>
      </c>
      <c r="P213" s="5" cm="1">
        <f t="array" ref="P213">IFERROR(_xlfn.STDEV.S(IF((ContinuousStatsTable[GroupByKey]=ContinuousStatsTable[[#This Row],[GroupByKey]]),(ContinuousStatsTable[GroupByKey]=ContinuousStatsTable[[#This Row],[GroupByKey]])*ContinuousStatsTable[Average])),0)</f>
        <v>1.137870000737736</v>
      </c>
      <c r="Q213" s="5" cm="1">
        <f t="array" ref="Q213">MAX(IF((ProjectInfoTable[ProjectName]=ContinuousStatsTable[[#This Row],[ProjectName]]),(ProjectInfoTable[ProjectName]=ContinuousStatsTable[[#This Row],[ProjectName]])*ProjectInfoTable[ConfidenceInterval]))</f>
        <v>0.95</v>
      </c>
      <c r="R2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0.32337907617258832</v>
      </c>
      <c r="S213" s="5" cm="1">
        <f t="array" ref="S213">MIN(IF((ContinuousStatsTable[GroupByKey]=ContinuousStatsTable[[#This Row],[GroupByKey]]),(ContinuousStatsTable[GroupByKey]=ContinuousStatsTable[[#This Row],[GroupByKey]])*ContinuousStatsTable[Average]))</f>
        <v>0</v>
      </c>
      <c r="T213" s="5" cm="1">
        <f t="array" ref="T213">MAX(IF((ContinuousStatsTable[GroupByKey]=ContinuousStatsTable[[#This Row],[GroupByKey]]),(ContinuousStatsTable[GroupByKey]=ContinuousStatsTable[[#This Row],[GroupByKey]])*ContinuousStatsTable[Average]))</f>
        <v>5.3083923025689197</v>
      </c>
      <c r="U213" s="5">
        <f>IF((ContinuousStatsTable[[#This Row],[RepsRequested]]&gt;1),ContinuousStatsTable[[#This Row],[HalfWidth]],ContinuousStatsTable[[#This Row],[BatchMeansHalfWidth]])</f>
        <v>0.32337907617258832</v>
      </c>
    </row>
    <row r="214" spans="1:21" x14ac:dyDescent="0.35">
      <c r="A214" t="s">
        <v>66</v>
      </c>
      <c r="B214" t="s">
        <v>69</v>
      </c>
      <c r="C214">
        <v>43</v>
      </c>
      <c r="D214" t="s">
        <v>83</v>
      </c>
      <c r="E214" t="s">
        <v>84</v>
      </c>
      <c r="F214" t="s">
        <v>85</v>
      </c>
      <c r="G214">
        <v>1</v>
      </c>
      <c r="H214">
        <v>2E+20</v>
      </c>
      <c r="I214">
        <v>0</v>
      </c>
      <c r="J214">
        <v>1</v>
      </c>
      <c r="K214">
        <v>1</v>
      </c>
      <c r="L214">
        <v>0</v>
      </c>
      <c r="M214" s="5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214" s="5" cm="1">
        <f t="array" ref="N214">MAX(IF((ProjectInfoTable[ProjectName]=ContinuousStatsTable[[#This Row],[ProjectName]]),(ProjectInfoTable[ProjectName]=ContinuousStatsTable[[#This Row],[ProjectName]])*ProjectInfoTable[NumberOfReplications]))</f>
        <v>50</v>
      </c>
      <c r="O214" s="5" cm="1">
        <f t="array" ref="O214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214" s="5" cm="1">
        <f t="array" ref="P214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214" s="5" cm="1">
        <f t="array" ref="Q214">MAX(IF((ProjectInfoTable[ProjectName]=ContinuousStatsTable[[#This Row],[ProjectName]]),(ProjectInfoTable[ProjectName]=ContinuousStatsTable[[#This Row],[ProjectName]])*ProjectInfoTable[ConfidenceInterval]))</f>
        <v>0.95</v>
      </c>
      <c r="R2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214" s="5" cm="1">
        <f t="array" ref="S214">MIN(IF((ContinuousStatsTable[GroupByKey]=ContinuousStatsTable[[#This Row],[GroupByKey]]),(ContinuousStatsTable[GroupByKey]=ContinuousStatsTable[[#This Row],[GroupByKey]])*ContinuousStatsTable[Average]))</f>
        <v>0.60846830422583797</v>
      </c>
      <c r="T214" s="5" cm="1">
        <f t="array" ref="T214">MAX(IF((ContinuousStatsTable[GroupByKey]=ContinuousStatsTable[[#This Row],[GroupByKey]]),(ContinuousStatsTable[GroupByKey]=ContinuousStatsTable[[#This Row],[GroupByKey]])*ContinuousStatsTable[Average]))</f>
        <v>1</v>
      </c>
      <c r="U214" s="5">
        <f>IF((ContinuousStatsTable[[#This Row],[RepsRequested]]&gt;1),ContinuousStatsTable[[#This Row],[HalfWidth]],ContinuousStatsTable[[#This Row],[BatchMeansHalfWidth]])</f>
        <v>3.350588705034975E-2</v>
      </c>
    </row>
    <row r="215" spans="1:21" x14ac:dyDescent="0.35">
      <c r="A215" t="s">
        <v>66</v>
      </c>
      <c r="B215" t="s">
        <v>69</v>
      </c>
      <c r="C215">
        <v>43</v>
      </c>
      <c r="D215" t="s">
        <v>83</v>
      </c>
      <c r="E215" t="s">
        <v>86</v>
      </c>
      <c r="F215" t="s">
        <v>85</v>
      </c>
      <c r="G215">
        <v>1</v>
      </c>
      <c r="H215">
        <v>2E+20</v>
      </c>
      <c r="I215">
        <v>0</v>
      </c>
      <c r="J215">
        <v>1</v>
      </c>
      <c r="K215">
        <v>1</v>
      </c>
      <c r="L215">
        <v>0</v>
      </c>
      <c r="M215" s="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215" s="5" cm="1">
        <f t="array" ref="N215">MAX(IF((ProjectInfoTable[ProjectName]=ContinuousStatsTable[[#This Row],[ProjectName]]),(ProjectInfoTable[ProjectName]=ContinuousStatsTable[[#This Row],[ProjectName]])*ProjectInfoTable[NumberOfReplications]))</f>
        <v>50</v>
      </c>
      <c r="O215" s="5" cm="1">
        <f t="array" ref="O215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215" s="5" cm="1">
        <f t="array" ref="P215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215" s="5" cm="1">
        <f t="array" ref="Q215">MAX(IF((ProjectInfoTable[ProjectName]=ContinuousStatsTable[[#This Row],[ProjectName]]),(ProjectInfoTable[ProjectName]=ContinuousStatsTable[[#This Row],[ProjectName]])*ProjectInfoTable[ConfidenceInterval]))</f>
        <v>0.95</v>
      </c>
      <c r="R2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215" s="5" cm="1">
        <f t="array" ref="S215">MIN(IF((ContinuousStatsTable[GroupByKey]=ContinuousStatsTable[[#This Row],[GroupByKey]]),(ContinuousStatsTable[GroupByKey]=ContinuousStatsTable[[#This Row],[GroupByKey]])*ContinuousStatsTable[Average]))</f>
        <v>0.60846830422583797</v>
      </c>
      <c r="T215" s="5" cm="1">
        <f t="array" ref="T215">MAX(IF((ContinuousStatsTable[GroupByKey]=ContinuousStatsTable[[#This Row],[GroupByKey]]),(ContinuousStatsTable[GroupByKey]=ContinuousStatsTable[[#This Row],[GroupByKey]])*ContinuousStatsTable[Average]))</f>
        <v>1</v>
      </c>
      <c r="U215" s="5">
        <f>IF((ContinuousStatsTable[[#This Row],[RepsRequested]]&gt;1),ContinuousStatsTable[[#This Row],[HalfWidth]],ContinuousStatsTable[[#This Row],[BatchMeansHalfWidth]])</f>
        <v>3.350588705034975E-2</v>
      </c>
    </row>
    <row r="216" spans="1:21" x14ac:dyDescent="0.35">
      <c r="A216" t="s">
        <v>66</v>
      </c>
      <c r="B216" t="s">
        <v>69</v>
      </c>
      <c r="C216">
        <v>43</v>
      </c>
      <c r="D216" t="s">
        <v>83</v>
      </c>
      <c r="E216" t="s">
        <v>87</v>
      </c>
      <c r="F216" t="s">
        <v>85</v>
      </c>
      <c r="G216">
        <v>1</v>
      </c>
      <c r="H216">
        <v>2E+20</v>
      </c>
      <c r="I216">
        <v>1</v>
      </c>
      <c r="J216">
        <v>1</v>
      </c>
      <c r="K216">
        <v>1</v>
      </c>
      <c r="L216">
        <v>0</v>
      </c>
      <c r="M216" s="5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216" s="5" cm="1">
        <f t="array" ref="N216">MAX(IF((ProjectInfoTable[ProjectName]=ContinuousStatsTable[[#This Row],[ProjectName]]),(ProjectInfoTable[ProjectName]=ContinuousStatsTable[[#This Row],[ProjectName]])*ProjectInfoTable[NumberOfReplications]))</f>
        <v>50</v>
      </c>
      <c r="O216" s="5" cm="1">
        <f t="array" ref="O216">IFERROR(AVERAGE(IF((ContinuousStatsTable[GroupByKey]=ContinuousStatsTable[[#This Row],[GroupByKey]]),(ContinuousStatsTable[GroupByKey]=ContinuousStatsTable[[#This Row],[GroupByKey]])*ContinuousStatsTable[Average])),0)</f>
        <v>1</v>
      </c>
      <c r="P216" s="5" cm="1">
        <f t="array" ref="P216">IFERROR(_xlfn.STDEV.S(IF((ContinuousStatsTable[GroupByKey]=ContinuousStatsTable[[#This Row],[GroupByKey]]),(ContinuousStatsTable[GroupByKey]=ContinuousStatsTable[[#This Row],[GroupByKey]])*ContinuousStatsTable[Average])),0)</f>
        <v>0</v>
      </c>
      <c r="Q216" s="5" cm="1">
        <f t="array" ref="Q216">MAX(IF((ProjectInfoTable[ProjectName]=ContinuousStatsTable[[#This Row],[ProjectName]]),(ProjectInfoTable[ProjectName]=ContinuousStatsTable[[#This Row],[ProjectName]])*ProjectInfoTable[ConfidenceInterval]))</f>
        <v>0.95</v>
      </c>
      <c r="R2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16" s="5" cm="1">
        <f t="array" ref="S216">MIN(IF((ContinuousStatsTable[GroupByKey]=ContinuousStatsTable[[#This Row],[GroupByKey]]),(ContinuousStatsTable[GroupByKey]=ContinuousStatsTable[[#This Row],[GroupByKey]])*ContinuousStatsTable[Average]))</f>
        <v>1</v>
      </c>
      <c r="T216" s="5" cm="1">
        <f t="array" ref="T216">MAX(IF((ContinuousStatsTable[GroupByKey]=ContinuousStatsTable[[#This Row],[GroupByKey]]),(ContinuousStatsTable[GroupByKey]=ContinuousStatsTable[[#This Row],[GroupByKey]])*ContinuousStatsTable[Average]))</f>
        <v>1</v>
      </c>
      <c r="U216" s="5">
        <f>IF((ContinuousStatsTable[[#This Row],[RepsRequested]]&gt;1),ContinuousStatsTable[[#This Row],[HalfWidth]],ContinuousStatsTable[[#This Row],[BatchMeansHalfWidth]])</f>
        <v>0</v>
      </c>
    </row>
    <row r="217" spans="1:21" x14ac:dyDescent="0.35">
      <c r="A217" t="s">
        <v>66</v>
      </c>
      <c r="B217" t="s">
        <v>69</v>
      </c>
      <c r="C217">
        <v>44</v>
      </c>
      <c r="D217" t="s">
        <v>70</v>
      </c>
      <c r="E217" t="s">
        <v>81</v>
      </c>
      <c r="F217" t="s">
        <v>72</v>
      </c>
      <c r="G217">
        <v>3.6572359857077399</v>
      </c>
      <c r="H217">
        <v>2E+20</v>
      </c>
      <c r="I217">
        <v>0</v>
      </c>
      <c r="J217">
        <v>5</v>
      </c>
      <c r="K217">
        <v>4</v>
      </c>
      <c r="L217">
        <v>0</v>
      </c>
      <c r="M217" s="5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217" s="5" cm="1">
        <f t="array" ref="N217">MAX(IF((ProjectInfoTable[ProjectName]=ContinuousStatsTable[[#This Row],[ProjectName]]),(ProjectInfoTable[ProjectName]=ContinuousStatsTable[[#This Row],[ProjectName]])*ProjectInfoTable[NumberOfReplications]))</f>
        <v>50</v>
      </c>
      <c r="O217" s="5" cm="1">
        <f t="array" ref="O217">IFERROR(AVERAGE(IF((ContinuousStatsTable[GroupByKey]=ContinuousStatsTable[[#This Row],[GroupByKey]]),(ContinuousStatsTable[GroupByKey]=ContinuousStatsTable[[#This Row],[GroupByKey]])*ContinuousStatsTable[Average])),0)</f>
        <v>2.1996658161417075</v>
      </c>
      <c r="P217" s="5" cm="1">
        <f t="array" ref="P217">IFERROR(_xlfn.STDEV.S(IF((ContinuousStatsTable[GroupByKey]=ContinuousStatsTable[[#This Row],[GroupByKey]]),(ContinuousStatsTable[GroupByKey]=ContinuousStatsTable[[#This Row],[GroupByKey]])*ContinuousStatsTable[Average])),0)</f>
        <v>1.1994598865431718</v>
      </c>
      <c r="Q217" s="5" cm="1">
        <f t="array" ref="Q217">MAX(IF((ProjectInfoTable[ProjectName]=ContinuousStatsTable[[#This Row],[ProjectName]]),(ProjectInfoTable[ProjectName]=ContinuousStatsTable[[#This Row],[ProjectName]])*ProjectInfoTable[ConfidenceInterval]))</f>
        <v>0.95</v>
      </c>
      <c r="R2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0.34088272804883424</v>
      </c>
      <c r="S217" s="5" cm="1">
        <f t="array" ref="S217">MIN(IF((ContinuousStatsTable[GroupByKey]=ContinuousStatsTable[[#This Row],[GroupByKey]]),(ContinuousStatsTable[GroupByKey]=ContinuousStatsTable[[#This Row],[GroupByKey]])*ContinuousStatsTable[Average]))</f>
        <v>0.70499985227053297</v>
      </c>
      <c r="T217" s="5" cm="1">
        <f t="array" ref="T217">MAX(IF((ContinuousStatsTable[GroupByKey]=ContinuousStatsTable[[#This Row],[GroupByKey]]),(ContinuousStatsTable[GroupByKey]=ContinuousStatsTable[[#This Row],[GroupByKey]])*ContinuousStatsTable[Average]))</f>
        <v>6.3083923025689197</v>
      </c>
      <c r="U217" s="5">
        <f>IF((ContinuousStatsTable[[#This Row],[RepsRequested]]&gt;1),ContinuousStatsTable[[#This Row],[HalfWidth]],ContinuousStatsTable[[#This Row],[BatchMeansHalfWidth]])</f>
        <v>0.34088272804883424</v>
      </c>
    </row>
    <row r="218" spans="1:21" x14ac:dyDescent="0.35">
      <c r="A218" t="s">
        <v>66</v>
      </c>
      <c r="B218" t="s">
        <v>69</v>
      </c>
      <c r="C218">
        <v>44</v>
      </c>
      <c r="D218" t="s">
        <v>78</v>
      </c>
      <c r="E218" t="s">
        <v>82</v>
      </c>
      <c r="F218" t="s">
        <v>80</v>
      </c>
      <c r="G218">
        <v>2.6572359857077399</v>
      </c>
      <c r="H218">
        <v>2E+20</v>
      </c>
      <c r="I218">
        <v>0</v>
      </c>
      <c r="J218">
        <v>4</v>
      </c>
      <c r="K218">
        <v>3</v>
      </c>
      <c r="L218">
        <v>0</v>
      </c>
      <c r="M218" s="5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218" s="5" cm="1">
        <f t="array" ref="N218">MAX(IF((ProjectInfoTable[ProjectName]=ContinuousStatsTable[[#This Row],[ProjectName]]),(ProjectInfoTable[ProjectName]=ContinuousStatsTable[[#This Row],[ProjectName]])*ProjectInfoTable[NumberOfReplications]))</f>
        <v>50</v>
      </c>
      <c r="O218" s="5" cm="1">
        <f t="array" ref="O218">IFERROR(AVERAGE(IF((ContinuousStatsTable[GroupByKey]=ContinuousStatsTable[[#This Row],[GroupByKey]]),(ContinuousStatsTable[GroupByKey]=ContinuousStatsTable[[#This Row],[GroupByKey]])*ContinuousStatsTable[Average])),0)</f>
        <v>1.2732860367273062</v>
      </c>
      <c r="P218" s="5" cm="1">
        <f t="array" ref="P218">IFERROR(_xlfn.STDEV.S(IF((ContinuousStatsTable[GroupByKey]=ContinuousStatsTable[[#This Row],[GroupByKey]]),(ContinuousStatsTable[GroupByKey]=ContinuousStatsTable[[#This Row],[GroupByKey]])*ContinuousStatsTable[Average])),0)</f>
        <v>1.137870000737736</v>
      </c>
      <c r="Q218" s="5" cm="1">
        <f t="array" ref="Q218">MAX(IF((ProjectInfoTable[ProjectName]=ContinuousStatsTable[[#This Row],[ProjectName]]),(ProjectInfoTable[ProjectName]=ContinuousStatsTable[[#This Row],[ProjectName]])*ProjectInfoTable[ConfidenceInterval]))</f>
        <v>0.95</v>
      </c>
      <c r="R2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0.32337907617258832</v>
      </c>
      <c r="S218" s="5" cm="1">
        <f t="array" ref="S218">MIN(IF((ContinuousStatsTable[GroupByKey]=ContinuousStatsTable[[#This Row],[GroupByKey]]),(ContinuousStatsTable[GroupByKey]=ContinuousStatsTable[[#This Row],[GroupByKey]])*ContinuousStatsTable[Average]))</f>
        <v>0</v>
      </c>
      <c r="T218" s="5" cm="1">
        <f t="array" ref="T218">MAX(IF((ContinuousStatsTable[GroupByKey]=ContinuousStatsTable[[#This Row],[GroupByKey]]),(ContinuousStatsTable[GroupByKey]=ContinuousStatsTable[[#This Row],[GroupByKey]])*ContinuousStatsTable[Average]))</f>
        <v>5.3083923025689197</v>
      </c>
      <c r="U218" s="5">
        <f>IF((ContinuousStatsTable[[#This Row],[RepsRequested]]&gt;1),ContinuousStatsTable[[#This Row],[HalfWidth]],ContinuousStatsTable[[#This Row],[BatchMeansHalfWidth]])</f>
        <v>0.32337907617258832</v>
      </c>
    </row>
    <row r="219" spans="1:21" x14ac:dyDescent="0.35">
      <c r="A219" t="s">
        <v>66</v>
      </c>
      <c r="B219" t="s">
        <v>69</v>
      </c>
      <c r="C219">
        <v>44</v>
      </c>
      <c r="D219" t="s">
        <v>83</v>
      </c>
      <c r="E219" t="s">
        <v>84</v>
      </c>
      <c r="F219" t="s">
        <v>85</v>
      </c>
      <c r="G219">
        <v>1</v>
      </c>
      <c r="H219">
        <v>2E+20</v>
      </c>
      <c r="I219">
        <v>0</v>
      </c>
      <c r="J219">
        <v>1</v>
      </c>
      <c r="K219">
        <v>1</v>
      </c>
      <c r="L219">
        <v>0</v>
      </c>
      <c r="M219" s="5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219" s="5" cm="1">
        <f t="array" ref="N219">MAX(IF((ProjectInfoTable[ProjectName]=ContinuousStatsTable[[#This Row],[ProjectName]]),(ProjectInfoTable[ProjectName]=ContinuousStatsTable[[#This Row],[ProjectName]])*ProjectInfoTable[NumberOfReplications]))</f>
        <v>50</v>
      </c>
      <c r="O219" s="5" cm="1">
        <f t="array" ref="O219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219" s="5" cm="1">
        <f t="array" ref="P219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219" s="5" cm="1">
        <f t="array" ref="Q219">MAX(IF((ProjectInfoTable[ProjectName]=ContinuousStatsTable[[#This Row],[ProjectName]]),(ProjectInfoTable[ProjectName]=ContinuousStatsTable[[#This Row],[ProjectName]])*ProjectInfoTable[ConfidenceInterval]))</f>
        <v>0.95</v>
      </c>
      <c r="R2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219" s="5" cm="1">
        <f t="array" ref="S219">MIN(IF((ContinuousStatsTable[GroupByKey]=ContinuousStatsTable[[#This Row],[GroupByKey]]),(ContinuousStatsTable[GroupByKey]=ContinuousStatsTable[[#This Row],[GroupByKey]])*ContinuousStatsTable[Average]))</f>
        <v>0.60846830422583797</v>
      </c>
      <c r="T219" s="5" cm="1">
        <f t="array" ref="T219">MAX(IF((ContinuousStatsTable[GroupByKey]=ContinuousStatsTable[[#This Row],[GroupByKey]]),(ContinuousStatsTable[GroupByKey]=ContinuousStatsTable[[#This Row],[GroupByKey]])*ContinuousStatsTable[Average]))</f>
        <v>1</v>
      </c>
      <c r="U219" s="5">
        <f>IF((ContinuousStatsTable[[#This Row],[RepsRequested]]&gt;1),ContinuousStatsTable[[#This Row],[HalfWidth]],ContinuousStatsTable[[#This Row],[BatchMeansHalfWidth]])</f>
        <v>3.350588705034975E-2</v>
      </c>
    </row>
    <row r="220" spans="1:21" x14ac:dyDescent="0.35">
      <c r="A220" t="s">
        <v>66</v>
      </c>
      <c r="B220" t="s">
        <v>69</v>
      </c>
      <c r="C220">
        <v>44</v>
      </c>
      <c r="D220" t="s">
        <v>83</v>
      </c>
      <c r="E220" t="s">
        <v>86</v>
      </c>
      <c r="F220" t="s">
        <v>85</v>
      </c>
      <c r="G220">
        <v>1</v>
      </c>
      <c r="H220">
        <v>2E+20</v>
      </c>
      <c r="I220">
        <v>0</v>
      </c>
      <c r="J220">
        <v>1</v>
      </c>
      <c r="K220">
        <v>1</v>
      </c>
      <c r="L220">
        <v>0</v>
      </c>
      <c r="M220" s="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220" s="5" cm="1">
        <f t="array" ref="N220">MAX(IF((ProjectInfoTable[ProjectName]=ContinuousStatsTable[[#This Row],[ProjectName]]),(ProjectInfoTable[ProjectName]=ContinuousStatsTable[[#This Row],[ProjectName]])*ProjectInfoTable[NumberOfReplications]))</f>
        <v>50</v>
      </c>
      <c r="O220" s="5" cm="1">
        <f t="array" ref="O220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220" s="5" cm="1">
        <f t="array" ref="P220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220" s="5" cm="1">
        <f t="array" ref="Q220">MAX(IF((ProjectInfoTable[ProjectName]=ContinuousStatsTable[[#This Row],[ProjectName]]),(ProjectInfoTable[ProjectName]=ContinuousStatsTable[[#This Row],[ProjectName]])*ProjectInfoTable[ConfidenceInterval]))</f>
        <v>0.95</v>
      </c>
      <c r="R2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220" s="5" cm="1">
        <f t="array" ref="S220">MIN(IF((ContinuousStatsTable[GroupByKey]=ContinuousStatsTable[[#This Row],[GroupByKey]]),(ContinuousStatsTable[GroupByKey]=ContinuousStatsTable[[#This Row],[GroupByKey]])*ContinuousStatsTable[Average]))</f>
        <v>0.60846830422583797</v>
      </c>
      <c r="T220" s="5" cm="1">
        <f t="array" ref="T220">MAX(IF((ContinuousStatsTable[GroupByKey]=ContinuousStatsTable[[#This Row],[GroupByKey]]),(ContinuousStatsTable[GroupByKey]=ContinuousStatsTable[[#This Row],[GroupByKey]])*ContinuousStatsTable[Average]))</f>
        <v>1</v>
      </c>
      <c r="U220" s="5">
        <f>IF((ContinuousStatsTable[[#This Row],[RepsRequested]]&gt;1),ContinuousStatsTable[[#This Row],[HalfWidth]],ContinuousStatsTable[[#This Row],[BatchMeansHalfWidth]])</f>
        <v>3.350588705034975E-2</v>
      </c>
    </row>
    <row r="221" spans="1:21" x14ac:dyDescent="0.35">
      <c r="A221" t="s">
        <v>66</v>
      </c>
      <c r="B221" t="s">
        <v>69</v>
      </c>
      <c r="C221">
        <v>44</v>
      </c>
      <c r="D221" t="s">
        <v>83</v>
      </c>
      <c r="E221" t="s">
        <v>87</v>
      </c>
      <c r="F221" t="s">
        <v>85</v>
      </c>
      <c r="G221">
        <v>1</v>
      </c>
      <c r="H221">
        <v>2E+20</v>
      </c>
      <c r="I221">
        <v>1</v>
      </c>
      <c r="J221">
        <v>1</v>
      </c>
      <c r="K221">
        <v>1</v>
      </c>
      <c r="L221">
        <v>0</v>
      </c>
      <c r="M221" s="5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221" s="5" cm="1">
        <f t="array" ref="N221">MAX(IF((ProjectInfoTable[ProjectName]=ContinuousStatsTable[[#This Row],[ProjectName]]),(ProjectInfoTable[ProjectName]=ContinuousStatsTable[[#This Row],[ProjectName]])*ProjectInfoTable[NumberOfReplications]))</f>
        <v>50</v>
      </c>
      <c r="O221" s="5" cm="1">
        <f t="array" ref="O221">IFERROR(AVERAGE(IF((ContinuousStatsTable[GroupByKey]=ContinuousStatsTable[[#This Row],[GroupByKey]]),(ContinuousStatsTable[GroupByKey]=ContinuousStatsTable[[#This Row],[GroupByKey]])*ContinuousStatsTable[Average])),0)</f>
        <v>1</v>
      </c>
      <c r="P221" s="5" cm="1">
        <f t="array" ref="P221">IFERROR(_xlfn.STDEV.S(IF((ContinuousStatsTable[GroupByKey]=ContinuousStatsTable[[#This Row],[GroupByKey]]),(ContinuousStatsTable[GroupByKey]=ContinuousStatsTable[[#This Row],[GroupByKey]])*ContinuousStatsTable[Average])),0)</f>
        <v>0</v>
      </c>
      <c r="Q221" s="5" cm="1">
        <f t="array" ref="Q221">MAX(IF((ProjectInfoTable[ProjectName]=ContinuousStatsTable[[#This Row],[ProjectName]]),(ProjectInfoTable[ProjectName]=ContinuousStatsTable[[#This Row],[ProjectName]])*ProjectInfoTable[ConfidenceInterval]))</f>
        <v>0.95</v>
      </c>
      <c r="R2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1" s="5" cm="1">
        <f t="array" ref="S221">MIN(IF((ContinuousStatsTable[GroupByKey]=ContinuousStatsTable[[#This Row],[GroupByKey]]),(ContinuousStatsTable[GroupByKey]=ContinuousStatsTable[[#This Row],[GroupByKey]])*ContinuousStatsTable[Average]))</f>
        <v>1</v>
      </c>
      <c r="T221" s="5" cm="1">
        <f t="array" ref="T221">MAX(IF((ContinuousStatsTable[GroupByKey]=ContinuousStatsTable[[#This Row],[GroupByKey]]),(ContinuousStatsTable[GroupByKey]=ContinuousStatsTable[[#This Row],[GroupByKey]])*ContinuousStatsTable[Average]))</f>
        <v>1</v>
      </c>
      <c r="U221" s="5">
        <f>IF((ContinuousStatsTable[[#This Row],[RepsRequested]]&gt;1),ContinuousStatsTable[[#This Row],[HalfWidth]],ContinuousStatsTable[[#This Row],[BatchMeansHalfWidth]])</f>
        <v>0</v>
      </c>
    </row>
    <row r="222" spans="1:21" x14ac:dyDescent="0.35">
      <c r="A222" t="s">
        <v>66</v>
      </c>
      <c r="B222" t="s">
        <v>69</v>
      </c>
      <c r="C222">
        <v>45</v>
      </c>
      <c r="D222" t="s">
        <v>70</v>
      </c>
      <c r="E222" t="s">
        <v>81</v>
      </c>
      <c r="F222" t="s">
        <v>72</v>
      </c>
      <c r="G222">
        <v>0.77127828439623802</v>
      </c>
      <c r="H222">
        <v>2E+20</v>
      </c>
      <c r="I222">
        <v>0</v>
      </c>
      <c r="J222">
        <v>2</v>
      </c>
      <c r="K222">
        <v>0</v>
      </c>
      <c r="L222">
        <v>0</v>
      </c>
      <c r="M222" s="5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222" s="5" cm="1">
        <f t="array" ref="N222">MAX(IF((ProjectInfoTable[ProjectName]=ContinuousStatsTable[[#This Row],[ProjectName]]),(ProjectInfoTable[ProjectName]=ContinuousStatsTable[[#This Row],[ProjectName]])*ProjectInfoTable[NumberOfReplications]))</f>
        <v>50</v>
      </c>
      <c r="O222" s="5" cm="1">
        <f t="array" ref="O222">IFERROR(AVERAGE(IF((ContinuousStatsTable[GroupByKey]=ContinuousStatsTable[[#This Row],[GroupByKey]]),(ContinuousStatsTable[GroupByKey]=ContinuousStatsTable[[#This Row],[GroupByKey]])*ContinuousStatsTable[Average])),0)</f>
        <v>2.1996658161417075</v>
      </c>
      <c r="P222" s="5" cm="1">
        <f t="array" ref="P222">IFERROR(_xlfn.STDEV.S(IF((ContinuousStatsTable[GroupByKey]=ContinuousStatsTable[[#This Row],[GroupByKey]]),(ContinuousStatsTable[GroupByKey]=ContinuousStatsTable[[#This Row],[GroupByKey]])*ContinuousStatsTable[Average])),0)</f>
        <v>1.1994598865431718</v>
      </c>
      <c r="Q222" s="5" cm="1">
        <f t="array" ref="Q222">MAX(IF((ProjectInfoTable[ProjectName]=ContinuousStatsTable[[#This Row],[ProjectName]]),(ProjectInfoTable[ProjectName]=ContinuousStatsTable[[#This Row],[ProjectName]])*ProjectInfoTable[ConfidenceInterval]))</f>
        <v>0.95</v>
      </c>
      <c r="R2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0.34088272804883424</v>
      </c>
      <c r="S222" s="5" cm="1">
        <f t="array" ref="S222">MIN(IF((ContinuousStatsTable[GroupByKey]=ContinuousStatsTable[[#This Row],[GroupByKey]]),(ContinuousStatsTable[GroupByKey]=ContinuousStatsTable[[#This Row],[GroupByKey]])*ContinuousStatsTable[Average]))</f>
        <v>0.70499985227053297</v>
      </c>
      <c r="T222" s="5" cm="1">
        <f t="array" ref="T222">MAX(IF((ContinuousStatsTable[GroupByKey]=ContinuousStatsTable[[#This Row],[GroupByKey]]),(ContinuousStatsTable[GroupByKey]=ContinuousStatsTable[[#This Row],[GroupByKey]])*ContinuousStatsTable[Average]))</f>
        <v>6.3083923025689197</v>
      </c>
      <c r="U222" s="5">
        <f>IF((ContinuousStatsTable[[#This Row],[RepsRequested]]&gt;1),ContinuousStatsTable[[#This Row],[HalfWidth]],ContinuousStatsTable[[#This Row],[BatchMeansHalfWidth]])</f>
        <v>0.34088272804883424</v>
      </c>
    </row>
    <row r="223" spans="1:21" x14ac:dyDescent="0.35">
      <c r="A223" t="s">
        <v>66</v>
      </c>
      <c r="B223" t="s">
        <v>69</v>
      </c>
      <c r="C223">
        <v>45</v>
      </c>
      <c r="D223" t="s">
        <v>78</v>
      </c>
      <c r="E223" t="s">
        <v>82</v>
      </c>
      <c r="F223" t="s">
        <v>80</v>
      </c>
      <c r="G223">
        <v>0.15173759778627699</v>
      </c>
      <c r="H223">
        <v>2E+20</v>
      </c>
      <c r="I223">
        <v>0</v>
      </c>
      <c r="J223">
        <v>1</v>
      </c>
      <c r="K223">
        <v>0</v>
      </c>
      <c r="L223">
        <v>0</v>
      </c>
      <c r="M223" s="5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223" s="5" cm="1">
        <f t="array" ref="N223">MAX(IF((ProjectInfoTable[ProjectName]=ContinuousStatsTable[[#This Row],[ProjectName]]),(ProjectInfoTable[ProjectName]=ContinuousStatsTable[[#This Row],[ProjectName]])*ProjectInfoTable[NumberOfReplications]))</f>
        <v>50</v>
      </c>
      <c r="O223" s="5" cm="1">
        <f t="array" ref="O223">IFERROR(AVERAGE(IF((ContinuousStatsTable[GroupByKey]=ContinuousStatsTable[[#This Row],[GroupByKey]]),(ContinuousStatsTable[GroupByKey]=ContinuousStatsTable[[#This Row],[GroupByKey]])*ContinuousStatsTable[Average])),0)</f>
        <v>1.2732860367273062</v>
      </c>
      <c r="P223" s="5" cm="1">
        <f t="array" ref="P223">IFERROR(_xlfn.STDEV.S(IF((ContinuousStatsTable[GroupByKey]=ContinuousStatsTable[[#This Row],[GroupByKey]]),(ContinuousStatsTable[GroupByKey]=ContinuousStatsTable[[#This Row],[GroupByKey]])*ContinuousStatsTable[Average])),0)</f>
        <v>1.137870000737736</v>
      </c>
      <c r="Q223" s="5" cm="1">
        <f t="array" ref="Q223">MAX(IF((ProjectInfoTable[ProjectName]=ContinuousStatsTable[[#This Row],[ProjectName]]),(ProjectInfoTable[ProjectName]=ContinuousStatsTable[[#This Row],[ProjectName]])*ProjectInfoTable[ConfidenceInterval]))</f>
        <v>0.95</v>
      </c>
      <c r="R22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0.32337907617258832</v>
      </c>
      <c r="S223" s="5" cm="1">
        <f t="array" ref="S223">MIN(IF((ContinuousStatsTable[GroupByKey]=ContinuousStatsTable[[#This Row],[GroupByKey]]),(ContinuousStatsTable[GroupByKey]=ContinuousStatsTable[[#This Row],[GroupByKey]])*ContinuousStatsTable[Average]))</f>
        <v>0</v>
      </c>
      <c r="T223" s="5" cm="1">
        <f t="array" ref="T223">MAX(IF((ContinuousStatsTable[GroupByKey]=ContinuousStatsTable[[#This Row],[GroupByKey]]),(ContinuousStatsTable[GroupByKey]=ContinuousStatsTable[[#This Row],[GroupByKey]])*ContinuousStatsTable[Average]))</f>
        <v>5.3083923025689197</v>
      </c>
      <c r="U223" s="5">
        <f>IF((ContinuousStatsTable[[#This Row],[RepsRequested]]&gt;1),ContinuousStatsTable[[#This Row],[HalfWidth]],ContinuousStatsTable[[#This Row],[BatchMeansHalfWidth]])</f>
        <v>0.32337907617258832</v>
      </c>
    </row>
    <row r="224" spans="1:21" x14ac:dyDescent="0.35">
      <c r="A224" t="s">
        <v>66</v>
      </c>
      <c r="B224" t="s">
        <v>69</v>
      </c>
      <c r="C224">
        <v>45</v>
      </c>
      <c r="D224" t="s">
        <v>83</v>
      </c>
      <c r="E224" t="s">
        <v>84</v>
      </c>
      <c r="F224" t="s">
        <v>85</v>
      </c>
      <c r="G224">
        <v>0.61954068660996098</v>
      </c>
      <c r="H224">
        <v>2E+20</v>
      </c>
      <c r="I224">
        <v>0</v>
      </c>
      <c r="J224">
        <v>1</v>
      </c>
      <c r="K224">
        <v>0</v>
      </c>
      <c r="L224">
        <v>0</v>
      </c>
      <c r="M224" s="5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224" s="5" cm="1">
        <f t="array" ref="N224">MAX(IF((ProjectInfoTable[ProjectName]=ContinuousStatsTable[[#This Row],[ProjectName]]),(ProjectInfoTable[ProjectName]=ContinuousStatsTable[[#This Row],[ProjectName]])*ProjectInfoTable[NumberOfReplications]))</f>
        <v>50</v>
      </c>
      <c r="O224" s="5" cm="1">
        <f t="array" ref="O224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224" s="5" cm="1">
        <f t="array" ref="P224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224" s="5" cm="1">
        <f t="array" ref="Q224">MAX(IF((ProjectInfoTable[ProjectName]=ContinuousStatsTable[[#This Row],[ProjectName]]),(ProjectInfoTable[ProjectName]=ContinuousStatsTable[[#This Row],[ProjectName]])*ProjectInfoTable[ConfidenceInterval]))</f>
        <v>0.95</v>
      </c>
      <c r="R22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224" s="5" cm="1">
        <f t="array" ref="S224">MIN(IF((ContinuousStatsTable[GroupByKey]=ContinuousStatsTable[[#This Row],[GroupByKey]]),(ContinuousStatsTable[GroupByKey]=ContinuousStatsTable[[#This Row],[GroupByKey]])*ContinuousStatsTable[Average]))</f>
        <v>0.60846830422583797</v>
      </c>
      <c r="T224" s="5" cm="1">
        <f t="array" ref="T224">MAX(IF((ContinuousStatsTable[GroupByKey]=ContinuousStatsTable[[#This Row],[GroupByKey]]),(ContinuousStatsTable[GroupByKey]=ContinuousStatsTable[[#This Row],[GroupByKey]])*ContinuousStatsTable[Average]))</f>
        <v>1</v>
      </c>
      <c r="U224" s="5">
        <f>IF((ContinuousStatsTable[[#This Row],[RepsRequested]]&gt;1),ContinuousStatsTable[[#This Row],[HalfWidth]],ContinuousStatsTable[[#This Row],[BatchMeansHalfWidth]])</f>
        <v>3.350588705034975E-2</v>
      </c>
    </row>
    <row r="225" spans="1:21" x14ac:dyDescent="0.35">
      <c r="A225" t="s">
        <v>66</v>
      </c>
      <c r="B225" t="s">
        <v>69</v>
      </c>
      <c r="C225">
        <v>45</v>
      </c>
      <c r="D225" t="s">
        <v>83</v>
      </c>
      <c r="E225" t="s">
        <v>86</v>
      </c>
      <c r="F225" t="s">
        <v>85</v>
      </c>
      <c r="G225">
        <v>0.61954068660996098</v>
      </c>
      <c r="H225">
        <v>2E+20</v>
      </c>
      <c r="I225">
        <v>0</v>
      </c>
      <c r="J225">
        <v>1</v>
      </c>
      <c r="K225">
        <v>0</v>
      </c>
      <c r="L225">
        <v>0</v>
      </c>
      <c r="M225" s="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225" s="5" cm="1">
        <f t="array" ref="N225">MAX(IF((ProjectInfoTable[ProjectName]=ContinuousStatsTable[[#This Row],[ProjectName]]),(ProjectInfoTable[ProjectName]=ContinuousStatsTable[[#This Row],[ProjectName]])*ProjectInfoTable[NumberOfReplications]))</f>
        <v>50</v>
      </c>
      <c r="O225" s="5" cm="1">
        <f t="array" ref="O225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225" s="5" cm="1">
        <f t="array" ref="P225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225" s="5" cm="1">
        <f t="array" ref="Q225">MAX(IF((ProjectInfoTable[ProjectName]=ContinuousStatsTable[[#This Row],[ProjectName]]),(ProjectInfoTable[ProjectName]=ContinuousStatsTable[[#This Row],[ProjectName]])*ProjectInfoTable[ConfidenceInterval]))</f>
        <v>0.95</v>
      </c>
      <c r="R22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225" s="5" cm="1">
        <f t="array" ref="S225">MIN(IF((ContinuousStatsTable[GroupByKey]=ContinuousStatsTable[[#This Row],[GroupByKey]]),(ContinuousStatsTable[GroupByKey]=ContinuousStatsTable[[#This Row],[GroupByKey]])*ContinuousStatsTable[Average]))</f>
        <v>0.60846830422583797</v>
      </c>
      <c r="T225" s="5" cm="1">
        <f t="array" ref="T225">MAX(IF((ContinuousStatsTable[GroupByKey]=ContinuousStatsTable[[#This Row],[GroupByKey]]),(ContinuousStatsTable[GroupByKey]=ContinuousStatsTable[[#This Row],[GroupByKey]])*ContinuousStatsTable[Average]))</f>
        <v>1</v>
      </c>
      <c r="U225" s="5">
        <f>IF((ContinuousStatsTable[[#This Row],[RepsRequested]]&gt;1),ContinuousStatsTable[[#This Row],[HalfWidth]],ContinuousStatsTable[[#This Row],[BatchMeansHalfWidth]])</f>
        <v>3.350588705034975E-2</v>
      </c>
    </row>
    <row r="226" spans="1:21" x14ac:dyDescent="0.35">
      <c r="A226" t="s">
        <v>66</v>
      </c>
      <c r="B226" t="s">
        <v>69</v>
      </c>
      <c r="C226">
        <v>45</v>
      </c>
      <c r="D226" t="s">
        <v>83</v>
      </c>
      <c r="E226" t="s">
        <v>87</v>
      </c>
      <c r="F226" t="s">
        <v>85</v>
      </c>
      <c r="G226">
        <v>1</v>
      </c>
      <c r="H226">
        <v>2E+20</v>
      </c>
      <c r="I226">
        <v>1</v>
      </c>
      <c r="J226">
        <v>1</v>
      </c>
      <c r="K226">
        <v>1</v>
      </c>
      <c r="L226">
        <v>0</v>
      </c>
      <c r="M226" s="5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226" s="5" cm="1">
        <f t="array" ref="N226">MAX(IF((ProjectInfoTable[ProjectName]=ContinuousStatsTable[[#This Row],[ProjectName]]),(ProjectInfoTable[ProjectName]=ContinuousStatsTable[[#This Row],[ProjectName]])*ProjectInfoTable[NumberOfReplications]))</f>
        <v>50</v>
      </c>
      <c r="O226" s="5" cm="1">
        <f t="array" ref="O226">IFERROR(AVERAGE(IF((ContinuousStatsTable[GroupByKey]=ContinuousStatsTable[[#This Row],[GroupByKey]]),(ContinuousStatsTable[GroupByKey]=ContinuousStatsTable[[#This Row],[GroupByKey]])*ContinuousStatsTable[Average])),0)</f>
        <v>1</v>
      </c>
      <c r="P226" s="5" cm="1">
        <f t="array" ref="P226">IFERROR(_xlfn.STDEV.S(IF((ContinuousStatsTable[GroupByKey]=ContinuousStatsTable[[#This Row],[GroupByKey]]),(ContinuousStatsTable[GroupByKey]=ContinuousStatsTable[[#This Row],[GroupByKey]])*ContinuousStatsTable[Average])),0)</f>
        <v>0</v>
      </c>
      <c r="Q226" s="5" cm="1">
        <f t="array" ref="Q226">MAX(IF((ProjectInfoTable[ProjectName]=ContinuousStatsTable[[#This Row],[ProjectName]]),(ProjectInfoTable[ProjectName]=ContinuousStatsTable[[#This Row],[ProjectName]])*ProjectInfoTable[ConfidenceInterval]))</f>
        <v>0.95</v>
      </c>
      <c r="R22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26" s="5" cm="1">
        <f t="array" ref="S226">MIN(IF((ContinuousStatsTable[GroupByKey]=ContinuousStatsTable[[#This Row],[GroupByKey]]),(ContinuousStatsTable[GroupByKey]=ContinuousStatsTable[[#This Row],[GroupByKey]])*ContinuousStatsTable[Average]))</f>
        <v>1</v>
      </c>
      <c r="T226" s="5" cm="1">
        <f t="array" ref="T226">MAX(IF((ContinuousStatsTable[GroupByKey]=ContinuousStatsTable[[#This Row],[GroupByKey]]),(ContinuousStatsTable[GroupByKey]=ContinuousStatsTable[[#This Row],[GroupByKey]])*ContinuousStatsTable[Average]))</f>
        <v>1</v>
      </c>
      <c r="U226" s="5">
        <f>IF((ContinuousStatsTable[[#This Row],[RepsRequested]]&gt;1),ContinuousStatsTable[[#This Row],[HalfWidth]],ContinuousStatsTable[[#This Row],[BatchMeansHalfWidth]])</f>
        <v>0</v>
      </c>
    </row>
    <row r="227" spans="1:21" x14ac:dyDescent="0.35">
      <c r="A227" t="s">
        <v>66</v>
      </c>
      <c r="B227" t="s">
        <v>69</v>
      </c>
      <c r="C227">
        <v>46</v>
      </c>
      <c r="D227" t="s">
        <v>70</v>
      </c>
      <c r="E227" t="s">
        <v>81</v>
      </c>
      <c r="F227" t="s">
        <v>72</v>
      </c>
      <c r="G227">
        <v>0.87442101261667804</v>
      </c>
      <c r="H227">
        <v>2E+20</v>
      </c>
      <c r="I227">
        <v>0</v>
      </c>
      <c r="J227">
        <v>3</v>
      </c>
      <c r="K227">
        <v>3</v>
      </c>
      <c r="L227">
        <v>0</v>
      </c>
      <c r="M227" s="5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227" s="5" cm="1">
        <f t="array" ref="N227">MAX(IF((ProjectInfoTable[ProjectName]=ContinuousStatsTable[[#This Row],[ProjectName]]),(ProjectInfoTable[ProjectName]=ContinuousStatsTable[[#This Row],[ProjectName]])*ProjectInfoTable[NumberOfReplications]))</f>
        <v>50</v>
      </c>
      <c r="O227" s="5" cm="1">
        <f t="array" ref="O227">IFERROR(AVERAGE(IF((ContinuousStatsTable[GroupByKey]=ContinuousStatsTable[[#This Row],[GroupByKey]]),(ContinuousStatsTable[GroupByKey]=ContinuousStatsTable[[#This Row],[GroupByKey]])*ContinuousStatsTable[Average])),0)</f>
        <v>2.1996658161417075</v>
      </c>
      <c r="P227" s="5" cm="1">
        <f t="array" ref="P227">IFERROR(_xlfn.STDEV.S(IF((ContinuousStatsTable[GroupByKey]=ContinuousStatsTable[[#This Row],[GroupByKey]]),(ContinuousStatsTable[GroupByKey]=ContinuousStatsTable[[#This Row],[GroupByKey]])*ContinuousStatsTable[Average])),0)</f>
        <v>1.1994598865431718</v>
      </c>
      <c r="Q227" s="5" cm="1">
        <f t="array" ref="Q227">MAX(IF((ProjectInfoTable[ProjectName]=ContinuousStatsTable[[#This Row],[ProjectName]]),(ProjectInfoTable[ProjectName]=ContinuousStatsTable[[#This Row],[ProjectName]])*ProjectInfoTable[ConfidenceInterval]))</f>
        <v>0.95</v>
      </c>
      <c r="R22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0.34088272804883424</v>
      </c>
      <c r="S227" s="5" cm="1">
        <f t="array" ref="S227">MIN(IF((ContinuousStatsTable[GroupByKey]=ContinuousStatsTable[[#This Row],[GroupByKey]]),(ContinuousStatsTable[GroupByKey]=ContinuousStatsTable[[#This Row],[GroupByKey]])*ContinuousStatsTable[Average]))</f>
        <v>0.70499985227053297</v>
      </c>
      <c r="T227" s="5" cm="1">
        <f t="array" ref="T227">MAX(IF((ContinuousStatsTable[GroupByKey]=ContinuousStatsTable[[#This Row],[GroupByKey]]),(ContinuousStatsTable[GroupByKey]=ContinuousStatsTable[[#This Row],[GroupByKey]])*ContinuousStatsTable[Average]))</f>
        <v>6.3083923025689197</v>
      </c>
      <c r="U227" s="5">
        <f>IF((ContinuousStatsTable[[#This Row],[RepsRequested]]&gt;1),ContinuousStatsTable[[#This Row],[HalfWidth]],ContinuousStatsTable[[#This Row],[BatchMeansHalfWidth]])</f>
        <v>0.34088272804883424</v>
      </c>
    </row>
    <row r="228" spans="1:21" x14ac:dyDescent="0.35">
      <c r="A228" t="s">
        <v>66</v>
      </c>
      <c r="B228" t="s">
        <v>69</v>
      </c>
      <c r="C228">
        <v>46</v>
      </c>
      <c r="D228" t="s">
        <v>78</v>
      </c>
      <c r="E228" t="s">
        <v>82</v>
      </c>
      <c r="F228" t="s">
        <v>80</v>
      </c>
      <c r="G228">
        <v>0.26595270839084001</v>
      </c>
      <c r="H228">
        <v>2E+20</v>
      </c>
      <c r="I228">
        <v>0</v>
      </c>
      <c r="J228">
        <v>2</v>
      </c>
      <c r="K228">
        <v>2</v>
      </c>
      <c r="L228">
        <v>0</v>
      </c>
      <c r="M228" s="5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228" s="5" cm="1">
        <f t="array" ref="N228">MAX(IF((ProjectInfoTable[ProjectName]=ContinuousStatsTable[[#This Row],[ProjectName]]),(ProjectInfoTable[ProjectName]=ContinuousStatsTable[[#This Row],[ProjectName]])*ProjectInfoTable[NumberOfReplications]))</f>
        <v>50</v>
      </c>
      <c r="O228" s="5" cm="1">
        <f t="array" ref="O228">IFERROR(AVERAGE(IF((ContinuousStatsTable[GroupByKey]=ContinuousStatsTable[[#This Row],[GroupByKey]]),(ContinuousStatsTable[GroupByKey]=ContinuousStatsTable[[#This Row],[GroupByKey]])*ContinuousStatsTable[Average])),0)</f>
        <v>1.2732860367273062</v>
      </c>
      <c r="P228" s="5" cm="1">
        <f t="array" ref="P228">IFERROR(_xlfn.STDEV.S(IF((ContinuousStatsTable[GroupByKey]=ContinuousStatsTable[[#This Row],[GroupByKey]]),(ContinuousStatsTable[GroupByKey]=ContinuousStatsTable[[#This Row],[GroupByKey]])*ContinuousStatsTable[Average])),0)</f>
        <v>1.137870000737736</v>
      </c>
      <c r="Q228" s="5" cm="1">
        <f t="array" ref="Q228">MAX(IF((ProjectInfoTable[ProjectName]=ContinuousStatsTable[[#This Row],[ProjectName]]),(ProjectInfoTable[ProjectName]=ContinuousStatsTable[[#This Row],[ProjectName]])*ProjectInfoTable[ConfidenceInterval]))</f>
        <v>0.95</v>
      </c>
      <c r="R22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0.32337907617258832</v>
      </c>
      <c r="S228" s="5" cm="1">
        <f t="array" ref="S228">MIN(IF((ContinuousStatsTable[GroupByKey]=ContinuousStatsTable[[#This Row],[GroupByKey]]),(ContinuousStatsTable[GroupByKey]=ContinuousStatsTable[[#This Row],[GroupByKey]])*ContinuousStatsTable[Average]))</f>
        <v>0</v>
      </c>
      <c r="T228" s="5" cm="1">
        <f t="array" ref="T228">MAX(IF((ContinuousStatsTable[GroupByKey]=ContinuousStatsTable[[#This Row],[GroupByKey]]),(ContinuousStatsTable[GroupByKey]=ContinuousStatsTable[[#This Row],[GroupByKey]])*ContinuousStatsTable[Average]))</f>
        <v>5.3083923025689197</v>
      </c>
      <c r="U228" s="5">
        <f>IF((ContinuousStatsTable[[#This Row],[RepsRequested]]&gt;1),ContinuousStatsTable[[#This Row],[HalfWidth]],ContinuousStatsTable[[#This Row],[BatchMeansHalfWidth]])</f>
        <v>0.32337907617258832</v>
      </c>
    </row>
    <row r="229" spans="1:21" x14ac:dyDescent="0.35">
      <c r="A229" t="s">
        <v>66</v>
      </c>
      <c r="B229" t="s">
        <v>69</v>
      </c>
      <c r="C229">
        <v>46</v>
      </c>
      <c r="D229" t="s">
        <v>83</v>
      </c>
      <c r="E229" t="s">
        <v>84</v>
      </c>
      <c r="F229" t="s">
        <v>85</v>
      </c>
      <c r="G229">
        <v>0.60846830422583797</v>
      </c>
      <c r="H229">
        <v>2E+20</v>
      </c>
      <c r="I229">
        <v>0</v>
      </c>
      <c r="J229">
        <v>1</v>
      </c>
      <c r="K229">
        <v>1</v>
      </c>
      <c r="L229">
        <v>0</v>
      </c>
      <c r="M229" s="5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229" s="5" cm="1">
        <f t="array" ref="N229">MAX(IF((ProjectInfoTable[ProjectName]=ContinuousStatsTable[[#This Row],[ProjectName]]),(ProjectInfoTable[ProjectName]=ContinuousStatsTable[[#This Row],[ProjectName]])*ProjectInfoTable[NumberOfReplications]))</f>
        <v>50</v>
      </c>
      <c r="O229" s="5" cm="1">
        <f t="array" ref="O229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229" s="5" cm="1">
        <f t="array" ref="P229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229" s="5" cm="1">
        <f t="array" ref="Q229">MAX(IF((ProjectInfoTable[ProjectName]=ContinuousStatsTable[[#This Row],[ProjectName]]),(ProjectInfoTable[ProjectName]=ContinuousStatsTable[[#This Row],[ProjectName]])*ProjectInfoTable[ConfidenceInterval]))</f>
        <v>0.95</v>
      </c>
      <c r="R22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229" s="5" cm="1">
        <f t="array" ref="S229">MIN(IF((ContinuousStatsTable[GroupByKey]=ContinuousStatsTable[[#This Row],[GroupByKey]]),(ContinuousStatsTable[GroupByKey]=ContinuousStatsTable[[#This Row],[GroupByKey]])*ContinuousStatsTable[Average]))</f>
        <v>0.60846830422583797</v>
      </c>
      <c r="T229" s="5" cm="1">
        <f t="array" ref="T229">MAX(IF((ContinuousStatsTable[GroupByKey]=ContinuousStatsTable[[#This Row],[GroupByKey]]),(ContinuousStatsTable[GroupByKey]=ContinuousStatsTable[[#This Row],[GroupByKey]])*ContinuousStatsTable[Average]))</f>
        <v>1</v>
      </c>
      <c r="U229" s="5">
        <f>IF((ContinuousStatsTable[[#This Row],[RepsRequested]]&gt;1),ContinuousStatsTable[[#This Row],[HalfWidth]],ContinuousStatsTable[[#This Row],[BatchMeansHalfWidth]])</f>
        <v>3.350588705034975E-2</v>
      </c>
    </row>
    <row r="230" spans="1:21" x14ac:dyDescent="0.35">
      <c r="A230" t="s">
        <v>66</v>
      </c>
      <c r="B230" t="s">
        <v>69</v>
      </c>
      <c r="C230">
        <v>46</v>
      </c>
      <c r="D230" t="s">
        <v>83</v>
      </c>
      <c r="E230" t="s">
        <v>86</v>
      </c>
      <c r="F230" t="s">
        <v>85</v>
      </c>
      <c r="G230">
        <v>0.60846830422583797</v>
      </c>
      <c r="H230">
        <v>2E+20</v>
      </c>
      <c r="I230">
        <v>0</v>
      </c>
      <c r="J230">
        <v>1</v>
      </c>
      <c r="K230">
        <v>1</v>
      </c>
      <c r="L230">
        <v>0</v>
      </c>
      <c r="M230" s="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230" s="5" cm="1">
        <f t="array" ref="N230">MAX(IF((ProjectInfoTable[ProjectName]=ContinuousStatsTable[[#This Row],[ProjectName]]),(ProjectInfoTable[ProjectName]=ContinuousStatsTable[[#This Row],[ProjectName]])*ProjectInfoTable[NumberOfReplications]))</f>
        <v>50</v>
      </c>
      <c r="O230" s="5" cm="1">
        <f t="array" ref="O230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230" s="5" cm="1">
        <f t="array" ref="P230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230" s="5" cm="1">
        <f t="array" ref="Q230">MAX(IF((ProjectInfoTable[ProjectName]=ContinuousStatsTable[[#This Row],[ProjectName]]),(ProjectInfoTable[ProjectName]=ContinuousStatsTable[[#This Row],[ProjectName]])*ProjectInfoTable[ConfidenceInterval]))</f>
        <v>0.95</v>
      </c>
      <c r="R23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230" s="5" cm="1">
        <f t="array" ref="S230">MIN(IF((ContinuousStatsTable[GroupByKey]=ContinuousStatsTable[[#This Row],[GroupByKey]]),(ContinuousStatsTable[GroupByKey]=ContinuousStatsTable[[#This Row],[GroupByKey]])*ContinuousStatsTable[Average]))</f>
        <v>0.60846830422583797</v>
      </c>
      <c r="T230" s="5" cm="1">
        <f t="array" ref="T230">MAX(IF((ContinuousStatsTable[GroupByKey]=ContinuousStatsTable[[#This Row],[GroupByKey]]),(ContinuousStatsTable[GroupByKey]=ContinuousStatsTable[[#This Row],[GroupByKey]])*ContinuousStatsTable[Average]))</f>
        <v>1</v>
      </c>
      <c r="U230" s="5">
        <f>IF((ContinuousStatsTable[[#This Row],[RepsRequested]]&gt;1),ContinuousStatsTable[[#This Row],[HalfWidth]],ContinuousStatsTable[[#This Row],[BatchMeansHalfWidth]])</f>
        <v>3.350588705034975E-2</v>
      </c>
    </row>
    <row r="231" spans="1:21" x14ac:dyDescent="0.35">
      <c r="A231" t="s">
        <v>66</v>
      </c>
      <c r="B231" t="s">
        <v>69</v>
      </c>
      <c r="C231">
        <v>46</v>
      </c>
      <c r="D231" t="s">
        <v>83</v>
      </c>
      <c r="E231" t="s">
        <v>87</v>
      </c>
      <c r="F231" t="s">
        <v>85</v>
      </c>
      <c r="G231">
        <v>1</v>
      </c>
      <c r="H231">
        <v>2E+20</v>
      </c>
      <c r="I231">
        <v>1</v>
      </c>
      <c r="J231">
        <v>1</v>
      </c>
      <c r="K231">
        <v>1</v>
      </c>
      <c r="L231">
        <v>0</v>
      </c>
      <c r="M231" s="5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231" s="5" cm="1">
        <f t="array" ref="N231">MAX(IF((ProjectInfoTable[ProjectName]=ContinuousStatsTable[[#This Row],[ProjectName]]),(ProjectInfoTable[ProjectName]=ContinuousStatsTable[[#This Row],[ProjectName]])*ProjectInfoTable[NumberOfReplications]))</f>
        <v>50</v>
      </c>
      <c r="O231" s="5" cm="1">
        <f t="array" ref="O231">IFERROR(AVERAGE(IF((ContinuousStatsTable[GroupByKey]=ContinuousStatsTable[[#This Row],[GroupByKey]]),(ContinuousStatsTable[GroupByKey]=ContinuousStatsTable[[#This Row],[GroupByKey]])*ContinuousStatsTable[Average])),0)</f>
        <v>1</v>
      </c>
      <c r="P231" s="5" cm="1">
        <f t="array" ref="P231">IFERROR(_xlfn.STDEV.S(IF((ContinuousStatsTable[GroupByKey]=ContinuousStatsTable[[#This Row],[GroupByKey]]),(ContinuousStatsTable[GroupByKey]=ContinuousStatsTable[[#This Row],[GroupByKey]])*ContinuousStatsTable[Average])),0)</f>
        <v>0</v>
      </c>
      <c r="Q231" s="5" cm="1">
        <f t="array" ref="Q231">MAX(IF((ProjectInfoTable[ProjectName]=ContinuousStatsTable[[#This Row],[ProjectName]]),(ProjectInfoTable[ProjectName]=ContinuousStatsTable[[#This Row],[ProjectName]])*ProjectInfoTable[ConfidenceInterval]))</f>
        <v>0.95</v>
      </c>
      <c r="R23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1" s="5" cm="1">
        <f t="array" ref="S231">MIN(IF((ContinuousStatsTable[GroupByKey]=ContinuousStatsTable[[#This Row],[GroupByKey]]),(ContinuousStatsTable[GroupByKey]=ContinuousStatsTable[[#This Row],[GroupByKey]])*ContinuousStatsTable[Average]))</f>
        <v>1</v>
      </c>
      <c r="T231" s="5" cm="1">
        <f t="array" ref="T231">MAX(IF((ContinuousStatsTable[GroupByKey]=ContinuousStatsTable[[#This Row],[GroupByKey]]),(ContinuousStatsTable[GroupByKey]=ContinuousStatsTable[[#This Row],[GroupByKey]])*ContinuousStatsTable[Average]))</f>
        <v>1</v>
      </c>
      <c r="U231" s="5">
        <f>IF((ContinuousStatsTable[[#This Row],[RepsRequested]]&gt;1),ContinuousStatsTable[[#This Row],[HalfWidth]],ContinuousStatsTable[[#This Row],[BatchMeansHalfWidth]])</f>
        <v>0</v>
      </c>
    </row>
    <row r="232" spans="1:21" x14ac:dyDescent="0.35">
      <c r="A232" t="s">
        <v>66</v>
      </c>
      <c r="B232" t="s">
        <v>69</v>
      </c>
      <c r="C232">
        <v>47</v>
      </c>
      <c r="D232" t="s">
        <v>70</v>
      </c>
      <c r="E232" t="s">
        <v>81</v>
      </c>
      <c r="F232" t="s">
        <v>72</v>
      </c>
      <c r="G232">
        <v>2.0234023868110702</v>
      </c>
      <c r="H232">
        <v>2E+20</v>
      </c>
      <c r="I232">
        <v>0</v>
      </c>
      <c r="J232">
        <v>3</v>
      </c>
      <c r="K232">
        <v>2</v>
      </c>
      <c r="L232">
        <v>0</v>
      </c>
      <c r="M232" s="5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232" s="5" cm="1">
        <f t="array" ref="N232">MAX(IF((ProjectInfoTable[ProjectName]=ContinuousStatsTable[[#This Row],[ProjectName]]),(ProjectInfoTable[ProjectName]=ContinuousStatsTable[[#This Row],[ProjectName]])*ProjectInfoTable[NumberOfReplications]))</f>
        <v>50</v>
      </c>
      <c r="O232" s="5" cm="1">
        <f t="array" ref="O232">IFERROR(AVERAGE(IF((ContinuousStatsTable[GroupByKey]=ContinuousStatsTable[[#This Row],[GroupByKey]]),(ContinuousStatsTable[GroupByKey]=ContinuousStatsTable[[#This Row],[GroupByKey]])*ContinuousStatsTable[Average])),0)</f>
        <v>2.1996658161417075</v>
      </c>
      <c r="P232" s="5" cm="1">
        <f t="array" ref="P232">IFERROR(_xlfn.STDEV.S(IF((ContinuousStatsTable[GroupByKey]=ContinuousStatsTable[[#This Row],[GroupByKey]]),(ContinuousStatsTable[GroupByKey]=ContinuousStatsTable[[#This Row],[GroupByKey]])*ContinuousStatsTable[Average])),0)</f>
        <v>1.1994598865431718</v>
      </c>
      <c r="Q232" s="5" cm="1">
        <f t="array" ref="Q232">MAX(IF((ProjectInfoTable[ProjectName]=ContinuousStatsTable[[#This Row],[ProjectName]]),(ProjectInfoTable[ProjectName]=ContinuousStatsTable[[#This Row],[ProjectName]])*ProjectInfoTable[ConfidenceInterval]))</f>
        <v>0.95</v>
      </c>
      <c r="R23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0.34088272804883424</v>
      </c>
      <c r="S232" s="5" cm="1">
        <f t="array" ref="S232">MIN(IF((ContinuousStatsTable[GroupByKey]=ContinuousStatsTable[[#This Row],[GroupByKey]]),(ContinuousStatsTable[GroupByKey]=ContinuousStatsTable[[#This Row],[GroupByKey]])*ContinuousStatsTable[Average]))</f>
        <v>0.70499985227053297</v>
      </c>
      <c r="T232" s="5" cm="1">
        <f t="array" ref="T232">MAX(IF((ContinuousStatsTable[GroupByKey]=ContinuousStatsTable[[#This Row],[GroupByKey]]),(ContinuousStatsTable[GroupByKey]=ContinuousStatsTable[[#This Row],[GroupByKey]])*ContinuousStatsTable[Average]))</f>
        <v>6.3083923025689197</v>
      </c>
      <c r="U232" s="5">
        <f>IF((ContinuousStatsTable[[#This Row],[RepsRequested]]&gt;1),ContinuousStatsTable[[#This Row],[HalfWidth]],ContinuousStatsTable[[#This Row],[BatchMeansHalfWidth]])</f>
        <v>0.34088272804883424</v>
      </c>
    </row>
    <row r="233" spans="1:21" x14ac:dyDescent="0.35">
      <c r="A233" t="s">
        <v>66</v>
      </c>
      <c r="B233" t="s">
        <v>69</v>
      </c>
      <c r="C233">
        <v>47</v>
      </c>
      <c r="D233" t="s">
        <v>78</v>
      </c>
      <c r="E233" t="s">
        <v>82</v>
      </c>
      <c r="F233" t="s">
        <v>80</v>
      </c>
      <c r="G233">
        <v>1.02340238681107</v>
      </c>
      <c r="H233">
        <v>2E+20</v>
      </c>
      <c r="I233">
        <v>0</v>
      </c>
      <c r="J233">
        <v>2</v>
      </c>
      <c r="K233">
        <v>1</v>
      </c>
      <c r="L233">
        <v>0</v>
      </c>
      <c r="M233" s="5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233" s="5" cm="1">
        <f t="array" ref="N233">MAX(IF((ProjectInfoTable[ProjectName]=ContinuousStatsTable[[#This Row],[ProjectName]]),(ProjectInfoTable[ProjectName]=ContinuousStatsTable[[#This Row],[ProjectName]])*ProjectInfoTable[NumberOfReplications]))</f>
        <v>50</v>
      </c>
      <c r="O233" s="5" cm="1">
        <f t="array" ref="O233">IFERROR(AVERAGE(IF((ContinuousStatsTable[GroupByKey]=ContinuousStatsTable[[#This Row],[GroupByKey]]),(ContinuousStatsTable[GroupByKey]=ContinuousStatsTable[[#This Row],[GroupByKey]])*ContinuousStatsTable[Average])),0)</f>
        <v>1.2732860367273062</v>
      </c>
      <c r="P233" s="5" cm="1">
        <f t="array" ref="P233">IFERROR(_xlfn.STDEV.S(IF((ContinuousStatsTable[GroupByKey]=ContinuousStatsTable[[#This Row],[GroupByKey]]),(ContinuousStatsTable[GroupByKey]=ContinuousStatsTable[[#This Row],[GroupByKey]])*ContinuousStatsTable[Average])),0)</f>
        <v>1.137870000737736</v>
      </c>
      <c r="Q233" s="5" cm="1">
        <f t="array" ref="Q233">MAX(IF((ProjectInfoTable[ProjectName]=ContinuousStatsTable[[#This Row],[ProjectName]]),(ProjectInfoTable[ProjectName]=ContinuousStatsTable[[#This Row],[ProjectName]])*ProjectInfoTable[ConfidenceInterval]))</f>
        <v>0.95</v>
      </c>
      <c r="R23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0.32337907617258832</v>
      </c>
      <c r="S233" s="5" cm="1">
        <f t="array" ref="S233">MIN(IF((ContinuousStatsTable[GroupByKey]=ContinuousStatsTable[[#This Row],[GroupByKey]]),(ContinuousStatsTable[GroupByKey]=ContinuousStatsTable[[#This Row],[GroupByKey]])*ContinuousStatsTable[Average]))</f>
        <v>0</v>
      </c>
      <c r="T233" s="5" cm="1">
        <f t="array" ref="T233">MAX(IF((ContinuousStatsTable[GroupByKey]=ContinuousStatsTable[[#This Row],[GroupByKey]]),(ContinuousStatsTable[GroupByKey]=ContinuousStatsTable[[#This Row],[GroupByKey]])*ContinuousStatsTable[Average]))</f>
        <v>5.3083923025689197</v>
      </c>
      <c r="U233" s="5">
        <f>IF((ContinuousStatsTable[[#This Row],[RepsRequested]]&gt;1),ContinuousStatsTable[[#This Row],[HalfWidth]],ContinuousStatsTable[[#This Row],[BatchMeansHalfWidth]])</f>
        <v>0.32337907617258832</v>
      </c>
    </row>
    <row r="234" spans="1:21" x14ac:dyDescent="0.35">
      <c r="A234" t="s">
        <v>66</v>
      </c>
      <c r="B234" t="s">
        <v>69</v>
      </c>
      <c r="C234">
        <v>47</v>
      </c>
      <c r="D234" t="s">
        <v>83</v>
      </c>
      <c r="E234" t="s">
        <v>84</v>
      </c>
      <c r="F234" t="s">
        <v>85</v>
      </c>
      <c r="G234">
        <v>1</v>
      </c>
      <c r="H234">
        <v>2E+20</v>
      </c>
      <c r="I234">
        <v>0</v>
      </c>
      <c r="J234">
        <v>1</v>
      </c>
      <c r="K234">
        <v>1</v>
      </c>
      <c r="L234">
        <v>0</v>
      </c>
      <c r="M234" s="5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234" s="5" cm="1">
        <f t="array" ref="N234">MAX(IF((ProjectInfoTable[ProjectName]=ContinuousStatsTable[[#This Row],[ProjectName]]),(ProjectInfoTable[ProjectName]=ContinuousStatsTable[[#This Row],[ProjectName]])*ProjectInfoTable[NumberOfReplications]))</f>
        <v>50</v>
      </c>
      <c r="O234" s="5" cm="1">
        <f t="array" ref="O234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234" s="5" cm="1">
        <f t="array" ref="P234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234" s="5" cm="1">
        <f t="array" ref="Q234">MAX(IF((ProjectInfoTable[ProjectName]=ContinuousStatsTable[[#This Row],[ProjectName]]),(ProjectInfoTable[ProjectName]=ContinuousStatsTable[[#This Row],[ProjectName]])*ProjectInfoTable[ConfidenceInterval]))</f>
        <v>0.95</v>
      </c>
      <c r="R23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234" s="5" cm="1">
        <f t="array" ref="S234">MIN(IF((ContinuousStatsTable[GroupByKey]=ContinuousStatsTable[[#This Row],[GroupByKey]]),(ContinuousStatsTable[GroupByKey]=ContinuousStatsTable[[#This Row],[GroupByKey]])*ContinuousStatsTable[Average]))</f>
        <v>0.60846830422583797</v>
      </c>
      <c r="T234" s="5" cm="1">
        <f t="array" ref="T234">MAX(IF((ContinuousStatsTable[GroupByKey]=ContinuousStatsTable[[#This Row],[GroupByKey]]),(ContinuousStatsTable[GroupByKey]=ContinuousStatsTable[[#This Row],[GroupByKey]])*ContinuousStatsTable[Average]))</f>
        <v>1</v>
      </c>
      <c r="U234" s="5">
        <f>IF((ContinuousStatsTable[[#This Row],[RepsRequested]]&gt;1),ContinuousStatsTable[[#This Row],[HalfWidth]],ContinuousStatsTable[[#This Row],[BatchMeansHalfWidth]])</f>
        <v>3.350588705034975E-2</v>
      </c>
    </row>
    <row r="235" spans="1:21" x14ac:dyDescent="0.35">
      <c r="A235" t="s">
        <v>66</v>
      </c>
      <c r="B235" t="s">
        <v>69</v>
      </c>
      <c r="C235">
        <v>47</v>
      </c>
      <c r="D235" t="s">
        <v>83</v>
      </c>
      <c r="E235" t="s">
        <v>86</v>
      </c>
      <c r="F235" t="s">
        <v>85</v>
      </c>
      <c r="G235">
        <v>1</v>
      </c>
      <c r="H235">
        <v>2E+20</v>
      </c>
      <c r="I235">
        <v>0</v>
      </c>
      <c r="J235">
        <v>1</v>
      </c>
      <c r="K235">
        <v>1</v>
      </c>
      <c r="L235">
        <v>0</v>
      </c>
      <c r="M235" s="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235" s="5" cm="1">
        <f t="array" ref="N235">MAX(IF((ProjectInfoTable[ProjectName]=ContinuousStatsTable[[#This Row],[ProjectName]]),(ProjectInfoTable[ProjectName]=ContinuousStatsTable[[#This Row],[ProjectName]])*ProjectInfoTable[NumberOfReplications]))</f>
        <v>50</v>
      </c>
      <c r="O235" s="5" cm="1">
        <f t="array" ref="O235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235" s="5" cm="1">
        <f t="array" ref="P235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235" s="5" cm="1">
        <f t="array" ref="Q235">MAX(IF((ProjectInfoTable[ProjectName]=ContinuousStatsTable[[#This Row],[ProjectName]]),(ProjectInfoTable[ProjectName]=ContinuousStatsTable[[#This Row],[ProjectName]])*ProjectInfoTable[ConfidenceInterval]))</f>
        <v>0.95</v>
      </c>
      <c r="R23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235" s="5" cm="1">
        <f t="array" ref="S235">MIN(IF((ContinuousStatsTable[GroupByKey]=ContinuousStatsTable[[#This Row],[GroupByKey]]),(ContinuousStatsTable[GroupByKey]=ContinuousStatsTable[[#This Row],[GroupByKey]])*ContinuousStatsTable[Average]))</f>
        <v>0.60846830422583797</v>
      </c>
      <c r="T235" s="5" cm="1">
        <f t="array" ref="T235">MAX(IF((ContinuousStatsTable[GroupByKey]=ContinuousStatsTable[[#This Row],[GroupByKey]]),(ContinuousStatsTable[GroupByKey]=ContinuousStatsTable[[#This Row],[GroupByKey]])*ContinuousStatsTable[Average]))</f>
        <v>1</v>
      </c>
      <c r="U235" s="5">
        <f>IF((ContinuousStatsTable[[#This Row],[RepsRequested]]&gt;1),ContinuousStatsTable[[#This Row],[HalfWidth]],ContinuousStatsTable[[#This Row],[BatchMeansHalfWidth]])</f>
        <v>3.350588705034975E-2</v>
      </c>
    </row>
    <row r="236" spans="1:21" x14ac:dyDescent="0.35">
      <c r="A236" t="s">
        <v>66</v>
      </c>
      <c r="B236" t="s">
        <v>69</v>
      </c>
      <c r="C236">
        <v>47</v>
      </c>
      <c r="D236" t="s">
        <v>83</v>
      </c>
      <c r="E236" t="s">
        <v>87</v>
      </c>
      <c r="F236" t="s">
        <v>85</v>
      </c>
      <c r="G236">
        <v>1</v>
      </c>
      <c r="H236">
        <v>2E+20</v>
      </c>
      <c r="I236">
        <v>1</v>
      </c>
      <c r="J236">
        <v>1</v>
      </c>
      <c r="K236">
        <v>1</v>
      </c>
      <c r="L236">
        <v>0</v>
      </c>
      <c r="M236" s="5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236" s="5" cm="1">
        <f t="array" ref="N236">MAX(IF((ProjectInfoTable[ProjectName]=ContinuousStatsTable[[#This Row],[ProjectName]]),(ProjectInfoTable[ProjectName]=ContinuousStatsTable[[#This Row],[ProjectName]])*ProjectInfoTable[NumberOfReplications]))</f>
        <v>50</v>
      </c>
      <c r="O236" s="5" cm="1">
        <f t="array" ref="O236">IFERROR(AVERAGE(IF((ContinuousStatsTable[GroupByKey]=ContinuousStatsTable[[#This Row],[GroupByKey]]),(ContinuousStatsTable[GroupByKey]=ContinuousStatsTable[[#This Row],[GroupByKey]])*ContinuousStatsTable[Average])),0)</f>
        <v>1</v>
      </c>
      <c r="P236" s="5" cm="1">
        <f t="array" ref="P236">IFERROR(_xlfn.STDEV.S(IF((ContinuousStatsTable[GroupByKey]=ContinuousStatsTable[[#This Row],[GroupByKey]]),(ContinuousStatsTable[GroupByKey]=ContinuousStatsTable[[#This Row],[GroupByKey]])*ContinuousStatsTable[Average])),0)</f>
        <v>0</v>
      </c>
      <c r="Q236" s="5" cm="1">
        <f t="array" ref="Q236">MAX(IF((ProjectInfoTable[ProjectName]=ContinuousStatsTable[[#This Row],[ProjectName]]),(ProjectInfoTable[ProjectName]=ContinuousStatsTable[[#This Row],[ProjectName]])*ProjectInfoTable[ConfidenceInterval]))</f>
        <v>0.95</v>
      </c>
      <c r="R23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36" s="5" cm="1">
        <f t="array" ref="S236">MIN(IF((ContinuousStatsTable[GroupByKey]=ContinuousStatsTable[[#This Row],[GroupByKey]]),(ContinuousStatsTable[GroupByKey]=ContinuousStatsTable[[#This Row],[GroupByKey]])*ContinuousStatsTable[Average]))</f>
        <v>1</v>
      </c>
      <c r="T236" s="5" cm="1">
        <f t="array" ref="T236">MAX(IF((ContinuousStatsTable[GroupByKey]=ContinuousStatsTable[[#This Row],[GroupByKey]]),(ContinuousStatsTable[GroupByKey]=ContinuousStatsTable[[#This Row],[GroupByKey]])*ContinuousStatsTable[Average]))</f>
        <v>1</v>
      </c>
      <c r="U236" s="5">
        <f>IF((ContinuousStatsTable[[#This Row],[RepsRequested]]&gt;1),ContinuousStatsTable[[#This Row],[HalfWidth]],ContinuousStatsTable[[#This Row],[BatchMeansHalfWidth]])</f>
        <v>0</v>
      </c>
    </row>
    <row r="237" spans="1:21" x14ac:dyDescent="0.35">
      <c r="A237" t="s">
        <v>66</v>
      </c>
      <c r="B237" t="s">
        <v>69</v>
      </c>
      <c r="C237">
        <v>48</v>
      </c>
      <c r="D237" t="s">
        <v>70</v>
      </c>
      <c r="E237" t="s">
        <v>81</v>
      </c>
      <c r="F237" t="s">
        <v>72</v>
      </c>
      <c r="G237">
        <v>2.6337587210905902</v>
      </c>
      <c r="H237">
        <v>2E+20</v>
      </c>
      <c r="I237">
        <v>0</v>
      </c>
      <c r="J237">
        <v>4</v>
      </c>
      <c r="K237">
        <v>2</v>
      </c>
      <c r="L237">
        <v>0</v>
      </c>
      <c r="M237" s="5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237" s="5" cm="1">
        <f t="array" ref="N237">MAX(IF((ProjectInfoTable[ProjectName]=ContinuousStatsTable[[#This Row],[ProjectName]]),(ProjectInfoTable[ProjectName]=ContinuousStatsTable[[#This Row],[ProjectName]])*ProjectInfoTable[NumberOfReplications]))</f>
        <v>50</v>
      </c>
      <c r="O237" s="5" cm="1">
        <f t="array" ref="O237">IFERROR(AVERAGE(IF((ContinuousStatsTable[GroupByKey]=ContinuousStatsTable[[#This Row],[GroupByKey]]),(ContinuousStatsTable[GroupByKey]=ContinuousStatsTable[[#This Row],[GroupByKey]])*ContinuousStatsTable[Average])),0)</f>
        <v>2.1996658161417075</v>
      </c>
      <c r="P237" s="5" cm="1">
        <f t="array" ref="P237">IFERROR(_xlfn.STDEV.S(IF((ContinuousStatsTable[GroupByKey]=ContinuousStatsTable[[#This Row],[GroupByKey]]),(ContinuousStatsTable[GroupByKey]=ContinuousStatsTable[[#This Row],[GroupByKey]])*ContinuousStatsTable[Average])),0)</f>
        <v>1.1994598865431718</v>
      </c>
      <c r="Q237" s="5" cm="1">
        <f t="array" ref="Q237">MAX(IF((ProjectInfoTable[ProjectName]=ContinuousStatsTable[[#This Row],[ProjectName]]),(ProjectInfoTable[ProjectName]=ContinuousStatsTable[[#This Row],[ProjectName]])*ProjectInfoTable[ConfidenceInterval]))</f>
        <v>0.95</v>
      </c>
      <c r="R23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0.34088272804883424</v>
      </c>
      <c r="S237" s="5" cm="1">
        <f t="array" ref="S237">MIN(IF((ContinuousStatsTable[GroupByKey]=ContinuousStatsTable[[#This Row],[GroupByKey]]),(ContinuousStatsTable[GroupByKey]=ContinuousStatsTable[[#This Row],[GroupByKey]])*ContinuousStatsTable[Average]))</f>
        <v>0.70499985227053297</v>
      </c>
      <c r="T237" s="5" cm="1">
        <f t="array" ref="T237">MAX(IF((ContinuousStatsTable[GroupByKey]=ContinuousStatsTable[[#This Row],[GroupByKey]]),(ContinuousStatsTable[GroupByKey]=ContinuousStatsTable[[#This Row],[GroupByKey]])*ContinuousStatsTable[Average]))</f>
        <v>6.3083923025689197</v>
      </c>
      <c r="U237" s="5">
        <f>IF((ContinuousStatsTable[[#This Row],[RepsRequested]]&gt;1),ContinuousStatsTable[[#This Row],[HalfWidth]],ContinuousStatsTable[[#This Row],[BatchMeansHalfWidth]])</f>
        <v>0.34088272804883424</v>
      </c>
    </row>
    <row r="238" spans="1:21" x14ac:dyDescent="0.35">
      <c r="A238" t="s">
        <v>66</v>
      </c>
      <c r="B238" t="s">
        <v>69</v>
      </c>
      <c r="C238">
        <v>48</v>
      </c>
      <c r="D238" t="s">
        <v>78</v>
      </c>
      <c r="E238" t="s">
        <v>82</v>
      </c>
      <c r="F238" t="s">
        <v>80</v>
      </c>
      <c r="G238">
        <v>1.6337587210905899</v>
      </c>
      <c r="H238">
        <v>2E+20</v>
      </c>
      <c r="I238">
        <v>0</v>
      </c>
      <c r="J238">
        <v>3</v>
      </c>
      <c r="K238">
        <v>1</v>
      </c>
      <c r="L238">
        <v>0</v>
      </c>
      <c r="M238" s="5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238" s="5" cm="1">
        <f t="array" ref="N238">MAX(IF((ProjectInfoTable[ProjectName]=ContinuousStatsTable[[#This Row],[ProjectName]]),(ProjectInfoTable[ProjectName]=ContinuousStatsTable[[#This Row],[ProjectName]])*ProjectInfoTable[NumberOfReplications]))</f>
        <v>50</v>
      </c>
      <c r="O238" s="5" cm="1">
        <f t="array" ref="O238">IFERROR(AVERAGE(IF((ContinuousStatsTable[GroupByKey]=ContinuousStatsTable[[#This Row],[GroupByKey]]),(ContinuousStatsTable[GroupByKey]=ContinuousStatsTable[[#This Row],[GroupByKey]])*ContinuousStatsTable[Average])),0)</f>
        <v>1.2732860367273062</v>
      </c>
      <c r="P238" s="5" cm="1">
        <f t="array" ref="P238">IFERROR(_xlfn.STDEV.S(IF((ContinuousStatsTable[GroupByKey]=ContinuousStatsTable[[#This Row],[GroupByKey]]),(ContinuousStatsTable[GroupByKey]=ContinuousStatsTable[[#This Row],[GroupByKey]])*ContinuousStatsTable[Average])),0)</f>
        <v>1.137870000737736</v>
      </c>
      <c r="Q238" s="5" cm="1">
        <f t="array" ref="Q238">MAX(IF((ProjectInfoTable[ProjectName]=ContinuousStatsTable[[#This Row],[ProjectName]]),(ProjectInfoTable[ProjectName]=ContinuousStatsTable[[#This Row],[ProjectName]])*ProjectInfoTable[ConfidenceInterval]))</f>
        <v>0.95</v>
      </c>
      <c r="R23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0.32337907617258832</v>
      </c>
      <c r="S238" s="5" cm="1">
        <f t="array" ref="S238">MIN(IF((ContinuousStatsTable[GroupByKey]=ContinuousStatsTable[[#This Row],[GroupByKey]]),(ContinuousStatsTable[GroupByKey]=ContinuousStatsTable[[#This Row],[GroupByKey]])*ContinuousStatsTable[Average]))</f>
        <v>0</v>
      </c>
      <c r="T238" s="5" cm="1">
        <f t="array" ref="T238">MAX(IF((ContinuousStatsTable[GroupByKey]=ContinuousStatsTable[[#This Row],[GroupByKey]]),(ContinuousStatsTable[GroupByKey]=ContinuousStatsTable[[#This Row],[GroupByKey]])*ContinuousStatsTable[Average]))</f>
        <v>5.3083923025689197</v>
      </c>
      <c r="U238" s="5">
        <f>IF((ContinuousStatsTable[[#This Row],[RepsRequested]]&gt;1),ContinuousStatsTable[[#This Row],[HalfWidth]],ContinuousStatsTable[[#This Row],[BatchMeansHalfWidth]])</f>
        <v>0.32337907617258832</v>
      </c>
    </row>
    <row r="239" spans="1:21" x14ac:dyDescent="0.35">
      <c r="A239" t="s">
        <v>66</v>
      </c>
      <c r="B239" t="s">
        <v>69</v>
      </c>
      <c r="C239">
        <v>48</v>
      </c>
      <c r="D239" t="s">
        <v>83</v>
      </c>
      <c r="E239" t="s">
        <v>84</v>
      </c>
      <c r="F239" t="s">
        <v>85</v>
      </c>
      <c r="G239">
        <v>1</v>
      </c>
      <c r="H239">
        <v>2E+20</v>
      </c>
      <c r="I239">
        <v>0</v>
      </c>
      <c r="J239">
        <v>1</v>
      </c>
      <c r="K239">
        <v>1</v>
      </c>
      <c r="L239">
        <v>0</v>
      </c>
      <c r="M239" s="5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239" s="5" cm="1">
        <f t="array" ref="N239">MAX(IF((ProjectInfoTable[ProjectName]=ContinuousStatsTable[[#This Row],[ProjectName]]),(ProjectInfoTable[ProjectName]=ContinuousStatsTable[[#This Row],[ProjectName]])*ProjectInfoTable[NumberOfReplications]))</f>
        <v>50</v>
      </c>
      <c r="O239" s="5" cm="1">
        <f t="array" ref="O239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239" s="5" cm="1">
        <f t="array" ref="P239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239" s="5" cm="1">
        <f t="array" ref="Q239">MAX(IF((ProjectInfoTable[ProjectName]=ContinuousStatsTable[[#This Row],[ProjectName]]),(ProjectInfoTable[ProjectName]=ContinuousStatsTable[[#This Row],[ProjectName]])*ProjectInfoTable[ConfidenceInterval]))</f>
        <v>0.95</v>
      </c>
      <c r="R23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239" s="5" cm="1">
        <f t="array" ref="S239">MIN(IF((ContinuousStatsTable[GroupByKey]=ContinuousStatsTable[[#This Row],[GroupByKey]]),(ContinuousStatsTable[GroupByKey]=ContinuousStatsTable[[#This Row],[GroupByKey]])*ContinuousStatsTable[Average]))</f>
        <v>0.60846830422583797</v>
      </c>
      <c r="T239" s="5" cm="1">
        <f t="array" ref="T239">MAX(IF((ContinuousStatsTable[GroupByKey]=ContinuousStatsTable[[#This Row],[GroupByKey]]),(ContinuousStatsTable[GroupByKey]=ContinuousStatsTable[[#This Row],[GroupByKey]])*ContinuousStatsTable[Average]))</f>
        <v>1</v>
      </c>
      <c r="U239" s="5">
        <f>IF((ContinuousStatsTable[[#This Row],[RepsRequested]]&gt;1),ContinuousStatsTable[[#This Row],[HalfWidth]],ContinuousStatsTable[[#This Row],[BatchMeansHalfWidth]])</f>
        <v>3.350588705034975E-2</v>
      </c>
    </row>
    <row r="240" spans="1:21" x14ac:dyDescent="0.35">
      <c r="A240" t="s">
        <v>66</v>
      </c>
      <c r="B240" t="s">
        <v>69</v>
      </c>
      <c r="C240">
        <v>48</v>
      </c>
      <c r="D240" t="s">
        <v>83</v>
      </c>
      <c r="E240" t="s">
        <v>86</v>
      </c>
      <c r="F240" t="s">
        <v>85</v>
      </c>
      <c r="G240">
        <v>1</v>
      </c>
      <c r="H240">
        <v>2E+20</v>
      </c>
      <c r="I240">
        <v>0</v>
      </c>
      <c r="J240">
        <v>1</v>
      </c>
      <c r="K240">
        <v>1</v>
      </c>
      <c r="L240">
        <v>0</v>
      </c>
      <c r="M240" s="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240" s="5" cm="1">
        <f t="array" ref="N240">MAX(IF((ProjectInfoTable[ProjectName]=ContinuousStatsTable[[#This Row],[ProjectName]]),(ProjectInfoTable[ProjectName]=ContinuousStatsTable[[#This Row],[ProjectName]])*ProjectInfoTable[NumberOfReplications]))</f>
        <v>50</v>
      </c>
      <c r="O240" s="5" cm="1">
        <f t="array" ref="O240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240" s="5" cm="1">
        <f t="array" ref="P240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240" s="5" cm="1">
        <f t="array" ref="Q240">MAX(IF((ProjectInfoTable[ProjectName]=ContinuousStatsTable[[#This Row],[ProjectName]]),(ProjectInfoTable[ProjectName]=ContinuousStatsTable[[#This Row],[ProjectName]])*ProjectInfoTable[ConfidenceInterval]))</f>
        <v>0.95</v>
      </c>
      <c r="R24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240" s="5" cm="1">
        <f t="array" ref="S240">MIN(IF((ContinuousStatsTable[GroupByKey]=ContinuousStatsTable[[#This Row],[GroupByKey]]),(ContinuousStatsTable[GroupByKey]=ContinuousStatsTable[[#This Row],[GroupByKey]])*ContinuousStatsTable[Average]))</f>
        <v>0.60846830422583797</v>
      </c>
      <c r="T240" s="5" cm="1">
        <f t="array" ref="T240">MAX(IF((ContinuousStatsTable[GroupByKey]=ContinuousStatsTable[[#This Row],[GroupByKey]]),(ContinuousStatsTable[GroupByKey]=ContinuousStatsTable[[#This Row],[GroupByKey]])*ContinuousStatsTable[Average]))</f>
        <v>1</v>
      </c>
      <c r="U240" s="5">
        <f>IF((ContinuousStatsTable[[#This Row],[RepsRequested]]&gt;1),ContinuousStatsTable[[#This Row],[HalfWidth]],ContinuousStatsTable[[#This Row],[BatchMeansHalfWidth]])</f>
        <v>3.350588705034975E-2</v>
      </c>
    </row>
    <row r="241" spans="1:21" x14ac:dyDescent="0.35">
      <c r="A241" t="s">
        <v>66</v>
      </c>
      <c r="B241" t="s">
        <v>69</v>
      </c>
      <c r="C241">
        <v>48</v>
      </c>
      <c r="D241" t="s">
        <v>83</v>
      </c>
      <c r="E241" t="s">
        <v>87</v>
      </c>
      <c r="F241" t="s">
        <v>85</v>
      </c>
      <c r="G241">
        <v>1</v>
      </c>
      <c r="H241">
        <v>2E+20</v>
      </c>
      <c r="I241">
        <v>1</v>
      </c>
      <c r="J241">
        <v>1</v>
      </c>
      <c r="K241">
        <v>1</v>
      </c>
      <c r="L241">
        <v>0</v>
      </c>
      <c r="M241" s="5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241" s="5" cm="1">
        <f t="array" ref="N241">MAX(IF((ProjectInfoTable[ProjectName]=ContinuousStatsTable[[#This Row],[ProjectName]]),(ProjectInfoTable[ProjectName]=ContinuousStatsTable[[#This Row],[ProjectName]])*ProjectInfoTable[NumberOfReplications]))</f>
        <v>50</v>
      </c>
      <c r="O241" s="5" cm="1">
        <f t="array" ref="O241">IFERROR(AVERAGE(IF((ContinuousStatsTable[GroupByKey]=ContinuousStatsTable[[#This Row],[GroupByKey]]),(ContinuousStatsTable[GroupByKey]=ContinuousStatsTable[[#This Row],[GroupByKey]])*ContinuousStatsTable[Average])),0)</f>
        <v>1</v>
      </c>
      <c r="P241" s="5" cm="1">
        <f t="array" ref="P241">IFERROR(_xlfn.STDEV.S(IF((ContinuousStatsTable[GroupByKey]=ContinuousStatsTable[[#This Row],[GroupByKey]]),(ContinuousStatsTable[GroupByKey]=ContinuousStatsTable[[#This Row],[GroupByKey]])*ContinuousStatsTable[Average])),0)</f>
        <v>0</v>
      </c>
      <c r="Q241" s="5" cm="1">
        <f t="array" ref="Q241">MAX(IF((ProjectInfoTable[ProjectName]=ContinuousStatsTable[[#This Row],[ProjectName]]),(ProjectInfoTable[ProjectName]=ContinuousStatsTable[[#This Row],[ProjectName]])*ProjectInfoTable[ConfidenceInterval]))</f>
        <v>0.95</v>
      </c>
      <c r="R24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1" s="5" cm="1">
        <f t="array" ref="S241">MIN(IF((ContinuousStatsTable[GroupByKey]=ContinuousStatsTable[[#This Row],[GroupByKey]]),(ContinuousStatsTable[GroupByKey]=ContinuousStatsTable[[#This Row],[GroupByKey]])*ContinuousStatsTable[Average]))</f>
        <v>1</v>
      </c>
      <c r="T241" s="5" cm="1">
        <f t="array" ref="T241">MAX(IF((ContinuousStatsTable[GroupByKey]=ContinuousStatsTable[[#This Row],[GroupByKey]]),(ContinuousStatsTable[GroupByKey]=ContinuousStatsTable[[#This Row],[GroupByKey]])*ContinuousStatsTable[Average]))</f>
        <v>1</v>
      </c>
      <c r="U241" s="5">
        <f>IF((ContinuousStatsTable[[#This Row],[RepsRequested]]&gt;1),ContinuousStatsTable[[#This Row],[HalfWidth]],ContinuousStatsTable[[#This Row],[BatchMeansHalfWidth]])</f>
        <v>0</v>
      </c>
    </row>
    <row r="242" spans="1:21" x14ac:dyDescent="0.35">
      <c r="A242" t="s">
        <v>66</v>
      </c>
      <c r="B242" t="s">
        <v>69</v>
      </c>
      <c r="C242">
        <v>49</v>
      </c>
      <c r="D242" t="s">
        <v>70</v>
      </c>
      <c r="E242" t="s">
        <v>81</v>
      </c>
      <c r="F242" t="s">
        <v>72</v>
      </c>
      <c r="G242">
        <v>1.3725572360649101</v>
      </c>
      <c r="H242">
        <v>2E+20</v>
      </c>
      <c r="I242">
        <v>0</v>
      </c>
      <c r="J242">
        <v>4</v>
      </c>
      <c r="K242">
        <v>3</v>
      </c>
      <c r="L242">
        <v>0</v>
      </c>
      <c r="M242" s="5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242" s="5" cm="1">
        <f t="array" ref="N242">MAX(IF((ProjectInfoTable[ProjectName]=ContinuousStatsTable[[#This Row],[ProjectName]]),(ProjectInfoTable[ProjectName]=ContinuousStatsTable[[#This Row],[ProjectName]])*ProjectInfoTable[NumberOfReplications]))</f>
        <v>50</v>
      </c>
      <c r="O242" s="5" cm="1">
        <f t="array" ref="O242">IFERROR(AVERAGE(IF((ContinuousStatsTable[GroupByKey]=ContinuousStatsTable[[#This Row],[GroupByKey]]),(ContinuousStatsTable[GroupByKey]=ContinuousStatsTable[[#This Row],[GroupByKey]])*ContinuousStatsTable[Average])),0)</f>
        <v>2.1996658161417075</v>
      </c>
      <c r="P242" s="5" cm="1">
        <f t="array" ref="P242">IFERROR(_xlfn.STDEV.S(IF((ContinuousStatsTable[GroupByKey]=ContinuousStatsTable[[#This Row],[GroupByKey]]),(ContinuousStatsTable[GroupByKey]=ContinuousStatsTable[[#This Row],[GroupByKey]])*ContinuousStatsTable[Average])),0)</f>
        <v>1.1994598865431718</v>
      </c>
      <c r="Q242" s="5" cm="1">
        <f t="array" ref="Q242">MAX(IF((ProjectInfoTable[ProjectName]=ContinuousStatsTable[[#This Row],[ProjectName]]),(ProjectInfoTable[ProjectName]=ContinuousStatsTable[[#This Row],[ProjectName]])*ProjectInfoTable[ConfidenceInterval]))</f>
        <v>0.95</v>
      </c>
      <c r="R24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0.34088272804883424</v>
      </c>
      <c r="S242" s="5" cm="1">
        <f t="array" ref="S242">MIN(IF((ContinuousStatsTable[GroupByKey]=ContinuousStatsTable[[#This Row],[GroupByKey]]),(ContinuousStatsTable[GroupByKey]=ContinuousStatsTable[[#This Row],[GroupByKey]])*ContinuousStatsTable[Average]))</f>
        <v>0.70499985227053297</v>
      </c>
      <c r="T242" s="5" cm="1">
        <f t="array" ref="T242">MAX(IF((ContinuousStatsTable[GroupByKey]=ContinuousStatsTable[[#This Row],[GroupByKey]]),(ContinuousStatsTable[GroupByKey]=ContinuousStatsTable[[#This Row],[GroupByKey]])*ContinuousStatsTable[Average]))</f>
        <v>6.3083923025689197</v>
      </c>
      <c r="U242" s="5">
        <f>IF((ContinuousStatsTable[[#This Row],[RepsRequested]]&gt;1),ContinuousStatsTable[[#This Row],[HalfWidth]],ContinuousStatsTable[[#This Row],[BatchMeansHalfWidth]])</f>
        <v>0.34088272804883424</v>
      </c>
    </row>
    <row r="243" spans="1:21" x14ac:dyDescent="0.35">
      <c r="A243" t="s">
        <v>66</v>
      </c>
      <c r="B243" t="s">
        <v>69</v>
      </c>
      <c r="C243">
        <v>49</v>
      </c>
      <c r="D243" t="s">
        <v>78</v>
      </c>
      <c r="E243" t="s">
        <v>82</v>
      </c>
      <c r="F243" t="s">
        <v>80</v>
      </c>
      <c r="G243">
        <v>0.59841657531000902</v>
      </c>
      <c r="H243">
        <v>2E+20</v>
      </c>
      <c r="I243">
        <v>0</v>
      </c>
      <c r="J243">
        <v>3</v>
      </c>
      <c r="K243">
        <v>2</v>
      </c>
      <c r="L243">
        <v>0</v>
      </c>
      <c r="M243" s="5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243" s="5" cm="1">
        <f t="array" ref="N243">MAX(IF((ProjectInfoTable[ProjectName]=ContinuousStatsTable[[#This Row],[ProjectName]]),(ProjectInfoTable[ProjectName]=ContinuousStatsTable[[#This Row],[ProjectName]])*ProjectInfoTable[NumberOfReplications]))</f>
        <v>50</v>
      </c>
      <c r="O243" s="5" cm="1">
        <f t="array" ref="O243">IFERROR(AVERAGE(IF((ContinuousStatsTable[GroupByKey]=ContinuousStatsTable[[#This Row],[GroupByKey]]),(ContinuousStatsTable[GroupByKey]=ContinuousStatsTable[[#This Row],[GroupByKey]])*ContinuousStatsTable[Average])),0)</f>
        <v>1.2732860367273062</v>
      </c>
      <c r="P243" s="5" cm="1">
        <f t="array" ref="P243">IFERROR(_xlfn.STDEV.S(IF((ContinuousStatsTable[GroupByKey]=ContinuousStatsTable[[#This Row],[GroupByKey]]),(ContinuousStatsTable[GroupByKey]=ContinuousStatsTable[[#This Row],[GroupByKey]])*ContinuousStatsTable[Average])),0)</f>
        <v>1.137870000737736</v>
      </c>
      <c r="Q243" s="5" cm="1">
        <f t="array" ref="Q243">MAX(IF((ProjectInfoTable[ProjectName]=ContinuousStatsTable[[#This Row],[ProjectName]]),(ProjectInfoTable[ProjectName]=ContinuousStatsTable[[#This Row],[ProjectName]])*ProjectInfoTable[ConfidenceInterval]))</f>
        <v>0.95</v>
      </c>
      <c r="R24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0.32337907617258832</v>
      </c>
      <c r="S243" s="5" cm="1">
        <f t="array" ref="S243">MIN(IF((ContinuousStatsTable[GroupByKey]=ContinuousStatsTable[[#This Row],[GroupByKey]]),(ContinuousStatsTable[GroupByKey]=ContinuousStatsTable[[#This Row],[GroupByKey]])*ContinuousStatsTable[Average]))</f>
        <v>0</v>
      </c>
      <c r="T243" s="5" cm="1">
        <f t="array" ref="T243">MAX(IF((ContinuousStatsTable[GroupByKey]=ContinuousStatsTable[[#This Row],[GroupByKey]]),(ContinuousStatsTable[GroupByKey]=ContinuousStatsTable[[#This Row],[GroupByKey]])*ContinuousStatsTable[Average]))</f>
        <v>5.3083923025689197</v>
      </c>
      <c r="U243" s="5">
        <f>IF((ContinuousStatsTable[[#This Row],[RepsRequested]]&gt;1),ContinuousStatsTable[[#This Row],[HalfWidth]],ContinuousStatsTable[[#This Row],[BatchMeansHalfWidth]])</f>
        <v>0.32337907617258832</v>
      </c>
    </row>
    <row r="244" spans="1:21" x14ac:dyDescent="0.35">
      <c r="A244" t="s">
        <v>66</v>
      </c>
      <c r="B244" t="s">
        <v>69</v>
      </c>
      <c r="C244">
        <v>49</v>
      </c>
      <c r="D244" t="s">
        <v>83</v>
      </c>
      <c r="E244" t="s">
        <v>84</v>
      </c>
      <c r="F244" t="s">
        <v>85</v>
      </c>
      <c r="G244">
        <v>0.77414066075489796</v>
      </c>
      <c r="H244">
        <v>2E+20</v>
      </c>
      <c r="I244">
        <v>0</v>
      </c>
      <c r="J244">
        <v>1</v>
      </c>
      <c r="K244">
        <v>1</v>
      </c>
      <c r="L244">
        <v>0</v>
      </c>
      <c r="M244" s="5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244" s="5" cm="1">
        <f t="array" ref="N244">MAX(IF((ProjectInfoTable[ProjectName]=ContinuousStatsTable[[#This Row],[ProjectName]]),(ProjectInfoTable[ProjectName]=ContinuousStatsTable[[#This Row],[ProjectName]])*ProjectInfoTable[NumberOfReplications]))</f>
        <v>50</v>
      </c>
      <c r="O244" s="5" cm="1">
        <f t="array" ref="O244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244" s="5" cm="1">
        <f t="array" ref="P244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244" s="5" cm="1">
        <f t="array" ref="Q244">MAX(IF((ProjectInfoTable[ProjectName]=ContinuousStatsTable[[#This Row],[ProjectName]]),(ProjectInfoTable[ProjectName]=ContinuousStatsTable[[#This Row],[ProjectName]])*ProjectInfoTable[ConfidenceInterval]))</f>
        <v>0.95</v>
      </c>
      <c r="R24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244" s="5" cm="1">
        <f t="array" ref="S244">MIN(IF((ContinuousStatsTable[GroupByKey]=ContinuousStatsTable[[#This Row],[GroupByKey]]),(ContinuousStatsTable[GroupByKey]=ContinuousStatsTable[[#This Row],[GroupByKey]])*ContinuousStatsTable[Average]))</f>
        <v>0.60846830422583797</v>
      </c>
      <c r="T244" s="5" cm="1">
        <f t="array" ref="T244">MAX(IF((ContinuousStatsTable[GroupByKey]=ContinuousStatsTable[[#This Row],[GroupByKey]]),(ContinuousStatsTable[GroupByKey]=ContinuousStatsTable[[#This Row],[GroupByKey]])*ContinuousStatsTable[Average]))</f>
        <v>1</v>
      </c>
      <c r="U244" s="5">
        <f>IF((ContinuousStatsTable[[#This Row],[RepsRequested]]&gt;1),ContinuousStatsTable[[#This Row],[HalfWidth]],ContinuousStatsTable[[#This Row],[BatchMeansHalfWidth]])</f>
        <v>3.350588705034975E-2</v>
      </c>
    </row>
    <row r="245" spans="1:21" x14ac:dyDescent="0.35">
      <c r="A245" t="s">
        <v>66</v>
      </c>
      <c r="B245" t="s">
        <v>69</v>
      </c>
      <c r="C245">
        <v>49</v>
      </c>
      <c r="D245" t="s">
        <v>83</v>
      </c>
      <c r="E245" t="s">
        <v>86</v>
      </c>
      <c r="F245" t="s">
        <v>85</v>
      </c>
      <c r="G245">
        <v>0.77414066075489796</v>
      </c>
      <c r="H245">
        <v>2E+20</v>
      </c>
      <c r="I245">
        <v>0</v>
      </c>
      <c r="J245">
        <v>1</v>
      </c>
      <c r="K245">
        <v>1</v>
      </c>
      <c r="L245">
        <v>0</v>
      </c>
      <c r="M245" s="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245" s="5" cm="1">
        <f t="array" ref="N245">MAX(IF((ProjectInfoTable[ProjectName]=ContinuousStatsTable[[#This Row],[ProjectName]]),(ProjectInfoTable[ProjectName]=ContinuousStatsTable[[#This Row],[ProjectName]])*ProjectInfoTable[NumberOfReplications]))</f>
        <v>50</v>
      </c>
      <c r="O245" s="5" cm="1">
        <f t="array" ref="O245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245" s="5" cm="1">
        <f t="array" ref="P245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245" s="5" cm="1">
        <f t="array" ref="Q245">MAX(IF((ProjectInfoTable[ProjectName]=ContinuousStatsTable[[#This Row],[ProjectName]]),(ProjectInfoTable[ProjectName]=ContinuousStatsTable[[#This Row],[ProjectName]])*ProjectInfoTable[ConfidenceInterval]))</f>
        <v>0.95</v>
      </c>
      <c r="R24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245" s="5" cm="1">
        <f t="array" ref="S245">MIN(IF((ContinuousStatsTable[GroupByKey]=ContinuousStatsTable[[#This Row],[GroupByKey]]),(ContinuousStatsTable[GroupByKey]=ContinuousStatsTable[[#This Row],[GroupByKey]])*ContinuousStatsTable[Average]))</f>
        <v>0.60846830422583797</v>
      </c>
      <c r="T245" s="5" cm="1">
        <f t="array" ref="T245">MAX(IF((ContinuousStatsTable[GroupByKey]=ContinuousStatsTable[[#This Row],[GroupByKey]]),(ContinuousStatsTable[GroupByKey]=ContinuousStatsTable[[#This Row],[GroupByKey]])*ContinuousStatsTable[Average]))</f>
        <v>1</v>
      </c>
      <c r="U245" s="5">
        <f>IF((ContinuousStatsTable[[#This Row],[RepsRequested]]&gt;1),ContinuousStatsTable[[#This Row],[HalfWidth]],ContinuousStatsTable[[#This Row],[BatchMeansHalfWidth]])</f>
        <v>3.350588705034975E-2</v>
      </c>
    </row>
    <row r="246" spans="1:21" x14ac:dyDescent="0.35">
      <c r="A246" t="s">
        <v>66</v>
      </c>
      <c r="B246" t="s">
        <v>69</v>
      </c>
      <c r="C246">
        <v>49</v>
      </c>
      <c r="D246" t="s">
        <v>83</v>
      </c>
      <c r="E246" t="s">
        <v>87</v>
      </c>
      <c r="F246" t="s">
        <v>85</v>
      </c>
      <c r="G246">
        <v>1</v>
      </c>
      <c r="H246">
        <v>2E+20</v>
      </c>
      <c r="I246">
        <v>1</v>
      </c>
      <c r="J246">
        <v>1</v>
      </c>
      <c r="K246">
        <v>1</v>
      </c>
      <c r="L246">
        <v>0</v>
      </c>
      <c r="M246" s="5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246" s="5" cm="1">
        <f t="array" ref="N246">MAX(IF((ProjectInfoTable[ProjectName]=ContinuousStatsTable[[#This Row],[ProjectName]]),(ProjectInfoTable[ProjectName]=ContinuousStatsTable[[#This Row],[ProjectName]])*ProjectInfoTable[NumberOfReplications]))</f>
        <v>50</v>
      </c>
      <c r="O246" s="5" cm="1">
        <f t="array" ref="O246">IFERROR(AVERAGE(IF((ContinuousStatsTable[GroupByKey]=ContinuousStatsTable[[#This Row],[GroupByKey]]),(ContinuousStatsTable[GroupByKey]=ContinuousStatsTable[[#This Row],[GroupByKey]])*ContinuousStatsTable[Average])),0)</f>
        <v>1</v>
      </c>
      <c r="P246" s="5" cm="1">
        <f t="array" ref="P246">IFERROR(_xlfn.STDEV.S(IF((ContinuousStatsTable[GroupByKey]=ContinuousStatsTable[[#This Row],[GroupByKey]]),(ContinuousStatsTable[GroupByKey]=ContinuousStatsTable[[#This Row],[GroupByKey]])*ContinuousStatsTable[Average])),0)</f>
        <v>0</v>
      </c>
      <c r="Q246" s="5" cm="1">
        <f t="array" ref="Q246">MAX(IF((ProjectInfoTable[ProjectName]=ContinuousStatsTable[[#This Row],[ProjectName]]),(ProjectInfoTable[ProjectName]=ContinuousStatsTable[[#This Row],[ProjectName]])*ProjectInfoTable[ConfidenceInterval]))</f>
        <v>0.95</v>
      </c>
      <c r="R24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46" s="5" cm="1">
        <f t="array" ref="S246">MIN(IF((ContinuousStatsTable[GroupByKey]=ContinuousStatsTable[[#This Row],[GroupByKey]]),(ContinuousStatsTable[GroupByKey]=ContinuousStatsTable[[#This Row],[GroupByKey]])*ContinuousStatsTable[Average]))</f>
        <v>1</v>
      </c>
      <c r="T246" s="5" cm="1">
        <f t="array" ref="T246">MAX(IF((ContinuousStatsTable[GroupByKey]=ContinuousStatsTable[[#This Row],[GroupByKey]]),(ContinuousStatsTable[GroupByKey]=ContinuousStatsTable[[#This Row],[GroupByKey]])*ContinuousStatsTable[Average]))</f>
        <v>1</v>
      </c>
      <c r="U246" s="5">
        <f>IF((ContinuousStatsTable[[#This Row],[RepsRequested]]&gt;1),ContinuousStatsTable[[#This Row],[HalfWidth]],ContinuousStatsTable[[#This Row],[BatchMeansHalfWidth]])</f>
        <v>0</v>
      </c>
    </row>
    <row r="247" spans="1:21" x14ac:dyDescent="0.35">
      <c r="A247" t="s">
        <v>66</v>
      </c>
      <c r="B247" t="s">
        <v>69</v>
      </c>
      <c r="C247">
        <v>50</v>
      </c>
      <c r="D247" t="s">
        <v>70</v>
      </c>
      <c r="E247" t="s">
        <v>81</v>
      </c>
      <c r="F247" t="s">
        <v>72</v>
      </c>
      <c r="G247">
        <v>1.74153158121365</v>
      </c>
      <c r="H247">
        <v>2E+20</v>
      </c>
      <c r="I247">
        <v>0</v>
      </c>
      <c r="J247">
        <v>4</v>
      </c>
      <c r="K247">
        <v>3</v>
      </c>
      <c r="L247">
        <v>0</v>
      </c>
      <c r="M247" s="5" t="str">
        <f>ContinuousStatsTable[[#This Row],[ProjectName]]&amp;ContinuousStatsTable[[#This Row],[Name]]&amp;ContinuousStatsTable[[#This Row],[Type]]&amp;ContinuousStatsTable[[#This Row],[Source]]</f>
        <v>Unnamed ProjectArquivosWIPEntity</v>
      </c>
      <c r="N247" s="5" cm="1">
        <f t="array" ref="N247">MAX(IF((ProjectInfoTable[ProjectName]=ContinuousStatsTable[[#This Row],[ProjectName]]),(ProjectInfoTable[ProjectName]=ContinuousStatsTable[[#This Row],[ProjectName]])*ProjectInfoTable[NumberOfReplications]))</f>
        <v>50</v>
      </c>
      <c r="O247" s="5" cm="1">
        <f t="array" ref="O247">IFERROR(AVERAGE(IF((ContinuousStatsTable[GroupByKey]=ContinuousStatsTable[[#This Row],[GroupByKey]]),(ContinuousStatsTable[GroupByKey]=ContinuousStatsTable[[#This Row],[GroupByKey]])*ContinuousStatsTable[Average])),0)</f>
        <v>2.1996658161417075</v>
      </c>
      <c r="P247" s="5" cm="1">
        <f t="array" ref="P247">IFERROR(_xlfn.STDEV.S(IF((ContinuousStatsTable[GroupByKey]=ContinuousStatsTable[[#This Row],[GroupByKey]]),(ContinuousStatsTable[GroupByKey]=ContinuousStatsTable[[#This Row],[GroupByKey]])*ContinuousStatsTable[Average])),0)</f>
        <v>1.1994598865431718</v>
      </c>
      <c r="Q247" s="5" cm="1">
        <f t="array" ref="Q247">MAX(IF((ProjectInfoTable[ProjectName]=ContinuousStatsTable[[#This Row],[ProjectName]]),(ProjectInfoTable[ProjectName]=ContinuousStatsTable[[#This Row],[ProjectName]])*ProjectInfoTable[ConfidenceInterval]))</f>
        <v>0.95</v>
      </c>
      <c r="R24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0.34088272804883424</v>
      </c>
      <c r="S247" s="5" cm="1">
        <f t="array" ref="S247">MIN(IF((ContinuousStatsTable[GroupByKey]=ContinuousStatsTable[[#This Row],[GroupByKey]]),(ContinuousStatsTable[GroupByKey]=ContinuousStatsTable[[#This Row],[GroupByKey]])*ContinuousStatsTable[Average]))</f>
        <v>0.70499985227053297</v>
      </c>
      <c r="T247" s="5" cm="1">
        <f t="array" ref="T247">MAX(IF((ContinuousStatsTable[GroupByKey]=ContinuousStatsTable[[#This Row],[GroupByKey]]),(ContinuousStatsTable[GroupByKey]=ContinuousStatsTable[[#This Row],[GroupByKey]])*ContinuousStatsTable[Average]))</f>
        <v>6.3083923025689197</v>
      </c>
      <c r="U247" s="5">
        <f>IF((ContinuousStatsTable[[#This Row],[RepsRequested]]&gt;1),ContinuousStatsTable[[#This Row],[HalfWidth]],ContinuousStatsTable[[#This Row],[BatchMeansHalfWidth]])</f>
        <v>0.34088272804883424</v>
      </c>
    </row>
    <row r="248" spans="1:21" x14ac:dyDescent="0.35">
      <c r="A248" t="s">
        <v>66</v>
      </c>
      <c r="B248" t="s">
        <v>69</v>
      </c>
      <c r="C248">
        <v>50</v>
      </c>
      <c r="D248" t="s">
        <v>78</v>
      </c>
      <c r="E248" t="s">
        <v>82</v>
      </c>
      <c r="F248" t="s">
        <v>80</v>
      </c>
      <c r="G248">
        <v>0.799251447456645</v>
      </c>
      <c r="H248">
        <v>2E+20</v>
      </c>
      <c r="I248">
        <v>0</v>
      </c>
      <c r="J248">
        <v>3</v>
      </c>
      <c r="K248">
        <v>2</v>
      </c>
      <c r="L248">
        <v>0</v>
      </c>
      <c r="M248" s="5" t="str">
        <f>ContinuousStatsTable[[#This Row],[ProjectName]]&amp;ContinuousStatsTable[[#This Row],[Name]]&amp;ContinuousStatsTable[[#This Row],[Type]]&amp;ContinuousStatsTable[[#This Row],[Source]]</f>
        <v>Unnamed ProjectEdicao.QueueNumber WaitingQueue</v>
      </c>
      <c r="N248" s="5" cm="1">
        <f t="array" ref="N248">MAX(IF((ProjectInfoTable[ProjectName]=ContinuousStatsTable[[#This Row],[ProjectName]]),(ProjectInfoTable[ProjectName]=ContinuousStatsTable[[#This Row],[ProjectName]])*ProjectInfoTable[NumberOfReplications]))</f>
        <v>50</v>
      </c>
      <c r="O248" s="5" cm="1">
        <f t="array" ref="O248">IFERROR(AVERAGE(IF((ContinuousStatsTable[GroupByKey]=ContinuousStatsTable[[#This Row],[GroupByKey]]),(ContinuousStatsTable[GroupByKey]=ContinuousStatsTable[[#This Row],[GroupByKey]])*ContinuousStatsTable[Average])),0)</f>
        <v>1.2732860367273062</v>
      </c>
      <c r="P248" s="5" cm="1">
        <f t="array" ref="P248">IFERROR(_xlfn.STDEV.S(IF((ContinuousStatsTable[GroupByKey]=ContinuousStatsTable[[#This Row],[GroupByKey]]),(ContinuousStatsTable[GroupByKey]=ContinuousStatsTable[[#This Row],[GroupByKey]])*ContinuousStatsTable[Average])),0)</f>
        <v>1.137870000737736</v>
      </c>
      <c r="Q248" s="5" cm="1">
        <f t="array" ref="Q248">MAX(IF((ProjectInfoTable[ProjectName]=ContinuousStatsTable[[#This Row],[ProjectName]]),(ProjectInfoTable[ProjectName]=ContinuousStatsTable[[#This Row],[ProjectName]])*ProjectInfoTable[ConfidenceInterval]))</f>
        <v>0.95</v>
      </c>
      <c r="R24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0.32337907617258832</v>
      </c>
      <c r="S248" s="5" cm="1">
        <f t="array" ref="S248">MIN(IF((ContinuousStatsTable[GroupByKey]=ContinuousStatsTable[[#This Row],[GroupByKey]]),(ContinuousStatsTable[GroupByKey]=ContinuousStatsTable[[#This Row],[GroupByKey]])*ContinuousStatsTable[Average]))</f>
        <v>0</v>
      </c>
      <c r="T248" s="5" cm="1">
        <f t="array" ref="T248">MAX(IF((ContinuousStatsTable[GroupByKey]=ContinuousStatsTable[[#This Row],[GroupByKey]]),(ContinuousStatsTable[GroupByKey]=ContinuousStatsTable[[#This Row],[GroupByKey]])*ContinuousStatsTable[Average]))</f>
        <v>5.3083923025689197</v>
      </c>
      <c r="U248" s="5">
        <f>IF((ContinuousStatsTable[[#This Row],[RepsRequested]]&gt;1),ContinuousStatsTable[[#This Row],[HalfWidth]],ContinuousStatsTable[[#This Row],[BatchMeansHalfWidth]])</f>
        <v>0.32337907617258832</v>
      </c>
    </row>
    <row r="249" spans="1:21" x14ac:dyDescent="0.35">
      <c r="A249" t="s">
        <v>66</v>
      </c>
      <c r="B249" t="s">
        <v>69</v>
      </c>
      <c r="C249">
        <v>50</v>
      </c>
      <c r="D249" t="s">
        <v>83</v>
      </c>
      <c r="E249" t="s">
        <v>84</v>
      </c>
      <c r="F249" t="s">
        <v>85</v>
      </c>
      <c r="G249">
        <v>0.94228013375700903</v>
      </c>
      <c r="H249">
        <v>2E+20</v>
      </c>
      <c r="I249">
        <v>0</v>
      </c>
      <c r="J249">
        <v>1</v>
      </c>
      <c r="K249">
        <v>1</v>
      </c>
      <c r="L249">
        <v>0</v>
      </c>
      <c r="M249" s="5" t="str">
        <f>ContinuousStatsTable[[#This Row],[ProjectName]]&amp;ContinuousStatsTable[[#This Row],[Name]]&amp;ContinuousStatsTable[[#This Row],[Type]]&amp;ContinuousStatsTable[[#This Row],[Source]]</f>
        <v>Unnamed ProjectOperadorInstantaneous UtilizationResource</v>
      </c>
      <c r="N249" s="5" cm="1">
        <f t="array" ref="N249">MAX(IF((ProjectInfoTable[ProjectName]=ContinuousStatsTable[[#This Row],[ProjectName]]),(ProjectInfoTable[ProjectName]=ContinuousStatsTable[[#This Row],[ProjectName]])*ProjectInfoTable[NumberOfReplications]))</f>
        <v>50</v>
      </c>
      <c r="O249" s="5" cm="1">
        <f t="array" ref="O249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249" s="5" cm="1">
        <f t="array" ref="P249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249" s="5" cm="1">
        <f t="array" ref="Q249">MAX(IF((ProjectInfoTable[ProjectName]=ContinuousStatsTable[[#This Row],[ProjectName]]),(ProjectInfoTable[ProjectName]=ContinuousStatsTable[[#This Row],[ProjectName]])*ProjectInfoTable[ConfidenceInterval]))</f>
        <v>0.95</v>
      </c>
      <c r="R24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249" s="5" cm="1">
        <f t="array" ref="S249">MIN(IF((ContinuousStatsTable[GroupByKey]=ContinuousStatsTable[[#This Row],[GroupByKey]]),(ContinuousStatsTable[GroupByKey]=ContinuousStatsTable[[#This Row],[GroupByKey]])*ContinuousStatsTable[Average]))</f>
        <v>0.60846830422583797</v>
      </c>
      <c r="T249" s="5" cm="1">
        <f t="array" ref="T249">MAX(IF((ContinuousStatsTable[GroupByKey]=ContinuousStatsTable[[#This Row],[GroupByKey]]),(ContinuousStatsTable[GroupByKey]=ContinuousStatsTable[[#This Row],[GroupByKey]])*ContinuousStatsTable[Average]))</f>
        <v>1</v>
      </c>
      <c r="U249" s="5">
        <f>IF((ContinuousStatsTable[[#This Row],[RepsRequested]]&gt;1),ContinuousStatsTable[[#This Row],[HalfWidth]],ContinuousStatsTable[[#This Row],[BatchMeansHalfWidth]])</f>
        <v>3.350588705034975E-2</v>
      </c>
    </row>
    <row r="250" spans="1:21" x14ac:dyDescent="0.35">
      <c r="A250" t="s">
        <v>66</v>
      </c>
      <c r="B250" t="s">
        <v>69</v>
      </c>
      <c r="C250">
        <v>50</v>
      </c>
      <c r="D250" t="s">
        <v>83</v>
      </c>
      <c r="E250" t="s">
        <v>86</v>
      </c>
      <c r="F250" t="s">
        <v>85</v>
      </c>
      <c r="G250">
        <v>0.94228013375700903</v>
      </c>
      <c r="H250">
        <v>2E+20</v>
      </c>
      <c r="I250">
        <v>0</v>
      </c>
      <c r="J250">
        <v>1</v>
      </c>
      <c r="K250">
        <v>1</v>
      </c>
      <c r="L250">
        <v>0</v>
      </c>
      <c r="M250" s="5" t="str">
        <f>ContinuousStatsTable[[#This Row],[ProjectName]]&amp;ContinuousStatsTable[[#This Row],[Name]]&amp;ContinuousStatsTable[[#This Row],[Type]]&amp;ContinuousStatsTable[[#This Row],[Source]]</f>
        <v>Unnamed ProjectOperadorNumber BusyResource</v>
      </c>
      <c r="N250" s="5" cm="1">
        <f t="array" ref="N250">MAX(IF((ProjectInfoTable[ProjectName]=ContinuousStatsTable[[#This Row],[ProjectName]]),(ProjectInfoTable[ProjectName]=ContinuousStatsTable[[#This Row],[ProjectName]])*ProjectInfoTable[NumberOfReplications]))</f>
        <v>50</v>
      </c>
      <c r="O250" s="5" cm="1">
        <f t="array" ref="O250">IFERROR(AVERAGE(IF((ContinuousStatsTable[GroupByKey]=ContinuousStatsTable[[#This Row],[GroupByKey]]),(ContinuousStatsTable[GroupByKey]=ContinuousStatsTable[[#This Row],[GroupByKey]])*ContinuousStatsTable[Average])),0)</f>
        <v>0.92637977941440086</v>
      </c>
      <c r="P250" s="5" cm="1">
        <f t="array" ref="P250">IFERROR(_xlfn.STDEV.S(IF((ContinuousStatsTable[GroupByKey]=ContinuousStatsTable[[#This Row],[GroupByKey]]),(ContinuousStatsTable[GroupByKey]=ContinuousStatsTable[[#This Row],[GroupByKey]])*ContinuousStatsTable[Average])),0)</f>
        <v>0.11789675502181338</v>
      </c>
      <c r="Q250" s="5" cm="1">
        <f t="array" ref="Q250">MAX(IF((ProjectInfoTable[ProjectName]=ContinuousStatsTable[[#This Row],[ProjectName]]),(ProjectInfoTable[ProjectName]=ContinuousStatsTable[[#This Row],[ProjectName]])*ProjectInfoTable[ConfidenceInterval]))</f>
        <v>0.95</v>
      </c>
      <c r="R25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3.350588705034975E-2</v>
      </c>
      <c r="S250" s="5" cm="1">
        <f t="array" ref="S250">MIN(IF((ContinuousStatsTable[GroupByKey]=ContinuousStatsTable[[#This Row],[GroupByKey]]),(ContinuousStatsTable[GroupByKey]=ContinuousStatsTable[[#This Row],[GroupByKey]])*ContinuousStatsTable[Average]))</f>
        <v>0.60846830422583797</v>
      </c>
      <c r="T250" s="5" cm="1">
        <f t="array" ref="T250">MAX(IF((ContinuousStatsTable[GroupByKey]=ContinuousStatsTable[[#This Row],[GroupByKey]]),(ContinuousStatsTable[GroupByKey]=ContinuousStatsTable[[#This Row],[GroupByKey]])*ContinuousStatsTable[Average]))</f>
        <v>1</v>
      </c>
      <c r="U250" s="5">
        <f>IF((ContinuousStatsTable[[#This Row],[RepsRequested]]&gt;1),ContinuousStatsTable[[#This Row],[HalfWidth]],ContinuousStatsTable[[#This Row],[BatchMeansHalfWidth]])</f>
        <v>3.350588705034975E-2</v>
      </c>
    </row>
    <row r="251" spans="1:21" x14ac:dyDescent="0.35">
      <c r="A251" t="s">
        <v>66</v>
      </c>
      <c r="B251" t="s">
        <v>69</v>
      </c>
      <c r="C251">
        <v>50</v>
      </c>
      <c r="D251" t="s">
        <v>83</v>
      </c>
      <c r="E251" t="s">
        <v>87</v>
      </c>
      <c r="F251" t="s">
        <v>85</v>
      </c>
      <c r="G251">
        <v>1</v>
      </c>
      <c r="H251">
        <v>2E+20</v>
      </c>
      <c r="I251">
        <v>1</v>
      </c>
      <c r="J251">
        <v>1</v>
      </c>
      <c r="K251">
        <v>1</v>
      </c>
      <c r="L251">
        <v>0</v>
      </c>
      <c r="M251" s="5" t="str">
        <f>ContinuousStatsTable[[#This Row],[ProjectName]]&amp;ContinuousStatsTable[[#This Row],[Name]]&amp;ContinuousStatsTable[[#This Row],[Type]]&amp;ContinuousStatsTable[[#This Row],[Source]]</f>
        <v>Unnamed ProjectOperadorNumber ScheduledResource</v>
      </c>
      <c r="N251" s="5" cm="1">
        <f t="array" ref="N251">MAX(IF((ProjectInfoTable[ProjectName]=ContinuousStatsTable[[#This Row],[ProjectName]]),(ProjectInfoTable[ProjectName]=ContinuousStatsTable[[#This Row],[ProjectName]])*ProjectInfoTable[NumberOfReplications]))</f>
        <v>50</v>
      </c>
      <c r="O251" s="5" cm="1">
        <f t="array" ref="O251">IFERROR(AVERAGE(IF((ContinuousStatsTable[GroupByKey]=ContinuousStatsTable[[#This Row],[GroupByKey]]),(ContinuousStatsTable[GroupByKey]=ContinuousStatsTable[[#This Row],[GroupByKey]])*ContinuousStatsTable[Average])),0)</f>
        <v>1</v>
      </c>
      <c r="P251" s="5" cm="1">
        <f t="array" ref="P251">IFERROR(_xlfn.STDEV.S(IF((ContinuousStatsTable[GroupByKey]=ContinuousStatsTable[[#This Row],[GroupByKey]]),(ContinuousStatsTable[GroupByKey]=ContinuousStatsTable[[#This Row],[GroupByKey]])*ContinuousStatsTable[Average])),0)</f>
        <v>0</v>
      </c>
      <c r="Q251" s="5" cm="1">
        <f t="array" ref="Q251">MAX(IF((ProjectInfoTable[ProjectName]=ContinuousStatsTable[[#This Row],[ProjectName]]),(ProjectInfoTable[ProjectName]=ContinuousStatsTable[[#This Row],[ProjectName]])*ProjectInfoTable[ConfidenceInterval]))</f>
        <v>0.95</v>
      </c>
      <c r="R25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1" s="5" cm="1">
        <f t="array" ref="S251">MIN(IF((ContinuousStatsTable[GroupByKey]=ContinuousStatsTable[[#This Row],[GroupByKey]]),(ContinuousStatsTable[GroupByKey]=ContinuousStatsTable[[#This Row],[GroupByKey]])*ContinuousStatsTable[Average]))</f>
        <v>1</v>
      </c>
      <c r="T251" s="5" cm="1">
        <f t="array" ref="T251">MAX(IF((ContinuousStatsTable[GroupByKey]=ContinuousStatsTable[[#This Row],[GroupByKey]]),(ContinuousStatsTable[GroupByKey]=ContinuousStatsTable[[#This Row],[GroupByKey]])*ContinuousStatsTable[Average]))</f>
        <v>1</v>
      </c>
      <c r="U251" s="5">
        <f>IF((ContinuousStatsTable[[#This Row],[RepsRequested]]&gt;1),ContinuousStatsTable[[#This Row],[HalfWidth]],ContinuousStatsTable[[#This Row],[BatchMeansHalfWidth]])</f>
        <v>0</v>
      </c>
    </row>
  </sheetData>
  <phoneticPr fontId="2" type="noConversion"/>
  <conditionalFormatting sqref="H2:H251">
    <cfRule type="expression" dxfId="11" priority="9">
      <formula>H2=200000000000000000000</formula>
    </cfRule>
  </conditionalFormatting>
  <conditionalFormatting sqref="H2:H251">
    <cfRule type="expression" dxfId="10" priority="7">
      <formula>H2=300000000000000000000</formula>
    </cfRule>
  </conditionalFormatting>
  <conditionalFormatting sqref="M2:U251">
    <cfRule type="expression" dxfId="9" priority="5">
      <formula>MOD(ROW(),2)=0</formula>
    </cfRule>
  </conditionalFormatting>
  <conditionalFormatting sqref="U2:U251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251 U2:U251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4.5" x14ac:dyDescent="0.35"/>
  <cols>
    <col min="1" max="1" width="14" bestFit="1" customWidth="1"/>
    <col min="2" max="2" width="21.08984375" bestFit="1" customWidth="1"/>
    <col min="3" max="3" width="12.36328125" bestFit="1" customWidth="1"/>
    <col min="4" max="4" width="8" bestFit="1" customWidth="1"/>
    <col min="5" max="5" width="7.08984375" bestFit="1" customWidth="1"/>
    <col min="6" max="6" width="8.7265625" bestFit="1" customWidth="1"/>
    <col min="7" max="7" width="15.81640625" bestFit="1" customWidth="1"/>
    <col min="8" max="8" width="13.36328125" bestFit="1" customWidth="1"/>
    <col min="9" max="9" width="16.08984375" bestFit="1" customWidth="1"/>
    <col min="10" max="10" width="9.81640625" bestFit="1" customWidth="1"/>
    <col min="11" max="11" width="18.81640625" bestFit="1" customWidth="1"/>
    <col min="12" max="12" width="19" bestFit="1" customWidth="1"/>
    <col min="13" max="13" width="11.6328125" bestFit="1" customWidth="1"/>
    <col min="14" max="14" width="11.1796875" bestFit="1" customWidth="1"/>
    <col min="15" max="15" width="11.54296875" bestFit="1" customWidth="1"/>
  </cols>
  <sheetData>
    <row r="1" spans="1:1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251"/>
  <sheetViews>
    <sheetView workbookViewId="0">
      <selection activeCell="A2" sqref="A2:H3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26.7265625" bestFit="1" customWidth="1"/>
    <col min="5" max="5" width="18.36328125" bestFit="1" customWidth="1"/>
    <col min="6" max="6" width="8.7265625" bestFit="1" customWidth="1"/>
    <col min="7" max="7" width="15.81640625" bestFit="1" customWidth="1"/>
    <col min="8" max="8" width="11.1796875" bestFit="1" customWidth="1"/>
    <col min="9" max="9" width="67" bestFit="1" customWidth="1"/>
    <col min="10" max="10" width="16.08984375" bestFit="1" customWidth="1"/>
    <col min="11" max="11" width="11.81640625" bestFit="1" customWidth="1"/>
    <col min="12" max="12" width="18.81640625" bestFit="1" customWidth="1"/>
    <col min="13" max="13" width="19" bestFit="1" customWidth="1"/>
    <col min="14" max="15" width="11.81640625" bestFit="1" customWidth="1"/>
    <col min="16" max="16" width="11.54296875" bestFit="1" customWidth="1"/>
  </cols>
  <sheetData>
    <row r="1" spans="1:16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5">
      <c r="A2" t="s">
        <v>66</v>
      </c>
      <c r="B2" t="s">
        <v>69</v>
      </c>
      <c r="C2">
        <v>1</v>
      </c>
      <c r="D2" t="s">
        <v>88</v>
      </c>
      <c r="E2" t="s">
        <v>89</v>
      </c>
      <c r="F2" t="s">
        <v>72</v>
      </c>
      <c r="G2">
        <v>8</v>
      </c>
      <c r="H2">
        <v>0</v>
      </c>
      <c r="I2" t="str">
        <f>OutputTable[[#This Row],[ProjectName]]&amp;OutputTable[[#This Row],[Name]]&amp;OutputTable[[#This Row],[Type]]&amp;OutputTable[[#This Row],[Source]]</f>
        <v>Unnamed ProjectArquivos.NumberInNumber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50</v>
      </c>
      <c r="K2" cm="1">
        <f t="array" ref="K2">IFERROR(AVERAGE(IF((OutputTable[GroupByKey]=OutputTable[[#This Row],[GroupByKey]]),(OutputTable[GroupByKey]=OutputTable[[#This Row],[GroupByKey]])*OutputTable[RecordedValue])),0)</f>
        <v>6.48</v>
      </c>
      <c r="L2" cm="1">
        <f t="array" ref="L2">IFERROR(_xlfn.STDEV.S(IF((OutputTable[GroupByKey]=OutputTable[[#This Row],[GroupByKey]]),(OutputTable[GroupByKey]=OutputTable[[#This Row],[GroupByKey]])*OutputTable[RecordedValue])),0)</f>
        <v>1.7984119979264248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0.51110303469648288</v>
      </c>
      <c r="O2" cm="1">
        <f t="array" ref="O2">MIN(IF((OutputTable[GroupByKey]=OutputTable[[#This Row],[GroupByKey]]),(OutputTable[GroupByKey]=OutputTable[[#This Row],[GroupByKey]])*OutputTable[RecordedValue]))</f>
        <v>3</v>
      </c>
      <c r="P2" cm="1">
        <f t="array" ref="P2">MAX(IF((OutputTable[GroupByKey]=OutputTable[[#This Row],[GroupByKey]]),(OutputTable[GroupByKey]=OutputTable[[#This Row],[GroupByKey]])*OutputTable[RecordedValue]))</f>
        <v>13</v>
      </c>
    </row>
    <row r="3" spans="1:16" x14ac:dyDescent="0.35">
      <c r="A3" t="s">
        <v>66</v>
      </c>
      <c r="B3" t="s">
        <v>69</v>
      </c>
      <c r="C3">
        <v>1</v>
      </c>
      <c r="D3" t="s">
        <v>90</v>
      </c>
      <c r="E3" t="s">
        <v>91</v>
      </c>
      <c r="F3" t="s">
        <v>72</v>
      </c>
      <c r="G3">
        <v>4</v>
      </c>
      <c r="H3">
        <v>0</v>
      </c>
      <c r="I3" t="str">
        <f>OutputTable[[#This Row],[ProjectName]]&amp;OutputTable[[#This Row],[Name]]&amp;OutputTable[[#This Row],[Type]]&amp;OutputTable[[#This Row],[Source]]</f>
        <v>Unnamed ProjectArquivos.NumberOutNumber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50</v>
      </c>
      <c r="K3" cm="1">
        <f t="array" ref="K3">IFERROR(AVERAGE(IF((OutputTable[GroupByKey]=OutputTable[[#This Row],[GroupByKey]]),(OutputTable[GroupByKey]=OutputTable[[#This Row],[GroupByKey]])*OutputTable[RecordedValue])),0)</f>
        <v>3.62</v>
      </c>
      <c r="L3" cm="1">
        <f t="array" ref="L3">IFERROR(_xlfn.STDEV.S(IF((OutputTable[GroupByKey]=OutputTable[[#This Row],[GroupByKey]]),(OutputTable[GroupByKey]=OutputTable[[#This Row],[GroupByKey]])*OutputTable[RecordedValue])),0)</f>
        <v>0.77958649426527116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3" cm="1">
        <f t="array" ref="O3">MIN(IF((OutputTable[GroupByKey]=OutputTable[[#This Row],[GroupByKey]]),(OutputTable[GroupByKey]=OutputTable[[#This Row],[GroupByKey]])*OutputTable[RecordedValue]))</f>
        <v>2</v>
      </c>
      <c r="P3" cm="1">
        <f t="array" ref="P3">MAX(IF((OutputTable[GroupByKey]=OutputTable[[#This Row],[GroupByKey]]),(OutputTable[GroupByKey]=OutputTable[[#This Row],[GroupByKey]])*OutputTable[RecordedValue]))</f>
        <v>5</v>
      </c>
    </row>
    <row r="4" spans="1:16" x14ac:dyDescent="0.35">
      <c r="A4" t="s">
        <v>66</v>
      </c>
      <c r="B4" t="s">
        <v>69</v>
      </c>
      <c r="C4">
        <v>1</v>
      </c>
      <c r="D4" t="s">
        <v>92</v>
      </c>
      <c r="E4" t="s">
        <v>93</v>
      </c>
      <c r="F4" t="s">
        <v>85</v>
      </c>
      <c r="G4">
        <v>5</v>
      </c>
      <c r="H4">
        <v>0</v>
      </c>
      <c r="I4" t="str">
        <f>OutputTable[[#This Row],[ProjectName]]&amp;OutputTable[[#This Row],[Name]]&amp;OutputTable[[#This Row],[Type]]&amp;OutputTable[[#This Row],[Source]]</f>
        <v>Unnamed ProjectOperador.NumberSeizedTotal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50</v>
      </c>
      <c r="K4" cm="1">
        <f t="array" ref="K4">IFERROR(AVERAGE(IF((OutputTable[GroupByKey]=OutputTable[[#This Row],[GroupByKey]]),(OutputTable[GroupByKey]=OutputTable[[#This Row],[GroupByKey]])*OutputTable[RecordedValue])),0)</f>
        <v>4.58</v>
      </c>
      <c r="L4" cm="1">
        <f t="array" ref="L4">IFERROR(_xlfn.STDEV.S(IF((OutputTable[GroupByKey]=OutputTable[[#This Row],[GroupByKey]]),(OutputTable[GroupByKey]=OutputTable[[#This Row],[GroupByKey]])*OutputTable[RecordedValue])),0)</f>
        <v>0.78480466827545059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0.22303901890225239</v>
      </c>
      <c r="O4" cm="1">
        <f t="array" ref="O4">MIN(IF((OutputTable[GroupByKey]=OutputTable[[#This Row],[GroupByKey]]),(OutputTable[GroupByKey]=OutputTable[[#This Row],[GroupByKey]])*OutputTable[RecordedValue]))</f>
        <v>3</v>
      </c>
      <c r="P4" cm="1">
        <f t="array" ref="P4">MAX(IF((OutputTable[GroupByKey]=OutputTable[[#This Row],[GroupByKey]]),(OutputTable[GroupByKey]=OutputTable[[#This Row],[GroupByKey]])*OutputTable[RecordedValue]))</f>
        <v>6</v>
      </c>
    </row>
    <row r="5" spans="1:16" x14ac:dyDescent="0.35">
      <c r="A5" t="s">
        <v>66</v>
      </c>
      <c r="B5" t="s">
        <v>69</v>
      </c>
      <c r="C5">
        <v>1</v>
      </c>
      <c r="D5" t="s">
        <v>94</v>
      </c>
      <c r="E5" t="s">
        <v>95</v>
      </c>
      <c r="F5" t="s">
        <v>85</v>
      </c>
      <c r="G5">
        <v>1</v>
      </c>
      <c r="H5">
        <v>0</v>
      </c>
      <c r="I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50</v>
      </c>
      <c r="K5" cm="1">
        <f t="array" ref="K5">IFERROR(AVERAGE(IF((OutputTable[GroupByKey]=OutputTable[[#This Row],[GroupByKey]]),(OutputTable[GroupByKey]=OutputTable[[#This Row],[GroupByKey]])*OutputTable[RecordedValue])),0)</f>
        <v>0.92637977941440086</v>
      </c>
      <c r="L5" cm="1">
        <f t="array" ref="L5">IFERROR(_xlfn.STDEV.S(IF((OutputTable[GroupByKey]=OutputTable[[#This Row],[GroupByKey]]),(OutputTable[GroupByKey]=OutputTable[[#This Row],[GroupByKey]])*OutputTable[RecordedValue])),0)</f>
        <v>0.11789675502181338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3.350588705034975E-2</v>
      </c>
      <c r="O5" cm="1">
        <f t="array" ref="O5">MIN(IF((OutputTable[GroupByKey]=OutputTable[[#This Row],[GroupByKey]]),(OutputTable[GroupByKey]=OutputTable[[#This Row],[GroupByKey]])*OutputTable[RecordedValue]))</f>
        <v>0.60846830422583797</v>
      </c>
      <c r="P5" cm="1">
        <f t="array" ref="P5">MAX(IF((OutputTable[GroupByKey]=OutputTable[[#This Row],[GroupByKey]]),(OutputTable[GroupByKey]=OutputTable[[#This Row],[GroupByKey]])*OutputTable[RecordedValue]))</f>
        <v>1</v>
      </c>
    </row>
    <row r="6" spans="1:16" x14ac:dyDescent="0.35">
      <c r="A6" t="s">
        <v>66</v>
      </c>
      <c r="B6" t="s">
        <v>69</v>
      </c>
      <c r="C6">
        <v>1</v>
      </c>
      <c r="D6" t="s">
        <v>96</v>
      </c>
      <c r="E6" t="s">
        <v>91</v>
      </c>
      <c r="F6" t="s">
        <v>97</v>
      </c>
      <c r="G6">
        <v>4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50</v>
      </c>
      <c r="K6" cm="1">
        <f t="array" ref="K6">IFERROR(AVERAGE(IF((OutputTable[GroupByKey]=OutputTable[[#This Row],[GroupByKey]]),(OutputTable[GroupByKey]=OutputTable[[#This Row],[GroupByKey]])*OutputTable[RecordedValue])),0)</f>
        <v>3.62</v>
      </c>
      <c r="L6" cm="1">
        <f t="array" ref="L6">IFERROR(_xlfn.STDEV.S(IF((OutputTable[GroupByKey]=OutputTable[[#This Row],[GroupByKey]]),(OutputTable[GroupByKey]=OutputTable[[#This Row],[GroupByKey]])*OutputTable[RecordedValue])),0)</f>
        <v>0.77958649426527116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6" cm="1">
        <f t="array" ref="O6">MIN(IF((OutputTable[GroupByKey]=OutputTable[[#This Row],[GroupByKey]]),(OutputTable[GroupByKey]=OutputTable[[#This Row],[GroupByKey]])*OutputTable[RecordedValue]))</f>
        <v>2</v>
      </c>
      <c r="P6" cm="1">
        <f t="array" ref="P6">MAX(IF((OutputTable[GroupByKey]=OutputTable[[#This Row],[GroupByKey]]),(OutputTable[GroupByKey]=OutputTable[[#This Row],[GroupByKey]])*OutputTable[RecordedValue]))</f>
        <v>5</v>
      </c>
    </row>
    <row r="7" spans="1:16" x14ac:dyDescent="0.35">
      <c r="A7" t="s">
        <v>66</v>
      </c>
      <c r="B7" t="s">
        <v>69</v>
      </c>
      <c r="C7">
        <v>2</v>
      </c>
      <c r="D7" t="s">
        <v>88</v>
      </c>
      <c r="E7" t="s">
        <v>89</v>
      </c>
      <c r="F7" t="s">
        <v>72</v>
      </c>
      <c r="G7">
        <v>7</v>
      </c>
      <c r="H7">
        <v>0</v>
      </c>
      <c r="I7" t="str">
        <f>OutputTable[[#This Row],[ProjectName]]&amp;OutputTable[[#This Row],[Name]]&amp;OutputTable[[#This Row],[Type]]&amp;OutputTable[[#This Row],[Source]]</f>
        <v>Unnamed ProjectArquivos.NumberInNumber InEntity</v>
      </c>
      <c r="J7" cm="1">
        <f t="array" ref="J7">MAX(IF((ProjectInfoTable[ProjectName]=OutputTable[[#This Row],[ProjectName]]),(ProjectInfoTable[ProjectName]=OutputTable[[#This Row],[ProjectName]])*ProjectInfoTable[NumberOfReplications]))</f>
        <v>50</v>
      </c>
      <c r="K7" cm="1">
        <f t="array" ref="K7">IFERROR(AVERAGE(IF((OutputTable[GroupByKey]=OutputTable[[#This Row],[GroupByKey]]),(OutputTable[GroupByKey]=OutputTable[[#This Row],[GroupByKey]])*OutputTable[RecordedValue])),0)</f>
        <v>6.48</v>
      </c>
      <c r="L7" cm="1">
        <f t="array" ref="L7">IFERROR(_xlfn.STDEV.S(IF((OutputTable[GroupByKey]=OutputTable[[#This Row],[GroupByKey]]),(OutputTable[GroupByKey]=OutputTable[[#This Row],[GroupByKey]])*OutputTable[RecordedValue])),0)</f>
        <v>1.7984119979264248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0.51110303469648288</v>
      </c>
      <c r="O7" cm="1">
        <f t="array" ref="O7">MIN(IF((OutputTable[GroupByKey]=OutputTable[[#This Row],[GroupByKey]]),(OutputTable[GroupByKey]=OutputTable[[#This Row],[GroupByKey]])*OutputTable[RecordedValue]))</f>
        <v>3</v>
      </c>
      <c r="P7" cm="1">
        <f t="array" ref="P7">MAX(IF((OutputTable[GroupByKey]=OutputTable[[#This Row],[GroupByKey]]),(OutputTable[GroupByKey]=OutputTable[[#This Row],[GroupByKey]])*OutputTable[RecordedValue]))</f>
        <v>13</v>
      </c>
    </row>
    <row r="8" spans="1:16" x14ac:dyDescent="0.35">
      <c r="A8" t="s">
        <v>66</v>
      </c>
      <c r="B8" t="s">
        <v>69</v>
      </c>
      <c r="C8">
        <v>2</v>
      </c>
      <c r="D8" t="s">
        <v>90</v>
      </c>
      <c r="E8" t="s">
        <v>91</v>
      </c>
      <c r="F8" t="s">
        <v>72</v>
      </c>
      <c r="G8">
        <v>3</v>
      </c>
      <c r="H8">
        <v>0</v>
      </c>
      <c r="I8" t="str">
        <f>OutputTable[[#This Row],[ProjectName]]&amp;OutputTable[[#This Row],[Name]]&amp;OutputTable[[#This Row],[Type]]&amp;OutputTable[[#This Row],[Source]]</f>
        <v>Unnamed ProjectArquivos.NumberOutNumber OutEntity</v>
      </c>
      <c r="J8" cm="1">
        <f t="array" ref="J8">MAX(IF((ProjectInfoTable[ProjectName]=OutputTable[[#This Row],[ProjectName]]),(ProjectInfoTable[ProjectName]=OutputTable[[#This Row],[ProjectName]])*ProjectInfoTable[NumberOfReplications]))</f>
        <v>50</v>
      </c>
      <c r="K8" cm="1">
        <f t="array" ref="K8">IFERROR(AVERAGE(IF((OutputTable[GroupByKey]=OutputTable[[#This Row],[GroupByKey]]),(OutputTable[GroupByKey]=OutputTable[[#This Row],[GroupByKey]])*OutputTable[RecordedValue])),0)</f>
        <v>3.62</v>
      </c>
      <c r="L8" cm="1">
        <f t="array" ref="L8">IFERROR(_xlfn.STDEV.S(IF((OutputTable[GroupByKey]=OutputTable[[#This Row],[GroupByKey]]),(OutputTable[GroupByKey]=OutputTable[[#This Row],[GroupByKey]])*OutputTable[RecordedValue])),0)</f>
        <v>0.77958649426527116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8" cm="1">
        <f t="array" ref="O8">MIN(IF((OutputTable[GroupByKey]=OutputTable[[#This Row],[GroupByKey]]),(OutputTable[GroupByKey]=OutputTable[[#This Row],[GroupByKey]])*OutputTable[RecordedValue]))</f>
        <v>2</v>
      </c>
      <c r="P8" cm="1">
        <f t="array" ref="P8">MAX(IF((OutputTable[GroupByKey]=OutputTable[[#This Row],[GroupByKey]]),(OutputTable[GroupByKey]=OutputTable[[#This Row],[GroupByKey]])*OutputTable[RecordedValue]))</f>
        <v>5</v>
      </c>
    </row>
    <row r="9" spans="1:16" x14ac:dyDescent="0.35">
      <c r="A9" t="s">
        <v>66</v>
      </c>
      <c r="B9" t="s">
        <v>69</v>
      </c>
      <c r="C9">
        <v>2</v>
      </c>
      <c r="D9" t="s">
        <v>92</v>
      </c>
      <c r="E9" t="s">
        <v>93</v>
      </c>
      <c r="F9" t="s">
        <v>85</v>
      </c>
      <c r="G9">
        <v>4</v>
      </c>
      <c r="H9">
        <v>0</v>
      </c>
      <c r="I9" t="str">
        <f>OutputTable[[#This Row],[ProjectName]]&amp;OutputTable[[#This Row],[Name]]&amp;OutputTable[[#This Row],[Type]]&amp;OutputTable[[#This Row],[Source]]</f>
        <v>Unnamed ProjectOperador.NumberSeizedTotal Number SeizedResource</v>
      </c>
      <c r="J9" cm="1">
        <f t="array" ref="J9">MAX(IF((ProjectInfoTable[ProjectName]=OutputTable[[#This Row],[ProjectName]]),(ProjectInfoTable[ProjectName]=OutputTable[[#This Row],[ProjectName]])*ProjectInfoTable[NumberOfReplications]))</f>
        <v>50</v>
      </c>
      <c r="K9" cm="1">
        <f t="array" ref="K9">IFERROR(AVERAGE(IF((OutputTable[GroupByKey]=OutputTable[[#This Row],[GroupByKey]]),(OutputTable[GroupByKey]=OutputTable[[#This Row],[GroupByKey]])*OutputTable[RecordedValue])),0)</f>
        <v>4.58</v>
      </c>
      <c r="L9" cm="1">
        <f t="array" ref="L9">IFERROR(_xlfn.STDEV.S(IF((OutputTable[GroupByKey]=OutputTable[[#This Row],[GroupByKey]]),(OutputTable[GroupByKey]=OutputTable[[#This Row],[GroupByKey]])*OutputTable[RecordedValue])),0)</f>
        <v>0.78480466827545059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0.22303901890225239</v>
      </c>
      <c r="O9" cm="1">
        <f t="array" ref="O9">MIN(IF((OutputTable[GroupByKey]=OutputTable[[#This Row],[GroupByKey]]),(OutputTable[GroupByKey]=OutputTable[[#This Row],[GroupByKey]])*OutputTable[RecordedValue]))</f>
        <v>3</v>
      </c>
      <c r="P9" cm="1">
        <f t="array" ref="P9">MAX(IF((OutputTable[GroupByKey]=OutputTable[[#This Row],[GroupByKey]]),(OutputTable[GroupByKey]=OutputTable[[#This Row],[GroupByKey]])*OutputTable[RecordedValue]))</f>
        <v>6</v>
      </c>
    </row>
    <row r="10" spans="1:16" x14ac:dyDescent="0.35">
      <c r="A10" t="s">
        <v>66</v>
      </c>
      <c r="B10" t="s">
        <v>69</v>
      </c>
      <c r="C10">
        <v>2</v>
      </c>
      <c r="D10" t="s">
        <v>94</v>
      </c>
      <c r="E10" t="s">
        <v>95</v>
      </c>
      <c r="F10" t="s">
        <v>85</v>
      </c>
      <c r="G10">
        <v>1</v>
      </c>
      <c r="H10">
        <v>0</v>
      </c>
      <c r="I10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10" cm="1">
        <f t="array" ref="J10">MAX(IF((ProjectInfoTable[ProjectName]=OutputTable[[#This Row],[ProjectName]]),(ProjectInfoTable[ProjectName]=OutputTable[[#This Row],[ProjectName]])*ProjectInfoTable[NumberOfReplications]))</f>
        <v>50</v>
      </c>
      <c r="K10" cm="1">
        <f t="array" ref="K10">IFERROR(AVERAGE(IF((OutputTable[GroupByKey]=OutputTable[[#This Row],[GroupByKey]]),(OutputTable[GroupByKey]=OutputTable[[#This Row],[GroupByKey]])*OutputTable[RecordedValue])),0)</f>
        <v>0.92637977941440086</v>
      </c>
      <c r="L10" cm="1">
        <f t="array" ref="L10">IFERROR(_xlfn.STDEV.S(IF((OutputTable[GroupByKey]=OutputTable[[#This Row],[GroupByKey]]),(OutputTable[GroupByKey]=OutputTable[[#This Row],[GroupByKey]])*OutputTable[RecordedValue])),0)</f>
        <v>0.11789675502181338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3.350588705034975E-2</v>
      </c>
      <c r="O10" cm="1">
        <f t="array" ref="O10">MIN(IF((OutputTable[GroupByKey]=OutputTable[[#This Row],[GroupByKey]]),(OutputTable[GroupByKey]=OutputTable[[#This Row],[GroupByKey]])*OutputTable[RecordedValue]))</f>
        <v>0.60846830422583797</v>
      </c>
      <c r="P10" cm="1">
        <f t="array" ref="P10">MAX(IF((OutputTable[GroupByKey]=OutputTable[[#This Row],[GroupByKey]]),(OutputTable[GroupByKey]=OutputTable[[#This Row],[GroupByKey]])*OutputTable[RecordedValue]))</f>
        <v>1</v>
      </c>
    </row>
    <row r="11" spans="1:16" x14ac:dyDescent="0.35">
      <c r="A11" t="s">
        <v>66</v>
      </c>
      <c r="B11" t="s">
        <v>69</v>
      </c>
      <c r="C11">
        <v>2</v>
      </c>
      <c r="D11" t="s">
        <v>96</v>
      </c>
      <c r="E11" t="s">
        <v>91</v>
      </c>
      <c r="F11" t="s">
        <v>97</v>
      </c>
      <c r="G11">
        <v>3</v>
      </c>
      <c r="H11">
        <v>0</v>
      </c>
      <c r="I11" t="str">
        <f>OutputTable[[#This Row],[ProjectName]]&amp;OutputTable[[#This Row],[Name]]&amp;OutputTable[[#This Row],[Type]]&amp;OutputTable[[#This Row],[Source]]</f>
        <v>Unnamed ProjectSystem.NumberOutNumber OutSystem</v>
      </c>
      <c r="J11" cm="1">
        <f t="array" ref="J11">MAX(IF((ProjectInfoTable[ProjectName]=OutputTable[[#This Row],[ProjectName]]),(ProjectInfoTable[ProjectName]=OutputTable[[#This Row],[ProjectName]])*ProjectInfoTable[NumberOfReplications]))</f>
        <v>50</v>
      </c>
      <c r="K11" cm="1">
        <f t="array" ref="K11">IFERROR(AVERAGE(IF((OutputTable[GroupByKey]=OutputTable[[#This Row],[GroupByKey]]),(OutputTable[GroupByKey]=OutputTable[[#This Row],[GroupByKey]])*OutputTable[RecordedValue])),0)</f>
        <v>3.62</v>
      </c>
      <c r="L11" cm="1">
        <f t="array" ref="L11">IFERROR(_xlfn.STDEV.S(IF((OutputTable[GroupByKey]=OutputTable[[#This Row],[GroupByKey]]),(OutputTable[GroupByKey]=OutputTable[[#This Row],[GroupByKey]])*OutputTable[RecordedValue])),0)</f>
        <v>0.77958649426527116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11" cm="1">
        <f t="array" ref="O11">MIN(IF((OutputTable[GroupByKey]=OutputTable[[#This Row],[GroupByKey]]),(OutputTable[GroupByKey]=OutputTable[[#This Row],[GroupByKey]])*OutputTable[RecordedValue]))</f>
        <v>2</v>
      </c>
      <c r="P11" cm="1">
        <f t="array" ref="P11">MAX(IF((OutputTable[GroupByKey]=OutputTable[[#This Row],[GroupByKey]]),(OutputTable[GroupByKey]=OutputTable[[#This Row],[GroupByKey]])*OutputTable[RecordedValue]))</f>
        <v>5</v>
      </c>
    </row>
    <row r="12" spans="1:16" x14ac:dyDescent="0.35">
      <c r="A12" t="s">
        <v>66</v>
      </c>
      <c r="B12" t="s">
        <v>69</v>
      </c>
      <c r="C12">
        <v>3</v>
      </c>
      <c r="D12" t="s">
        <v>88</v>
      </c>
      <c r="E12" t="s">
        <v>89</v>
      </c>
      <c r="F12" t="s">
        <v>72</v>
      </c>
      <c r="G12">
        <v>5</v>
      </c>
      <c r="H12">
        <v>0</v>
      </c>
      <c r="I12" t="str">
        <f>OutputTable[[#This Row],[ProjectName]]&amp;OutputTable[[#This Row],[Name]]&amp;OutputTable[[#This Row],[Type]]&amp;OutputTable[[#This Row],[Source]]</f>
        <v>Unnamed ProjectArquivos.NumberInNumber InEntity</v>
      </c>
      <c r="J12" cm="1">
        <f t="array" ref="J12">MAX(IF((ProjectInfoTable[ProjectName]=OutputTable[[#This Row],[ProjectName]]),(ProjectInfoTable[ProjectName]=OutputTable[[#This Row],[ProjectName]])*ProjectInfoTable[NumberOfReplications]))</f>
        <v>50</v>
      </c>
      <c r="K12" cm="1">
        <f t="array" ref="K12">IFERROR(AVERAGE(IF((OutputTable[GroupByKey]=OutputTable[[#This Row],[GroupByKey]]),(OutputTable[GroupByKey]=OutputTable[[#This Row],[GroupByKey]])*OutputTable[RecordedValue])),0)</f>
        <v>6.48</v>
      </c>
      <c r="L12" cm="1">
        <f t="array" ref="L12">IFERROR(_xlfn.STDEV.S(IF((OutputTable[GroupByKey]=OutputTable[[#This Row],[GroupByKey]]),(OutputTable[GroupByKey]=OutputTable[[#This Row],[GroupByKey]])*OutputTable[RecordedValue])),0)</f>
        <v>1.7984119979264248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0.51110303469648288</v>
      </c>
      <c r="O12" cm="1">
        <f t="array" ref="O12">MIN(IF((OutputTable[GroupByKey]=OutputTable[[#This Row],[GroupByKey]]),(OutputTable[GroupByKey]=OutputTable[[#This Row],[GroupByKey]])*OutputTable[RecordedValue]))</f>
        <v>3</v>
      </c>
      <c r="P12" cm="1">
        <f t="array" ref="P12">MAX(IF((OutputTable[GroupByKey]=OutputTable[[#This Row],[GroupByKey]]),(OutputTable[GroupByKey]=OutputTable[[#This Row],[GroupByKey]])*OutputTable[RecordedValue]))</f>
        <v>13</v>
      </c>
    </row>
    <row r="13" spans="1:16" x14ac:dyDescent="0.35">
      <c r="A13" t="s">
        <v>66</v>
      </c>
      <c r="B13" t="s">
        <v>69</v>
      </c>
      <c r="C13">
        <v>3</v>
      </c>
      <c r="D13" t="s">
        <v>90</v>
      </c>
      <c r="E13" t="s">
        <v>91</v>
      </c>
      <c r="F13" t="s">
        <v>72</v>
      </c>
      <c r="G13">
        <v>4</v>
      </c>
      <c r="H13">
        <v>0</v>
      </c>
      <c r="I13" t="str">
        <f>OutputTable[[#This Row],[ProjectName]]&amp;OutputTable[[#This Row],[Name]]&amp;OutputTable[[#This Row],[Type]]&amp;OutputTable[[#This Row],[Source]]</f>
        <v>Unnamed ProjectArquivos.NumberOutNumber OutEntity</v>
      </c>
      <c r="J13" cm="1">
        <f t="array" ref="J13">MAX(IF((ProjectInfoTable[ProjectName]=OutputTable[[#This Row],[ProjectName]]),(ProjectInfoTable[ProjectName]=OutputTable[[#This Row],[ProjectName]])*ProjectInfoTable[NumberOfReplications]))</f>
        <v>50</v>
      </c>
      <c r="K13" cm="1">
        <f t="array" ref="K13">IFERROR(AVERAGE(IF((OutputTable[GroupByKey]=OutputTable[[#This Row],[GroupByKey]]),(OutputTable[GroupByKey]=OutputTable[[#This Row],[GroupByKey]])*OutputTable[RecordedValue])),0)</f>
        <v>3.62</v>
      </c>
      <c r="L13" cm="1">
        <f t="array" ref="L13">IFERROR(_xlfn.STDEV.S(IF((OutputTable[GroupByKey]=OutputTable[[#This Row],[GroupByKey]]),(OutputTable[GroupByKey]=OutputTable[[#This Row],[GroupByKey]])*OutputTable[RecordedValue])),0)</f>
        <v>0.77958649426527116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13" cm="1">
        <f t="array" ref="O13">MIN(IF((OutputTable[GroupByKey]=OutputTable[[#This Row],[GroupByKey]]),(OutputTable[GroupByKey]=OutputTable[[#This Row],[GroupByKey]])*OutputTable[RecordedValue]))</f>
        <v>2</v>
      </c>
      <c r="P13" cm="1">
        <f t="array" ref="P13">MAX(IF((OutputTable[GroupByKey]=OutputTable[[#This Row],[GroupByKey]]),(OutputTable[GroupByKey]=OutputTable[[#This Row],[GroupByKey]])*OutputTable[RecordedValue]))</f>
        <v>5</v>
      </c>
    </row>
    <row r="14" spans="1:16" x14ac:dyDescent="0.35">
      <c r="A14" t="s">
        <v>66</v>
      </c>
      <c r="B14" t="s">
        <v>69</v>
      </c>
      <c r="C14">
        <v>3</v>
      </c>
      <c r="D14" t="s">
        <v>92</v>
      </c>
      <c r="E14" t="s">
        <v>93</v>
      </c>
      <c r="F14" t="s">
        <v>85</v>
      </c>
      <c r="G14">
        <v>5</v>
      </c>
      <c r="H14">
        <v>0</v>
      </c>
      <c r="I14" t="str">
        <f>OutputTable[[#This Row],[ProjectName]]&amp;OutputTable[[#This Row],[Name]]&amp;OutputTable[[#This Row],[Type]]&amp;OutputTable[[#This Row],[Source]]</f>
        <v>Unnamed ProjectOperador.NumberSeizedTotal Number SeizedResource</v>
      </c>
      <c r="J14" cm="1">
        <f t="array" ref="J14">MAX(IF((ProjectInfoTable[ProjectName]=OutputTable[[#This Row],[ProjectName]]),(ProjectInfoTable[ProjectName]=OutputTable[[#This Row],[ProjectName]])*ProjectInfoTable[NumberOfReplications]))</f>
        <v>50</v>
      </c>
      <c r="K14" cm="1">
        <f t="array" ref="K14">IFERROR(AVERAGE(IF((OutputTable[GroupByKey]=OutputTable[[#This Row],[GroupByKey]]),(OutputTable[GroupByKey]=OutputTable[[#This Row],[GroupByKey]])*OutputTable[RecordedValue])),0)</f>
        <v>4.58</v>
      </c>
      <c r="L14" cm="1">
        <f t="array" ref="L14">IFERROR(_xlfn.STDEV.S(IF((OutputTable[GroupByKey]=OutputTable[[#This Row],[GroupByKey]]),(OutputTable[GroupByKey]=OutputTable[[#This Row],[GroupByKey]])*OutputTable[RecordedValue])),0)</f>
        <v>0.78480466827545059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0.22303901890225239</v>
      </c>
      <c r="O14" cm="1">
        <f t="array" ref="O14">MIN(IF((OutputTable[GroupByKey]=OutputTable[[#This Row],[GroupByKey]]),(OutputTable[GroupByKey]=OutputTable[[#This Row],[GroupByKey]])*OutputTable[RecordedValue]))</f>
        <v>3</v>
      </c>
      <c r="P14" cm="1">
        <f t="array" ref="P14">MAX(IF((OutputTable[GroupByKey]=OutputTable[[#This Row],[GroupByKey]]),(OutputTable[GroupByKey]=OutputTable[[#This Row],[GroupByKey]])*OutputTable[RecordedValue]))</f>
        <v>6</v>
      </c>
    </row>
    <row r="15" spans="1:16" x14ac:dyDescent="0.35">
      <c r="A15" t="s">
        <v>66</v>
      </c>
      <c r="B15" t="s">
        <v>69</v>
      </c>
      <c r="C15">
        <v>3</v>
      </c>
      <c r="D15" t="s">
        <v>94</v>
      </c>
      <c r="E15" t="s">
        <v>95</v>
      </c>
      <c r="F15" t="s">
        <v>85</v>
      </c>
      <c r="G15">
        <v>1</v>
      </c>
      <c r="H15">
        <v>0</v>
      </c>
      <c r="I1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15" cm="1">
        <f t="array" ref="J15">MAX(IF((ProjectInfoTable[ProjectName]=OutputTable[[#This Row],[ProjectName]]),(ProjectInfoTable[ProjectName]=OutputTable[[#This Row],[ProjectName]])*ProjectInfoTable[NumberOfReplications]))</f>
        <v>50</v>
      </c>
      <c r="K15" cm="1">
        <f t="array" ref="K15">IFERROR(AVERAGE(IF((OutputTable[GroupByKey]=OutputTable[[#This Row],[GroupByKey]]),(OutputTable[GroupByKey]=OutputTable[[#This Row],[GroupByKey]])*OutputTable[RecordedValue])),0)</f>
        <v>0.92637977941440086</v>
      </c>
      <c r="L15" cm="1">
        <f t="array" ref="L15">IFERROR(_xlfn.STDEV.S(IF((OutputTable[GroupByKey]=OutputTable[[#This Row],[GroupByKey]]),(OutputTable[GroupByKey]=OutputTable[[#This Row],[GroupByKey]])*OutputTable[RecordedValue])),0)</f>
        <v>0.11789675502181338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3.350588705034975E-2</v>
      </c>
      <c r="O15" cm="1">
        <f t="array" ref="O15">MIN(IF((OutputTable[GroupByKey]=OutputTable[[#This Row],[GroupByKey]]),(OutputTable[GroupByKey]=OutputTable[[#This Row],[GroupByKey]])*OutputTable[RecordedValue]))</f>
        <v>0.60846830422583797</v>
      </c>
      <c r="P15" cm="1">
        <f t="array" ref="P15">MAX(IF((OutputTable[GroupByKey]=OutputTable[[#This Row],[GroupByKey]]),(OutputTable[GroupByKey]=OutputTable[[#This Row],[GroupByKey]])*OutputTable[RecordedValue]))</f>
        <v>1</v>
      </c>
    </row>
    <row r="16" spans="1:16" x14ac:dyDescent="0.35">
      <c r="A16" t="s">
        <v>66</v>
      </c>
      <c r="B16" t="s">
        <v>69</v>
      </c>
      <c r="C16">
        <v>3</v>
      </c>
      <c r="D16" t="s">
        <v>96</v>
      </c>
      <c r="E16" t="s">
        <v>91</v>
      </c>
      <c r="F16" t="s">
        <v>97</v>
      </c>
      <c r="G16">
        <v>4</v>
      </c>
      <c r="H16">
        <v>0</v>
      </c>
      <c r="I16" t="str">
        <f>OutputTable[[#This Row],[ProjectName]]&amp;OutputTable[[#This Row],[Name]]&amp;OutputTable[[#This Row],[Type]]&amp;OutputTable[[#This Row],[Source]]</f>
        <v>Unnamed ProjectSystem.NumberOutNumber OutSystem</v>
      </c>
      <c r="J16" cm="1">
        <f t="array" ref="J16">MAX(IF((ProjectInfoTable[ProjectName]=OutputTable[[#This Row],[ProjectName]]),(ProjectInfoTable[ProjectName]=OutputTable[[#This Row],[ProjectName]])*ProjectInfoTable[NumberOfReplications]))</f>
        <v>50</v>
      </c>
      <c r="K16" cm="1">
        <f t="array" ref="K16">IFERROR(AVERAGE(IF((OutputTable[GroupByKey]=OutputTable[[#This Row],[GroupByKey]]),(OutputTable[GroupByKey]=OutputTable[[#This Row],[GroupByKey]])*OutputTable[RecordedValue])),0)</f>
        <v>3.62</v>
      </c>
      <c r="L16" cm="1">
        <f t="array" ref="L16">IFERROR(_xlfn.STDEV.S(IF((OutputTable[GroupByKey]=OutputTable[[#This Row],[GroupByKey]]),(OutputTable[GroupByKey]=OutputTable[[#This Row],[GroupByKey]])*OutputTable[RecordedValue])),0)</f>
        <v>0.77958649426527116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16" cm="1">
        <f t="array" ref="O16">MIN(IF((OutputTable[GroupByKey]=OutputTable[[#This Row],[GroupByKey]]),(OutputTable[GroupByKey]=OutputTable[[#This Row],[GroupByKey]])*OutputTable[RecordedValue]))</f>
        <v>2</v>
      </c>
      <c r="P16" cm="1">
        <f t="array" ref="P16">MAX(IF((OutputTable[GroupByKey]=OutputTable[[#This Row],[GroupByKey]]),(OutputTable[GroupByKey]=OutputTable[[#This Row],[GroupByKey]])*OutputTable[RecordedValue]))</f>
        <v>5</v>
      </c>
    </row>
    <row r="17" spans="1:16" x14ac:dyDescent="0.35">
      <c r="A17" t="s">
        <v>66</v>
      </c>
      <c r="B17" t="s">
        <v>69</v>
      </c>
      <c r="C17">
        <v>4</v>
      </c>
      <c r="D17" t="s">
        <v>88</v>
      </c>
      <c r="E17" t="s">
        <v>89</v>
      </c>
      <c r="F17" t="s">
        <v>72</v>
      </c>
      <c r="G17">
        <v>6</v>
      </c>
      <c r="H17">
        <v>0</v>
      </c>
      <c r="I17" t="str">
        <f>OutputTable[[#This Row],[ProjectName]]&amp;OutputTable[[#This Row],[Name]]&amp;OutputTable[[#This Row],[Type]]&amp;OutputTable[[#This Row],[Source]]</f>
        <v>Unnamed ProjectArquivos.NumberInNumber InEntity</v>
      </c>
      <c r="J17" cm="1">
        <f t="array" ref="J17">MAX(IF((ProjectInfoTable[ProjectName]=OutputTable[[#This Row],[ProjectName]]),(ProjectInfoTable[ProjectName]=OutputTable[[#This Row],[ProjectName]])*ProjectInfoTable[NumberOfReplications]))</f>
        <v>50</v>
      </c>
      <c r="K17" cm="1">
        <f t="array" ref="K17">IFERROR(AVERAGE(IF((OutputTable[GroupByKey]=OutputTable[[#This Row],[GroupByKey]]),(OutputTable[GroupByKey]=OutputTable[[#This Row],[GroupByKey]])*OutputTable[RecordedValue])),0)</f>
        <v>6.48</v>
      </c>
      <c r="L17" cm="1">
        <f t="array" ref="L17">IFERROR(_xlfn.STDEV.S(IF((OutputTable[GroupByKey]=OutputTable[[#This Row],[GroupByKey]]),(OutputTable[GroupByKey]=OutputTable[[#This Row],[GroupByKey]])*OutputTable[RecordedValue])),0)</f>
        <v>1.7984119979264248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0.51110303469648288</v>
      </c>
      <c r="O17" cm="1">
        <f t="array" ref="O17">MIN(IF((OutputTable[GroupByKey]=OutputTable[[#This Row],[GroupByKey]]),(OutputTable[GroupByKey]=OutputTable[[#This Row],[GroupByKey]])*OutputTable[RecordedValue]))</f>
        <v>3</v>
      </c>
      <c r="P17" cm="1">
        <f t="array" ref="P17">MAX(IF((OutputTable[GroupByKey]=OutputTable[[#This Row],[GroupByKey]]),(OutputTable[GroupByKey]=OutputTable[[#This Row],[GroupByKey]])*OutputTable[RecordedValue]))</f>
        <v>13</v>
      </c>
    </row>
    <row r="18" spans="1:16" x14ac:dyDescent="0.35">
      <c r="A18" t="s">
        <v>66</v>
      </c>
      <c r="B18" t="s">
        <v>69</v>
      </c>
      <c r="C18">
        <v>4</v>
      </c>
      <c r="D18" t="s">
        <v>90</v>
      </c>
      <c r="E18" t="s">
        <v>91</v>
      </c>
      <c r="F18" t="s">
        <v>72</v>
      </c>
      <c r="G18">
        <v>3</v>
      </c>
      <c r="H18">
        <v>0</v>
      </c>
      <c r="I18" t="str">
        <f>OutputTable[[#This Row],[ProjectName]]&amp;OutputTable[[#This Row],[Name]]&amp;OutputTable[[#This Row],[Type]]&amp;OutputTable[[#This Row],[Source]]</f>
        <v>Unnamed ProjectArquivos.NumberOutNumber OutEntity</v>
      </c>
      <c r="J18" cm="1">
        <f t="array" ref="J18">MAX(IF((ProjectInfoTable[ProjectName]=OutputTable[[#This Row],[ProjectName]]),(ProjectInfoTable[ProjectName]=OutputTable[[#This Row],[ProjectName]])*ProjectInfoTable[NumberOfReplications]))</f>
        <v>50</v>
      </c>
      <c r="K18" cm="1">
        <f t="array" ref="K18">IFERROR(AVERAGE(IF((OutputTable[GroupByKey]=OutputTable[[#This Row],[GroupByKey]]),(OutputTable[GroupByKey]=OutputTable[[#This Row],[GroupByKey]])*OutputTable[RecordedValue])),0)</f>
        <v>3.62</v>
      </c>
      <c r="L18" cm="1">
        <f t="array" ref="L18">IFERROR(_xlfn.STDEV.S(IF((OutputTable[GroupByKey]=OutputTable[[#This Row],[GroupByKey]]),(OutputTable[GroupByKey]=OutputTable[[#This Row],[GroupByKey]])*OutputTable[RecordedValue])),0)</f>
        <v>0.77958649426527116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18" cm="1">
        <f t="array" ref="O18">MIN(IF((OutputTable[GroupByKey]=OutputTable[[#This Row],[GroupByKey]]),(OutputTable[GroupByKey]=OutputTable[[#This Row],[GroupByKey]])*OutputTable[RecordedValue]))</f>
        <v>2</v>
      </c>
      <c r="P18" cm="1">
        <f t="array" ref="P18">MAX(IF((OutputTable[GroupByKey]=OutputTable[[#This Row],[GroupByKey]]),(OutputTable[GroupByKey]=OutputTable[[#This Row],[GroupByKey]])*OutputTable[RecordedValue]))</f>
        <v>5</v>
      </c>
    </row>
    <row r="19" spans="1:16" x14ac:dyDescent="0.35">
      <c r="A19" t="s">
        <v>66</v>
      </c>
      <c r="B19" t="s">
        <v>69</v>
      </c>
      <c r="C19">
        <v>4</v>
      </c>
      <c r="D19" t="s">
        <v>92</v>
      </c>
      <c r="E19" t="s">
        <v>93</v>
      </c>
      <c r="F19" t="s">
        <v>85</v>
      </c>
      <c r="G19">
        <v>4</v>
      </c>
      <c r="H19">
        <v>0</v>
      </c>
      <c r="I19" t="str">
        <f>OutputTable[[#This Row],[ProjectName]]&amp;OutputTable[[#This Row],[Name]]&amp;OutputTable[[#This Row],[Type]]&amp;OutputTable[[#This Row],[Source]]</f>
        <v>Unnamed ProjectOperador.NumberSeizedTotal Number SeizedResource</v>
      </c>
      <c r="J19" cm="1">
        <f t="array" ref="J19">MAX(IF((ProjectInfoTable[ProjectName]=OutputTable[[#This Row],[ProjectName]]),(ProjectInfoTable[ProjectName]=OutputTable[[#This Row],[ProjectName]])*ProjectInfoTable[NumberOfReplications]))</f>
        <v>50</v>
      </c>
      <c r="K19" cm="1">
        <f t="array" ref="K19">IFERROR(AVERAGE(IF((OutputTable[GroupByKey]=OutputTable[[#This Row],[GroupByKey]]),(OutputTable[GroupByKey]=OutputTable[[#This Row],[GroupByKey]])*OutputTable[RecordedValue])),0)</f>
        <v>4.58</v>
      </c>
      <c r="L19" cm="1">
        <f t="array" ref="L19">IFERROR(_xlfn.STDEV.S(IF((OutputTable[GroupByKey]=OutputTable[[#This Row],[GroupByKey]]),(OutputTable[GroupByKey]=OutputTable[[#This Row],[GroupByKey]])*OutputTable[RecordedValue])),0)</f>
        <v>0.78480466827545059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0.22303901890225239</v>
      </c>
      <c r="O19" cm="1">
        <f t="array" ref="O19">MIN(IF((OutputTable[GroupByKey]=OutputTable[[#This Row],[GroupByKey]]),(OutputTable[GroupByKey]=OutputTable[[#This Row],[GroupByKey]])*OutputTable[RecordedValue]))</f>
        <v>3</v>
      </c>
      <c r="P19" cm="1">
        <f t="array" ref="P19">MAX(IF((OutputTable[GroupByKey]=OutputTable[[#This Row],[GroupByKey]]),(OutputTable[GroupByKey]=OutputTable[[#This Row],[GroupByKey]])*OutputTable[RecordedValue]))</f>
        <v>6</v>
      </c>
    </row>
    <row r="20" spans="1:16" x14ac:dyDescent="0.35">
      <c r="A20" t="s">
        <v>66</v>
      </c>
      <c r="B20" t="s">
        <v>69</v>
      </c>
      <c r="C20">
        <v>4</v>
      </c>
      <c r="D20" t="s">
        <v>94</v>
      </c>
      <c r="E20" t="s">
        <v>95</v>
      </c>
      <c r="F20" t="s">
        <v>85</v>
      </c>
      <c r="G20">
        <v>1</v>
      </c>
      <c r="H20">
        <v>0</v>
      </c>
      <c r="I20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20" cm="1">
        <f t="array" ref="J20">MAX(IF((ProjectInfoTable[ProjectName]=OutputTable[[#This Row],[ProjectName]]),(ProjectInfoTable[ProjectName]=OutputTable[[#This Row],[ProjectName]])*ProjectInfoTable[NumberOfReplications]))</f>
        <v>50</v>
      </c>
      <c r="K20" cm="1">
        <f t="array" ref="K20">IFERROR(AVERAGE(IF((OutputTable[GroupByKey]=OutputTable[[#This Row],[GroupByKey]]),(OutputTable[GroupByKey]=OutputTable[[#This Row],[GroupByKey]])*OutputTable[RecordedValue])),0)</f>
        <v>0.92637977941440086</v>
      </c>
      <c r="L20" cm="1">
        <f t="array" ref="L20">IFERROR(_xlfn.STDEV.S(IF((OutputTable[GroupByKey]=OutputTable[[#This Row],[GroupByKey]]),(OutputTable[GroupByKey]=OutputTable[[#This Row],[GroupByKey]])*OutputTable[RecordedValue])),0)</f>
        <v>0.11789675502181338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3.350588705034975E-2</v>
      </c>
      <c r="O20" cm="1">
        <f t="array" ref="O20">MIN(IF((OutputTable[GroupByKey]=OutputTable[[#This Row],[GroupByKey]]),(OutputTable[GroupByKey]=OutputTable[[#This Row],[GroupByKey]])*OutputTable[RecordedValue]))</f>
        <v>0.60846830422583797</v>
      </c>
      <c r="P20" cm="1">
        <f t="array" ref="P20">MAX(IF((OutputTable[GroupByKey]=OutputTable[[#This Row],[GroupByKey]]),(OutputTable[GroupByKey]=OutputTable[[#This Row],[GroupByKey]])*OutputTable[RecordedValue]))</f>
        <v>1</v>
      </c>
    </row>
    <row r="21" spans="1:16" x14ac:dyDescent="0.35">
      <c r="A21" t="s">
        <v>66</v>
      </c>
      <c r="B21" t="s">
        <v>69</v>
      </c>
      <c r="C21">
        <v>4</v>
      </c>
      <c r="D21" t="s">
        <v>96</v>
      </c>
      <c r="E21" t="s">
        <v>91</v>
      </c>
      <c r="F21" t="s">
        <v>97</v>
      </c>
      <c r="G21">
        <v>3</v>
      </c>
      <c r="H21">
        <v>0</v>
      </c>
      <c r="I21" t="str">
        <f>OutputTable[[#This Row],[ProjectName]]&amp;OutputTable[[#This Row],[Name]]&amp;OutputTable[[#This Row],[Type]]&amp;OutputTable[[#This Row],[Source]]</f>
        <v>Unnamed ProjectSystem.NumberOutNumber OutSystem</v>
      </c>
      <c r="J21" cm="1">
        <f t="array" ref="J21">MAX(IF((ProjectInfoTable[ProjectName]=OutputTable[[#This Row],[ProjectName]]),(ProjectInfoTable[ProjectName]=OutputTable[[#This Row],[ProjectName]])*ProjectInfoTable[NumberOfReplications]))</f>
        <v>50</v>
      </c>
      <c r="K21" cm="1">
        <f t="array" ref="K21">IFERROR(AVERAGE(IF((OutputTable[GroupByKey]=OutputTable[[#This Row],[GroupByKey]]),(OutputTable[GroupByKey]=OutputTable[[#This Row],[GroupByKey]])*OutputTable[RecordedValue])),0)</f>
        <v>3.62</v>
      </c>
      <c r="L21" cm="1">
        <f t="array" ref="L21">IFERROR(_xlfn.STDEV.S(IF((OutputTable[GroupByKey]=OutputTable[[#This Row],[GroupByKey]]),(OutputTable[GroupByKey]=OutputTable[[#This Row],[GroupByKey]])*OutputTable[RecordedValue])),0)</f>
        <v>0.77958649426527116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21" cm="1">
        <f t="array" ref="O21">MIN(IF((OutputTable[GroupByKey]=OutputTable[[#This Row],[GroupByKey]]),(OutputTable[GroupByKey]=OutputTable[[#This Row],[GroupByKey]])*OutputTable[RecordedValue]))</f>
        <v>2</v>
      </c>
      <c r="P21" cm="1">
        <f t="array" ref="P21">MAX(IF((OutputTable[GroupByKey]=OutputTable[[#This Row],[GroupByKey]]),(OutputTable[GroupByKey]=OutputTable[[#This Row],[GroupByKey]])*OutputTable[RecordedValue]))</f>
        <v>5</v>
      </c>
    </row>
    <row r="22" spans="1:16" x14ac:dyDescent="0.35">
      <c r="A22" t="s">
        <v>66</v>
      </c>
      <c r="B22" t="s">
        <v>69</v>
      </c>
      <c r="C22">
        <v>5</v>
      </c>
      <c r="D22" t="s">
        <v>88</v>
      </c>
      <c r="E22" t="s">
        <v>89</v>
      </c>
      <c r="F22" t="s">
        <v>72</v>
      </c>
      <c r="G22">
        <v>7</v>
      </c>
      <c r="H22">
        <v>0</v>
      </c>
      <c r="I22" t="str">
        <f>OutputTable[[#This Row],[ProjectName]]&amp;OutputTable[[#This Row],[Name]]&amp;OutputTable[[#This Row],[Type]]&amp;OutputTable[[#This Row],[Source]]</f>
        <v>Unnamed ProjectArquivos.NumberInNumber InEntity</v>
      </c>
      <c r="J22" cm="1">
        <f t="array" ref="J22">MAX(IF((ProjectInfoTable[ProjectName]=OutputTable[[#This Row],[ProjectName]]),(ProjectInfoTable[ProjectName]=OutputTable[[#This Row],[ProjectName]])*ProjectInfoTable[NumberOfReplications]))</f>
        <v>50</v>
      </c>
      <c r="K22" cm="1">
        <f t="array" ref="K22">IFERROR(AVERAGE(IF((OutputTable[GroupByKey]=OutputTable[[#This Row],[GroupByKey]]),(OutputTable[GroupByKey]=OutputTable[[#This Row],[GroupByKey]])*OutputTable[RecordedValue])),0)</f>
        <v>6.48</v>
      </c>
      <c r="L22" cm="1">
        <f t="array" ref="L22">IFERROR(_xlfn.STDEV.S(IF((OutputTable[GroupByKey]=OutputTable[[#This Row],[GroupByKey]]),(OutputTable[GroupByKey]=OutputTable[[#This Row],[GroupByKey]])*OutputTable[RecordedValue])),0)</f>
        <v>1.7984119979264248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0.51110303469648288</v>
      </c>
      <c r="O22" cm="1">
        <f t="array" ref="O22">MIN(IF((OutputTable[GroupByKey]=OutputTable[[#This Row],[GroupByKey]]),(OutputTable[GroupByKey]=OutputTable[[#This Row],[GroupByKey]])*OutputTable[RecordedValue]))</f>
        <v>3</v>
      </c>
      <c r="P22" cm="1">
        <f t="array" ref="P22">MAX(IF((OutputTable[GroupByKey]=OutputTable[[#This Row],[GroupByKey]]),(OutputTable[GroupByKey]=OutputTable[[#This Row],[GroupByKey]])*OutputTable[RecordedValue]))</f>
        <v>13</v>
      </c>
    </row>
    <row r="23" spans="1:16" x14ac:dyDescent="0.35">
      <c r="A23" t="s">
        <v>66</v>
      </c>
      <c r="B23" t="s">
        <v>69</v>
      </c>
      <c r="C23">
        <v>5</v>
      </c>
      <c r="D23" t="s">
        <v>90</v>
      </c>
      <c r="E23" t="s">
        <v>91</v>
      </c>
      <c r="F23" t="s">
        <v>72</v>
      </c>
      <c r="G23">
        <v>4</v>
      </c>
      <c r="H23">
        <v>0</v>
      </c>
      <c r="I23" t="str">
        <f>OutputTable[[#This Row],[ProjectName]]&amp;OutputTable[[#This Row],[Name]]&amp;OutputTable[[#This Row],[Type]]&amp;OutputTable[[#This Row],[Source]]</f>
        <v>Unnamed ProjectArquivos.NumberOutNumber OutEntity</v>
      </c>
      <c r="J23" cm="1">
        <f t="array" ref="J23">MAX(IF((ProjectInfoTable[ProjectName]=OutputTable[[#This Row],[ProjectName]]),(ProjectInfoTable[ProjectName]=OutputTable[[#This Row],[ProjectName]])*ProjectInfoTable[NumberOfReplications]))</f>
        <v>50</v>
      </c>
      <c r="K23" cm="1">
        <f t="array" ref="K23">IFERROR(AVERAGE(IF((OutputTable[GroupByKey]=OutputTable[[#This Row],[GroupByKey]]),(OutputTable[GroupByKey]=OutputTable[[#This Row],[GroupByKey]])*OutputTable[RecordedValue])),0)</f>
        <v>3.62</v>
      </c>
      <c r="L23" cm="1">
        <f t="array" ref="L23">IFERROR(_xlfn.STDEV.S(IF((OutputTable[GroupByKey]=OutputTable[[#This Row],[GroupByKey]]),(OutputTable[GroupByKey]=OutputTable[[#This Row],[GroupByKey]])*OutputTable[RecordedValue])),0)</f>
        <v>0.77958649426527116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23" cm="1">
        <f t="array" ref="O23">MIN(IF((OutputTable[GroupByKey]=OutputTable[[#This Row],[GroupByKey]]),(OutputTable[GroupByKey]=OutputTable[[#This Row],[GroupByKey]])*OutputTable[RecordedValue]))</f>
        <v>2</v>
      </c>
      <c r="P23" cm="1">
        <f t="array" ref="P23">MAX(IF((OutputTable[GroupByKey]=OutputTable[[#This Row],[GroupByKey]]),(OutputTable[GroupByKey]=OutputTable[[#This Row],[GroupByKey]])*OutputTable[RecordedValue]))</f>
        <v>5</v>
      </c>
    </row>
    <row r="24" spans="1:16" x14ac:dyDescent="0.35">
      <c r="A24" t="s">
        <v>66</v>
      </c>
      <c r="B24" t="s">
        <v>69</v>
      </c>
      <c r="C24">
        <v>5</v>
      </c>
      <c r="D24" t="s">
        <v>92</v>
      </c>
      <c r="E24" t="s">
        <v>93</v>
      </c>
      <c r="F24" t="s">
        <v>85</v>
      </c>
      <c r="G24">
        <v>5</v>
      </c>
      <c r="H24">
        <v>0</v>
      </c>
      <c r="I24" t="str">
        <f>OutputTable[[#This Row],[ProjectName]]&amp;OutputTable[[#This Row],[Name]]&amp;OutputTable[[#This Row],[Type]]&amp;OutputTable[[#This Row],[Source]]</f>
        <v>Unnamed ProjectOperador.NumberSeizedTotal Number SeizedResource</v>
      </c>
      <c r="J24" cm="1">
        <f t="array" ref="J24">MAX(IF((ProjectInfoTable[ProjectName]=OutputTable[[#This Row],[ProjectName]]),(ProjectInfoTable[ProjectName]=OutputTable[[#This Row],[ProjectName]])*ProjectInfoTable[NumberOfReplications]))</f>
        <v>50</v>
      </c>
      <c r="K24" cm="1">
        <f t="array" ref="K24">IFERROR(AVERAGE(IF((OutputTable[GroupByKey]=OutputTable[[#This Row],[GroupByKey]]),(OutputTable[GroupByKey]=OutputTable[[#This Row],[GroupByKey]])*OutputTable[RecordedValue])),0)</f>
        <v>4.58</v>
      </c>
      <c r="L24" cm="1">
        <f t="array" ref="L24">IFERROR(_xlfn.STDEV.S(IF((OutputTable[GroupByKey]=OutputTable[[#This Row],[GroupByKey]]),(OutputTable[GroupByKey]=OutputTable[[#This Row],[GroupByKey]])*OutputTable[RecordedValue])),0)</f>
        <v>0.78480466827545059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0.22303901890225239</v>
      </c>
      <c r="O24" cm="1">
        <f t="array" ref="O24">MIN(IF((OutputTable[GroupByKey]=OutputTable[[#This Row],[GroupByKey]]),(OutputTable[GroupByKey]=OutputTable[[#This Row],[GroupByKey]])*OutputTable[RecordedValue]))</f>
        <v>3</v>
      </c>
      <c r="P24" cm="1">
        <f t="array" ref="P24">MAX(IF((OutputTable[GroupByKey]=OutputTable[[#This Row],[GroupByKey]]),(OutputTable[GroupByKey]=OutputTable[[#This Row],[GroupByKey]])*OutputTable[RecordedValue]))</f>
        <v>6</v>
      </c>
    </row>
    <row r="25" spans="1:16" x14ac:dyDescent="0.35">
      <c r="A25" t="s">
        <v>66</v>
      </c>
      <c r="B25" t="s">
        <v>69</v>
      </c>
      <c r="C25">
        <v>5</v>
      </c>
      <c r="D25" t="s">
        <v>94</v>
      </c>
      <c r="E25" t="s">
        <v>95</v>
      </c>
      <c r="F25" t="s">
        <v>85</v>
      </c>
      <c r="G25">
        <v>1</v>
      </c>
      <c r="H25">
        <v>0</v>
      </c>
      <c r="I2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25" cm="1">
        <f t="array" ref="J25">MAX(IF((ProjectInfoTable[ProjectName]=OutputTable[[#This Row],[ProjectName]]),(ProjectInfoTable[ProjectName]=OutputTable[[#This Row],[ProjectName]])*ProjectInfoTable[NumberOfReplications]))</f>
        <v>50</v>
      </c>
      <c r="K25" cm="1">
        <f t="array" ref="K25">IFERROR(AVERAGE(IF((OutputTable[GroupByKey]=OutputTable[[#This Row],[GroupByKey]]),(OutputTable[GroupByKey]=OutputTable[[#This Row],[GroupByKey]])*OutputTable[RecordedValue])),0)</f>
        <v>0.92637977941440086</v>
      </c>
      <c r="L25" cm="1">
        <f t="array" ref="L25">IFERROR(_xlfn.STDEV.S(IF((OutputTable[GroupByKey]=OutputTable[[#This Row],[GroupByKey]]),(OutputTable[GroupByKey]=OutputTable[[#This Row],[GroupByKey]])*OutputTable[RecordedValue])),0)</f>
        <v>0.11789675502181338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3.350588705034975E-2</v>
      </c>
      <c r="O25" cm="1">
        <f t="array" ref="O25">MIN(IF((OutputTable[GroupByKey]=OutputTable[[#This Row],[GroupByKey]]),(OutputTable[GroupByKey]=OutputTable[[#This Row],[GroupByKey]])*OutputTable[RecordedValue]))</f>
        <v>0.60846830422583797</v>
      </c>
      <c r="P25" cm="1">
        <f t="array" ref="P25">MAX(IF((OutputTable[GroupByKey]=OutputTable[[#This Row],[GroupByKey]]),(OutputTable[GroupByKey]=OutputTable[[#This Row],[GroupByKey]])*OutputTable[RecordedValue]))</f>
        <v>1</v>
      </c>
    </row>
    <row r="26" spans="1:16" x14ac:dyDescent="0.35">
      <c r="A26" t="s">
        <v>66</v>
      </c>
      <c r="B26" t="s">
        <v>69</v>
      </c>
      <c r="C26">
        <v>5</v>
      </c>
      <c r="D26" t="s">
        <v>96</v>
      </c>
      <c r="E26" t="s">
        <v>91</v>
      </c>
      <c r="F26" t="s">
        <v>97</v>
      </c>
      <c r="G26">
        <v>4</v>
      </c>
      <c r="H26">
        <v>0</v>
      </c>
      <c r="I26" t="str">
        <f>OutputTable[[#This Row],[ProjectName]]&amp;OutputTable[[#This Row],[Name]]&amp;OutputTable[[#This Row],[Type]]&amp;OutputTable[[#This Row],[Source]]</f>
        <v>Unnamed ProjectSystem.NumberOutNumber OutSystem</v>
      </c>
      <c r="J26" cm="1">
        <f t="array" ref="J26">MAX(IF((ProjectInfoTable[ProjectName]=OutputTable[[#This Row],[ProjectName]]),(ProjectInfoTable[ProjectName]=OutputTable[[#This Row],[ProjectName]])*ProjectInfoTable[NumberOfReplications]))</f>
        <v>50</v>
      </c>
      <c r="K26" cm="1">
        <f t="array" ref="K26">IFERROR(AVERAGE(IF((OutputTable[GroupByKey]=OutputTable[[#This Row],[GroupByKey]]),(OutputTable[GroupByKey]=OutputTable[[#This Row],[GroupByKey]])*OutputTable[RecordedValue])),0)</f>
        <v>3.62</v>
      </c>
      <c r="L26" cm="1">
        <f t="array" ref="L26">IFERROR(_xlfn.STDEV.S(IF((OutputTable[GroupByKey]=OutputTable[[#This Row],[GroupByKey]]),(OutputTable[GroupByKey]=OutputTable[[#This Row],[GroupByKey]])*OutputTable[RecordedValue])),0)</f>
        <v>0.77958649426527116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26" cm="1">
        <f t="array" ref="O26">MIN(IF((OutputTable[GroupByKey]=OutputTable[[#This Row],[GroupByKey]]),(OutputTable[GroupByKey]=OutputTable[[#This Row],[GroupByKey]])*OutputTable[RecordedValue]))</f>
        <v>2</v>
      </c>
      <c r="P26" cm="1">
        <f t="array" ref="P26">MAX(IF((OutputTable[GroupByKey]=OutputTable[[#This Row],[GroupByKey]]),(OutputTable[GroupByKey]=OutputTable[[#This Row],[GroupByKey]])*OutputTable[RecordedValue]))</f>
        <v>5</v>
      </c>
    </row>
    <row r="27" spans="1:16" x14ac:dyDescent="0.35">
      <c r="A27" t="s">
        <v>66</v>
      </c>
      <c r="B27" t="s">
        <v>69</v>
      </c>
      <c r="C27">
        <v>6</v>
      </c>
      <c r="D27" t="s">
        <v>88</v>
      </c>
      <c r="E27" t="s">
        <v>89</v>
      </c>
      <c r="F27" t="s">
        <v>72</v>
      </c>
      <c r="G27">
        <v>5</v>
      </c>
      <c r="H27">
        <v>0</v>
      </c>
      <c r="I27" t="str">
        <f>OutputTable[[#This Row],[ProjectName]]&amp;OutputTable[[#This Row],[Name]]&amp;OutputTable[[#This Row],[Type]]&amp;OutputTable[[#This Row],[Source]]</f>
        <v>Unnamed ProjectArquivos.NumberInNumber InEntity</v>
      </c>
      <c r="J27" cm="1">
        <f t="array" ref="J27">MAX(IF((ProjectInfoTable[ProjectName]=OutputTable[[#This Row],[ProjectName]]),(ProjectInfoTable[ProjectName]=OutputTable[[#This Row],[ProjectName]])*ProjectInfoTable[NumberOfReplications]))</f>
        <v>50</v>
      </c>
      <c r="K27" cm="1">
        <f t="array" ref="K27">IFERROR(AVERAGE(IF((OutputTable[GroupByKey]=OutputTable[[#This Row],[GroupByKey]]),(OutputTable[GroupByKey]=OutputTable[[#This Row],[GroupByKey]])*OutputTable[RecordedValue])),0)</f>
        <v>6.48</v>
      </c>
      <c r="L27" cm="1">
        <f t="array" ref="L27">IFERROR(_xlfn.STDEV.S(IF((OutputTable[GroupByKey]=OutputTable[[#This Row],[GroupByKey]]),(OutputTable[GroupByKey]=OutputTable[[#This Row],[GroupByKey]])*OutputTable[RecordedValue])),0)</f>
        <v>1.7984119979264248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0.51110303469648288</v>
      </c>
      <c r="O27" cm="1">
        <f t="array" ref="O27">MIN(IF((OutputTable[GroupByKey]=OutputTable[[#This Row],[GroupByKey]]),(OutputTable[GroupByKey]=OutputTable[[#This Row],[GroupByKey]])*OutputTable[RecordedValue]))</f>
        <v>3</v>
      </c>
      <c r="P27" cm="1">
        <f t="array" ref="P27">MAX(IF((OutputTable[GroupByKey]=OutputTable[[#This Row],[GroupByKey]]),(OutputTable[GroupByKey]=OutputTable[[#This Row],[GroupByKey]])*OutputTable[RecordedValue]))</f>
        <v>13</v>
      </c>
    </row>
    <row r="28" spans="1:16" x14ac:dyDescent="0.35">
      <c r="A28" t="s">
        <v>66</v>
      </c>
      <c r="B28" t="s">
        <v>69</v>
      </c>
      <c r="C28">
        <v>6</v>
      </c>
      <c r="D28" t="s">
        <v>90</v>
      </c>
      <c r="E28" t="s">
        <v>91</v>
      </c>
      <c r="F28" t="s">
        <v>72</v>
      </c>
      <c r="G28">
        <v>3</v>
      </c>
      <c r="H28">
        <v>0</v>
      </c>
      <c r="I28" t="str">
        <f>OutputTable[[#This Row],[ProjectName]]&amp;OutputTable[[#This Row],[Name]]&amp;OutputTable[[#This Row],[Type]]&amp;OutputTable[[#This Row],[Source]]</f>
        <v>Unnamed ProjectArquivos.NumberOutNumber OutEntity</v>
      </c>
      <c r="J28" cm="1">
        <f t="array" ref="J28">MAX(IF((ProjectInfoTable[ProjectName]=OutputTable[[#This Row],[ProjectName]]),(ProjectInfoTable[ProjectName]=OutputTable[[#This Row],[ProjectName]])*ProjectInfoTable[NumberOfReplications]))</f>
        <v>50</v>
      </c>
      <c r="K28" cm="1">
        <f t="array" ref="K28">IFERROR(AVERAGE(IF((OutputTable[GroupByKey]=OutputTable[[#This Row],[GroupByKey]]),(OutputTable[GroupByKey]=OutputTable[[#This Row],[GroupByKey]])*OutputTable[RecordedValue])),0)</f>
        <v>3.62</v>
      </c>
      <c r="L28" cm="1">
        <f t="array" ref="L28">IFERROR(_xlfn.STDEV.S(IF((OutputTable[GroupByKey]=OutputTable[[#This Row],[GroupByKey]]),(OutputTable[GroupByKey]=OutputTable[[#This Row],[GroupByKey]])*OutputTable[RecordedValue])),0)</f>
        <v>0.77958649426527116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28" cm="1">
        <f t="array" ref="O28">MIN(IF((OutputTable[GroupByKey]=OutputTable[[#This Row],[GroupByKey]]),(OutputTable[GroupByKey]=OutputTable[[#This Row],[GroupByKey]])*OutputTable[RecordedValue]))</f>
        <v>2</v>
      </c>
      <c r="P28" cm="1">
        <f t="array" ref="P28">MAX(IF((OutputTable[GroupByKey]=OutputTable[[#This Row],[GroupByKey]]),(OutputTable[GroupByKey]=OutputTable[[#This Row],[GroupByKey]])*OutputTable[RecordedValue]))</f>
        <v>5</v>
      </c>
    </row>
    <row r="29" spans="1:16" x14ac:dyDescent="0.35">
      <c r="A29" t="s">
        <v>66</v>
      </c>
      <c r="B29" t="s">
        <v>69</v>
      </c>
      <c r="C29">
        <v>6</v>
      </c>
      <c r="D29" t="s">
        <v>92</v>
      </c>
      <c r="E29" t="s">
        <v>93</v>
      </c>
      <c r="F29" t="s">
        <v>85</v>
      </c>
      <c r="G29">
        <v>4</v>
      </c>
      <c r="H29">
        <v>0</v>
      </c>
      <c r="I29" t="str">
        <f>OutputTable[[#This Row],[ProjectName]]&amp;OutputTable[[#This Row],[Name]]&amp;OutputTable[[#This Row],[Type]]&amp;OutputTable[[#This Row],[Source]]</f>
        <v>Unnamed ProjectOperador.NumberSeizedTotal Number SeizedResource</v>
      </c>
      <c r="J29" cm="1">
        <f t="array" ref="J29">MAX(IF((ProjectInfoTable[ProjectName]=OutputTable[[#This Row],[ProjectName]]),(ProjectInfoTable[ProjectName]=OutputTable[[#This Row],[ProjectName]])*ProjectInfoTable[NumberOfReplications]))</f>
        <v>50</v>
      </c>
      <c r="K29" cm="1">
        <f t="array" ref="K29">IFERROR(AVERAGE(IF((OutputTable[GroupByKey]=OutputTable[[#This Row],[GroupByKey]]),(OutputTable[GroupByKey]=OutputTable[[#This Row],[GroupByKey]])*OutputTable[RecordedValue])),0)</f>
        <v>4.58</v>
      </c>
      <c r="L29" cm="1">
        <f t="array" ref="L29">IFERROR(_xlfn.STDEV.S(IF((OutputTable[GroupByKey]=OutputTable[[#This Row],[GroupByKey]]),(OutputTable[GroupByKey]=OutputTable[[#This Row],[GroupByKey]])*OutputTable[RecordedValue])),0)</f>
        <v>0.78480466827545059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0.22303901890225239</v>
      </c>
      <c r="O29" cm="1">
        <f t="array" ref="O29">MIN(IF((OutputTable[GroupByKey]=OutputTable[[#This Row],[GroupByKey]]),(OutputTable[GroupByKey]=OutputTable[[#This Row],[GroupByKey]])*OutputTable[RecordedValue]))</f>
        <v>3</v>
      </c>
      <c r="P29" cm="1">
        <f t="array" ref="P29">MAX(IF((OutputTable[GroupByKey]=OutputTable[[#This Row],[GroupByKey]]),(OutputTable[GroupByKey]=OutputTable[[#This Row],[GroupByKey]])*OutputTable[RecordedValue]))</f>
        <v>6</v>
      </c>
    </row>
    <row r="30" spans="1:16" x14ac:dyDescent="0.35">
      <c r="A30" t="s">
        <v>66</v>
      </c>
      <c r="B30" t="s">
        <v>69</v>
      </c>
      <c r="C30">
        <v>6</v>
      </c>
      <c r="D30" t="s">
        <v>94</v>
      </c>
      <c r="E30" t="s">
        <v>95</v>
      </c>
      <c r="F30" t="s">
        <v>85</v>
      </c>
      <c r="G30">
        <v>1</v>
      </c>
      <c r="H30">
        <v>0</v>
      </c>
      <c r="I30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30" cm="1">
        <f t="array" ref="J30">MAX(IF((ProjectInfoTable[ProjectName]=OutputTable[[#This Row],[ProjectName]]),(ProjectInfoTable[ProjectName]=OutputTable[[#This Row],[ProjectName]])*ProjectInfoTable[NumberOfReplications]))</f>
        <v>50</v>
      </c>
      <c r="K30" cm="1">
        <f t="array" ref="K30">IFERROR(AVERAGE(IF((OutputTable[GroupByKey]=OutputTable[[#This Row],[GroupByKey]]),(OutputTable[GroupByKey]=OutputTable[[#This Row],[GroupByKey]])*OutputTable[RecordedValue])),0)</f>
        <v>0.92637977941440086</v>
      </c>
      <c r="L30" cm="1">
        <f t="array" ref="L30">IFERROR(_xlfn.STDEV.S(IF((OutputTable[GroupByKey]=OutputTable[[#This Row],[GroupByKey]]),(OutputTable[GroupByKey]=OutputTable[[#This Row],[GroupByKey]])*OutputTable[RecordedValue])),0)</f>
        <v>0.11789675502181338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3.350588705034975E-2</v>
      </c>
      <c r="O30" cm="1">
        <f t="array" ref="O30">MIN(IF((OutputTable[GroupByKey]=OutputTable[[#This Row],[GroupByKey]]),(OutputTable[GroupByKey]=OutputTable[[#This Row],[GroupByKey]])*OutputTable[RecordedValue]))</f>
        <v>0.60846830422583797</v>
      </c>
      <c r="P30" cm="1">
        <f t="array" ref="P30">MAX(IF((OutputTable[GroupByKey]=OutputTable[[#This Row],[GroupByKey]]),(OutputTable[GroupByKey]=OutputTable[[#This Row],[GroupByKey]])*OutputTable[RecordedValue]))</f>
        <v>1</v>
      </c>
    </row>
    <row r="31" spans="1:16" x14ac:dyDescent="0.35">
      <c r="A31" t="s">
        <v>66</v>
      </c>
      <c r="B31" t="s">
        <v>69</v>
      </c>
      <c r="C31">
        <v>6</v>
      </c>
      <c r="D31" t="s">
        <v>96</v>
      </c>
      <c r="E31" t="s">
        <v>91</v>
      </c>
      <c r="F31" t="s">
        <v>97</v>
      </c>
      <c r="G31">
        <v>3</v>
      </c>
      <c r="H31">
        <v>0</v>
      </c>
      <c r="I31" t="str">
        <f>OutputTable[[#This Row],[ProjectName]]&amp;OutputTable[[#This Row],[Name]]&amp;OutputTable[[#This Row],[Type]]&amp;OutputTable[[#This Row],[Source]]</f>
        <v>Unnamed ProjectSystem.NumberOutNumber OutSystem</v>
      </c>
      <c r="J31" cm="1">
        <f t="array" ref="J31">MAX(IF((ProjectInfoTable[ProjectName]=OutputTable[[#This Row],[ProjectName]]),(ProjectInfoTable[ProjectName]=OutputTable[[#This Row],[ProjectName]])*ProjectInfoTable[NumberOfReplications]))</f>
        <v>50</v>
      </c>
      <c r="K31" cm="1">
        <f t="array" ref="K31">IFERROR(AVERAGE(IF((OutputTable[GroupByKey]=OutputTable[[#This Row],[GroupByKey]]),(OutputTable[GroupByKey]=OutputTable[[#This Row],[GroupByKey]])*OutputTable[RecordedValue])),0)</f>
        <v>3.62</v>
      </c>
      <c r="L31" cm="1">
        <f t="array" ref="L31">IFERROR(_xlfn.STDEV.S(IF((OutputTable[GroupByKey]=OutputTable[[#This Row],[GroupByKey]]),(OutputTable[GroupByKey]=OutputTable[[#This Row],[GroupByKey]])*OutputTable[RecordedValue])),0)</f>
        <v>0.77958649426527116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31" cm="1">
        <f t="array" ref="O31">MIN(IF((OutputTable[GroupByKey]=OutputTable[[#This Row],[GroupByKey]]),(OutputTable[GroupByKey]=OutputTable[[#This Row],[GroupByKey]])*OutputTable[RecordedValue]))</f>
        <v>2</v>
      </c>
      <c r="P31" cm="1">
        <f t="array" ref="P31">MAX(IF((OutputTable[GroupByKey]=OutputTable[[#This Row],[GroupByKey]]),(OutputTable[GroupByKey]=OutputTable[[#This Row],[GroupByKey]])*OutputTable[RecordedValue]))</f>
        <v>5</v>
      </c>
    </row>
    <row r="32" spans="1:16" x14ac:dyDescent="0.35">
      <c r="A32" t="s">
        <v>66</v>
      </c>
      <c r="B32" t="s">
        <v>69</v>
      </c>
      <c r="C32">
        <v>7</v>
      </c>
      <c r="D32" t="s">
        <v>88</v>
      </c>
      <c r="E32" t="s">
        <v>89</v>
      </c>
      <c r="F32" t="s">
        <v>72</v>
      </c>
      <c r="G32">
        <v>6</v>
      </c>
      <c r="H32">
        <v>0</v>
      </c>
      <c r="I32" s="5" t="str">
        <f>OutputTable[[#This Row],[ProjectName]]&amp;OutputTable[[#This Row],[Name]]&amp;OutputTable[[#This Row],[Type]]&amp;OutputTable[[#This Row],[Source]]</f>
        <v>Unnamed ProjectArquivos.NumberInNumber InEntity</v>
      </c>
      <c r="J32" s="5" cm="1">
        <f t="array" ref="J32">MAX(IF((ProjectInfoTable[ProjectName]=OutputTable[[#This Row],[ProjectName]]),(ProjectInfoTable[ProjectName]=OutputTable[[#This Row],[ProjectName]])*ProjectInfoTable[NumberOfReplications]))</f>
        <v>50</v>
      </c>
      <c r="K32" s="5" cm="1">
        <f t="array" ref="K32">IFERROR(AVERAGE(IF((OutputTable[GroupByKey]=OutputTable[[#This Row],[GroupByKey]]),(OutputTable[GroupByKey]=OutputTable[[#This Row],[GroupByKey]])*OutputTable[RecordedValue])),0)</f>
        <v>6.48</v>
      </c>
      <c r="L32" s="5" cm="1">
        <f t="array" ref="L32">IFERROR(_xlfn.STDEV.S(IF((OutputTable[GroupByKey]=OutputTable[[#This Row],[GroupByKey]]),(OutputTable[GroupByKey]=OutputTable[[#This Row],[GroupByKey]])*OutputTable[RecordedValue])),0)</f>
        <v>1.7984119979264248</v>
      </c>
      <c r="M32" s="5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0.51110303469648288</v>
      </c>
      <c r="O32" s="5" cm="1">
        <f t="array" ref="O32">MIN(IF((OutputTable[GroupByKey]=OutputTable[[#This Row],[GroupByKey]]),(OutputTable[GroupByKey]=OutputTable[[#This Row],[GroupByKey]])*OutputTable[RecordedValue]))</f>
        <v>3</v>
      </c>
      <c r="P32" s="5" cm="1">
        <f t="array" ref="P32">MAX(IF((OutputTable[GroupByKey]=OutputTable[[#This Row],[GroupByKey]]),(OutputTable[GroupByKey]=OutputTable[[#This Row],[GroupByKey]])*OutputTable[RecordedValue]))</f>
        <v>13</v>
      </c>
    </row>
    <row r="33" spans="1:16" x14ac:dyDescent="0.35">
      <c r="A33" t="s">
        <v>66</v>
      </c>
      <c r="B33" t="s">
        <v>69</v>
      </c>
      <c r="C33">
        <v>7</v>
      </c>
      <c r="D33" t="s">
        <v>90</v>
      </c>
      <c r="E33" t="s">
        <v>91</v>
      </c>
      <c r="F33" t="s">
        <v>72</v>
      </c>
      <c r="G33">
        <v>3</v>
      </c>
      <c r="H33">
        <v>0</v>
      </c>
      <c r="I33" s="5" t="str">
        <f>OutputTable[[#This Row],[ProjectName]]&amp;OutputTable[[#This Row],[Name]]&amp;OutputTable[[#This Row],[Type]]&amp;OutputTable[[#This Row],[Source]]</f>
        <v>Unnamed ProjectArquivos.NumberOutNumber OutEntity</v>
      </c>
      <c r="J33" s="5" cm="1">
        <f t="array" ref="J33">MAX(IF((ProjectInfoTable[ProjectName]=OutputTable[[#This Row],[ProjectName]]),(ProjectInfoTable[ProjectName]=OutputTable[[#This Row],[ProjectName]])*ProjectInfoTable[NumberOfReplications]))</f>
        <v>50</v>
      </c>
      <c r="K33" s="5" cm="1">
        <f t="array" ref="K33">IFERROR(AVERAGE(IF((OutputTable[GroupByKey]=OutputTable[[#This Row],[GroupByKey]]),(OutputTable[GroupByKey]=OutputTable[[#This Row],[GroupByKey]])*OutputTable[RecordedValue])),0)</f>
        <v>3.62</v>
      </c>
      <c r="L33" s="5" cm="1">
        <f t="array" ref="L33">IFERROR(_xlfn.STDEV.S(IF((OutputTable[GroupByKey]=OutputTable[[#This Row],[GroupByKey]]),(OutputTable[GroupByKey]=OutputTable[[#This Row],[GroupByKey]])*OutputTable[RecordedValue])),0)</f>
        <v>0.77958649426527116</v>
      </c>
      <c r="M33" s="5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33" s="5" cm="1">
        <f t="array" ref="O33">MIN(IF((OutputTable[GroupByKey]=OutputTable[[#This Row],[GroupByKey]]),(OutputTable[GroupByKey]=OutputTable[[#This Row],[GroupByKey]])*OutputTable[RecordedValue]))</f>
        <v>2</v>
      </c>
      <c r="P33" s="5" cm="1">
        <f t="array" ref="P33">MAX(IF((OutputTable[GroupByKey]=OutputTable[[#This Row],[GroupByKey]]),(OutputTable[GroupByKey]=OutputTable[[#This Row],[GroupByKey]])*OutputTable[RecordedValue]))</f>
        <v>5</v>
      </c>
    </row>
    <row r="34" spans="1:16" x14ac:dyDescent="0.35">
      <c r="A34" t="s">
        <v>66</v>
      </c>
      <c r="B34" t="s">
        <v>69</v>
      </c>
      <c r="C34">
        <v>7</v>
      </c>
      <c r="D34" t="s">
        <v>92</v>
      </c>
      <c r="E34" t="s">
        <v>93</v>
      </c>
      <c r="F34" t="s">
        <v>85</v>
      </c>
      <c r="G34">
        <v>4</v>
      </c>
      <c r="H34">
        <v>0</v>
      </c>
      <c r="I34" s="5" t="str">
        <f>OutputTable[[#This Row],[ProjectName]]&amp;OutputTable[[#This Row],[Name]]&amp;OutputTable[[#This Row],[Type]]&amp;OutputTable[[#This Row],[Source]]</f>
        <v>Unnamed ProjectOperador.NumberSeizedTotal Number SeizedResource</v>
      </c>
      <c r="J34" s="5" cm="1">
        <f t="array" ref="J34">MAX(IF((ProjectInfoTable[ProjectName]=OutputTable[[#This Row],[ProjectName]]),(ProjectInfoTable[ProjectName]=OutputTable[[#This Row],[ProjectName]])*ProjectInfoTable[NumberOfReplications]))</f>
        <v>50</v>
      </c>
      <c r="K34" s="5" cm="1">
        <f t="array" ref="K34">IFERROR(AVERAGE(IF((OutputTable[GroupByKey]=OutputTable[[#This Row],[GroupByKey]]),(OutputTable[GroupByKey]=OutputTable[[#This Row],[GroupByKey]])*OutputTable[RecordedValue])),0)</f>
        <v>4.58</v>
      </c>
      <c r="L34" s="5" cm="1">
        <f t="array" ref="L34">IFERROR(_xlfn.STDEV.S(IF((OutputTable[GroupByKey]=OutputTable[[#This Row],[GroupByKey]]),(OutputTable[GroupByKey]=OutputTable[[#This Row],[GroupByKey]])*OutputTable[RecordedValue])),0)</f>
        <v>0.78480466827545059</v>
      </c>
      <c r="M34" s="5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0.22303901890225239</v>
      </c>
      <c r="O34" s="5" cm="1">
        <f t="array" ref="O34">MIN(IF((OutputTable[GroupByKey]=OutputTable[[#This Row],[GroupByKey]]),(OutputTable[GroupByKey]=OutputTable[[#This Row],[GroupByKey]])*OutputTable[RecordedValue]))</f>
        <v>3</v>
      </c>
      <c r="P34" s="5" cm="1">
        <f t="array" ref="P34">MAX(IF((OutputTable[GroupByKey]=OutputTable[[#This Row],[GroupByKey]]),(OutputTable[GroupByKey]=OutputTable[[#This Row],[GroupByKey]])*OutputTable[RecordedValue]))</f>
        <v>6</v>
      </c>
    </row>
    <row r="35" spans="1:16" x14ac:dyDescent="0.35">
      <c r="A35" t="s">
        <v>66</v>
      </c>
      <c r="B35" t="s">
        <v>69</v>
      </c>
      <c r="C35">
        <v>7</v>
      </c>
      <c r="D35" t="s">
        <v>94</v>
      </c>
      <c r="E35" t="s">
        <v>95</v>
      </c>
      <c r="F35" t="s">
        <v>85</v>
      </c>
      <c r="G35">
        <v>1</v>
      </c>
      <c r="H35">
        <v>0</v>
      </c>
      <c r="I35" s="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35" s="5" cm="1">
        <f t="array" ref="J35">MAX(IF((ProjectInfoTable[ProjectName]=OutputTable[[#This Row],[ProjectName]]),(ProjectInfoTable[ProjectName]=OutputTable[[#This Row],[ProjectName]])*ProjectInfoTable[NumberOfReplications]))</f>
        <v>50</v>
      </c>
      <c r="K35" s="5" cm="1">
        <f t="array" ref="K35">IFERROR(AVERAGE(IF((OutputTable[GroupByKey]=OutputTable[[#This Row],[GroupByKey]]),(OutputTable[GroupByKey]=OutputTable[[#This Row],[GroupByKey]])*OutputTable[RecordedValue])),0)</f>
        <v>0.92637977941440086</v>
      </c>
      <c r="L35" s="5" cm="1">
        <f t="array" ref="L35">IFERROR(_xlfn.STDEV.S(IF((OutputTable[GroupByKey]=OutputTable[[#This Row],[GroupByKey]]),(OutputTable[GroupByKey]=OutputTable[[#This Row],[GroupByKey]])*OutputTable[RecordedValue])),0)</f>
        <v>0.11789675502181338</v>
      </c>
      <c r="M35" s="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3.350588705034975E-2</v>
      </c>
      <c r="O35" s="5" cm="1">
        <f t="array" ref="O35">MIN(IF((OutputTable[GroupByKey]=OutputTable[[#This Row],[GroupByKey]]),(OutputTable[GroupByKey]=OutputTable[[#This Row],[GroupByKey]])*OutputTable[RecordedValue]))</f>
        <v>0.60846830422583797</v>
      </c>
      <c r="P35" s="5" cm="1">
        <f t="array" ref="P35">MAX(IF((OutputTable[GroupByKey]=OutputTable[[#This Row],[GroupByKey]]),(OutputTable[GroupByKey]=OutputTable[[#This Row],[GroupByKey]])*OutputTable[RecordedValue]))</f>
        <v>1</v>
      </c>
    </row>
    <row r="36" spans="1:16" x14ac:dyDescent="0.35">
      <c r="A36" t="s">
        <v>66</v>
      </c>
      <c r="B36" t="s">
        <v>69</v>
      </c>
      <c r="C36">
        <v>7</v>
      </c>
      <c r="D36" t="s">
        <v>96</v>
      </c>
      <c r="E36" t="s">
        <v>91</v>
      </c>
      <c r="F36" t="s">
        <v>97</v>
      </c>
      <c r="G36">
        <v>3</v>
      </c>
      <c r="H36">
        <v>0</v>
      </c>
      <c r="I36" s="5" t="str">
        <f>OutputTable[[#This Row],[ProjectName]]&amp;OutputTable[[#This Row],[Name]]&amp;OutputTable[[#This Row],[Type]]&amp;OutputTable[[#This Row],[Source]]</f>
        <v>Unnamed ProjectSystem.NumberOutNumber OutSystem</v>
      </c>
      <c r="J36" s="5" cm="1">
        <f t="array" ref="J36">MAX(IF((ProjectInfoTable[ProjectName]=OutputTable[[#This Row],[ProjectName]]),(ProjectInfoTable[ProjectName]=OutputTable[[#This Row],[ProjectName]])*ProjectInfoTable[NumberOfReplications]))</f>
        <v>50</v>
      </c>
      <c r="K36" s="5" cm="1">
        <f t="array" ref="K36">IFERROR(AVERAGE(IF((OutputTable[GroupByKey]=OutputTable[[#This Row],[GroupByKey]]),(OutputTable[GroupByKey]=OutputTable[[#This Row],[GroupByKey]])*OutputTable[RecordedValue])),0)</f>
        <v>3.62</v>
      </c>
      <c r="L36" s="5" cm="1">
        <f t="array" ref="L36">IFERROR(_xlfn.STDEV.S(IF((OutputTable[GroupByKey]=OutputTable[[#This Row],[GroupByKey]]),(OutputTable[GroupByKey]=OutputTable[[#This Row],[GroupByKey]])*OutputTable[RecordedValue])),0)</f>
        <v>0.77958649426527116</v>
      </c>
      <c r="M36" s="5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36" s="5" cm="1">
        <f t="array" ref="O36">MIN(IF((OutputTable[GroupByKey]=OutputTable[[#This Row],[GroupByKey]]),(OutputTable[GroupByKey]=OutputTable[[#This Row],[GroupByKey]])*OutputTable[RecordedValue]))</f>
        <v>2</v>
      </c>
      <c r="P36" s="5" cm="1">
        <f t="array" ref="P36">MAX(IF((OutputTable[GroupByKey]=OutputTable[[#This Row],[GroupByKey]]),(OutputTable[GroupByKey]=OutputTable[[#This Row],[GroupByKey]])*OutputTable[RecordedValue]))</f>
        <v>5</v>
      </c>
    </row>
    <row r="37" spans="1:16" x14ac:dyDescent="0.35">
      <c r="A37" t="s">
        <v>66</v>
      </c>
      <c r="B37" t="s">
        <v>69</v>
      </c>
      <c r="C37">
        <v>8</v>
      </c>
      <c r="D37" t="s">
        <v>88</v>
      </c>
      <c r="E37" t="s">
        <v>89</v>
      </c>
      <c r="F37" t="s">
        <v>72</v>
      </c>
      <c r="G37">
        <v>6</v>
      </c>
      <c r="H37">
        <v>0</v>
      </c>
      <c r="I37" s="5" t="str">
        <f>OutputTable[[#This Row],[ProjectName]]&amp;OutputTable[[#This Row],[Name]]&amp;OutputTable[[#This Row],[Type]]&amp;OutputTable[[#This Row],[Source]]</f>
        <v>Unnamed ProjectArquivos.NumberInNumber InEntity</v>
      </c>
      <c r="J37" s="5" cm="1">
        <f t="array" ref="J37">MAX(IF((ProjectInfoTable[ProjectName]=OutputTable[[#This Row],[ProjectName]]),(ProjectInfoTable[ProjectName]=OutputTable[[#This Row],[ProjectName]])*ProjectInfoTable[NumberOfReplications]))</f>
        <v>50</v>
      </c>
      <c r="K37" s="5" cm="1">
        <f t="array" ref="K37">IFERROR(AVERAGE(IF((OutputTable[GroupByKey]=OutputTable[[#This Row],[GroupByKey]]),(OutputTable[GroupByKey]=OutputTable[[#This Row],[GroupByKey]])*OutputTable[RecordedValue])),0)</f>
        <v>6.48</v>
      </c>
      <c r="L37" s="5" cm="1">
        <f t="array" ref="L37">IFERROR(_xlfn.STDEV.S(IF((OutputTable[GroupByKey]=OutputTable[[#This Row],[GroupByKey]]),(OutputTable[GroupByKey]=OutputTable[[#This Row],[GroupByKey]])*OutputTable[RecordedValue])),0)</f>
        <v>1.7984119979264248</v>
      </c>
      <c r="M37" s="5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0.51110303469648288</v>
      </c>
      <c r="O37" s="5" cm="1">
        <f t="array" ref="O37">MIN(IF((OutputTable[GroupByKey]=OutputTable[[#This Row],[GroupByKey]]),(OutputTable[GroupByKey]=OutputTable[[#This Row],[GroupByKey]])*OutputTable[RecordedValue]))</f>
        <v>3</v>
      </c>
      <c r="P37" s="5" cm="1">
        <f t="array" ref="P37">MAX(IF((OutputTable[GroupByKey]=OutputTable[[#This Row],[GroupByKey]]),(OutputTable[GroupByKey]=OutputTable[[#This Row],[GroupByKey]])*OutputTable[RecordedValue]))</f>
        <v>13</v>
      </c>
    </row>
    <row r="38" spans="1:16" x14ac:dyDescent="0.35">
      <c r="A38" t="s">
        <v>66</v>
      </c>
      <c r="B38" t="s">
        <v>69</v>
      </c>
      <c r="C38">
        <v>8</v>
      </c>
      <c r="D38" t="s">
        <v>90</v>
      </c>
      <c r="E38" t="s">
        <v>91</v>
      </c>
      <c r="F38" t="s">
        <v>72</v>
      </c>
      <c r="G38">
        <v>3</v>
      </c>
      <c r="H38">
        <v>0</v>
      </c>
      <c r="I38" s="5" t="str">
        <f>OutputTable[[#This Row],[ProjectName]]&amp;OutputTable[[#This Row],[Name]]&amp;OutputTable[[#This Row],[Type]]&amp;OutputTable[[#This Row],[Source]]</f>
        <v>Unnamed ProjectArquivos.NumberOutNumber OutEntity</v>
      </c>
      <c r="J38" s="5" cm="1">
        <f t="array" ref="J38">MAX(IF((ProjectInfoTable[ProjectName]=OutputTable[[#This Row],[ProjectName]]),(ProjectInfoTable[ProjectName]=OutputTable[[#This Row],[ProjectName]])*ProjectInfoTable[NumberOfReplications]))</f>
        <v>50</v>
      </c>
      <c r="K38" s="5" cm="1">
        <f t="array" ref="K38">IFERROR(AVERAGE(IF((OutputTable[GroupByKey]=OutputTable[[#This Row],[GroupByKey]]),(OutputTable[GroupByKey]=OutputTable[[#This Row],[GroupByKey]])*OutputTable[RecordedValue])),0)</f>
        <v>3.62</v>
      </c>
      <c r="L38" s="5" cm="1">
        <f t="array" ref="L38">IFERROR(_xlfn.STDEV.S(IF((OutputTable[GroupByKey]=OutputTable[[#This Row],[GroupByKey]]),(OutputTable[GroupByKey]=OutputTable[[#This Row],[GroupByKey]])*OutputTable[RecordedValue])),0)</f>
        <v>0.77958649426527116</v>
      </c>
      <c r="M38" s="5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38" s="5" cm="1">
        <f t="array" ref="O38">MIN(IF((OutputTable[GroupByKey]=OutputTable[[#This Row],[GroupByKey]]),(OutputTable[GroupByKey]=OutputTable[[#This Row],[GroupByKey]])*OutputTable[RecordedValue]))</f>
        <v>2</v>
      </c>
      <c r="P38" s="5" cm="1">
        <f t="array" ref="P38">MAX(IF((OutputTable[GroupByKey]=OutputTable[[#This Row],[GroupByKey]]),(OutputTable[GroupByKey]=OutputTable[[#This Row],[GroupByKey]])*OutputTable[RecordedValue]))</f>
        <v>5</v>
      </c>
    </row>
    <row r="39" spans="1:16" x14ac:dyDescent="0.35">
      <c r="A39" t="s">
        <v>66</v>
      </c>
      <c r="B39" t="s">
        <v>69</v>
      </c>
      <c r="C39">
        <v>8</v>
      </c>
      <c r="D39" t="s">
        <v>92</v>
      </c>
      <c r="E39" t="s">
        <v>93</v>
      </c>
      <c r="F39" t="s">
        <v>85</v>
      </c>
      <c r="G39">
        <v>4</v>
      </c>
      <c r="H39">
        <v>0</v>
      </c>
      <c r="I39" s="5" t="str">
        <f>OutputTable[[#This Row],[ProjectName]]&amp;OutputTable[[#This Row],[Name]]&amp;OutputTable[[#This Row],[Type]]&amp;OutputTable[[#This Row],[Source]]</f>
        <v>Unnamed ProjectOperador.NumberSeizedTotal Number SeizedResource</v>
      </c>
      <c r="J39" s="5" cm="1">
        <f t="array" ref="J39">MAX(IF((ProjectInfoTable[ProjectName]=OutputTable[[#This Row],[ProjectName]]),(ProjectInfoTable[ProjectName]=OutputTable[[#This Row],[ProjectName]])*ProjectInfoTable[NumberOfReplications]))</f>
        <v>50</v>
      </c>
      <c r="K39" s="5" cm="1">
        <f t="array" ref="K39">IFERROR(AVERAGE(IF((OutputTable[GroupByKey]=OutputTable[[#This Row],[GroupByKey]]),(OutputTable[GroupByKey]=OutputTable[[#This Row],[GroupByKey]])*OutputTable[RecordedValue])),0)</f>
        <v>4.58</v>
      </c>
      <c r="L39" s="5" cm="1">
        <f t="array" ref="L39">IFERROR(_xlfn.STDEV.S(IF((OutputTable[GroupByKey]=OutputTable[[#This Row],[GroupByKey]]),(OutputTable[GroupByKey]=OutputTable[[#This Row],[GroupByKey]])*OutputTable[RecordedValue])),0)</f>
        <v>0.78480466827545059</v>
      </c>
      <c r="M39" s="5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0.22303901890225239</v>
      </c>
      <c r="O39" s="5" cm="1">
        <f t="array" ref="O39">MIN(IF((OutputTable[GroupByKey]=OutputTable[[#This Row],[GroupByKey]]),(OutputTable[GroupByKey]=OutputTable[[#This Row],[GroupByKey]])*OutputTable[RecordedValue]))</f>
        <v>3</v>
      </c>
      <c r="P39" s="5" cm="1">
        <f t="array" ref="P39">MAX(IF((OutputTable[GroupByKey]=OutputTable[[#This Row],[GroupByKey]]),(OutputTable[GroupByKey]=OutputTable[[#This Row],[GroupByKey]])*OutputTable[RecordedValue]))</f>
        <v>6</v>
      </c>
    </row>
    <row r="40" spans="1:16" x14ac:dyDescent="0.35">
      <c r="A40" t="s">
        <v>66</v>
      </c>
      <c r="B40" t="s">
        <v>69</v>
      </c>
      <c r="C40">
        <v>8</v>
      </c>
      <c r="D40" t="s">
        <v>94</v>
      </c>
      <c r="E40" t="s">
        <v>95</v>
      </c>
      <c r="F40" t="s">
        <v>85</v>
      </c>
      <c r="G40">
        <v>1</v>
      </c>
      <c r="H40">
        <v>0</v>
      </c>
      <c r="I40" s="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40" s="5" cm="1">
        <f t="array" ref="J40">MAX(IF((ProjectInfoTable[ProjectName]=OutputTable[[#This Row],[ProjectName]]),(ProjectInfoTable[ProjectName]=OutputTable[[#This Row],[ProjectName]])*ProjectInfoTable[NumberOfReplications]))</f>
        <v>50</v>
      </c>
      <c r="K40" s="5" cm="1">
        <f t="array" ref="K40">IFERROR(AVERAGE(IF((OutputTable[GroupByKey]=OutputTable[[#This Row],[GroupByKey]]),(OutputTable[GroupByKey]=OutputTable[[#This Row],[GroupByKey]])*OutputTable[RecordedValue])),0)</f>
        <v>0.92637977941440086</v>
      </c>
      <c r="L40" s="5" cm="1">
        <f t="array" ref="L40">IFERROR(_xlfn.STDEV.S(IF((OutputTable[GroupByKey]=OutputTable[[#This Row],[GroupByKey]]),(OutputTable[GroupByKey]=OutputTable[[#This Row],[GroupByKey]])*OutputTable[RecordedValue])),0)</f>
        <v>0.11789675502181338</v>
      </c>
      <c r="M40" s="5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3.350588705034975E-2</v>
      </c>
      <c r="O40" s="5" cm="1">
        <f t="array" ref="O40">MIN(IF((OutputTable[GroupByKey]=OutputTable[[#This Row],[GroupByKey]]),(OutputTable[GroupByKey]=OutputTable[[#This Row],[GroupByKey]])*OutputTable[RecordedValue]))</f>
        <v>0.60846830422583797</v>
      </c>
      <c r="P40" s="5" cm="1">
        <f t="array" ref="P40">MAX(IF((OutputTable[GroupByKey]=OutputTable[[#This Row],[GroupByKey]]),(OutputTable[GroupByKey]=OutputTable[[#This Row],[GroupByKey]])*OutputTable[RecordedValue]))</f>
        <v>1</v>
      </c>
    </row>
    <row r="41" spans="1:16" x14ac:dyDescent="0.35">
      <c r="A41" t="s">
        <v>66</v>
      </c>
      <c r="B41" t="s">
        <v>69</v>
      </c>
      <c r="C41">
        <v>8</v>
      </c>
      <c r="D41" t="s">
        <v>96</v>
      </c>
      <c r="E41" t="s">
        <v>91</v>
      </c>
      <c r="F41" t="s">
        <v>97</v>
      </c>
      <c r="G41">
        <v>3</v>
      </c>
      <c r="H41">
        <v>0</v>
      </c>
      <c r="I41" s="5" t="str">
        <f>OutputTable[[#This Row],[ProjectName]]&amp;OutputTable[[#This Row],[Name]]&amp;OutputTable[[#This Row],[Type]]&amp;OutputTable[[#This Row],[Source]]</f>
        <v>Unnamed ProjectSystem.NumberOutNumber OutSystem</v>
      </c>
      <c r="J41" s="5" cm="1">
        <f t="array" ref="J41">MAX(IF((ProjectInfoTable[ProjectName]=OutputTable[[#This Row],[ProjectName]]),(ProjectInfoTable[ProjectName]=OutputTable[[#This Row],[ProjectName]])*ProjectInfoTable[NumberOfReplications]))</f>
        <v>50</v>
      </c>
      <c r="K41" s="5" cm="1">
        <f t="array" ref="K41">IFERROR(AVERAGE(IF((OutputTable[GroupByKey]=OutputTable[[#This Row],[GroupByKey]]),(OutputTable[GroupByKey]=OutputTable[[#This Row],[GroupByKey]])*OutputTable[RecordedValue])),0)</f>
        <v>3.62</v>
      </c>
      <c r="L41" s="5" cm="1">
        <f t="array" ref="L41">IFERROR(_xlfn.STDEV.S(IF((OutputTable[GroupByKey]=OutputTable[[#This Row],[GroupByKey]]),(OutputTable[GroupByKey]=OutputTable[[#This Row],[GroupByKey]])*OutputTable[RecordedValue])),0)</f>
        <v>0.77958649426527116</v>
      </c>
      <c r="M41" s="5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41" s="5" cm="1">
        <f t="array" ref="O41">MIN(IF((OutputTable[GroupByKey]=OutputTable[[#This Row],[GroupByKey]]),(OutputTable[GroupByKey]=OutputTable[[#This Row],[GroupByKey]])*OutputTable[RecordedValue]))</f>
        <v>2</v>
      </c>
      <c r="P41" s="5" cm="1">
        <f t="array" ref="P41">MAX(IF((OutputTable[GroupByKey]=OutputTable[[#This Row],[GroupByKey]]),(OutputTable[GroupByKey]=OutputTable[[#This Row],[GroupByKey]])*OutputTable[RecordedValue]))</f>
        <v>5</v>
      </c>
    </row>
    <row r="42" spans="1:16" x14ac:dyDescent="0.35">
      <c r="A42" t="s">
        <v>66</v>
      </c>
      <c r="B42" t="s">
        <v>69</v>
      </c>
      <c r="C42">
        <v>9</v>
      </c>
      <c r="D42" t="s">
        <v>88</v>
      </c>
      <c r="E42" t="s">
        <v>89</v>
      </c>
      <c r="F42" t="s">
        <v>72</v>
      </c>
      <c r="G42">
        <v>8</v>
      </c>
      <c r="H42">
        <v>0</v>
      </c>
      <c r="I42" s="5" t="str">
        <f>OutputTable[[#This Row],[ProjectName]]&amp;OutputTable[[#This Row],[Name]]&amp;OutputTable[[#This Row],[Type]]&amp;OutputTable[[#This Row],[Source]]</f>
        <v>Unnamed ProjectArquivos.NumberInNumber InEntity</v>
      </c>
      <c r="J42" s="5" cm="1">
        <f t="array" ref="J42">MAX(IF((ProjectInfoTable[ProjectName]=OutputTable[[#This Row],[ProjectName]]),(ProjectInfoTable[ProjectName]=OutputTable[[#This Row],[ProjectName]])*ProjectInfoTable[NumberOfReplications]))</f>
        <v>50</v>
      </c>
      <c r="K42" s="5" cm="1">
        <f t="array" ref="K42">IFERROR(AVERAGE(IF((OutputTable[GroupByKey]=OutputTable[[#This Row],[GroupByKey]]),(OutputTable[GroupByKey]=OutputTable[[#This Row],[GroupByKey]])*OutputTable[RecordedValue])),0)</f>
        <v>6.48</v>
      </c>
      <c r="L42" s="5" cm="1">
        <f t="array" ref="L42">IFERROR(_xlfn.STDEV.S(IF((OutputTable[GroupByKey]=OutputTable[[#This Row],[GroupByKey]]),(OutputTable[GroupByKey]=OutputTable[[#This Row],[GroupByKey]])*OutputTable[RecordedValue])),0)</f>
        <v>1.7984119979264248</v>
      </c>
      <c r="M42" s="5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0.51110303469648288</v>
      </c>
      <c r="O42" s="5" cm="1">
        <f t="array" ref="O42">MIN(IF((OutputTable[GroupByKey]=OutputTable[[#This Row],[GroupByKey]]),(OutputTable[GroupByKey]=OutputTable[[#This Row],[GroupByKey]])*OutputTable[RecordedValue]))</f>
        <v>3</v>
      </c>
      <c r="P42" s="5" cm="1">
        <f t="array" ref="P42">MAX(IF((OutputTable[GroupByKey]=OutputTable[[#This Row],[GroupByKey]]),(OutputTable[GroupByKey]=OutputTable[[#This Row],[GroupByKey]])*OutputTable[RecordedValue]))</f>
        <v>13</v>
      </c>
    </row>
    <row r="43" spans="1:16" x14ac:dyDescent="0.35">
      <c r="A43" t="s">
        <v>66</v>
      </c>
      <c r="B43" t="s">
        <v>69</v>
      </c>
      <c r="C43">
        <v>9</v>
      </c>
      <c r="D43" t="s">
        <v>90</v>
      </c>
      <c r="E43" t="s">
        <v>91</v>
      </c>
      <c r="F43" t="s">
        <v>72</v>
      </c>
      <c r="G43">
        <v>4</v>
      </c>
      <c r="H43">
        <v>0</v>
      </c>
      <c r="I43" s="5" t="str">
        <f>OutputTable[[#This Row],[ProjectName]]&amp;OutputTable[[#This Row],[Name]]&amp;OutputTable[[#This Row],[Type]]&amp;OutputTable[[#This Row],[Source]]</f>
        <v>Unnamed ProjectArquivos.NumberOutNumber OutEntity</v>
      </c>
      <c r="J43" s="5" cm="1">
        <f t="array" ref="J43">MAX(IF((ProjectInfoTable[ProjectName]=OutputTable[[#This Row],[ProjectName]]),(ProjectInfoTable[ProjectName]=OutputTable[[#This Row],[ProjectName]])*ProjectInfoTable[NumberOfReplications]))</f>
        <v>50</v>
      </c>
      <c r="K43" s="5" cm="1">
        <f t="array" ref="K43">IFERROR(AVERAGE(IF((OutputTable[GroupByKey]=OutputTable[[#This Row],[GroupByKey]]),(OutputTable[GroupByKey]=OutputTable[[#This Row],[GroupByKey]])*OutputTable[RecordedValue])),0)</f>
        <v>3.62</v>
      </c>
      <c r="L43" s="5" cm="1">
        <f t="array" ref="L43">IFERROR(_xlfn.STDEV.S(IF((OutputTable[GroupByKey]=OutputTable[[#This Row],[GroupByKey]]),(OutputTable[GroupByKey]=OutputTable[[#This Row],[GroupByKey]])*OutputTable[RecordedValue])),0)</f>
        <v>0.77958649426527116</v>
      </c>
      <c r="M43" s="5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43" s="5" cm="1">
        <f t="array" ref="O43">MIN(IF((OutputTable[GroupByKey]=OutputTable[[#This Row],[GroupByKey]]),(OutputTable[GroupByKey]=OutputTable[[#This Row],[GroupByKey]])*OutputTable[RecordedValue]))</f>
        <v>2</v>
      </c>
      <c r="P43" s="5" cm="1">
        <f t="array" ref="P43">MAX(IF((OutputTable[GroupByKey]=OutputTable[[#This Row],[GroupByKey]]),(OutputTable[GroupByKey]=OutputTable[[#This Row],[GroupByKey]])*OutputTable[RecordedValue]))</f>
        <v>5</v>
      </c>
    </row>
    <row r="44" spans="1:16" x14ac:dyDescent="0.35">
      <c r="A44" t="s">
        <v>66</v>
      </c>
      <c r="B44" t="s">
        <v>69</v>
      </c>
      <c r="C44">
        <v>9</v>
      </c>
      <c r="D44" t="s">
        <v>92</v>
      </c>
      <c r="E44" t="s">
        <v>93</v>
      </c>
      <c r="F44" t="s">
        <v>85</v>
      </c>
      <c r="G44">
        <v>5</v>
      </c>
      <c r="H44">
        <v>0</v>
      </c>
      <c r="I44" s="5" t="str">
        <f>OutputTable[[#This Row],[ProjectName]]&amp;OutputTable[[#This Row],[Name]]&amp;OutputTable[[#This Row],[Type]]&amp;OutputTable[[#This Row],[Source]]</f>
        <v>Unnamed ProjectOperador.NumberSeizedTotal Number SeizedResource</v>
      </c>
      <c r="J44" s="5" cm="1">
        <f t="array" ref="J44">MAX(IF((ProjectInfoTable[ProjectName]=OutputTable[[#This Row],[ProjectName]]),(ProjectInfoTable[ProjectName]=OutputTable[[#This Row],[ProjectName]])*ProjectInfoTable[NumberOfReplications]))</f>
        <v>50</v>
      </c>
      <c r="K44" s="5" cm="1">
        <f t="array" ref="K44">IFERROR(AVERAGE(IF((OutputTable[GroupByKey]=OutputTable[[#This Row],[GroupByKey]]),(OutputTable[GroupByKey]=OutputTable[[#This Row],[GroupByKey]])*OutputTable[RecordedValue])),0)</f>
        <v>4.58</v>
      </c>
      <c r="L44" s="5" cm="1">
        <f t="array" ref="L44">IFERROR(_xlfn.STDEV.S(IF((OutputTable[GroupByKey]=OutputTable[[#This Row],[GroupByKey]]),(OutputTable[GroupByKey]=OutputTable[[#This Row],[GroupByKey]])*OutputTable[RecordedValue])),0)</f>
        <v>0.78480466827545059</v>
      </c>
      <c r="M44" s="5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0.22303901890225239</v>
      </c>
      <c r="O44" s="5" cm="1">
        <f t="array" ref="O44">MIN(IF((OutputTable[GroupByKey]=OutputTable[[#This Row],[GroupByKey]]),(OutputTable[GroupByKey]=OutputTable[[#This Row],[GroupByKey]])*OutputTable[RecordedValue]))</f>
        <v>3</v>
      </c>
      <c r="P44" s="5" cm="1">
        <f t="array" ref="P44">MAX(IF((OutputTable[GroupByKey]=OutputTable[[#This Row],[GroupByKey]]),(OutputTable[GroupByKey]=OutputTable[[#This Row],[GroupByKey]])*OutputTable[RecordedValue]))</f>
        <v>6</v>
      </c>
    </row>
    <row r="45" spans="1:16" x14ac:dyDescent="0.35">
      <c r="A45" t="s">
        <v>66</v>
      </c>
      <c r="B45" t="s">
        <v>69</v>
      </c>
      <c r="C45">
        <v>9</v>
      </c>
      <c r="D45" t="s">
        <v>94</v>
      </c>
      <c r="E45" t="s">
        <v>95</v>
      </c>
      <c r="F45" t="s">
        <v>85</v>
      </c>
      <c r="G45">
        <v>0.95115327490730395</v>
      </c>
      <c r="H45">
        <v>0</v>
      </c>
      <c r="I45" s="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45" s="5" cm="1">
        <f t="array" ref="J45">MAX(IF((ProjectInfoTable[ProjectName]=OutputTable[[#This Row],[ProjectName]]),(ProjectInfoTable[ProjectName]=OutputTable[[#This Row],[ProjectName]])*ProjectInfoTable[NumberOfReplications]))</f>
        <v>50</v>
      </c>
      <c r="K45" s="5" cm="1">
        <f t="array" ref="K45">IFERROR(AVERAGE(IF((OutputTable[GroupByKey]=OutputTable[[#This Row],[GroupByKey]]),(OutputTable[GroupByKey]=OutputTable[[#This Row],[GroupByKey]])*OutputTable[RecordedValue])),0)</f>
        <v>0.92637977941440086</v>
      </c>
      <c r="L45" s="5" cm="1">
        <f t="array" ref="L45">IFERROR(_xlfn.STDEV.S(IF((OutputTable[GroupByKey]=OutputTable[[#This Row],[GroupByKey]]),(OutputTable[GroupByKey]=OutputTable[[#This Row],[GroupByKey]])*OutputTable[RecordedValue])),0)</f>
        <v>0.11789675502181338</v>
      </c>
      <c r="M45" s="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3.350588705034975E-2</v>
      </c>
      <c r="O45" s="5" cm="1">
        <f t="array" ref="O45">MIN(IF((OutputTable[GroupByKey]=OutputTable[[#This Row],[GroupByKey]]),(OutputTable[GroupByKey]=OutputTable[[#This Row],[GroupByKey]])*OutputTable[RecordedValue]))</f>
        <v>0.60846830422583797</v>
      </c>
      <c r="P45" s="5" cm="1">
        <f t="array" ref="P45">MAX(IF((OutputTable[GroupByKey]=OutputTable[[#This Row],[GroupByKey]]),(OutputTable[GroupByKey]=OutputTable[[#This Row],[GroupByKey]])*OutputTable[RecordedValue]))</f>
        <v>1</v>
      </c>
    </row>
    <row r="46" spans="1:16" x14ac:dyDescent="0.35">
      <c r="A46" t="s">
        <v>66</v>
      </c>
      <c r="B46" t="s">
        <v>69</v>
      </c>
      <c r="C46">
        <v>9</v>
      </c>
      <c r="D46" t="s">
        <v>96</v>
      </c>
      <c r="E46" t="s">
        <v>91</v>
      </c>
      <c r="F46" t="s">
        <v>97</v>
      </c>
      <c r="G46">
        <v>4</v>
      </c>
      <c r="H46">
        <v>0</v>
      </c>
      <c r="I46" s="5" t="str">
        <f>OutputTable[[#This Row],[ProjectName]]&amp;OutputTable[[#This Row],[Name]]&amp;OutputTable[[#This Row],[Type]]&amp;OutputTable[[#This Row],[Source]]</f>
        <v>Unnamed ProjectSystem.NumberOutNumber OutSystem</v>
      </c>
      <c r="J46" s="5" cm="1">
        <f t="array" ref="J46">MAX(IF((ProjectInfoTable[ProjectName]=OutputTable[[#This Row],[ProjectName]]),(ProjectInfoTable[ProjectName]=OutputTable[[#This Row],[ProjectName]])*ProjectInfoTable[NumberOfReplications]))</f>
        <v>50</v>
      </c>
      <c r="K46" s="5" cm="1">
        <f t="array" ref="K46">IFERROR(AVERAGE(IF((OutputTable[GroupByKey]=OutputTable[[#This Row],[GroupByKey]]),(OutputTable[GroupByKey]=OutputTable[[#This Row],[GroupByKey]])*OutputTable[RecordedValue])),0)</f>
        <v>3.62</v>
      </c>
      <c r="L46" s="5" cm="1">
        <f t="array" ref="L46">IFERROR(_xlfn.STDEV.S(IF((OutputTable[GroupByKey]=OutputTable[[#This Row],[GroupByKey]]),(OutputTable[GroupByKey]=OutputTable[[#This Row],[GroupByKey]])*OutputTable[RecordedValue])),0)</f>
        <v>0.77958649426527116</v>
      </c>
      <c r="M46" s="5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46" s="5" cm="1">
        <f t="array" ref="O46">MIN(IF((OutputTable[GroupByKey]=OutputTable[[#This Row],[GroupByKey]]),(OutputTable[GroupByKey]=OutputTable[[#This Row],[GroupByKey]])*OutputTable[RecordedValue]))</f>
        <v>2</v>
      </c>
      <c r="P46" s="5" cm="1">
        <f t="array" ref="P46">MAX(IF((OutputTable[GroupByKey]=OutputTable[[#This Row],[GroupByKey]]),(OutputTable[GroupByKey]=OutputTable[[#This Row],[GroupByKey]])*OutputTable[RecordedValue]))</f>
        <v>5</v>
      </c>
    </row>
    <row r="47" spans="1:16" x14ac:dyDescent="0.35">
      <c r="A47" t="s">
        <v>66</v>
      </c>
      <c r="B47" t="s">
        <v>69</v>
      </c>
      <c r="C47">
        <v>10</v>
      </c>
      <c r="D47" t="s">
        <v>88</v>
      </c>
      <c r="E47" t="s">
        <v>89</v>
      </c>
      <c r="F47" t="s">
        <v>72</v>
      </c>
      <c r="G47">
        <v>5</v>
      </c>
      <c r="H47">
        <v>0</v>
      </c>
      <c r="I47" s="5" t="str">
        <f>OutputTable[[#This Row],[ProjectName]]&amp;OutputTable[[#This Row],[Name]]&amp;OutputTable[[#This Row],[Type]]&amp;OutputTable[[#This Row],[Source]]</f>
        <v>Unnamed ProjectArquivos.NumberInNumber InEntity</v>
      </c>
      <c r="J47" s="5" cm="1">
        <f t="array" ref="J47">MAX(IF((ProjectInfoTable[ProjectName]=OutputTable[[#This Row],[ProjectName]]),(ProjectInfoTable[ProjectName]=OutputTable[[#This Row],[ProjectName]])*ProjectInfoTable[NumberOfReplications]))</f>
        <v>50</v>
      </c>
      <c r="K47" s="5" cm="1">
        <f t="array" ref="K47">IFERROR(AVERAGE(IF((OutputTable[GroupByKey]=OutputTable[[#This Row],[GroupByKey]]),(OutputTable[GroupByKey]=OutputTable[[#This Row],[GroupByKey]])*OutputTable[RecordedValue])),0)</f>
        <v>6.48</v>
      </c>
      <c r="L47" s="5" cm="1">
        <f t="array" ref="L47">IFERROR(_xlfn.STDEV.S(IF((OutputTable[GroupByKey]=OutputTable[[#This Row],[GroupByKey]]),(OutputTable[GroupByKey]=OutputTable[[#This Row],[GroupByKey]])*OutputTable[RecordedValue])),0)</f>
        <v>1.7984119979264248</v>
      </c>
      <c r="M47" s="5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0.51110303469648288</v>
      </c>
      <c r="O47" s="5" cm="1">
        <f t="array" ref="O47">MIN(IF((OutputTable[GroupByKey]=OutputTable[[#This Row],[GroupByKey]]),(OutputTable[GroupByKey]=OutputTable[[#This Row],[GroupByKey]])*OutputTable[RecordedValue]))</f>
        <v>3</v>
      </c>
      <c r="P47" s="5" cm="1">
        <f t="array" ref="P47">MAX(IF((OutputTable[GroupByKey]=OutputTable[[#This Row],[GroupByKey]]),(OutputTable[GroupByKey]=OutputTable[[#This Row],[GroupByKey]])*OutputTable[RecordedValue]))</f>
        <v>13</v>
      </c>
    </row>
    <row r="48" spans="1:16" x14ac:dyDescent="0.35">
      <c r="A48" t="s">
        <v>66</v>
      </c>
      <c r="B48" t="s">
        <v>69</v>
      </c>
      <c r="C48">
        <v>10</v>
      </c>
      <c r="D48" t="s">
        <v>90</v>
      </c>
      <c r="E48" t="s">
        <v>91</v>
      </c>
      <c r="F48" t="s">
        <v>72</v>
      </c>
      <c r="G48">
        <v>3</v>
      </c>
      <c r="H48">
        <v>0</v>
      </c>
      <c r="I48" s="5" t="str">
        <f>OutputTable[[#This Row],[ProjectName]]&amp;OutputTable[[#This Row],[Name]]&amp;OutputTable[[#This Row],[Type]]&amp;OutputTable[[#This Row],[Source]]</f>
        <v>Unnamed ProjectArquivos.NumberOutNumber OutEntity</v>
      </c>
      <c r="J48" s="5" cm="1">
        <f t="array" ref="J48">MAX(IF((ProjectInfoTable[ProjectName]=OutputTable[[#This Row],[ProjectName]]),(ProjectInfoTable[ProjectName]=OutputTable[[#This Row],[ProjectName]])*ProjectInfoTable[NumberOfReplications]))</f>
        <v>50</v>
      </c>
      <c r="K48" s="5" cm="1">
        <f t="array" ref="K48">IFERROR(AVERAGE(IF((OutputTable[GroupByKey]=OutputTable[[#This Row],[GroupByKey]]),(OutputTable[GroupByKey]=OutputTable[[#This Row],[GroupByKey]])*OutputTable[RecordedValue])),0)</f>
        <v>3.62</v>
      </c>
      <c r="L48" s="5" cm="1">
        <f t="array" ref="L48">IFERROR(_xlfn.STDEV.S(IF((OutputTable[GroupByKey]=OutputTable[[#This Row],[GroupByKey]]),(OutputTable[GroupByKey]=OutputTable[[#This Row],[GroupByKey]])*OutputTable[RecordedValue])),0)</f>
        <v>0.77958649426527116</v>
      </c>
      <c r="M48" s="5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48" s="5" cm="1">
        <f t="array" ref="O48">MIN(IF((OutputTable[GroupByKey]=OutputTable[[#This Row],[GroupByKey]]),(OutputTable[GroupByKey]=OutputTable[[#This Row],[GroupByKey]])*OutputTable[RecordedValue]))</f>
        <v>2</v>
      </c>
      <c r="P48" s="5" cm="1">
        <f t="array" ref="P48">MAX(IF((OutputTable[GroupByKey]=OutputTable[[#This Row],[GroupByKey]]),(OutputTable[GroupByKey]=OutputTable[[#This Row],[GroupByKey]])*OutputTable[RecordedValue]))</f>
        <v>5</v>
      </c>
    </row>
    <row r="49" spans="1:16" x14ac:dyDescent="0.35">
      <c r="A49" t="s">
        <v>66</v>
      </c>
      <c r="B49" t="s">
        <v>69</v>
      </c>
      <c r="C49">
        <v>10</v>
      </c>
      <c r="D49" t="s">
        <v>92</v>
      </c>
      <c r="E49" t="s">
        <v>93</v>
      </c>
      <c r="F49" t="s">
        <v>85</v>
      </c>
      <c r="G49">
        <v>4</v>
      </c>
      <c r="H49">
        <v>0</v>
      </c>
      <c r="I49" s="5" t="str">
        <f>OutputTable[[#This Row],[ProjectName]]&amp;OutputTable[[#This Row],[Name]]&amp;OutputTable[[#This Row],[Type]]&amp;OutputTable[[#This Row],[Source]]</f>
        <v>Unnamed ProjectOperador.NumberSeizedTotal Number SeizedResource</v>
      </c>
      <c r="J49" s="5" cm="1">
        <f t="array" ref="J49">MAX(IF((ProjectInfoTable[ProjectName]=OutputTable[[#This Row],[ProjectName]]),(ProjectInfoTable[ProjectName]=OutputTable[[#This Row],[ProjectName]])*ProjectInfoTable[NumberOfReplications]))</f>
        <v>50</v>
      </c>
      <c r="K49" s="5" cm="1">
        <f t="array" ref="K49">IFERROR(AVERAGE(IF((OutputTable[GroupByKey]=OutputTable[[#This Row],[GroupByKey]]),(OutputTable[GroupByKey]=OutputTable[[#This Row],[GroupByKey]])*OutputTable[RecordedValue])),0)</f>
        <v>4.58</v>
      </c>
      <c r="L49" s="5" cm="1">
        <f t="array" ref="L49">IFERROR(_xlfn.STDEV.S(IF((OutputTable[GroupByKey]=OutputTable[[#This Row],[GroupByKey]]),(OutputTable[GroupByKey]=OutputTable[[#This Row],[GroupByKey]])*OutputTable[RecordedValue])),0)</f>
        <v>0.78480466827545059</v>
      </c>
      <c r="M49" s="5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0.22303901890225239</v>
      </c>
      <c r="O49" s="5" cm="1">
        <f t="array" ref="O49">MIN(IF((OutputTable[GroupByKey]=OutputTable[[#This Row],[GroupByKey]]),(OutputTable[GroupByKey]=OutputTable[[#This Row],[GroupByKey]])*OutputTable[RecordedValue]))</f>
        <v>3</v>
      </c>
      <c r="P49" s="5" cm="1">
        <f t="array" ref="P49">MAX(IF((OutputTable[GroupByKey]=OutputTable[[#This Row],[GroupByKey]]),(OutputTable[GroupByKey]=OutputTable[[#This Row],[GroupByKey]])*OutputTable[RecordedValue]))</f>
        <v>6</v>
      </c>
    </row>
    <row r="50" spans="1:16" x14ac:dyDescent="0.35">
      <c r="A50" t="s">
        <v>66</v>
      </c>
      <c r="B50" t="s">
        <v>69</v>
      </c>
      <c r="C50">
        <v>10</v>
      </c>
      <c r="D50" t="s">
        <v>94</v>
      </c>
      <c r="E50" t="s">
        <v>95</v>
      </c>
      <c r="F50" t="s">
        <v>85</v>
      </c>
      <c r="G50">
        <v>1</v>
      </c>
      <c r="H50">
        <v>0</v>
      </c>
      <c r="I50" s="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50" s="5" cm="1">
        <f t="array" ref="J50">MAX(IF((ProjectInfoTable[ProjectName]=OutputTable[[#This Row],[ProjectName]]),(ProjectInfoTable[ProjectName]=OutputTable[[#This Row],[ProjectName]])*ProjectInfoTable[NumberOfReplications]))</f>
        <v>50</v>
      </c>
      <c r="K50" s="5" cm="1">
        <f t="array" ref="K50">IFERROR(AVERAGE(IF((OutputTable[GroupByKey]=OutputTable[[#This Row],[GroupByKey]]),(OutputTable[GroupByKey]=OutputTable[[#This Row],[GroupByKey]])*OutputTable[RecordedValue])),0)</f>
        <v>0.92637977941440086</v>
      </c>
      <c r="L50" s="5" cm="1">
        <f t="array" ref="L50">IFERROR(_xlfn.STDEV.S(IF((OutputTable[GroupByKey]=OutputTable[[#This Row],[GroupByKey]]),(OutputTable[GroupByKey]=OutputTable[[#This Row],[GroupByKey]])*OutputTable[RecordedValue])),0)</f>
        <v>0.11789675502181338</v>
      </c>
      <c r="M50" s="5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3.350588705034975E-2</v>
      </c>
      <c r="O50" s="5" cm="1">
        <f t="array" ref="O50">MIN(IF((OutputTable[GroupByKey]=OutputTable[[#This Row],[GroupByKey]]),(OutputTable[GroupByKey]=OutputTable[[#This Row],[GroupByKey]])*OutputTable[RecordedValue]))</f>
        <v>0.60846830422583797</v>
      </c>
      <c r="P50" s="5" cm="1">
        <f t="array" ref="P50">MAX(IF((OutputTable[GroupByKey]=OutputTable[[#This Row],[GroupByKey]]),(OutputTable[GroupByKey]=OutputTable[[#This Row],[GroupByKey]])*OutputTable[RecordedValue]))</f>
        <v>1</v>
      </c>
    </row>
    <row r="51" spans="1:16" x14ac:dyDescent="0.35">
      <c r="A51" t="s">
        <v>66</v>
      </c>
      <c r="B51" t="s">
        <v>69</v>
      </c>
      <c r="C51">
        <v>10</v>
      </c>
      <c r="D51" t="s">
        <v>96</v>
      </c>
      <c r="E51" t="s">
        <v>91</v>
      </c>
      <c r="F51" t="s">
        <v>97</v>
      </c>
      <c r="G51">
        <v>3</v>
      </c>
      <c r="H51">
        <v>0</v>
      </c>
      <c r="I51" s="5" t="str">
        <f>OutputTable[[#This Row],[ProjectName]]&amp;OutputTable[[#This Row],[Name]]&amp;OutputTable[[#This Row],[Type]]&amp;OutputTable[[#This Row],[Source]]</f>
        <v>Unnamed ProjectSystem.NumberOutNumber OutSystem</v>
      </c>
      <c r="J51" s="5" cm="1">
        <f t="array" ref="J51">MAX(IF((ProjectInfoTable[ProjectName]=OutputTable[[#This Row],[ProjectName]]),(ProjectInfoTable[ProjectName]=OutputTable[[#This Row],[ProjectName]])*ProjectInfoTable[NumberOfReplications]))</f>
        <v>50</v>
      </c>
      <c r="K51" s="5" cm="1">
        <f t="array" ref="K51">IFERROR(AVERAGE(IF((OutputTable[GroupByKey]=OutputTable[[#This Row],[GroupByKey]]),(OutputTable[GroupByKey]=OutputTable[[#This Row],[GroupByKey]])*OutputTable[RecordedValue])),0)</f>
        <v>3.62</v>
      </c>
      <c r="L51" s="5" cm="1">
        <f t="array" ref="L51">IFERROR(_xlfn.STDEV.S(IF((OutputTable[GroupByKey]=OutputTable[[#This Row],[GroupByKey]]),(OutputTable[GroupByKey]=OutputTable[[#This Row],[GroupByKey]])*OutputTable[RecordedValue])),0)</f>
        <v>0.77958649426527116</v>
      </c>
      <c r="M51" s="5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51" s="5" cm="1">
        <f t="array" ref="O51">MIN(IF((OutputTable[GroupByKey]=OutputTable[[#This Row],[GroupByKey]]),(OutputTable[GroupByKey]=OutputTable[[#This Row],[GroupByKey]])*OutputTable[RecordedValue]))</f>
        <v>2</v>
      </c>
      <c r="P51" s="5" cm="1">
        <f t="array" ref="P51">MAX(IF((OutputTable[GroupByKey]=OutputTable[[#This Row],[GroupByKey]]),(OutputTable[GroupByKey]=OutputTable[[#This Row],[GroupByKey]])*OutputTable[RecordedValue]))</f>
        <v>5</v>
      </c>
    </row>
    <row r="52" spans="1:16" x14ac:dyDescent="0.35">
      <c r="A52" t="s">
        <v>66</v>
      </c>
      <c r="B52" t="s">
        <v>69</v>
      </c>
      <c r="C52">
        <v>11</v>
      </c>
      <c r="D52" t="s">
        <v>88</v>
      </c>
      <c r="E52" t="s">
        <v>89</v>
      </c>
      <c r="F52" t="s">
        <v>72</v>
      </c>
      <c r="G52">
        <v>5</v>
      </c>
      <c r="H52">
        <v>0</v>
      </c>
      <c r="I52" s="5" t="str">
        <f>OutputTable[[#This Row],[ProjectName]]&amp;OutputTable[[#This Row],[Name]]&amp;OutputTable[[#This Row],[Type]]&amp;OutputTable[[#This Row],[Source]]</f>
        <v>Unnamed ProjectArquivos.NumberInNumber InEntity</v>
      </c>
      <c r="J52" s="5" cm="1">
        <f t="array" ref="J52">MAX(IF((ProjectInfoTable[ProjectName]=OutputTable[[#This Row],[ProjectName]]),(ProjectInfoTable[ProjectName]=OutputTable[[#This Row],[ProjectName]])*ProjectInfoTable[NumberOfReplications]))</f>
        <v>50</v>
      </c>
      <c r="K52" s="5" cm="1">
        <f t="array" ref="K52">IFERROR(AVERAGE(IF((OutputTable[GroupByKey]=OutputTable[[#This Row],[GroupByKey]]),(OutputTable[GroupByKey]=OutputTable[[#This Row],[GroupByKey]])*OutputTable[RecordedValue])),0)</f>
        <v>6.48</v>
      </c>
      <c r="L52" s="5" cm="1">
        <f t="array" ref="L52">IFERROR(_xlfn.STDEV.S(IF((OutputTable[GroupByKey]=OutputTable[[#This Row],[GroupByKey]]),(OutputTable[GroupByKey]=OutputTable[[#This Row],[GroupByKey]])*OutputTable[RecordedValue])),0)</f>
        <v>1.7984119979264248</v>
      </c>
      <c r="M52" s="5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0.51110303469648288</v>
      </c>
      <c r="O52" s="5" cm="1">
        <f t="array" ref="O52">MIN(IF((OutputTable[GroupByKey]=OutputTable[[#This Row],[GroupByKey]]),(OutputTable[GroupByKey]=OutputTable[[#This Row],[GroupByKey]])*OutputTable[RecordedValue]))</f>
        <v>3</v>
      </c>
      <c r="P52" s="5" cm="1">
        <f t="array" ref="P52">MAX(IF((OutputTable[GroupByKey]=OutputTable[[#This Row],[GroupByKey]]),(OutputTable[GroupByKey]=OutputTable[[#This Row],[GroupByKey]])*OutputTable[RecordedValue]))</f>
        <v>13</v>
      </c>
    </row>
    <row r="53" spans="1:16" x14ac:dyDescent="0.35">
      <c r="A53" t="s">
        <v>66</v>
      </c>
      <c r="B53" t="s">
        <v>69</v>
      </c>
      <c r="C53">
        <v>11</v>
      </c>
      <c r="D53" t="s">
        <v>90</v>
      </c>
      <c r="E53" t="s">
        <v>91</v>
      </c>
      <c r="F53" t="s">
        <v>72</v>
      </c>
      <c r="G53">
        <v>4</v>
      </c>
      <c r="H53">
        <v>0</v>
      </c>
      <c r="I53" s="5" t="str">
        <f>OutputTable[[#This Row],[ProjectName]]&amp;OutputTable[[#This Row],[Name]]&amp;OutputTable[[#This Row],[Type]]&amp;OutputTable[[#This Row],[Source]]</f>
        <v>Unnamed ProjectArquivos.NumberOutNumber OutEntity</v>
      </c>
      <c r="J53" s="5" cm="1">
        <f t="array" ref="J53">MAX(IF((ProjectInfoTable[ProjectName]=OutputTable[[#This Row],[ProjectName]]),(ProjectInfoTable[ProjectName]=OutputTable[[#This Row],[ProjectName]])*ProjectInfoTable[NumberOfReplications]))</f>
        <v>50</v>
      </c>
      <c r="K53" s="5" cm="1">
        <f t="array" ref="K53">IFERROR(AVERAGE(IF((OutputTable[GroupByKey]=OutputTable[[#This Row],[GroupByKey]]),(OutputTable[GroupByKey]=OutputTable[[#This Row],[GroupByKey]])*OutputTable[RecordedValue])),0)</f>
        <v>3.62</v>
      </c>
      <c r="L53" s="5" cm="1">
        <f t="array" ref="L53">IFERROR(_xlfn.STDEV.S(IF((OutputTable[GroupByKey]=OutputTable[[#This Row],[GroupByKey]]),(OutputTable[GroupByKey]=OutputTable[[#This Row],[GroupByKey]])*OutputTable[RecordedValue])),0)</f>
        <v>0.77958649426527116</v>
      </c>
      <c r="M53" s="5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53" s="5" cm="1">
        <f t="array" ref="O53">MIN(IF((OutputTable[GroupByKey]=OutputTable[[#This Row],[GroupByKey]]),(OutputTable[GroupByKey]=OutputTable[[#This Row],[GroupByKey]])*OutputTable[RecordedValue]))</f>
        <v>2</v>
      </c>
      <c r="P53" s="5" cm="1">
        <f t="array" ref="P53">MAX(IF((OutputTable[GroupByKey]=OutputTable[[#This Row],[GroupByKey]]),(OutputTable[GroupByKey]=OutputTable[[#This Row],[GroupByKey]])*OutputTable[RecordedValue]))</f>
        <v>5</v>
      </c>
    </row>
    <row r="54" spans="1:16" x14ac:dyDescent="0.35">
      <c r="A54" t="s">
        <v>66</v>
      </c>
      <c r="B54" t="s">
        <v>69</v>
      </c>
      <c r="C54">
        <v>11</v>
      </c>
      <c r="D54" t="s">
        <v>92</v>
      </c>
      <c r="E54" t="s">
        <v>93</v>
      </c>
      <c r="F54" t="s">
        <v>85</v>
      </c>
      <c r="G54">
        <v>5</v>
      </c>
      <c r="H54">
        <v>0</v>
      </c>
      <c r="I54" s="5" t="str">
        <f>OutputTable[[#This Row],[ProjectName]]&amp;OutputTable[[#This Row],[Name]]&amp;OutputTable[[#This Row],[Type]]&amp;OutputTable[[#This Row],[Source]]</f>
        <v>Unnamed ProjectOperador.NumberSeizedTotal Number SeizedResource</v>
      </c>
      <c r="J54" s="5" cm="1">
        <f t="array" ref="J54">MAX(IF((ProjectInfoTable[ProjectName]=OutputTable[[#This Row],[ProjectName]]),(ProjectInfoTable[ProjectName]=OutputTable[[#This Row],[ProjectName]])*ProjectInfoTable[NumberOfReplications]))</f>
        <v>50</v>
      </c>
      <c r="K54" s="5" cm="1">
        <f t="array" ref="K54">IFERROR(AVERAGE(IF((OutputTable[GroupByKey]=OutputTable[[#This Row],[GroupByKey]]),(OutputTable[GroupByKey]=OutputTable[[#This Row],[GroupByKey]])*OutputTable[RecordedValue])),0)</f>
        <v>4.58</v>
      </c>
      <c r="L54" s="5" cm="1">
        <f t="array" ref="L54">IFERROR(_xlfn.STDEV.S(IF((OutputTable[GroupByKey]=OutputTable[[#This Row],[GroupByKey]]),(OutputTable[GroupByKey]=OutputTable[[#This Row],[GroupByKey]])*OutputTable[RecordedValue])),0)</f>
        <v>0.78480466827545059</v>
      </c>
      <c r="M54" s="5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0.22303901890225239</v>
      </c>
      <c r="O54" s="5" cm="1">
        <f t="array" ref="O54">MIN(IF((OutputTable[GroupByKey]=OutputTable[[#This Row],[GroupByKey]]),(OutputTable[GroupByKey]=OutputTable[[#This Row],[GroupByKey]])*OutputTable[RecordedValue]))</f>
        <v>3</v>
      </c>
      <c r="P54" s="5" cm="1">
        <f t="array" ref="P54">MAX(IF((OutputTable[GroupByKey]=OutputTable[[#This Row],[GroupByKey]]),(OutputTable[GroupByKey]=OutputTable[[#This Row],[GroupByKey]])*OutputTable[RecordedValue]))</f>
        <v>6</v>
      </c>
    </row>
    <row r="55" spans="1:16" x14ac:dyDescent="0.35">
      <c r="A55" t="s">
        <v>66</v>
      </c>
      <c r="B55" t="s">
        <v>69</v>
      </c>
      <c r="C55">
        <v>11</v>
      </c>
      <c r="D55" t="s">
        <v>94</v>
      </c>
      <c r="E55" t="s">
        <v>95</v>
      </c>
      <c r="F55" t="s">
        <v>85</v>
      </c>
      <c r="G55">
        <v>1</v>
      </c>
      <c r="H55">
        <v>0</v>
      </c>
      <c r="I55" s="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55" s="5" cm="1">
        <f t="array" ref="J55">MAX(IF((ProjectInfoTable[ProjectName]=OutputTable[[#This Row],[ProjectName]]),(ProjectInfoTable[ProjectName]=OutputTable[[#This Row],[ProjectName]])*ProjectInfoTable[NumberOfReplications]))</f>
        <v>50</v>
      </c>
      <c r="K55" s="5" cm="1">
        <f t="array" ref="K55">IFERROR(AVERAGE(IF((OutputTable[GroupByKey]=OutputTable[[#This Row],[GroupByKey]]),(OutputTable[GroupByKey]=OutputTable[[#This Row],[GroupByKey]])*OutputTable[RecordedValue])),0)</f>
        <v>0.92637977941440086</v>
      </c>
      <c r="L55" s="5" cm="1">
        <f t="array" ref="L55">IFERROR(_xlfn.STDEV.S(IF((OutputTable[GroupByKey]=OutputTable[[#This Row],[GroupByKey]]),(OutputTable[GroupByKey]=OutputTable[[#This Row],[GroupByKey]])*OutputTable[RecordedValue])),0)</f>
        <v>0.11789675502181338</v>
      </c>
      <c r="M55" s="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3.350588705034975E-2</v>
      </c>
      <c r="O55" s="5" cm="1">
        <f t="array" ref="O55">MIN(IF((OutputTable[GroupByKey]=OutputTable[[#This Row],[GroupByKey]]),(OutputTable[GroupByKey]=OutputTable[[#This Row],[GroupByKey]])*OutputTable[RecordedValue]))</f>
        <v>0.60846830422583797</v>
      </c>
      <c r="P55" s="5" cm="1">
        <f t="array" ref="P55">MAX(IF((OutputTable[GroupByKey]=OutputTable[[#This Row],[GroupByKey]]),(OutputTable[GroupByKey]=OutputTable[[#This Row],[GroupByKey]])*OutputTable[RecordedValue]))</f>
        <v>1</v>
      </c>
    </row>
    <row r="56" spans="1:16" x14ac:dyDescent="0.35">
      <c r="A56" t="s">
        <v>66</v>
      </c>
      <c r="B56" t="s">
        <v>69</v>
      </c>
      <c r="C56">
        <v>11</v>
      </c>
      <c r="D56" t="s">
        <v>96</v>
      </c>
      <c r="E56" t="s">
        <v>91</v>
      </c>
      <c r="F56" t="s">
        <v>97</v>
      </c>
      <c r="G56">
        <v>4</v>
      </c>
      <c r="H56">
        <v>0</v>
      </c>
      <c r="I56" s="5" t="str">
        <f>OutputTable[[#This Row],[ProjectName]]&amp;OutputTable[[#This Row],[Name]]&amp;OutputTable[[#This Row],[Type]]&amp;OutputTable[[#This Row],[Source]]</f>
        <v>Unnamed ProjectSystem.NumberOutNumber OutSystem</v>
      </c>
      <c r="J56" s="5" cm="1">
        <f t="array" ref="J56">MAX(IF((ProjectInfoTable[ProjectName]=OutputTable[[#This Row],[ProjectName]]),(ProjectInfoTable[ProjectName]=OutputTable[[#This Row],[ProjectName]])*ProjectInfoTable[NumberOfReplications]))</f>
        <v>50</v>
      </c>
      <c r="K56" s="5" cm="1">
        <f t="array" ref="K56">IFERROR(AVERAGE(IF((OutputTable[GroupByKey]=OutputTable[[#This Row],[GroupByKey]]),(OutputTable[GroupByKey]=OutputTable[[#This Row],[GroupByKey]])*OutputTable[RecordedValue])),0)</f>
        <v>3.62</v>
      </c>
      <c r="L56" s="5" cm="1">
        <f t="array" ref="L56">IFERROR(_xlfn.STDEV.S(IF((OutputTable[GroupByKey]=OutputTable[[#This Row],[GroupByKey]]),(OutputTable[GroupByKey]=OutputTable[[#This Row],[GroupByKey]])*OutputTable[RecordedValue])),0)</f>
        <v>0.77958649426527116</v>
      </c>
      <c r="M56" s="5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56" s="5" cm="1">
        <f t="array" ref="O56">MIN(IF((OutputTable[GroupByKey]=OutputTable[[#This Row],[GroupByKey]]),(OutputTable[GroupByKey]=OutputTable[[#This Row],[GroupByKey]])*OutputTable[RecordedValue]))</f>
        <v>2</v>
      </c>
      <c r="P56" s="5" cm="1">
        <f t="array" ref="P56">MAX(IF((OutputTable[GroupByKey]=OutputTable[[#This Row],[GroupByKey]]),(OutputTable[GroupByKey]=OutputTable[[#This Row],[GroupByKey]])*OutputTable[RecordedValue]))</f>
        <v>5</v>
      </c>
    </row>
    <row r="57" spans="1:16" x14ac:dyDescent="0.35">
      <c r="A57" t="s">
        <v>66</v>
      </c>
      <c r="B57" t="s">
        <v>69</v>
      </c>
      <c r="C57">
        <v>12</v>
      </c>
      <c r="D57" t="s">
        <v>88</v>
      </c>
      <c r="E57" t="s">
        <v>89</v>
      </c>
      <c r="F57" t="s">
        <v>72</v>
      </c>
      <c r="G57">
        <v>5</v>
      </c>
      <c r="H57">
        <v>0</v>
      </c>
      <c r="I57" s="5" t="str">
        <f>OutputTable[[#This Row],[ProjectName]]&amp;OutputTable[[#This Row],[Name]]&amp;OutputTable[[#This Row],[Type]]&amp;OutputTable[[#This Row],[Source]]</f>
        <v>Unnamed ProjectArquivos.NumberInNumber InEntity</v>
      </c>
      <c r="J57" s="5" cm="1">
        <f t="array" ref="J57">MAX(IF((ProjectInfoTable[ProjectName]=OutputTable[[#This Row],[ProjectName]]),(ProjectInfoTable[ProjectName]=OutputTable[[#This Row],[ProjectName]])*ProjectInfoTable[NumberOfReplications]))</f>
        <v>50</v>
      </c>
      <c r="K57" s="5" cm="1">
        <f t="array" ref="K57">IFERROR(AVERAGE(IF((OutputTable[GroupByKey]=OutputTable[[#This Row],[GroupByKey]]),(OutputTable[GroupByKey]=OutputTable[[#This Row],[GroupByKey]])*OutputTable[RecordedValue])),0)</f>
        <v>6.48</v>
      </c>
      <c r="L57" s="5" cm="1">
        <f t="array" ref="L57">IFERROR(_xlfn.STDEV.S(IF((OutputTable[GroupByKey]=OutputTable[[#This Row],[GroupByKey]]),(OutputTable[GroupByKey]=OutputTable[[#This Row],[GroupByKey]])*OutputTable[RecordedValue])),0)</f>
        <v>1.7984119979264248</v>
      </c>
      <c r="M57" s="5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0.51110303469648288</v>
      </c>
      <c r="O57" s="5" cm="1">
        <f t="array" ref="O57">MIN(IF((OutputTable[GroupByKey]=OutputTable[[#This Row],[GroupByKey]]),(OutputTable[GroupByKey]=OutputTable[[#This Row],[GroupByKey]])*OutputTable[RecordedValue]))</f>
        <v>3</v>
      </c>
      <c r="P57" s="5" cm="1">
        <f t="array" ref="P57">MAX(IF((OutputTable[GroupByKey]=OutputTable[[#This Row],[GroupByKey]]),(OutputTable[GroupByKey]=OutputTable[[#This Row],[GroupByKey]])*OutputTable[RecordedValue]))</f>
        <v>13</v>
      </c>
    </row>
    <row r="58" spans="1:16" x14ac:dyDescent="0.35">
      <c r="A58" t="s">
        <v>66</v>
      </c>
      <c r="B58" t="s">
        <v>69</v>
      </c>
      <c r="C58">
        <v>12</v>
      </c>
      <c r="D58" t="s">
        <v>90</v>
      </c>
      <c r="E58" t="s">
        <v>91</v>
      </c>
      <c r="F58" t="s">
        <v>72</v>
      </c>
      <c r="G58">
        <v>4</v>
      </c>
      <c r="H58">
        <v>0</v>
      </c>
      <c r="I58" s="5" t="str">
        <f>OutputTable[[#This Row],[ProjectName]]&amp;OutputTable[[#This Row],[Name]]&amp;OutputTable[[#This Row],[Type]]&amp;OutputTable[[#This Row],[Source]]</f>
        <v>Unnamed ProjectArquivos.NumberOutNumber OutEntity</v>
      </c>
      <c r="J58" s="5" cm="1">
        <f t="array" ref="J58">MAX(IF((ProjectInfoTable[ProjectName]=OutputTable[[#This Row],[ProjectName]]),(ProjectInfoTable[ProjectName]=OutputTable[[#This Row],[ProjectName]])*ProjectInfoTable[NumberOfReplications]))</f>
        <v>50</v>
      </c>
      <c r="K58" s="5" cm="1">
        <f t="array" ref="K58">IFERROR(AVERAGE(IF((OutputTable[GroupByKey]=OutputTable[[#This Row],[GroupByKey]]),(OutputTable[GroupByKey]=OutputTable[[#This Row],[GroupByKey]])*OutputTable[RecordedValue])),0)</f>
        <v>3.62</v>
      </c>
      <c r="L58" s="5" cm="1">
        <f t="array" ref="L58">IFERROR(_xlfn.STDEV.S(IF((OutputTable[GroupByKey]=OutputTable[[#This Row],[GroupByKey]]),(OutputTable[GroupByKey]=OutputTable[[#This Row],[GroupByKey]])*OutputTable[RecordedValue])),0)</f>
        <v>0.77958649426527116</v>
      </c>
      <c r="M58" s="5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58" s="5" cm="1">
        <f t="array" ref="O58">MIN(IF((OutputTable[GroupByKey]=OutputTable[[#This Row],[GroupByKey]]),(OutputTable[GroupByKey]=OutputTable[[#This Row],[GroupByKey]])*OutputTable[RecordedValue]))</f>
        <v>2</v>
      </c>
      <c r="P58" s="5" cm="1">
        <f t="array" ref="P58">MAX(IF((OutputTable[GroupByKey]=OutputTable[[#This Row],[GroupByKey]]),(OutputTable[GroupByKey]=OutputTable[[#This Row],[GroupByKey]])*OutputTable[RecordedValue]))</f>
        <v>5</v>
      </c>
    </row>
    <row r="59" spans="1:16" x14ac:dyDescent="0.35">
      <c r="A59" t="s">
        <v>66</v>
      </c>
      <c r="B59" t="s">
        <v>69</v>
      </c>
      <c r="C59">
        <v>12</v>
      </c>
      <c r="D59" t="s">
        <v>92</v>
      </c>
      <c r="E59" t="s">
        <v>93</v>
      </c>
      <c r="F59" t="s">
        <v>85</v>
      </c>
      <c r="G59">
        <v>5</v>
      </c>
      <c r="H59">
        <v>0</v>
      </c>
      <c r="I59" s="5" t="str">
        <f>OutputTable[[#This Row],[ProjectName]]&amp;OutputTable[[#This Row],[Name]]&amp;OutputTable[[#This Row],[Type]]&amp;OutputTable[[#This Row],[Source]]</f>
        <v>Unnamed ProjectOperador.NumberSeizedTotal Number SeizedResource</v>
      </c>
      <c r="J59" s="5" cm="1">
        <f t="array" ref="J59">MAX(IF((ProjectInfoTable[ProjectName]=OutputTable[[#This Row],[ProjectName]]),(ProjectInfoTable[ProjectName]=OutputTable[[#This Row],[ProjectName]])*ProjectInfoTable[NumberOfReplications]))</f>
        <v>50</v>
      </c>
      <c r="K59" s="5" cm="1">
        <f t="array" ref="K59">IFERROR(AVERAGE(IF((OutputTable[GroupByKey]=OutputTable[[#This Row],[GroupByKey]]),(OutputTable[GroupByKey]=OutputTable[[#This Row],[GroupByKey]])*OutputTable[RecordedValue])),0)</f>
        <v>4.58</v>
      </c>
      <c r="L59" s="5" cm="1">
        <f t="array" ref="L59">IFERROR(_xlfn.STDEV.S(IF((OutputTable[GroupByKey]=OutputTable[[#This Row],[GroupByKey]]),(OutputTable[GroupByKey]=OutputTable[[#This Row],[GroupByKey]])*OutputTable[RecordedValue])),0)</f>
        <v>0.78480466827545059</v>
      </c>
      <c r="M59" s="5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0.22303901890225239</v>
      </c>
      <c r="O59" s="5" cm="1">
        <f t="array" ref="O59">MIN(IF((OutputTable[GroupByKey]=OutputTable[[#This Row],[GroupByKey]]),(OutputTable[GroupByKey]=OutputTable[[#This Row],[GroupByKey]])*OutputTable[RecordedValue]))</f>
        <v>3</v>
      </c>
      <c r="P59" s="5" cm="1">
        <f t="array" ref="P59">MAX(IF((OutputTable[GroupByKey]=OutputTable[[#This Row],[GroupByKey]]),(OutputTable[GroupByKey]=OutputTable[[#This Row],[GroupByKey]])*OutputTable[RecordedValue]))</f>
        <v>6</v>
      </c>
    </row>
    <row r="60" spans="1:16" x14ac:dyDescent="0.35">
      <c r="A60" t="s">
        <v>66</v>
      </c>
      <c r="B60" t="s">
        <v>69</v>
      </c>
      <c r="C60">
        <v>12</v>
      </c>
      <c r="D60" t="s">
        <v>94</v>
      </c>
      <c r="E60" t="s">
        <v>95</v>
      </c>
      <c r="F60" t="s">
        <v>85</v>
      </c>
      <c r="G60">
        <v>0.863006519426191</v>
      </c>
      <c r="H60">
        <v>0</v>
      </c>
      <c r="I60" s="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60" s="5" cm="1">
        <f t="array" ref="J60">MAX(IF((ProjectInfoTable[ProjectName]=OutputTable[[#This Row],[ProjectName]]),(ProjectInfoTable[ProjectName]=OutputTable[[#This Row],[ProjectName]])*ProjectInfoTable[NumberOfReplications]))</f>
        <v>50</v>
      </c>
      <c r="K60" s="5" cm="1">
        <f t="array" ref="K60">IFERROR(AVERAGE(IF((OutputTable[GroupByKey]=OutputTable[[#This Row],[GroupByKey]]),(OutputTable[GroupByKey]=OutputTable[[#This Row],[GroupByKey]])*OutputTable[RecordedValue])),0)</f>
        <v>0.92637977941440086</v>
      </c>
      <c r="L60" s="5" cm="1">
        <f t="array" ref="L60">IFERROR(_xlfn.STDEV.S(IF((OutputTable[GroupByKey]=OutputTable[[#This Row],[GroupByKey]]),(OutputTable[GroupByKey]=OutputTable[[#This Row],[GroupByKey]])*OutputTable[RecordedValue])),0)</f>
        <v>0.11789675502181338</v>
      </c>
      <c r="M60" s="5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3.350588705034975E-2</v>
      </c>
      <c r="O60" s="5" cm="1">
        <f t="array" ref="O60">MIN(IF((OutputTable[GroupByKey]=OutputTable[[#This Row],[GroupByKey]]),(OutputTable[GroupByKey]=OutputTable[[#This Row],[GroupByKey]])*OutputTable[RecordedValue]))</f>
        <v>0.60846830422583797</v>
      </c>
      <c r="P60" s="5" cm="1">
        <f t="array" ref="P60">MAX(IF((OutputTable[GroupByKey]=OutputTable[[#This Row],[GroupByKey]]),(OutputTable[GroupByKey]=OutputTable[[#This Row],[GroupByKey]])*OutputTable[RecordedValue]))</f>
        <v>1</v>
      </c>
    </row>
    <row r="61" spans="1:16" x14ac:dyDescent="0.35">
      <c r="A61" t="s">
        <v>66</v>
      </c>
      <c r="B61" t="s">
        <v>69</v>
      </c>
      <c r="C61">
        <v>12</v>
      </c>
      <c r="D61" t="s">
        <v>96</v>
      </c>
      <c r="E61" t="s">
        <v>91</v>
      </c>
      <c r="F61" t="s">
        <v>97</v>
      </c>
      <c r="G61">
        <v>4</v>
      </c>
      <c r="H61">
        <v>0</v>
      </c>
      <c r="I61" s="5" t="str">
        <f>OutputTable[[#This Row],[ProjectName]]&amp;OutputTable[[#This Row],[Name]]&amp;OutputTable[[#This Row],[Type]]&amp;OutputTable[[#This Row],[Source]]</f>
        <v>Unnamed ProjectSystem.NumberOutNumber OutSystem</v>
      </c>
      <c r="J61" s="5" cm="1">
        <f t="array" ref="J61">MAX(IF((ProjectInfoTable[ProjectName]=OutputTable[[#This Row],[ProjectName]]),(ProjectInfoTable[ProjectName]=OutputTable[[#This Row],[ProjectName]])*ProjectInfoTable[NumberOfReplications]))</f>
        <v>50</v>
      </c>
      <c r="K61" s="5" cm="1">
        <f t="array" ref="K61">IFERROR(AVERAGE(IF((OutputTable[GroupByKey]=OutputTable[[#This Row],[GroupByKey]]),(OutputTable[GroupByKey]=OutputTable[[#This Row],[GroupByKey]])*OutputTable[RecordedValue])),0)</f>
        <v>3.62</v>
      </c>
      <c r="L61" s="5" cm="1">
        <f t="array" ref="L61">IFERROR(_xlfn.STDEV.S(IF((OutputTable[GroupByKey]=OutputTable[[#This Row],[GroupByKey]]),(OutputTable[GroupByKey]=OutputTable[[#This Row],[GroupByKey]])*OutputTable[RecordedValue])),0)</f>
        <v>0.77958649426527116</v>
      </c>
      <c r="M61" s="5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61" s="5" cm="1">
        <f t="array" ref="O61">MIN(IF((OutputTable[GroupByKey]=OutputTable[[#This Row],[GroupByKey]]),(OutputTable[GroupByKey]=OutputTable[[#This Row],[GroupByKey]])*OutputTable[RecordedValue]))</f>
        <v>2</v>
      </c>
      <c r="P61" s="5" cm="1">
        <f t="array" ref="P61">MAX(IF((OutputTable[GroupByKey]=OutputTable[[#This Row],[GroupByKey]]),(OutputTable[GroupByKey]=OutputTable[[#This Row],[GroupByKey]])*OutputTable[RecordedValue]))</f>
        <v>5</v>
      </c>
    </row>
    <row r="62" spans="1:16" x14ac:dyDescent="0.35">
      <c r="A62" t="s">
        <v>66</v>
      </c>
      <c r="B62" t="s">
        <v>69</v>
      </c>
      <c r="C62">
        <v>13</v>
      </c>
      <c r="D62" t="s">
        <v>88</v>
      </c>
      <c r="E62" t="s">
        <v>89</v>
      </c>
      <c r="F62" t="s">
        <v>72</v>
      </c>
      <c r="G62">
        <v>8</v>
      </c>
      <c r="H62">
        <v>0</v>
      </c>
      <c r="I62" s="5" t="str">
        <f>OutputTable[[#This Row],[ProjectName]]&amp;OutputTable[[#This Row],[Name]]&amp;OutputTable[[#This Row],[Type]]&amp;OutputTable[[#This Row],[Source]]</f>
        <v>Unnamed ProjectArquivos.NumberInNumber InEntity</v>
      </c>
      <c r="J62" s="5" cm="1">
        <f t="array" ref="J62">MAX(IF((ProjectInfoTable[ProjectName]=OutputTable[[#This Row],[ProjectName]]),(ProjectInfoTable[ProjectName]=OutputTable[[#This Row],[ProjectName]])*ProjectInfoTable[NumberOfReplications]))</f>
        <v>50</v>
      </c>
      <c r="K62" s="5" cm="1">
        <f t="array" ref="K62">IFERROR(AVERAGE(IF((OutputTable[GroupByKey]=OutputTable[[#This Row],[GroupByKey]]),(OutputTable[GroupByKey]=OutputTable[[#This Row],[GroupByKey]])*OutputTable[RecordedValue])),0)</f>
        <v>6.48</v>
      </c>
      <c r="L62" s="5" cm="1">
        <f t="array" ref="L62">IFERROR(_xlfn.STDEV.S(IF((OutputTable[GroupByKey]=OutputTable[[#This Row],[GroupByKey]]),(OutputTable[GroupByKey]=OutputTable[[#This Row],[GroupByKey]])*OutputTable[RecordedValue])),0)</f>
        <v>1.7984119979264248</v>
      </c>
      <c r="M62" s="5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0.51110303469648288</v>
      </c>
      <c r="O62" s="5" cm="1">
        <f t="array" ref="O62">MIN(IF((OutputTable[GroupByKey]=OutputTable[[#This Row],[GroupByKey]]),(OutputTable[GroupByKey]=OutputTable[[#This Row],[GroupByKey]])*OutputTable[RecordedValue]))</f>
        <v>3</v>
      </c>
      <c r="P62" s="5" cm="1">
        <f t="array" ref="P62">MAX(IF((OutputTable[GroupByKey]=OutputTable[[#This Row],[GroupByKey]]),(OutputTable[GroupByKey]=OutputTable[[#This Row],[GroupByKey]])*OutputTable[RecordedValue]))</f>
        <v>13</v>
      </c>
    </row>
    <row r="63" spans="1:16" x14ac:dyDescent="0.35">
      <c r="A63" t="s">
        <v>66</v>
      </c>
      <c r="B63" t="s">
        <v>69</v>
      </c>
      <c r="C63">
        <v>13</v>
      </c>
      <c r="D63" t="s">
        <v>90</v>
      </c>
      <c r="E63" t="s">
        <v>91</v>
      </c>
      <c r="F63" t="s">
        <v>72</v>
      </c>
      <c r="G63">
        <v>3</v>
      </c>
      <c r="H63">
        <v>0</v>
      </c>
      <c r="I63" s="5" t="str">
        <f>OutputTable[[#This Row],[ProjectName]]&amp;OutputTable[[#This Row],[Name]]&amp;OutputTable[[#This Row],[Type]]&amp;OutputTable[[#This Row],[Source]]</f>
        <v>Unnamed ProjectArquivos.NumberOutNumber OutEntity</v>
      </c>
      <c r="J63" s="5" cm="1">
        <f t="array" ref="J63">MAX(IF((ProjectInfoTable[ProjectName]=OutputTable[[#This Row],[ProjectName]]),(ProjectInfoTable[ProjectName]=OutputTable[[#This Row],[ProjectName]])*ProjectInfoTable[NumberOfReplications]))</f>
        <v>50</v>
      </c>
      <c r="K63" s="5" cm="1">
        <f t="array" ref="K63">IFERROR(AVERAGE(IF((OutputTable[GroupByKey]=OutputTable[[#This Row],[GroupByKey]]),(OutputTable[GroupByKey]=OutputTable[[#This Row],[GroupByKey]])*OutputTable[RecordedValue])),0)</f>
        <v>3.62</v>
      </c>
      <c r="L63" s="5" cm="1">
        <f t="array" ref="L63">IFERROR(_xlfn.STDEV.S(IF((OutputTable[GroupByKey]=OutputTable[[#This Row],[GroupByKey]]),(OutputTable[GroupByKey]=OutputTable[[#This Row],[GroupByKey]])*OutputTable[RecordedValue])),0)</f>
        <v>0.77958649426527116</v>
      </c>
      <c r="M63" s="5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63" s="5" cm="1">
        <f t="array" ref="O63">MIN(IF((OutputTable[GroupByKey]=OutputTable[[#This Row],[GroupByKey]]),(OutputTable[GroupByKey]=OutputTable[[#This Row],[GroupByKey]])*OutputTable[RecordedValue]))</f>
        <v>2</v>
      </c>
      <c r="P63" s="5" cm="1">
        <f t="array" ref="P63">MAX(IF((OutputTable[GroupByKey]=OutputTable[[#This Row],[GroupByKey]]),(OutputTable[GroupByKey]=OutputTable[[#This Row],[GroupByKey]])*OutputTable[RecordedValue]))</f>
        <v>5</v>
      </c>
    </row>
    <row r="64" spans="1:16" x14ac:dyDescent="0.35">
      <c r="A64" t="s">
        <v>66</v>
      </c>
      <c r="B64" t="s">
        <v>69</v>
      </c>
      <c r="C64">
        <v>13</v>
      </c>
      <c r="D64" t="s">
        <v>92</v>
      </c>
      <c r="E64" t="s">
        <v>93</v>
      </c>
      <c r="F64" t="s">
        <v>85</v>
      </c>
      <c r="G64">
        <v>4</v>
      </c>
      <c r="H64">
        <v>0</v>
      </c>
      <c r="I64" s="5" t="str">
        <f>OutputTable[[#This Row],[ProjectName]]&amp;OutputTable[[#This Row],[Name]]&amp;OutputTable[[#This Row],[Type]]&amp;OutputTable[[#This Row],[Source]]</f>
        <v>Unnamed ProjectOperador.NumberSeizedTotal Number SeizedResource</v>
      </c>
      <c r="J64" s="5" cm="1">
        <f t="array" ref="J64">MAX(IF((ProjectInfoTable[ProjectName]=OutputTable[[#This Row],[ProjectName]]),(ProjectInfoTable[ProjectName]=OutputTable[[#This Row],[ProjectName]])*ProjectInfoTable[NumberOfReplications]))</f>
        <v>50</v>
      </c>
      <c r="K64" s="5" cm="1">
        <f t="array" ref="K64">IFERROR(AVERAGE(IF((OutputTable[GroupByKey]=OutputTable[[#This Row],[GroupByKey]]),(OutputTable[GroupByKey]=OutputTable[[#This Row],[GroupByKey]])*OutputTable[RecordedValue])),0)</f>
        <v>4.58</v>
      </c>
      <c r="L64" s="5" cm="1">
        <f t="array" ref="L64">IFERROR(_xlfn.STDEV.S(IF((OutputTable[GroupByKey]=OutputTable[[#This Row],[GroupByKey]]),(OutputTable[GroupByKey]=OutputTable[[#This Row],[GroupByKey]])*OutputTable[RecordedValue])),0)</f>
        <v>0.78480466827545059</v>
      </c>
      <c r="M64" s="5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0.22303901890225239</v>
      </c>
      <c r="O64" s="5" cm="1">
        <f t="array" ref="O64">MIN(IF((OutputTable[GroupByKey]=OutputTable[[#This Row],[GroupByKey]]),(OutputTable[GroupByKey]=OutputTable[[#This Row],[GroupByKey]])*OutputTable[RecordedValue]))</f>
        <v>3</v>
      </c>
      <c r="P64" s="5" cm="1">
        <f t="array" ref="P64">MAX(IF((OutputTable[GroupByKey]=OutputTable[[#This Row],[GroupByKey]]),(OutputTable[GroupByKey]=OutputTable[[#This Row],[GroupByKey]])*OutputTable[RecordedValue]))</f>
        <v>6</v>
      </c>
    </row>
    <row r="65" spans="1:16" x14ac:dyDescent="0.35">
      <c r="A65" t="s">
        <v>66</v>
      </c>
      <c r="B65" t="s">
        <v>69</v>
      </c>
      <c r="C65">
        <v>13</v>
      </c>
      <c r="D65" t="s">
        <v>94</v>
      </c>
      <c r="E65" t="s">
        <v>95</v>
      </c>
      <c r="F65" t="s">
        <v>85</v>
      </c>
      <c r="G65">
        <v>1</v>
      </c>
      <c r="H65">
        <v>0</v>
      </c>
      <c r="I65" s="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65" s="5" cm="1">
        <f t="array" ref="J65">MAX(IF((ProjectInfoTable[ProjectName]=OutputTable[[#This Row],[ProjectName]]),(ProjectInfoTable[ProjectName]=OutputTable[[#This Row],[ProjectName]])*ProjectInfoTable[NumberOfReplications]))</f>
        <v>50</v>
      </c>
      <c r="K65" s="5" cm="1">
        <f t="array" ref="K65">IFERROR(AVERAGE(IF((OutputTable[GroupByKey]=OutputTable[[#This Row],[GroupByKey]]),(OutputTable[GroupByKey]=OutputTable[[#This Row],[GroupByKey]])*OutputTable[RecordedValue])),0)</f>
        <v>0.92637977941440086</v>
      </c>
      <c r="L65" s="5" cm="1">
        <f t="array" ref="L65">IFERROR(_xlfn.STDEV.S(IF((OutputTable[GroupByKey]=OutputTable[[#This Row],[GroupByKey]]),(OutputTable[GroupByKey]=OutputTable[[#This Row],[GroupByKey]])*OutputTable[RecordedValue])),0)</f>
        <v>0.11789675502181338</v>
      </c>
      <c r="M65" s="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3.350588705034975E-2</v>
      </c>
      <c r="O65" s="5" cm="1">
        <f t="array" ref="O65">MIN(IF((OutputTable[GroupByKey]=OutputTable[[#This Row],[GroupByKey]]),(OutputTable[GroupByKey]=OutputTable[[#This Row],[GroupByKey]])*OutputTable[RecordedValue]))</f>
        <v>0.60846830422583797</v>
      </c>
      <c r="P65" s="5" cm="1">
        <f t="array" ref="P65">MAX(IF((OutputTable[GroupByKey]=OutputTable[[#This Row],[GroupByKey]]),(OutputTable[GroupByKey]=OutputTable[[#This Row],[GroupByKey]])*OutputTable[RecordedValue]))</f>
        <v>1</v>
      </c>
    </row>
    <row r="66" spans="1:16" x14ac:dyDescent="0.35">
      <c r="A66" t="s">
        <v>66</v>
      </c>
      <c r="B66" t="s">
        <v>69</v>
      </c>
      <c r="C66">
        <v>13</v>
      </c>
      <c r="D66" t="s">
        <v>96</v>
      </c>
      <c r="E66" t="s">
        <v>91</v>
      </c>
      <c r="F66" t="s">
        <v>97</v>
      </c>
      <c r="G66">
        <v>3</v>
      </c>
      <c r="H66">
        <v>0</v>
      </c>
      <c r="I66" s="5" t="str">
        <f>OutputTable[[#This Row],[ProjectName]]&amp;OutputTable[[#This Row],[Name]]&amp;OutputTable[[#This Row],[Type]]&amp;OutputTable[[#This Row],[Source]]</f>
        <v>Unnamed ProjectSystem.NumberOutNumber OutSystem</v>
      </c>
      <c r="J66" s="5" cm="1">
        <f t="array" ref="J66">MAX(IF((ProjectInfoTable[ProjectName]=OutputTable[[#This Row],[ProjectName]]),(ProjectInfoTable[ProjectName]=OutputTable[[#This Row],[ProjectName]])*ProjectInfoTable[NumberOfReplications]))</f>
        <v>50</v>
      </c>
      <c r="K66" s="5" cm="1">
        <f t="array" ref="K66">IFERROR(AVERAGE(IF((OutputTable[GroupByKey]=OutputTable[[#This Row],[GroupByKey]]),(OutputTable[GroupByKey]=OutputTable[[#This Row],[GroupByKey]])*OutputTable[RecordedValue])),0)</f>
        <v>3.62</v>
      </c>
      <c r="L66" s="5" cm="1">
        <f t="array" ref="L66">IFERROR(_xlfn.STDEV.S(IF((OutputTable[GroupByKey]=OutputTable[[#This Row],[GroupByKey]]),(OutputTable[GroupByKey]=OutputTable[[#This Row],[GroupByKey]])*OutputTable[RecordedValue])),0)</f>
        <v>0.77958649426527116</v>
      </c>
      <c r="M66" s="5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66" s="5" cm="1">
        <f t="array" ref="O66">MIN(IF((OutputTable[GroupByKey]=OutputTable[[#This Row],[GroupByKey]]),(OutputTable[GroupByKey]=OutputTable[[#This Row],[GroupByKey]])*OutputTable[RecordedValue]))</f>
        <v>2</v>
      </c>
      <c r="P66" s="5" cm="1">
        <f t="array" ref="P66">MAX(IF((OutputTable[GroupByKey]=OutputTable[[#This Row],[GroupByKey]]),(OutputTable[GroupByKey]=OutputTable[[#This Row],[GroupByKey]])*OutputTable[RecordedValue]))</f>
        <v>5</v>
      </c>
    </row>
    <row r="67" spans="1:16" x14ac:dyDescent="0.35">
      <c r="A67" t="s">
        <v>66</v>
      </c>
      <c r="B67" t="s">
        <v>69</v>
      </c>
      <c r="C67">
        <v>14</v>
      </c>
      <c r="D67" t="s">
        <v>88</v>
      </c>
      <c r="E67" t="s">
        <v>89</v>
      </c>
      <c r="F67" t="s">
        <v>72</v>
      </c>
      <c r="G67">
        <v>6</v>
      </c>
      <c r="H67">
        <v>0</v>
      </c>
      <c r="I67" s="5" t="str">
        <f>OutputTable[[#This Row],[ProjectName]]&amp;OutputTable[[#This Row],[Name]]&amp;OutputTable[[#This Row],[Type]]&amp;OutputTable[[#This Row],[Source]]</f>
        <v>Unnamed ProjectArquivos.NumberInNumber InEntity</v>
      </c>
      <c r="J67" s="5" cm="1">
        <f t="array" ref="J67">MAX(IF((ProjectInfoTable[ProjectName]=OutputTable[[#This Row],[ProjectName]]),(ProjectInfoTable[ProjectName]=OutputTable[[#This Row],[ProjectName]])*ProjectInfoTable[NumberOfReplications]))</f>
        <v>50</v>
      </c>
      <c r="K67" s="5" cm="1">
        <f t="array" ref="K67">IFERROR(AVERAGE(IF((OutputTable[GroupByKey]=OutputTable[[#This Row],[GroupByKey]]),(OutputTable[GroupByKey]=OutputTable[[#This Row],[GroupByKey]])*OutputTable[RecordedValue])),0)</f>
        <v>6.48</v>
      </c>
      <c r="L67" s="5" cm="1">
        <f t="array" ref="L67">IFERROR(_xlfn.STDEV.S(IF((OutputTable[GroupByKey]=OutputTable[[#This Row],[GroupByKey]]),(OutputTable[GroupByKey]=OutputTable[[#This Row],[GroupByKey]])*OutputTable[RecordedValue])),0)</f>
        <v>1.7984119979264248</v>
      </c>
      <c r="M67" s="5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0.51110303469648288</v>
      </c>
      <c r="O67" s="5" cm="1">
        <f t="array" ref="O67">MIN(IF((OutputTable[GroupByKey]=OutputTable[[#This Row],[GroupByKey]]),(OutputTable[GroupByKey]=OutputTable[[#This Row],[GroupByKey]])*OutputTable[RecordedValue]))</f>
        <v>3</v>
      </c>
      <c r="P67" s="5" cm="1">
        <f t="array" ref="P67">MAX(IF((OutputTable[GroupByKey]=OutputTable[[#This Row],[GroupByKey]]),(OutputTable[GroupByKey]=OutputTable[[#This Row],[GroupByKey]])*OutputTable[RecordedValue]))</f>
        <v>13</v>
      </c>
    </row>
    <row r="68" spans="1:16" x14ac:dyDescent="0.35">
      <c r="A68" t="s">
        <v>66</v>
      </c>
      <c r="B68" t="s">
        <v>69</v>
      </c>
      <c r="C68">
        <v>14</v>
      </c>
      <c r="D68" t="s">
        <v>90</v>
      </c>
      <c r="E68" t="s">
        <v>91</v>
      </c>
      <c r="F68" t="s">
        <v>72</v>
      </c>
      <c r="G68">
        <v>4</v>
      </c>
      <c r="H68">
        <v>0</v>
      </c>
      <c r="I68" s="5" t="str">
        <f>OutputTable[[#This Row],[ProjectName]]&amp;OutputTable[[#This Row],[Name]]&amp;OutputTable[[#This Row],[Type]]&amp;OutputTable[[#This Row],[Source]]</f>
        <v>Unnamed ProjectArquivos.NumberOutNumber OutEntity</v>
      </c>
      <c r="J68" s="5" cm="1">
        <f t="array" ref="J68">MAX(IF((ProjectInfoTable[ProjectName]=OutputTable[[#This Row],[ProjectName]]),(ProjectInfoTable[ProjectName]=OutputTable[[#This Row],[ProjectName]])*ProjectInfoTable[NumberOfReplications]))</f>
        <v>50</v>
      </c>
      <c r="K68" s="5" cm="1">
        <f t="array" ref="K68">IFERROR(AVERAGE(IF((OutputTable[GroupByKey]=OutputTable[[#This Row],[GroupByKey]]),(OutputTable[GroupByKey]=OutputTable[[#This Row],[GroupByKey]])*OutputTable[RecordedValue])),0)</f>
        <v>3.62</v>
      </c>
      <c r="L68" s="5" cm="1">
        <f t="array" ref="L68">IFERROR(_xlfn.STDEV.S(IF((OutputTable[GroupByKey]=OutputTable[[#This Row],[GroupByKey]]),(OutputTable[GroupByKey]=OutputTable[[#This Row],[GroupByKey]])*OutputTable[RecordedValue])),0)</f>
        <v>0.77958649426527116</v>
      </c>
      <c r="M68" s="5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68" s="5" cm="1">
        <f t="array" ref="O68">MIN(IF((OutputTable[GroupByKey]=OutputTable[[#This Row],[GroupByKey]]),(OutputTable[GroupByKey]=OutputTable[[#This Row],[GroupByKey]])*OutputTable[RecordedValue]))</f>
        <v>2</v>
      </c>
      <c r="P68" s="5" cm="1">
        <f t="array" ref="P68">MAX(IF((OutputTable[GroupByKey]=OutputTable[[#This Row],[GroupByKey]]),(OutputTable[GroupByKey]=OutputTable[[#This Row],[GroupByKey]])*OutputTable[RecordedValue]))</f>
        <v>5</v>
      </c>
    </row>
    <row r="69" spans="1:16" x14ac:dyDescent="0.35">
      <c r="A69" t="s">
        <v>66</v>
      </c>
      <c r="B69" t="s">
        <v>69</v>
      </c>
      <c r="C69">
        <v>14</v>
      </c>
      <c r="D69" t="s">
        <v>92</v>
      </c>
      <c r="E69" t="s">
        <v>93</v>
      </c>
      <c r="F69" t="s">
        <v>85</v>
      </c>
      <c r="G69">
        <v>5</v>
      </c>
      <c r="H69">
        <v>0</v>
      </c>
      <c r="I69" s="5" t="str">
        <f>OutputTable[[#This Row],[ProjectName]]&amp;OutputTable[[#This Row],[Name]]&amp;OutputTable[[#This Row],[Type]]&amp;OutputTable[[#This Row],[Source]]</f>
        <v>Unnamed ProjectOperador.NumberSeizedTotal Number SeizedResource</v>
      </c>
      <c r="J69" s="5" cm="1">
        <f t="array" ref="J69">MAX(IF((ProjectInfoTable[ProjectName]=OutputTable[[#This Row],[ProjectName]]),(ProjectInfoTable[ProjectName]=OutputTable[[#This Row],[ProjectName]])*ProjectInfoTable[NumberOfReplications]))</f>
        <v>50</v>
      </c>
      <c r="K69" s="5" cm="1">
        <f t="array" ref="K69">IFERROR(AVERAGE(IF((OutputTable[GroupByKey]=OutputTable[[#This Row],[GroupByKey]]),(OutputTable[GroupByKey]=OutputTable[[#This Row],[GroupByKey]])*OutputTable[RecordedValue])),0)</f>
        <v>4.58</v>
      </c>
      <c r="L69" s="5" cm="1">
        <f t="array" ref="L69">IFERROR(_xlfn.STDEV.S(IF((OutputTable[GroupByKey]=OutputTable[[#This Row],[GroupByKey]]),(OutputTable[GroupByKey]=OutputTable[[#This Row],[GroupByKey]])*OutputTable[RecordedValue])),0)</f>
        <v>0.78480466827545059</v>
      </c>
      <c r="M69" s="5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0.22303901890225239</v>
      </c>
      <c r="O69" s="5" cm="1">
        <f t="array" ref="O69">MIN(IF((OutputTable[GroupByKey]=OutputTable[[#This Row],[GroupByKey]]),(OutputTable[GroupByKey]=OutputTable[[#This Row],[GroupByKey]])*OutputTable[RecordedValue]))</f>
        <v>3</v>
      </c>
      <c r="P69" s="5" cm="1">
        <f t="array" ref="P69">MAX(IF((OutputTable[GroupByKey]=OutputTable[[#This Row],[GroupByKey]]),(OutputTable[GroupByKey]=OutputTable[[#This Row],[GroupByKey]])*OutputTable[RecordedValue]))</f>
        <v>6</v>
      </c>
    </row>
    <row r="70" spans="1:16" x14ac:dyDescent="0.35">
      <c r="A70" t="s">
        <v>66</v>
      </c>
      <c r="B70" t="s">
        <v>69</v>
      </c>
      <c r="C70">
        <v>14</v>
      </c>
      <c r="D70" t="s">
        <v>94</v>
      </c>
      <c r="E70" t="s">
        <v>95</v>
      </c>
      <c r="F70" t="s">
        <v>85</v>
      </c>
      <c r="G70">
        <v>1</v>
      </c>
      <c r="H70">
        <v>0</v>
      </c>
      <c r="I70" s="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70" s="5" cm="1">
        <f t="array" ref="J70">MAX(IF((ProjectInfoTable[ProjectName]=OutputTable[[#This Row],[ProjectName]]),(ProjectInfoTable[ProjectName]=OutputTable[[#This Row],[ProjectName]])*ProjectInfoTable[NumberOfReplications]))</f>
        <v>50</v>
      </c>
      <c r="K70" s="5" cm="1">
        <f t="array" ref="K70">IFERROR(AVERAGE(IF((OutputTable[GroupByKey]=OutputTable[[#This Row],[GroupByKey]]),(OutputTable[GroupByKey]=OutputTable[[#This Row],[GroupByKey]])*OutputTable[RecordedValue])),0)</f>
        <v>0.92637977941440086</v>
      </c>
      <c r="L70" s="5" cm="1">
        <f t="array" ref="L70">IFERROR(_xlfn.STDEV.S(IF((OutputTable[GroupByKey]=OutputTable[[#This Row],[GroupByKey]]),(OutputTable[GroupByKey]=OutputTable[[#This Row],[GroupByKey]])*OutputTable[RecordedValue])),0)</f>
        <v>0.11789675502181338</v>
      </c>
      <c r="M70" s="5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3.350588705034975E-2</v>
      </c>
      <c r="O70" s="5" cm="1">
        <f t="array" ref="O70">MIN(IF((OutputTable[GroupByKey]=OutputTable[[#This Row],[GroupByKey]]),(OutputTable[GroupByKey]=OutputTable[[#This Row],[GroupByKey]])*OutputTable[RecordedValue]))</f>
        <v>0.60846830422583797</v>
      </c>
      <c r="P70" s="5" cm="1">
        <f t="array" ref="P70">MAX(IF((OutputTable[GroupByKey]=OutputTable[[#This Row],[GroupByKey]]),(OutputTable[GroupByKey]=OutputTable[[#This Row],[GroupByKey]])*OutputTable[RecordedValue]))</f>
        <v>1</v>
      </c>
    </row>
    <row r="71" spans="1:16" x14ac:dyDescent="0.35">
      <c r="A71" t="s">
        <v>66</v>
      </c>
      <c r="B71" t="s">
        <v>69</v>
      </c>
      <c r="C71">
        <v>14</v>
      </c>
      <c r="D71" t="s">
        <v>96</v>
      </c>
      <c r="E71" t="s">
        <v>91</v>
      </c>
      <c r="F71" t="s">
        <v>97</v>
      </c>
      <c r="G71">
        <v>4</v>
      </c>
      <c r="H71">
        <v>0</v>
      </c>
      <c r="I71" s="5" t="str">
        <f>OutputTable[[#This Row],[ProjectName]]&amp;OutputTable[[#This Row],[Name]]&amp;OutputTable[[#This Row],[Type]]&amp;OutputTable[[#This Row],[Source]]</f>
        <v>Unnamed ProjectSystem.NumberOutNumber OutSystem</v>
      </c>
      <c r="J71" s="5" cm="1">
        <f t="array" ref="J71">MAX(IF((ProjectInfoTable[ProjectName]=OutputTable[[#This Row],[ProjectName]]),(ProjectInfoTable[ProjectName]=OutputTable[[#This Row],[ProjectName]])*ProjectInfoTable[NumberOfReplications]))</f>
        <v>50</v>
      </c>
      <c r="K71" s="5" cm="1">
        <f t="array" ref="K71">IFERROR(AVERAGE(IF((OutputTable[GroupByKey]=OutputTable[[#This Row],[GroupByKey]]),(OutputTable[GroupByKey]=OutputTable[[#This Row],[GroupByKey]])*OutputTable[RecordedValue])),0)</f>
        <v>3.62</v>
      </c>
      <c r="L71" s="5" cm="1">
        <f t="array" ref="L71">IFERROR(_xlfn.STDEV.S(IF((OutputTable[GroupByKey]=OutputTable[[#This Row],[GroupByKey]]),(OutputTable[GroupByKey]=OutputTable[[#This Row],[GroupByKey]])*OutputTable[RecordedValue])),0)</f>
        <v>0.77958649426527116</v>
      </c>
      <c r="M71" s="5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71" s="5" cm="1">
        <f t="array" ref="O71">MIN(IF((OutputTable[GroupByKey]=OutputTable[[#This Row],[GroupByKey]]),(OutputTable[GroupByKey]=OutputTable[[#This Row],[GroupByKey]])*OutputTable[RecordedValue]))</f>
        <v>2</v>
      </c>
      <c r="P71" s="5" cm="1">
        <f t="array" ref="P71">MAX(IF((OutputTable[GroupByKey]=OutputTable[[#This Row],[GroupByKey]]),(OutputTable[GroupByKey]=OutputTable[[#This Row],[GroupByKey]])*OutputTable[RecordedValue]))</f>
        <v>5</v>
      </c>
    </row>
    <row r="72" spans="1:16" x14ac:dyDescent="0.35">
      <c r="A72" t="s">
        <v>66</v>
      </c>
      <c r="B72" t="s">
        <v>69</v>
      </c>
      <c r="C72">
        <v>15</v>
      </c>
      <c r="D72" t="s">
        <v>88</v>
      </c>
      <c r="E72" t="s">
        <v>89</v>
      </c>
      <c r="F72" t="s">
        <v>72</v>
      </c>
      <c r="G72">
        <v>7</v>
      </c>
      <c r="H72">
        <v>0</v>
      </c>
      <c r="I72" s="5" t="str">
        <f>OutputTable[[#This Row],[ProjectName]]&amp;OutputTable[[#This Row],[Name]]&amp;OutputTable[[#This Row],[Type]]&amp;OutputTable[[#This Row],[Source]]</f>
        <v>Unnamed ProjectArquivos.NumberInNumber InEntity</v>
      </c>
      <c r="J72" s="5" cm="1">
        <f t="array" ref="J72">MAX(IF((ProjectInfoTable[ProjectName]=OutputTable[[#This Row],[ProjectName]]),(ProjectInfoTable[ProjectName]=OutputTable[[#This Row],[ProjectName]])*ProjectInfoTable[NumberOfReplications]))</f>
        <v>50</v>
      </c>
      <c r="K72" s="5" cm="1">
        <f t="array" ref="K72">IFERROR(AVERAGE(IF((OutputTable[GroupByKey]=OutputTable[[#This Row],[GroupByKey]]),(OutputTable[GroupByKey]=OutputTable[[#This Row],[GroupByKey]])*OutputTable[RecordedValue])),0)</f>
        <v>6.48</v>
      </c>
      <c r="L72" s="5" cm="1">
        <f t="array" ref="L72">IFERROR(_xlfn.STDEV.S(IF((OutputTable[GroupByKey]=OutputTable[[#This Row],[GroupByKey]]),(OutputTable[GroupByKey]=OutputTable[[#This Row],[GroupByKey]])*OutputTable[RecordedValue])),0)</f>
        <v>1.7984119979264248</v>
      </c>
      <c r="M72" s="5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0.51110303469648288</v>
      </c>
      <c r="O72" s="5" cm="1">
        <f t="array" ref="O72">MIN(IF((OutputTable[GroupByKey]=OutputTable[[#This Row],[GroupByKey]]),(OutputTable[GroupByKey]=OutputTable[[#This Row],[GroupByKey]])*OutputTable[RecordedValue]))</f>
        <v>3</v>
      </c>
      <c r="P72" s="5" cm="1">
        <f t="array" ref="P72">MAX(IF((OutputTable[GroupByKey]=OutputTable[[#This Row],[GroupByKey]]),(OutputTable[GroupByKey]=OutputTable[[#This Row],[GroupByKey]])*OutputTable[RecordedValue]))</f>
        <v>13</v>
      </c>
    </row>
    <row r="73" spans="1:16" x14ac:dyDescent="0.35">
      <c r="A73" t="s">
        <v>66</v>
      </c>
      <c r="B73" t="s">
        <v>69</v>
      </c>
      <c r="C73">
        <v>15</v>
      </c>
      <c r="D73" t="s">
        <v>90</v>
      </c>
      <c r="E73" t="s">
        <v>91</v>
      </c>
      <c r="F73" t="s">
        <v>72</v>
      </c>
      <c r="G73">
        <v>4</v>
      </c>
      <c r="H73">
        <v>0</v>
      </c>
      <c r="I73" s="5" t="str">
        <f>OutputTable[[#This Row],[ProjectName]]&amp;OutputTable[[#This Row],[Name]]&amp;OutputTable[[#This Row],[Type]]&amp;OutputTable[[#This Row],[Source]]</f>
        <v>Unnamed ProjectArquivos.NumberOutNumber OutEntity</v>
      </c>
      <c r="J73" s="5" cm="1">
        <f t="array" ref="J73">MAX(IF((ProjectInfoTable[ProjectName]=OutputTable[[#This Row],[ProjectName]]),(ProjectInfoTable[ProjectName]=OutputTable[[#This Row],[ProjectName]])*ProjectInfoTable[NumberOfReplications]))</f>
        <v>50</v>
      </c>
      <c r="K73" s="5" cm="1">
        <f t="array" ref="K73">IFERROR(AVERAGE(IF((OutputTable[GroupByKey]=OutputTable[[#This Row],[GroupByKey]]),(OutputTable[GroupByKey]=OutputTable[[#This Row],[GroupByKey]])*OutputTable[RecordedValue])),0)</f>
        <v>3.62</v>
      </c>
      <c r="L73" s="5" cm="1">
        <f t="array" ref="L73">IFERROR(_xlfn.STDEV.S(IF((OutputTable[GroupByKey]=OutputTable[[#This Row],[GroupByKey]]),(OutputTable[GroupByKey]=OutputTable[[#This Row],[GroupByKey]])*OutputTable[RecordedValue])),0)</f>
        <v>0.77958649426527116</v>
      </c>
      <c r="M73" s="5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73" s="5" cm="1">
        <f t="array" ref="O73">MIN(IF((OutputTable[GroupByKey]=OutputTable[[#This Row],[GroupByKey]]),(OutputTable[GroupByKey]=OutputTable[[#This Row],[GroupByKey]])*OutputTable[RecordedValue]))</f>
        <v>2</v>
      </c>
      <c r="P73" s="5" cm="1">
        <f t="array" ref="P73">MAX(IF((OutputTable[GroupByKey]=OutputTable[[#This Row],[GroupByKey]]),(OutputTable[GroupByKey]=OutputTable[[#This Row],[GroupByKey]])*OutputTable[RecordedValue]))</f>
        <v>5</v>
      </c>
    </row>
    <row r="74" spans="1:16" x14ac:dyDescent="0.35">
      <c r="A74" t="s">
        <v>66</v>
      </c>
      <c r="B74" t="s">
        <v>69</v>
      </c>
      <c r="C74">
        <v>15</v>
      </c>
      <c r="D74" t="s">
        <v>92</v>
      </c>
      <c r="E74" t="s">
        <v>93</v>
      </c>
      <c r="F74" t="s">
        <v>85</v>
      </c>
      <c r="G74">
        <v>5</v>
      </c>
      <c r="H74">
        <v>0</v>
      </c>
      <c r="I74" s="5" t="str">
        <f>OutputTable[[#This Row],[ProjectName]]&amp;OutputTable[[#This Row],[Name]]&amp;OutputTable[[#This Row],[Type]]&amp;OutputTable[[#This Row],[Source]]</f>
        <v>Unnamed ProjectOperador.NumberSeizedTotal Number SeizedResource</v>
      </c>
      <c r="J74" s="5" cm="1">
        <f t="array" ref="J74">MAX(IF((ProjectInfoTable[ProjectName]=OutputTable[[#This Row],[ProjectName]]),(ProjectInfoTable[ProjectName]=OutputTable[[#This Row],[ProjectName]])*ProjectInfoTable[NumberOfReplications]))</f>
        <v>50</v>
      </c>
      <c r="K74" s="5" cm="1">
        <f t="array" ref="K74">IFERROR(AVERAGE(IF((OutputTable[GroupByKey]=OutputTable[[#This Row],[GroupByKey]]),(OutputTable[GroupByKey]=OutputTable[[#This Row],[GroupByKey]])*OutputTable[RecordedValue])),0)</f>
        <v>4.58</v>
      </c>
      <c r="L74" s="5" cm="1">
        <f t="array" ref="L74">IFERROR(_xlfn.STDEV.S(IF((OutputTable[GroupByKey]=OutputTable[[#This Row],[GroupByKey]]),(OutputTable[GroupByKey]=OutputTable[[#This Row],[GroupByKey]])*OutputTable[RecordedValue])),0)</f>
        <v>0.78480466827545059</v>
      </c>
      <c r="M74" s="5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0.22303901890225239</v>
      </c>
      <c r="O74" s="5" cm="1">
        <f t="array" ref="O74">MIN(IF((OutputTable[GroupByKey]=OutputTable[[#This Row],[GroupByKey]]),(OutputTable[GroupByKey]=OutputTable[[#This Row],[GroupByKey]])*OutputTable[RecordedValue]))</f>
        <v>3</v>
      </c>
      <c r="P74" s="5" cm="1">
        <f t="array" ref="P74">MAX(IF((OutputTable[GroupByKey]=OutputTable[[#This Row],[GroupByKey]]),(OutputTable[GroupByKey]=OutputTable[[#This Row],[GroupByKey]])*OutputTable[RecordedValue]))</f>
        <v>6</v>
      </c>
    </row>
    <row r="75" spans="1:16" x14ac:dyDescent="0.35">
      <c r="A75" t="s">
        <v>66</v>
      </c>
      <c r="B75" t="s">
        <v>69</v>
      </c>
      <c r="C75">
        <v>15</v>
      </c>
      <c r="D75" t="s">
        <v>94</v>
      </c>
      <c r="E75" t="s">
        <v>95</v>
      </c>
      <c r="F75" t="s">
        <v>85</v>
      </c>
      <c r="G75">
        <v>0.78351413580086005</v>
      </c>
      <c r="H75">
        <v>0</v>
      </c>
      <c r="I75" s="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75" s="5" cm="1">
        <f t="array" ref="J75">MAX(IF((ProjectInfoTable[ProjectName]=OutputTable[[#This Row],[ProjectName]]),(ProjectInfoTable[ProjectName]=OutputTable[[#This Row],[ProjectName]])*ProjectInfoTable[NumberOfReplications]))</f>
        <v>50</v>
      </c>
      <c r="K75" s="5" cm="1">
        <f t="array" ref="K75">IFERROR(AVERAGE(IF((OutputTable[GroupByKey]=OutputTable[[#This Row],[GroupByKey]]),(OutputTable[GroupByKey]=OutputTable[[#This Row],[GroupByKey]])*OutputTable[RecordedValue])),0)</f>
        <v>0.92637977941440086</v>
      </c>
      <c r="L75" s="5" cm="1">
        <f t="array" ref="L75">IFERROR(_xlfn.STDEV.S(IF((OutputTable[GroupByKey]=OutputTable[[#This Row],[GroupByKey]]),(OutputTable[GroupByKey]=OutputTable[[#This Row],[GroupByKey]])*OutputTable[RecordedValue])),0)</f>
        <v>0.11789675502181338</v>
      </c>
      <c r="M75" s="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3.350588705034975E-2</v>
      </c>
      <c r="O75" s="5" cm="1">
        <f t="array" ref="O75">MIN(IF((OutputTable[GroupByKey]=OutputTable[[#This Row],[GroupByKey]]),(OutputTable[GroupByKey]=OutputTable[[#This Row],[GroupByKey]])*OutputTable[RecordedValue]))</f>
        <v>0.60846830422583797</v>
      </c>
      <c r="P75" s="5" cm="1">
        <f t="array" ref="P75">MAX(IF((OutputTable[GroupByKey]=OutputTable[[#This Row],[GroupByKey]]),(OutputTable[GroupByKey]=OutputTable[[#This Row],[GroupByKey]])*OutputTable[RecordedValue]))</f>
        <v>1</v>
      </c>
    </row>
    <row r="76" spans="1:16" x14ac:dyDescent="0.35">
      <c r="A76" t="s">
        <v>66</v>
      </c>
      <c r="B76" t="s">
        <v>69</v>
      </c>
      <c r="C76">
        <v>15</v>
      </c>
      <c r="D76" t="s">
        <v>96</v>
      </c>
      <c r="E76" t="s">
        <v>91</v>
      </c>
      <c r="F76" t="s">
        <v>97</v>
      </c>
      <c r="G76">
        <v>4</v>
      </c>
      <c r="H76">
        <v>0</v>
      </c>
      <c r="I76" s="5" t="str">
        <f>OutputTable[[#This Row],[ProjectName]]&amp;OutputTable[[#This Row],[Name]]&amp;OutputTable[[#This Row],[Type]]&amp;OutputTable[[#This Row],[Source]]</f>
        <v>Unnamed ProjectSystem.NumberOutNumber OutSystem</v>
      </c>
      <c r="J76" s="5" cm="1">
        <f t="array" ref="J76">MAX(IF((ProjectInfoTable[ProjectName]=OutputTable[[#This Row],[ProjectName]]),(ProjectInfoTable[ProjectName]=OutputTable[[#This Row],[ProjectName]])*ProjectInfoTable[NumberOfReplications]))</f>
        <v>50</v>
      </c>
      <c r="K76" s="5" cm="1">
        <f t="array" ref="K76">IFERROR(AVERAGE(IF((OutputTable[GroupByKey]=OutputTable[[#This Row],[GroupByKey]]),(OutputTable[GroupByKey]=OutputTable[[#This Row],[GroupByKey]])*OutputTable[RecordedValue])),0)</f>
        <v>3.62</v>
      </c>
      <c r="L76" s="5" cm="1">
        <f t="array" ref="L76">IFERROR(_xlfn.STDEV.S(IF((OutputTable[GroupByKey]=OutputTable[[#This Row],[GroupByKey]]),(OutputTable[GroupByKey]=OutputTable[[#This Row],[GroupByKey]])*OutputTable[RecordedValue])),0)</f>
        <v>0.77958649426527116</v>
      </c>
      <c r="M76" s="5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76" s="5" cm="1">
        <f t="array" ref="O76">MIN(IF((OutputTable[GroupByKey]=OutputTable[[#This Row],[GroupByKey]]),(OutputTable[GroupByKey]=OutputTable[[#This Row],[GroupByKey]])*OutputTable[RecordedValue]))</f>
        <v>2</v>
      </c>
      <c r="P76" s="5" cm="1">
        <f t="array" ref="P76">MAX(IF((OutputTable[GroupByKey]=OutputTable[[#This Row],[GroupByKey]]),(OutputTable[GroupByKey]=OutputTable[[#This Row],[GroupByKey]])*OutputTable[RecordedValue]))</f>
        <v>5</v>
      </c>
    </row>
    <row r="77" spans="1:16" x14ac:dyDescent="0.35">
      <c r="A77" t="s">
        <v>66</v>
      </c>
      <c r="B77" t="s">
        <v>69</v>
      </c>
      <c r="C77">
        <v>16</v>
      </c>
      <c r="D77" t="s">
        <v>88</v>
      </c>
      <c r="E77" t="s">
        <v>89</v>
      </c>
      <c r="F77" t="s">
        <v>72</v>
      </c>
      <c r="G77">
        <v>6</v>
      </c>
      <c r="H77">
        <v>0</v>
      </c>
      <c r="I77" s="5" t="str">
        <f>OutputTable[[#This Row],[ProjectName]]&amp;OutputTable[[#This Row],[Name]]&amp;OutputTable[[#This Row],[Type]]&amp;OutputTable[[#This Row],[Source]]</f>
        <v>Unnamed ProjectArquivos.NumberInNumber InEntity</v>
      </c>
      <c r="J77" s="5" cm="1">
        <f t="array" ref="J77">MAX(IF((ProjectInfoTable[ProjectName]=OutputTable[[#This Row],[ProjectName]]),(ProjectInfoTable[ProjectName]=OutputTable[[#This Row],[ProjectName]])*ProjectInfoTable[NumberOfReplications]))</f>
        <v>50</v>
      </c>
      <c r="K77" s="5" cm="1">
        <f t="array" ref="K77">IFERROR(AVERAGE(IF((OutputTable[GroupByKey]=OutputTable[[#This Row],[GroupByKey]]),(OutputTable[GroupByKey]=OutputTable[[#This Row],[GroupByKey]])*OutputTable[RecordedValue])),0)</f>
        <v>6.48</v>
      </c>
      <c r="L77" s="5" cm="1">
        <f t="array" ref="L77">IFERROR(_xlfn.STDEV.S(IF((OutputTable[GroupByKey]=OutputTable[[#This Row],[GroupByKey]]),(OutputTable[GroupByKey]=OutputTable[[#This Row],[GroupByKey]])*OutputTable[RecordedValue])),0)</f>
        <v>1.7984119979264248</v>
      </c>
      <c r="M77" s="5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0.51110303469648288</v>
      </c>
      <c r="O77" s="5" cm="1">
        <f t="array" ref="O77">MIN(IF((OutputTable[GroupByKey]=OutputTable[[#This Row],[GroupByKey]]),(OutputTable[GroupByKey]=OutputTable[[#This Row],[GroupByKey]])*OutputTable[RecordedValue]))</f>
        <v>3</v>
      </c>
      <c r="P77" s="5" cm="1">
        <f t="array" ref="P77">MAX(IF((OutputTable[GroupByKey]=OutputTable[[#This Row],[GroupByKey]]),(OutputTable[GroupByKey]=OutputTable[[#This Row],[GroupByKey]])*OutputTable[RecordedValue]))</f>
        <v>13</v>
      </c>
    </row>
    <row r="78" spans="1:16" x14ac:dyDescent="0.35">
      <c r="A78" t="s">
        <v>66</v>
      </c>
      <c r="B78" t="s">
        <v>69</v>
      </c>
      <c r="C78">
        <v>16</v>
      </c>
      <c r="D78" t="s">
        <v>90</v>
      </c>
      <c r="E78" t="s">
        <v>91</v>
      </c>
      <c r="F78" t="s">
        <v>72</v>
      </c>
      <c r="G78">
        <v>4</v>
      </c>
      <c r="H78">
        <v>0</v>
      </c>
      <c r="I78" s="5" t="str">
        <f>OutputTable[[#This Row],[ProjectName]]&amp;OutputTable[[#This Row],[Name]]&amp;OutputTable[[#This Row],[Type]]&amp;OutputTable[[#This Row],[Source]]</f>
        <v>Unnamed ProjectArquivos.NumberOutNumber OutEntity</v>
      </c>
      <c r="J78" s="5" cm="1">
        <f t="array" ref="J78">MAX(IF((ProjectInfoTable[ProjectName]=OutputTable[[#This Row],[ProjectName]]),(ProjectInfoTable[ProjectName]=OutputTable[[#This Row],[ProjectName]])*ProjectInfoTable[NumberOfReplications]))</f>
        <v>50</v>
      </c>
      <c r="K78" s="5" cm="1">
        <f t="array" ref="K78">IFERROR(AVERAGE(IF((OutputTable[GroupByKey]=OutputTable[[#This Row],[GroupByKey]]),(OutputTable[GroupByKey]=OutputTable[[#This Row],[GroupByKey]])*OutputTable[RecordedValue])),0)</f>
        <v>3.62</v>
      </c>
      <c r="L78" s="5" cm="1">
        <f t="array" ref="L78">IFERROR(_xlfn.STDEV.S(IF((OutputTable[GroupByKey]=OutputTable[[#This Row],[GroupByKey]]),(OutputTable[GroupByKey]=OutputTable[[#This Row],[GroupByKey]])*OutputTable[RecordedValue])),0)</f>
        <v>0.77958649426527116</v>
      </c>
      <c r="M78" s="5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78" s="5" cm="1">
        <f t="array" ref="O78">MIN(IF((OutputTable[GroupByKey]=OutputTable[[#This Row],[GroupByKey]]),(OutputTable[GroupByKey]=OutputTable[[#This Row],[GroupByKey]])*OutputTable[RecordedValue]))</f>
        <v>2</v>
      </c>
      <c r="P78" s="5" cm="1">
        <f t="array" ref="P78">MAX(IF((OutputTable[GroupByKey]=OutputTable[[#This Row],[GroupByKey]]),(OutputTable[GroupByKey]=OutputTable[[#This Row],[GroupByKey]])*OutputTable[RecordedValue]))</f>
        <v>5</v>
      </c>
    </row>
    <row r="79" spans="1:16" x14ac:dyDescent="0.35">
      <c r="A79" t="s">
        <v>66</v>
      </c>
      <c r="B79" t="s">
        <v>69</v>
      </c>
      <c r="C79">
        <v>16</v>
      </c>
      <c r="D79" t="s">
        <v>92</v>
      </c>
      <c r="E79" t="s">
        <v>93</v>
      </c>
      <c r="F79" t="s">
        <v>85</v>
      </c>
      <c r="G79">
        <v>5</v>
      </c>
      <c r="H79">
        <v>0</v>
      </c>
      <c r="I79" s="5" t="str">
        <f>OutputTable[[#This Row],[ProjectName]]&amp;OutputTable[[#This Row],[Name]]&amp;OutputTable[[#This Row],[Type]]&amp;OutputTable[[#This Row],[Source]]</f>
        <v>Unnamed ProjectOperador.NumberSeizedTotal Number SeizedResource</v>
      </c>
      <c r="J79" s="5" cm="1">
        <f t="array" ref="J79">MAX(IF((ProjectInfoTable[ProjectName]=OutputTable[[#This Row],[ProjectName]]),(ProjectInfoTable[ProjectName]=OutputTable[[#This Row],[ProjectName]])*ProjectInfoTable[NumberOfReplications]))</f>
        <v>50</v>
      </c>
      <c r="K79" s="5" cm="1">
        <f t="array" ref="K79">IFERROR(AVERAGE(IF((OutputTable[GroupByKey]=OutputTable[[#This Row],[GroupByKey]]),(OutputTable[GroupByKey]=OutputTable[[#This Row],[GroupByKey]])*OutputTable[RecordedValue])),0)</f>
        <v>4.58</v>
      </c>
      <c r="L79" s="5" cm="1">
        <f t="array" ref="L79">IFERROR(_xlfn.STDEV.S(IF((OutputTable[GroupByKey]=OutputTable[[#This Row],[GroupByKey]]),(OutputTable[GroupByKey]=OutputTable[[#This Row],[GroupByKey]])*OutputTable[RecordedValue])),0)</f>
        <v>0.78480466827545059</v>
      </c>
      <c r="M79" s="5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0.22303901890225239</v>
      </c>
      <c r="O79" s="5" cm="1">
        <f t="array" ref="O79">MIN(IF((OutputTable[GroupByKey]=OutputTable[[#This Row],[GroupByKey]]),(OutputTable[GroupByKey]=OutputTable[[#This Row],[GroupByKey]])*OutputTable[RecordedValue]))</f>
        <v>3</v>
      </c>
      <c r="P79" s="5" cm="1">
        <f t="array" ref="P79">MAX(IF((OutputTable[GroupByKey]=OutputTable[[#This Row],[GroupByKey]]),(OutputTable[GroupByKey]=OutputTable[[#This Row],[GroupByKey]])*OutputTable[RecordedValue]))</f>
        <v>6</v>
      </c>
    </row>
    <row r="80" spans="1:16" x14ac:dyDescent="0.35">
      <c r="A80" t="s">
        <v>66</v>
      </c>
      <c r="B80" t="s">
        <v>69</v>
      </c>
      <c r="C80">
        <v>16</v>
      </c>
      <c r="D80" t="s">
        <v>94</v>
      </c>
      <c r="E80" t="s">
        <v>95</v>
      </c>
      <c r="F80" t="s">
        <v>85</v>
      </c>
      <c r="G80">
        <v>1</v>
      </c>
      <c r="H80">
        <v>0</v>
      </c>
      <c r="I80" s="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80" s="5" cm="1">
        <f t="array" ref="J80">MAX(IF((ProjectInfoTable[ProjectName]=OutputTable[[#This Row],[ProjectName]]),(ProjectInfoTable[ProjectName]=OutputTable[[#This Row],[ProjectName]])*ProjectInfoTable[NumberOfReplications]))</f>
        <v>50</v>
      </c>
      <c r="K80" s="5" cm="1">
        <f t="array" ref="K80">IFERROR(AVERAGE(IF((OutputTable[GroupByKey]=OutputTable[[#This Row],[GroupByKey]]),(OutputTable[GroupByKey]=OutputTable[[#This Row],[GroupByKey]])*OutputTable[RecordedValue])),0)</f>
        <v>0.92637977941440086</v>
      </c>
      <c r="L80" s="5" cm="1">
        <f t="array" ref="L80">IFERROR(_xlfn.STDEV.S(IF((OutputTable[GroupByKey]=OutputTable[[#This Row],[GroupByKey]]),(OutputTable[GroupByKey]=OutputTable[[#This Row],[GroupByKey]])*OutputTable[RecordedValue])),0)</f>
        <v>0.11789675502181338</v>
      </c>
      <c r="M80" s="5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3.350588705034975E-2</v>
      </c>
      <c r="O80" s="5" cm="1">
        <f t="array" ref="O80">MIN(IF((OutputTable[GroupByKey]=OutputTable[[#This Row],[GroupByKey]]),(OutputTable[GroupByKey]=OutputTable[[#This Row],[GroupByKey]])*OutputTable[RecordedValue]))</f>
        <v>0.60846830422583797</v>
      </c>
      <c r="P80" s="5" cm="1">
        <f t="array" ref="P80">MAX(IF((OutputTable[GroupByKey]=OutputTable[[#This Row],[GroupByKey]]),(OutputTable[GroupByKey]=OutputTable[[#This Row],[GroupByKey]])*OutputTable[RecordedValue]))</f>
        <v>1</v>
      </c>
    </row>
    <row r="81" spans="1:16" x14ac:dyDescent="0.35">
      <c r="A81" t="s">
        <v>66</v>
      </c>
      <c r="B81" t="s">
        <v>69</v>
      </c>
      <c r="C81">
        <v>16</v>
      </c>
      <c r="D81" t="s">
        <v>96</v>
      </c>
      <c r="E81" t="s">
        <v>91</v>
      </c>
      <c r="F81" t="s">
        <v>97</v>
      </c>
      <c r="G81">
        <v>4</v>
      </c>
      <c r="H81">
        <v>0</v>
      </c>
      <c r="I81" s="5" t="str">
        <f>OutputTable[[#This Row],[ProjectName]]&amp;OutputTable[[#This Row],[Name]]&amp;OutputTable[[#This Row],[Type]]&amp;OutputTable[[#This Row],[Source]]</f>
        <v>Unnamed ProjectSystem.NumberOutNumber OutSystem</v>
      </c>
      <c r="J81" s="5" cm="1">
        <f t="array" ref="J81">MAX(IF((ProjectInfoTable[ProjectName]=OutputTable[[#This Row],[ProjectName]]),(ProjectInfoTable[ProjectName]=OutputTable[[#This Row],[ProjectName]])*ProjectInfoTable[NumberOfReplications]))</f>
        <v>50</v>
      </c>
      <c r="K81" s="5" cm="1">
        <f t="array" ref="K81">IFERROR(AVERAGE(IF((OutputTable[GroupByKey]=OutputTable[[#This Row],[GroupByKey]]),(OutputTable[GroupByKey]=OutputTable[[#This Row],[GroupByKey]])*OutputTable[RecordedValue])),0)</f>
        <v>3.62</v>
      </c>
      <c r="L81" s="5" cm="1">
        <f t="array" ref="L81">IFERROR(_xlfn.STDEV.S(IF((OutputTable[GroupByKey]=OutputTable[[#This Row],[GroupByKey]]),(OutputTable[GroupByKey]=OutputTable[[#This Row],[GroupByKey]])*OutputTable[RecordedValue])),0)</f>
        <v>0.77958649426527116</v>
      </c>
      <c r="M81" s="5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81" s="5" cm="1">
        <f t="array" ref="O81">MIN(IF((OutputTable[GroupByKey]=OutputTable[[#This Row],[GroupByKey]]),(OutputTable[GroupByKey]=OutputTable[[#This Row],[GroupByKey]])*OutputTable[RecordedValue]))</f>
        <v>2</v>
      </c>
      <c r="P81" s="5" cm="1">
        <f t="array" ref="P81">MAX(IF((OutputTable[GroupByKey]=OutputTable[[#This Row],[GroupByKey]]),(OutputTable[GroupByKey]=OutputTable[[#This Row],[GroupByKey]])*OutputTable[RecordedValue]))</f>
        <v>5</v>
      </c>
    </row>
    <row r="82" spans="1:16" x14ac:dyDescent="0.35">
      <c r="A82" t="s">
        <v>66</v>
      </c>
      <c r="B82" t="s">
        <v>69</v>
      </c>
      <c r="C82">
        <v>17</v>
      </c>
      <c r="D82" t="s">
        <v>88</v>
      </c>
      <c r="E82" t="s">
        <v>89</v>
      </c>
      <c r="F82" t="s">
        <v>72</v>
      </c>
      <c r="G82">
        <v>3</v>
      </c>
      <c r="H82">
        <v>0</v>
      </c>
      <c r="I82" s="5" t="str">
        <f>OutputTable[[#This Row],[ProjectName]]&amp;OutputTable[[#This Row],[Name]]&amp;OutputTable[[#This Row],[Type]]&amp;OutputTable[[#This Row],[Source]]</f>
        <v>Unnamed ProjectArquivos.NumberInNumber InEntity</v>
      </c>
      <c r="J82" s="5" cm="1">
        <f t="array" ref="J82">MAX(IF((ProjectInfoTable[ProjectName]=OutputTable[[#This Row],[ProjectName]]),(ProjectInfoTable[ProjectName]=OutputTable[[#This Row],[ProjectName]])*ProjectInfoTable[NumberOfReplications]))</f>
        <v>50</v>
      </c>
      <c r="K82" s="5" cm="1">
        <f t="array" ref="K82">IFERROR(AVERAGE(IF((OutputTable[GroupByKey]=OutputTable[[#This Row],[GroupByKey]]),(OutputTable[GroupByKey]=OutputTable[[#This Row],[GroupByKey]])*OutputTable[RecordedValue])),0)</f>
        <v>6.48</v>
      </c>
      <c r="L82" s="5" cm="1">
        <f t="array" ref="L82">IFERROR(_xlfn.STDEV.S(IF((OutputTable[GroupByKey]=OutputTable[[#This Row],[GroupByKey]]),(OutputTable[GroupByKey]=OutputTable[[#This Row],[GroupByKey]])*OutputTable[RecordedValue])),0)</f>
        <v>1.7984119979264248</v>
      </c>
      <c r="M82" s="5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0.51110303469648288</v>
      </c>
      <c r="O82" s="5" cm="1">
        <f t="array" ref="O82">MIN(IF((OutputTable[GroupByKey]=OutputTable[[#This Row],[GroupByKey]]),(OutputTable[GroupByKey]=OutputTable[[#This Row],[GroupByKey]])*OutputTable[RecordedValue]))</f>
        <v>3</v>
      </c>
      <c r="P82" s="5" cm="1">
        <f t="array" ref="P82">MAX(IF((OutputTable[GroupByKey]=OutputTable[[#This Row],[GroupByKey]]),(OutputTable[GroupByKey]=OutputTable[[#This Row],[GroupByKey]])*OutputTable[RecordedValue]))</f>
        <v>13</v>
      </c>
    </row>
    <row r="83" spans="1:16" x14ac:dyDescent="0.35">
      <c r="A83" t="s">
        <v>66</v>
      </c>
      <c r="B83" t="s">
        <v>69</v>
      </c>
      <c r="C83">
        <v>17</v>
      </c>
      <c r="D83" t="s">
        <v>90</v>
      </c>
      <c r="E83" t="s">
        <v>91</v>
      </c>
      <c r="F83" t="s">
        <v>72</v>
      </c>
      <c r="G83">
        <v>2</v>
      </c>
      <c r="H83">
        <v>0</v>
      </c>
      <c r="I83" s="5" t="str">
        <f>OutputTable[[#This Row],[ProjectName]]&amp;OutputTable[[#This Row],[Name]]&amp;OutputTable[[#This Row],[Type]]&amp;OutputTable[[#This Row],[Source]]</f>
        <v>Unnamed ProjectArquivos.NumberOutNumber OutEntity</v>
      </c>
      <c r="J83" s="5" cm="1">
        <f t="array" ref="J83">MAX(IF((ProjectInfoTable[ProjectName]=OutputTable[[#This Row],[ProjectName]]),(ProjectInfoTable[ProjectName]=OutputTable[[#This Row],[ProjectName]])*ProjectInfoTable[NumberOfReplications]))</f>
        <v>50</v>
      </c>
      <c r="K83" s="5" cm="1">
        <f t="array" ref="K83">IFERROR(AVERAGE(IF((OutputTable[GroupByKey]=OutputTable[[#This Row],[GroupByKey]]),(OutputTable[GroupByKey]=OutputTable[[#This Row],[GroupByKey]])*OutputTable[RecordedValue])),0)</f>
        <v>3.62</v>
      </c>
      <c r="L83" s="5" cm="1">
        <f t="array" ref="L83">IFERROR(_xlfn.STDEV.S(IF((OutputTable[GroupByKey]=OutputTable[[#This Row],[GroupByKey]]),(OutputTable[GroupByKey]=OutputTable[[#This Row],[GroupByKey]])*OutputTable[RecordedValue])),0)</f>
        <v>0.77958649426527116</v>
      </c>
      <c r="M83" s="5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83" s="5" cm="1">
        <f t="array" ref="O83">MIN(IF((OutputTable[GroupByKey]=OutputTable[[#This Row],[GroupByKey]]),(OutputTable[GroupByKey]=OutputTable[[#This Row],[GroupByKey]])*OutputTable[RecordedValue]))</f>
        <v>2</v>
      </c>
      <c r="P83" s="5" cm="1">
        <f t="array" ref="P83">MAX(IF((OutputTable[GroupByKey]=OutputTable[[#This Row],[GroupByKey]]),(OutputTable[GroupByKey]=OutputTable[[#This Row],[GroupByKey]])*OutputTable[RecordedValue]))</f>
        <v>5</v>
      </c>
    </row>
    <row r="84" spans="1:16" x14ac:dyDescent="0.35">
      <c r="A84" t="s">
        <v>66</v>
      </c>
      <c r="B84" t="s">
        <v>69</v>
      </c>
      <c r="C84">
        <v>17</v>
      </c>
      <c r="D84" t="s">
        <v>92</v>
      </c>
      <c r="E84" t="s">
        <v>93</v>
      </c>
      <c r="F84" t="s">
        <v>85</v>
      </c>
      <c r="G84">
        <v>3</v>
      </c>
      <c r="H84">
        <v>0</v>
      </c>
      <c r="I84" s="5" t="str">
        <f>OutputTable[[#This Row],[ProjectName]]&amp;OutputTable[[#This Row],[Name]]&amp;OutputTable[[#This Row],[Type]]&amp;OutputTable[[#This Row],[Source]]</f>
        <v>Unnamed ProjectOperador.NumberSeizedTotal Number SeizedResource</v>
      </c>
      <c r="J84" s="5" cm="1">
        <f t="array" ref="J84">MAX(IF((ProjectInfoTable[ProjectName]=OutputTable[[#This Row],[ProjectName]]),(ProjectInfoTable[ProjectName]=OutputTable[[#This Row],[ProjectName]])*ProjectInfoTable[NumberOfReplications]))</f>
        <v>50</v>
      </c>
      <c r="K84" s="5" cm="1">
        <f t="array" ref="K84">IFERROR(AVERAGE(IF((OutputTable[GroupByKey]=OutputTable[[#This Row],[GroupByKey]]),(OutputTable[GroupByKey]=OutputTable[[#This Row],[GroupByKey]])*OutputTable[RecordedValue])),0)</f>
        <v>4.58</v>
      </c>
      <c r="L84" s="5" cm="1">
        <f t="array" ref="L84">IFERROR(_xlfn.STDEV.S(IF((OutputTable[GroupByKey]=OutputTable[[#This Row],[GroupByKey]]),(OutputTable[GroupByKey]=OutputTable[[#This Row],[GroupByKey]])*OutputTable[RecordedValue])),0)</f>
        <v>0.78480466827545059</v>
      </c>
      <c r="M84" s="5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0.22303901890225239</v>
      </c>
      <c r="O84" s="5" cm="1">
        <f t="array" ref="O84">MIN(IF((OutputTable[GroupByKey]=OutputTable[[#This Row],[GroupByKey]]),(OutputTable[GroupByKey]=OutputTable[[#This Row],[GroupByKey]])*OutputTable[RecordedValue]))</f>
        <v>3</v>
      </c>
      <c r="P84" s="5" cm="1">
        <f t="array" ref="P84">MAX(IF((OutputTable[GroupByKey]=OutputTable[[#This Row],[GroupByKey]]),(OutputTable[GroupByKey]=OutputTable[[#This Row],[GroupByKey]])*OutputTable[RecordedValue]))</f>
        <v>6</v>
      </c>
    </row>
    <row r="85" spans="1:16" x14ac:dyDescent="0.35">
      <c r="A85" t="s">
        <v>66</v>
      </c>
      <c r="B85" t="s">
        <v>69</v>
      </c>
      <c r="C85">
        <v>17</v>
      </c>
      <c r="D85" t="s">
        <v>94</v>
      </c>
      <c r="E85" t="s">
        <v>95</v>
      </c>
      <c r="F85" t="s">
        <v>85</v>
      </c>
      <c r="G85">
        <v>0.74819210112866896</v>
      </c>
      <c r="H85">
        <v>0</v>
      </c>
      <c r="I85" s="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85" s="5" cm="1">
        <f t="array" ref="J85">MAX(IF((ProjectInfoTable[ProjectName]=OutputTable[[#This Row],[ProjectName]]),(ProjectInfoTable[ProjectName]=OutputTable[[#This Row],[ProjectName]])*ProjectInfoTable[NumberOfReplications]))</f>
        <v>50</v>
      </c>
      <c r="K85" s="5" cm="1">
        <f t="array" ref="K85">IFERROR(AVERAGE(IF((OutputTable[GroupByKey]=OutputTable[[#This Row],[GroupByKey]]),(OutputTable[GroupByKey]=OutputTable[[#This Row],[GroupByKey]])*OutputTable[RecordedValue])),0)</f>
        <v>0.92637977941440086</v>
      </c>
      <c r="L85" s="5" cm="1">
        <f t="array" ref="L85">IFERROR(_xlfn.STDEV.S(IF((OutputTable[GroupByKey]=OutputTable[[#This Row],[GroupByKey]]),(OutputTable[GroupByKey]=OutputTable[[#This Row],[GroupByKey]])*OutputTable[RecordedValue])),0)</f>
        <v>0.11789675502181338</v>
      </c>
      <c r="M85" s="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3.350588705034975E-2</v>
      </c>
      <c r="O85" s="5" cm="1">
        <f t="array" ref="O85">MIN(IF((OutputTable[GroupByKey]=OutputTable[[#This Row],[GroupByKey]]),(OutputTable[GroupByKey]=OutputTable[[#This Row],[GroupByKey]])*OutputTable[RecordedValue]))</f>
        <v>0.60846830422583797</v>
      </c>
      <c r="P85" s="5" cm="1">
        <f t="array" ref="P85">MAX(IF((OutputTable[GroupByKey]=OutputTable[[#This Row],[GroupByKey]]),(OutputTable[GroupByKey]=OutputTable[[#This Row],[GroupByKey]])*OutputTable[RecordedValue]))</f>
        <v>1</v>
      </c>
    </row>
    <row r="86" spans="1:16" x14ac:dyDescent="0.35">
      <c r="A86" t="s">
        <v>66</v>
      </c>
      <c r="B86" t="s">
        <v>69</v>
      </c>
      <c r="C86">
        <v>17</v>
      </c>
      <c r="D86" t="s">
        <v>96</v>
      </c>
      <c r="E86" t="s">
        <v>91</v>
      </c>
      <c r="F86" t="s">
        <v>97</v>
      </c>
      <c r="G86">
        <v>2</v>
      </c>
      <c r="H86">
        <v>0</v>
      </c>
      <c r="I86" s="5" t="str">
        <f>OutputTable[[#This Row],[ProjectName]]&amp;OutputTable[[#This Row],[Name]]&amp;OutputTable[[#This Row],[Type]]&amp;OutputTable[[#This Row],[Source]]</f>
        <v>Unnamed ProjectSystem.NumberOutNumber OutSystem</v>
      </c>
      <c r="J86" s="5" cm="1">
        <f t="array" ref="J86">MAX(IF((ProjectInfoTable[ProjectName]=OutputTable[[#This Row],[ProjectName]]),(ProjectInfoTable[ProjectName]=OutputTable[[#This Row],[ProjectName]])*ProjectInfoTable[NumberOfReplications]))</f>
        <v>50</v>
      </c>
      <c r="K86" s="5" cm="1">
        <f t="array" ref="K86">IFERROR(AVERAGE(IF((OutputTable[GroupByKey]=OutputTable[[#This Row],[GroupByKey]]),(OutputTable[GroupByKey]=OutputTable[[#This Row],[GroupByKey]])*OutputTable[RecordedValue])),0)</f>
        <v>3.62</v>
      </c>
      <c r="L86" s="5" cm="1">
        <f t="array" ref="L86">IFERROR(_xlfn.STDEV.S(IF((OutputTable[GroupByKey]=OutputTable[[#This Row],[GroupByKey]]),(OutputTable[GroupByKey]=OutputTable[[#This Row],[GroupByKey]])*OutputTable[RecordedValue])),0)</f>
        <v>0.77958649426527116</v>
      </c>
      <c r="M86" s="5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86" s="5" cm="1">
        <f t="array" ref="O86">MIN(IF((OutputTable[GroupByKey]=OutputTable[[#This Row],[GroupByKey]]),(OutputTable[GroupByKey]=OutputTable[[#This Row],[GroupByKey]])*OutputTable[RecordedValue]))</f>
        <v>2</v>
      </c>
      <c r="P86" s="5" cm="1">
        <f t="array" ref="P86">MAX(IF((OutputTable[GroupByKey]=OutputTable[[#This Row],[GroupByKey]]),(OutputTable[GroupByKey]=OutputTable[[#This Row],[GroupByKey]])*OutputTable[RecordedValue]))</f>
        <v>5</v>
      </c>
    </row>
    <row r="87" spans="1:16" x14ac:dyDescent="0.35">
      <c r="A87" t="s">
        <v>66</v>
      </c>
      <c r="B87" t="s">
        <v>69</v>
      </c>
      <c r="C87">
        <v>18</v>
      </c>
      <c r="D87" t="s">
        <v>88</v>
      </c>
      <c r="E87" t="s">
        <v>89</v>
      </c>
      <c r="F87" t="s">
        <v>72</v>
      </c>
      <c r="G87">
        <v>7</v>
      </c>
      <c r="H87">
        <v>0</v>
      </c>
      <c r="I87" s="5" t="str">
        <f>OutputTable[[#This Row],[ProjectName]]&amp;OutputTable[[#This Row],[Name]]&amp;OutputTable[[#This Row],[Type]]&amp;OutputTable[[#This Row],[Source]]</f>
        <v>Unnamed ProjectArquivos.NumberInNumber InEntity</v>
      </c>
      <c r="J87" s="5" cm="1">
        <f t="array" ref="J87">MAX(IF((ProjectInfoTable[ProjectName]=OutputTable[[#This Row],[ProjectName]]),(ProjectInfoTable[ProjectName]=OutputTable[[#This Row],[ProjectName]])*ProjectInfoTable[NumberOfReplications]))</f>
        <v>50</v>
      </c>
      <c r="K87" s="5" cm="1">
        <f t="array" ref="K87">IFERROR(AVERAGE(IF((OutputTable[GroupByKey]=OutputTable[[#This Row],[GroupByKey]]),(OutputTable[GroupByKey]=OutputTable[[#This Row],[GroupByKey]])*OutputTable[RecordedValue])),0)</f>
        <v>6.48</v>
      </c>
      <c r="L87" s="5" cm="1">
        <f t="array" ref="L87">IFERROR(_xlfn.STDEV.S(IF((OutputTable[GroupByKey]=OutputTable[[#This Row],[GroupByKey]]),(OutputTable[GroupByKey]=OutputTable[[#This Row],[GroupByKey]])*OutputTable[RecordedValue])),0)</f>
        <v>1.7984119979264248</v>
      </c>
      <c r="M87" s="5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0.51110303469648288</v>
      </c>
      <c r="O87" s="5" cm="1">
        <f t="array" ref="O87">MIN(IF((OutputTable[GroupByKey]=OutputTable[[#This Row],[GroupByKey]]),(OutputTable[GroupByKey]=OutputTable[[#This Row],[GroupByKey]])*OutputTable[RecordedValue]))</f>
        <v>3</v>
      </c>
      <c r="P87" s="5" cm="1">
        <f t="array" ref="P87">MAX(IF((OutputTable[GroupByKey]=OutputTable[[#This Row],[GroupByKey]]),(OutputTable[GroupByKey]=OutputTable[[#This Row],[GroupByKey]])*OutputTable[RecordedValue]))</f>
        <v>13</v>
      </c>
    </row>
    <row r="88" spans="1:16" x14ac:dyDescent="0.35">
      <c r="A88" t="s">
        <v>66</v>
      </c>
      <c r="B88" t="s">
        <v>69</v>
      </c>
      <c r="C88">
        <v>18</v>
      </c>
      <c r="D88" t="s">
        <v>90</v>
      </c>
      <c r="E88" t="s">
        <v>91</v>
      </c>
      <c r="F88" t="s">
        <v>72</v>
      </c>
      <c r="G88">
        <v>5</v>
      </c>
      <c r="H88">
        <v>0</v>
      </c>
      <c r="I88" s="5" t="str">
        <f>OutputTable[[#This Row],[ProjectName]]&amp;OutputTable[[#This Row],[Name]]&amp;OutputTable[[#This Row],[Type]]&amp;OutputTable[[#This Row],[Source]]</f>
        <v>Unnamed ProjectArquivos.NumberOutNumber OutEntity</v>
      </c>
      <c r="J88" s="5" cm="1">
        <f t="array" ref="J88">MAX(IF((ProjectInfoTable[ProjectName]=OutputTable[[#This Row],[ProjectName]]),(ProjectInfoTable[ProjectName]=OutputTable[[#This Row],[ProjectName]])*ProjectInfoTable[NumberOfReplications]))</f>
        <v>50</v>
      </c>
      <c r="K88" s="5" cm="1">
        <f t="array" ref="K88">IFERROR(AVERAGE(IF((OutputTable[GroupByKey]=OutputTable[[#This Row],[GroupByKey]]),(OutputTable[GroupByKey]=OutputTable[[#This Row],[GroupByKey]])*OutputTable[RecordedValue])),0)</f>
        <v>3.62</v>
      </c>
      <c r="L88" s="5" cm="1">
        <f t="array" ref="L88">IFERROR(_xlfn.STDEV.S(IF((OutputTable[GroupByKey]=OutputTable[[#This Row],[GroupByKey]]),(OutputTable[GroupByKey]=OutputTable[[#This Row],[GroupByKey]])*OutputTable[RecordedValue])),0)</f>
        <v>0.77958649426527116</v>
      </c>
      <c r="M88" s="5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88" s="5" cm="1">
        <f t="array" ref="O88">MIN(IF((OutputTable[GroupByKey]=OutputTable[[#This Row],[GroupByKey]]),(OutputTable[GroupByKey]=OutputTable[[#This Row],[GroupByKey]])*OutputTable[RecordedValue]))</f>
        <v>2</v>
      </c>
      <c r="P88" s="5" cm="1">
        <f t="array" ref="P88">MAX(IF((OutputTable[GroupByKey]=OutputTable[[#This Row],[GroupByKey]]),(OutputTable[GroupByKey]=OutputTable[[#This Row],[GroupByKey]])*OutputTable[RecordedValue]))</f>
        <v>5</v>
      </c>
    </row>
    <row r="89" spans="1:16" x14ac:dyDescent="0.35">
      <c r="A89" t="s">
        <v>66</v>
      </c>
      <c r="B89" t="s">
        <v>69</v>
      </c>
      <c r="C89">
        <v>18</v>
      </c>
      <c r="D89" t="s">
        <v>92</v>
      </c>
      <c r="E89" t="s">
        <v>93</v>
      </c>
      <c r="F89" t="s">
        <v>85</v>
      </c>
      <c r="G89">
        <v>6</v>
      </c>
      <c r="H89">
        <v>0</v>
      </c>
      <c r="I89" s="5" t="str">
        <f>OutputTable[[#This Row],[ProjectName]]&amp;OutputTable[[#This Row],[Name]]&amp;OutputTable[[#This Row],[Type]]&amp;OutputTable[[#This Row],[Source]]</f>
        <v>Unnamed ProjectOperador.NumberSeizedTotal Number SeizedResource</v>
      </c>
      <c r="J89" s="5" cm="1">
        <f t="array" ref="J89">MAX(IF((ProjectInfoTable[ProjectName]=OutputTable[[#This Row],[ProjectName]]),(ProjectInfoTable[ProjectName]=OutputTable[[#This Row],[ProjectName]])*ProjectInfoTable[NumberOfReplications]))</f>
        <v>50</v>
      </c>
      <c r="K89" s="5" cm="1">
        <f t="array" ref="K89">IFERROR(AVERAGE(IF((OutputTable[GroupByKey]=OutputTable[[#This Row],[GroupByKey]]),(OutputTable[GroupByKey]=OutputTable[[#This Row],[GroupByKey]])*OutputTable[RecordedValue])),0)</f>
        <v>4.58</v>
      </c>
      <c r="L89" s="5" cm="1">
        <f t="array" ref="L89">IFERROR(_xlfn.STDEV.S(IF((OutputTable[GroupByKey]=OutputTable[[#This Row],[GroupByKey]]),(OutputTable[GroupByKey]=OutputTable[[#This Row],[GroupByKey]])*OutputTable[RecordedValue])),0)</f>
        <v>0.78480466827545059</v>
      </c>
      <c r="M89" s="5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0.22303901890225239</v>
      </c>
      <c r="O89" s="5" cm="1">
        <f t="array" ref="O89">MIN(IF((OutputTable[GroupByKey]=OutputTable[[#This Row],[GroupByKey]]),(OutputTable[GroupByKey]=OutputTable[[#This Row],[GroupByKey]])*OutputTable[RecordedValue]))</f>
        <v>3</v>
      </c>
      <c r="P89" s="5" cm="1">
        <f t="array" ref="P89">MAX(IF((OutputTable[GroupByKey]=OutputTable[[#This Row],[GroupByKey]]),(OutputTable[GroupByKey]=OutputTable[[#This Row],[GroupByKey]])*OutputTable[RecordedValue]))</f>
        <v>6</v>
      </c>
    </row>
    <row r="90" spans="1:16" x14ac:dyDescent="0.35">
      <c r="A90" t="s">
        <v>66</v>
      </c>
      <c r="B90" t="s">
        <v>69</v>
      </c>
      <c r="C90">
        <v>18</v>
      </c>
      <c r="D90" t="s">
        <v>94</v>
      </c>
      <c r="E90" t="s">
        <v>95</v>
      </c>
      <c r="F90" t="s">
        <v>85</v>
      </c>
      <c r="G90">
        <v>0.82152455051824103</v>
      </c>
      <c r="H90">
        <v>0</v>
      </c>
      <c r="I90" s="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90" s="5" cm="1">
        <f t="array" ref="J90">MAX(IF((ProjectInfoTable[ProjectName]=OutputTable[[#This Row],[ProjectName]]),(ProjectInfoTable[ProjectName]=OutputTable[[#This Row],[ProjectName]])*ProjectInfoTable[NumberOfReplications]))</f>
        <v>50</v>
      </c>
      <c r="K90" s="5" cm="1">
        <f t="array" ref="K90">IFERROR(AVERAGE(IF((OutputTable[GroupByKey]=OutputTable[[#This Row],[GroupByKey]]),(OutputTable[GroupByKey]=OutputTable[[#This Row],[GroupByKey]])*OutputTable[RecordedValue])),0)</f>
        <v>0.92637977941440086</v>
      </c>
      <c r="L90" s="5" cm="1">
        <f t="array" ref="L90">IFERROR(_xlfn.STDEV.S(IF((OutputTable[GroupByKey]=OutputTable[[#This Row],[GroupByKey]]),(OutputTable[GroupByKey]=OutputTable[[#This Row],[GroupByKey]])*OutputTable[RecordedValue])),0)</f>
        <v>0.11789675502181338</v>
      </c>
      <c r="M90" s="5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3.350588705034975E-2</v>
      </c>
      <c r="O90" s="5" cm="1">
        <f t="array" ref="O90">MIN(IF((OutputTable[GroupByKey]=OutputTable[[#This Row],[GroupByKey]]),(OutputTable[GroupByKey]=OutputTable[[#This Row],[GroupByKey]])*OutputTable[RecordedValue]))</f>
        <v>0.60846830422583797</v>
      </c>
      <c r="P90" s="5" cm="1">
        <f t="array" ref="P90">MAX(IF((OutputTable[GroupByKey]=OutputTable[[#This Row],[GroupByKey]]),(OutputTable[GroupByKey]=OutputTable[[#This Row],[GroupByKey]])*OutputTable[RecordedValue]))</f>
        <v>1</v>
      </c>
    </row>
    <row r="91" spans="1:16" x14ac:dyDescent="0.35">
      <c r="A91" t="s">
        <v>66</v>
      </c>
      <c r="B91" t="s">
        <v>69</v>
      </c>
      <c r="C91">
        <v>18</v>
      </c>
      <c r="D91" t="s">
        <v>96</v>
      </c>
      <c r="E91" t="s">
        <v>91</v>
      </c>
      <c r="F91" t="s">
        <v>97</v>
      </c>
      <c r="G91">
        <v>5</v>
      </c>
      <c r="H91">
        <v>0</v>
      </c>
      <c r="I91" s="5" t="str">
        <f>OutputTable[[#This Row],[ProjectName]]&amp;OutputTable[[#This Row],[Name]]&amp;OutputTable[[#This Row],[Type]]&amp;OutputTable[[#This Row],[Source]]</f>
        <v>Unnamed ProjectSystem.NumberOutNumber OutSystem</v>
      </c>
      <c r="J91" s="5" cm="1">
        <f t="array" ref="J91">MAX(IF((ProjectInfoTable[ProjectName]=OutputTable[[#This Row],[ProjectName]]),(ProjectInfoTable[ProjectName]=OutputTable[[#This Row],[ProjectName]])*ProjectInfoTable[NumberOfReplications]))</f>
        <v>50</v>
      </c>
      <c r="K91" s="5" cm="1">
        <f t="array" ref="K91">IFERROR(AVERAGE(IF((OutputTable[GroupByKey]=OutputTable[[#This Row],[GroupByKey]]),(OutputTable[GroupByKey]=OutputTable[[#This Row],[GroupByKey]])*OutputTable[RecordedValue])),0)</f>
        <v>3.62</v>
      </c>
      <c r="L91" s="5" cm="1">
        <f t="array" ref="L91">IFERROR(_xlfn.STDEV.S(IF((OutputTable[GroupByKey]=OutputTable[[#This Row],[GroupByKey]]),(OutputTable[GroupByKey]=OutputTable[[#This Row],[GroupByKey]])*OutputTable[RecordedValue])),0)</f>
        <v>0.77958649426527116</v>
      </c>
      <c r="M91" s="5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91" s="5" cm="1">
        <f t="array" ref="O91">MIN(IF((OutputTable[GroupByKey]=OutputTable[[#This Row],[GroupByKey]]),(OutputTable[GroupByKey]=OutputTable[[#This Row],[GroupByKey]])*OutputTable[RecordedValue]))</f>
        <v>2</v>
      </c>
      <c r="P91" s="5" cm="1">
        <f t="array" ref="P91">MAX(IF((OutputTable[GroupByKey]=OutputTable[[#This Row],[GroupByKey]]),(OutputTable[GroupByKey]=OutputTable[[#This Row],[GroupByKey]])*OutputTable[RecordedValue]))</f>
        <v>5</v>
      </c>
    </row>
    <row r="92" spans="1:16" x14ac:dyDescent="0.35">
      <c r="A92" t="s">
        <v>66</v>
      </c>
      <c r="B92" t="s">
        <v>69</v>
      </c>
      <c r="C92">
        <v>19</v>
      </c>
      <c r="D92" t="s">
        <v>88</v>
      </c>
      <c r="E92" t="s">
        <v>89</v>
      </c>
      <c r="F92" t="s">
        <v>72</v>
      </c>
      <c r="G92">
        <v>7</v>
      </c>
      <c r="H92">
        <v>0</v>
      </c>
      <c r="I92" s="5" t="str">
        <f>OutputTable[[#This Row],[ProjectName]]&amp;OutputTable[[#This Row],[Name]]&amp;OutputTable[[#This Row],[Type]]&amp;OutputTable[[#This Row],[Source]]</f>
        <v>Unnamed ProjectArquivos.NumberInNumber InEntity</v>
      </c>
      <c r="J92" s="5" cm="1">
        <f t="array" ref="J92">MAX(IF((ProjectInfoTable[ProjectName]=OutputTable[[#This Row],[ProjectName]]),(ProjectInfoTable[ProjectName]=OutputTable[[#This Row],[ProjectName]])*ProjectInfoTable[NumberOfReplications]))</f>
        <v>50</v>
      </c>
      <c r="K92" s="5" cm="1">
        <f t="array" ref="K92">IFERROR(AVERAGE(IF((OutputTable[GroupByKey]=OutputTable[[#This Row],[GroupByKey]]),(OutputTable[GroupByKey]=OutputTable[[#This Row],[GroupByKey]])*OutputTable[RecordedValue])),0)</f>
        <v>6.48</v>
      </c>
      <c r="L92" s="5" cm="1">
        <f t="array" ref="L92">IFERROR(_xlfn.STDEV.S(IF((OutputTable[GroupByKey]=OutputTable[[#This Row],[GroupByKey]]),(OutputTable[GroupByKey]=OutputTable[[#This Row],[GroupByKey]])*OutputTable[RecordedValue])),0)</f>
        <v>1.7984119979264248</v>
      </c>
      <c r="M92" s="5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0.51110303469648288</v>
      </c>
      <c r="O92" s="5" cm="1">
        <f t="array" ref="O92">MIN(IF((OutputTable[GroupByKey]=OutputTable[[#This Row],[GroupByKey]]),(OutputTable[GroupByKey]=OutputTable[[#This Row],[GroupByKey]])*OutputTable[RecordedValue]))</f>
        <v>3</v>
      </c>
      <c r="P92" s="5" cm="1">
        <f t="array" ref="P92">MAX(IF((OutputTable[GroupByKey]=OutputTable[[#This Row],[GroupByKey]]),(OutputTable[GroupByKey]=OutputTable[[#This Row],[GroupByKey]])*OutputTable[RecordedValue]))</f>
        <v>13</v>
      </c>
    </row>
    <row r="93" spans="1:16" x14ac:dyDescent="0.35">
      <c r="A93" t="s">
        <v>66</v>
      </c>
      <c r="B93" t="s">
        <v>69</v>
      </c>
      <c r="C93">
        <v>19</v>
      </c>
      <c r="D93" t="s">
        <v>90</v>
      </c>
      <c r="E93" t="s">
        <v>91</v>
      </c>
      <c r="F93" t="s">
        <v>72</v>
      </c>
      <c r="G93">
        <v>4</v>
      </c>
      <c r="H93">
        <v>0</v>
      </c>
      <c r="I93" s="5" t="str">
        <f>OutputTable[[#This Row],[ProjectName]]&amp;OutputTable[[#This Row],[Name]]&amp;OutputTable[[#This Row],[Type]]&amp;OutputTable[[#This Row],[Source]]</f>
        <v>Unnamed ProjectArquivos.NumberOutNumber OutEntity</v>
      </c>
      <c r="J93" s="5" cm="1">
        <f t="array" ref="J93">MAX(IF((ProjectInfoTable[ProjectName]=OutputTable[[#This Row],[ProjectName]]),(ProjectInfoTable[ProjectName]=OutputTable[[#This Row],[ProjectName]])*ProjectInfoTable[NumberOfReplications]))</f>
        <v>50</v>
      </c>
      <c r="K93" s="5" cm="1">
        <f t="array" ref="K93">IFERROR(AVERAGE(IF((OutputTable[GroupByKey]=OutputTable[[#This Row],[GroupByKey]]),(OutputTable[GroupByKey]=OutputTable[[#This Row],[GroupByKey]])*OutputTable[RecordedValue])),0)</f>
        <v>3.62</v>
      </c>
      <c r="L93" s="5" cm="1">
        <f t="array" ref="L93">IFERROR(_xlfn.STDEV.S(IF((OutputTable[GroupByKey]=OutputTable[[#This Row],[GroupByKey]]),(OutputTable[GroupByKey]=OutputTable[[#This Row],[GroupByKey]])*OutputTable[RecordedValue])),0)</f>
        <v>0.77958649426527116</v>
      </c>
      <c r="M93" s="5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93" s="5" cm="1">
        <f t="array" ref="O93">MIN(IF((OutputTable[GroupByKey]=OutputTable[[#This Row],[GroupByKey]]),(OutputTable[GroupByKey]=OutputTable[[#This Row],[GroupByKey]])*OutputTable[RecordedValue]))</f>
        <v>2</v>
      </c>
      <c r="P93" s="5" cm="1">
        <f t="array" ref="P93">MAX(IF((OutputTable[GroupByKey]=OutputTable[[#This Row],[GroupByKey]]),(OutputTable[GroupByKey]=OutputTable[[#This Row],[GroupByKey]])*OutputTable[RecordedValue]))</f>
        <v>5</v>
      </c>
    </row>
    <row r="94" spans="1:16" x14ac:dyDescent="0.35">
      <c r="A94" t="s">
        <v>66</v>
      </c>
      <c r="B94" t="s">
        <v>69</v>
      </c>
      <c r="C94">
        <v>19</v>
      </c>
      <c r="D94" t="s">
        <v>92</v>
      </c>
      <c r="E94" t="s">
        <v>93</v>
      </c>
      <c r="F94" t="s">
        <v>85</v>
      </c>
      <c r="G94">
        <v>5</v>
      </c>
      <c r="H94">
        <v>0</v>
      </c>
      <c r="I94" s="5" t="str">
        <f>OutputTable[[#This Row],[ProjectName]]&amp;OutputTable[[#This Row],[Name]]&amp;OutputTable[[#This Row],[Type]]&amp;OutputTable[[#This Row],[Source]]</f>
        <v>Unnamed ProjectOperador.NumberSeizedTotal Number SeizedResource</v>
      </c>
      <c r="J94" s="5" cm="1">
        <f t="array" ref="J94">MAX(IF((ProjectInfoTable[ProjectName]=OutputTable[[#This Row],[ProjectName]]),(ProjectInfoTable[ProjectName]=OutputTable[[#This Row],[ProjectName]])*ProjectInfoTable[NumberOfReplications]))</f>
        <v>50</v>
      </c>
      <c r="K94" s="5" cm="1">
        <f t="array" ref="K94">IFERROR(AVERAGE(IF((OutputTable[GroupByKey]=OutputTable[[#This Row],[GroupByKey]]),(OutputTable[GroupByKey]=OutputTable[[#This Row],[GroupByKey]])*OutputTable[RecordedValue])),0)</f>
        <v>4.58</v>
      </c>
      <c r="L94" s="5" cm="1">
        <f t="array" ref="L94">IFERROR(_xlfn.STDEV.S(IF((OutputTable[GroupByKey]=OutputTable[[#This Row],[GroupByKey]]),(OutputTable[GroupByKey]=OutputTable[[#This Row],[GroupByKey]])*OutputTable[RecordedValue])),0)</f>
        <v>0.78480466827545059</v>
      </c>
      <c r="M94" s="5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0.22303901890225239</v>
      </c>
      <c r="O94" s="5" cm="1">
        <f t="array" ref="O94">MIN(IF((OutputTable[GroupByKey]=OutputTable[[#This Row],[GroupByKey]]),(OutputTable[GroupByKey]=OutputTable[[#This Row],[GroupByKey]])*OutputTable[RecordedValue]))</f>
        <v>3</v>
      </c>
      <c r="P94" s="5" cm="1">
        <f t="array" ref="P94">MAX(IF((OutputTable[GroupByKey]=OutputTable[[#This Row],[GroupByKey]]),(OutputTable[GroupByKey]=OutputTable[[#This Row],[GroupByKey]])*OutputTable[RecordedValue]))</f>
        <v>6</v>
      </c>
    </row>
    <row r="95" spans="1:16" x14ac:dyDescent="0.35">
      <c r="A95" t="s">
        <v>66</v>
      </c>
      <c r="B95" t="s">
        <v>69</v>
      </c>
      <c r="C95">
        <v>19</v>
      </c>
      <c r="D95" t="s">
        <v>94</v>
      </c>
      <c r="E95" t="s">
        <v>95</v>
      </c>
      <c r="F95" t="s">
        <v>85</v>
      </c>
      <c r="G95">
        <v>1</v>
      </c>
      <c r="H95">
        <v>0</v>
      </c>
      <c r="I95" s="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95" s="5" cm="1">
        <f t="array" ref="J95">MAX(IF((ProjectInfoTable[ProjectName]=OutputTable[[#This Row],[ProjectName]]),(ProjectInfoTable[ProjectName]=OutputTable[[#This Row],[ProjectName]])*ProjectInfoTable[NumberOfReplications]))</f>
        <v>50</v>
      </c>
      <c r="K95" s="5" cm="1">
        <f t="array" ref="K95">IFERROR(AVERAGE(IF((OutputTable[GroupByKey]=OutputTable[[#This Row],[GroupByKey]]),(OutputTable[GroupByKey]=OutputTable[[#This Row],[GroupByKey]])*OutputTable[RecordedValue])),0)</f>
        <v>0.92637977941440086</v>
      </c>
      <c r="L95" s="5" cm="1">
        <f t="array" ref="L95">IFERROR(_xlfn.STDEV.S(IF((OutputTable[GroupByKey]=OutputTable[[#This Row],[GroupByKey]]),(OutputTable[GroupByKey]=OutputTable[[#This Row],[GroupByKey]])*OutputTable[RecordedValue])),0)</f>
        <v>0.11789675502181338</v>
      </c>
      <c r="M95" s="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3.350588705034975E-2</v>
      </c>
      <c r="O95" s="5" cm="1">
        <f t="array" ref="O95">MIN(IF((OutputTable[GroupByKey]=OutputTable[[#This Row],[GroupByKey]]),(OutputTable[GroupByKey]=OutputTable[[#This Row],[GroupByKey]])*OutputTable[RecordedValue]))</f>
        <v>0.60846830422583797</v>
      </c>
      <c r="P95" s="5" cm="1">
        <f t="array" ref="P95">MAX(IF((OutputTable[GroupByKey]=OutputTable[[#This Row],[GroupByKey]]),(OutputTable[GroupByKey]=OutputTable[[#This Row],[GroupByKey]])*OutputTable[RecordedValue]))</f>
        <v>1</v>
      </c>
    </row>
    <row r="96" spans="1:16" x14ac:dyDescent="0.35">
      <c r="A96" t="s">
        <v>66</v>
      </c>
      <c r="B96" t="s">
        <v>69</v>
      </c>
      <c r="C96">
        <v>19</v>
      </c>
      <c r="D96" t="s">
        <v>96</v>
      </c>
      <c r="E96" t="s">
        <v>91</v>
      </c>
      <c r="F96" t="s">
        <v>97</v>
      </c>
      <c r="G96">
        <v>4</v>
      </c>
      <c r="H96">
        <v>0</v>
      </c>
      <c r="I96" s="5" t="str">
        <f>OutputTable[[#This Row],[ProjectName]]&amp;OutputTable[[#This Row],[Name]]&amp;OutputTable[[#This Row],[Type]]&amp;OutputTable[[#This Row],[Source]]</f>
        <v>Unnamed ProjectSystem.NumberOutNumber OutSystem</v>
      </c>
      <c r="J96" s="5" cm="1">
        <f t="array" ref="J96">MAX(IF((ProjectInfoTable[ProjectName]=OutputTable[[#This Row],[ProjectName]]),(ProjectInfoTable[ProjectName]=OutputTable[[#This Row],[ProjectName]])*ProjectInfoTable[NumberOfReplications]))</f>
        <v>50</v>
      </c>
      <c r="K96" s="5" cm="1">
        <f t="array" ref="K96">IFERROR(AVERAGE(IF((OutputTable[GroupByKey]=OutputTable[[#This Row],[GroupByKey]]),(OutputTable[GroupByKey]=OutputTable[[#This Row],[GroupByKey]])*OutputTable[RecordedValue])),0)</f>
        <v>3.62</v>
      </c>
      <c r="L96" s="5" cm="1">
        <f t="array" ref="L96">IFERROR(_xlfn.STDEV.S(IF((OutputTable[GroupByKey]=OutputTable[[#This Row],[GroupByKey]]),(OutputTable[GroupByKey]=OutputTable[[#This Row],[GroupByKey]])*OutputTable[RecordedValue])),0)</f>
        <v>0.77958649426527116</v>
      </c>
      <c r="M96" s="5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96" s="5" cm="1">
        <f t="array" ref="O96">MIN(IF((OutputTable[GroupByKey]=OutputTable[[#This Row],[GroupByKey]]),(OutputTable[GroupByKey]=OutputTable[[#This Row],[GroupByKey]])*OutputTable[RecordedValue]))</f>
        <v>2</v>
      </c>
      <c r="P96" s="5" cm="1">
        <f t="array" ref="P96">MAX(IF((OutputTable[GroupByKey]=OutputTable[[#This Row],[GroupByKey]]),(OutputTable[GroupByKey]=OutputTable[[#This Row],[GroupByKey]])*OutputTable[RecordedValue]))</f>
        <v>5</v>
      </c>
    </row>
    <row r="97" spans="1:16" x14ac:dyDescent="0.35">
      <c r="A97" t="s">
        <v>66</v>
      </c>
      <c r="B97" t="s">
        <v>69</v>
      </c>
      <c r="C97">
        <v>20</v>
      </c>
      <c r="D97" t="s">
        <v>88</v>
      </c>
      <c r="E97" t="s">
        <v>89</v>
      </c>
      <c r="F97" t="s">
        <v>72</v>
      </c>
      <c r="G97">
        <v>9</v>
      </c>
      <c r="H97">
        <v>0</v>
      </c>
      <c r="I97" s="5" t="str">
        <f>OutputTable[[#This Row],[ProjectName]]&amp;OutputTable[[#This Row],[Name]]&amp;OutputTable[[#This Row],[Type]]&amp;OutputTable[[#This Row],[Source]]</f>
        <v>Unnamed ProjectArquivos.NumberInNumber InEntity</v>
      </c>
      <c r="J97" s="5" cm="1">
        <f t="array" ref="J97">MAX(IF((ProjectInfoTable[ProjectName]=OutputTable[[#This Row],[ProjectName]]),(ProjectInfoTable[ProjectName]=OutputTable[[#This Row],[ProjectName]])*ProjectInfoTable[NumberOfReplications]))</f>
        <v>50</v>
      </c>
      <c r="K97" s="5" cm="1">
        <f t="array" ref="K97">IFERROR(AVERAGE(IF((OutputTable[GroupByKey]=OutputTable[[#This Row],[GroupByKey]]),(OutputTable[GroupByKey]=OutputTable[[#This Row],[GroupByKey]])*OutputTable[RecordedValue])),0)</f>
        <v>6.48</v>
      </c>
      <c r="L97" s="5" cm="1">
        <f t="array" ref="L97">IFERROR(_xlfn.STDEV.S(IF((OutputTable[GroupByKey]=OutputTable[[#This Row],[GroupByKey]]),(OutputTable[GroupByKey]=OutputTable[[#This Row],[GroupByKey]])*OutputTable[RecordedValue])),0)</f>
        <v>1.7984119979264248</v>
      </c>
      <c r="M97" s="5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0.51110303469648288</v>
      </c>
      <c r="O97" s="5" cm="1">
        <f t="array" ref="O97">MIN(IF((OutputTable[GroupByKey]=OutputTable[[#This Row],[GroupByKey]]),(OutputTable[GroupByKey]=OutputTable[[#This Row],[GroupByKey]])*OutputTable[RecordedValue]))</f>
        <v>3</v>
      </c>
      <c r="P97" s="5" cm="1">
        <f t="array" ref="P97">MAX(IF((OutputTable[GroupByKey]=OutputTable[[#This Row],[GroupByKey]]),(OutputTable[GroupByKey]=OutputTable[[#This Row],[GroupByKey]])*OutputTable[RecordedValue]))</f>
        <v>13</v>
      </c>
    </row>
    <row r="98" spans="1:16" x14ac:dyDescent="0.35">
      <c r="A98" t="s">
        <v>66</v>
      </c>
      <c r="B98" t="s">
        <v>69</v>
      </c>
      <c r="C98">
        <v>20</v>
      </c>
      <c r="D98" t="s">
        <v>90</v>
      </c>
      <c r="E98" t="s">
        <v>91</v>
      </c>
      <c r="F98" t="s">
        <v>72</v>
      </c>
      <c r="G98">
        <v>4</v>
      </c>
      <c r="H98">
        <v>0</v>
      </c>
      <c r="I98" s="5" t="str">
        <f>OutputTable[[#This Row],[ProjectName]]&amp;OutputTable[[#This Row],[Name]]&amp;OutputTable[[#This Row],[Type]]&amp;OutputTable[[#This Row],[Source]]</f>
        <v>Unnamed ProjectArquivos.NumberOutNumber OutEntity</v>
      </c>
      <c r="J98" s="5" cm="1">
        <f t="array" ref="J98">MAX(IF((ProjectInfoTable[ProjectName]=OutputTable[[#This Row],[ProjectName]]),(ProjectInfoTable[ProjectName]=OutputTable[[#This Row],[ProjectName]])*ProjectInfoTable[NumberOfReplications]))</f>
        <v>50</v>
      </c>
      <c r="K98" s="5" cm="1">
        <f t="array" ref="K98">IFERROR(AVERAGE(IF((OutputTable[GroupByKey]=OutputTable[[#This Row],[GroupByKey]]),(OutputTable[GroupByKey]=OutputTable[[#This Row],[GroupByKey]])*OutputTable[RecordedValue])),0)</f>
        <v>3.62</v>
      </c>
      <c r="L98" s="5" cm="1">
        <f t="array" ref="L98">IFERROR(_xlfn.STDEV.S(IF((OutputTable[GroupByKey]=OutputTable[[#This Row],[GroupByKey]]),(OutputTable[GroupByKey]=OutputTable[[#This Row],[GroupByKey]])*OutputTable[RecordedValue])),0)</f>
        <v>0.77958649426527116</v>
      </c>
      <c r="M98" s="5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98" s="5" cm="1">
        <f t="array" ref="O98">MIN(IF((OutputTable[GroupByKey]=OutputTable[[#This Row],[GroupByKey]]),(OutputTable[GroupByKey]=OutputTable[[#This Row],[GroupByKey]])*OutputTable[RecordedValue]))</f>
        <v>2</v>
      </c>
      <c r="P98" s="5" cm="1">
        <f t="array" ref="P98">MAX(IF((OutputTable[GroupByKey]=OutputTable[[#This Row],[GroupByKey]]),(OutputTable[GroupByKey]=OutputTable[[#This Row],[GroupByKey]])*OutputTable[RecordedValue]))</f>
        <v>5</v>
      </c>
    </row>
    <row r="99" spans="1:16" x14ac:dyDescent="0.35">
      <c r="A99" t="s">
        <v>66</v>
      </c>
      <c r="B99" t="s">
        <v>69</v>
      </c>
      <c r="C99">
        <v>20</v>
      </c>
      <c r="D99" t="s">
        <v>92</v>
      </c>
      <c r="E99" t="s">
        <v>93</v>
      </c>
      <c r="F99" t="s">
        <v>85</v>
      </c>
      <c r="G99">
        <v>5</v>
      </c>
      <c r="H99">
        <v>0</v>
      </c>
      <c r="I99" s="5" t="str">
        <f>OutputTable[[#This Row],[ProjectName]]&amp;OutputTable[[#This Row],[Name]]&amp;OutputTable[[#This Row],[Type]]&amp;OutputTable[[#This Row],[Source]]</f>
        <v>Unnamed ProjectOperador.NumberSeizedTotal Number SeizedResource</v>
      </c>
      <c r="J99" s="5" cm="1">
        <f t="array" ref="J99">MAX(IF((ProjectInfoTable[ProjectName]=OutputTable[[#This Row],[ProjectName]]),(ProjectInfoTable[ProjectName]=OutputTable[[#This Row],[ProjectName]])*ProjectInfoTable[NumberOfReplications]))</f>
        <v>50</v>
      </c>
      <c r="K99" s="5" cm="1">
        <f t="array" ref="K99">IFERROR(AVERAGE(IF((OutputTable[GroupByKey]=OutputTable[[#This Row],[GroupByKey]]),(OutputTable[GroupByKey]=OutputTable[[#This Row],[GroupByKey]])*OutputTable[RecordedValue])),0)</f>
        <v>4.58</v>
      </c>
      <c r="L99" s="5" cm="1">
        <f t="array" ref="L99">IFERROR(_xlfn.STDEV.S(IF((OutputTable[GroupByKey]=OutputTable[[#This Row],[GroupByKey]]),(OutputTable[GroupByKey]=OutputTable[[#This Row],[GroupByKey]])*OutputTable[RecordedValue])),0)</f>
        <v>0.78480466827545059</v>
      </c>
      <c r="M99" s="5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0.22303901890225239</v>
      </c>
      <c r="O99" s="5" cm="1">
        <f t="array" ref="O99">MIN(IF((OutputTable[GroupByKey]=OutputTable[[#This Row],[GroupByKey]]),(OutputTable[GroupByKey]=OutputTable[[#This Row],[GroupByKey]])*OutputTable[RecordedValue]))</f>
        <v>3</v>
      </c>
      <c r="P99" s="5" cm="1">
        <f t="array" ref="P99">MAX(IF((OutputTable[GroupByKey]=OutputTable[[#This Row],[GroupByKey]]),(OutputTable[GroupByKey]=OutputTable[[#This Row],[GroupByKey]])*OutputTable[RecordedValue]))</f>
        <v>6</v>
      </c>
    </row>
    <row r="100" spans="1:16" x14ac:dyDescent="0.35">
      <c r="A100" t="s">
        <v>66</v>
      </c>
      <c r="B100" t="s">
        <v>69</v>
      </c>
      <c r="C100">
        <v>20</v>
      </c>
      <c r="D100" t="s">
        <v>94</v>
      </c>
      <c r="E100" t="s">
        <v>95</v>
      </c>
      <c r="F100" t="s">
        <v>85</v>
      </c>
      <c r="G100">
        <v>1</v>
      </c>
      <c r="H100">
        <v>0</v>
      </c>
      <c r="I100" s="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100" s="5" cm="1">
        <f t="array" ref="J100">MAX(IF((ProjectInfoTable[ProjectName]=OutputTable[[#This Row],[ProjectName]]),(ProjectInfoTable[ProjectName]=OutputTable[[#This Row],[ProjectName]])*ProjectInfoTable[NumberOfReplications]))</f>
        <v>50</v>
      </c>
      <c r="K100" s="5" cm="1">
        <f t="array" ref="K100">IFERROR(AVERAGE(IF((OutputTable[GroupByKey]=OutputTable[[#This Row],[GroupByKey]]),(OutputTable[GroupByKey]=OutputTable[[#This Row],[GroupByKey]])*OutputTable[RecordedValue])),0)</f>
        <v>0.92637977941440086</v>
      </c>
      <c r="L100" s="5" cm="1">
        <f t="array" ref="L100">IFERROR(_xlfn.STDEV.S(IF((OutputTable[GroupByKey]=OutputTable[[#This Row],[GroupByKey]]),(OutputTable[GroupByKey]=OutputTable[[#This Row],[GroupByKey]])*OutputTable[RecordedValue])),0)</f>
        <v>0.11789675502181338</v>
      </c>
      <c r="M100" s="5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3.350588705034975E-2</v>
      </c>
      <c r="O100" s="5" cm="1">
        <f t="array" ref="O100">MIN(IF((OutputTable[GroupByKey]=OutputTable[[#This Row],[GroupByKey]]),(OutputTable[GroupByKey]=OutputTable[[#This Row],[GroupByKey]])*OutputTable[RecordedValue]))</f>
        <v>0.60846830422583797</v>
      </c>
      <c r="P100" s="5" cm="1">
        <f t="array" ref="P100">MAX(IF((OutputTable[GroupByKey]=OutputTable[[#This Row],[GroupByKey]]),(OutputTable[GroupByKey]=OutputTable[[#This Row],[GroupByKey]])*OutputTable[RecordedValue]))</f>
        <v>1</v>
      </c>
    </row>
    <row r="101" spans="1:16" x14ac:dyDescent="0.35">
      <c r="A101" t="s">
        <v>66</v>
      </c>
      <c r="B101" t="s">
        <v>69</v>
      </c>
      <c r="C101">
        <v>20</v>
      </c>
      <c r="D101" t="s">
        <v>96</v>
      </c>
      <c r="E101" t="s">
        <v>91</v>
      </c>
      <c r="F101" t="s">
        <v>97</v>
      </c>
      <c r="G101">
        <v>4</v>
      </c>
      <c r="H101">
        <v>0</v>
      </c>
      <c r="I101" s="5" t="str">
        <f>OutputTable[[#This Row],[ProjectName]]&amp;OutputTable[[#This Row],[Name]]&amp;OutputTable[[#This Row],[Type]]&amp;OutputTable[[#This Row],[Source]]</f>
        <v>Unnamed ProjectSystem.NumberOutNumber OutSystem</v>
      </c>
      <c r="J101" s="5" cm="1">
        <f t="array" ref="J101">MAX(IF((ProjectInfoTable[ProjectName]=OutputTable[[#This Row],[ProjectName]]),(ProjectInfoTable[ProjectName]=OutputTable[[#This Row],[ProjectName]])*ProjectInfoTable[NumberOfReplications]))</f>
        <v>50</v>
      </c>
      <c r="K101" s="5" cm="1">
        <f t="array" ref="K101">IFERROR(AVERAGE(IF((OutputTable[GroupByKey]=OutputTable[[#This Row],[GroupByKey]]),(OutputTable[GroupByKey]=OutputTable[[#This Row],[GroupByKey]])*OutputTable[RecordedValue])),0)</f>
        <v>3.62</v>
      </c>
      <c r="L101" s="5" cm="1">
        <f t="array" ref="L101">IFERROR(_xlfn.STDEV.S(IF((OutputTable[GroupByKey]=OutputTable[[#This Row],[GroupByKey]]),(OutputTable[GroupByKey]=OutputTable[[#This Row],[GroupByKey]])*OutputTable[RecordedValue])),0)</f>
        <v>0.77958649426527116</v>
      </c>
      <c r="M101" s="5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101" s="5" cm="1">
        <f t="array" ref="O101">MIN(IF((OutputTable[GroupByKey]=OutputTable[[#This Row],[GroupByKey]]),(OutputTable[GroupByKey]=OutputTable[[#This Row],[GroupByKey]])*OutputTable[RecordedValue]))</f>
        <v>2</v>
      </c>
      <c r="P101" s="5" cm="1">
        <f t="array" ref="P101">MAX(IF((OutputTable[GroupByKey]=OutputTable[[#This Row],[GroupByKey]]),(OutputTable[GroupByKey]=OutputTable[[#This Row],[GroupByKey]])*OutputTable[RecordedValue]))</f>
        <v>5</v>
      </c>
    </row>
    <row r="102" spans="1:16" x14ac:dyDescent="0.35">
      <c r="A102" t="s">
        <v>66</v>
      </c>
      <c r="B102" t="s">
        <v>69</v>
      </c>
      <c r="C102">
        <v>21</v>
      </c>
      <c r="D102" t="s">
        <v>88</v>
      </c>
      <c r="E102" t="s">
        <v>89</v>
      </c>
      <c r="F102" t="s">
        <v>72</v>
      </c>
      <c r="G102">
        <v>6</v>
      </c>
      <c r="H102">
        <v>0</v>
      </c>
      <c r="I102" s="5" t="str">
        <f>OutputTable[[#This Row],[ProjectName]]&amp;OutputTable[[#This Row],[Name]]&amp;OutputTable[[#This Row],[Type]]&amp;OutputTable[[#This Row],[Source]]</f>
        <v>Unnamed ProjectArquivos.NumberInNumber InEntity</v>
      </c>
      <c r="J102" s="5" cm="1">
        <f t="array" ref="J102">MAX(IF((ProjectInfoTable[ProjectName]=OutputTable[[#This Row],[ProjectName]]),(ProjectInfoTable[ProjectName]=OutputTable[[#This Row],[ProjectName]])*ProjectInfoTable[NumberOfReplications]))</f>
        <v>50</v>
      </c>
      <c r="K102" s="5" cm="1">
        <f t="array" ref="K102">IFERROR(AVERAGE(IF((OutputTable[GroupByKey]=OutputTable[[#This Row],[GroupByKey]]),(OutputTable[GroupByKey]=OutputTable[[#This Row],[GroupByKey]])*OutputTable[RecordedValue])),0)</f>
        <v>6.48</v>
      </c>
      <c r="L102" s="5" cm="1">
        <f t="array" ref="L102">IFERROR(_xlfn.STDEV.S(IF((OutputTable[GroupByKey]=OutputTable[[#This Row],[GroupByKey]]),(OutputTable[GroupByKey]=OutputTable[[#This Row],[GroupByKey]])*OutputTable[RecordedValue])),0)</f>
        <v>1.7984119979264248</v>
      </c>
      <c r="M102" s="5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0.51110303469648288</v>
      </c>
      <c r="O102" s="5" cm="1">
        <f t="array" ref="O102">MIN(IF((OutputTable[GroupByKey]=OutputTable[[#This Row],[GroupByKey]]),(OutputTable[GroupByKey]=OutputTable[[#This Row],[GroupByKey]])*OutputTable[RecordedValue]))</f>
        <v>3</v>
      </c>
      <c r="P102" s="5" cm="1">
        <f t="array" ref="P102">MAX(IF((OutputTable[GroupByKey]=OutputTable[[#This Row],[GroupByKey]]),(OutputTable[GroupByKey]=OutputTable[[#This Row],[GroupByKey]])*OutputTable[RecordedValue]))</f>
        <v>13</v>
      </c>
    </row>
    <row r="103" spans="1:16" x14ac:dyDescent="0.35">
      <c r="A103" t="s">
        <v>66</v>
      </c>
      <c r="B103" t="s">
        <v>69</v>
      </c>
      <c r="C103">
        <v>21</v>
      </c>
      <c r="D103" t="s">
        <v>90</v>
      </c>
      <c r="E103" t="s">
        <v>91</v>
      </c>
      <c r="F103" t="s">
        <v>72</v>
      </c>
      <c r="G103">
        <v>3</v>
      </c>
      <c r="H103">
        <v>0</v>
      </c>
      <c r="I103" s="5" t="str">
        <f>OutputTable[[#This Row],[ProjectName]]&amp;OutputTable[[#This Row],[Name]]&amp;OutputTable[[#This Row],[Type]]&amp;OutputTable[[#This Row],[Source]]</f>
        <v>Unnamed ProjectArquivos.NumberOutNumber OutEntity</v>
      </c>
      <c r="J103" s="5" cm="1">
        <f t="array" ref="J103">MAX(IF((ProjectInfoTable[ProjectName]=OutputTable[[#This Row],[ProjectName]]),(ProjectInfoTable[ProjectName]=OutputTable[[#This Row],[ProjectName]])*ProjectInfoTable[NumberOfReplications]))</f>
        <v>50</v>
      </c>
      <c r="K103" s="5" cm="1">
        <f t="array" ref="K103">IFERROR(AVERAGE(IF((OutputTable[GroupByKey]=OutputTable[[#This Row],[GroupByKey]]),(OutputTable[GroupByKey]=OutputTable[[#This Row],[GroupByKey]])*OutputTable[RecordedValue])),0)</f>
        <v>3.62</v>
      </c>
      <c r="L103" s="5" cm="1">
        <f t="array" ref="L103">IFERROR(_xlfn.STDEV.S(IF((OutputTable[GroupByKey]=OutputTable[[#This Row],[GroupByKey]]),(OutputTable[GroupByKey]=OutputTable[[#This Row],[GroupByKey]])*OutputTable[RecordedValue])),0)</f>
        <v>0.77958649426527116</v>
      </c>
      <c r="M103" s="5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103" s="5" cm="1">
        <f t="array" ref="O103">MIN(IF((OutputTable[GroupByKey]=OutputTable[[#This Row],[GroupByKey]]),(OutputTable[GroupByKey]=OutputTable[[#This Row],[GroupByKey]])*OutputTable[RecordedValue]))</f>
        <v>2</v>
      </c>
      <c r="P103" s="5" cm="1">
        <f t="array" ref="P103">MAX(IF((OutputTable[GroupByKey]=OutputTable[[#This Row],[GroupByKey]]),(OutputTable[GroupByKey]=OutputTable[[#This Row],[GroupByKey]])*OutputTable[RecordedValue]))</f>
        <v>5</v>
      </c>
    </row>
    <row r="104" spans="1:16" x14ac:dyDescent="0.35">
      <c r="A104" t="s">
        <v>66</v>
      </c>
      <c r="B104" t="s">
        <v>69</v>
      </c>
      <c r="C104">
        <v>21</v>
      </c>
      <c r="D104" t="s">
        <v>92</v>
      </c>
      <c r="E104" t="s">
        <v>93</v>
      </c>
      <c r="F104" t="s">
        <v>85</v>
      </c>
      <c r="G104">
        <v>4</v>
      </c>
      <c r="H104">
        <v>0</v>
      </c>
      <c r="I104" s="5" t="str">
        <f>OutputTable[[#This Row],[ProjectName]]&amp;OutputTable[[#This Row],[Name]]&amp;OutputTable[[#This Row],[Type]]&amp;OutputTable[[#This Row],[Source]]</f>
        <v>Unnamed ProjectOperador.NumberSeizedTotal Number SeizedResource</v>
      </c>
      <c r="J104" s="5" cm="1">
        <f t="array" ref="J104">MAX(IF((ProjectInfoTable[ProjectName]=OutputTable[[#This Row],[ProjectName]]),(ProjectInfoTable[ProjectName]=OutputTable[[#This Row],[ProjectName]])*ProjectInfoTable[NumberOfReplications]))</f>
        <v>50</v>
      </c>
      <c r="K104" s="5" cm="1">
        <f t="array" ref="K104">IFERROR(AVERAGE(IF((OutputTable[GroupByKey]=OutputTable[[#This Row],[GroupByKey]]),(OutputTable[GroupByKey]=OutputTable[[#This Row],[GroupByKey]])*OutputTable[RecordedValue])),0)</f>
        <v>4.58</v>
      </c>
      <c r="L104" s="5" cm="1">
        <f t="array" ref="L104">IFERROR(_xlfn.STDEV.S(IF((OutputTable[GroupByKey]=OutputTable[[#This Row],[GroupByKey]]),(OutputTable[GroupByKey]=OutputTable[[#This Row],[GroupByKey]])*OutputTable[RecordedValue])),0)</f>
        <v>0.78480466827545059</v>
      </c>
      <c r="M104" s="5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0.22303901890225239</v>
      </c>
      <c r="O104" s="5" cm="1">
        <f t="array" ref="O104">MIN(IF((OutputTable[GroupByKey]=OutputTable[[#This Row],[GroupByKey]]),(OutputTable[GroupByKey]=OutputTable[[#This Row],[GroupByKey]])*OutputTable[RecordedValue]))</f>
        <v>3</v>
      </c>
      <c r="P104" s="5" cm="1">
        <f t="array" ref="P104">MAX(IF((OutputTable[GroupByKey]=OutputTable[[#This Row],[GroupByKey]]),(OutputTable[GroupByKey]=OutputTable[[#This Row],[GroupByKey]])*OutputTable[RecordedValue]))</f>
        <v>6</v>
      </c>
    </row>
    <row r="105" spans="1:16" x14ac:dyDescent="0.35">
      <c r="A105" t="s">
        <v>66</v>
      </c>
      <c r="B105" t="s">
        <v>69</v>
      </c>
      <c r="C105">
        <v>21</v>
      </c>
      <c r="D105" t="s">
        <v>94</v>
      </c>
      <c r="E105" t="s">
        <v>95</v>
      </c>
      <c r="F105" t="s">
        <v>85</v>
      </c>
      <c r="G105">
        <v>0.95301313612699601</v>
      </c>
      <c r="H105">
        <v>0</v>
      </c>
      <c r="I105" s="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105" s="5" cm="1">
        <f t="array" ref="J105">MAX(IF((ProjectInfoTable[ProjectName]=OutputTable[[#This Row],[ProjectName]]),(ProjectInfoTable[ProjectName]=OutputTable[[#This Row],[ProjectName]])*ProjectInfoTable[NumberOfReplications]))</f>
        <v>50</v>
      </c>
      <c r="K105" s="5" cm="1">
        <f t="array" ref="K105">IFERROR(AVERAGE(IF((OutputTable[GroupByKey]=OutputTable[[#This Row],[GroupByKey]]),(OutputTable[GroupByKey]=OutputTable[[#This Row],[GroupByKey]])*OutputTable[RecordedValue])),0)</f>
        <v>0.92637977941440086</v>
      </c>
      <c r="L105" s="5" cm="1">
        <f t="array" ref="L105">IFERROR(_xlfn.STDEV.S(IF((OutputTable[GroupByKey]=OutputTable[[#This Row],[GroupByKey]]),(OutputTable[GroupByKey]=OutputTable[[#This Row],[GroupByKey]])*OutputTable[RecordedValue])),0)</f>
        <v>0.11789675502181338</v>
      </c>
      <c r="M105" s="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3.350588705034975E-2</v>
      </c>
      <c r="O105" s="5" cm="1">
        <f t="array" ref="O105">MIN(IF((OutputTable[GroupByKey]=OutputTable[[#This Row],[GroupByKey]]),(OutputTable[GroupByKey]=OutputTable[[#This Row],[GroupByKey]])*OutputTable[RecordedValue]))</f>
        <v>0.60846830422583797</v>
      </c>
      <c r="P105" s="5" cm="1">
        <f t="array" ref="P105">MAX(IF((OutputTable[GroupByKey]=OutputTable[[#This Row],[GroupByKey]]),(OutputTable[GroupByKey]=OutputTable[[#This Row],[GroupByKey]])*OutputTable[RecordedValue]))</f>
        <v>1</v>
      </c>
    </row>
    <row r="106" spans="1:16" x14ac:dyDescent="0.35">
      <c r="A106" t="s">
        <v>66</v>
      </c>
      <c r="B106" t="s">
        <v>69</v>
      </c>
      <c r="C106">
        <v>21</v>
      </c>
      <c r="D106" t="s">
        <v>96</v>
      </c>
      <c r="E106" t="s">
        <v>91</v>
      </c>
      <c r="F106" t="s">
        <v>97</v>
      </c>
      <c r="G106">
        <v>3</v>
      </c>
      <c r="H106">
        <v>0</v>
      </c>
      <c r="I106" s="5" t="str">
        <f>OutputTable[[#This Row],[ProjectName]]&amp;OutputTable[[#This Row],[Name]]&amp;OutputTable[[#This Row],[Type]]&amp;OutputTable[[#This Row],[Source]]</f>
        <v>Unnamed ProjectSystem.NumberOutNumber OutSystem</v>
      </c>
      <c r="J106" s="5" cm="1">
        <f t="array" ref="J106">MAX(IF((ProjectInfoTable[ProjectName]=OutputTable[[#This Row],[ProjectName]]),(ProjectInfoTable[ProjectName]=OutputTable[[#This Row],[ProjectName]])*ProjectInfoTable[NumberOfReplications]))</f>
        <v>50</v>
      </c>
      <c r="K106" s="5" cm="1">
        <f t="array" ref="K106">IFERROR(AVERAGE(IF((OutputTable[GroupByKey]=OutputTable[[#This Row],[GroupByKey]]),(OutputTable[GroupByKey]=OutputTable[[#This Row],[GroupByKey]])*OutputTable[RecordedValue])),0)</f>
        <v>3.62</v>
      </c>
      <c r="L106" s="5" cm="1">
        <f t="array" ref="L106">IFERROR(_xlfn.STDEV.S(IF((OutputTable[GroupByKey]=OutputTable[[#This Row],[GroupByKey]]),(OutputTable[GroupByKey]=OutputTable[[#This Row],[GroupByKey]])*OutputTable[RecordedValue])),0)</f>
        <v>0.77958649426527116</v>
      </c>
      <c r="M106" s="5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106" s="5" cm="1">
        <f t="array" ref="O106">MIN(IF((OutputTable[GroupByKey]=OutputTable[[#This Row],[GroupByKey]]),(OutputTable[GroupByKey]=OutputTable[[#This Row],[GroupByKey]])*OutputTable[RecordedValue]))</f>
        <v>2</v>
      </c>
      <c r="P106" s="5" cm="1">
        <f t="array" ref="P106">MAX(IF((OutputTable[GroupByKey]=OutputTable[[#This Row],[GroupByKey]]),(OutputTable[GroupByKey]=OutputTable[[#This Row],[GroupByKey]])*OutputTable[RecordedValue]))</f>
        <v>5</v>
      </c>
    </row>
    <row r="107" spans="1:16" x14ac:dyDescent="0.35">
      <c r="A107" t="s">
        <v>66</v>
      </c>
      <c r="B107" t="s">
        <v>69</v>
      </c>
      <c r="C107">
        <v>22</v>
      </c>
      <c r="D107" t="s">
        <v>88</v>
      </c>
      <c r="E107" t="s">
        <v>89</v>
      </c>
      <c r="F107" t="s">
        <v>72</v>
      </c>
      <c r="G107">
        <v>6</v>
      </c>
      <c r="H107">
        <v>0</v>
      </c>
      <c r="I107" s="5" t="str">
        <f>OutputTable[[#This Row],[ProjectName]]&amp;OutputTable[[#This Row],[Name]]&amp;OutputTable[[#This Row],[Type]]&amp;OutputTable[[#This Row],[Source]]</f>
        <v>Unnamed ProjectArquivos.NumberInNumber InEntity</v>
      </c>
      <c r="J107" s="5" cm="1">
        <f t="array" ref="J107">MAX(IF((ProjectInfoTable[ProjectName]=OutputTable[[#This Row],[ProjectName]]),(ProjectInfoTable[ProjectName]=OutputTable[[#This Row],[ProjectName]])*ProjectInfoTable[NumberOfReplications]))</f>
        <v>50</v>
      </c>
      <c r="K107" s="5" cm="1">
        <f t="array" ref="K107">IFERROR(AVERAGE(IF((OutputTable[GroupByKey]=OutputTable[[#This Row],[GroupByKey]]),(OutputTable[GroupByKey]=OutputTable[[#This Row],[GroupByKey]])*OutputTable[RecordedValue])),0)</f>
        <v>6.48</v>
      </c>
      <c r="L107" s="5" cm="1">
        <f t="array" ref="L107">IFERROR(_xlfn.STDEV.S(IF((OutputTable[GroupByKey]=OutputTable[[#This Row],[GroupByKey]]),(OutputTable[GroupByKey]=OutputTable[[#This Row],[GroupByKey]])*OutputTable[RecordedValue])),0)</f>
        <v>1.7984119979264248</v>
      </c>
      <c r="M107" s="5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0.51110303469648288</v>
      </c>
      <c r="O107" s="5" cm="1">
        <f t="array" ref="O107">MIN(IF((OutputTable[GroupByKey]=OutputTable[[#This Row],[GroupByKey]]),(OutputTable[GroupByKey]=OutputTable[[#This Row],[GroupByKey]])*OutputTable[RecordedValue]))</f>
        <v>3</v>
      </c>
      <c r="P107" s="5" cm="1">
        <f t="array" ref="P107">MAX(IF((OutputTable[GroupByKey]=OutputTable[[#This Row],[GroupByKey]]),(OutputTable[GroupByKey]=OutputTable[[#This Row],[GroupByKey]])*OutputTable[RecordedValue]))</f>
        <v>13</v>
      </c>
    </row>
    <row r="108" spans="1:16" x14ac:dyDescent="0.35">
      <c r="A108" t="s">
        <v>66</v>
      </c>
      <c r="B108" t="s">
        <v>69</v>
      </c>
      <c r="C108">
        <v>22</v>
      </c>
      <c r="D108" t="s">
        <v>90</v>
      </c>
      <c r="E108" t="s">
        <v>91</v>
      </c>
      <c r="F108" t="s">
        <v>72</v>
      </c>
      <c r="G108">
        <v>3</v>
      </c>
      <c r="H108">
        <v>0</v>
      </c>
      <c r="I108" s="5" t="str">
        <f>OutputTable[[#This Row],[ProjectName]]&amp;OutputTable[[#This Row],[Name]]&amp;OutputTable[[#This Row],[Type]]&amp;OutputTable[[#This Row],[Source]]</f>
        <v>Unnamed ProjectArquivos.NumberOutNumber OutEntity</v>
      </c>
      <c r="J108" s="5" cm="1">
        <f t="array" ref="J108">MAX(IF((ProjectInfoTable[ProjectName]=OutputTable[[#This Row],[ProjectName]]),(ProjectInfoTable[ProjectName]=OutputTable[[#This Row],[ProjectName]])*ProjectInfoTable[NumberOfReplications]))</f>
        <v>50</v>
      </c>
      <c r="K108" s="5" cm="1">
        <f t="array" ref="K108">IFERROR(AVERAGE(IF((OutputTable[GroupByKey]=OutputTable[[#This Row],[GroupByKey]]),(OutputTable[GroupByKey]=OutputTable[[#This Row],[GroupByKey]])*OutputTable[RecordedValue])),0)</f>
        <v>3.62</v>
      </c>
      <c r="L108" s="5" cm="1">
        <f t="array" ref="L108">IFERROR(_xlfn.STDEV.S(IF((OutputTable[GroupByKey]=OutputTable[[#This Row],[GroupByKey]]),(OutputTable[GroupByKey]=OutputTable[[#This Row],[GroupByKey]])*OutputTable[RecordedValue])),0)</f>
        <v>0.77958649426527116</v>
      </c>
      <c r="M108" s="5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108" s="5" cm="1">
        <f t="array" ref="O108">MIN(IF((OutputTable[GroupByKey]=OutputTable[[#This Row],[GroupByKey]]),(OutputTable[GroupByKey]=OutputTable[[#This Row],[GroupByKey]])*OutputTable[RecordedValue]))</f>
        <v>2</v>
      </c>
      <c r="P108" s="5" cm="1">
        <f t="array" ref="P108">MAX(IF((OutputTable[GroupByKey]=OutputTable[[#This Row],[GroupByKey]]),(OutputTable[GroupByKey]=OutputTable[[#This Row],[GroupByKey]])*OutputTable[RecordedValue]))</f>
        <v>5</v>
      </c>
    </row>
    <row r="109" spans="1:16" x14ac:dyDescent="0.35">
      <c r="A109" t="s">
        <v>66</v>
      </c>
      <c r="B109" t="s">
        <v>69</v>
      </c>
      <c r="C109">
        <v>22</v>
      </c>
      <c r="D109" t="s">
        <v>92</v>
      </c>
      <c r="E109" t="s">
        <v>93</v>
      </c>
      <c r="F109" t="s">
        <v>85</v>
      </c>
      <c r="G109">
        <v>4</v>
      </c>
      <c r="H109">
        <v>0</v>
      </c>
      <c r="I109" s="5" t="str">
        <f>OutputTable[[#This Row],[ProjectName]]&amp;OutputTable[[#This Row],[Name]]&amp;OutputTable[[#This Row],[Type]]&amp;OutputTable[[#This Row],[Source]]</f>
        <v>Unnamed ProjectOperador.NumberSeizedTotal Number SeizedResource</v>
      </c>
      <c r="J109" s="5" cm="1">
        <f t="array" ref="J109">MAX(IF((ProjectInfoTable[ProjectName]=OutputTable[[#This Row],[ProjectName]]),(ProjectInfoTable[ProjectName]=OutputTable[[#This Row],[ProjectName]])*ProjectInfoTable[NumberOfReplications]))</f>
        <v>50</v>
      </c>
      <c r="K109" s="5" cm="1">
        <f t="array" ref="K109">IFERROR(AVERAGE(IF((OutputTable[GroupByKey]=OutputTable[[#This Row],[GroupByKey]]),(OutputTable[GroupByKey]=OutputTable[[#This Row],[GroupByKey]])*OutputTable[RecordedValue])),0)</f>
        <v>4.58</v>
      </c>
      <c r="L109" s="5" cm="1">
        <f t="array" ref="L109">IFERROR(_xlfn.STDEV.S(IF((OutputTable[GroupByKey]=OutputTable[[#This Row],[GroupByKey]]),(OutputTable[GroupByKey]=OutputTable[[#This Row],[GroupByKey]])*OutputTable[RecordedValue])),0)</f>
        <v>0.78480466827545059</v>
      </c>
      <c r="M109" s="5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0.22303901890225239</v>
      </c>
      <c r="O109" s="5" cm="1">
        <f t="array" ref="O109">MIN(IF((OutputTable[GroupByKey]=OutputTable[[#This Row],[GroupByKey]]),(OutputTable[GroupByKey]=OutputTable[[#This Row],[GroupByKey]])*OutputTable[RecordedValue]))</f>
        <v>3</v>
      </c>
      <c r="P109" s="5" cm="1">
        <f t="array" ref="P109">MAX(IF((OutputTable[GroupByKey]=OutputTable[[#This Row],[GroupByKey]]),(OutputTable[GroupByKey]=OutputTable[[#This Row],[GroupByKey]])*OutputTable[RecordedValue]))</f>
        <v>6</v>
      </c>
    </row>
    <row r="110" spans="1:16" x14ac:dyDescent="0.35">
      <c r="A110" t="s">
        <v>66</v>
      </c>
      <c r="B110" t="s">
        <v>69</v>
      </c>
      <c r="C110">
        <v>22</v>
      </c>
      <c r="D110" t="s">
        <v>94</v>
      </c>
      <c r="E110" t="s">
        <v>95</v>
      </c>
      <c r="F110" t="s">
        <v>85</v>
      </c>
      <c r="G110">
        <v>0.91876051968585803</v>
      </c>
      <c r="H110">
        <v>0</v>
      </c>
      <c r="I110" s="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110" s="5" cm="1">
        <f t="array" ref="J110">MAX(IF((ProjectInfoTable[ProjectName]=OutputTable[[#This Row],[ProjectName]]),(ProjectInfoTable[ProjectName]=OutputTable[[#This Row],[ProjectName]])*ProjectInfoTable[NumberOfReplications]))</f>
        <v>50</v>
      </c>
      <c r="K110" s="5" cm="1">
        <f t="array" ref="K110">IFERROR(AVERAGE(IF((OutputTable[GroupByKey]=OutputTable[[#This Row],[GroupByKey]]),(OutputTable[GroupByKey]=OutputTable[[#This Row],[GroupByKey]])*OutputTable[RecordedValue])),0)</f>
        <v>0.92637977941440086</v>
      </c>
      <c r="L110" s="5" cm="1">
        <f t="array" ref="L110">IFERROR(_xlfn.STDEV.S(IF((OutputTable[GroupByKey]=OutputTable[[#This Row],[GroupByKey]]),(OutputTable[GroupByKey]=OutputTable[[#This Row],[GroupByKey]])*OutputTable[RecordedValue])),0)</f>
        <v>0.11789675502181338</v>
      </c>
      <c r="M110" s="5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3.350588705034975E-2</v>
      </c>
      <c r="O110" s="5" cm="1">
        <f t="array" ref="O110">MIN(IF((OutputTable[GroupByKey]=OutputTable[[#This Row],[GroupByKey]]),(OutputTable[GroupByKey]=OutputTable[[#This Row],[GroupByKey]])*OutputTable[RecordedValue]))</f>
        <v>0.60846830422583797</v>
      </c>
      <c r="P110" s="5" cm="1">
        <f t="array" ref="P110">MAX(IF((OutputTable[GroupByKey]=OutputTable[[#This Row],[GroupByKey]]),(OutputTable[GroupByKey]=OutputTable[[#This Row],[GroupByKey]])*OutputTable[RecordedValue]))</f>
        <v>1</v>
      </c>
    </row>
    <row r="111" spans="1:16" x14ac:dyDescent="0.35">
      <c r="A111" t="s">
        <v>66</v>
      </c>
      <c r="B111" t="s">
        <v>69</v>
      </c>
      <c r="C111">
        <v>22</v>
      </c>
      <c r="D111" t="s">
        <v>96</v>
      </c>
      <c r="E111" t="s">
        <v>91</v>
      </c>
      <c r="F111" t="s">
        <v>97</v>
      </c>
      <c r="G111">
        <v>3</v>
      </c>
      <c r="H111">
        <v>0</v>
      </c>
      <c r="I111" s="5" t="str">
        <f>OutputTable[[#This Row],[ProjectName]]&amp;OutputTable[[#This Row],[Name]]&amp;OutputTable[[#This Row],[Type]]&amp;OutputTable[[#This Row],[Source]]</f>
        <v>Unnamed ProjectSystem.NumberOutNumber OutSystem</v>
      </c>
      <c r="J111" s="5" cm="1">
        <f t="array" ref="J111">MAX(IF((ProjectInfoTable[ProjectName]=OutputTable[[#This Row],[ProjectName]]),(ProjectInfoTable[ProjectName]=OutputTable[[#This Row],[ProjectName]])*ProjectInfoTable[NumberOfReplications]))</f>
        <v>50</v>
      </c>
      <c r="K111" s="5" cm="1">
        <f t="array" ref="K111">IFERROR(AVERAGE(IF((OutputTable[GroupByKey]=OutputTable[[#This Row],[GroupByKey]]),(OutputTable[GroupByKey]=OutputTable[[#This Row],[GroupByKey]])*OutputTable[RecordedValue])),0)</f>
        <v>3.62</v>
      </c>
      <c r="L111" s="5" cm="1">
        <f t="array" ref="L111">IFERROR(_xlfn.STDEV.S(IF((OutputTable[GroupByKey]=OutputTable[[#This Row],[GroupByKey]]),(OutputTable[GroupByKey]=OutputTable[[#This Row],[GroupByKey]])*OutputTable[RecordedValue])),0)</f>
        <v>0.77958649426527116</v>
      </c>
      <c r="M111" s="5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111" s="5" cm="1">
        <f t="array" ref="O111">MIN(IF((OutputTable[GroupByKey]=OutputTable[[#This Row],[GroupByKey]]),(OutputTable[GroupByKey]=OutputTable[[#This Row],[GroupByKey]])*OutputTable[RecordedValue]))</f>
        <v>2</v>
      </c>
      <c r="P111" s="5" cm="1">
        <f t="array" ref="P111">MAX(IF((OutputTable[GroupByKey]=OutputTable[[#This Row],[GroupByKey]]),(OutputTable[GroupByKey]=OutputTable[[#This Row],[GroupByKey]])*OutputTable[RecordedValue]))</f>
        <v>5</v>
      </c>
    </row>
    <row r="112" spans="1:16" x14ac:dyDescent="0.35">
      <c r="A112" t="s">
        <v>66</v>
      </c>
      <c r="B112" t="s">
        <v>69</v>
      </c>
      <c r="C112">
        <v>23</v>
      </c>
      <c r="D112" t="s">
        <v>88</v>
      </c>
      <c r="E112" t="s">
        <v>89</v>
      </c>
      <c r="F112" t="s">
        <v>72</v>
      </c>
      <c r="G112">
        <v>7</v>
      </c>
      <c r="H112">
        <v>0</v>
      </c>
      <c r="I112" s="5" t="str">
        <f>OutputTable[[#This Row],[ProjectName]]&amp;OutputTable[[#This Row],[Name]]&amp;OutputTable[[#This Row],[Type]]&amp;OutputTable[[#This Row],[Source]]</f>
        <v>Unnamed ProjectArquivos.NumberInNumber InEntity</v>
      </c>
      <c r="J112" s="5" cm="1">
        <f t="array" ref="J112">MAX(IF((ProjectInfoTable[ProjectName]=OutputTable[[#This Row],[ProjectName]]),(ProjectInfoTable[ProjectName]=OutputTable[[#This Row],[ProjectName]])*ProjectInfoTable[NumberOfReplications]))</f>
        <v>50</v>
      </c>
      <c r="K112" s="5" cm="1">
        <f t="array" ref="K112">IFERROR(AVERAGE(IF((OutputTable[GroupByKey]=OutputTable[[#This Row],[GroupByKey]]),(OutputTable[GroupByKey]=OutputTable[[#This Row],[GroupByKey]])*OutputTable[RecordedValue])),0)</f>
        <v>6.48</v>
      </c>
      <c r="L112" s="5" cm="1">
        <f t="array" ref="L112">IFERROR(_xlfn.STDEV.S(IF((OutputTable[GroupByKey]=OutputTable[[#This Row],[GroupByKey]]),(OutputTable[GroupByKey]=OutputTable[[#This Row],[GroupByKey]])*OutputTable[RecordedValue])),0)</f>
        <v>1.7984119979264248</v>
      </c>
      <c r="M112" s="5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0.51110303469648288</v>
      </c>
      <c r="O112" s="5" cm="1">
        <f t="array" ref="O112">MIN(IF((OutputTable[GroupByKey]=OutputTable[[#This Row],[GroupByKey]]),(OutputTable[GroupByKey]=OutputTable[[#This Row],[GroupByKey]])*OutputTable[RecordedValue]))</f>
        <v>3</v>
      </c>
      <c r="P112" s="5" cm="1">
        <f t="array" ref="P112">MAX(IF((OutputTable[GroupByKey]=OutputTable[[#This Row],[GroupByKey]]),(OutputTable[GroupByKey]=OutputTable[[#This Row],[GroupByKey]])*OutputTable[RecordedValue]))</f>
        <v>13</v>
      </c>
    </row>
    <row r="113" spans="1:16" x14ac:dyDescent="0.35">
      <c r="A113" t="s">
        <v>66</v>
      </c>
      <c r="B113" t="s">
        <v>69</v>
      </c>
      <c r="C113">
        <v>23</v>
      </c>
      <c r="D113" t="s">
        <v>90</v>
      </c>
      <c r="E113" t="s">
        <v>91</v>
      </c>
      <c r="F113" t="s">
        <v>72</v>
      </c>
      <c r="G113">
        <v>5</v>
      </c>
      <c r="H113">
        <v>0</v>
      </c>
      <c r="I113" s="5" t="str">
        <f>OutputTable[[#This Row],[ProjectName]]&amp;OutputTable[[#This Row],[Name]]&amp;OutputTable[[#This Row],[Type]]&amp;OutputTable[[#This Row],[Source]]</f>
        <v>Unnamed ProjectArquivos.NumberOutNumber OutEntity</v>
      </c>
      <c r="J113" s="5" cm="1">
        <f t="array" ref="J113">MAX(IF((ProjectInfoTable[ProjectName]=OutputTable[[#This Row],[ProjectName]]),(ProjectInfoTable[ProjectName]=OutputTable[[#This Row],[ProjectName]])*ProjectInfoTable[NumberOfReplications]))</f>
        <v>50</v>
      </c>
      <c r="K113" s="5" cm="1">
        <f t="array" ref="K113">IFERROR(AVERAGE(IF((OutputTable[GroupByKey]=OutputTable[[#This Row],[GroupByKey]]),(OutputTable[GroupByKey]=OutputTable[[#This Row],[GroupByKey]])*OutputTable[RecordedValue])),0)</f>
        <v>3.62</v>
      </c>
      <c r="L113" s="5" cm="1">
        <f t="array" ref="L113">IFERROR(_xlfn.STDEV.S(IF((OutputTable[GroupByKey]=OutputTable[[#This Row],[GroupByKey]]),(OutputTable[GroupByKey]=OutputTable[[#This Row],[GroupByKey]])*OutputTable[RecordedValue])),0)</f>
        <v>0.77958649426527116</v>
      </c>
      <c r="M113" s="5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113" s="5" cm="1">
        <f t="array" ref="O113">MIN(IF((OutputTable[GroupByKey]=OutputTable[[#This Row],[GroupByKey]]),(OutputTable[GroupByKey]=OutputTable[[#This Row],[GroupByKey]])*OutputTable[RecordedValue]))</f>
        <v>2</v>
      </c>
      <c r="P113" s="5" cm="1">
        <f t="array" ref="P113">MAX(IF((OutputTable[GroupByKey]=OutputTable[[#This Row],[GroupByKey]]),(OutputTable[GroupByKey]=OutputTable[[#This Row],[GroupByKey]])*OutputTable[RecordedValue]))</f>
        <v>5</v>
      </c>
    </row>
    <row r="114" spans="1:16" x14ac:dyDescent="0.35">
      <c r="A114" t="s">
        <v>66</v>
      </c>
      <c r="B114" t="s">
        <v>69</v>
      </c>
      <c r="C114">
        <v>23</v>
      </c>
      <c r="D114" t="s">
        <v>92</v>
      </c>
      <c r="E114" t="s">
        <v>93</v>
      </c>
      <c r="F114" t="s">
        <v>85</v>
      </c>
      <c r="G114">
        <v>6</v>
      </c>
      <c r="H114">
        <v>0</v>
      </c>
      <c r="I114" s="5" t="str">
        <f>OutputTable[[#This Row],[ProjectName]]&amp;OutputTable[[#This Row],[Name]]&amp;OutputTable[[#This Row],[Type]]&amp;OutputTable[[#This Row],[Source]]</f>
        <v>Unnamed ProjectOperador.NumberSeizedTotal Number SeizedResource</v>
      </c>
      <c r="J114" s="5" cm="1">
        <f t="array" ref="J114">MAX(IF((ProjectInfoTable[ProjectName]=OutputTable[[#This Row],[ProjectName]]),(ProjectInfoTable[ProjectName]=OutputTable[[#This Row],[ProjectName]])*ProjectInfoTable[NumberOfReplications]))</f>
        <v>50</v>
      </c>
      <c r="K114" s="5" cm="1">
        <f t="array" ref="K114">IFERROR(AVERAGE(IF((OutputTable[GroupByKey]=OutputTable[[#This Row],[GroupByKey]]),(OutputTable[GroupByKey]=OutputTable[[#This Row],[GroupByKey]])*OutputTable[RecordedValue])),0)</f>
        <v>4.58</v>
      </c>
      <c r="L114" s="5" cm="1">
        <f t="array" ref="L114">IFERROR(_xlfn.STDEV.S(IF((OutputTable[GroupByKey]=OutputTable[[#This Row],[GroupByKey]]),(OutputTable[GroupByKey]=OutputTable[[#This Row],[GroupByKey]])*OutputTable[RecordedValue])),0)</f>
        <v>0.78480466827545059</v>
      </c>
      <c r="M114" s="5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0.22303901890225239</v>
      </c>
      <c r="O114" s="5" cm="1">
        <f t="array" ref="O114">MIN(IF((OutputTable[GroupByKey]=OutputTable[[#This Row],[GroupByKey]]),(OutputTable[GroupByKey]=OutputTable[[#This Row],[GroupByKey]])*OutputTable[RecordedValue]))</f>
        <v>3</v>
      </c>
      <c r="P114" s="5" cm="1">
        <f t="array" ref="P114">MAX(IF((OutputTable[GroupByKey]=OutputTable[[#This Row],[GroupByKey]]),(OutputTable[GroupByKey]=OutputTable[[#This Row],[GroupByKey]])*OutputTable[RecordedValue]))</f>
        <v>6</v>
      </c>
    </row>
    <row r="115" spans="1:16" x14ac:dyDescent="0.35">
      <c r="A115" t="s">
        <v>66</v>
      </c>
      <c r="B115" t="s">
        <v>69</v>
      </c>
      <c r="C115">
        <v>23</v>
      </c>
      <c r="D115" t="s">
        <v>94</v>
      </c>
      <c r="E115" t="s">
        <v>95</v>
      </c>
      <c r="F115" t="s">
        <v>85</v>
      </c>
      <c r="G115">
        <v>1</v>
      </c>
      <c r="H115">
        <v>0</v>
      </c>
      <c r="I115" s="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115" s="5" cm="1">
        <f t="array" ref="J115">MAX(IF((ProjectInfoTable[ProjectName]=OutputTable[[#This Row],[ProjectName]]),(ProjectInfoTable[ProjectName]=OutputTable[[#This Row],[ProjectName]])*ProjectInfoTable[NumberOfReplications]))</f>
        <v>50</v>
      </c>
      <c r="K115" s="5" cm="1">
        <f t="array" ref="K115">IFERROR(AVERAGE(IF((OutputTable[GroupByKey]=OutputTable[[#This Row],[GroupByKey]]),(OutputTable[GroupByKey]=OutputTable[[#This Row],[GroupByKey]])*OutputTable[RecordedValue])),0)</f>
        <v>0.92637977941440086</v>
      </c>
      <c r="L115" s="5" cm="1">
        <f t="array" ref="L115">IFERROR(_xlfn.STDEV.S(IF((OutputTable[GroupByKey]=OutputTable[[#This Row],[GroupByKey]]),(OutputTable[GroupByKey]=OutputTable[[#This Row],[GroupByKey]])*OutputTable[RecordedValue])),0)</f>
        <v>0.11789675502181338</v>
      </c>
      <c r="M115" s="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3.350588705034975E-2</v>
      </c>
      <c r="O115" s="5" cm="1">
        <f t="array" ref="O115">MIN(IF((OutputTable[GroupByKey]=OutputTable[[#This Row],[GroupByKey]]),(OutputTable[GroupByKey]=OutputTable[[#This Row],[GroupByKey]])*OutputTable[RecordedValue]))</f>
        <v>0.60846830422583797</v>
      </c>
      <c r="P115" s="5" cm="1">
        <f t="array" ref="P115">MAX(IF((OutputTable[GroupByKey]=OutputTable[[#This Row],[GroupByKey]]),(OutputTable[GroupByKey]=OutputTable[[#This Row],[GroupByKey]])*OutputTable[RecordedValue]))</f>
        <v>1</v>
      </c>
    </row>
    <row r="116" spans="1:16" x14ac:dyDescent="0.35">
      <c r="A116" t="s">
        <v>66</v>
      </c>
      <c r="B116" t="s">
        <v>69</v>
      </c>
      <c r="C116">
        <v>23</v>
      </c>
      <c r="D116" t="s">
        <v>96</v>
      </c>
      <c r="E116" t="s">
        <v>91</v>
      </c>
      <c r="F116" t="s">
        <v>97</v>
      </c>
      <c r="G116">
        <v>5</v>
      </c>
      <c r="H116">
        <v>0</v>
      </c>
      <c r="I116" s="5" t="str">
        <f>OutputTable[[#This Row],[ProjectName]]&amp;OutputTable[[#This Row],[Name]]&amp;OutputTable[[#This Row],[Type]]&amp;OutputTable[[#This Row],[Source]]</f>
        <v>Unnamed ProjectSystem.NumberOutNumber OutSystem</v>
      </c>
      <c r="J116" s="5" cm="1">
        <f t="array" ref="J116">MAX(IF((ProjectInfoTable[ProjectName]=OutputTable[[#This Row],[ProjectName]]),(ProjectInfoTable[ProjectName]=OutputTable[[#This Row],[ProjectName]])*ProjectInfoTable[NumberOfReplications]))</f>
        <v>50</v>
      </c>
      <c r="K116" s="5" cm="1">
        <f t="array" ref="K116">IFERROR(AVERAGE(IF((OutputTable[GroupByKey]=OutputTable[[#This Row],[GroupByKey]]),(OutputTable[GroupByKey]=OutputTable[[#This Row],[GroupByKey]])*OutputTable[RecordedValue])),0)</f>
        <v>3.62</v>
      </c>
      <c r="L116" s="5" cm="1">
        <f t="array" ref="L116">IFERROR(_xlfn.STDEV.S(IF((OutputTable[GroupByKey]=OutputTable[[#This Row],[GroupByKey]]),(OutputTable[GroupByKey]=OutputTable[[#This Row],[GroupByKey]])*OutputTable[RecordedValue])),0)</f>
        <v>0.77958649426527116</v>
      </c>
      <c r="M116" s="5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116" s="5" cm="1">
        <f t="array" ref="O116">MIN(IF((OutputTable[GroupByKey]=OutputTable[[#This Row],[GroupByKey]]),(OutputTable[GroupByKey]=OutputTable[[#This Row],[GroupByKey]])*OutputTable[RecordedValue]))</f>
        <v>2</v>
      </c>
      <c r="P116" s="5" cm="1">
        <f t="array" ref="P116">MAX(IF((OutputTable[GroupByKey]=OutputTable[[#This Row],[GroupByKey]]),(OutputTable[GroupByKey]=OutputTable[[#This Row],[GroupByKey]])*OutputTable[RecordedValue]))</f>
        <v>5</v>
      </c>
    </row>
    <row r="117" spans="1:16" x14ac:dyDescent="0.35">
      <c r="A117" t="s">
        <v>66</v>
      </c>
      <c r="B117" t="s">
        <v>69</v>
      </c>
      <c r="C117">
        <v>24</v>
      </c>
      <c r="D117" t="s">
        <v>88</v>
      </c>
      <c r="E117" t="s">
        <v>89</v>
      </c>
      <c r="F117" t="s">
        <v>72</v>
      </c>
      <c r="G117">
        <v>5</v>
      </c>
      <c r="H117">
        <v>0</v>
      </c>
      <c r="I117" s="5" t="str">
        <f>OutputTable[[#This Row],[ProjectName]]&amp;OutputTable[[#This Row],[Name]]&amp;OutputTable[[#This Row],[Type]]&amp;OutputTable[[#This Row],[Source]]</f>
        <v>Unnamed ProjectArquivos.NumberInNumber InEntity</v>
      </c>
      <c r="J117" s="5" cm="1">
        <f t="array" ref="J117">MAX(IF((ProjectInfoTable[ProjectName]=OutputTable[[#This Row],[ProjectName]]),(ProjectInfoTable[ProjectName]=OutputTable[[#This Row],[ProjectName]])*ProjectInfoTable[NumberOfReplications]))</f>
        <v>50</v>
      </c>
      <c r="K117" s="5" cm="1">
        <f t="array" ref="K117">IFERROR(AVERAGE(IF((OutputTable[GroupByKey]=OutputTable[[#This Row],[GroupByKey]]),(OutputTable[GroupByKey]=OutputTable[[#This Row],[GroupByKey]])*OutputTable[RecordedValue])),0)</f>
        <v>6.48</v>
      </c>
      <c r="L117" s="5" cm="1">
        <f t="array" ref="L117">IFERROR(_xlfn.STDEV.S(IF((OutputTable[GroupByKey]=OutputTable[[#This Row],[GroupByKey]]),(OutputTable[GroupByKey]=OutputTable[[#This Row],[GroupByKey]])*OutputTable[RecordedValue])),0)</f>
        <v>1.7984119979264248</v>
      </c>
      <c r="M117" s="5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0.51110303469648288</v>
      </c>
      <c r="O117" s="5" cm="1">
        <f t="array" ref="O117">MIN(IF((OutputTable[GroupByKey]=OutputTable[[#This Row],[GroupByKey]]),(OutputTable[GroupByKey]=OutputTable[[#This Row],[GroupByKey]])*OutputTable[RecordedValue]))</f>
        <v>3</v>
      </c>
      <c r="P117" s="5" cm="1">
        <f t="array" ref="P117">MAX(IF((OutputTable[GroupByKey]=OutputTable[[#This Row],[GroupByKey]]),(OutputTable[GroupByKey]=OutputTable[[#This Row],[GroupByKey]])*OutputTable[RecordedValue]))</f>
        <v>13</v>
      </c>
    </row>
    <row r="118" spans="1:16" x14ac:dyDescent="0.35">
      <c r="A118" t="s">
        <v>66</v>
      </c>
      <c r="B118" t="s">
        <v>69</v>
      </c>
      <c r="C118">
        <v>24</v>
      </c>
      <c r="D118" t="s">
        <v>90</v>
      </c>
      <c r="E118" t="s">
        <v>91</v>
      </c>
      <c r="F118" t="s">
        <v>72</v>
      </c>
      <c r="G118">
        <v>3</v>
      </c>
      <c r="H118">
        <v>0</v>
      </c>
      <c r="I118" s="5" t="str">
        <f>OutputTable[[#This Row],[ProjectName]]&amp;OutputTable[[#This Row],[Name]]&amp;OutputTable[[#This Row],[Type]]&amp;OutputTable[[#This Row],[Source]]</f>
        <v>Unnamed ProjectArquivos.NumberOutNumber OutEntity</v>
      </c>
      <c r="J118" s="5" cm="1">
        <f t="array" ref="J118">MAX(IF((ProjectInfoTable[ProjectName]=OutputTable[[#This Row],[ProjectName]]),(ProjectInfoTable[ProjectName]=OutputTable[[#This Row],[ProjectName]])*ProjectInfoTable[NumberOfReplications]))</f>
        <v>50</v>
      </c>
      <c r="K118" s="5" cm="1">
        <f t="array" ref="K118">IFERROR(AVERAGE(IF((OutputTable[GroupByKey]=OutputTable[[#This Row],[GroupByKey]]),(OutputTable[GroupByKey]=OutputTable[[#This Row],[GroupByKey]])*OutputTable[RecordedValue])),0)</f>
        <v>3.62</v>
      </c>
      <c r="L118" s="5" cm="1">
        <f t="array" ref="L118">IFERROR(_xlfn.STDEV.S(IF((OutputTable[GroupByKey]=OutputTable[[#This Row],[GroupByKey]]),(OutputTable[GroupByKey]=OutputTable[[#This Row],[GroupByKey]])*OutputTable[RecordedValue])),0)</f>
        <v>0.77958649426527116</v>
      </c>
      <c r="M118" s="5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118" s="5" cm="1">
        <f t="array" ref="O118">MIN(IF((OutputTable[GroupByKey]=OutputTable[[#This Row],[GroupByKey]]),(OutputTable[GroupByKey]=OutputTable[[#This Row],[GroupByKey]])*OutputTable[RecordedValue]))</f>
        <v>2</v>
      </c>
      <c r="P118" s="5" cm="1">
        <f t="array" ref="P118">MAX(IF((OutputTable[GroupByKey]=OutputTable[[#This Row],[GroupByKey]]),(OutputTable[GroupByKey]=OutputTable[[#This Row],[GroupByKey]])*OutputTable[RecordedValue]))</f>
        <v>5</v>
      </c>
    </row>
    <row r="119" spans="1:16" x14ac:dyDescent="0.35">
      <c r="A119" t="s">
        <v>66</v>
      </c>
      <c r="B119" t="s">
        <v>69</v>
      </c>
      <c r="C119">
        <v>24</v>
      </c>
      <c r="D119" t="s">
        <v>92</v>
      </c>
      <c r="E119" t="s">
        <v>93</v>
      </c>
      <c r="F119" t="s">
        <v>85</v>
      </c>
      <c r="G119">
        <v>4</v>
      </c>
      <c r="H119">
        <v>0</v>
      </c>
      <c r="I119" s="5" t="str">
        <f>OutputTable[[#This Row],[ProjectName]]&amp;OutputTable[[#This Row],[Name]]&amp;OutputTable[[#This Row],[Type]]&amp;OutputTable[[#This Row],[Source]]</f>
        <v>Unnamed ProjectOperador.NumberSeizedTotal Number SeizedResource</v>
      </c>
      <c r="J119" s="5" cm="1">
        <f t="array" ref="J119">MAX(IF((ProjectInfoTable[ProjectName]=OutputTable[[#This Row],[ProjectName]]),(ProjectInfoTable[ProjectName]=OutputTable[[#This Row],[ProjectName]])*ProjectInfoTable[NumberOfReplications]))</f>
        <v>50</v>
      </c>
      <c r="K119" s="5" cm="1">
        <f t="array" ref="K119">IFERROR(AVERAGE(IF((OutputTable[GroupByKey]=OutputTable[[#This Row],[GroupByKey]]),(OutputTable[GroupByKey]=OutputTable[[#This Row],[GroupByKey]])*OutputTable[RecordedValue])),0)</f>
        <v>4.58</v>
      </c>
      <c r="L119" s="5" cm="1">
        <f t="array" ref="L119">IFERROR(_xlfn.STDEV.S(IF((OutputTable[GroupByKey]=OutputTable[[#This Row],[GroupByKey]]),(OutputTable[GroupByKey]=OutputTable[[#This Row],[GroupByKey]])*OutputTable[RecordedValue])),0)</f>
        <v>0.78480466827545059</v>
      </c>
      <c r="M119" s="5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0.22303901890225239</v>
      </c>
      <c r="O119" s="5" cm="1">
        <f t="array" ref="O119">MIN(IF((OutputTable[GroupByKey]=OutputTable[[#This Row],[GroupByKey]]),(OutputTable[GroupByKey]=OutputTable[[#This Row],[GroupByKey]])*OutputTable[RecordedValue]))</f>
        <v>3</v>
      </c>
      <c r="P119" s="5" cm="1">
        <f t="array" ref="P119">MAX(IF((OutputTable[GroupByKey]=OutputTable[[#This Row],[GroupByKey]]),(OutputTable[GroupByKey]=OutputTable[[#This Row],[GroupByKey]])*OutputTable[RecordedValue]))</f>
        <v>6</v>
      </c>
    </row>
    <row r="120" spans="1:16" x14ac:dyDescent="0.35">
      <c r="A120" t="s">
        <v>66</v>
      </c>
      <c r="B120" t="s">
        <v>69</v>
      </c>
      <c r="C120">
        <v>24</v>
      </c>
      <c r="D120" t="s">
        <v>94</v>
      </c>
      <c r="E120" t="s">
        <v>95</v>
      </c>
      <c r="F120" t="s">
        <v>85</v>
      </c>
      <c r="G120">
        <v>1</v>
      </c>
      <c r="H120">
        <v>0</v>
      </c>
      <c r="I120" s="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120" s="5" cm="1">
        <f t="array" ref="J120">MAX(IF((ProjectInfoTable[ProjectName]=OutputTable[[#This Row],[ProjectName]]),(ProjectInfoTable[ProjectName]=OutputTable[[#This Row],[ProjectName]])*ProjectInfoTable[NumberOfReplications]))</f>
        <v>50</v>
      </c>
      <c r="K120" s="5" cm="1">
        <f t="array" ref="K120">IFERROR(AVERAGE(IF((OutputTable[GroupByKey]=OutputTable[[#This Row],[GroupByKey]]),(OutputTable[GroupByKey]=OutputTable[[#This Row],[GroupByKey]])*OutputTable[RecordedValue])),0)</f>
        <v>0.92637977941440086</v>
      </c>
      <c r="L120" s="5" cm="1">
        <f t="array" ref="L120">IFERROR(_xlfn.STDEV.S(IF((OutputTable[GroupByKey]=OutputTable[[#This Row],[GroupByKey]]),(OutputTable[GroupByKey]=OutputTable[[#This Row],[GroupByKey]])*OutputTable[RecordedValue])),0)</f>
        <v>0.11789675502181338</v>
      </c>
      <c r="M120" s="5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3.350588705034975E-2</v>
      </c>
      <c r="O120" s="5" cm="1">
        <f t="array" ref="O120">MIN(IF((OutputTable[GroupByKey]=OutputTable[[#This Row],[GroupByKey]]),(OutputTable[GroupByKey]=OutputTable[[#This Row],[GroupByKey]])*OutputTable[RecordedValue]))</f>
        <v>0.60846830422583797</v>
      </c>
      <c r="P120" s="5" cm="1">
        <f t="array" ref="P120">MAX(IF((OutputTable[GroupByKey]=OutputTable[[#This Row],[GroupByKey]]),(OutputTable[GroupByKey]=OutputTable[[#This Row],[GroupByKey]])*OutputTable[RecordedValue]))</f>
        <v>1</v>
      </c>
    </row>
    <row r="121" spans="1:16" x14ac:dyDescent="0.35">
      <c r="A121" t="s">
        <v>66</v>
      </c>
      <c r="B121" t="s">
        <v>69</v>
      </c>
      <c r="C121">
        <v>24</v>
      </c>
      <c r="D121" t="s">
        <v>96</v>
      </c>
      <c r="E121" t="s">
        <v>91</v>
      </c>
      <c r="F121" t="s">
        <v>97</v>
      </c>
      <c r="G121">
        <v>3</v>
      </c>
      <c r="H121">
        <v>0</v>
      </c>
      <c r="I121" s="5" t="str">
        <f>OutputTable[[#This Row],[ProjectName]]&amp;OutputTable[[#This Row],[Name]]&amp;OutputTable[[#This Row],[Type]]&amp;OutputTable[[#This Row],[Source]]</f>
        <v>Unnamed ProjectSystem.NumberOutNumber OutSystem</v>
      </c>
      <c r="J121" s="5" cm="1">
        <f t="array" ref="J121">MAX(IF((ProjectInfoTable[ProjectName]=OutputTable[[#This Row],[ProjectName]]),(ProjectInfoTable[ProjectName]=OutputTable[[#This Row],[ProjectName]])*ProjectInfoTable[NumberOfReplications]))</f>
        <v>50</v>
      </c>
      <c r="K121" s="5" cm="1">
        <f t="array" ref="K121">IFERROR(AVERAGE(IF((OutputTable[GroupByKey]=OutputTable[[#This Row],[GroupByKey]]),(OutputTable[GroupByKey]=OutputTable[[#This Row],[GroupByKey]])*OutputTable[RecordedValue])),0)</f>
        <v>3.62</v>
      </c>
      <c r="L121" s="5" cm="1">
        <f t="array" ref="L121">IFERROR(_xlfn.STDEV.S(IF((OutputTable[GroupByKey]=OutputTable[[#This Row],[GroupByKey]]),(OutputTable[GroupByKey]=OutputTable[[#This Row],[GroupByKey]])*OutputTable[RecordedValue])),0)</f>
        <v>0.77958649426527116</v>
      </c>
      <c r="M121" s="5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121" s="5" cm="1">
        <f t="array" ref="O121">MIN(IF((OutputTable[GroupByKey]=OutputTable[[#This Row],[GroupByKey]]),(OutputTable[GroupByKey]=OutputTable[[#This Row],[GroupByKey]])*OutputTable[RecordedValue]))</f>
        <v>2</v>
      </c>
      <c r="P121" s="5" cm="1">
        <f t="array" ref="P121">MAX(IF((OutputTable[GroupByKey]=OutputTable[[#This Row],[GroupByKey]]),(OutputTable[GroupByKey]=OutputTable[[#This Row],[GroupByKey]])*OutputTable[RecordedValue]))</f>
        <v>5</v>
      </c>
    </row>
    <row r="122" spans="1:16" x14ac:dyDescent="0.35">
      <c r="A122" t="s">
        <v>66</v>
      </c>
      <c r="B122" t="s">
        <v>69</v>
      </c>
      <c r="C122">
        <v>25</v>
      </c>
      <c r="D122" t="s">
        <v>88</v>
      </c>
      <c r="E122" t="s">
        <v>89</v>
      </c>
      <c r="F122" t="s">
        <v>72</v>
      </c>
      <c r="G122">
        <v>4</v>
      </c>
      <c r="H122">
        <v>0</v>
      </c>
      <c r="I122" s="5" t="str">
        <f>OutputTable[[#This Row],[ProjectName]]&amp;OutputTable[[#This Row],[Name]]&amp;OutputTable[[#This Row],[Type]]&amp;OutputTable[[#This Row],[Source]]</f>
        <v>Unnamed ProjectArquivos.NumberInNumber InEntity</v>
      </c>
      <c r="J122" s="5" cm="1">
        <f t="array" ref="J122">MAX(IF((ProjectInfoTable[ProjectName]=OutputTable[[#This Row],[ProjectName]]),(ProjectInfoTable[ProjectName]=OutputTable[[#This Row],[ProjectName]])*ProjectInfoTable[NumberOfReplications]))</f>
        <v>50</v>
      </c>
      <c r="K122" s="5" cm="1">
        <f t="array" ref="K122">IFERROR(AVERAGE(IF((OutputTable[GroupByKey]=OutputTable[[#This Row],[GroupByKey]]),(OutputTable[GroupByKey]=OutputTable[[#This Row],[GroupByKey]])*OutputTable[RecordedValue])),0)</f>
        <v>6.48</v>
      </c>
      <c r="L122" s="5" cm="1">
        <f t="array" ref="L122">IFERROR(_xlfn.STDEV.S(IF((OutputTable[GroupByKey]=OutputTable[[#This Row],[GroupByKey]]),(OutputTable[GroupByKey]=OutputTable[[#This Row],[GroupByKey]])*OutputTable[RecordedValue])),0)</f>
        <v>1.7984119979264248</v>
      </c>
      <c r="M122" s="5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0.51110303469648288</v>
      </c>
      <c r="O122" s="5" cm="1">
        <f t="array" ref="O122">MIN(IF((OutputTable[GroupByKey]=OutputTable[[#This Row],[GroupByKey]]),(OutputTable[GroupByKey]=OutputTable[[#This Row],[GroupByKey]])*OutputTable[RecordedValue]))</f>
        <v>3</v>
      </c>
      <c r="P122" s="5" cm="1">
        <f t="array" ref="P122">MAX(IF((OutputTable[GroupByKey]=OutputTable[[#This Row],[GroupByKey]]),(OutputTable[GroupByKey]=OutputTable[[#This Row],[GroupByKey]])*OutputTable[RecordedValue]))</f>
        <v>13</v>
      </c>
    </row>
    <row r="123" spans="1:16" x14ac:dyDescent="0.35">
      <c r="A123" t="s">
        <v>66</v>
      </c>
      <c r="B123" t="s">
        <v>69</v>
      </c>
      <c r="C123">
        <v>25</v>
      </c>
      <c r="D123" t="s">
        <v>90</v>
      </c>
      <c r="E123" t="s">
        <v>91</v>
      </c>
      <c r="F123" t="s">
        <v>72</v>
      </c>
      <c r="G123">
        <v>4</v>
      </c>
      <c r="H123">
        <v>0</v>
      </c>
      <c r="I123" s="5" t="str">
        <f>OutputTable[[#This Row],[ProjectName]]&amp;OutputTable[[#This Row],[Name]]&amp;OutputTable[[#This Row],[Type]]&amp;OutputTable[[#This Row],[Source]]</f>
        <v>Unnamed ProjectArquivos.NumberOutNumber OutEntity</v>
      </c>
      <c r="J123" s="5" cm="1">
        <f t="array" ref="J123">MAX(IF((ProjectInfoTable[ProjectName]=OutputTable[[#This Row],[ProjectName]]),(ProjectInfoTable[ProjectName]=OutputTable[[#This Row],[ProjectName]])*ProjectInfoTable[NumberOfReplications]))</f>
        <v>50</v>
      </c>
      <c r="K123" s="5" cm="1">
        <f t="array" ref="K123">IFERROR(AVERAGE(IF((OutputTable[GroupByKey]=OutputTable[[#This Row],[GroupByKey]]),(OutputTable[GroupByKey]=OutputTable[[#This Row],[GroupByKey]])*OutputTable[RecordedValue])),0)</f>
        <v>3.62</v>
      </c>
      <c r="L123" s="5" cm="1">
        <f t="array" ref="L123">IFERROR(_xlfn.STDEV.S(IF((OutputTable[GroupByKey]=OutputTable[[#This Row],[GroupByKey]]),(OutputTable[GroupByKey]=OutputTable[[#This Row],[GroupByKey]])*OutputTable[RecordedValue])),0)</f>
        <v>0.77958649426527116</v>
      </c>
      <c r="M123" s="5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123" s="5" cm="1">
        <f t="array" ref="O123">MIN(IF((OutputTable[GroupByKey]=OutputTable[[#This Row],[GroupByKey]]),(OutputTable[GroupByKey]=OutputTable[[#This Row],[GroupByKey]])*OutputTable[RecordedValue]))</f>
        <v>2</v>
      </c>
      <c r="P123" s="5" cm="1">
        <f t="array" ref="P123">MAX(IF((OutputTable[GroupByKey]=OutputTable[[#This Row],[GroupByKey]]),(OutputTable[GroupByKey]=OutputTable[[#This Row],[GroupByKey]])*OutputTable[RecordedValue]))</f>
        <v>5</v>
      </c>
    </row>
    <row r="124" spans="1:16" x14ac:dyDescent="0.35">
      <c r="A124" t="s">
        <v>66</v>
      </c>
      <c r="B124" t="s">
        <v>69</v>
      </c>
      <c r="C124">
        <v>25</v>
      </c>
      <c r="D124" t="s">
        <v>92</v>
      </c>
      <c r="E124" t="s">
        <v>93</v>
      </c>
      <c r="F124" t="s">
        <v>85</v>
      </c>
      <c r="G124">
        <v>4</v>
      </c>
      <c r="H124">
        <v>0</v>
      </c>
      <c r="I124" s="5" t="str">
        <f>OutputTable[[#This Row],[ProjectName]]&amp;OutputTable[[#This Row],[Name]]&amp;OutputTable[[#This Row],[Type]]&amp;OutputTable[[#This Row],[Source]]</f>
        <v>Unnamed ProjectOperador.NumberSeizedTotal Number SeizedResource</v>
      </c>
      <c r="J124" s="5" cm="1">
        <f t="array" ref="J124">MAX(IF((ProjectInfoTable[ProjectName]=OutputTable[[#This Row],[ProjectName]]),(ProjectInfoTable[ProjectName]=OutputTable[[#This Row],[ProjectName]])*ProjectInfoTable[NumberOfReplications]))</f>
        <v>50</v>
      </c>
      <c r="K124" s="5" cm="1">
        <f t="array" ref="K124">IFERROR(AVERAGE(IF((OutputTable[GroupByKey]=OutputTable[[#This Row],[GroupByKey]]),(OutputTable[GroupByKey]=OutputTable[[#This Row],[GroupByKey]])*OutputTable[RecordedValue])),0)</f>
        <v>4.58</v>
      </c>
      <c r="L124" s="5" cm="1">
        <f t="array" ref="L124">IFERROR(_xlfn.STDEV.S(IF((OutputTable[GroupByKey]=OutputTable[[#This Row],[GroupByKey]]),(OutputTable[GroupByKey]=OutputTable[[#This Row],[GroupByKey]])*OutputTable[RecordedValue])),0)</f>
        <v>0.78480466827545059</v>
      </c>
      <c r="M124" s="5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0.22303901890225239</v>
      </c>
      <c r="O124" s="5" cm="1">
        <f t="array" ref="O124">MIN(IF((OutputTable[GroupByKey]=OutputTable[[#This Row],[GroupByKey]]),(OutputTable[GroupByKey]=OutputTable[[#This Row],[GroupByKey]])*OutputTable[RecordedValue]))</f>
        <v>3</v>
      </c>
      <c r="P124" s="5" cm="1">
        <f t="array" ref="P124">MAX(IF((OutputTable[GroupByKey]=OutputTable[[#This Row],[GroupByKey]]),(OutputTable[GroupByKey]=OutputTable[[#This Row],[GroupByKey]])*OutputTable[RecordedValue]))</f>
        <v>6</v>
      </c>
    </row>
    <row r="125" spans="1:16" x14ac:dyDescent="0.35">
      <c r="A125" t="s">
        <v>66</v>
      </c>
      <c r="B125" t="s">
        <v>69</v>
      </c>
      <c r="C125">
        <v>25</v>
      </c>
      <c r="D125" t="s">
        <v>94</v>
      </c>
      <c r="E125" t="s">
        <v>95</v>
      </c>
      <c r="F125" t="s">
        <v>85</v>
      </c>
      <c r="G125">
        <v>0.76286632414334898</v>
      </c>
      <c r="H125">
        <v>0</v>
      </c>
      <c r="I125" s="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125" s="5" cm="1">
        <f t="array" ref="J125">MAX(IF((ProjectInfoTable[ProjectName]=OutputTable[[#This Row],[ProjectName]]),(ProjectInfoTable[ProjectName]=OutputTable[[#This Row],[ProjectName]])*ProjectInfoTable[NumberOfReplications]))</f>
        <v>50</v>
      </c>
      <c r="K125" s="5" cm="1">
        <f t="array" ref="K125">IFERROR(AVERAGE(IF((OutputTable[GroupByKey]=OutputTable[[#This Row],[GroupByKey]]),(OutputTable[GroupByKey]=OutputTable[[#This Row],[GroupByKey]])*OutputTable[RecordedValue])),0)</f>
        <v>0.92637977941440086</v>
      </c>
      <c r="L125" s="5" cm="1">
        <f t="array" ref="L125">IFERROR(_xlfn.STDEV.S(IF((OutputTable[GroupByKey]=OutputTable[[#This Row],[GroupByKey]]),(OutputTable[GroupByKey]=OutputTable[[#This Row],[GroupByKey]])*OutputTable[RecordedValue])),0)</f>
        <v>0.11789675502181338</v>
      </c>
      <c r="M125" s="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3.350588705034975E-2</v>
      </c>
      <c r="O125" s="5" cm="1">
        <f t="array" ref="O125">MIN(IF((OutputTable[GroupByKey]=OutputTable[[#This Row],[GroupByKey]]),(OutputTable[GroupByKey]=OutputTable[[#This Row],[GroupByKey]])*OutputTable[RecordedValue]))</f>
        <v>0.60846830422583797</v>
      </c>
      <c r="P125" s="5" cm="1">
        <f t="array" ref="P125">MAX(IF((OutputTable[GroupByKey]=OutputTable[[#This Row],[GroupByKey]]),(OutputTable[GroupByKey]=OutputTable[[#This Row],[GroupByKey]])*OutputTable[RecordedValue]))</f>
        <v>1</v>
      </c>
    </row>
    <row r="126" spans="1:16" x14ac:dyDescent="0.35">
      <c r="A126" t="s">
        <v>66</v>
      </c>
      <c r="B126" t="s">
        <v>69</v>
      </c>
      <c r="C126">
        <v>25</v>
      </c>
      <c r="D126" t="s">
        <v>96</v>
      </c>
      <c r="E126" t="s">
        <v>91</v>
      </c>
      <c r="F126" t="s">
        <v>97</v>
      </c>
      <c r="G126">
        <v>4</v>
      </c>
      <c r="H126">
        <v>0</v>
      </c>
      <c r="I126" s="5" t="str">
        <f>OutputTable[[#This Row],[ProjectName]]&amp;OutputTable[[#This Row],[Name]]&amp;OutputTable[[#This Row],[Type]]&amp;OutputTable[[#This Row],[Source]]</f>
        <v>Unnamed ProjectSystem.NumberOutNumber OutSystem</v>
      </c>
      <c r="J126" s="5" cm="1">
        <f t="array" ref="J126">MAX(IF((ProjectInfoTable[ProjectName]=OutputTable[[#This Row],[ProjectName]]),(ProjectInfoTable[ProjectName]=OutputTable[[#This Row],[ProjectName]])*ProjectInfoTable[NumberOfReplications]))</f>
        <v>50</v>
      </c>
      <c r="K126" s="5" cm="1">
        <f t="array" ref="K126">IFERROR(AVERAGE(IF((OutputTable[GroupByKey]=OutputTable[[#This Row],[GroupByKey]]),(OutputTable[GroupByKey]=OutputTable[[#This Row],[GroupByKey]])*OutputTable[RecordedValue])),0)</f>
        <v>3.62</v>
      </c>
      <c r="L126" s="5" cm="1">
        <f t="array" ref="L126">IFERROR(_xlfn.STDEV.S(IF((OutputTable[GroupByKey]=OutputTable[[#This Row],[GroupByKey]]),(OutputTable[GroupByKey]=OutputTable[[#This Row],[GroupByKey]])*OutputTable[RecordedValue])),0)</f>
        <v>0.77958649426527116</v>
      </c>
      <c r="M126" s="5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126" s="5" cm="1">
        <f t="array" ref="O126">MIN(IF((OutputTable[GroupByKey]=OutputTable[[#This Row],[GroupByKey]]),(OutputTable[GroupByKey]=OutputTable[[#This Row],[GroupByKey]])*OutputTable[RecordedValue]))</f>
        <v>2</v>
      </c>
      <c r="P126" s="5" cm="1">
        <f t="array" ref="P126">MAX(IF((OutputTable[GroupByKey]=OutputTable[[#This Row],[GroupByKey]]),(OutputTable[GroupByKey]=OutputTable[[#This Row],[GroupByKey]])*OutputTable[RecordedValue]))</f>
        <v>5</v>
      </c>
    </row>
    <row r="127" spans="1:16" x14ac:dyDescent="0.35">
      <c r="A127" t="s">
        <v>66</v>
      </c>
      <c r="B127" t="s">
        <v>69</v>
      </c>
      <c r="C127">
        <v>26</v>
      </c>
      <c r="D127" t="s">
        <v>88</v>
      </c>
      <c r="E127" t="s">
        <v>89</v>
      </c>
      <c r="F127" t="s">
        <v>72</v>
      </c>
      <c r="G127">
        <v>6</v>
      </c>
      <c r="H127">
        <v>0</v>
      </c>
      <c r="I127" s="5" t="str">
        <f>OutputTable[[#This Row],[ProjectName]]&amp;OutputTable[[#This Row],[Name]]&amp;OutputTable[[#This Row],[Type]]&amp;OutputTable[[#This Row],[Source]]</f>
        <v>Unnamed ProjectArquivos.NumberInNumber InEntity</v>
      </c>
      <c r="J127" s="5" cm="1">
        <f t="array" ref="J127">MAX(IF((ProjectInfoTable[ProjectName]=OutputTable[[#This Row],[ProjectName]]),(ProjectInfoTable[ProjectName]=OutputTable[[#This Row],[ProjectName]])*ProjectInfoTable[NumberOfReplications]))</f>
        <v>50</v>
      </c>
      <c r="K127" s="5" cm="1">
        <f t="array" ref="K127">IFERROR(AVERAGE(IF((OutputTable[GroupByKey]=OutputTable[[#This Row],[GroupByKey]]),(OutputTable[GroupByKey]=OutputTable[[#This Row],[GroupByKey]])*OutputTable[RecordedValue])),0)</f>
        <v>6.48</v>
      </c>
      <c r="L127" s="5" cm="1">
        <f t="array" ref="L127">IFERROR(_xlfn.STDEV.S(IF((OutputTable[GroupByKey]=OutputTable[[#This Row],[GroupByKey]]),(OutputTable[GroupByKey]=OutputTable[[#This Row],[GroupByKey]])*OutputTable[RecordedValue])),0)</f>
        <v>1.7984119979264248</v>
      </c>
      <c r="M127" s="5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0.51110303469648288</v>
      </c>
      <c r="O127" s="5" cm="1">
        <f t="array" ref="O127">MIN(IF((OutputTable[GroupByKey]=OutputTable[[#This Row],[GroupByKey]]),(OutputTable[GroupByKey]=OutputTable[[#This Row],[GroupByKey]])*OutputTable[RecordedValue]))</f>
        <v>3</v>
      </c>
      <c r="P127" s="5" cm="1">
        <f t="array" ref="P127">MAX(IF((OutputTable[GroupByKey]=OutputTable[[#This Row],[GroupByKey]]),(OutputTable[GroupByKey]=OutputTable[[#This Row],[GroupByKey]])*OutputTable[RecordedValue]))</f>
        <v>13</v>
      </c>
    </row>
    <row r="128" spans="1:16" x14ac:dyDescent="0.35">
      <c r="A128" t="s">
        <v>66</v>
      </c>
      <c r="B128" t="s">
        <v>69</v>
      </c>
      <c r="C128">
        <v>26</v>
      </c>
      <c r="D128" t="s">
        <v>90</v>
      </c>
      <c r="E128" t="s">
        <v>91</v>
      </c>
      <c r="F128" t="s">
        <v>72</v>
      </c>
      <c r="G128">
        <v>3</v>
      </c>
      <c r="H128">
        <v>0</v>
      </c>
      <c r="I128" s="5" t="str">
        <f>OutputTable[[#This Row],[ProjectName]]&amp;OutputTable[[#This Row],[Name]]&amp;OutputTable[[#This Row],[Type]]&amp;OutputTable[[#This Row],[Source]]</f>
        <v>Unnamed ProjectArquivos.NumberOutNumber OutEntity</v>
      </c>
      <c r="J128" s="5" cm="1">
        <f t="array" ref="J128">MAX(IF((ProjectInfoTable[ProjectName]=OutputTable[[#This Row],[ProjectName]]),(ProjectInfoTable[ProjectName]=OutputTable[[#This Row],[ProjectName]])*ProjectInfoTable[NumberOfReplications]))</f>
        <v>50</v>
      </c>
      <c r="K128" s="5" cm="1">
        <f t="array" ref="K128">IFERROR(AVERAGE(IF((OutputTable[GroupByKey]=OutputTable[[#This Row],[GroupByKey]]),(OutputTable[GroupByKey]=OutputTable[[#This Row],[GroupByKey]])*OutputTable[RecordedValue])),0)</f>
        <v>3.62</v>
      </c>
      <c r="L128" s="5" cm="1">
        <f t="array" ref="L128">IFERROR(_xlfn.STDEV.S(IF((OutputTable[GroupByKey]=OutputTable[[#This Row],[GroupByKey]]),(OutputTable[GroupByKey]=OutputTable[[#This Row],[GroupByKey]])*OutputTable[RecordedValue])),0)</f>
        <v>0.77958649426527116</v>
      </c>
      <c r="M128" s="5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128" s="5" cm="1">
        <f t="array" ref="O128">MIN(IF((OutputTable[GroupByKey]=OutputTable[[#This Row],[GroupByKey]]),(OutputTable[GroupByKey]=OutputTable[[#This Row],[GroupByKey]])*OutputTable[RecordedValue]))</f>
        <v>2</v>
      </c>
      <c r="P128" s="5" cm="1">
        <f t="array" ref="P128">MAX(IF((OutputTable[GroupByKey]=OutputTable[[#This Row],[GroupByKey]]),(OutputTable[GroupByKey]=OutputTable[[#This Row],[GroupByKey]])*OutputTable[RecordedValue]))</f>
        <v>5</v>
      </c>
    </row>
    <row r="129" spans="1:16" x14ac:dyDescent="0.35">
      <c r="A129" t="s">
        <v>66</v>
      </c>
      <c r="B129" t="s">
        <v>69</v>
      </c>
      <c r="C129">
        <v>26</v>
      </c>
      <c r="D129" t="s">
        <v>92</v>
      </c>
      <c r="E129" t="s">
        <v>93</v>
      </c>
      <c r="F129" t="s">
        <v>85</v>
      </c>
      <c r="G129">
        <v>4</v>
      </c>
      <c r="H129">
        <v>0</v>
      </c>
      <c r="I129" s="5" t="str">
        <f>OutputTable[[#This Row],[ProjectName]]&amp;OutputTable[[#This Row],[Name]]&amp;OutputTable[[#This Row],[Type]]&amp;OutputTable[[#This Row],[Source]]</f>
        <v>Unnamed ProjectOperador.NumberSeizedTotal Number SeizedResource</v>
      </c>
      <c r="J129" s="5" cm="1">
        <f t="array" ref="J129">MAX(IF((ProjectInfoTable[ProjectName]=OutputTable[[#This Row],[ProjectName]]),(ProjectInfoTable[ProjectName]=OutputTable[[#This Row],[ProjectName]])*ProjectInfoTable[NumberOfReplications]))</f>
        <v>50</v>
      </c>
      <c r="K129" s="5" cm="1">
        <f t="array" ref="K129">IFERROR(AVERAGE(IF((OutputTable[GroupByKey]=OutputTable[[#This Row],[GroupByKey]]),(OutputTable[GroupByKey]=OutputTable[[#This Row],[GroupByKey]])*OutputTable[RecordedValue])),0)</f>
        <v>4.58</v>
      </c>
      <c r="L129" s="5" cm="1">
        <f t="array" ref="L129">IFERROR(_xlfn.STDEV.S(IF((OutputTable[GroupByKey]=OutputTable[[#This Row],[GroupByKey]]),(OutputTable[GroupByKey]=OutputTable[[#This Row],[GroupByKey]])*OutputTable[RecordedValue])),0)</f>
        <v>0.78480466827545059</v>
      </c>
      <c r="M129" s="5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0.22303901890225239</v>
      </c>
      <c r="O129" s="5" cm="1">
        <f t="array" ref="O129">MIN(IF((OutputTable[GroupByKey]=OutputTable[[#This Row],[GroupByKey]]),(OutputTable[GroupByKey]=OutputTable[[#This Row],[GroupByKey]])*OutputTable[RecordedValue]))</f>
        <v>3</v>
      </c>
      <c r="P129" s="5" cm="1">
        <f t="array" ref="P129">MAX(IF((OutputTable[GroupByKey]=OutputTable[[#This Row],[GroupByKey]]),(OutputTable[GroupByKey]=OutputTable[[#This Row],[GroupByKey]])*OutputTable[RecordedValue]))</f>
        <v>6</v>
      </c>
    </row>
    <row r="130" spans="1:16" x14ac:dyDescent="0.35">
      <c r="A130" t="s">
        <v>66</v>
      </c>
      <c r="B130" t="s">
        <v>69</v>
      </c>
      <c r="C130">
        <v>26</v>
      </c>
      <c r="D130" t="s">
        <v>94</v>
      </c>
      <c r="E130" t="s">
        <v>95</v>
      </c>
      <c r="F130" t="s">
        <v>85</v>
      </c>
      <c r="G130">
        <v>0.97812131086793197</v>
      </c>
      <c r="H130">
        <v>0</v>
      </c>
      <c r="I130" s="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130" s="5" cm="1">
        <f t="array" ref="J130">MAX(IF((ProjectInfoTable[ProjectName]=OutputTable[[#This Row],[ProjectName]]),(ProjectInfoTable[ProjectName]=OutputTable[[#This Row],[ProjectName]])*ProjectInfoTable[NumberOfReplications]))</f>
        <v>50</v>
      </c>
      <c r="K130" s="5" cm="1">
        <f t="array" ref="K130">IFERROR(AVERAGE(IF((OutputTable[GroupByKey]=OutputTable[[#This Row],[GroupByKey]]),(OutputTable[GroupByKey]=OutputTable[[#This Row],[GroupByKey]])*OutputTable[RecordedValue])),0)</f>
        <v>0.92637977941440086</v>
      </c>
      <c r="L130" s="5" cm="1">
        <f t="array" ref="L130">IFERROR(_xlfn.STDEV.S(IF((OutputTable[GroupByKey]=OutputTable[[#This Row],[GroupByKey]]),(OutputTable[GroupByKey]=OutputTable[[#This Row],[GroupByKey]])*OutputTable[RecordedValue])),0)</f>
        <v>0.11789675502181338</v>
      </c>
      <c r="M130" s="5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3.350588705034975E-2</v>
      </c>
      <c r="O130" s="5" cm="1">
        <f t="array" ref="O130">MIN(IF((OutputTable[GroupByKey]=OutputTable[[#This Row],[GroupByKey]]),(OutputTable[GroupByKey]=OutputTable[[#This Row],[GroupByKey]])*OutputTable[RecordedValue]))</f>
        <v>0.60846830422583797</v>
      </c>
      <c r="P130" s="5" cm="1">
        <f t="array" ref="P130">MAX(IF((OutputTable[GroupByKey]=OutputTable[[#This Row],[GroupByKey]]),(OutputTable[GroupByKey]=OutputTable[[#This Row],[GroupByKey]])*OutputTable[RecordedValue]))</f>
        <v>1</v>
      </c>
    </row>
    <row r="131" spans="1:16" x14ac:dyDescent="0.35">
      <c r="A131" t="s">
        <v>66</v>
      </c>
      <c r="B131" t="s">
        <v>69</v>
      </c>
      <c r="C131">
        <v>26</v>
      </c>
      <c r="D131" t="s">
        <v>96</v>
      </c>
      <c r="E131" t="s">
        <v>91</v>
      </c>
      <c r="F131" t="s">
        <v>97</v>
      </c>
      <c r="G131">
        <v>3</v>
      </c>
      <c r="H131">
        <v>0</v>
      </c>
      <c r="I131" s="5" t="str">
        <f>OutputTable[[#This Row],[ProjectName]]&amp;OutputTable[[#This Row],[Name]]&amp;OutputTable[[#This Row],[Type]]&amp;OutputTable[[#This Row],[Source]]</f>
        <v>Unnamed ProjectSystem.NumberOutNumber OutSystem</v>
      </c>
      <c r="J131" s="5" cm="1">
        <f t="array" ref="J131">MAX(IF((ProjectInfoTable[ProjectName]=OutputTable[[#This Row],[ProjectName]]),(ProjectInfoTable[ProjectName]=OutputTable[[#This Row],[ProjectName]])*ProjectInfoTable[NumberOfReplications]))</f>
        <v>50</v>
      </c>
      <c r="K131" s="5" cm="1">
        <f t="array" ref="K131">IFERROR(AVERAGE(IF((OutputTable[GroupByKey]=OutputTable[[#This Row],[GroupByKey]]),(OutputTable[GroupByKey]=OutputTable[[#This Row],[GroupByKey]])*OutputTable[RecordedValue])),0)</f>
        <v>3.62</v>
      </c>
      <c r="L131" s="5" cm="1">
        <f t="array" ref="L131">IFERROR(_xlfn.STDEV.S(IF((OutputTable[GroupByKey]=OutputTable[[#This Row],[GroupByKey]]),(OutputTable[GroupByKey]=OutputTable[[#This Row],[GroupByKey]])*OutputTable[RecordedValue])),0)</f>
        <v>0.77958649426527116</v>
      </c>
      <c r="M131" s="5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131" s="5" cm="1">
        <f t="array" ref="O131">MIN(IF((OutputTable[GroupByKey]=OutputTable[[#This Row],[GroupByKey]]),(OutputTable[GroupByKey]=OutputTable[[#This Row],[GroupByKey]])*OutputTable[RecordedValue]))</f>
        <v>2</v>
      </c>
      <c r="P131" s="5" cm="1">
        <f t="array" ref="P131">MAX(IF((OutputTable[GroupByKey]=OutputTable[[#This Row],[GroupByKey]]),(OutputTable[GroupByKey]=OutputTable[[#This Row],[GroupByKey]])*OutputTable[RecordedValue]))</f>
        <v>5</v>
      </c>
    </row>
    <row r="132" spans="1:16" x14ac:dyDescent="0.35">
      <c r="A132" t="s">
        <v>66</v>
      </c>
      <c r="B132" t="s">
        <v>69</v>
      </c>
      <c r="C132">
        <v>27</v>
      </c>
      <c r="D132" t="s">
        <v>88</v>
      </c>
      <c r="E132" t="s">
        <v>89</v>
      </c>
      <c r="F132" t="s">
        <v>72</v>
      </c>
      <c r="G132">
        <v>7</v>
      </c>
      <c r="H132">
        <v>0</v>
      </c>
      <c r="I132" s="5" t="str">
        <f>OutputTable[[#This Row],[ProjectName]]&amp;OutputTable[[#This Row],[Name]]&amp;OutputTable[[#This Row],[Type]]&amp;OutputTable[[#This Row],[Source]]</f>
        <v>Unnamed ProjectArquivos.NumberInNumber InEntity</v>
      </c>
      <c r="J132" s="5" cm="1">
        <f t="array" ref="J132">MAX(IF((ProjectInfoTable[ProjectName]=OutputTable[[#This Row],[ProjectName]]),(ProjectInfoTable[ProjectName]=OutputTable[[#This Row],[ProjectName]])*ProjectInfoTable[NumberOfReplications]))</f>
        <v>50</v>
      </c>
      <c r="K132" s="5" cm="1">
        <f t="array" ref="K132">IFERROR(AVERAGE(IF((OutputTable[GroupByKey]=OutputTable[[#This Row],[GroupByKey]]),(OutputTable[GroupByKey]=OutputTable[[#This Row],[GroupByKey]])*OutputTable[RecordedValue])),0)</f>
        <v>6.48</v>
      </c>
      <c r="L132" s="5" cm="1">
        <f t="array" ref="L132">IFERROR(_xlfn.STDEV.S(IF((OutputTable[GroupByKey]=OutputTable[[#This Row],[GroupByKey]]),(OutputTable[GroupByKey]=OutputTable[[#This Row],[GroupByKey]])*OutputTable[RecordedValue])),0)</f>
        <v>1.7984119979264248</v>
      </c>
      <c r="M132" s="5" cm="1">
        <f t="array" ref="M132">MAX(IF((ProjectInfoTable[ProjectName]=OutputTable[[#This Row],[ProjectName]]),(ProjectInfoTable[ProjectName]=OutputTable[[#This Row],[ProjectName]])*ProjectInfoTable[ConfidenceInterval]))</f>
        <v>0.95</v>
      </c>
      <c r="N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0.51110303469648288</v>
      </c>
      <c r="O132" s="5" cm="1">
        <f t="array" ref="O132">MIN(IF((OutputTable[GroupByKey]=OutputTable[[#This Row],[GroupByKey]]),(OutputTable[GroupByKey]=OutputTable[[#This Row],[GroupByKey]])*OutputTable[RecordedValue]))</f>
        <v>3</v>
      </c>
      <c r="P132" s="5" cm="1">
        <f t="array" ref="P132">MAX(IF((OutputTable[GroupByKey]=OutputTable[[#This Row],[GroupByKey]]),(OutputTable[GroupByKey]=OutputTable[[#This Row],[GroupByKey]])*OutputTable[RecordedValue]))</f>
        <v>13</v>
      </c>
    </row>
    <row r="133" spans="1:16" x14ac:dyDescent="0.35">
      <c r="A133" t="s">
        <v>66</v>
      </c>
      <c r="B133" t="s">
        <v>69</v>
      </c>
      <c r="C133">
        <v>27</v>
      </c>
      <c r="D133" t="s">
        <v>90</v>
      </c>
      <c r="E133" t="s">
        <v>91</v>
      </c>
      <c r="F133" t="s">
        <v>72</v>
      </c>
      <c r="G133">
        <v>4</v>
      </c>
      <c r="H133">
        <v>0</v>
      </c>
      <c r="I133" s="5" t="str">
        <f>OutputTable[[#This Row],[ProjectName]]&amp;OutputTable[[#This Row],[Name]]&amp;OutputTable[[#This Row],[Type]]&amp;OutputTable[[#This Row],[Source]]</f>
        <v>Unnamed ProjectArquivos.NumberOutNumber OutEntity</v>
      </c>
      <c r="J133" s="5" cm="1">
        <f t="array" ref="J133">MAX(IF((ProjectInfoTable[ProjectName]=OutputTable[[#This Row],[ProjectName]]),(ProjectInfoTable[ProjectName]=OutputTable[[#This Row],[ProjectName]])*ProjectInfoTable[NumberOfReplications]))</f>
        <v>50</v>
      </c>
      <c r="K133" s="5" cm="1">
        <f t="array" ref="K133">IFERROR(AVERAGE(IF((OutputTable[GroupByKey]=OutputTable[[#This Row],[GroupByKey]]),(OutputTable[GroupByKey]=OutputTable[[#This Row],[GroupByKey]])*OutputTable[RecordedValue])),0)</f>
        <v>3.62</v>
      </c>
      <c r="L133" s="5" cm="1">
        <f t="array" ref="L133">IFERROR(_xlfn.STDEV.S(IF((OutputTable[GroupByKey]=OutputTable[[#This Row],[GroupByKey]]),(OutputTable[GroupByKey]=OutputTable[[#This Row],[GroupByKey]])*OutputTable[RecordedValue])),0)</f>
        <v>0.77958649426527116</v>
      </c>
      <c r="M133" s="5" cm="1">
        <f t="array" ref="M133">MAX(IF((ProjectInfoTable[ProjectName]=OutputTable[[#This Row],[ProjectName]]),(ProjectInfoTable[ProjectName]=OutputTable[[#This Row],[ProjectName]])*ProjectInfoTable[ConfidenceInterval]))</f>
        <v>0.95</v>
      </c>
      <c r="N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133" s="5" cm="1">
        <f t="array" ref="O133">MIN(IF((OutputTable[GroupByKey]=OutputTable[[#This Row],[GroupByKey]]),(OutputTable[GroupByKey]=OutputTable[[#This Row],[GroupByKey]])*OutputTable[RecordedValue]))</f>
        <v>2</v>
      </c>
      <c r="P133" s="5" cm="1">
        <f t="array" ref="P133">MAX(IF((OutputTable[GroupByKey]=OutputTable[[#This Row],[GroupByKey]]),(OutputTable[GroupByKey]=OutputTable[[#This Row],[GroupByKey]])*OutputTable[RecordedValue]))</f>
        <v>5</v>
      </c>
    </row>
    <row r="134" spans="1:16" x14ac:dyDescent="0.35">
      <c r="A134" t="s">
        <v>66</v>
      </c>
      <c r="B134" t="s">
        <v>69</v>
      </c>
      <c r="C134">
        <v>27</v>
      </c>
      <c r="D134" t="s">
        <v>92</v>
      </c>
      <c r="E134" t="s">
        <v>93</v>
      </c>
      <c r="F134" t="s">
        <v>85</v>
      </c>
      <c r="G134">
        <v>5</v>
      </c>
      <c r="H134">
        <v>0</v>
      </c>
      <c r="I134" s="5" t="str">
        <f>OutputTable[[#This Row],[ProjectName]]&amp;OutputTable[[#This Row],[Name]]&amp;OutputTable[[#This Row],[Type]]&amp;OutputTable[[#This Row],[Source]]</f>
        <v>Unnamed ProjectOperador.NumberSeizedTotal Number SeizedResource</v>
      </c>
      <c r="J134" s="5" cm="1">
        <f t="array" ref="J134">MAX(IF((ProjectInfoTable[ProjectName]=OutputTable[[#This Row],[ProjectName]]),(ProjectInfoTable[ProjectName]=OutputTable[[#This Row],[ProjectName]])*ProjectInfoTable[NumberOfReplications]))</f>
        <v>50</v>
      </c>
      <c r="K134" s="5" cm="1">
        <f t="array" ref="K134">IFERROR(AVERAGE(IF((OutputTable[GroupByKey]=OutputTable[[#This Row],[GroupByKey]]),(OutputTable[GroupByKey]=OutputTable[[#This Row],[GroupByKey]])*OutputTable[RecordedValue])),0)</f>
        <v>4.58</v>
      </c>
      <c r="L134" s="5" cm="1">
        <f t="array" ref="L134">IFERROR(_xlfn.STDEV.S(IF((OutputTable[GroupByKey]=OutputTable[[#This Row],[GroupByKey]]),(OutputTable[GroupByKey]=OutputTable[[#This Row],[GroupByKey]])*OutputTable[RecordedValue])),0)</f>
        <v>0.78480466827545059</v>
      </c>
      <c r="M134" s="5" cm="1">
        <f t="array" ref="M134">MAX(IF((ProjectInfoTable[ProjectName]=OutputTable[[#This Row],[ProjectName]]),(ProjectInfoTable[ProjectName]=OutputTable[[#This Row],[ProjectName]])*ProjectInfoTable[ConfidenceInterval]))</f>
        <v>0.95</v>
      </c>
      <c r="N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0.22303901890225239</v>
      </c>
      <c r="O134" s="5" cm="1">
        <f t="array" ref="O134">MIN(IF((OutputTable[GroupByKey]=OutputTable[[#This Row],[GroupByKey]]),(OutputTable[GroupByKey]=OutputTable[[#This Row],[GroupByKey]])*OutputTable[RecordedValue]))</f>
        <v>3</v>
      </c>
      <c r="P134" s="5" cm="1">
        <f t="array" ref="P134">MAX(IF((OutputTable[GroupByKey]=OutputTable[[#This Row],[GroupByKey]]),(OutputTable[GroupByKey]=OutputTable[[#This Row],[GroupByKey]])*OutputTable[RecordedValue]))</f>
        <v>6</v>
      </c>
    </row>
    <row r="135" spans="1:16" x14ac:dyDescent="0.35">
      <c r="A135" t="s">
        <v>66</v>
      </c>
      <c r="B135" t="s">
        <v>69</v>
      </c>
      <c r="C135">
        <v>27</v>
      </c>
      <c r="D135" t="s">
        <v>94</v>
      </c>
      <c r="E135" t="s">
        <v>95</v>
      </c>
      <c r="F135" t="s">
        <v>85</v>
      </c>
      <c r="G135">
        <v>1</v>
      </c>
      <c r="H135">
        <v>0</v>
      </c>
      <c r="I135" s="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135" s="5" cm="1">
        <f t="array" ref="J135">MAX(IF((ProjectInfoTable[ProjectName]=OutputTable[[#This Row],[ProjectName]]),(ProjectInfoTable[ProjectName]=OutputTable[[#This Row],[ProjectName]])*ProjectInfoTable[NumberOfReplications]))</f>
        <v>50</v>
      </c>
      <c r="K135" s="5" cm="1">
        <f t="array" ref="K135">IFERROR(AVERAGE(IF((OutputTable[GroupByKey]=OutputTable[[#This Row],[GroupByKey]]),(OutputTable[GroupByKey]=OutputTable[[#This Row],[GroupByKey]])*OutputTable[RecordedValue])),0)</f>
        <v>0.92637977941440086</v>
      </c>
      <c r="L135" s="5" cm="1">
        <f t="array" ref="L135">IFERROR(_xlfn.STDEV.S(IF((OutputTable[GroupByKey]=OutputTable[[#This Row],[GroupByKey]]),(OutputTable[GroupByKey]=OutputTable[[#This Row],[GroupByKey]])*OutputTable[RecordedValue])),0)</f>
        <v>0.11789675502181338</v>
      </c>
      <c r="M135" s="5" cm="1">
        <f t="array" ref="M135">MAX(IF((ProjectInfoTable[ProjectName]=OutputTable[[#This Row],[ProjectName]]),(ProjectInfoTable[ProjectName]=OutputTable[[#This Row],[ProjectName]])*ProjectInfoTable[ConfidenceInterval]))</f>
        <v>0.95</v>
      </c>
      <c r="N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3.350588705034975E-2</v>
      </c>
      <c r="O135" s="5" cm="1">
        <f t="array" ref="O135">MIN(IF((OutputTable[GroupByKey]=OutputTable[[#This Row],[GroupByKey]]),(OutputTable[GroupByKey]=OutputTable[[#This Row],[GroupByKey]])*OutputTable[RecordedValue]))</f>
        <v>0.60846830422583797</v>
      </c>
      <c r="P135" s="5" cm="1">
        <f t="array" ref="P135">MAX(IF((OutputTable[GroupByKey]=OutputTable[[#This Row],[GroupByKey]]),(OutputTable[GroupByKey]=OutputTable[[#This Row],[GroupByKey]])*OutputTable[RecordedValue]))</f>
        <v>1</v>
      </c>
    </row>
    <row r="136" spans="1:16" x14ac:dyDescent="0.35">
      <c r="A136" t="s">
        <v>66</v>
      </c>
      <c r="B136" t="s">
        <v>69</v>
      </c>
      <c r="C136">
        <v>27</v>
      </c>
      <c r="D136" t="s">
        <v>96</v>
      </c>
      <c r="E136" t="s">
        <v>91</v>
      </c>
      <c r="F136" t="s">
        <v>97</v>
      </c>
      <c r="G136">
        <v>4</v>
      </c>
      <c r="H136">
        <v>0</v>
      </c>
      <c r="I136" s="5" t="str">
        <f>OutputTable[[#This Row],[ProjectName]]&amp;OutputTable[[#This Row],[Name]]&amp;OutputTable[[#This Row],[Type]]&amp;OutputTable[[#This Row],[Source]]</f>
        <v>Unnamed ProjectSystem.NumberOutNumber OutSystem</v>
      </c>
      <c r="J136" s="5" cm="1">
        <f t="array" ref="J136">MAX(IF((ProjectInfoTable[ProjectName]=OutputTable[[#This Row],[ProjectName]]),(ProjectInfoTable[ProjectName]=OutputTable[[#This Row],[ProjectName]])*ProjectInfoTable[NumberOfReplications]))</f>
        <v>50</v>
      </c>
      <c r="K136" s="5" cm="1">
        <f t="array" ref="K136">IFERROR(AVERAGE(IF((OutputTable[GroupByKey]=OutputTable[[#This Row],[GroupByKey]]),(OutputTable[GroupByKey]=OutputTable[[#This Row],[GroupByKey]])*OutputTable[RecordedValue])),0)</f>
        <v>3.62</v>
      </c>
      <c r="L136" s="5" cm="1">
        <f t="array" ref="L136">IFERROR(_xlfn.STDEV.S(IF((OutputTable[GroupByKey]=OutputTable[[#This Row],[GroupByKey]]),(OutputTable[GroupByKey]=OutputTable[[#This Row],[GroupByKey]])*OutputTable[RecordedValue])),0)</f>
        <v>0.77958649426527116</v>
      </c>
      <c r="M136" s="5" cm="1">
        <f t="array" ref="M136">MAX(IF((ProjectInfoTable[ProjectName]=OutputTable[[#This Row],[ProjectName]]),(ProjectInfoTable[ProjectName]=OutputTable[[#This Row],[ProjectName]])*ProjectInfoTable[ConfidenceInterval]))</f>
        <v>0.95</v>
      </c>
      <c r="N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136" s="5" cm="1">
        <f t="array" ref="O136">MIN(IF((OutputTable[GroupByKey]=OutputTable[[#This Row],[GroupByKey]]),(OutputTable[GroupByKey]=OutputTable[[#This Row],[GroupByKey]])*OutputTable[RecordedValue]))</f>
        <v>2</v>
      </c>
      <c r="P136" s="5" cm="1">
        <f t="array" ref="P136">MAX(IF((OutputTable[GroupByKey]=OutputTable[[#This Row],[GroupByKey]]),(OutputTable[GroupByKey]=OutputTable[[#This Row],[GroupByKey]])*OutputTable[RecordedValue]))</f>
        <v>5</v>
      </c>
    </row>
    <row r="137" spans="1:16" x14ac:dyDescent="0.35">
      <c r="A137" t="s">
        <v>66</v>
      </c>
      <c r="B137" t="s">
        <v>69</v>
      </c>
      <c r="C137">
        <v>28</v>
      </c>
      <c r="D137" t="s">
        <v>88</v>
      </c>
      <c r="E137" t="s">
        <v>89</v>
      </c>
      <c r="F137" t="s">
        <v>72</v>
      </c>
      <c r="G137">
        <v>5</v>
      </c>
      <c r="H137">
        <v>0</v>
      </c>
      <c r="I137" s="5" t="str">
        <f>OutputTable[[#This Row],[ProjectName]]&amp;OutputTable[[#This Row],[Name]]&amp;OutputTable[[#This Row],[Type]]&amp;OutputTable[[#This Row],[Source]]</f>
        <v>Unnamed ProjectArquivos.NumberInNumber InEntity</v>
      </c>
      <c r="J137" s="5" cm="1">
        <f t="array" ref="J137">MAX(IF((ProjectInfoTable[ProjectName]=OutputTable[[#This Row],[ProjectName]]),(ProjectInfoTable[ProjectName]=OutputTable[[#This Row],[ProjectName]])*ProjectInfoTable[NumberOfReplications]))</f>
        <v>50</v>
      </c>
      <c r="K137" s="5" cm="1">
        <f t="array" ref="K137">IFERROR(AVERAGE(IF((OutputTable[GroupByKey]=OutputTable[[#This Row],[GroupByKey]]),(OutputTable[GroupByKey]=OutputTable[[#This Row],[GroupByKey]])*OutputTable[RecordedValue])),0)</f>
        <v>6.48</v>
      </c>
      <c r="L137" s="5" cm="1">
        <f t="array" ref="L137">IFERROR(_xlfn.STDEV.S(IF((OutputTable[GroupByKey]=OutputTable[[#This Row],[GroupByKey]]),(OutputTable[GroupByKey]=OutputTable[[#This Row],[GroupByKey]])*OutputTable[RecordedValue])),0)</f>
        <v>1.7984119979264248</v>
      </c>
      <c r="M137" s="5" cm="1">
        <f t="array" ref="M137">MAX(IF((ProjectInfoTable[ProjectName]=OutputTable[[#This Row],[ProjectName]]),(ProjectInfoTable[ProjectName]=OutputTable[[#This Row],[ProjectName]])*ProjectInfoTable[ConfidenceInterval]))</f>
        <v>0.95</v>
      </c>
      <c r="N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0.51110303469648288</v>
      </c>
      <c r="O137" s="5" cm="1">
        <f t="array" ref="O137">MIN(IF((OutputTable[GroupByKey]=OutputTable[[#This Row],[GroupByKey]]),(OutputTable[GroupByKey]=OutputTable[[#This Row],[GroupByKey]])*OutputTable[RecordedValue]))</f>
        <v>3</v>
      </c>
      <c r="P137" s="5" cm="1">
        <f t="array" ref="P137">MAX(IF((OutputTable[GroupByKey]=OutputTable[[#This Row],[GroupByKey]]),(OutputTable[GroupByKey]=OutputTable[[#This Row],[GroupByKey]])*OutputTable[RecordedValue]))</f>
        <v>13</v>
      </c>
    </row>
    <row r="138" spans="1:16" x14ac:dyDescent="0.35">
      <c r="A138" t="s">
        <v>66</v>
      </c>
      <c r="B138" t="s">
        <v>69</v>
      </c>
      <c r="C138">
        <v>28</v>
      </c>
      <c r="D138" t="s">
        <v>90</v>
      </c>
      <c r="E138" t="s">
        <v>91</v>
      </c>
      <c r="F138" t="s">
        <v>72</v>
      </c>
      <c r="G138">
        <v>4</v>
      </c>
      <c r="H138">
        <v>0</v>
      </c>
      <c r="I138" s="5" t="str">
        <f>OutputTable[[#This Row],[ProjectName]]&amp;OutputTable[[#This Row],[Name]]&amp;OutputTable[[#This Row],[Type]]&amp;OutputTable[[#This Row],[Source]]</f>
        <v>Unnamed ProjectArquivos.NumberOutNumber OutEntity</v>
      </c>
      <c r="J138" s="5" cm="1">
        <f t="array" ref="J138">MAX(IF((ProjectInfoTable[ProjectName]=OutputTable[[#This Row],[ProjectName]]),(ProjectInfoTable[ProjectName]=OutputTable[[#This Row],[ProjectName]])*ProjectInfoTable[NumberOfReplications]))</f>
        <v>50</v>
      </c>
      <c r="K138" s="5" cm="1">
        <f t="array" ref="K138">IFERROR(AVERAGE(IF((OutputTable[GroupByKey]=OutputTable[[#This Row],[GroupByKey]]),(OutputTable[GroupByKey]=OutputTable[[#This Row],[GroupByKey]])*OutputTable[RecordedValue])),0)</f>
        <v>3.62</v>
      </c>
      <c r="L138" s="5" cm="1">
        <f t="array" ref="L138">IFERROR(_xlfn.STDEV.S(IF((OutputTable[GroupByKey]=OutputTable[[#This Row],[GroupByKey]]),(OutputTable[GroupByKey]=OutputTable[[#This Row],[GroupByKey]])*OutputTable[RecordedValue])),0)</f>
        <v>0.77958649426527116</v>
      </c>
      <c r="M138" s="5" cm="1">
        <f t="array" ref="M138">MAX(IF((ProjectInfoTable[ProjectName]=OutputTable[[#This Row],[ProjectName]]),(ProjectInfoTable[ProjectName]=OutputTable[[#This Row],[ProjectName]])*ProjectInfoTable[ConfidenceInterval]))</f>
        <v>0.95</v>
      </c>
      <c r="N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138" s="5" cm="1">
        <f t="array" ref="O138">MIN(IF((OutputTable[GroupByKey]=OutputTable[[#This Row],[GroupByKey]]),(OutputTable[GroupByKey]=OutputTable[[#This Row],[GroupByKey]])*OutputTable[RecordedValue]))</f>
        <v>2</v>
      </c>
      <c r="P138" s="5" cm="1">
        <f t="array" ref="P138">MAX(IF((OutputTable[GroupByKey]=OutputTable[[#This Row],[GroupByKey]]),(OutputTable[GroupByKey]=OutputTable[[#This Row],[GroupByKey]])*OutputTable[RecordedValue]))</f>
        <v>5</v>
      </c>
    </row>
    <row r="139" spans="1:16" x14ac:dyDescent="0.35">
      <c r="A139" t="s">
        <v>66</v>
      </c>
      <c r="B139" t="s">
        <v>69</v>
      </c>
      <c r="C139">
        <v>28</v>
      </c>
      <c r="D139" t="s">
        <v>92</v>
      </c>
      <c r="E139" t="s">
        <v>93</v>
      </c>
      <c r="F139" t="s">
        <v>85</v>
      </c>
      <c r="G139">
        <v>5</v>
      </c>
      <c r="H139">
        <v>0</v>
      </c>
      <c r="I139" s="5" t="str">
        <f>OutputTable[[#This Row],[ProjectName]]&amp;OutputTable[[#This Row],[Name]]&amp;OutputTable[[#This Row],[Type]]&amp;OutputTable[[#This Row],[Source]]</f>
        <v>Unnamed ProjectOperador.NumberSeizedTotal Number SeizedResource</v>
      </c>
      <c r="J139" s="5" cm="1">
        <f t="array" ref="J139">MAX(IF((ProjectInfoTable[ProjectName]=OutputTable[[#This Row],[ProjectName]]),(ProjectInfoTable[ProjectName]=OutputTable[[#This Row],[ProjectName]])*ProjectInfoTable[NumberOfReplications]))</f>
        <v>50</v>
      </c>
      <c r="K139" s="5" cm="1">
        <f t="array" ref="K139">IFERROR(AVERAGE(IF((OutputTable[GroupByKey]=OutputTable[[#This Row],[GroupByKey]]),(OutputTable[GroupByKey]=OutputTable[[#This Row],[GroupByKey]])*OutputTable[RecordedValue])),0)</f>
        <v>4.58</v>
      </c>
      <c r="L139" s="5" cm="1">
        <f t="array" ref="L139">IFERROR(_xlfn.STDEV.S(IF((OutputTable[GroupByKey]=OutputTable[[#This Row],[GroupByKey]]),(OutputTable[GroupByKey]=OutputTable[[#This Row],[GroupByKey]])*OutputTable[RecordedValue])),0)</f>
        <v>0.78480466827545059</v>
      </c>
      <c r="M139" s="5" cm="1">
        <f t="array" ref="M139">MAX(IF((ProjectInfoTable[ProjectName]=OutputTable[[#This Row],[ProjectName]]),(ProjectInfoTable[ProjectName]=OutputTable[[#This Row],[ProjectName]])*ProjectInfoTable[ConfidenceInterval]))</f>
        <v>0.95</v>
      </c>
      <c r="N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0.22303901890225239</v>
      </c>
      <c r="O139" s="5" cm="1">
        <f t="array" ref="O139">MIN(IF((OutputTable[GroupByKey]=OutputTable[[#This Row],[GroupByKey]]),(OutputTable[GroupByKey]=OutputTable[[#This Row],[GroupByKey]])*OutputTable[RecordedValue]))</f>
        <v>3</v>
      </c>
      <c r="P139" s="5" cm="1">
        <f t="array" ref="P139">MAX(IF((OutputTable[GroupByKey]=OutputTable[[#This Row],[GroupByKey]]),(OutputTable[GroupByKey]=OutputTable[[#This Row],[GroupByKey]])*OutputTable[RecordedValue]))</f>
        <v>6</v>
      </c>
    </row>
    <row r="140" spans="1:16" x14ac:dyDescent="0.35">
      <c r="A140" t="s">
        <v>66</v>
      </c>
      <c r="B140" t="s">
        <v>69</v>
      </c>
      <c r="C140">
        <v>28</v>
      </c>
      <c r="D140" t="s">
        <v>94</v>
      </c>
      <c r="E140" t="s">
        <v>95</v>
      </c>
      <c r="F140" t="s">
        <v>85</v>
      </c>
      <c r="G140">
        <v>1</v>
      </c>
      <c r="H140">
        <v>0</v>
      </c>
      <c r="I140" s="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140" s="5" cm="1">
        <f t="array" ref="J140">MAX(IF((ProjectInfoTable[ProjectName]=OutputTable[[#This Row],[ProjectName]]),(ProjectInfoTable[ProjectName]=OutputTable[[#This Row],[ProjectName]])*ProjectInfoTable[NumberOfReplications]))</f>
        <v>50</v>
      </c>
      <c r="K140" s="5" cm="1">
        <f t="array" ref="K140">IFERROR(AVERAGE(IF((OutputTable[GroupByKey]=OutputTable[[#This Row],[GroupByKey]]),(OutputTable[GroupByKey]=OutputTable[[#This Row],[GroupByKey]])*OutputTable[RecordedValue])),0)</f>
        <v>0.92637977941440086</v>
      </c>
      <c r="L140" s="5" cm="1">
        <f t="array" ref="L140">IFERROR(_xlfn.STDEV.S(IF((OutputTable[GroupByKey]=OutputTable[[#This Row],[GroupByKey]]),(OutputTable[GroupByKey]=OutputTable[[#This Row],[GroupByKey]])*OutputTable[RecordedValue])),0)</f>
        <v>0.11789675502181338</v>
      </c>
      <c r="M140" s="5" cm="1">
        <f t="array" ref="M140">MAX(IF((ProjectInfoTable[ProjectName]=OutputTable[[#This Row],[ProjectName]]),(ProjectInfoTable[ProjectName]=OutputTable[[#This Row],[ProjectName]])*ProjectInfoTable[ConfidenceInterval]))</f>
        <v>0.95</v>
      </c>
      <c r="N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3.350588705034975E-2</v>
      </c>
      <c r="O140" s="5" cm="1">
        <f t="array" ref="O140">MIN(IF((OutputTable[GroupByKey]=OutputTable[[#This Row],[GroupByKey]]),(OutputTable[GroupByKey]=OutputTable[[#This Row],[GroupByKey]])*OutputTable[RecordedValue]))</f>
        <v>0.60846830422583797</v>
      </c>
      <c r="P140" s="5" cm="1">
        <f t="array" ref="P140">MAX(IF((OutputTable[GroupByKey]=OutputTable[[#This Row],[GroupByKey]]),(OutputTable[GroupByKey]=OutputTable[[#This Row],[GroupByKey]])*OutputTable[RecordedValue]))</f>
        <v>1</v>
      </c>
    </row>
    <row r="141" spans="1:16" x14ac:dyDescent="0.35">
      <c r="A141" t="s">
        <v>66</v>
      </c>
      <c r="B141" t="s">
        <v>69</v>
      </c>
      <c r="C141">
        <v>28</v>
      </c>
      <c r="D141" t="s">
        <v>96</v>
      </c>
      <c r="E141" t="s">
        <v>91</v>
      </c>
      <c r="F141" t="s">
        <v>97</v>
      </c>
      <c r="G141">
        <v>4</v>
      </c>
      <c r="H141">
        <v>0</v>
      </c>
      <c r="I141" s="5" t="str">
        <f>OutputTable[[#This Row],[ProjectName]]&amp;OutputTable[[#This Row],[Name]]&amp;OutputTable[[#This Row],[Type]]&amp;OutputTable[[#This Row],[Source]]</f>
        <v>Unnamed ProjectSystem.NumberOutNumber OutSystem</v>
      </c>
      <c r="J141" s="5" cm="1">
        <f t="array" ref="J141">MAX(IF((ProjectInfoTable[ProjectName]=OutputTable[[#This Row],[ProjectName]]),(ProjectInfoTable[ProjectName]=OutputTable[[#This Row],[ProjectName]])*ProjectInfoTable[NumberOfReplications]))</f>
        <v>50</v>
      </c>
      <c r="K141" s="5" cm="1">
        <f t="array" ref="K141">IFERROR(AVERAGE(IF((OutputTable[GroupByKey]=OutputTable[[#This Row],[GroupByKey]]),(OutputTable[GroupByKey]=OutputTable[[#This Row],[GroupByKey]])*OutputTable[RecordedValue])),0)</f>
        <v>3.62</v>
      </c>
      <c r="L141" s="5" cm="1">
        <f t="array" ref="L141">IFERROR(_xlfn.STDEV.S(IF((OutputTable[GroupByKey]=OutputTable[[#This Row],[GroupByKey]]),(OutputTable[GroupByKey]=OutputTable[[#This Row],[GroupByKey]])*OutputTable[RecordedValue])),0)</f>
        <v>0.77958649426527116</v>
      </c>
      <c r="M141" s="5" cm="1">
        <f t="array" ref="M141">MAX(IF((ProjectInfoTable[ProjectName]=OutputTable[[#This Row],[ProjectName]]),(ProjectInfoTable[ProjectName]=OutputTable[[#This Row],[ProjectName]])*ProjectInfoTable[ConfidenceInterval]))</f>
        <v>0.95</v>
      </c>
      <c r="N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141" s="5" cm="1">
        <f t="array" ref="O141">MIN(IF((OutputTable[GroupByKey]=OutputTable[[#This Row],[GroupByKey]]),(OutputTable[GroupByKey]=OutputTable[[#This Row],[GroupByKey]])*OutputTable[RecordedValue]))</f>
        <v>2</v>
      </c>
      <c r="P141" s="5" cm="1">
        <f t="array" ref="P141">MAX(IF((OutputTable[GroupByKey]=OutputTable[[#This Row],[GroupByKey]]),(OutputTable[GroupByKey]=OutputTable[[#This Row],[GroupByKey]])*OutputTable[RecordedValue]))</f>
        <v>5</v>
      </c>
    </row>
    <row r="142" spans="1:16" x14ac:dyDescent="0.35">
      <c r="A142" t="s">
        <v>66</v>
      </c>
      <c r="B142" t="s">
        <v>69</v>
      </c>
      <c r="C142">
        <v>29</v>
      </c>
      <c r="D142" t="s">
        <v>88</v>
      </c>
      <c r="E142" t="s">
        <v>89</v>
      </c>
      <c r="F142" t="s">
        <v>72</v>
      </c>
      <c r="G142">
        <v>8</v>
      </c>
      <c r="H142">
        <v>0</v>
      </c>
      <c r="I142" s="5" t="str">
        <f>OutputTable[[#This Row],[ProjectName]]&amp;OutputTable[[#This Row],[Name]]&amp;OutputTable[[#This Row],[Type]]&amp;OutputTable[[#This Row],[Source]]</f>
        <v>Unnamed ProjectArquivos.NumberInNumber InEntity</v>
      </c>
      <c r="J142" s="5" cm="1">
        <f t="array" ref="J142">MAX(IF((ProjectInfoTable[ProjectName]=OutputTable[[#This Row],[ProjectName]]),(ProjectInfoTable[ProjectName]=OutputTable[[#This Row],[ProjectName]])*ProjectInfoTable[NumberOfReplications]))</f>
        <v>50</v>
      </c>
      <c r="K142" s="5" cm="1">
        <f t="array" ref="K142">IFERROR(AVERAGE(IF((OutputTable[GroupByKey]=OutputTable[[#This Row],[GroupByKey]]),(OutputTable[GroupByKey]=OutputTable[[#This Row],[GroupByKey]])*OutputTable[RecordedValue])),0)</f>
        <v>6.48</v>
      </c>
      <c r="L142" s="5" cm="1">
        <f t="array" ref="L142">IFERROR(_xlfn.STDEV.S(IF((OutputTable[GroupByKey]=OutputTable[[#This Row],[GroupByKey]]),(OutputTable[GroupByKey]=OutputTable[[#This Row],[GroupByKey]])*OutputTable[RecordedValue])),0)</f>
        <v>1.7984119979264248</v>
      </c>
      <c r="M142" s="5" cm="1">
        <f t="array" ref="M142">MAX(IF((ProjectInfoTable[ProjectName]=OutputTable[[#This Row],[ProjectName]]),(ProjectInfoTable[ProjectName]=OutputTable[[#This Row],[ProjectName]])*ProjectInfoTable[ConfidenceInterval]))</f>
        <v>0.95</v>
      </c>
      <c r="N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0.51110303469648288</v>
      </c>
      <c r="O142" s="5" cm="1">
        <f t="array" ref="O142">MIN(IF((OutputTable[GroupByKey]=OutputTable[[#This Row],[GroupByKey]]),(OutputTable[GroupByKey]=OutputTable[[#This Row],[GroupByKey]])*OutputTable[RecordedValue]))</f>
        <v>3</v>
      </c>
      <c r="P142" s="5" cm="1">
        <f t="array" ref="P142">MAX(IF((OutputTable[GroupByKey]=OutputTable[[#This Row],[GroupByKey]]),(OutputTable[GroupByKey]=OutputTable[[#This Row],[GroupByKey]])*OutputTable[RecordedValue]))</f>
        <v>13</v>
      </c>
    </row>
    <row r="143" spans="1:16" x14ac:dyDescent="0.35">
      <c r="A143" t="s">
        <v>66</v>
      </c>
      <c r="B143" t="s">
        <v>69</v>
      </c>
      <c r="C143">
        <v>29</v>
      </c>
      <c r="D143" t="s">
        <v>90</v>
      </c>
      <c r="E143" t="s">
        <v>91</v>
      </c>
      <c r="F143" t="s">
        <v>72</v>
      </c>
      <c r="G143">
        <v>4</v>
      </c>
      <c r="H143">
        <v>0</v>
      </c>
      <c r="I143" s="5" t="str">
        <f>OutputTable[[#This Row],[ProjectName]]&amp;OutputTable[[#This Row],[Name]]&amp;OutputTable[[#This Row],[Type]]&amp;OutputTable[[#This Row],[Source]]</f>
        <v>Unnamed ProjectArquivos.NumberOutNumber OutEntity</v>
      </c>
      <c r="J143" s="5" cm="1">
        <f t="array" ref="J143">MAX(IF((ProjectInfoTable[ProjectName]=OutputTable[[#This Row],[ProjectName]]),(ProjectInfoTable[ProjectName]=OutputTable[[#This Row],[ProjectName]])*ProjectInfoTable[NumberOfReplications]))</f>
        <v>50</v>
      </c>
      <c r="K143" s="5" cm="1">
        <f t="array" ref="K143">IFERROR(AVERAGE(IF((OutputTable[GroupByKey]=OutputTable[[#This Row],[GroupByKey]]),(OutputTable[GroupByKey]=OutputTable[[#This Row],[GroupByKey]])*OutputTable[RecordedValue])),0)</f>
        <v>3.62</v>
      </c>
      <c r="L143" s="5" cm="1">
        <f t="array" ref="L143">IFERROR(_xlfn.STDEV.S(IF((OutputTable[GroupByKey]=OutputTable[[#This Row],[GroupByKey]]),(OutputTable[GroupByKey]=OutputTable[[#This Row],[GroupByKey]])*OutputTable[RecordedValue])),0)</f>
        <v>0.77958649426527116</v>
      </c>
      <c r="M143" s="5" cm="1">
        <f t="array" ref="M143">MAX(IF((ProjectInfoTable[ProjectName]=OutputTable[[#This Row],[ProjectName]]),(ProjectInfoTable[ProjectName]=OutputTable[[#This Row],[ProjectName]])*ProjectInfoTable[ConfidenceInterval]))</f>
        <v>0.95</v>
      </c>
      <c r="N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143" s="5" cm="1">
        <f t="array" ref="O143">MIN(IF((OutputTable[GroupByKey]=OutputTable[[#This Row],[GroupByKey]]),(OutputTable[GroupByKey]=OutputTable[[#This Row],[GroupByKey]])*OutputTable[RecordedValue]))</f>
        <v>2</v>
      </c>
      <c r="P143" s="5" cm="1">
        <f t="array" ref="P143">MAX(IF((OutputTable[GroupByKey]=OutputTable[[#This Row],[GroupByKey]]),(OutputTable[GroupByKey]=OutputTable[[#This Row],[GroupByKey]])*OutputTable[RecordedValue]))</f>
        <v>5</v>
      </c>
    </row>
    <row r="144" spans="1:16" x14ac:dyDescent="0.35">
      <c r="A144" t="s">
        <v>66</v>
      </c>
      <c r="B144" t="s">
        <v>69</v>
      </c>
      <c r="C144">
        <v>29</v>
      </c>
      <c r="D144" t="s">
        <v>92</v>
      </c>
      <c r="E144" t="s">
        <v>93</v>
      </c>
      <c r="F144" t="s">
        <v>85</v>
      </c>
      <c r="G144">
        <v>5</v>
      </c>
      <c r="H144">
        <v>0</v>
      </c>
      <c r="I144" s="5" t="str">
        <f>OutputTable[[#This Row],[ProjectName]]&amp;OutputTable[[#This Row],[Name]]&amp;OutputTable[[#This Row],[Type]]&amp;OutputTable[[#This Row],[Source]]</f>
        <v>Unnamed ProjectOperador.NumberSeizedTotal Number SeizedResource</v>
      </c>
      <c r="J144" s="5" cm="1">
        <f t="array" ref="J144">MAX(IF((ProjectInfoTable[ProjectName]=OutputTable[[#This Row],[ProjectName]]),(ProjectInfoTable[ProjectName]=OutputTable[[#This Row],[ProjectName]])*ProjectInfoTable[NumberOfReplications]))</f>
        <v>50</v>
      </c>
      <c r="K144" s="5" cm="1">
        <f t="array" ref="K144">IFERROR(AVERAGE(IF((OutputTable[GroupByKey]=OutputTable[[#This Row],[GroupByKey]]),(OutputTable[GroupByKey]=OutputTable[[#This Row],[GroupByKey]])*OutputTable[RecordedValue])),0)</f>
        <v>4.58</v>
      </c>
      <c r="L144" s="5" cm="1">
        <f t="array" ref="L144">IFERROR(_xlfn.STDEV.S(IF((OutputTable[GroupByKey]=OutputTable[[#This Row],[GroupByKey]]),(OutputTable[GroupByKey]=OutputTable[[#This Row],[GroupByKey]])*OutputTable[RecordedValue])),0)</f>
        <v>0.78480466827545059</v>
      </c>
      <c r="M144" s="5" cm="1">
        <f t="array" ref="M144">MAX(IF((ProjectInfoTable[ProjectName]=OutputTable[[#This Row],[ProjectName]]),(ProjectInfoTable[ProjectName]=OutputTable[[#This Row],[ProjectName]])*ProjectInfoTable[ConfidenceInterval]))</f>
        <v>0.95</v>
      </c>
      <c r="N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0.22303901890225239</v>
      </c>
      <c r="O144" s="5" cm="1">
        <f t="array" ref="O144">MIN(IF((OutputTable[GroupByKey]=OutputTable[[#This Row],[GroupByKey]]),(OutputTable[GroupByKey]=OutputTable[[#This Row],[GroupByKey]])*OutputTable[RecordedValue]))</f>
        <v>3</v>
      </c>
      <c r="P144" s="5" cm="1">
        <f t="array" ref="P144">MAX(IF((OutputTable[GroupByKey]=OutputTable[[#This Row],[GroupByKey]]),(OutputTable[GroupByKey]=OutputTable[[#This Row],[GroupByKey]])*OutputTable[RecordedValue]))</f>
        <v>6</v>
      </c>
    </row>
    <row r="145" spans="1:16" x14ac:dyDescent="0.35">
      <c r="A145" t="s">
        <v>66</v>
      </c>
      <c r="B145" t="s">
        <v>69</v>
      </c>
      <c r="C145">
        <v>29</v>
      </c>
      <c r="D145" t="s">
        <v>94</v>
      </c>
      <c r="E145" t="s">
        <v>95</v>
      </c>
      <c r="F145" t="s">
        <v>85</v>
      </c>
      <c r="G145">
        <v>1</v>
      </c>
      <c r="H145">
        <v>0</v>
      </c>
      <c r="I145" s="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145" s="5" cm="1">
        <f t="array" ref="J145">MAX(IF((ProjectInfoTable[ProjectName]=OutputTable[[#This Row],[ProjectName]]),(ProjectInfoTable[ProjectName]=OutputTable[[#This Row],[ProjectName]])*ProjectInfoTable[NumberOfReplications]))</f>
        <v>50</v>
      </c>
      <c r="K145" s="5" cm="1">
        <f t="array" ref="K145">IFERROR(AVERAGE(IF((OutputTable[GroupByKey]=OutputTable[[#This Row],[GroupByKey]]),(OutputTable[GroupByKey]=OutputTable[[#This Row],[GroupByKey]])*OutputTable[RecordedValue])),0)</f>
        <v>0.92637977941440086</v>
      </c>
      <c r="L145" s="5" cm="1">
        <f t="array" ref="L145">IFERROR(_xlfn.STDEV.S(IF((OutputTable[GroupByKey]=OutputTable[[#This Row],[GroupByKey]]),(OutputTable[GroupByKey]=OutputTable[[#This Row],[GroupByKey]])*OutputTable[RecordedValue])),0)</f>
        <v>0.11789675502181338</v>
      </c>
      <c r="M145" s="5" cm="1">
        <f t="array" ref="M145">MAX(IF((ProjectInfoTable[ProjectName]=OutputTable[[#This Row],[ProjectName]]),(ProjectInfoTable[ProjectName]=OutputTable[[#This Row],[ProjectName]])*ProjectInfoTable[ConfidenceInterval]))</f>
        <v>0.95</v>
      </c>
      <c r="N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3.350588705034975E-2</v>
      </c>
      <c r="O145" s="5" cm="1">
        <f t="array" ref="O145">MIN(IF((OutputTable[GroupByKey]=OutputTable[[#This Row],[GroupByKey]]),(OutputTable[GroupByKey]=OutputTable[[#This Row],[GroupByKey]])*OutputTable[RecordedValue]))</f>
        <v>0.60846830422583797</v>
      </c>
      <c r="P145" s="5" cm="1">
        <f t="array" ref="P145">MAX(IF((OutputTable[GroupByKey]=OutputTable[[#This Row],[GroupByKey]]),(OutputTable[GroupByKey]=OutputTable[[#This Row],[GroupByKey]])*OutputTable[RecordedValue]))</f>
        <v>1</v>
      </c>
    </row>
    <row r="146" spans="1:16" x14ac:dyDescent="0.35">
      <c r="A146" t="s">
        <v>66</v>
      </c>
      <c r="B146" t="s">
        <v>69</v>
      </c>
      <c r="C146">
        <v>29</v>
      </c>
      <c r="D146" t="s">
        <v>96</v>
      </c>
      <c r="E146" t="s">
        <v>91</v>
      </c>
      <c r="F146" t="s">
        <v>97</v>
      </c>
      <c r="G146">
        <v>4</v>
      </c>
      <c r="H146">
        <v>0</v>
      </c>
      <c r="I146" s="5" t="str">
        <f>OutputTable[[#This Row],[ProjectName]]&amp;OutputTable[[#This Row],[Name]]&amp;OutputTable[[#This Row],[Type]]&amp;OutputTable[[#This Row],[Source]]</f>
        <v>Unnamed ProjectSystem.NumberOutNumber OutSystem</v>
      </c>
      <c r="J146" s="5" cm="1">
        <f t="array" ref="J146">MAX(IF((ProjectInfoTable[ProjectName]=OutputTable[[#This Row],[ProjectName]]),(ProjectInfoTable[ProjectName]=OutputTable[[#This Row],[ProjectName]])*ProjectInfoTable[NumberOfReplications]))</f>
        <v>50</v>
      </c>
      <c r="K146" s="5" cm="1">
        <f t="array" ref="K146">IFERROR(AVERAGE(IF((OutputTable[GroupByKey]=OutputTable[[#This Row],[GroupByKey]]),(OutputTable[GroupByKey]=OutputTable[[#This Row],[GroupByKey]])*OutputTable[RecordedValue])),0)</f>
        <v>3.62</v>
      </c>
      <c r="L146" s="5" cm="1">
        <f t="array" ref="L146">IFERROR(_xlfn.STDEV.S(IF((OutputTable[GroupByKey]=OutputTable[[#This Row],[GroupByKey]]),(OutputTable[GroupByKey]=OutputTable[[#This Row],[GroupByKey]])*OutputTable[RecordedValue])),0)</f>
        <v>0.77958649426527116</v>
      </c>
      <c r="M146" s="5" cm="1">
        <f t="array" ref="M146">MAX(IF((ProjectInfoTable[ProjectName]=OutputTable[[#This Row],[ProjectName]]),(ProjectInfoTable[ProjectName]=OutputTable[[#This Row],[ProjectName]])*ProjectInfoTable[ConfidenceInterval]))</f>
        <v>0.95</v>
      </c>
      <c r="N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146" s="5" cm="1">
        <f t="array" ref="O146">MIN(IF((OutputTable[GroupByKey]=OutputTable[[#This Row],[GroupByKey]]),(OutputTable[GroupByKey]=OutputTable[[#This Row],[GroupByKey]])*OutputTable[RecordedValue]))</f>
        <v>2</v>
      </c>
      <c r="P146" s="5" cm="1">
        <f t="array" ref="P146">MAX(IF((OutputTable[GroupByKey]=OutputTable[[#This Row],[GroupByKey]]),(OutputTable[GroupByKey]=OutputTable[[#This Row],[GroupByKey]])*OutputTable[RecordedValue]))</f>
        <v>5</v>
      </c>
    </row>
    <row r="147" spans="1:16" x14ac:dyDescent="0.35">
      <c r="A147" t="s">
        <v>66</v>
      </c>
      <c r="B147" t="s">
        <v>69</v>
      </c>
      <c r="C147">
        <v>30</v>
      </c>
      <c r="D147" t="s">
        <v>88</v>
      </c>
      <c r="E147" t="s">
        <v>89</v>
      </c>
      <c r="F147" t="s">
        <v>72</v>
      </c>
      <c r="G147">
        <v>9</v>
      </c>
      <c r="H147">
        <v>0</v>
      </c>
      <c r="I147" s="5" t="str">
        <f>OutputTable[[#This Row],[ProjectName]]&amp;OutputTable[[#This Row],[Name]]&amp;OutputTable[[#This Row],[Type]]&amp;OutputTable[[#This Row],[Source]]</f>
        <v>Unnamed ProjectArquivos.NumberInNumber InEntity</v>
      </c>
      <c r="J147" s="5" cm="1">
        <f t="array" ref="J147">MAX(IF((ProjectInfoTable[ProjectName]=OutputTable[[#This Row],[ProjectName]]),(ProjectInfoTable[ProjectName]=OutputTable[[#This Row],[ProjectName]])*ProjectInfoTable[NumberOfReplications]))</f>
        <v>50</v>
      </c>
      <c r="K147" s="5" cm="1">
        <f t="array" ref="K147">IFERROR(AVERAGE(IF((OutputTable[GroupByKey]=OutputTable[[#This Row],[GroupByKey]]),(OutputTable[GroupByKey]=OutputTable[[#This Row],[GroupByKey]])*OutputTable[RecordedValue])),0)</f>
        <v>6.48</v>
      </c>
      <c r="L147" s="5" cm="1">
        <f t="array" ref="L147">IFERROR(_xlfn.STDEV.S(IF((OutputTable[GroupByKey]=OutputTable[[#This Row],[GroupByKey]]),(OutputTable[GroupByKey]=OutputTable[[#This Row],[GroupByKey]])*OutputTable[RecordedValue])),0)</f>
        <v>1.7984119979264248</v>
      </c>
      <c r="M147" s="5" cm="1">
        <f t="array" ref="M147">MAX(IF((ProjectInfoTable[ProjectName]=OutputTable[[#This Row],[ProjectName]]),(ProjectInfoTable[ProjectName]=OutputTable[[#This Row],[ProjectName]])*ProjectInfoTable[ConfidenceInterval]))</f>
        <v>0.95</v>
      </c>
      <c r="N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0.51110303469648288</v>
      </c>
      <c r="O147" s="5" cm="1">
        <f t="array" ref="O147">MIN(IF((OutputTable[GroupByKey]=OutputTable[[#This Row],[GroupByKey]]),(OutputTable[GroupByKey]=OutputTable[[#This Row],[GroupByKey]])*OutputTable[RecordedValue]))</f>
        <v>3</v>
      </c>
      <c r="P147" s="5" cm="1">
        <f t="array" ref="P147">MAX(IF((OutputTable[GroupByKey]=OutputTable[[#This Row],[GroupByKey]]),(OutputTable[GroupByKey]=OutputTable[[#This Row],[GroupByKey]])*OutputTable[RecordedValue]))</f>
        <v>13</v>
      </c>
    </row>
    <row r="148" spans="1:16" x14ac:dyDescent="0.35">
      <c r="A148" t="s">
        <v>66</v>
      </c>
      <c r="B148" t="s">
        <v>69</v>
      </c>
      <c r="C148">
        <v>30</v>
      </c>
      <c r="D148" t="s">
        <v>90</v>
      </c>
      <c r="E148" t="s">
        <v>91</v>
      </c>
      <c r="F148" t="s">
        <v>72</v>
      </c>
      <c r="G148">
        <v>5</v>
      </c>
      <c r="H148">
        <v>0</v>
      </c>
      <c r="I148" s="5" t="str">
        <f>OutputTable[[#This Row],[ProjectName]]&amp;OutputTable[[#This Row],[Name]]&amp;OutputTable[[#This Row],[Type]]&amp;OutputTable[[#This Row],[Source]]</f>
        <v>Unnamed ProjectArquivos.NumberOutNumber OutEntity</v>
      </c>
      <c r="J148" s="5" cm="1">
        <f t="array" ref="J148">MAX(IF((ProjectInfoTable[ProjectName]=OutputTable[[#This Row],[ProjectName]]),(ProjectInfoTable[ProjectName]=OutputTable[[#This Row],[ProjectName]])*ProjectInfoTable[NumberOfReplications]))</f>
        <v>50</v>
      </c>
      <c r="K148" s="5" cm="1">
        <f t="array" ref="K148">IFERROR(AVERAGE(IF((OutputTable[GroupByKey]=OutputTable[[#This Row],[GroupByKey]]),(OutputTable[GroupByKey]=OutputTable[[#This Row],[GroupByKey]])*OutputTable[RecordedValue])),0)</f>
        <v>3.62</v>
      </c>
      <c r="L148" s="5" cm="1">
        <f t="array" ref="L148">IFERROR(_xlfn.STDEV.S(IF((OutputTable[GroupByKey]=OutputTable[[#This Row],[GroupByKey]]),(OutputTable[GroupByKey]=OutputTable[[#This Row],[GroupByKey]])*OutputTable[RecordedValue])),0)</f>
        <v>0.77958649426527116</v>
      </c>
      <c r="M148" s="5" cm="1">
        <f t="array" ref="M148">MAX(IF((ProjectInfoTable[ProjectName]=OutputTable[[#This Row],[ProjectName]]),(ProjectInfoTable[ProjectName]=OutputTable[[#This Row],[ProjectName]])*ProjectInfoTable[ConfidenceInterval]))</f>
        <v>0.95</v>
      </c>
      <c r="N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148" s="5" cm="1">
        <f t="array" ref="O148">MIN(IF((OutputTable[GroupByKey]=OutputTable[[#This Row],[GroupByKey]]),(OutputTable[GroupByKey]=OutputTable[[#This Row],[GroupByKey]])*OutputTable[RecordedValue]))</f>
        <v>2</v>
      </c>
      <c r="P148" s="5" cm="1">
        <f t="array" ref="P148">MAX(IF((OutputTable[GroupByKey]=OutputTable[[#This Row],[GroupByKey]]),(OutputTable[GroupByKey]=OutputTable[[#This Row],[GroupByKey]])*OutputTable[RecordedValue]))</f>
        <v>5</v>
      </c>
    </row>
    <row r="149" spans="1:16" x14ac:dyDescent="0.35">
      <c r="A149" t="s">
        <v>66</v>
      </c>
      <c r="B149" t="s">
        <v>69</v>
      </c>
      <c r="C149">
        <v>30</v>
      </c>
      <c r="D149" t="s">
        <v>92</v>
      </c>
      <c r="E149" t="s">
        <v>93</v>
      </c>
      <c r="F149" t="s">
        <v>85</v>
      </c>
      <c r="G149">
        <v>6</v>
      </c>
      <c r="H149">
        <v>0</v>
      </c>
      <c r="I149" s="5" t="str">
        <f>OutputTable[[#This Row],[ProjectName]]&amp;OutputTable[[#This Row],[Name]]&amp;OutputTable[[#This Row],[Type]]&amp;OutputTable[[#This Row],[Source]]</f>
        <v>Unnamed ProjectOperador.NumberSeizedTotal Number SeizedResource</v>
      </c>
      <c r="J149" s="5" cm="1">
        <f t="array" ref="J149">MAX(IF((ProjectInfoTable[ProjectName]=OutputTable[[#This Row],[ProjectName]]),(ProjectInfoTable[ProjectName]=OutputTable[[#This Row],[ProjectName]])*ProjectInfoTable[NumberOfReplications]))</f>
        <v>50</v>
      </c>
      <c r="K149" s="5" cm="1">
        <f t="array" ref="K149">IFERROR(AVERAGE(IF((OutputTable[GroupByKey]=OutputTable[[#This Row],[GroupByKey]]),(OutputTable[GroupByKey]=OutputTable[[#This Row],[GroupByKey]])*OutputTable[RecordedValue])),0)</f>
        <v>4.58</v>
      </c>
      <c r="L149" s="5" cm="1">
        <f t="array" ref="L149">IFERROR(_xlfn.STDEV.S(IF((OutputTable[GroupByKey]=OutputTable[[#This Row],[GroupByKey]]),(OutputTable[GroupByKey]=OutputTable[[#This Row],[GroupByKey]])*OutputTable[RecordedValue])),0)</f>
        <v>0.78480466827545059</v>
      </c>
      <c r="M149" s="5" cm="1">
        <f t="array" ref="M149">MAX(IF((ProjectInfoTable[ProjectName]=OutputTable[[#This Row],[ProjectName]]),(ProjectInfoTable[ProjectName]=OutputTable[[#This Row],[ProjectName]])*ProjectInfoTable[ConfidenceInterval]))</f>
        <v>0.95</v>
      </c>
      <c r="N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0.22303901890225239</v>
      </c>
      <c r="O149" s="5" cm="1">
        <f t="array" ref="O149">MIN(IF((OutputTable[GroupByKey]=OutputTable[[#This Row],[GroupByKey]]),(OutputTable[GroupByKey]=OutputTable[[#This Row],[GroupByKey]])*OutputTable[RecordedValue]))</f>
        <v>3</v>
      </c>
      <c r="P149" s="5" cm="1">
        <f t="array" ref="P149">MAX(IF((OutputTable[GroupByKey]=OutputTable[[#This Row],[GroupByKey]]),(OutputTable[GroupByKey]=OutputTable[[#This Row],[GroupByKey]])*OutputTable[RecordedValue]))</f>
        <v>6</v>
      </c>
    </row>
    <row r="150" spans="1:16" x14ac:dyDescent="0.35">
      <c r="A150" t="s">
        <v>66</v>
      </c>
      <c r="B150" t="s">
        <v>69</v>
      </c>
      <c r="C150">
        <v>30</v>
      </c>
      <c r="D150" t="s">
        <v>94</v>
      </c>
      <c r="E150" t="s">
        <v>95</v>
      </c>
      <c r="F150" t="s">
        <v>85</v>
      </c>
      <c r="G150">
        <v>0.73000928517752095</v>
      </c>
      <c r="H150">
        <v>0</v>
      </c>
      <c r="I150" s="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150" s="5" cm="1">
        <f t="array" ref="J150">MAX(IF((ProjectInfoTable[ProjectName]=OutputTable[[#This Row],[ProjectName]]),(ProjectInfoTable[ProjectName]=OutputTable[[#This Row],[ProjectName]])*ProjectInfoTable[NumberOfReplications]))</f>
        <v>50</v>
      </c>
      <c r="K150" s="5" cm="1">
        <f t="array" ref="K150">IFERROR(AVERAGE(IF((OutputTable[GroupByKey]=OutputTable[[#This Row],[GroupByKey]]),(OutputTable[GroupByKey]=OutputTable[[#This Row],[GroupByKey]])*OutputTable[RecordedValue])),0)</f>
        <v>0.92637977941440086</v>
      </c>
      <c r="L150" s="5" cm="1">
        <f t="array" ref="L150">IFERROR(_xlfn.STDEV.S(IF((OutputTable[GroupByKey]=OutputTable[[#This Row],[GroupByKey]]),(OutputTable[GroupByKey]=OutputTable[[#This Row],[GroupByKey]])*OutputTable[RecordedValue])),0)</f>
        <v>0.11789675502181338</v>
      </c>
      <c r="M150" s="5" cm="1">
        <f t="array" ref="M150">MAX(IF((ProjectInfoTable[ProjectName]=OutputTable[[#This Row],[ProjectName]]),(ProjectInfoTable[ProjectName]=OutputTable[[#This Row],[ProjectName]])*ProjectInfoTable[ConfidenceInterval]))</f>
        <v>0.95</v>
      </c>
      <c r="N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3.350588705034975E-2</v>
      </c>
      <c r="O150" s="5" cm="1">
        <f t="array" ref="O150">MIN(IF((OutputTable[GroupByKey]=OutputTable[[#This Row],[GroupByKey]]),(OutputTable[GroupByKey]=OutputTable[[#This Row],[GroupByKey]])*OutputTable[RecordedValue]))</f>
        <v>0.60846830422583797</v>
      </c>
      <c r="P150" s="5" cm="1">
        <f t="array" ref="P150">MAX(IF((OutputTable[GroupByKey]=OutputTable[[#This Row],[GroupByKey]]),(OutputTable[GroupByKey]=OutputTable[[#This Row],[GroupByKey]])*OutputTable[RecordedValue]))</f>
        <v>1</v>
      </c>
    </row>
    <row r="151" spans="1:16" x14ac:dyDescent="0.35">
      <c r="A151" t="s">
        <v>66</v>
      </c>
      <c r="B151" t="s">
        <v>69</v>
      </c>
      <c r="C151">
        <v>30</v>
      </c>
      <c r="D151" t="s">
        <v>96</v>
      </c>
      <c r="E151" t="s">
        <v>91</v>
      </c>
      <c r="F151" t="s">
        <v>97</v>
      </c>
      <c r="G151">
        <v>5</v>
      </c>
      <c r="H151">
        <v>0</v>
      </c>
      <c r="I151" s="5" t="str">
        <f>OutputTable[[#This Row],[ProjectName]]&amp;OutputTable[[#This Row],[Name]]&amp;OutputTable[[#This Row],[Type]]&amp;OutputTable[[#This Row],[Source]]</f>
        <v>Unnamed ProjectSystem.NumberOutNumber OutSystem</v>
      </c>
      <c r="J151" s="5" cm="1">
        <f t="array" ref="J151">MAX(IF((ProjectInfoTable[ProjectName]=OutputTable[[#This Row],[ProjectName]]),(ProjectInfoTable[ProjectName]=OutputTable[[#This Row],[ProjectName]])*ProjectInfoTable[NumberOfReplications]))</f>
        <v>50</v>
      </c>
      <c r="K151" s="5" cm="1">
        <f t="array" ref="K151">IFERROR(AVERAGE(IF((OutputTable[GroupByKey]=OutputTable[[#This Row],[GroupByKey]]),(OutputTable[GroupByKey]=OutputTable[[#This Row],[GroupByKey]])*OutputTable[RecordedValue])),0)</f>
        <v>3.62</v>
      </c>
      <c r="L151" s="5" cm="1">
        <f t="array" ref="L151">IFERROR(_xlfn.STDEV.S(IF((OutputTable[GroupByKey]=OutputTable[[#This Row],[GroupByKey]]),(OutputTable[GroupByKey]=OutputTable[[#This Row],[GroupByKey]])*OutputTable[RecordedValue])),0)</f>
        <v>0.77958649426527116</v>
      </c>
      <c r="M151" s="5" cm="1">
        <f t="array" ref="M151">MAX(IF((ProjectInfoTable[ProjectName]=OutputTable[[#This Row],[ProjectName]]),(ProjectInfoTable[ProjectName]=OutputTable[[#This Row],[ProjectName]])*ProjectInfoTable[ConfidenceInterval]))</f>
        <v>0.95</v>
      </c>
      <c r="N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151" s="5" cm="1">
        <f t="array" ref="O151">MIN(IF((OutputTable[GroupByKey]=OutputTable[[#This Row],[GroupByKey]]),(OutputTable[GroupByKey]=OutputTable[[#This Row],[GroupByKey]])*OutputTable[RecordedValue]))</f>
        <v>2</v>
      </c>
      <c r="P151" s="5" cm="1">
        <f t="array" ref="P151">MAX(IF((OutputTable[GroupByKey]=OutputTable[[#This Row],[GroupByKey]]),(OutputTable[GroupByKey]=OutputTable[[#This Row],[GroupByKey]])*OutputTable[RecordedValue]))</f>
        <v>5</v>
      </c>
    </row>
    <row r="152" spans="1:16" x14ac:dyDescent="0.35">
      <c r="A152" t="s">
        <v>66</v>
      </c>
      <c r="B152" t="s">
        <v>69</v>
      </c>
      <c r="C152">
        <v>31</v>
      </c>
      <c r="D152" t="s">
        <v>88</v>
      </c>
      <c r="E152" t="s">
        <v>89</v>
      </c>
      <c r="F152" t="s">
        <v>72</v>
      </c>
      <c r="G152">
        <v>5</v>
      </c>
      <c r="H152">
        <v>0</v>
      </c>
      <c r="I152" s="5" t="str">
        <f>OutputTable[[#This Row],[ProjectName]]&amp;OutputTable[[#This Row],[Name]]&amp;OutputTable[[#This Row],[Type]]&amp;OutputTable[[#This Row],[Source]]</f>
        <v>Unnamed ProjectArquivos.NumberInNumber InEntity</v>
      </c>
      <c r="J152" s="5" cm="1">
        <f t="array" ref="J152">MAX(IF((ProjectInfoTable[ProjectName]=OutputTable[[#This Row],[ProjectName]]),(ProjectInfoTable[ProjectName]=OutputTable[[#This Row],[ProjectName]])*ProjectInfoTable[NumberOfReplications]))</f>
        <v>50</v>
      </c>
      <c r="K152" s="5" cm="1">
        <f t="array" ref="K152">IFERROR(AVERAGE(IF((OutputTable[GroupByKey]=OutputTable[[#This Row],[GroupByKey]]),(OutputTable[GroupByKey]=OutputTable[[#This Row],[GroupByKey]])*OutputTable[RecordedValue])),0)</f>
        <v>6.48</v>
      </c>
      <c r="L152" s="5" cm="1">
        <f t="array" ref="L152">IFERROR(_xlfn.STDEV.S(IF((OutputTable[GroupByKey]=OutputTable[[#This Row],[GroupByKey]]),(OutputTable[GroupByKey]=OutputTable[[#This Row],[GroupByKey]])*OutputTable[RecordedValue])),0)</f>
        <v>1.7984119979264248</v>
      </c>
      <c r="M152" s="5" cm="1">
        <f t="array" ref="M152">MAX(IF((ProjectInfoTable[ProjectName]=OutputTable[[#This Row],[ProjectName]]),(ProjectInfoTable[ProjectName]=OutputTable[[#This Row],[ProjectName]])*ProjectInfoTable[ConfidenceInterval]))</f>
        <v>0.95</v>
      </c>
      <c r="N15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0.51110303469648288</v>
      </c>
      <c r="O152" s="5" cm="1">
        <f t="array" ref="O152">MIN(IF((OutputTable[GroupByKey]=OutputTable[[#This Row],[GroupByKey]]),(OutputTable[GroupByKey]=OutputTable[[#This Row],[GroupByKey]])*OutputTable[RecordedValue]))</f>
        <v>3</v>
      </c>
      <c r="P152" s="5" cm="1">
        <f t="array" ref="P152">MAX(IF((OutputTable[GroupByKey]=OutputTable[[#This Row],[GroupByKey]]),(OutputTable[GroupByKey]=OutputTable[[#This Row],[GroupByKey]])*OutputTable[RecordedValue]))</f>
        <v>13</v>
      </c>
    </row>
    <row r="153" spans="1:16" x14ac:dyDescent="0.35">
      <c r="A153" t="s">
        <v>66</v>
      </c>
      <c r="B153" t="s">
        <v>69</v>
      </c>
      <c r="C153">
        <v>31</v>
      </c>
      <c r="D153" t="s">
        <v>90</v>
      </c>
      <c r="E153" t="s">
        <v>91</v>
      </c>
      <c r="F153" t="s">
        <v>72</v>
      </c>
      <c r="G153">
        <v>3</v>
      </c>
      <c r="H153">
        <v>0</v>
      </c>
      <c r="I153" s="5" t="str">
        <f>OutputTable[[#This Row],[ProjectName]]&amp;OutputTable[[#This Row],[Name]]&amp;OutputTable[[#This Row],[Type]]&amp;OutputTable[[#This Row],[Source]]</f>
        <v>Unnamed ProjectArquivos.NumberOutNumber OutEntity</v>
      </c>
      <c r="J153" s="5" cm="1">
        <f t="array" ref="J153">MAX(IF((ProjectInfoTable[ProjectName]=OutputTable[[#This Row],[ProjectName]]),(ProjectInfoTable[ProjectName]=OutputTable[[#This Row],[ProjectName]])*ProjectInfoTable[NumberOfReplications]))</f>
        <v>50</v>
      </c>
      <c r="K153" s="5" cm="1">
        <f t="array" ref="K153">IFERROR(AVERAGE(IF((OutputTable[GroupByKey]=OutputTable[[#This Row],[GroupByKey]]),(OutputTable[GroupByKey]=OutputTable[[#This Row],[GroupByKey]])*OutputTable[RecordedValue])),0)</f>
        <v>3.62</v>
      </c>
      <c r="L153" s="5" cm="1">
        <f t="array" ref="L153">IFERROR(_xlfn.STDEV.S(IF((OutputTable[GroupByKey]=OutputTable[[#This Row],[GroupByKey]]),(OutputTable[GroupByKey]=OutputTable[[#This Row],[GroupByKey]])*OutputTable[RecordedValue])),0)</f>
        <v>0.77958649426527116</v>
      </c>
      <c r="M153" s="5" cm="1">
        <f t="array" ref="M153">MAX(IF((ProjectInfoTable[ProjectName]=OutputTable[[#This Row],[ProjectName]]),(ProjectInfoTable[ProjectName]=OutputTable[[#This Row],[ProjectName]])*ProjectInfoTable[ConfidenceInterval]))</f>
        <v>0.95</v>
      </c>
      <c r="N15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153" s="5" cm="1">
        <f t="array" ref="O153">MIN(IF((OutputTable[GroupByKey]=OutputTable[[#This Row],[GroupByKey]]),(OutputTable[GroupByKey]=OutputTable[[#This Row],[GroupByKey]])*OutputTable[RecordedValue]))</f>
        <v>2</v>
      </c>
      <c r="P153" s="5" cm="1">
        <f t="array" ref="P153">MAX(IF((OutputTable[GroupByKey]=OutputTable[[#This Row],[GroupByKey]]),(OutputTable[GroupByKey]=OutputTable[[#This Row],[GroupByKey]])*OutputTable[RecordedValue]))</f>
        <v>5</v>
      </c>
    </row>
    <row r="154" spans="1:16" x14ac:dyDescent="0.35">
      <c r="A154" t="s">
        <v>66</v>
      </c>
      <c r="B154" t="s">
        <v>69</v>
      </c>
      <c r="C154">
        <v>31</v>
      </c>
      <c r="D154" t="s">
        <v>92</v>
      </c>
      <c r="E154" t="s">
        <v>93</v>
      </c>
      <c r="F154" t="s">
        <v>85</v>
      </c>
      <c r="G154">
        <v>4</v>
      </c>
      <c r="H154">
        <v>0</v>
      </c>
      <c r="I154" s="5" t="str">
        <f>OutputTable[[#This Row],[ProjectName]]&amp;OutputTable[[#This Row],[Name]]&amp;OutputTable[[#This Row],[Type]]&amp;OutputTable[[#This Row],[Source]]</f>
        <v>Unnamed ProjectOperador.NumberSeizedTotal Number SeizedResource</v>
      </c>
      <c r="J154" s="5" cm="1">
        <f t="array" ref="J154">MAX(IF((ProjectInfoTable[ProjectName]=OutputTable[[#This Row],[ProjectName]]),(ProjectInfoTable[ProjectName]=OutputTable[[#This Row],[ProjectName]])*ProjectInfoTable[NumberOfReplications]))</f>
        <v>50</v>
      </c>
      <c r="K154" s="5" cm="1">
        <f t="array" ref="K154">IFERROR(AVERAGE(IF((OutputTable[GroupByKey]=OutputTable[[#This Row],[GroupByKey]]),(OutputTable[GroupByKey]=OutputTable[[#This Row],[GroupByKey]])*OutputTable[RecordedValue])),0)</f>
        <v>4.58</v>
      </c>
      <c r="L154" s="5" cm="1">
        <f t="array" ref="L154">IFERROR(_xlfn.STDEV.S(IF((OutputTable[GroupByKey]=OutputTable[[#This Row],[GroupByKey]]),(OutputTable[GroupByKey]=OutputTable[[#This Row],[GroupByKey]])*OutputTable[RecordedValue])),0)</f>
        <v>0.78480466827545059</v>
      </c>
      <c r="M154" s="5" cm="1">
        <f t="array" ref="M154">MAX(IF((ProjectInfoTable[ProjectName]=OutputTable[[#This Row],[ProjectName]]),(ProjectInfoTable[ProjectName]=OutputTable[[#This Row],[ProjectName]])*ProjectInfoTable[ConfidenceInterval]))</f>
        <v>0.95</v>
      </c>
      <c r="N15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0.22303901890225239</v>
      </c>
      <c r="O154" s="5" cm="1">
        <f t="array" ref="O154">MIN(IF((OutputTable[GroupByKey]=OutputTable[[#This Row],[GroupByKey]]),(OutputTable[GroupByKey]=OutputTable[[#This Row],[GroupByKey]])*OutputTable[RecordedValue]))</f>
        <v>3</v>
      </c>
      <c r="P154" s="5" cm="1">
        <f t="array" ref="P154">MAX(IF((OutputTable[GroupByKey]=OutputTable[[#This Row],[GroupByKey]]),(OutputTable[GroupByKey]=OutputTable[[#This Row],[GroupByKey]])*OutputTable[RecordedValue]))</f>
        <v>6</v>
      </c>
    </row>
    <row r="155" spans="1:16" x14ac:dyDescent="0.35">
      <c r="A155" t="s">
        <v>66</v>
      </c>
      <c r="B155" t="s">
        <v>69</v>
      </c>
      <c r="C155">
        <v>31</v>
      </c>
      <c r="D155" t="s">
        <v>94</v>
      </c>
      <c r="E155" t="s">
        <v>95</v>
      </c>
      <c r="F155" t="s">
        <v>85</v>
      </c>
      <c r="G155">
        <v>0.89270244569856905</v>
      </c>
      <c r="H155">
        <v>0</v>
      </c>
      <c r="I155" s="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155" s="5" cm="1">
        <f t="array" ref="J155">MAX(IF((ProjectInfoTable[ProjectName]=OutputTable[[#This Row],[ProjectName]]),(ProjectInfoTable[ProjectName]=OutputTable[[#This Row],[ProjectName]])*ProjectInfoTable[NumberOfReplications]))</f>
        <v>50</v>
      </c>
      <c r="K155" s="5" cm="1">
        <f t="array" ref="K155">IFERROR(AVERAGE(IF((OutputTable[GroupByKey]=OutputTable[[#This Row],[GroupByKey]]),(OutputTable[GroupByKey]=OutputTable[[#This Row],[GroupByKey]])*OutputTable[RecordedValue])),0)</f>
        <v>0.92637977941440086</v>
      </c>
      <c r="L155" s="5" cm="1">
        <f t="array" ref="L155">IFERROR(_xlfn.STDEV.S(IF((OutputTable[GroupByKey]=OutputTable[[#This Row],[GroupByKey]]),(OutputTable[GroupByKey]=OutputTable[[#This Row],[GroupByKey]])*OutputTable[RecordedValue])),0)</f>
        <v>0.11789675502181338</v>
      </c>
      <c r="M155" s="5" cm="1">
        <f t="array" ref="M155">MAX(IF((ProjectInfoTable[ProjectName]=OutputTable[[#This Row],[ProjectName]]),(ProjectInfoTable[ProjectName]=OutputTable[[#This Row],[ProjectName]])*ProjectInfoTable[ConfidenceInterval]))</f>
        <v>0.95</v>
      </c>
      <c r="N15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3.350588705034975E-2</v>
      </c>
      <c r="O155" s="5" cm="1">
        <f t="array" ref="O155">MIN(IF((OutputTable[GroupByKey]=OutputTable[[#This Row],[GroupByKey]]),(OutputTable[GroupByKey]=OutputTable[[#This Row],[GroupByKey]])*OutputTable[RecordedValue]))</f>
        <v>0.60846830422583797</v>
      </c>
      <c r="P155" s="5" cm="1">
        <f t="array" ref="P155">MAX(IF((OutputTable[GroupByKey]=OutputTable[[#This Row],[GroupByKey]]),(OutputTable[GroupByKey]=OutputTable[[#This Row],[GroupByKey]])*OutputTable[RecordedValue]))</f>
        <v>1</v>
      </c>
    </row>
    <row r="156" spans="1:16" x14ac:dyDescent="0.35">
      <c r="A156" t="s">
        <v>66</v>
      </c>
      <c r="B156" t="s">
        <v>69</v>
      </c>
      <c r="C156">
        <v>31</v>
      </c>
      <c r="D156" t="s">
        <v>96</v>
      </c>
      <c r="E156" t="s">
        <v>91</v>
      </c>
      <c r="F156" t="s">
        <v>97</v>
      </c>
      <c r="G156">
        <v>3</v>
      </c>
      <c r="H156">
        <v>0</v>
      </c>
      <c r="I156" s="5" t="str">
        <f>OutputTable[[#This Row],[ProjectName]]&amp;OutputTable[[#This Row],[Name]]&amp;OutputTable[[#This Row],[Type]]&amp;OutputTable[[#This Row],[Source]]</f>
        <v>Unnamed ProjectSystem.NumberOutNumber OutSystem</v>
      </c>
      <c r="J156" s="5" cm="1">
        <f t="array" ref="J156">MAX(IF((ProjectInfoTable[ProjectName]=OutputTable[[#This Row],[ProjectName]]),(ProjectInfoTable[ProjectName]=OutputTable[[#This Row],[ProjectName]])*ProjectInfoTable[NumberOfReplications]))</f>
        <v>50</v>
      </c>
      <c r="K156" s="5" cm="1">
        <f t="array" ref="K156">IFERROR(AVERAGE(IF((OutputTable[GroupByKey]=OutputTable[[#This Row],[GroupByKey]]),(OutputTable[GroupByKey]=OutputTable[[#This Row],[GroupByKey]])*OutputTable[RecordedValue])),0)</f>
        <v>3.62</v>
      </c>
      <c r="L156" s="5" cm="1">
        <f t="array" ref="L156">IFERROR(_xlfn.STDEV.S(IF((OutputTable[GroupByKey]=OutputTable[[#This Row],[GroupByKey]]),(OutputTable[GroupByKey]=OutputTable[[#This Row],[GroupByKey]])*OutputTable[RecordedValue])),0)</f>
        <v>0.77958649426527116</v>
      </c>
      <c r="M156" s="5" cm="1">
        <f t="array" ref="M156">MAX(IF((ProjectInfoTable[ProjectName]=OutputTable[[#This Row],[ProjectName]]),(ProjectInfoTable[ProjectName]=OutputTable[[#This Row],[ProjectName]])*ProjectInfoTable[ConfidenceInterval]))</f>
        <v>0.95</v>
      </c>
      <c r="N15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156" s="5" cm="1">
        <f t="array" ref="O156">MIN(IF((OutputTable[GroupByKey]=OutputTable[[#This Row],[GroupByKey]]),(OutputTable[GroupByKey]=OutputTable[[#This Row],[GroupByKey]])*OutputTable[RecordedValue]))</f>
        <v>2</v>
      </c>
      <c r="P156" s="5" cm="1">
        <f t="array" ref="P156">MAX(IF((OutputTable[GroupByKey]=OutputTable[[#This Row],[GroupByKey]]),(OutputTable[GroupByKey]=OutputTable[[#This Row],[GroupByKey]])*OutputTable[RecordedValue]))</f>
        <v>5</v>
      </c>
    </row>
    <row r="157" spans="1:16" x14ac:dyDescent="0.35">
      <c r="A157" t="s">
        <v>66</v>
      </c>
      <c r="B157" t="s">
        <v>69</v>
      </c>
      <c r="C157">
        <v>32</v>
      </c>
      <c r="D157" t="s">
        <v>88</v>
      </c>
      <c r="E157" t="s">
        <v>89</v>
      </c>
      <c r="F157" t="s">
        <v>72</v>
      </c>
      <c r="G157">
        <v>6</v>
      </c>
      <c r="H157">
        <v>0</v>
      </c>
      <c r="I157" s="5" t="str">
        <f>OutputTable[[#This Row],[ProjectName]]&amp;OutputTable[[#This Row],[Name]]&amp;OutputTable[[#This Row],[Type]]&amp;OutputTable[[#This Row],[Source]]</f>
        <v>Unnamed ProjectArquivos.NumberInNumber InEntity</v>
      </c>
      <c r="J157" s="5" cm="1">
        <f t="array" ref="J157">MAX(IF((ProjectInfoTable[ProjectName]=OutputTable[[#This Row],[ProjectName]]),(ProjectInfoTable[ProjectName]=OutputTable[[#This Row],[ProjectName]])*ProjectInfoTable[NumberOfReplications]))</f>
        <v>50</v>
      </c>
      <c r="K157" s="5" cm="1">
        <f t="array" ref="K157">IFERROR(AVERAGE(IF((OutputTable[GroupByKey]=OutputTable[[#This Row],[GroupByKey]]),(OutputTable[GroupByKey]=OutputTable[[#This Row],[GroupByKey]])*OutputTable[RecordedValue])),0)</f>
        <v>6.48</v>
      </c>
      <c r="L157" s="5" cm="1">
        <f t="array" ref="L157">IFERROR(_xlfn.STDEV.S(IF((OutputTable[GroupByKey]=OutputTable[[#This Row],[GroupByKey]]),(OutputTable[GroupByKey]=OutputTable[[#This Row],[GroupByKey]])*OutputTable[RecordedValue])),0)</f>
        <v>1.7984119979264248</v>
      </c>
      <c r="M157" s="5" cm="1">
        <f t="array" ref="M157">MAX(IF((ProjectInfoTable[ProjectName]=OutputTable[[#This Row],[ProjectName]]),(ProjectInfoTable[ProjectName]=OutputTable[[#This Row],[ProjectName]])*ProjectInfoTable[ConfidenceInterval]))</f>
        <v>0.95</v>
      </c>
      <c r="N15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0.51110303469648288</v>
      </c>
      <c r="O157" s="5" cm="1">
        <f t="array" ref="O157">MIN(IF((OutputTable[GroupByKey]=OutputTable[[#This Row],[GroupByKey]]),(OutputTable[GroupByKey]=OutputTable[[#This Row],[GroupByKey]])*OutputTable[RecordedValue]))</f>
        <v>3</v>
      </c>
      <c r="P157" s="5" cm="1">
        <f t="array" ref="P157">MAX(IF((OutputTable[GroupByKey]=OutputTable[[#This Row],[GroupByKey]]),(OutputTable[GroupByKey]=OutputTable[[#This Row],[GroupByKey]])*OutputTable[RecordedValue]))</f>
        <v>13</v>
      </c>
    </row>
    <row r="158" spans="1:16" x14ac:dyDescent="0.35">
      <c r="A158" t="s">
        <v>66</v>
      </c>
      <c r="B158" t="s">
        <v>69</v>
      </c>
      <c r="C158">
        <v>32</v>
      </c>
      <c r="D158" t="s">
        <v>90</v>
      </c>
      <c r="E158" t="s">
        <v>91</v>
      </c>
      <c r="F158" t="s">
        <v>72</v>
      </c>
      <c r="G158">
        <v>2</v>
      </c>
      <c r="H158">
        <v>0</v>
      </c>
      <c r="I158" s="5" t="str">
        <f>OutputTable[[#This Row],[ProjectName]]&amp;OutputTable[[#This Row],[Name]]&amp;OutputTable[[#This Row],[Type]]&amp;OutputTable[[#This Row],[Source]]</f>
        <v>Unnamed ProjectArquivos.NumberOutNumber OutEntity</v>
      </c>
      <c r="J158" s="5" cm="1">
        <f t="array" ref="J158">MAX(IF((ProjectInfoTable[ProjectName]=OutputTable[[#This Row],[ProjectName]]),(ProjectInfoTable[ProjectName]=OutputTable[[#This Row],[ProjectName]])*ProjectInfoTable[NumberOfReplications]))</f>
        <v>50</v>
      </c>
      <c r="K158" s="5" cm="1">
        <f t="array" ref="K158">IFERROR(AVERAGE(IF((OutputTable[GroupByKey]=OutputTable[[#This Row],[GroupByKey]]),(OutputTable[GroupByKey]=OutputTable[[#This Row],[GroupByKey]])*OutputTable[RecordedValue])),0)</f>
        <v>3.62</v>
      </c>
      <c r="L158" s="5" cm="1">
        <f t="array" ref="L158">IFERROR(_xlfn.STDEV.S(IF((OutputTable[GroupByKey]=OutputTable[[#This Row],[GroupByKey]]),(OutputTable[GroupByKey]=OutputTable[[#This Row],[GroupByKey]])*OutputTable[RecordedValue])),0)</f>
        <v>0.77958649426527116</v>
      </c>
      <c r="M158" s="5" cm="1">
        <f t="array" ref="M158">MAX(IF((ProjectInfoTable[ProjectName]=OutputTable[[#This Row],[ProjectName]]),(ProjectInfoTable[ProjectName]=OutputTable[[#This Row],[ProjectName]])*ProjectInfoTable[ConfidenceInterval]))</f>
        <v>0.95</v>
      </c>
      <c r="N15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158" s="5" cm="1">
        <f t="array" ref="O158">MIN(IF((OutputTable[GroupByKey]=OutputTable[[#This Row],[GroupByKey]]),(OutputTable[GroupByKey]=OutputTable[[#This Row],[GroupByKey]])*OutputTable[RecordedValue]))</f>
        <v>2</v>
      </c>
      <c r="P158" s="5" cm="1">
        <f t="array" ref="P158">MAX(IF((OutputTable[GroupByKey]=OutputTable[[#This Row],[GroupByKey]]),(OutputTable[GroupByKey]=OutputTable[[#This Row],[GroupByKey]])*OutputTable[RecordedValue]))</f>
        <v>5</v>
      </c>
    </row>
    <row r="159" spans="1:16" x14ac:dyDescent="0.35">
      <c r="A159" t="s">
        <v>66</v>
      </c>
      <c r="B159" t="s">
        <v>69</v>
      </c>
      <c r="C159">
        <v>32</v>
      </c>
      <c r="D159" t="s">
        <v>92</v>
      </c>
      <c r="E159" t="s">
        <v>93</v>
      </c>
      <c r="F159" t="s">
        <v>85</v>
      </c>
      <c r="G159">
        <v>3</v>
      </c>
      <c r="H159">
        <v>0</v>
      </c>
      <c r="I159" s="5" t="str">
        <f>OutputTable[[#This Row],[ProjectName]]&amp;OutputTable[[#This Row],[Name]]&amp;OutputTable[[#This Row],[Type]]&amp;OutputTable[[#This Row],[Source]]</f>
        <v>Unnamed ProjectOperador.NumberSeizedTotal Number SeizedResource</v>
      </c>
      <c r="J159" s="5" cm="1">
        <f t="array" ref="J159">MAX(IF((ProjectInfoTable[ProjectName]=OutputTable[[#This Row],[ProjectName]]),(ProjectInfoTable[ProjectName]=OutputTable[[#This Row],[ProjectName]])*ProjectInfoTable[NumberOfReplications]))</f>
        <v>50</v>
      </c>
      <c r="K159" s="5" cm="1">
        <f t="array" ref="K159">IFERROR(AVERAGE(IF((OutputTable[GroupByKey]=OutputTable[[#This Row],[GroupByKey]]),(OutputTable[GroupByKey]=OutputTable[[#This Row],[GroupByKey]])*OutputTable[RecordedValue])),0)</f>
        <v>4.58</v>
      </c>
      <c r="L159" s="5" cm="1">
        <f t="array" ref="L159">IFERROR(_xlfn.STDEV.S(IF((OutputTable[GroupByKey]=OutputTable[[#This Row],[GroupByKey]]),(OutputTable[GroupByKey]=OutputTable[[#This Row],[GroupByKey]])*OutputTable[RecordedValue])),0)</f>
        <v>0.78480466827545059</v>
      </c>
      <c r="M159" s="5" cm="1">
        <f t="array" ref="M159">MAX(IF((ProjectInfoTable[ProjectName]=OutputTable[[#This Row],[ProjectName]]),(ProjectInfoTable[ProjectName]=OutputTable[[#This Row],[ProjectName]])*ProjectInfoTable[ConfidenceInterval]))</f>
        <v>0.95</v>
      </c>
      <c r="N15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0.22303901890225239</v>
      </c>
      <c r="O159" s="5" cm="1">
        <f t="array" ref="O159">MIN(IF((OutputTable[GroupByKey]=OutputTable[[#This Row],[GroupByKey]]),(OutputTable[GroupByKey]=OutputTable[[#This Row],[GroupByKey]])*OutputTable[RecordedValue]))</f>
        <v>3</v>
      </c>
      <c r="P159" s="5" cm="1">
        <f t="array" ref="P159">MAX(IF((OutputTable[GroupByKey]=OutputTable[[#This Row],[GroupByKey]]),(OutputTable[GroupByKey]=OutputTable[[#This Row],[GroupByKey]])*OutputTable[RecordedValue]))</f>
        <v>6</v>
      </c>
    </row>
    <row r="160" spans="1:16" x14ac:dyDescent="0.35">
      <c r="A160" t="s">
        <v>66</v>
      </c>
      <c r="B160" t="s">
        <v>69</v>
      </c>
      <c r="C160">
        <v>32</v>
      </c>
      <c r="D160" t="s">
        <v>94</v>
      </c>
      <c r="E160" t="s">
        <v>95</v>
      </c>
      <c r="F160" t="s">
        <v>85</v>
      </c>
      <c r="G160">
        <v>0.61923158754493401</v>
      </c>
      <c r="H160">
        <v>0</v>
      </c>
      <c r="I160" s="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160" s="5" cm="1">
        <f t="array" ref="J160">MAX(IF((ProjectInfoTable[ProjectName]=OutputTable[[#This Row],[ProjectName]]),(ProjectInfoTable[ProjectName]=OutputTable[[#This Row],[ProjectName]])*ProjectInfoTable[NumberOfReplications]))</f>
        <v>50</v>
      </c>
      <c r="K160" s="5" cm="1">
        <f t="array" ref="K160">IFERROR(AVERAGE(IF((OutputTable[GroupByKey]=OutputTable[[#This Row],[GroupByKey]]),(OutputTable[GroupByKey]=OutputTable[[#This Row],[GroupByKey]])*OutputTable[RecordedValue])),0)</f>
        <v>0.92637977941440086</v>
      </c>
      <c r="L160" s="5" cm="1">
        <f t="array" ref="L160">IFERROR(_xlfn.STDEV.S(IF((OutputTable[GroupByKey]=OutputTable[[#This Row],[GroupByKey]]),(OutputTable[GroupByKey]=OutputTable[[#This Row],[GroupByKey]])*OutputTable[RecordedValue])),0)</f>
        <v>0.11789675502181338</v>
      </c>
      <c r="M160" s="5" cm="1">
        <f t="array" ref="M160">MAX(IF((ProjectInfoTable[ProjectName]=OutputTable[[#This Row],[ProjectName]]),(ProjectInfoTable[ProjectName]=OutputTable[[#This Row],[ProjectName]])*ProjectInfoTable[ConfidenceInterval]))</f>
        <v>0.95</v>
      </c>
      <c r="N16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3.350588705034975E-2</v>
      </c>
      <c r="O160" s="5" cm="1">
        <f t="array" ref="O160">MIN(IF((OutputTable[GroupByKey]=OutputTable[[#This Row],[GroupByKey]]),(OutputTable[GroupByKey]=OutputTable[[#This Row],[GroupByKey]])*OutputTable[RecordedValue]))</f>
        <v>0.60846830422583797</v>
      </c>
      <c r="P160" s="5" cm="1">
        <f t="array" ref="P160">MAX(IF((OutputTable[GroupByKey]=OutputTable[[#This Row],[GroupByKey]]),(OutputTable[GroupByKey]=OutputTable[[#This Row],[GroupByKey]])*OutputTable[RecordedValue]))</f>
        <v>1</v>
      </c>
    </row>
    <row r="161" spans="1:16" x14ac:dyDescent="0.35">
      <c r="A161" t="s">
        <v>66</v>
      </c>
      <c r="B161" t="s">
        <v>69</v>
      </c>
      <c r="C161">
        <v>32</v>
      </c>
      <c r="D161" t="s">
        <v>96</v>
      </c>
      <c r="E161" t="s">
        <v>91</v>
      </c>
      <c r="F161" t="s">
        <v>97</v>
      </c>
      <c r="G161">
        <v>2</v>
      </c>
      <c r="H161">
        <v>0</v>
      </c>
      <c r="I161" s="5" t="str">
        <f>OutputTable[[#This Row],[ProjectName]]&amp;OutputTable[[#This Row],[Name]]&amp;OutputTable[[#This Row],[Type]]&amp;OutputTable[[#This Row],[Source]]</f>
        <v>Unnamed ProjectSystem.NumberOutNumber OutSystem</v>
      </c>
      <c r="J161" s="5" cm="1">
        <f t="array" ref="J161">MAX(IF((ProjectInfoTable[ProjectName]=OutputTable[[#This Row],[ProjectName]]),(ProjectInfoTable[ProjectName]=OutputTable[[#This Row],[ProjectName]])*ProjectInfoTable[NumberOfReplications]))</f>
        <v>50</v>
      </c>
      <c r="K161" s="5" cm="1">
        <f t="array" ref="K161">IFERROR(AVERAGE(IF((OutputTable[GroupByKey]=OutputTable[[#This Row],[GroupByKey]]),(OutputTable[GroupByKey]=OutputTable[[#This Row],[GroupByKey]])*OutputTable[RecordedValue])),0)</f>
        <v>3.62</v>
      </c>
      <c r="L161" s="5" cm="1">
        <f t="array" ref="L161">IFERROR(_xlfn.STDEV.S(IF((OutputTable[GroupByKey]=OutputTable[[#This Row],[GroupByKey]]),(OutputTable[GroupByKey]=OutputTable[[#This Row],[GroupByKey]])*OutputTable[RecordedValue])),0)</f>
        <v>0.77958649426527116</v>
      </c>
      <c r="M161" s="5" cm="1">
        <f t="array" ref="M161">MAX(IF((ProjectInfoTable[ProjectName]=OutputTable[[#This Row],[ProjectName]]),(ProjectInfoTable[ProjectName]=OutputTable[[#This Row],[ProjectName]])*ProjectInfoTable[ConfidenceInterval]))</f>
        <v>0.95</v>
      </c>
      <c r="N16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161" s="5" cm="1">
        <f t="array" ref="O161">MIN(IF((OutputTable[GroupByKey]=OutputTable[[#This Row],[GroupByKey]]),(OutputTable[GroupByKey]=OutputTable[[#This Row],[GroupByKey]])*OutputTable[RecordedValue]))</f>
        <v>2</v>
      </c>
      <c r="P161" s="5" cm="1">
        <f t="array" ref="P161">MAX(IF((OutputTable[GroupByKey]=OutputTable[[#This Row],[GroupByKey]]),(OutputTable[GroupByKey]=OutputTable[[#This Row],[GroupByKey]])*OutputTable[RecordedValue]))</f>
        <v>5</v>
      </c>
    </row>
    <row r="162" spans="1:16" x14ac:dyDescent="0.35">
      <c r="A162" t="s">
        <v>66</v>
      </c>
      <c r="B162" t="s">
        <v>69</v>
      </c>
      <c r="C162">
        <v>33</v>
      </c>
      <c r="D162" t="s">
        <v>88</v>
      </c>
      <c r="E162" t="s">
        <v>89</v>
      </c>
      <c r="F162" t="s">
        <v>72</v>
      </c>
      <c r="G162">
        <v>7</v>
      </c>
      <c r="H162">
        <v>0</v>
      </c>
      <c r="I162" s="5" t="str">
        <f>OutputTable[[#This Row],[ProjectName]]&amp;OutputTable[[#This Row],[Name]]&amp;OutputTable[[#This Row],[Type]]&amp;OutputTable[[#This Row],[Source]]</f>
        <v>Unnamed ProjectArquivos.NumberInNumber InEntity</v>
      </c>
      <c r="J162" s="5" cm="1">
        <f t="array" ref="J162">MAX(IF((ProjectInfoTable[ProjectName]=OutputTable[[#This Row],[ProjectName]]),(ProjectInfoTable[ProjectName]=OutputTable[[#This Row],[ProjectName]])*ProjectInfoTable[NumberOfReplications]))</f>
        <v>50</v>
      </c>
      <c r="K162" s="5" cm="1">
        <f t="array" ref="K162">IFERROR(AVERAGE(IF((OutputTable[GroupByKey]=OutputTable[[#This Row],[GroupByKey]]),(OutputTable[GroupByKey]=OutputTable[[#This Row],[GroupByKey]])*OutputTable[RecordedValue])),0)</f>
        <v>6.48</v>
      </c>
      <c r="L162" s="5" cm="1">
        <f t="array" ref="L162">IFERROR(_xlfn.STDEV.S(IF((OutputTable[GroupByKey]=OutputTable[[#This Row],[GroupByKey]]),(OutputTable[GroupByKey]=OutputTable[[#This Row],[GroupByKey]])*OutputTable[RecordedValue])),0)</f>
        <v>1.7984119979264248</v>
      </c>
      <c r="M162" s="5" cm="1">
        <f t="array" ref="M162">MAX(IF((ProjectInfoTable[ProjectName]=OutputTable[[#This Row],[ProjectName]]),(ProjectInfoTable[ProjectName]=OutputTable[[#This Row],[ProjectName]])*ProjectInfoTable[ConfidenceInterval]))</f>
        <v>0.95</v>
      </c>
      <c r="N16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0.51110303469648288</v>
      </c>
      <c r="O162" s="5" cm="1">
        <f t="array" ref="O162">MIN(IF((OutputTable[GroupByKey]=OutputTable[[#This Row],[GroupByKey]]),(OutputTable[GroupByKey]=OutputTable[[#This Row],[GroupByKey]])*OutputTable[RecordedValue]))</f>
        <v>3</v>
      </c>
      <c r="P162" s="5" cm="1">
        <f t="array" ref="P162">MAX(IF((OutputTable[GroupByKey]=OutputTable[[#This Row],[GroupByKey]]),(OutputTable[GroupByKey]=OutputTable[[#This Row],[GroupByKey]])*OutputTable[RecordedValue]))</f>
        <v>13</v>
      </c>
    </row>
    <row r="163" spans="1:16" x14ac:dyDescent="0.35">
      <c r="A163" t="s">
        <v>66</v>
      </c>
      <c r="B163" t="s">
        <v>69</v>
      </c>
      <c r="C163">
        <v>33</v>
      </c>
      <c r="D163" t="s">
        <v>90</v>
      </c>
      <c r="E163" t="s">
        <v>91</v>
      </c>
      <c r="F163" t="s">
        <v>72</v>
      </c>
      <c r="G163">
        <v>5</v>
      </c>
      <c r="H163">
        <v>0</v>
      </c>
      <c r="I163" s="5" t="str">
        <f>OutputTable[[#This Row],[ProjectName]]&amp;OutputTable[[#This Row],[Name]]&amp;OutputTable[[#This Row],[Type]]&amp;OutputTable[[#This Row],[Source]]</f>
        <v>Unnamed ProjectArquivos.NumberOutNumber OutEntity</v>
      </c>
      <c r="J163" s="5" cm="1">
        <f t="array" ref="J163">MAX(IF((ProjectInfoTable[ProjectName]=OutputTable[[#This Row],[ProjectName]]),(ProjectInfoTable[ProjectName]=OutputTable[[#This Row],[ProjectName]])*ProjectInfoTable[NumberOfReplications]))</f>
        <v>50</v>
      </c>
      <c r="K163" s="5" cm="1">
        <f t="array" ref="K163">IFERROR(AVERAGE(IF((OutputTable[GroupByKey]=OutputTable[[#This Row],[GroupByKey]]),(OutputTable[GroupByKey]=OutputTable[[#This Row],[GroupByKey]])*OutputTable[RecordedValue])),0)</f>
        <v>3.62</v>
      </c>
      <c r="L163" s="5" cm="1">
        <f t="array" ref="L163">IFERROR(_xlfn.STDEV.S(IF((OutputTable[GroupByKey]=OutputTable[[#This Row],[GroupByKey]]),(OutputTable[GroupByKey]=OutputTable[[#This Row],[GroupByKey]])*OutputTable[RecordedValue])),0)</f>
        <v>0.77958649426527116</v>
      </c>
      <c r="M163" s="5" cm="1">
        <f t="array" ref="M163">MAX(IF((ProjectInfoTable[ProjectName]=OutputTable[[#This Row],[ProjectName]]),(ProjectInfoTable[ProjectName]=OutputTable[[#This Row],[ProjectName]])*ProjectInfoTable[ConfidenceInterval]))</f>
        <v>0.95</v>
      </c>
      <c r="N16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163" s="5" cm="1">
        <f t="array" ref="O163">MIN(IF((OutputTable[GroupByKey]=OutputTable[[#This Row],[GroupByKey]]),(OutputTable[GroupByKey]=OutputTable[[#This Row],[GroupByKey]])*OutputTable[RecordedValue]))</f>
        <v>2</v>
      </c>
      <c r="P163" s="5" cm="1">
        <f t="array" ref="P163">MAX(IF((OutputTable[GroupByKey]=OutputTable[[#This Row],[GroupByKey]]),(OutputTable[GroupByKey]=OutputTable[[#This Row],[GroupByKey]])*OutputTable[RecordedValue]))</f>
        <v>5</v>
      </c>
    </row>
    <row r="164" spans="1:16" x14ac:dyDescent="0.35">
      <c r="A164" t="s">
        <v>66</v>
      </c>
      <c r="B164" t="s">
        <v>69</v>
      </c>
      <c r="C164">
        <v>33</v>
      </c>
      <c r="D164" t="s">
        <v>92</v>
      </c>
      <c r="E164" t="s">
        <v>93</v>
      </c>
      <c r="F164" t="s">
        <v>85</v>
      </c>
      <c r="G164">
        <v>6</v>
      </c>
      <c r="H164">
        <v>0</v>
      </c>
      <c r="I164" s="5" t="str">
        <f>OutputTable[[#This Row],[ProjectName]]&amp;OutputTable[[#This Row],[Name]]&amp;OutputTable[[#This Row],[Type]]&amp;OutputTable[[#This Row],[Source]]</f>
        <v>Unnamed ProjectOperador.NumberSeizedTotal Number SeizedResource</v>
      </c>
      <c r="J164" s="5" cm="1">
        <f t="array" ref="J164">MAX(IF((ProjectInfoTable[ProjectName]=OutputTable[[#This Row],[ProjectName]]),(ProjectInfoTable[ProjectName]=OutputTable[[#This Row],[ProjectName]])*ProjectInfoTable[NumberOfReplications]))</f>
        <v>50</v>
      </c>
      <c r="K164" s="5" cm="1">
        <f t="array" ref="K164">IFERROR(AVERAGE(IF((OutputTable[GroupByKey]=OutputTable[[#This Row],[GroupByKey]]),(OutputTable[GroupByKey]=OutputTable[[#This Row],[GroupByKey]])*OutputTable[RecordedValue])),0)</f>
        <v>4.58</v>
      </c>
      <c r="L164" s="5" cm="1">
        <f t="array" ref="L164">IFERROR(_xlfn.STDEV.S(IF((OutputTable[GroupByKey]=OutputTable[[#This Row],[GroupByKey]]),(OutputTable[GroupByKey]=OutputTable[[#This Row],[GroupByKey]])*OutputTable[RecordedValue])),0)</f>
        <v>0.78480466827545059</v>
      </c>
      <c r="M164" s="5" cm="1">
        <f t="array" ref="M164">MAX(IF((ProjectInfoTable[ProjectName]=OutputTable[[#This Row],[ProjectName]]),(ProjectInfoTable[ProjectName]=OutputTable[[#This Row],[ProjectName]])*ProjectInfoTable[ConfidenceInterval]))</f>
        <v>0.95</v>
      </c>
      <c r="N16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0.22303901890225239</v>
      </c>
      <c r="O164" s="5" cm="1">
        <f t="array" ref="O164">MIN(IF((OutputTable[GroupByKey]=OutputTable[[#This Row],[GroupByKey]]),(OutputTable[GroupByKey]=OutputTable[[#This Row],[GroupByKey]])*OutputTable[RecordedValue]))</f>
        <v>3</v>
      </c>
      <c r="P164" s="5" cm="1">
        <f t="array" ref="P164">MAX(IF((OutputTable[GroupByKey]=OutputTable[[#This Row],[GroupByKey]]),(OutputTable[GroupByKey]=OutputTable[[#This Row],[GroupByKey]])*OutputTable[RecordedValue]))</f>
        <v>6</v>
      </c>
    </row>
    <row r="165" spans="1:16" x14ac:dyDescent="0.35">
      <c r="A165" t="s">
        <v>66</v>
      </c>
      <c r="B165" t="s">
        <v>69</v>
      </c>
      <c r="C165">
        <v>33</v>
      </c>
      <c r="D165" t="s">
        <v>94</v>
      </c>
      <c r="E165" t="s">
        <v>95</v>
      </c>
      <c r="F165" t="s">
        <v>85</v>
      </c>
      <c r="G165">
        <v>1</v>
      </c>
      <c r="H165">
        <v>0</v>
      </c>
      <c r="I165" s="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165" s="5" cm="1">
        <f t="array" ref="J165">MAX(IF((ProjectInfoTable[ProjectName]=OutputTable[[#This Row],[ProjectName]]),(ProjectInfoTable[ProjectName]=OutputTable[[#This Row],[ProjectName]])*ProjectInfoTable[NumberOfReplications]))</f>
        <v>50</v>
      </c>
      <c r="K165" s="5" cm="1">
        <f t="array" ref="K165">IFERROR(AVERAGE(IF((OutputTable[GroupByKey]=OutputTable[[#This Row],[GroupByKey]]),(OutputTable[GroupByKey]=OutputTable[[#This Row],[GroupByKey]])*OutputTable[RecordedValue])),0)</f>
        <v>0.92637977941440086</v>
      </c>
      <c r="L165" s="5" cm="1">
        <f t="array" ref="L165">IFERROR(_xlfn.STDEV.S(IF((OutputTable[GroupByKey]=OutputTable[[#This Row],[GroupByKey]]),(OutputTable[GroupByKey]=OutputTable[[#This Row],[GroupByKey]])*OutputTable[RecordedValue])),0)</f>
        <v>0.11789675502181338</v>
      </c>
      <c r="M165" s="5" cm="1">
        <f t="array" ref="M165">MAX(IF((ProjectInfoTable[ProjectName]=OutputTable[[#This Row],[ProjectName]]),(ProjectInfoTable[ProjectName]=OutputTable[[#This Row],[ProjectName]])*ProjectInfoTable[ConfidenceInterval]))</f>
        <v>0.95</v>
      </c>
      <c r="N16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3.350588705034975E-2</v>
      </c>
      <c r="O165" s="5" cm="1">
        <f t="array" ref="O165">MIN(IF((OutputTable[GroupByKey]=OutputTable[[#This Row],[GroupByKey]]),(OutputTable[GroupByKey]=OutputTable[[#This Row],[GroupByKey]])*OutputTable[RecordedValue]))</f>
        <v>0.60846830422583797</v>
      </c>
      <c r="P165" s="5" cm="1">
        <f t="array" ref="P165">MAX(IF((OutputTable[GroupByKey]=OutputTable[[#This Row],[GroupByKey]]),(OutputTable[GroupByKey]=OutputTable[[#This Row],[GroupByKey]])*OutputTable[RecordedValue]))</f>
        <v>1</v>
      </c>
    </row>
    <row r="166" spans="1:16" x14ac:dyDescent="0.35">
      <c r="A166" t="s">
        <v>66</v>
      </c>
      <c r="B166" t="s">
        <v>69</v>
      </c>
      <c r="C166">
        <v>33</v>
      </c>
      <c r="D166" t="s">
        <v>96</v>
      </c>
      <c r="E166" t="s">
        <v>91</v>
      </c>
      <c r="F166" t="s">
        <v>97</v>
      </c>
      <c r="G166">
        <v>5</v>
      </c>
      <c r="H166">
        <v>0</v>
      </c>
      <c r="I166" s="5" t="str">
        <f>OutputTable[[#This Row],[ProjectName]]&amp;OutputTable[[#This Row],[Name]]&amp;OutputTable[[#This Row],[Type]]&amp;OutputTable[[#This Row],[Source]]</f>
        <v>Unnamed ProjectSystem.NumberOutNumber OutSystem</v>
      </c>
      <c r="J166" s="5" cm="1">
        <f t="array" ref="J166">MAX(IF((ProjectInfoTable[ProjectName]=OutputTable[[#This Row],[ProjectName]]),(ProjectInfoTable[ProjectName]=OutputTable[[#This Row],[ProjectName]])*ProjectInfoTable[NumberOfReplications]))</f>
        <v>50</v>
      </c>
      <c r="K166" s="5" cm="1">
        <f t="array" ref="K166">IFERROR(AVERAGE(IF((OutputTable[GroupByKey]=OutputTable[[#This Row],[GroupByKey]]),(OutputTable[GroupByKey]=OutputTable[[#This Row],[GroupByKey]])*OutputTable[RecordedValue])),0)</f>
        <v>3.62</v>
      </c>
      <c r="L166" s="5" cm="1">
        <f t="array" ref="L166">IFERROR(_xlfn.STDEV.S(IF((OutputTable[GroupByKey]=OutputTable[[#This Row],[GroupByKey]]),(OutputTable[GroupByKey]=OutputTable[[#This Row],[GroupByKey]])*OutputTable[RecordedValue])),0)</f>
        <v>0.77958649426527116</v>
      </c>
      <c r="M166" s="5" cm="1">
        <f t="array" ref="M166">MAX(IF((ProjectInfoTable[ProjectName]=OutputTable[[#This Row],[ProjectName]]),(ProjectInfoTable[ProjectName]=OutputTable[[#This Row],[ProjectName]])*ProjectInfoTable[ConfidenceInterval]))</f>
        <v>0.95</v>
      </c>
      <c r="N16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166" s="5" cm="1">
        <f t="array" ref="O166">MIN(IF((OutputTable[GroupByKey]=OutputTable[[#This Row],[GroupByKey]]),(OutputTable[GroupByKey]=OutputTable[[#This Row],[GroupByKey]])*OutputTable[RecordedValue]))</f>
        <v>2</v>
      </c>
      <c r="P166" s="5" cm="1">
        <f t="array" ref="P166">MAX(IF((OutputTable[GroupByKey]=OutputTable[[#This Row],[GroupByKey]]),(OutputTable[GroupByKey]=OutputTable[[#This Row],[GroupByKey]])*OutputTable[RecordedValue]))</f>
        <v>5</v>
      </c>
    </row>
    <row r="167" spans="1:16" x14ac:dyDescent="0.35">
      <c r="A167" t="s">
        <v>66</v>
      </c>
      <c r="B167" t="s">
        <v>69</v>
      </c>
      <c r="C167">
        <v>34</v>
      </c>
      <c r="D167" t="s">
        <v>88</v>
      </c>
      <c r="E167" t="s">
        <v>89</v>
      </c>
      <c r="F167" t="s">
        <v>72</v>
      </c>
      <c r="G167">
        <v>7</v>
      </c>
      <c r="H167">
        <v>0</v>
      </c>
      <c r="I167" s="5" t="str">
        <f>OutputTable[[#This Row],[ProjectName]]&amp;OutputTable[[#This Row],[Name]]&amp;OutputTable[[#This Row],[Type]]&amp;OutputTable[[#This Row],[Source]]</f>
        <v>Unnamed ProjectArquivos.NumberInNumber InEntity</v>
      </c>
      <c r="J167" s="5" cm="1">
        <f t="array" ref="J167">MAX(IF((ProjectInfoTable[ProjectName]=OutputTable[[#This Row],[ProjectName]]),(ProjectInfoTable[ProjectName]=OutputTable[[#This Row],[ProjectName]])*ProjectInfoTable[NumberOfReplications]))</f>
        <v>50</v>
      </c>
      <c r="K167" s="5" cm="1">
        <f t="array" ref="K167">IFERROR(AVERAGE(IF((OutputTable[GroupByKey]=OutputTable[[#This Row],[GroupByKey]]),(OutputTable[GroupByKey]=OutputTable[[#This Row],[GroupByKey]])*OutputTable[RecordedValue])),0)</f>
        <v>6.48</v>
      </c>
      <c r="L167" s="5" cm="1">
        <f t="array" ref="L167">IFERROR(_xlfn.STDEV.S(IF((OutputTable[GroupByKey]=OutputTable[[#This Row],[GroupByKey]]),(OutputTable[GroupByKey]=OutputTable[[#This Row],[GroupByKey]])*OutputTable[RecordedValue])),0)</f>
        <v>1.7984119979264248</v>
      </c>
      <c r="M167" s="5" cm="1">
        <f t="array" ref="M167">MAX(IF((ProjectInfoTable[ProjectName]=OutputTable[[#This Row],[ProjectName]]),(ProjectInfoTable[ProjectName]=OutputTable[[#This Row],[ProjectName]])*ProjectInfoTable[ConfidenceInterval]))</f>
        <v>0.95</v>
      </c>
      <c r="N16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0.51110303469648288</v>
      </c>
      <c r="O167" s="5" cm="1">
        <f t="array" ref="O167">MIN(IF((OutputTable[GroupByKey]=OutputTable[[#This Row],[GroupByKey]]),(OutputTable[GroupByKey]=OutputTable[[#This Row],[GroupByKey]])*OutputTable[RecordedValue]))</f>
        <v>3</v>
      </c>
      <c r="P167" s="5" cm="1">
        <f t="array" ref="P167">MAX(IF((OutputTable[GroupByKey]=OutputTable[[#This Row],[GroupByKey]]),(OutputTable[GroupByKey]=OutputTable[[#This Row],[GroupByKey]])*OutputTable[RecordedValue]))</f>
        <v>13</v>
      </c>
    </row>
    <row r="168" spans="1:16" x14ac:dyDescent="0.35">
      <c r="A168" t="s">
        <v>66</v>
      </c>
      <c r="B168" t="s">
        <v>69</v>
      </c>
      <c r="C168">
        <v>34</v>
      </c>
      <c r="D168" t="s">
        <v>90</v>
      </c>
      <c r="E168" t="s">
        <v>91</v>
      </c>
      <c r="F168" t="s">
        <v>72</v>
      </c>
      <c r="G168">
        <v>5</v>
      </c>
      <c r="H168">
        <v>0</v>
      </c>
      <c r="I168" s="5" t="str">
        <f>OutputTable[[#This Row],[ProjectName]]&amp;OutputTable[[#This Row],[Name]]&amp;OutputTable[[#This Row],[Type]]&amp;OutputTable[[#This Row],[Source]]</f>
        <v>Unnamed ProjectArquivos.NumberOutNumber OutEntity</v>
      </c>
      <c r="J168" s="5" cm="1">
        <f t="array" ref="J168">MAX(IF((ProjectInfoTable[ProjectName]=OutputTable[[#This Row],[ProjectName]]),(ProjectInfoTable[ProjectName]=OutputTable[[#This Row],[ProjectName]])*ProjectInfoTable[NumberOfReplications]))</f>
        <v>50</v>
      </c>
      <c r="K168" s="5" cm="1">
        <f t="array" ref="K168">IFERROR(AVERAGE(IF((OutputTable[GroupByKey]=OutputTable[[#This Row],[GroupByKey]]),(OutputTable[GroupByKey]=OutputTable[[#This Row],[GroupByKey]])*OutputTable[RecordedValue])),0)</f>
        <v>3.62</v>
      </c>
      <c r="L168" s="5" cm="1">
        <f t="array" ref="L168">IFERROR(_xlfn.STDEV.S(IF((OutputTable[GroupByKey]=OutputTable[[#This Row],[GroupByKey]]),(OutputTable[GroupByKey]=OutputTable[[#This Row],[GroupByKey]])*OutputTable[RecordedValue])),0)</f>
        <v>0.77958649426527116</v>
      </c>
      <c r="M168" s="5" cm="1">
        <f t="array" ref="M168">MAX(IF((ProjectInfoTable[ProjectName]=OutputTable[[#This Row],[ProjectName]]),(ProjectInfoTable[ProjectName]=OutputTable[[#This Row],[ProjectName]])*ProjectInfoTable[ConfidenceInterval]))</f>
        <v>0.95</v>
      </c>
      <c r="N16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168" s="5" cm="1">
        <f t="array" ref="O168">MIN(IF((OutputTable[GroupByKey]=OutputTable[[#This Row],[GroupByKey]]),(OutputTable[GroupByKey]=OutputTable[[#This Row],[GroupByKey]])*OutputTable[RecordedValue]))</f>
        <v>2</v>
      </c>
      <c r="P168" s="5" cm="1">
        <f t="array" ref="P168">MAX(IF((OutputTable[GroupByKey]=OutputTable[[#This Row],[GroupByKey]]),(OutputTable[GroupByKey]=OutputTable[[#This Row],[GroupByKey]])*OutputTable[RecordedValue]))</f>
        <v>5</v>
      </c>
    </row>
    <row r="169" spans="1:16" x14ac:dyDescent="0.35">
      <c r="A169" t="s">
        <v>66</v>
      </c>
      <c r="B169" t="s">
        <v>69</v>
      </c>
      <c r="C169">
        <v>34</v>
      </c>
      <c r="D169" t="s">
        <v>92</v>
      </c>
      <c r="E169" t="s">
        <v>93</v>
      </c>
      <c r="F169" t="s">
        <v>85</v>
      </c>
      <c r="G169">
        <v>6</v>
      </c>
      <c r="H169">
        <v>0</v>
      </c>
      <c r="I169" s="5" t="str">
        <f>OutputTable[[#This Row],[ProjectName]]&amp;OutputTable[[#This Row],[Name]]&amp;OutputTable[[#This Row],[Type]]&amp;OutputTable[[#This Row],[Source]]</f>
        <v>Unnamed ProjectOperador.NumberSeizedTotal Number SeizedResource</v>
      </c>
      <c r="J169" s="5" cm="1">
        <f t="array" ref="J169">MAX(IF((ProjectInfoTable[ProjectName]=OutputTable[[#This Row],[ProjectName]]),(ProjectInfoTable[ProjectName]=OutputTable[[#This Row],[ProjectName]])*ProjectInfoTable[NumberOfReplications]))</f>
        <v>50</v>
      </c>
      <c r="K169" s="5" cm="1">
        <f t="array" ref="K169">IFERROR(AVERAGE(IF((OutputTable[GroupByKey]=OutputTable[[#This Row],[GroupByKey]]),(OutputTable[GroupByKey]=OutputTable[[#This Row],[GroupByKey]])*OutputTable[RecordedValue])),0)</f>
        <v>4.58</v>
      </c>
      <c r="L169" s="5" cm="1">
        <f t="array" ref="L169">IFERROR(_xlfn.STDEV.S(IF((OutputTable[GroupByKey]=OutputTable[[#This Row],[GroupByKey]]),(OutputTable[GroupByKey]=OutputTable[[#This Row],[GroupByKey]])*OutputTable[RecordedValue])),0)</f>
        <v>0.78480466827545059</v>
      </c>
      <c r="M169" s="5" cm="1">
        <f t="array" ref="M169">MAX(IF((ProjectInfoTable[ProjectName]=OutputTable[[#This Row],[ProjectName]]),(ProjectInfoTable[ProjectName]=OutputTable[[#This Row],[ProjectName]])*ProjectInfoTable[ConfidenceInterval]))</f>
        <v>0.95</v>
      </c>
      <c r="N16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0.22303901890225239</v>
      </c>
      <c r="O169" s="5" cm="1">
        <f t="array" ref="O169">MIN(IF((OutputTable[GroupByKey]=OutputTable[[#This Row],[GroupByKey]]),(OutputTable[GroupByKey]=OutputTable[[#This Row],[GroupByKey]])*OutputTable[RecordedValue]))</f>
        <v>3</v>
      </c>
      <c r="P169" s="5" cm="1">
        <f t="array" ref="P169">MAX(IF((OutputTable[GroupByKey]=OutputTable[[#This Row],[GroupByKey]]),(OutputTable[GroupByKey]=OutputTable[[#This Row],[GroupByKey]])*OutputTable[RecordedValue]))</f>
        <v>6</v>
      </c>
    </row>
    <row r="170" spans="1:16" x14ac:dyDescent="0.35">
      <c r="A170" t="s">
        <v>66</v>
      </c>
      <c r="B170" t="s">
        <v>69</v>
      </c>
      <c r="C170">
        <v>34</v>
      </c>
      <c r="D170" t="s">
        <v>94</v>
      </c>
      <c r="E170" t="s">
        <v>95</v>
      </c>
      <c r="F170" t="s">
        <v>85</v>
      </c>
      <c r="G170">
        <v>1</v>
      </c>
      <c r="H170">
        <v>0</v>
      </c>
      <c r="I170" s="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170" s="5" cm="1">
        <f t="array" ref="J170">MAX(IF((ProjectInfoTable[ProjectName]=OutputTable[[#This Row],[ProjectName]]),(ProjectInfoTable[ProjectName]=OutputTable[[#This Row],[ProjectName]])*ProjectInfoTable[NumberOfReplications]))</f>
        <v>50</v>
      </c>
      <c r="K170" s="5" cm="1">
        <f t="array" ref="K170">IFERROR(AVERAGE(IF((OutputTable[GroupByKey]=OutputTable[[#This Row],[GroupByKey]]),(OutputTable[GroupByKey]=OutputTable[[#This Row],[GroupByKey]])*OutputTable[RecordedValue])),0)</f>
        <v>0.92637977941440086</v>
      </c>
      <c r="L170" s="5" cm="1">
        <f t="array" ref="L170">IFERROR(_xlfn.STDEV.S(IF((OutputTable[GroupByKey]=OutputTable[[#This Row],[GroupByKey]]),(OutputTable[GroupByKey]=OutputTable[[#This Row],[GroupByKey]])*OutputTable[RecordedValue])),0)</f>
        <v>0.11789675502181338</v>
      </c>
      <c r="M170" s="5" cm="1">
        <f t="array" ref="M170">MAX(IF((ProjectInfoTable[ProjectName]=OutputTable[[#This Row],[ProjectName]]),(ProjectInfoTable[ProjectName]=OutputTable[[#This Row],[ProjectName]])*ProjectInfoTable[ConfidenceInterval]))</f>
        <v>0.95</v>
      </c>
      <c r="N17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3.350588705034975E-2</v>
      </c>
      <c r="O170" s="5" cm="1">
        <f t="array" ref="O170">MIN(IF((OutputTable[GroupByKey]=OutputTable[[#This Row],[GroupByKey]]),(OutputTable[GroupByKey]=OutputTable[[#This Row],[GroupByKey]])*OutputTable[RecordedValue]))</f>
        <v>0.60846830422583797</v>
      </c>
      <c r="P170" s="5" cm="1">
        <f t="array" ref="P170">MAX(IF((OutputTable[GroupByKey]=OutputTable[[#This Row],[GroupByKey]]),(OutputTable[GroupByKey]=OutputTable[[#This Row],[GroupByKey]])*OutputTable[RecordedValue]))</f>
        <v>1</v>
      </c>
    </row>
    <row r="171" spans="1:16" x14ac:dyDescent="0.35">
      <c r="A171" t="s">
        <v>66</v>
      </c>
      <c r="B171" t="s">
        <v>69</v>
      </c>
      <c r="C171">
        <v>34</v>
      </c>
      <c r="D171" t="s">
        <v>96</v>
      </c>
      <c r="E171" t="s">
        <v>91</v>
      </c>
      <c r="F171" t="s">
        <v>97</v>
      </c>
      <c r="G171">
        <v>5</v>
      </c>
      <c r="H171">
        <v>0</v>
      </c>
      <c r="I171" s="5" t="str">
        <f>OutputTable[[#This Row],[ProjectName]]&amp;OutputTable[[#This Row],[Name]]&amp;OutputTable[[#This Row],[Type]]&amp;OutputTable[[#This Row],[Source]]</f>
        <v>Unnamed ProjectSystem.NumberOutNumber OutSystem</v>
      </c>
      <c r="J171" s="5" cm="1">
        <f t="array" ref="J171">MAX(IF((ProjectInfoTable[ProjectName]=OutputTable[[#This Row],[ProjectName]]),(ProjectInfoTable[ProjectName]=OutputTable[[#This Row],[ProjectName]])*ProjectInfoTable[NumberOfReplications]))</f>
        <v>50</v>
      </c>
      <c r="K171" s="5" cm="1">
        <f t="array" ref="K171">IFERROR(AVERAGE(IF((OutputTable[GroupByKey]=OutputTable[[#This Row],[GroupByKey]]),(OutputTable[GroupByKey]=OutputTable[[#This Row],[GroupByKey]])*OutputTable[RecordedValue])),0)</f>
        <v>3.62</v>
      </c>
      <c r="L171" s="5" cm="1">
        <f t="array" ref="L171">IFERROR(_xlfn.STDEV.S(IF((OutputTable[GroupByKey]=OutputTable[[#This Row],[GroupByKey]]),(OutputTable[GroupByKey]=OutputTable[[#This Row],[GroupByKey]])*OutputTable[RecordedValue])),0)</f>
        <v>0.77958649426527116</v>
      </c>
      <c r="M171" s="5" cm="1">
        <f t="array" ref="M171">MAX(IF((ProjectInfoTable[ProjectName]=OutputTable[[#This Row],[ProjectName]]),(ProjectInfoTable[ProjectName]=OutputTable[[#This Row],[ProjectName]])*ProjectInfoTable[ConfidenceInterval]))</f>
        <v>0.95</v>
      </c>
      <c r="N17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171" s="5" cm="1">
        <f t="array" ref="O171">MIN(IF((OutputTable[GroupByKey]=OutputTable[[#This Row],[GroupByKey]]),(OutputTable[GroupByKey]=OutputTable[[#This Row],[GroupByKey]])*OutputTable[RecordedValue]))</f>
        <v>2</v>
      </c>
      <c r="P171" s="5" cm="1">
        <f t="array" ref="P171">MAX(IF((OutputTable[GroupByKey]=OutputTable[[#This Row],[GroupByKey]]),(OutputTable[GroupByKey]=OutputTable[[#This Row],[GroupByKey]])*OutputTable[RecordedValue]))</f>
        <v>5</v>
      </c>
    </row>
    <row r="172" spans="1:16" x14ac:dyDescent="0.35">
      <c r="A172" t="s">
        <v>66</v>
      </c>
      <c r="B172" t="s">
        <v>69</v>
      </c>
      <c r="C172">
        <v>35</v>
      </c>
      <c r="D172" t="s">
        <v>88</v>
      </c>
      <c r="E172" t="s">
        <v>89</v>
      </c>
      <c r="F172" t="s">
        <v>72</v>
      </c>
      <c r="G172">
        <v>9</v>
      </c>
      <c r="H172">
        <v>0</v>
      </c>
      <c r="I172" s="5" t="str">
        <f>OutputTable[[#This Row],[ProjectName]]&amp;OutputTable[[#This Row],[Name]]&amp;OutputTable[[#This Row],[Type]]&amp;OutputTable[[#This Row],[Source]]</f>
        <v>Unnamed ProjectArquivos.NumberInNumber InEntity</v>
      </c>
      <c r="J172" s="5" cm="1">
        <f t="array" ref="J172">MAX(IF((ProjectInfoTable[ProjectName]=OutputTable[[#This Row],[ProjectName]]),(ProjectInfoTable[ProjectName]=OutputTable[[#This Row],[ProjectName]])*ProjectInfoTable[NumberOfReplications]))</f>
        <v>50</v>
      </c>
      <c r="K172" s="5" cm="1">
        <f t="array" ref="K172">IFERROR(AVERAGE(IF((OutputTable[GroupByKey]=OutputTable[[#This Row],[GroupByKey]]),(OutputTable[GroupByKey]=OutputTable[[#This Row],[GroupByKey]])*OutputTable[RecordedValue])),0)</f>
        <v>6.48</v>
      </c>
      <c r="L172" s="5" cm="1">
        <f t="array" ref="L172">IFERROR(_xlfn.STDEV.S(IF((OutputTable[GroupByKey]=OutputTable[[#This Row],[GroupByKey]]),(OutputTable[GroupByKey]=OutputTable[[#This Row],[GroupByKey]])*OutputTable[RecordedValue])),0)</f>
        <v>1.7984119979264248</v>
      </c>
      <c r="M172" s="5" cm="1">
        <f t="array" ref="M172">MAX(IF((ProjectInfoTable[ProjectName]=OutputTable[[#This Row],[ProjectName]]),(ProjectInfoTable[ProjectName]=OutputTable[[#This Row],[ProjectName]])*ProjectInfoTable[ConfidenceInterval]))</f>
        <v>0.95</v>
      </c>
      <c r="N17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0.51110303469648288</v>
      </c>
      <c r="O172" s="5" cm="1">
        <f t="array" ref="O172">MIN(IF((OutputTable[GroupByKey]=OutputTable[[#This Row],[GroupByKey]]),(OutputTable[GroupByKey]=OutputTable[[#This Row],[GroupByKey]])*OutputTable[RecordedValue]))</f>
        <v>3</v>
      </c>
      <c r="P172" s="5" cm="1">
        <f t="array" ref="P172">MAX(IF((OutputTable[GroupByKey]=OutputTable[[#This Row],[GroupByKey]]),(OutputTable[GroupByKey]=OutputTable[[#This Row],[GroupByKey]])*OutputTable[RecordedValue]))</f>
        <v>13</v>
      </c>
    </row>
    <row r="173" spans="1:16" x14ac:dyDescent="0.35">
      <c r="A173" t="s">
        <v>66</v>
      </c>
      <c r="B173" t="s">
        <v>69</v>
      </c>
      <c r="C173">
        <v>35</v>
      </c>
      <c r="D173" t="s">
        <v>90</v>
      </c>
      <c r="E173" t="s">
        <v>91</v>
      </c>
      <c r="F173" t="s">
        <v>72</v>
      </c>
      <c r="G173">
        <v>5</v>
      </c>
      <c r="H173">
        <v>0</v>
      </c>
      <c r="I173" s="5" t="str">
        <f>OutputTable[[#This Row],[ProjectName]]&amp;OutputTable[[#This Row],[Name]]&amp;OutputTable[[#This Row],[Type]]&amp;OutputTable[[#This Row],[Source]]</f>
        <v>Unnamed ProjectArquivos.NumberOutNumber OutEntity</v>
      </c>
      <c r="J173" s="5" cm="1">
        <f t="array" ref="J173">MAX(IF((ProjectInfoTable[ProjectName]=OutputTable[[#This Row],[ProjectName]]),(ProjectInfoTable[ProjectName]=OutputTable[[#This Row],[ProjectName]])*ProjectInfoTable[NumberOfReplications]))</f>
        <v>50</v>
      </c>
      <c r="K173" s="5" cm="1">
        <f t="array" ref="K173">IFERROR(AVERAGE(IF((OutputTable[GroupByKey]=OutputTable[[#This Row],[GroupByKey]]),(OutputTable[GroupByKey]=OutputTable[[#This Row],[GroupByKey]])*OutputTable[RecordedValue])),0)</f>
        <v>3.62</v>
      </c>
      <c r="L173" s="5" cm="1">
        <f t="array" ref="L173">IFERROR(_xlfn.STDEV.S(IF((OutputTable[GroupByKey]=OutputTable[[#This Row],[GroupByKey]]),(OutputTable[GroupByKey]=OutputTable[[#This Row],[GroupByKey]])*OutputTable[RecordedValue])),0)</f>
        <v>0.77958649426527116</v>
      </c>
      <c r="M173" s="5" cm="1">
        <f t="array" ref="M173">MAX(IF((ProjectInfoTable[ProjectName]=OutputTable[[#This Row],[ProjectName]]),(ProjectInfoTable[ProjectName]=OutputTable[[#This Row],[ProjectName]])*ProjectInfoTable[ConfidenceInterval]))</f>
        <v>0.95</v>
      </c>
      <c r="N17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173" s="5" cm="1">
        <f t="array" ref="O173">MIN(IF((OutputTable[GroupByKey]=OutputTable[[#This Row],[GroupByKey]]),(OutputTable[GroupByKey]=OutputTable[[#This Row],[GroupByKey]])*OutputTable[RecordedValue]))</f>
        <v>2</v>
      </c>
      <c r="P173" s="5" cm="1">
        <f t="array" ref="P173">MAX(IF((OutputTable[GroupByKey]=OutputTable[[#This Row],[GroupByKey]]),(OutputTable[GroupByKey]=OutputTable[[#This Row],[GroupByKey]])*OutputTable[RecordedValue]))</f>
        <v>5</v>
      </c>
    </row>
    <row r="174" spans="1:16" x14ac:dyDescent="0.35">
      <c r="A174" t="s">
        <v>66</v>
      </c>
      <c r="B174" t="s">
        <v>69</v>
      </c>
      <c r="C174">
        <v>35</v>
      </c>
      <c r="D174" t="s">
        <v>92</v>
      </c>
      <c r="E174" t="s">
        <v>93</v>
      </c>
      <c r="F174" t="s">
        <v>85</v>
      </c>
      <c r="G174">
        <v>6</v>
      </c>
      <c r="H174">
        <v>0</v>
      </c>
      <c r="I174" s="5" t="str">
        <f>OutputTable[[#This Row],[ProjectName]]&amp;OutputTable[[#This Row],[Name]]&amp;OutputTable[[#This Row],[Type]]&amp;OutputTable[[#This Row],[Source]]</f>
        <v>Unnamed ProjectOperador.NumberSeizedTotal Number SeizedResource</v>
      </c>
      <c r="J174" s="5" cm="1">
        <f t="array" ref="J174">MAX(IF((ProjectInfoTable[ProjectName]=OutputTable[[#This Row],[ProjectName]]),(ProjectInfoTable[ProjectName]=OutputTable[[#This Row],[ProjectName]])*ProjectInfoTable[NumberOfReplications]))</f>
        <v>50</v>
      </c>
      <c r="K174" s="5" cm="1">
        <f t="array" ref="K174">IFERROR(AVERAGE(IF((OutputTable[GroupByKey]=OutputTable[[#This Row],[GroupByKey]]),(OutputTable[GroupByKey]=OutputTable[[#This Row],[GroupByKey]])*OutputTable[RecordedValue])),0)</f>
        <v>4.58</v>
      </c>
      <c r="L174" s="5" cm="1">
        <f t="array" ref="L174">IFERROR(_xlfn.STDEV.S(IF((OutputTable[GroupByKey]=OutputTable[[#This Row],[GroupByKey]]),(OutputTable[GroupByKey]=OutputTable[[#This Row],[GroupByKey]])*OutputTable[RecordedValue])),0)</f>
        <v>0.78480466827545059</v>
      </c>
      <c r="M174" s="5" cm="1">
        <f t="array" ref="M174">MAX(IF((ProjectInfoTable[ProjectName]=OutputTable[[#This Row],[ProjectName]]),(ProjectInfoTable[ProjectName]=OutputTable[[#This Row],[ProjectName]])*ProjectInfoTable[ConfidenceInterval]))</f>
        <v>0.95</v>
      </c>
      <c r="N17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0.22303901890225239</v>
      </c>
      <c r="O174" s="5" cm="1">
        <f t="array" ref="O174">MIN(IF((OutputTable[GroupByKey]=OutputTable[[#This Row],[GroupByKey]]),(OutputTable[GroupByKey]=OutputTable[[#This Row],[GroupByKey]])*OutputTable[RecordedValue]))</f>
        <v>3</v>
      </c>
      <c r="P174" s="5" cm="1">
        <f t="array" ref="P174">MAX(IF((OutputTable[GroupByKey]=OutputTable[[#This Row],[GroupByKey]]),(OutputTable[GroupByKey]=OutputTable[[#This Row],[GroupByKey]])*OutputTable[RecordedValue]))</f>
        <v>6</v>
      </c>
    </row>
    <row r="175" spans="1:16" x14ac:dyDescent="0.35">
      <c r="A175" t="s">
        <v>66</v>
      </c>
      <c r="B175" t="s">
        <v>69</v>
      </c>
      <c r="C175">
        <v>35</v>
      </c>
      <c r="D175" t="s">
        <v>94</v>
      </c>
      <c r="E175" t="s">
        <v>95</v>
      </c>
      <c r="F175" t="s">
        <v>85</v>
      </c>
      <c r="G175">
        <v>1</v>
      </c>
      <c r="H175">
        <v>0</v>
      </c>
      <c r="I175" s="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175" s="5" cm="1">
        <f t="array" ref="J175">MAX(IF((ProjectInfoTable[ProjectName]=OutputTable[[#This Row],[ProjectName]]),(ProjectInfoTable[ProjectName]=OutputTable[[#This Row],[ProjectName]])*ProjectInfoTable[NumberOfReplications]))</f>
        <v>50</v>
      </c>
      <c r="K175" s="5" cm="1">
        <f t="array" ref="K175">IFERROR(AVERAGE(IF((OutputTable[GroupByKey]=OutputTable[[#This Row],[GroupByKey]]),(OutputTable[GroupByKey]=OutputTable[[#This Row],[GroupByKey]])*OutputTable[RecordedValue])),0)</f>
        <v>0.92637977941440086</v>
      </c>
      <c r="L175" s="5" cm="1">
        <f t="array" ref="L175">IFERROR(_xlfn.STDEV.S(IF((OutputTable[GroupByKey]=OutputTable[[#This Row],[GroupByKey]]),(OutputTable[GroupByKey]=OutputTable[[#This Row],[GroupByKey]])*OutputTable[RecordedValue])),0)</f>
        <v>0.11789675502181338</v>
      </c>
      <c r="M175" s="5" cm="1">
        <f t="array" ref="M175">MAX(IF((ProjectInfoTable[ProjectName]=OutputTable[[#This Row],[ProjectName]]),(ProjectInfoTable[ProjectName]=OutputTable[[#This Row],[ProjectName]])*ProjectInfoTable[ConfidenceInterval]))</f>
        <v>0.95</v>
      </c>
      <c r="N17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3.350588705034975E-2</v>
      </c>
      <c r="O175" s="5" cm="1">
        <f t="array" ref="O175">MIN(IF((OutputTable[GroupByKey]=OutputTable[[#This Row],[GroupByKey]]),(OutputTable[GroupByKey]=OutputTable[[#This Row],[GroupByKey]])*OutputTable[RecordedValue]))</f>
        <v>0.60846830422583797</v>
      </c>
      <c r="P175" s="5" cm="1">
        <f t="array" ref="P175">MAX(IF((OutputTable[GroupByKey]=OutputTable[[#This Row],[GroupByKey]]),(OutputTable[GroupByKey]=OutputTable[[#This Row],[GroupByKey]])*OutputTable[RecordedValue]))</f>
        <v>1</v>
      </c>
    </row>
    <row r="176" spans="1:16" x14ac:dyDescent="0.35">
      <c r="A176" t="s">
        <v>66</v>
      </c>
      <c r="B176" t="s">
        <v>69</v>
      </c>
      <c r="C176">
        <v>35</v>
      </c>
      <c r="D176" t="s">
        <v>96</v>
      </c>
      <c r="E176" t="s">
        <v>91</v>
      </c>
      <c r="F176" t="s">
        <v>97</v>
      </c>
      <c r="G176">
        <v>5</v>
      </c>
      <c r="H176">
        <v>0</v>
      </c>
      <c r="I176" s="5" t="str">
        <f>OutputTable[[#This Row],[ProjectName]]&amp;OutputTable[[#This Row],[Name]]&amp;OutputTable[[#This Row],[Type]]&amp;OutputTable[[#This Row],[Source]]</f>
        <v>Unnamed ProjectSystem.NumberOutNumber OutSystem</v>
      </c>
      <c r="J176" s="5" cm="1">
        <f t="array" ref="J176">MAX(IF((ProjectInfoTable[ProjectName]=OutputTable[[#This Row],[ProjectName]]),(ProjectInfoTable[ProjectName]=OutputTable[[#This Row],[ProjectName]])*ProjectInfoTable[NumberOfReplications]))</f>
        <v>50</v>
      </c>
      <c r="K176" s="5" cm="1">
        <f t="array" ref="K176">IFERROR(AVERAGE(IF((OutputTable[GroupByKey]=OutputTable[[#This Row],[GroupByKey]]),(OutputTable[GroupByKey]=OutputTable[[#This Row],[GroupByKey]])*OutputTable[RecordedValue])),0)</f>
        <v>3.62</v>
      </c>
      <c r="L176" s="5" cm="1">
        <f t="array" ref="L176">IFERROR(_xlfn.STDEV.S(IF((OutputTable[GroupByKey]=OutputTable[[#This Row],[GroupByKey]]),(OutputTable[GroupByKey]=OutputTable[[#This Row],[GroupByKey]])*OutputTable[RecordedValue])),0)</f>
        <v>0.77958649426527116</v>
      </c>
      <c r="M176" s="5" cm="1">
        <f t="array" ref="M176">MAX(IF((ProjectInfoTable[ProjectName]=OutputTable[[#This Row],[ProjectName]]),(ProjectInfoTable[ProjectName]=OutputTable[[#This Row],[ProjectName]])*ProjectInfoTable[ConfidenceInterval]))</f>
        <v>0.95</v>
      </c>
      <c r="N17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176" s="5" cm="1">
        <f t="array" ref="O176">MIN(IF((OutputTable[GroupByKey]=OutputTable[[#This Row],[GroupByKey]]),(OutputTable[GroupByKey]=OutputTable[[#This Row],[GroupByKey]])*OutputTable[RecordedValue]))</f>
        <v>2</v>
      </c>
      <c r="P176" s="5" cm="1">
        <f t="array" ref="P176">MAX(IF((OutputTable[GroupByKey]=OutputTable[[#This Row],[GroupByKey]]),(OutputTable[GroupByKey]=OutputTable[[#This Row],[GroupByKey]])*OutputTable[RecordedValue]))</f>
        <v>5</v>
      </c>
    </row>
    <row r="177" spans="1:16" x14ac:dyDescent="0.35">
      <c r="A177" t="s">
        <v>66</v>
      </c>
      <c r="B177" t="s">
        <v>69</v>
      </c>
      <c r="C177">
        <v>36</v>
      </c>
      <c r="D177" t="s">
        <v>88</v>
      </c>
      <c r="E177" t="s">
        <v>89</v>
      </c>
      <c r="F177" t="s">
        <v>72</v>
      </c>
      <c r="G177">
        <v>7</v>
      </c>
      <c r="H177">
        <v>0</v>
      </c>
      <c r="I177" s="5" t="str">
        <f>OutputTable[[#This Row],[ProjectName]]&amp;OutputTable[[#This Row],[Name]]&amp;OutputTable[[#This Row],[Type]]&amp;OutputTable[[#This Row],[Source]]</f>
        <v>Unnamed ProjectArquivos.NumberInNumber InEntity</v>
      </c>
      <c r="J177" s="5" cm="1">
        <f t="array" ref="J177">MAX(IF((ProjectInfoTable[ProjectName]=OutputTable[[#This Row],[ProjectName]]),(ProjectInfoTable[ProjectName]=OutputTable[[#This Row],[ProjectName]])*ProjectInfoTable[NumberOfReplications]))</f>
        <v>50</v>
      </c>
      <c r="K177" s="5" cm="1">
        <f t="array" ref="K177">IFERROR(AVERAGE(IF((OutputTable[GroupByKey]=OutputTable[[#This Row],[GroupByKey]]),(OutputTable[GroupByKey]=OutputTable[[#This Row],[GroupByKey]])*OutputTable[RecordedValue])),0)</f>
        <v>6.48</v>
      </c>
      <c r="L177" s="5" cm="1">
        <f t="array" ref="L177">IFERROR(_xlfn.STDEV.S(IF((OutputTable[GroupByKey]=OutputTable[[#This Row],[GroupByKey]]),(OutputTable[GroupByKey]=OutputTable[[#This Row],[GroupByKey]])*OutputTable[RecordedValue])),0)</f>
        <v>1.7984119979264248</v>
      </c>
      <c r="M177" s="5" cm="1">
        <f t="array" ref="M177">MAX(IF((ProjectInfoTable[ProjectName]=OutputTable[[#This Row],[ProjectName]]),(ProjectInfoTable[ProjectName]=OutputTable[[#This Row],[ProjectName]])*ProjectInfoTable[ConfidenceInterval]))</f>
        <v>0.95</v>
      </c>
      <c r="N17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0.51110303469648288</v>
      </c>
      <c r="O177" s="5" cm="1">
        <f t="array" ref="O177">MIN(IF((OutputTable[GroupByKey]=OutputTable[[#This Row],[GroupByKey]]),(OutputTable[GroupByKey]=OutputTable[[#This Row],[GroupByKey]])*OutputTable[RecordedValue]))</f>
        <v>3</v>
      </c>
      <c r="P177" s="5" cm="1">
        <f t="array" ref="P177">MAX(IF((OutputTable[GroupByKey]=OutputTable[[#This Row],[GroupByKey]]),(OutputTable[GroupByKey]=OutputTable[[#This Row],[GroupByKey]])*OutputTable[RecordedValue]))</f>
        <v>13</v>
      </c>
    </row>
    <row r="178" spans="1:16" x14ac:dyDescent="0.35">
      <c r="A178" t="s">
        <v>66</v>
      </c>
      <c r="B178" t="s">
        <v>69</v>
      </c>
      <c r="C178">
        <v>36</v>
      </c>
      <c r="D178" t="s">
        <v>90</v>
      </c>
      <c r="E178" t="s">
        <v>91</v>
      </c>
      <c r="F178" t="s">
        <v>72</v>
      </c>
      <c r="G178">
        <v>4</v>
      </c>
      <c r="H178">
        <v>0</v>
      </c>
      <c r="I178" s="5" t="str">
        <f>OutputTable[[#This Row],[ProjectName]]&amp;OutputTable[[#This Row],[Name]]&amp;OutputTable[[#This Row],[Type]]&amp;OutputTable[[#This Row],[Source]]</f>
        <v>Unnamed ProjectArquivos.NumberOutNumber OutEntity</v>
      </c>
      <c r="J178" s="5" cm="1">
        <f t="array" ref="J178">MAX(IF((ProjectInfoTable[ProjectName]=OutputTable[[#This Row],[ProjectName]]),(ProjectInfoTable[ProjectName]=OutputTable[[#This Row],[ProjectName]])*ProjectInfoTable[NumberOfReplications]))</f>
        <v>50</v>
      </c>
      <c r="K178" s="5" cm="1">
        <f t="array" ref="K178">IFERROR(AVERAGE(IF((OutputTable[GroupByKey]=OutputTable[[#This Row],[GroupByKey]]),(OutputTable[GroupByKey]=OutputTable[[#This Row],[GroupByKey]])*OutputTable[RecordedValue])),0)</f>
        <v>3.62</v>
      </c>
      <c r="L178" s="5" cm="1">
        <f t="array" ref="L178">IFERROR(_xlfn.STDEV.S(IF((OutputTable[GroupByKey]=OutputTable[[#This Row],[GroupByKey]]),(OutputTable[GroupByKey]=OutputTable[[#This Row],[GroupByKey]])*OutputTable[RecordedValue])),0)</f>
        <v>0.77958649426527116</v>
      </c>
      <c r="M178" s="5" cm="1">
        <f t="array" ref="M178">MAX(IF((ProjectInfoTable[ProjectName]=OutputTable[[#This Row],[ProjectName]]),(ProjectInfoTable[ProjectName]=OutputTable[[#This Row],[ProjectName]])*ProjectInfoTable[ConfidenceInterval]))</f>
        <v>0.95</v>
      </c>
      <c r="N17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178" s="5" cm="1">
        <f t="array" ref="O178">MIN(IF((OutputTable[GroupByKey]=OutputTable[[#This Row],[GroupByKey]]),(OutputTable[GroupByKey]=OutputTable[[#This Row],[GroupByKey]])*OutputTable[RecordedValue]))</f>
        <v>2</v>
      </c>
      <c r="P178" s="5" cm="1">
        <f t="array" ref="P178">MAX(IF((OutputTable[GroupByKey]=OutputTable[[#This Row],[GroupByKey]]),(OutputTable[GroupByKey]=OutputTable[[#This Row],[GroupByKey]])*OutputTable[RecordedValue]))</f>
        <v>5</v>
      </c>
    </row>
    <row r="179" spans="1:16" x14ac:dyDescent="0.35">
      <c r="A179" t="s">
        <v>66</v>
      </c>
      <c r="B179" t="s">
        <v>69</v>
      </c>
      <c r="C179">
        <v>36</v>
      </c>
      <c r="D179" t="s">
        <v>92</v>
      </c>
      <c r="E179" t="s">
        <v>93</v>
      </c>
      <c r="F179" t="s">
        <v>85</v>
      </c>
      <c r="G179">
        <v>5</v>
      </c>
      <c r="H179">
        <v>0</v>
      </c>
      <c r="I179" s="5" t="str">
        <f>OutputTable[[#This Row],[ProjectName]]&amp;OutputTable[[#This Row],[Name]]&amp;OutputTable[[#This Row],[Type]]&amp;OutputTable[[#This Row],[Source]]</f>
        <v>Unnamed ProjectOperador.NumberSeizedTotal Number SeizedResource</v>
      </c>
      <c r="J179" s="5" cm="1">
        <f t="array" ref="J179">MAX(IF((ProjectInfoTable[ProjectName]=OutputTable[[#This Row],[ProjectName]]),(ProjectInfoTable[ProjectName]=OutputTable[[#This Row],[ProjectName]])*ProjectInfoTable[NumberOfReplications]))</f>
        <v>50</v>
      </c>
      <c r="K179" s="5" cm="1">
        <f t="array" ref="K179">IFERROR(AVERAGE(IF((OutputTable[GroupByKey]=OutputTable[[#This Row],[GroupByKey]]),(OutputTable[GroupByKey]=OutputTable[[#This Row],[GroupByKey]])*OutputTable[RecordedValue])),0)</f>
        <v>4.58</v>
      </c>
      <c r="L179" s="5" cm="1">
        <f t="array" ref="L179">IFERROR(_xlfn.STDEV.S(IF((OutputTable[GroupByKey]=OutputTable[[#This Row],[GroupByKey]]),(OutputTable[GroupByKey]=OutputTable[[#This Row],[GroupByKey]])*OutputTable[RecordedValue])),0)</f>
        <v>0.78480466827545059</v>
      </c>
      <c r="M179" s="5" cm="1">
        <f t="array" ref="M179">MAX(IF((ProjectInfoTable[ProjectName]=OutputTable[[#This Row],[ProjectName]]),(ProjectInfoTable[ProjectName]=OutputTable[[#This Row],[ProjectName]])*ProjectInfoTable[ConfidenceInterval]))</f>
        <v>0.95</v>
      </c>
      <c r="N17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0.22303901890225239</v>
      </c>
      <c r="O179" s="5" cm="1">
        <f t="array" ref="O179">MIN(IF((OutputTable[GroupByKey]=OutputTable[[#This Row],[GroupByKey]]),(OutputTable[GroupByKey]=OutputTable[[#This Row],[GroupByKey]])*OutputTable[RecordedValue]))</f>
        <v>3</v>
      </c>
      <c r="P179" s="5" cm="1">
        <f t="array" ref="P179">MAX(IF((OutputTable[GroupByKey]=OutputTable[[#This Row],[GroupByKey]]),(OutputTable[GroupByKey]=OutputTable[[#This Row],[GroupByKey]])*OutputTable[RecordedValue]))</f>
        <v>6</v>
      </c>
    </row>
    <row r="180" spans="1:16" x14ac:dyDescent="0.35">
      <c r="A180" t="s">
        <v>66</v>
      </c>
      <c r="B180" t="s">
        <v>69</v>
      </c>
      <c r="C180">
        <v>36</v>
      </c>
      <c r="D180" t="s">
        <v>94</v>
      </c>
      <c r="E180" t="s">
        <v>95</v>
      </c>
      <c r="F180" t="s">
        <v>85</v>
      </c>
      <c r="G180">
        <v>1</v>
      </c>
      <c r="H180">
        <v>0</v>
      </c>
      <c r="I180" s="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180" s="5" cm="1">
        <f t="array" ref="J180">MAX(IF((ProjectInfoTable[ProjectName]=OutputTable[[#This Row],[ProjectName]]),(ProjectInfoTable[ProjectName]=OutputTable[[#This Row],[ProjectName]])*ProjectInfoTable[NumberOfReplications]))</f>
        <v>50</v>
      </c>
      <c r="K180" s="5" cm="1">
        <f t="array" ref="K180">IFERROR(AVERAGE(IF((OutputTable[GroupByKey]=OutputTable[[#This Row],[GroupByKey]]),(OutputTable[GroupByKey]=OutputTable[[#This Row],[GroupByKey]])*OutputTable[RecordedValue])),0)</f>
        <v>0.92637977941440086</v>
      </c>
      <c r="L180" s="5" cm="1">
        <f t="array" ref="L180">IFERROR(_xlfn.STDEV.S(IF((OutputTable[GroupByKey]=OutputTable[[#This Row],[GroupByKey]]),(OutputTable[GroupByKey]=OutputTable[[#This Row],[GroupByKey]])*OutputTable[RecordedValue])),0)</f>
        <v>0.11789675502181338</v>
      </c>
      <c r="M180" s="5" cm="1">
        <f t="array" ref="M180">MAX(IF((ProjectInfoTable[ProjectName]=OutputTable[[#This Row],[ProjectName]]),(ProjectInfoTable[ProjectName]=OutputTable[[#This Row],[ProjectName]])*ProjectInfoTable[ConfidenceInterval]))</f>
        <v>0.95</v>
      </c>
      <c r="N18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3.350588705034975E-2</v>
      </c>
      <c r="O180" s="5" cm="1">
        <f t="array" ref="O180">MIN(IF((OutputTable[GroupByKey]=OutputTable[[#This Row],[GroupByKey]]),(OutputTable[GroupByKey]=OutputTable[[#This Row],[GroupByKey]])*OutputTable[RecordedValue]))</f>
        <v>0.60846830422583797</v>
      </c>
      <c r="P180" s="5" cm="1">
        <f t="array" ref="P180">MAX(IF((OutputTable[GroupByKey]=OutputTable[[#This Row],[GroupByKey]]),(OutputTable[GroupByKey]=OutputTable[[#This Row],[GroupByKey]])*OutputTable[RecordedValue]))</f>
        <v>1</v>
      </c>
    </row>
    <row r="181" spans="1:16" x14ac:dyDescent="0.35">
      <c r="A181" t="s">
        <v>66</v>
      </c>
      <c r="B181" t="s">
        <v>69</v>
      </c>
      <c r="C181">
        <v>36</v>
      </c>
      <c r="D181" t="s">
        <v>96</v>
      </c>
      <c r="E181" t="s">
        <v>91</v>
      </c>
      <c r="F181" t="s">
        <v>97</v>
      </c>
      <c r="G181">
        <v>4</v>
      </c>
      <c r="H181">
        <v>0</v>
      </c>
      <c r="I181" s="5" t="str">
        <f>OutputTable[[#This Row],[ProjectName]]&amp;OutputTable[[#This Row],[Name]]&amp;OutputTable[[#This Row],[Type]]&amp;OutputTable[[#This Row],[Source]]</f>
        <v>Unnamed ProjectSystem.NumberOutNumber OutSystem</v>
      </c>
      <c r="J181" s="5" cm="1">
        <f t="array" ref="J181">MAX(IF((ProjectInfoTable[ProjectName]=OutputTable[[#This Row],[ProjectName]]),(ProjectInfoTable[ProjectName]=OutputTable[[#This Row],[ProjectName]])*ProjectInfoTable[NumberOfReplications]))</f>
        <v>50</v>
      </c>
      <c r="K181" s="5" cm="1">
        <f t="array" ref="K181">IFERROR(AVERAGE(IF((OutputTable[GroupByKey]=OutputTable[[#This Row],[GroupByKey]]),(OutputTable[GroupByKey]=OutputTable[[#This Row],[GroupByKey]])*OutputTable[RecordedValue])),0)</f>
        <v>3.62</v>
      </c>
      <c r="L181" s="5" cm="1">
        <f t="array" ref="L181">IFERROR(_xlfn.STDEV.S(IF((OutputTable[GroupByKey]=OutputTable[[#This Row],[GroupByKey]]),(OutputTable[GroupByKey]=OutputTable[[#This Row],[GroupByKey]])*OutputTable[RecordedValue])),0)</f>
        <v>0.77958649426527116</v>
      </c>
      <c r="M181" s="5" cm="1">
        <f t="array" ref="M181">MAX(IF((ProjectInfoTable[ProjectName]=OutputTable[[#This Row],[ProjectName]]),(ProjectInfoTable[ProjectName]=OutputTable[[#This Row],[ProjectName]])*ProjectInfoTable[ConfidenceInterval]))</f>
        <v>0.95</v>
      </c>
      <c r="N18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181" s="5" cm="1">
        <f t="array" ref="O181">MIN(IF((OutputTable[GroupByKey]=OutputTable[[#This Row],[GroupByKey]]),(OutputTable[GroupByKey]=OutputTable[[#This Row],[GroupByKey]])*OutputTable[RecordedValue]))</f>
        <v>2</v>
      </c>
      <c r="P181" s="5" cm="1">
        <f t="array" ref="P181">MAX(IF((OutputTable[GroupByKey]=OutputTable[[#This Row],[GroupByKey]]),(OutputTable[GroupByKey]=OutputTable[[#This Row],[GroupByKey]])*OutputTable[RecordedValue]))</f>
        <v>5</v>
      </c>
    </row>
    <row r="182" spans="1:16" x14ac:dyDescent="0.35">
      <c r="A182" t="s">
        <v>66</v>
      </c>
      <c r="B182" t="s">
        <v>69</v>
      </c>
      <c r="C182">
        <v>37</v>
      </c>
      <c r="D182" t="s">
        <v>88</v>
      </c>
      <c r="E182" t="s">
        <v>89</v>
      </c>
      <c r="F182" t="s">
        <v>72</v>
      </c>
      <c r="G182">
        <v>11</v>
      </c>
      <c r="H182">
        <v>0</v>
      </c>
      <c r="I182" s="5" t="str">
        <f>OutputTable[[#This Row],[ProjectName]]&amp;OutputTable[[#This Row],[Name]]&amp;OutputTable[[#This Row],[Type]]&amp;OutputTable[[#This Row],[Source]]</f>
        <v>Unnamed ProjectArquivos.NumberInNumber InEntity</v>
      </c>
      <c r="J182" s="5" cm="1">
        <f t="array" ref="J182">MAX(IF((ProjectInfoTable[ProjectName]=OutputTable[[#This Row],[ProjectName]]),(ProjectInfoTable[ProjectName]=OutputTable[[#This Row],[ProjectName]])*ProjectInfoTable[NumberOfReplications]))</f>
        <v>50</v>
      </c>
      <c r="K182" s="5" cm="1">
        <f t="array" ref="K182">IFERROR(AVERAGE(IF((OutputTable[GroupByKey]=OutputTable[[#This Row],[GroupByKey]]),(OutputTable[GroupByKey]=OutputTable[[#This Row],[GroupByKey]])*OutputTable[RecordedValue])),0)</f>
        <v>6.48</v>
      </c>
      <c r="L182" s="5" cm="1">
        <f t="array" ref="L182">IFERROR(_xlfn.STDEV.S(IF((OutputTable[GroupByKey]=OutputTable[[#This Row],[GroupByKey]]),(OutputTable[GroupByKey]=OutputTable[[#This Row],[GroupByKey]])*OutputTable[RecordedValue])),0)</f>
        <v>1.7984119979264248</v>
      </c>
      <c r="M182" s="5" cm="1">
        <f t="array" ref="M182">MAX(IF((ProjectInfoTable[ProjectName]=OutputTable[[#This Row],[ProjectName]]),(ProjectInfoTable[ProjectName]=OutputTable[[#This Row],[ProjectName]])*ProjectInfoTable[ConfidenceInterval]))</f>
        <v>0.95</v>
      </c>
      <c r="N18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0.51110303469648288</v>
      </c>
      <c r="O182" s="5" cm="1">
        <f t="array" ref="O182">MIN(IF((OutputTable[GroupByKey]=OutputTable[[#This Row],[GroupByKey]]),(OutputTable[GroupByKey]=OutputTable[[#This Row],[GroupByKey]])*OutputTable[RecordedValue]))</f>
        <v>3</v>
      </c>
      <c r="P182" s="5" cm="1">
        <f t="array" ref="P182">MAX(IF((OutputTable[GroupByKey]=OutputTable[[#This Row],[GroupByKey]]),(OutputTable[GroupByKey]=OutputTable[[#This Row],[GroupByKey]])*OutputTable[RecordedValue]))</f>
        <v>13</v>
      </c>
    </row>
    <row r="183" spans="1:16" x14ac:dyDescent="0.35">
      <c r="A183" t="s">
        <v>66</v>
      </c>
      <c r="B183" t="s">
        <v>69</v>
      </c>
      <c r="C183">
        <v>37</v>
      </c>
      <c r="D183" t="s">
        <v>90</v>
      </c>
      <c r="E183" t="s">
        <v>91</v>
      </c>
      <c r="F183" t="s">
        <v>72</v>
      </c>
      <c r="G183">
        <v>3</v>
      </c>
      <c r="H183">
        <v>0</v>
      </c>
      <c r="I183" s="5" t="str">
        <f>OutputTable[[#This Row],[ProjectName]]&amp;OutputTable[[#This Row],[Name]]&amp;OutputTable[[#This Row],[Type]]&amp;OutputTable[[#This Row],[Source]]</f>
        <v>Unnamed ProjectArquivos.NumberOutNumber OutEntity</v>
      </c>
      <c r="J183" s="5" cm="1">
        <f t="array" ref="J183">MAX(IF((ProjectInfoTable[ProjectName]=OutputTable[[#This Row],[ProjectName]]),(ProjectInfoTable[ProjectName]=OutputTable[[#This Row],[ProjectName]])*ProjectInfoTable[NumberOfReplications]))</f>
        <v>50</v>
      </c>
      <c r="K183" s="5" cm="1">
        <f t="array" ref="K183">IFERROR(AVERAGE(IF((OutputTable[GroupByKey]=OutputTable[[#This Row],[GroupByKey]]),(OutputTable[GroupByKey]=OutputTable[[#This Row],[GroupByKey]])*OutputTable[RecordedValue])),0)</f>
        <v>3.62</v>
      </c>
      <c r="L183" s="5" cm="1">
        <f t="array" ref="L183">IFERROR(_xlfn.STDEV.S(IF((OutputTable[GroupByKey]=OutputTable[[#This Row],[GroupByKey]]),(OutputTable[GroupByKey]=OutputTable[[#This Row],[GroupByKey]])*OutputTable[RecordedValue])),0)</f>
        <v>0.77958649426527116</v>
      </c>
      <c r="M183" s="5" cm="1">
        <f t="array" ref="M183">MAX(IF((ProjectInfoTable[ProjectName]=OutputTable[[#This Row],[ProjectName]]),(ProjectInfoTable[ProjectName]=OutputTable[[#This Row],[ProjectName]])*ProjectInfoTable[ConfidenceInterval]))</f>
        <v>0.95</v>
      </c>
      <c r="N18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183" s="5" cm="1">
        <f t="array" ref="O183">MIN(IF((OutputTable[GroupByKey]=OutputTable[[#This Row],[GroupByKey]]),(OutputTable[GroupByKey]=OutputTable[[#This Row],[GroupByKey]])*OutputTable[RecordedValue]))</f>
        <v>2</v>
      </c>
      <c r="P183" s="5" cm="1">
        <f t="array" ref="P183">MAX(IF((OutputTable[GroupByKey]=OutputTable[[#This Row],[GroupByKey]]),(OutputTable[GroupByKey]=OutputTable[[#This Row],[GroupByKey]])*OutputTable[RecordedValue]))</f>
        <v>5</v>
      </c>
    </row>
    <row r="184" spans="1:16" x14ac:dyDescent="0.35">
      <c r="A184" t="s">
        <v>66</v>
      </c>
      <c r="B184" t="s">
        <v>69</v>
      </c>
      <c r="C184">
        <v>37</v>
      </c>
      <c r="D184" t="s">
        <v>92</v>
      </c>
      <c r="E184" t="s">
        <v>93</v>
      </c>
      <c r="F184" t="s">
        <v>85</v>
      </c>
      <c r="G184">
        <v>4</v>
      </c>
      <c r="H184">
        <v>0</v>
      </c>
      <c r="I184" s="5" t="str">
        <f>OutputTable[[#This Row],[ProjectName]]&amp;OutputTable[[#This Row],[Name]]&amp;OutputTable[[#This Row],[Type]]&amp;OutputTable[[#This Row],[Source]]</f>
        <v>Unnamed ProjectOperador.NumberSeizedTotal Number SeizedResource</v>
      </c>
      <c r="J184" s="5" cm="1">
        <f t="array" ref="J184">MAX(IF((ProjectInfoTable[ProjectName]=OutputTable[[#This Row],[ProjectName]]),(ProjectInfoTable[ProjectName]=OutputTable[[#This Row],[ProjectName]])*ProjectInfoTable[NumberOfReplications]))</f>
        <v>50</v>
      </c>
      <c r="K184" s="5" cm="1">
        <f t="array" ref="K184">IFERROR(AVERAGE(IF((OutputTable[GroupByKey]=OutputTable[[#This Row],[GroupByKey]]),(OutputTable[GroupByKey]=OutputTable[[#This Row],[GroupByKey]])*OutputTable[RecordedValue])),0)</f>
        <v>4.58</v>
      </c>
      <c r="L184" s="5" cm="1">
        <f t="array" ref="L184">IFERROR(_xlfn.STDEV.S(IF((OutputTable[GroupByKey]=OutputTable[[#This Row],[GroupByKey]]),(OutputTable[GroupByKey]=OutputTable[[#This Row],[GroupByKey]])*OutputTable[RecordedValue])),0)</f>
        <v>0.78480466827545059</v>
      </c>
      <c r="M184" s="5" cm="1">
        <f t="array" ref="M184">MAX(IF((ProjectInfoTable[ProjectName]=OutputTable[[#This Row],[ProjectName]]),(ProjectInfoTable[ProjectName]=OutputTable[[#This Row],[ProjectName]])*ProjectInfoTable[ConfidenceInterval]))</f>
        <v>0.95</v>
      </c>
      <c r="N18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0.22303901890225239</v>
      </c>
      <c r="O184" s="5" cm="1">
        <f t="array" ref="O184">MIN(IF((OutputTable[GroupByKey]=OutputTable[[#This Row],[GroupByKey]]),(OutputTable[GroupByKey]=OutputTable[[#This Row],[GroupByKey]])*OutputTable[RecordedValue]))</f>
        <v>3</v>
      </c>
      <c r="P184" s="5" cm="1">
        <f t="array" ref="P184">MAX(IF((OutputTable[GroupByKey]=OutputTable[[#This Row],[GroupByKey]]),(OutputTable[GroupByKey]=OutputTable[[#This Row],[GroupByKey]])*OutputTable[RecordedValue]))</f>
        <v>6</v>
      </c>
    </row>
    <row r="185" spans="1:16" x14ac:dyDescent="0.35">
      <c r="A185" t="s">
        <v>66</v>
      </c>
      <c r="B185" t="s">
        <v>69</v>
      </c>
      <c r="C185">
        <v>37</v>
      </c>
      <c r="D185" t="s">
        <v>94</v>
      </c>
      <c r="E185" t="s">
        <v>95</v>
      </c>
      <c r="F185" t="s">
        <v>85</v>
      </c>
      <c r="G185">
        <v>1</v>
      </c>
      <c r="H185">
        <v>0</v>
      </c>
      <c r="I185" s="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185" s="5" cm="1">
        <f t="array" ref="J185">MAX(IF((ProjectInfoTable[ProjectName]=OutputTable[[#This Row],[ProjectName]]),(ProjectInfoTable[ProjectName]=OutputTable[[#This Row],[ProjectName]])*ProjectInfoTable[NumberOfReplications]))</f>
        <v>50</v>
      </c>
      <c r="K185" s="5" cm="1">
        <f t="array" ref="K185">IFERROR(AVERAGE(IF((OutputTable[GroupByKey]=OutputTable[[#This Row],[GroupByKey]]),(OutputTable[GroupByKey]=OutputTable[[#This Row],[GroupByKey]])*OutputTable[RecordedValue])),0)</f>
        <v>0.92637977941440086</v>
      </c>
      <c r="L185" s="5" cm="1">
        <f t="array" ref="L185">IFERROR(_xlfn.STDEV.S(IF((OutputTable[GroupByKey]=OutputTable[[#This Row],[GroupByKey]]),(OutputTable[GroupByKey]=OutputTable[[#This Row],[GroupByKey]])*OutputTable[RecordedValue])),0)</f>
        <v>0.11789675502181338</v>
      </c>
      <c r="M185" s="5" cm="1">
        <f t="array" ref="M185">MAX(IF((ProjectInfoTable[ProjectName]=OutputTable[[#This Row],[ProjectName]]),(ProjectInfoTable[ProjectName]=OutputTable[[#This Row],[ProjectName]])*ProjectInfoTable[ConfidenceInterval]))</f>
        <v>0.95</v>
      </c>
      <c r="N18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3.350588705034975E-2</v>
      </c>
      <c r="O185" s="5" cm="1">
        <f t="array" ref="O185">MIN(IF((OutputTable[GroupByKey]=OutputTable[[#This Row],[GroupByKey]]),(OutputTable[GroupByKey]=OutputTable[[#This Row],[GroupByKey]])*OutputTable[RecordedValue]))</f>
        <v>0.60846830422583797</v>
      </c>
      <c r="P185" s="5" cm="1">
        <f t="array" ref="P185">MAX(IF((OutputTable[GroupByKey]=OutputTable[[#This Row],[GroupByKey]]),(OutputTable[GroupByKey]=OutputTable[[#This Row],[GroupByKey]])*OutputTable[RecordedValue]))</f>
        <v>1</v>
      </c>
    </row>
    <row r="186" spans="1:16" x14ac:dyDescent="0.35">
      <c r="A186" t="s">
        <v>66</v>
      </c>
      <c r="B186" t="s">
        <v>69</v>
      </c>
      <c r="C186">
        <v>37</v>
      </c>
      <c r="D186" t="s">
        <v>96</v>
      </c>
      <c r="E186" t="s">
        <v>91</v>
      </c>
      <c r="F186" t="s">
        <v>97</v>
      </c>
      <c r="G186">
        <v>3</v>
      </c>
      <c r="H186">
        <v>0</v>
      </c>
      <c r="I186" s="5" t="str">
        <f>OutputTable[[#This Row],[ProjectName]]&amp;OutputTable[[#This Row],[Name]]&amp;OutputTable[[#This Row],[Type]]&amp;OutputTable[[#This Row],[Source]]</f>
        <v>Unnamed ProjectSystem.NumberOutNumber OutSystem</v>
      </c>
      <c r="J186" s="5" cm="1">
        <f t="array" ref="J186">MAX(IF((ProjectInfoTable[ProjectName]=OutputTable[[#This Row],[ProjectName]]),(ProjectInfoTable[ProjectName]=OutputTable[[#This Row],[ProjectName]])*ProjectInfoTable[NumberOfReplications]))</f>
        <v>50</v>
      </c>
      <c r="K186" s="5" cm="1">
        <f t="array" ref="K186">IFERROR(AVERAGE(IF((OutputTable[GroupByKey]=OutputTable[[#This Row],[GroupByKey]]),(OutputTable[GroupByKey]=OutputTable[[#This Row],[GroupByKey]])*OutputTable[RecordedValue])),0)</f>
        <v>3.62</v>
      </c>
      <c r="L186" s="5" cm="1">
        <f t="array" ref="L186">IFERROR(_xlfn.STDEV.S(IF((OutputTable[GroupByKey]=OutputTable[[#This Row],[GroupByKey]]),(OutputTable[GroupByKey]=OutputTable[[#This Row],[GroupByKey]])*OutputTable[RecordedValue])),0)</f>
        <v>0.77958649426527116</v>
      </c>
      <c r="M186" s="5" cm="1">
        <f t="array" ref="M186">MAX(IF((ProjectInfoTable[ProjectName]=OutputTable[[#This Row],[ProjectName]]),(ProjectInfoTable[ProjectName]=OutputTable[[#This Row],[ProjectName]])*ProjectInfoTable[ConfidenceInterval]))</f>
        <v>0.95</v>
      </c>
      <c r="N18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186" s="5" cm="1">
        <f t="array" ref="O186">MIN(IF((OutputTable[GroupByKey]=OutputTable[[#This Row],[GroupByKey]]),(OutputTable[GroupByKey]=OutputTable[[#This Row],[GroupByKey]])*OutputTable[RecordedValue]))</f>
        <v>2</v>
      </c>
      <c r="P186" s="5" cm="1">
        <f t="array" ref="P186">MAX(IF((OutputTable[GroupByKey]=OutputTable[[#This Row],[GroupByKey]]),(OutputTable[GroupByKey]=OutputTable[[#This Row],[GroupByKey]])*OutputTable[RecordedValue]))</f>
        <v>5</v>
      </c>
    </row>
    <row r="187" spans="1:16" x14ac:dyDescent="0.35">
      <c r="A187" t="s">
        <v>66</v>
      </c>
      <c r="B187" t="s">
        <v>69</v>
      </c>
      <c r="C187">
        <v>38</v>
      </c>
      <c r="D187" t="s">
        <v>88</v>
      </c>
      <c r="E187" t="s">
        <v>89</v>
      </c>
      <c r="F187" t="s">
        <v>72</v>
      </c>
      <c r="G187">
        <v>13</v>
      </c>
      <c r="H187">
        <v>0</v>
      </c>
      <c r="I187" s="5" t="str">
        <f>OutputTable[[#This Row],[ProjectName]]&amp;OutputTable[[#This Row],[Name]]&amp;OutputTable[[#This Row],[Type]]&amp;OutputTable[[#This Row],[Source]]</f>
        <v>Unnamed ProjectArquivos.NumberInNumber InEntity</v>
      </c>
      <c r="J187" s="5" cm="1">
        <f t="array" ref="J187">MAX(IF((ProjectInfoTable[ProjectName]=OutputTable[[#This Row],[ProjectName]]),(ProjectInfoTable[ProjectName]=OutputTable[[#This Row],[ProjectName]])*ProjectInfoTable[NumberOfReplications]))</f>
        <v>50</v>
      </c>
      <c r="K187" s="5" cm="1">
        <f t="array" ref="K187">IFERROR(AVERAGE(IF((OutputTable[GroupByKey]=OutputTable[[#This Row],[GroupByKey]]),(OutputTable[GroupByKey]=OutputTable[[#This Row],[GroupByKey]])*OutputTable[RecordedValue])),0)</f>
        <v>6.48</v>
      </c>
      <c r="L187" s="5" cm="1">
        <f t="array" ref="L187">IFERROR(_xlfn.STDEV.S(IF((OutputTable[GroupByKey]=OutputTable[[#This Row],[GroupByKey]]),(OutputTable[GroupByKey]=OutputTable[[#This Row],[GroupByKey]])*OutputTable[RecordedValue])),0)</f>
        <v>1.7984119979264248</v>
      </c>
      <c r="M187" s="5" cm="1">
        <f t="array" ref="M187">MAX(IF((ProjectInfoTable[ProjectName]=OutputTable[[#This Row],[ProjectName]]),(ProjectInfoTable[ProjectName]=OutputTable[[#This Row],[ProjectName]])*ProjectInfoTable[ConfidenceInterval]))</f>
        <v>0.95</v>
      </c>
      <c r="N18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0.51110303469648288</v>
      </c>
      <c r="O187" s="5" cm="1">
        <f t="array" ref="O187">MIN(IF((OutputTable[GroupByKey]=OutputTable[[#This Row],[GroupByKey]]),(OutputTable[GroupByKey]=OutputTable[[#This Row],[GroupByKey]])*OutputTable[RecordedValue]))</f>
        <v>3</v>
      </c>
      <c r="P187" s="5" cm="1">
        <f t="array" ref="P187">MAX(IF((OutputTable[GroupByKey]=OutputTable[[#This Row],[GroupByKey]]),(OutputTable[GroupByKey]=OutputTable[[#This Row],[GroupByKey]])*OutputTable[RecordedValue]))</f>
        <v>13</v>
      </c>
    </row>
    <row r="188" spans="1:16" x14ac:dyDescent="0.35">
      <c r="A188" t="s">
        <v>66</v>
      </c>
      <c r="B188" t="s">
        <v>69</v>
      </c>
      <c r="C188">
        <v>38</v>
      </c>
      <c r="D188" t="s">
        <v>90</v>
      </c>
      <c r="E188" t="s">
        <v>91</v>
      </c>
      <c r="F188" t="s">
        <v>72</v>
      </c>
      <c r="G188">
        <v>3</v>
      </c>
      <c r="H188">
        <v>0</v>
      </c>
      <c r="I188" s="5" t="str">
        <f>OutputTable[[#This Row],[ProjectName]]&amp;OutputTable[[#This Row],[Name]]&amp;OutputTable[[#This Row],[Type]]&amp;OutputTable[[#This Row],[Source]]</f>
        <v>Unnamed ProjectArquivos.NumberOutNumber OutEntity</v>
      </c>
      <c r="J188" s="5" cm="1">
        <f t="array" ref="J188">MAX(IF((ProjectInfoTable[ProjectName]=OutputTable[[#This Row],[ProjectName]]),(ProjectInfoTable[ProjectName]=OutputTable[[#This Row],[ProjectName]])*ProjectInfoTable[NumberOfReplications]))</f>
        <v>50</v>
      </c>
      <c r="K188" s="5" cm="1">
        <f t="array" ref="K188">IFERROR(AVERAGE(IF((OutputTable[GroupByKey]=OutputTable[[#This Row],[GroupByKey]]),(OutputTable[GroupByKey]=OutputTable[[#This Row],[GroupByKey]])*OutputTable[RecordedValue])),0)</f>
        <v>3.62</v>
      </c>
      <c r="L188" s="5" cm="1">
        <f t="array" ref="L188">IFERROR(_xlfn.STDEV.S(IF((OutputTable[GroupByKey]=OutputTable[[#This Row],[GroupByKey]]),(OutputTable[GroupByKey]=OutputTable[[#This Row],[GroupByKey]])*OutputTable[RecordedValue])),0)</f>
        <v>0.77958649426527116</v>
      </c>
      <c r="M188" s="5" cm="1">
        <f t="array" ref="M188">MAX(IF((ProjectInfoTable[ProjectName]=OutputTable[[#This Row],[ProjectName]]),(ProjectInfoTable[ProjectName]=OutputTable[[#This Row],[ProjectName]])*ProjectInfoTable[ConfidenceInterval]))</f>
        <v>0.95</v>
      </c>
      <c r="N18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188" s="5" cm="1">
        <f t="array" ref="O188">MIN(IF((OutputTable[GroupByKey]=OutputTable[[#This Row],[GroupByKey]]),(OutputTable[GroupByKey]=OutputTable[[#This Row],[GroupByKey]])*OutputTable[RecordedValue]))</f>
        <v>2</v>
      </c>
      <c r="P188" s="5" cm="1">
        <f t="array" ref="P188">MAX(IF((OutputTable[GroupByKey]=OutputTable[[#This Row],[GroupByKey]]),(OutputTable[GroupByKey]=OutputTable[[#This Row],[GroupByKey]])*OutputTable[RecordedValue]))</f>
        <v>5</v>
      </c>
    </row>
    <row r="189" spans="1:16" x14ac:dyDescent="0.35">
      <c r="A189" t="s">
        <v>66</v>
      </c>
      <c r="B189" t="s">
        <v>69</v>
      </c>
      <c r="C189">
        <v>38</v>
      </c>
      <c r="D189" t="s">
        <v>92</v>
      </c>
      <c r="E189" t="s">
        <v>93</v>
      </c>
      <c r="F189" t="s">
        <v>85</v>
      </c>
      <c r="G189">
        <v>4</v>
      </c>
      <c r="H189">
        <v>0</v>
      </c>
      <c r="I189" s="5" t="str">
        <f>OutputTable[[#This Row],[ProjectName]]&amp;OutputTable[[#This Row],[Name]]&amp;OutputTable[[#This Row],[Type]]&amp;OutputTable[[#This Row],[Source]]</f>
        <v>Unnamed ProjectOperador.NumberSeizedTotal Number SeizedResource</v>
      </c>
      <c r="J189" s="5" cm="1">
        <f t="array" ref="J189">MAX(IF((ProjectInfoTable[ProjectName]=OutputTable[[#This Row],[ProjectName]]),(ProjectInfoTable[ProjectName]=OutputTable[[#This Row],[ProjectName]])*ProjectInfoTable[NumberOfReplications]))</f>
        <v>50</v>
      </c>
      <c r="K189" s="5" cm="1">
        <f t="array" ref="K189">IFERROR(AVERAGE(IF((OutputTable[GroupByKey]=OutputTable[[#This Row],[GroupByKey]]),(OutputTable[GroupByKey]=OutputTable[[#This Row],[GroupByKey]])*OutputTable[RecordedValue])),0)</f>
        <v>4.58</v>
      </c>
      <c r="L189" s="5" cm="1">
        <f t="array" ref="L189">IFERROR(_xlfn.STDEV.S(IF((OutputTable[GroupByKey]=OutputTable[[#This Row],[GroupByKey]]),(OutputTable[GroupByKey]=OutputTable[[#This Row],[GroupByKey]])*OutputTable[RecordedValue])),0)</f>
        <v>0.78480466827545059</v>
      </c>
      <c r="M189" s="5" cm="1">
        <f t="array" ref="M189">MAX(IF((ProjectInfoTable[ProjectName]=OutputTable[[#This Row],[ProjectName]]),(ProjectInfoTable[ProjectName]=OutputTable[[#This Row],[ProjectName]])*ProjectInfoTable[ConfidenceInterval]))</f>
        <v>0.95</v>
      </c>
      <c r="N18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0.22303901890225239</v>
      </c>
      <c r="O189" s="5" cm="1">
        <f t="array" ref="O189">MIN(IF((OutputTable[GroupByKey]=OutputTable[[#This Row],[GroupByKey]]),(OutputTable[GroupByKey]=OutputTable[[#This Row],[GroupByKey]])*OutputTable[RecordedValue]))</f>
        <v>3</v>
      </c>
      <c r="P189" s="5" cm="1">
        <f t="array" ref="P189">MAX(IF((OutputTable[GroupByKey]=OutputTable[[#This Row],[GroupByKey]]),(OutputTable[GroupByKey]=OutputTable[[#This Row],[GroupByKey]])*OutputTable[RecordedValue]))</f>
        <v>6</v>
      </c>
    </row>
    <row r="190" spans="1:16" x14ac:dyDescent="0.35">
      <c r="A190" t="s">
        <v>66</v>
      </c>
      <c r="B190" t="s">
        <v>69</v>
      </c>
      <c r="C190">
        <v>38</v>
      </c>
      <c r="D190" t="s">
        <v>94</v>
      </c>
      <c r="E190" t="s">
        <v>95</v>
      </c>
      <c r="F190" t="s">
        <v>85</v>
      </c>
      <c r="G190">
        <v>1</v>
      </c>
      <c r="H190">
        <v>0</v>
      </c>
      <c r="I190" s="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190" s="5" cm="1">
        <f t="array" ref="J190">MAX(IF((ProjectInfoTable[ProjectName]=OutputTable[[#This Row],[ProjectName]]),(ProjectInfoTable[ProjectName]=OutputTable[[#This Row],[ProjectName]])*ProjectInfoTable[NumberOfReplications]))</f>
        <v>50</v>
      </c>
      <c r="K190" s="5" cm="1">
        <f t="array" ref="K190">IFERROR(AVERAGE(IF((OutputTable[GroupByKey]=OutputTable[[#This Row],[GroupByKey]]),(OutputTable[GroupByKey]=OutputTable[[#This Row],[GroupByKey]])*OutputTable[RecordedValue])),0)</f>
        <v>0.92637977941440086</v>
      </c>
      <c r="L190" s="5" cm="1">
        <f t="array" ref="L190">IFERROR(_xlfn.STDEV.S(IF((OutputTable[GroupByKey]=OutputTable[[#This Row],[GroupByKey]]),(OutputTable[GroupByKey]=OutputTable[[#This Row],[GroupByKey]])*OutputTable[RecordedValue])),0)</f>
        <v>0.11789675502181338</v>
      </c>
      <c r="M190" s="5" cm="1">
        <f t="array" ref="M190">MAX(IF((ProjectInfoTable[ProjectName]=OutputTable[[#This Row],[ProjectName]]),(ProjectInfoTable[ProjectName]=OutputTable[[#This Row],[ProjectName]])*ProjectInfoTable[ConfidenceInterval]))</f>
        <v>0.95</v>
      </c>
      <c r="N19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3.350588705034975E-2</v>
      </c>
      <c r="O190" s="5" cm="1">
        <f t="array" ref="O190">MIN(IF((OutputTable[GroupByKey]=OutputTable[[#This Row],[GroupByKey]]),(OutputTable[GroupByKey]=OutputTable[[#This Row],[GroupByKey]])*OutputTable[RecordedValue]))</f>
        <v>0.60846830422583797</v>
      </c>
      <c r="P190" s="5" cm="1">
        <f t="array" ref="P190">MAX(IF((OutputTable[GroupByKey]=OutputTable[[#This Row],[GroupByKey]]),(OutputTable[GroupByKey]=OutputTable[[#This Row],[GroupByKey]])*OutputTable[RecordedValue]))</f>
        <v>1</v>
      </c>
    </row>
    <row r="191" spans="1:16" x14ac:dyDescent="0.35">
      <c r="A191" t="s">
        <v>66</v>
      </c>
      <c r="B191" t="s">
        <v>69</v>
      </c>
      <c r="C191">
        <v>38</v>
      </c>
      <c r="D191" t="s">
        <v>96</v>
      </c>
      <c r="E191" t="s">
        <v>91</v>
      </c>
      <c r="F191" t="s">
        <v>97</v>
      </c>
      <c r="G191">
        <v>3</v>
      </c>
      <c r="H191">
        <v>0</v>
      </c>
      <c r="I191" s="5" t="str">
        <f>OutputTable[[#This Row],[ProjectName]]&amp;OutputTable[[#This Row],[Name]]&amp;OutputTable[[#This Row],[Type]]&amp;OutputTable[[#This Row],[Source]]</f>
        <v>Unnamed ProjectSystem.NumberOutNumber OutSystem</v>
      </c>
      <c r="J191" s="5" cm="1">
        <f t="array" ref="J191">MAX(IF((ProjectInfoTable[ProjectName]=OutputTable[[#This Row],[ProjectName]]),(ProjectInfoTable[ProjectName]=OutputTable[[#This Row],[ProjectName]])*ProjectInfoTable[NumberOfReplications]))</f>
        <v>50</v>
      </c>
      <c r="K191" s="5" cm="1">
        <f t="array" ref="K191">IFERROR(AVERAGE(IF((OutputTable[GroupByKey]=OutputTable[[#This Row],[GroupByKey]]),(OutputTable[GroupByKey]=OutputTable[[#This Row],[GroupByKey]])*OutputTable[RecordedValue])),0)</f>
        <v>3.62</v>
      </c>
      <c r="L191" s="5" cm="1">
        <f t="array" ref="L191">IFERROR(_xlfn.STDEV.S(IF((OutputTable[GroupByKey]=OutputTable[[#This Row],[GroupByKey]]),(OutputTable[GroupByKey]=OutputTable[[#This Row],[GroupByKey]])*OutputTable[RecordedValue])),0)</f>
        <v>0.77958649426527116</v>
      </c>
      <c r="M191" s="5" cm="1">
        <f t="array" ref="M191">MAX(IF((ProjectInfoTable[ProjectName]=OutputTable[[#This Row],[ProjectName]]),(ProjectInfoTable[ProjectName]=OutputTable[[#This Row],[ProjectName]])*ProjectInfoTable[ConfidenceInterval]))</f>
        <v>0.95</v>
      </c>
      <c r="N19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191" s="5" cm="1">
        <f t="array" ref="O191">MIN(IF((OutputTable[GroupByKey]=OutputTable[[#This Row],[GroupByKey]]),(OutputTable[GroupByKey]=OutputTable[[#This Row],[GroupByKey]])*OutputTable[RecordedValue]))</f>
        <v>2</v>
      </c>
      <c r="P191" s="5" cm="1">
        <f t="array" ref="P191">MAX(IF((OutputTable[GroupByKey]=OutputTable[[#This Row],[GroupByKey]]),(OutputTable[GroupByKey]=OutputTable[[#This Row],[GroupByKey]])*OutputTable[RecordedValue]))</f>
        <v>5</v>
      </c>
    </row>
    <row r="192" spans="1:16" x14ac:dyDescent="0.35">
      <c r="A192" t="s">
        <v>66</v>
      </c>
      <c r="B192" t="s">
        <v>69</v>
      </c>
      <c r="C192">
        <v>39</v>
      </c>
      <c r="D192" t="s">
        <v>88</v>
      </c>
      <c r="E192" t="s">
        <v>89</v>
      </c>
      <c r="F192" t="s">
        <v>72</v>
      </c>
      <c r="G192">
        <v>4</v>
      </c>
      <c r="H192">
        <v>0</v>
      </c>
      <c r="I192" s="5" t="str">
        <f>OutputTable[[#This Row],[ProjectName]]&amp;OutputTable[[#This Row],[Name]]&amp;OutputTable[[#This Row],[Type]]&amp;OutputTable[[#This Row],[Source]]</f>
        <v>Unnamed ProjectArquivos.NumberInNumber InEntity</v>
      </c>
      <c r="J192" s="5" cm="1">
        <f t="array" ref="J192">MAX(IF((ProjectInfoTable[ProjectName]=OutputTable[[#This Row],[ProjectName]]),(ProjectInfoTable[ProjectName]=OutputTable[[#This Row],[ProjectName]])*ProjectInfoTable[NumberOfReplications]))</f>
        <v>50</v>
      </c>
      <c r="K192" s="5" cm="1">
        <f t="array" ref="K192">IFERROR(AVERAGE(IF((OutputTable[GroupByKey]=OutputTable[[#This Row],[GroupByKey]]),(OutputTable[GroupByKey]=OutputTable[[#This Row],[GroupByKey]])*OutputTable[RecordedValue])),0)</f>
        <v>6.48</v>
      </c>
      <c r="L192" s="5" cm="1">
        <f t="array" ref="L192">IFERROR(_xlfn.STDEV.S(IF((OutputTable[GroupByKey]=OutputTable[[#This Row],[GroupByKey]]),(OutputTable[GroupByKey]=OutputTable[[#This Row],[GroupByKey]])*OutputTable[RecordedValue])),0)</f>
        <v>1.7984119979264248</v>
      </c>
      <c r="M192" s="5" cm="1">
        <f t="array" ref="M192">MAX(IF((ProjectInfoTable[ProjectName]=OutputTable[[#This Row],[ProjectName]]),(ProjectInfoTable[ProjectName]=OutputTable[[#This Row],[ProjectName]])*ProjectInfoTable[ConfidenceInterval]))</f>
        <v>0.95</v>
      </c>
      <c r="N19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0.51110303469648288</v>
      </c>
      <c r="O192" s="5" cm="1">
        <f t="array" ref="O192">MIN(IF((OutputTable[GroupByKey]=OutputTable[[#This Row],[GroupByKey]]),(OutputTable[GroupByKey]=OutputTable[[#This Row],[GroupByKey]])*OutputTable[RecordedValue]))</f>
        <v>3</v>
      </c>
      <c r="P192" s="5" cm="1">
        <f t="array" ref="P192">MAX(IF((OutputTable[GroupByKey]=OutputTable[[#This Row],[GroupByKey]]),(OutputTable[GroupByKey]=OutputTable[[#This Row],[GroupByKey]])*OutputTable[RecordedValue]))</f>
        <v>13</v>
      </c>
    </row>
    <row r="193" spans="1:16" x14ac:dyDescent="0.35">
      <c r="A193" t="s">
        <v>66</v>
      </c>
      <c r="B193" t="s">
        <v>69</v>
      </c>
      <c r="C193">
        <v>39</v>
      </c>
      <c r="D193" t="s">
        <v>90</v>
      </c>
      <c r="E193" t="s">
        <v>91</v>
      </c>
      <c r="F193" t="s">
        <v>72</v>
      </c>
      <c r="G193">
        <v>3</v>
      </c>
      <c r="H193">
        <v>0</v>
      </c>
      <c r="I193" s="5" t="str">
        <f>OutputTable[[#This Row],[ProjectName]]&amp;OutputTable[[#This Row],[Name]]&amp;OutputTable[[#This Row],[Type]]&amp;OutputTable[[#This Row],[Source]]</f>
        <v>Unnamed ProjectArquivos.NumberOutNumber OutEntity</v>
      </c>
      <c r="J193" s="5" cm="1">
        <f t="array" ref="J193">MAX(IF((ProjectInfoTable[ProjectName]=OutputTable[[#This Row],[ProjectName]]),(ProjectInfoTable[ProjectName]=OutputTable[[#This Row],[ProjectName]])*ProjectInfoTable[NumberOfReplications]))</f>
        <v>50</v>
      </c>
      <c r="K193" s="5" cm="1">
        <f t="array" ref="K193">IFERROR(AVERAGE(IF((OutputTable[GroupByKey]=OutputTable[[#This Row],[GroupByKey]]),(OutputTable[GroupByKey]=OutputTable[[#This Row],[GroupByKey]])*OutputTable[RecordedValue])),0)</f>
        <v>3.62</v>
      </c>
      <c r="L193" s="5" cm="1">
        <f t="array" ref="L193">IFERROR(_xlfn.STDEV.S(IF((OutputTable[GroupByKey]=OutputTable[[#This Row],[GroupByKey]]),(OutputTable[GroupByKey]=OutputTable[[#This Row],[GroupByKey]])*OutputTable[RecordedValue])),0)</f>
        <v>0.77958649426527116</v>
      </c>
      <c r="M193" s="5" cm="1">
        <f t="array" ref="M193">MAX(IF((ProjectInfoTable[ProjectName]=OutputTable[[#This Row],[ProjectName]]),(ProjectInfoTable[ProjectName]=OutputTable[[#This Row],[ProjectName]])*ProjectInfoTable[ConfidenceInterval]))</f>
        <v>0.95</v>
      </c>
      <c r="N19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193" s="5" cm="1">
        <f t="array" ref="O193">MIN(IF((OutputTable[GroupByKey]=OutputTable[[#This Row],[GroupByKey]]),(OutputTable[GroupByKey]=OutputTable[[#This Row],[GroupByKey]])*OutputTable[RecordedValue]))</f>
        <v>2</v>
      </c>
      <c r="P193" s="5" cm="1">
        <f t="array" ref="P193">MAX(IF((OutputTable[GroupByKey]=OutputTable[[#This Row],[GroupByKey]]),(OutputTable[GroupByKey]=OutputTable[[#This Row],[GroupByKey]])*OutputTable[RecordedValue]))</f>
        <v>5</v>
      </c>
    </row>
    <row r="194" spans="1:16" x14ac:dyDescent="0.35">
      <c r="A194" t="s">
        <v>66</v>
      </c>
      <c r="B194" t="s">
        <v>69</v>
      </c>
      <c r="C194">
        <v>39</v>
      </c>
      <c r="D194" t="s">
        <v>92</v>
      </c>
      <c r="E194" t="s">
        <v>93</v>
      </c>
      <c r="F194" t="s">
        <v>85</v>
      </c>
      <c r="G194">
        <v>4</v>
      </c>
      <c r="H194">
        <v>0</v>
      </c>
      <c r="I194" s="5" t="str">
        <f>OutputTable[[#This Row],[ProjectName]]&amp;OutputTable[[#This Row],[Name]]&amp;OutputTable[[#This Row],[Type]]&amp;OutputTable[[#This Row],[Source]]</f>
        <v>Unnamed ProjectOperador.NumberSeizedTotal Number SeizedResource</v>
      </c>
      <c r="J194" s="5" cm="1">
        <f t="array" ref="J194">MAX(IF((ProjectInfoTable[ProjectName]=OutputTable[[#This Row],[ProjectName]]),(ProjectInfoTable[ProjectName]=OutputTable[[#This Row],[ProjectName]])*ProjectInfoTable[NumberOfReplications]))</f>
        <v>50</v>
      </c>
      <c r="K194" s="5" cm="1">
        <f t="array" ref="K194">IFERROR(AVERAGE(IF((OutputTable[GroupByKey]=OutputTable[[#This Row],[GroupByKey]]),(OutputTable[GroupByKey]=OutputTable[[#This Row],[GroupByKey]])*OutputTable[RecordedValue])),0)</f>
        <v>4.58</v>
      </c>
      <c r="L194" s="5" cm="1">
        <f t="array" ref="L194">IFERROR(_xlfn.STDEV.S(IF((OutputTable[GroupByKey]=OutputTable[[#This Row],[GroupByKey]]),(OutputTable[GroupByKey]=OutputTable[[#This Row],[GroupByKey]])*OutputTable[RecordedValue])),0)</f>
        <v>0.78480466827545059</v>
      </c>
      <c r="M194" s="5" cm="1">
        <f t="array" ref="M194">MAX(IF((ProjectInfoTable[ProjectName]=OutputTable[[#This Row],[ProjectName]]),(ProjectInfoTable[ProjectName]=OutputTable[[#This Row],[ProjectName]])*ProjectInfoTable[ConfidenceInterval]))</f>
        <v>0.95</v>
      </c>
      <c r="N19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0.22303901890225239</v>
      </c>
      <c r="O194" s="5" cm="1">
        <f t="array" ref="O194">MIN(IF((OutputTable[GroupByKey]=OutputTable[[#This Row],[GroupByKey]]),(OutputTable[GroupByKey]=OutputTable[[#This Row],[GroupByKey]])*OutputTable[RecordedValue]))</f>
        <v>3</v>
      </c>
      <c r="P194" s="5" cm="1">
        <f t="array" ref="P194">MAX(IF((OutputTable[GroupByKey]=OutputTable[[#This Row],[GroupByKey]]),(OutputTable[GroupByKey]=OutputTable[[#This Row],[GroupByKey]])*OutputTable[RecordedValue]))</f>
        <v>6</v>
      </c>
    </row>
    <row r="195" spans="1:16" x14ac:dyDescent="0.35">
      <c r="A195" t="s">
        <v>66</v>
      </c>
      <c r="B195" t="s">
        <v>69</v>
      </c>
      <c r="C195">
        <v>39</v>
      </c>
      <c r="D195" t="s">
        <v>94</v>
      </c>
      <c r="E195" t="s">
        <v>95</v>
      </c>
      <c r="F195" t="s">
        <v>85</v>
      </c>
      <c r="G195">
        <v>0.74476821675830196</v>
      </c>
      <c r="H195">
        <v>0</v>
      </c>
      <c r="I195" s="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195" s="5" cm="1">
        <f t="array" ref="J195">MAX(IF((ProjectInfoTable[ProjectName]=OutputTable[[#This Row],[ProjectName]]),(ProjectInfoTable[ProjectName]=OutputTable[[#This Row],[ProjectName]])*ProjectInfoTable[NumberOfReplications]))</f>
        <v>50</v>
      </c>
      <c r="K195" s="5" cm="1">
        <f t="array" ref="K195">IFERROR(AVERAGE(IF((OutputTable[GroupByKey]=OutputTable[[#This Row],[GroupByKey]]),(OutputTable[GroupByKey]=OutputTable[[#This Row],[GroupByKey]])*OutputTable[RecordedValue])),0)</f>
        <v>0.92637977941440086</v>
      </c>
      <c r="L195" s="5" cm="1">
        <f t="array" ref="L195">IFERROR(_xlfn.STDEV.S(IF((OutputTable[GroupByKey]=OutputTable[[#This Row],[GroupByKey]]),(OutputTable[GroupByKey]=OutputTable[[#This Row],[GroupByKey]])*OutputTable[RecordedValue])),0)</f>
        <v>0.11789675502181338</v>
      </c>
      <c r="M195" s="5" cm="1">
        <f t="array" ref="M195">MAX(IF((ProjectInfoTable[ProjectName]=OutputTable[[#This Row],[ProjectName]]),(ProjectInfoTable[ProjectName]=OutputTable[[#This Row],[ProjectName]])*ProjectInfoTable[ConfidenceInterval]))</f>
        <v>0.95</v>
      </c>
      <c r="N19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3.350588705034975E-2</v>
      </c>
      <c r="O195" s="5" cm="1">
        <f t="array" ref="O195">MIN(IF((OutputTable[GroupByKey]=OutputTable[[#This Row],[GroupByKey]]),(OutputTable[GroupByKey]=OutputTable[[#This Row],[GroupByKey]])*OutputTable[RecordedValue]))</f>
        <v>0.60846830422583797</v>
      </c>
      <c r="P195" s="5" cm="1">
        <f t="array" ref="P195">MAX(IF((OutputTable[GroupByKey]=OutputTable[[#This Row],[GroupByKey]]),(OutputTable[GroupByKey]=OutputTable[[#This Row],[GroupByKey]])*OutputTable[RecordedValue]))</f>
        <v>1</v>
      </c>
    </row>
    <row r="196" spans="1:16" x14ac:dyDescent="0.35">
      <c r="A196" t="s">
        <v>66</v>
      </c>
      <c r="B196" t="s">
        <v>69</v>
      </c>
      <c r="C196">
        <v>39</v>
      </c>
      <c r="D196" t="s">
        <v>96</v>
      </c>
      <c r="E196" t="s">
        <v>91</v>
      </c>
      <c r="F196" t="s">
        <v>97</v>
      </c>
      <c r="G196">
        <v>3</v>
      </c>
      <c r="H196">
        <v>0</v>
      </c>
      <c r="I196" s="5" t="str">
        <f>OutputTable[[#This Row],[ProjectName]]&amp;OutputTable[[#This Row],[Name]]&amp;OutputTable[[#This Row],[Type]]&amp;OutputTable[[#This Row],[Source]]</f>
        <v>Unnamed ProjectSystem.NumberOutNumber OutSystem</v>
      </c>
      <c r="J196" s="5" cm="1">
        <f t="array" ref="J196">MAX(IF((ProjectInfoTable[ProjectName]=OutputTable[[#This Row],[ProjectName]]),(ProjectInfoTable[ProjectName]=OutputTable[[#This Row],[ProjectName]])*ProjectInfoTable[NumberOfReplications]))</f>
        <v>50</v>
      </c>
      <c r="K196" s="5" cm="1">
        <f t="array" ref="K196">IFERROR(AVERAGE(IF((OutputTable[GroupByKey]=OutputTable[[#This Row],[GroupByKey]]),(OutputTable[GroupByKey]=OutputTable[[#This Row],[GroupByKey]])*OutputTable[RecordedValue])),0)</f>
        <v>3.62</v>
      </c>
      <c r="L196" s="5" cm="1">
        <f t="array" ref="L196">IFERROR(_xlfn.STDEV.S(IF((OutputTable[GroupByKey]=OutputTable[[#This Row],[GroupByKey]]),(OutputTable[GroupByKey]=OutputTable[[#This Row],[GroupByKey]])*OutputTable[RecordedValue])),0)</f>
        <v>0.77958649426527116</v>
      </c>
      <c r="M196" s="5" cm="1">
        <f t="array" ref="M196">MAX(IF((ProjectInfoTable[ProjectName]=OutputTable[[#This Row],[ProjectName]]),(ProjectInfoTable[ProjectName]=OutputTable[[#This Row],[ProjectName]])*ProjectInfoTable[ConfidenceInterval]))</f>
        <v>0.95</v>
      </c>
      <c r="N19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196" s="5" cm="1">
        <f t="array" ref="O196">MIN(IF((OutputTable[GroupByKey]=OutputTable[[#This Row],[GroupByKey]]),(OutputTable[GroupByKey]=OutputTable[[#This Row],[GroupByKey]])*OutputTable[RecordedValue]))</f>
        <v>2</v>
      </c>
      <c r="P196" s="5" cm="1">
        <f t="array" ref="P196">MAX(IF((OutputTable[GroupByKey]=OutputTable[[#This Row],[GroupByKey]]),(OutputTable[GroupByKey]=OutputTable[[#This Row],[GroupByKey]])*OutputTable[RecordedValue]))</f>
        <v>5</v>
      </c>
    </row>
    <row r="197" spans="1:16" x14ac:dyDescent="0.35">
      <c r="A197" t="s">
        <v>66</v>
      </c>
      <c r="B197" t="s">
        <v>69</v>
      </c>
      <c r="C197">
        <v>40</v>
      </c>
      <c r="D197" t="s">
        <v>88</v>
      </c>
      <c r="E197" t="s">
        <v>89</v>
      </c>
      <c r="F197" t="s">
        <v>72</v>
      </c>
      <c r="G197">
        <v>6</v>
      </c>
      <c r="H197">
        <v>0</v>
      </c>
      <c r="I197" s="5" t="str">
        <f>OutputTable[[#This Row],[ProjectName]]&amp;OutputTable[[#This Row],[Name]]&amp;OutputTable[[#This Row],[Type]]&amp;OutputTable[[#This Row],[Source]]</f>
        <v>Unnamed ProjectArquivos.NumberInNumber InEntity</v>
      </c>
      <c r="J197" s="5" cm="1">
        <f t="array" ref="J197">MAX(IF((ProjectInfoTable[ProjectName]=OutputTable[[#This Row],[ProjectName]]),(ProjectInfoTable[ProjectName]=OutputTable[[#This Row],[ProjectName]])*ProjectInfoTable[NumberOfReplications]))</f>
        <v>50</v>
      </c>
      <c r="K197" s="5" cm="1">
        <f t="array" ref="K197">IFERROR(AVERAGE(IF((OutputTable[GroupByKey]=OutputTable[[#This Row],[GroupByKey]]),(OutputTable[GroupByKey]=OutputTable[[#This Row],[GroupByKey]])*OutputTable[RecordedValue])),0)</f>
        <v>6.48</v>
      </c>
      <c r="L197" s="5" cm="1">
        <f t="array" ref="L197">IFERROR(_xlfn.STDEV.S(IF((OutputTable[GroupByKey]=OutputTable[[#This Row],[GroupByKey]]),(OutputTable[GroupByKey]=OutputTable[[#This Row],[GroupByKey]])*OutputTable[RecordedValue])),0)</f>
        <v>1.7984119979264248</v>
      </c>
      <c r="M197" s="5" cm="1">
        <f t="array" ref="M197">MAX(IF((ProjectInfoTable[ProjectName]=OutputTable[[#This Row],[ProjectName]]),(ProjectInfoTable[ProjectName]=OutputTable[[#This Row],[ProjectName]])*ProjectInfoTable[ConfidenceInterval]))</f>
        <v>0.95</v>
      </c>
      <c r="N19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0.51110303469648288</v>
      </c>
      <c r="O197" s="5" cm="1">
        <f t="array" ref="O197">MIN(IF((OutputTable[GroupByKey]=OutputTable[[#This Row],[GroupByKey]]),(OutputTable[GroupByKey]=OutputTable[[#This Row],[GroupByKey]])*OutputTable[RecordedValue]))</f>
        <v>3</v>
      </c>
      <c r="P197" s="5" cm="1">
        <f t="array" ref="P197">MAX(IF((OutputTable[GroupByKey]=OutputTable[[#This Row],[GroupByKey]]),(OutputTable[GroupByKey]=OutputTable[[#This Row],[GroupByKey]])*OutputTable[RecordedValue]))</f>
        <v>13</v>
      </c>
    </row>
    <row r="198" spans="1:16" x14ac:dyDescent="0.35">
      <c r="A198" t="s">
        <v>66</v>
      </c>
      <c r="B198" t="s">
        <v>69</v>
      </c>
      <c r="C198">
        <v>40</v>
      </c>
      <c r="D198" t="s">
        <v>90</v>
      </c>
      <c r="E198" t="s">
        <v>91</v>
      </c>
      <c r="F198" t="s">
        <v>72</v>
      </c>
      <c r="G198">
        <v>4</v>
      </c>
      <c r="H198">
        <v>0</v>
      </c>
      <c r="I198" s="5" t="str">
        <f>OutputTable[[#This Row],[ProjectName]]&amp;OutputTable[[#This Row],[Name]]&amp;OutputTable[[#This Row],[Type]]&amp;OutputTable[[#This Row],[Source]]</f>
        <v>Unnamed ProjectArquivos.NumberOutNumber OutEntity</v>
      </c>
      <c r="J198" s="5" cm="1">
        <f t="array" ref="J198">MAX(IF((ProjectInfoTable[ProjectName]=OutputTable[[#This Row],[ProjectName]]),(ProjectInfoTable[ProjectName]=OutputTable[[#This Row],[ProjectName]])*ProjectInfoTable[NumberOfReplications]))</f>
        <v>50</v>
      </c>
      <c r="K198" s="5" cm="1">
        <f t="array" ref="K198">IFERROR(AVERAGE(IF((OutputTable[GroupByKey]=OutputTable[[#This Row],[GroupByKey]]),(OutputTable[GroupByKey]=OutputTable[[#This Row],[GroupByKey]])*OutputTable[RecordedValue])),0)</f>
        <v>3.62</v>
      </c>
      <c r="L198" s="5" cm="1">
        <f t="array" ref="L198">IFERROR(_xlfn.STDEV.S(IF((OutputTable[GroupByKey]=OutputTable[[#This Row],[GroupByKey]]),(OutputTable[GroupByKey]=OutputTable[[#This Row],[GroupByKey]])*OutputTable[RecordedValue])),0)</f>
        <v>0.77958649426527116</v>
      </c>
      <c r="M198" s="5" cm="1">
        <f t="array" ref="M198">MAX(IF((ProjectInfoTable[ProjectName]=OutputTable[[#This Row],[ProjectName]]),(ProjectInfoTable[ProjectName]=OutputTable[[#This Row],[ProjectName]])*ProjectInfoTable[ConfidenceInterval]))</f>
        <v>0.95</v>
      </c>
      <c r="N19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198" s="5" cm="1">
        <f t="array" ref="O198">MIN(IF((OutputTable[GroupByKey]=OutputTable[[#This Row],[GroupByKey]]),(OutputTable[GroupByKey]=OutputTable[[#This Row],[GroupByKey]])*OutputTable[RecordedValue]))</f>
        <v>2</v>
      </c>
      <c r="P198" s="5" cm="1">
        <f t="array" ref="P198">MAX(IF((OutputTable[GroupByKey]=OutputTable[[#This Row],[GroupByKey]]),(OutputTable[GroupByKey]=OutputTable[[#This Row],[GroupByKey]])*OutputTable[RecordedValue]))</f>
        <v>5</v>
      </c>
    </row>
    <row r="199" spans="1:16" x14ac:dyDescent="0.35">
      <c r="A199" t="s">
        <v>66</v>
      </c>
      <c r="B199" t="s">
        <v>69</v>
      </c>
      <c r="C199">
        <v>40</v>
      </c>
      <c r="D199" t="s">
        <v>92</v>
      </c>
      <c r="E199" t="s">
        <v>93</v>
      </c>
      <c r="F199" t="s">
        <v>85</v>
      </c>
      <c r="G199">
        <v>5</v>
      </c>
      <c r="H199">
        <v>0</v>
      </c>
      <c r="I199" s="5" t="str">
        <f>OutputTable[[#This Row],[ProjectName]]&amp;OutputTable[[#This Row],[Name]]&amp;OutputTable[[#This Row],[Type]]&amp;OutputTable[[#This Row],[Source]]</f>
        <v>Unnamed ProjectOperador.NumberSeizedTotal Number SeizedResource</v>
      </c>
      <c r="J199" s="5" cm="1">
        <f t="array" ref="J199">MAX(IF((ProjectInfoTable[ProjectName]=OutputTable[[#This Row],[ProjectName]]),(ProjectInfoTable[ProjectName]=OutputTable[[#This Row],[ProjectName]])*ProjectInfoTable[NumberOfReplications]))</f>
        <v>50</v>
      </c>
      <c r="K199" s="5" cm="1">
        <f t="array" ref="K199">IFERROR(AVERAGE(IF((OutputTable[GroupByKey]=OutputTable[[#This Row],[GroupByKey]]),(OutputTable[GroupByKey]=OutputTable[[#This Row],[GroupByKey]])*OutputTable[RecordedValue])),0)</f>
        <v>4.58</v>
      </c>
      <c r="L199" s="5" cm="1">
        <f t="array" ref="L199">IFERROR(_xlfn.STDEV.S(IF((OutputTable[GroupByKey]=OutputTable[[#This Row],[GroupByKey]]),(OutputTable[GroupByKey]=OutputTable[[#This Row],[GroupByKey]])*OutputTable[RecordedValue])),0)</f>
        <v>0.78480466827545059</v>
      </c>
      <c r="M199" s="5" cm="1">
        <f t="array" ref="M199">MAX(IF((ProjectInfoTable[ProjectName]=OutputTable[[#This Row],[ProjectName]]),(ProjectInfoTable[ProjectName]=OutputTable[[#This Row],[ProjectName]])*ProjectInfoTable[ConfidenceInterval]))</f>
        <v>0.95</v>
      </c>
      <c r="N19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0.22303901890225239</v>
      </c>
      <c r="O199" s="5" cm="1">
        <f t="array" ref="O199">MIN(IF((OutputTable[GroupByKey]=OutputTable[[#This Row],[GroupByKey]]),(OutputTable[GroupByKey]=OutputTable[[#This Row],[GroupByKey]])*OutputTable[RecordedValue]))</f>
        <v>3</v>
      </c>
      <c r="P199" s="5" cm="1">
        <f t="array" ref="P199">MAX(IF((OutputTable[GroupByKey]=OutputTable[[#This Row],[GroupByKey]]),(OutputTable[GroupByKey]=OutputTable[[#This Row],[GroupByKey]])*OutputTable[RecordedValue]))</f>
        <v>6</v>
      </c>
    </row>
    <row r="200" spans="1:16" x14ac:dyDescent="0.35">
      <c r="A200" t="s">
        <v>66</v>
      </c>
      <c r="B200" t="s">
        <v>69</v>
      </c>
      <c r="C200">
        <v>40</v>
      </c>
      <c r="D200" t="s">
        <v>94</v>
      </c>
      <c r="E200" t="s">
        <v>95</v>
      </c>
      <c r="F200" t="s">
        <v>85</v>
      </c>
      <c r="G200">
        <v>0.95074503384369902</v>
      </c>
      <c r="H200">
        <v>0</v>
      </c>
      <c r="I200" s="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200" s="5" cm="1">
        <f t="array" ref="J200">MAX(IF((ProjectInfoTable[ProjectName]=OutputTable[[#This Row],[ProjectName]]),(ProjectInfoTable[ProjectName]=OutputTable[[#This Row],[ProjectName]])*ProjectInfoTable[NumberOfReplications]))</f>
        <v>50</v>
      </c>
      <c r="K200" s="5" cm="1">
        <f t="array" ref="K200">IFERROR(AVERAGE(IF((OutputTable[GroupByKey]=OutputTable[[#This Row],[GroupByKey]]),(OutputTable[GroupByKey]=OutputTable[[#This Row],[GroupByKey]])*OutputTable[RecordedValue])),0)</f>
        <v>0.92637977941440086</v>
      </c>
      <c r="L200" s="5" cm="1">
        <f t="array" ref="L200">IFERROR(_xlfn.STDEV.S(IF((OutputTable[GroupByKey]=OutputTable[[#This Row],[GroupByKey]]),(OutputTable[GroupByKey]=OutputTable[[#This Row],[GroupByKey]])*OutputTable[RecordedValue])),0)</f>
        <v>0.11789675502181338</v>
      </c>
      <c r="M200" s="5" cm="1">
        <f t="array" ref="M200">MAX(IF((ProjectInfoTable[ProjectName]=OutputTable[[#This Row],[ProjectName]]),(ProjectInfoTable[ProjectName]=OutputTable[[#This Row],[ProjectName]])*ProjectInfoTable[ConfidenceInterval]))</f>
        <v>0.95</v>
      </c>
      <c r="N20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3.350588705034975E-2</v>
      </c>
      <c r="O200" s="5" cm="1">
        <f t="array" ref="O200">MIN(IF((OutputTable[GroupByKey]=OutputTable[[#This Row],[GroupByKey]]),(OutputTable[GroupByKey]=OutputTable[[#This Row],[GroupByKey]])*OutputTable[RecordedValue]))</f>
        <v>0.60846830422583797</v>
      </c>
      <c r="P200" s="5" cm="1">
        <f t="array" ref="P200">MAX(IF((OutputTable[GroupByKey]=OutputTable[[#This Row],[GroupByKey]]),(OutputTable[GroupByKey]=OutputTable[[#This Row],[GroupByKey]])*OutputTable[RecordedValue]))</f>
        <v>1</v>
      </c>
    </row>
    <row r="201" spans="1:16" x14ac:dyDescent="0.35">
      <c r="A201" t="s">
        <v>66</v>
      </c>
      <c r="B201" t="s">
        <v>69</v>
      </c>
      <c r="C201">
        <v>40</v>
      </c>
      <c r="D201" t="s">
        <v>96</v>
      </c>
      <c r="E201" t="s">
        <v>91</v>
      </c>
      <c r="F201" t="s">
        <v>97</v>
      </c>
      <c r="G201">
        <v>4</v>
      </c>
      <c r="H201">
        <v>0</v>
      </c>
      <c r="I201" s="5" t="str">
        <f>OutputTable[[#This Row],[ProjectName]]&amp;OutputTable[[#This Row],[Name]]&amp;OutputTable[[#This Row],[Type]]&amp;OutputTable[[#This Row],[Source]]</f>
        <v>Unnamed ProjectSystem.NumberOutNumber OutSystem</v>
      </c>
      <c r="J201" s="5" cm="1">
        <f t="array" ref="J201">MAX(IF((ProjectInfoTable[ProjectName]=OutputTable[[#This Row],[ProjectName]]),(ProjectInfoTable[ProjectName]=OutputTable[[#This Row],[ProjectName]])*ProjectInfoTable[NumberOfReplications]))</f>
        <v>50</v>
      </c>
      <c r="K201" s="5" cm="1">
        <f t="array" ref="K201">IFERROR(AVERAGE(IF((OutputTable[GroupByKey]=OutputTable[[#This Row],[GroupByKey]]),(OutputTable[GroupByKey]=OutputTable[[#This Row],[GroupByKey]])*OutputTable[RecordedValue])),0)</f>
        <v>3.62</v>
      </c>
      <c r="L201" s="5" cm="1">
        <f t="array" ref="L201">IFERROR(_xlfn.STDEV.S(IF((OutputTable[GroupByKey]=OutputTable[[#This Row],[GroupByKey]]),(OutputTable[GroupByKey]=OutputTable[[#This Row],[GroupByKey]])*OutputTable[RecordedValue])),0)</f>
        <v>0.77958649426527116</v>
      </c>
      <c r="M201" s="5" cm="1">
        <f t="array" ref="M201">MAX(IF((ProjectInfoTable[ProjectName]=OutputTable[[#This Row],[ProjectName]]),(ProjectInfoTable[ProjectName]=OutputTable[[#This Row],[ProjectName]])*ProjectInfoTable[ConfidenceInterval]))</f>
        <v>0.95</v>
      </c>
      <c r="N20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201" s="5" cm="1">
        <f t="array" ref="O201">MIN(IF((OutputTable[GroupByKey]=OutputTable[[#This Row],[GroupByKey]]),(OutputTable[GroupByKey]=OutputTable[[#This Row],[GroupByKey]])*OutputTable[RecordedValue]))</f>
        <v>2</v>
      </c>
      <c r="P201" s="5" cm="1">
        <f t="array" ref="P201">MAX(IF((OutputTable[GroupByKey]=OutputTable[[#This Row],[GroupByKey]]),(OutputTable[GroupByKey]=OutputTable[[#This Row],[GroupByKey]])*OutputTable[RecordedValue]))</f>
        <v>5</v>
      </c>
    </row>
    <row r="202" spans="1:16" x14ac:dyDescent="0.35">
      <c r="A202" t="s">
        <v>66</v>
      </c>
      <c r="B202" t="s">
        <v>69</v>
      </c>
      <c r="C202">
        <v>41</v>
      </c>
      <c r="D202" t="s">
        <v>88</v>
      </c>
      <c r="E202" t="s">
        <v>89</v>
      </c>
      <c r="F202" t="s">
        <v>72</v>
      </c>
      <c r="G202">
        <v>5</v>
      </c>
      <c r="H202">
        <v>0</v>
      </c>
      <c r="I202" s="5" t="str">
        <f>OutputTable[[#This Row],[ProjectName]]&amp;OutputTable[[#This Row],[Name]]&amp;OutputTable[[#This Row],[Type]]&amp;OutputTable[[#This Row],[Source]]</f>
        <v>Unnamed ProjectArquivos.NumberInNumber InEntity</v>
      </c>
      <c r="J202" s="5" cm="1">
        <f t="array" ref="J202">MAX(IF((ProjectInfoTable[ProjectName]=OutputTable[[#This Row],[ProjectName]]),(ProjectInfoTable[ProjectName]=OutputTable[[#This Row],[ProjectName]])*ProjectInfoTable[NumberOfReplications]))</f>
        <v>50</v>
      </c>
      <c r="K202" s="5" cm="1">
        <f t="array" ref="K202">IFERROR(AVERAGE(IF((OutputTable[GroupByKey]=OutputTable[[#This Row],[GroupByKey]]),(OutputTable[GroupByKey]=OutputTable[[#This Row],[GroupByKey]])*OutputTable[RecordedValue])),0)</f>
        <v>6.48</v>
      </c>
      <c r="L202" s="5" cm="1">
        <f t="array" ref="L202">IFERROR(_xlfn.STDEV.S(IF((OutputTable[GroupByKey]=OutputTable[[#This Row],[GroupByKey]]),(OutputTable[GroupByKey]=OutputTable[[#This Row],[GroupByKey]])*OutputTable[RecordedValue])),0)</f>
        <v>1.7984119979264248</v>
      </c>
      <c r="M202" s="5" cm="1">
        <f t="array" ref="M202">MAX(IF((ProjectInfoTable[ProjectName]=OutputTable[[#This Row],[ProjectName]]),(ProjectInfoTable[ProjectName]=OutputTable[[#This Row],[ProjectName]])*ProjectInfoTable[ConfidenceInterval]))</f>
        <v>0.95</v>
      </c>
      <c r="N20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0.51110303469648288</v>
      </c>
      <c r="O202" s="5" cm="1">
        <f t="array" ref="O202">MIN(IF((OutputTable[GroupByKey]=OutputTable[[#This Row],[GroupByKey]]),(OutputTable[GroupByKey]=OutputTable[[#This Row],[GroupByKey]])*OutputTable[RecordedValue]))</f>
        <v>3</v>
      </c>
      <c r="P202" s="5" cm="1">
        <f t="array" ref="P202">MAX(IF((OutputTable[GroupByKey]=OutputTable[[#This Row],[GroupByKey]]),(OutputTable[GroupByKey]=OutputTable[[#This Row],[GroupByKey]])*OutputTable[RecordedValue]))</f>
        <v>13</v>
      </c>
    </row>
    <row r="203" spans="1:16" x14ac:dyDescent="0.35">
      <c r="A203" t="s">
        <v>66</v>
      </c>
      <c r="B203" t="s">
        <v>69</v>
      </c>
      <c r="C203">
        <v>41</v>
      </c>
      <c r="D203" t="s">
        <v>90</v>
      </c>
      <c r="E203" t="s">
        <v>91</v>
      </c>
      <c r="F203" t="s">
        <v>72</v>
      </c>
      <c r="G203">
        <v>3</v>
      </c>
      <c r="H203">
        <v>0</v>
      </c>
      <c r="I203" s="5" t="str">
        <f>OutputTable[[#This Row],[ProjectName]]&amp;OutputTable[[#This Row],[Name]]&amp;OutputTable[[#This Row],[Type]]&amp;OutputTable[[#This Row],[Source]]</f>
        <v>Unnamed ProjectArquivos.NumberOutNumber OutEntity</v>
      </c>
      <c r="J203" s="5" cm="1">
        <f t="array" ref="J203">MAX(IF((ProjectInfoTable[ProjectName]=OutputTable[[#This Row],[ProjectName]]),(ProjectInfoTable[ProjectName]=OutputTable[[#This Row],[ProjectName]])*ProjectInfoTable[NumberOfReplications]))</f>
        <v>50</v>
      </c>
      <c r="K203" s="5" cm="1">
        <f t="array" ref="K203">IFERROR(AVERAGE(IF((OutputTable[GroupByKey]=OutputTable[[#This Row],[GroupByKey]]),(OutputTable[GroupByKey]=OutputTable[[#This Row],[GroupByKey]])*OutputTable[RecordedValue])),0)</f>
        <v>3.62</v>
      </c>
      <c r="L203" s="5" cm="1">
        <f t="array" ref="L203">IFERROR(_xlfn.STDEV.S(IF((OutputTable[GroupByKey]=OutputTable[[#This Row],[GroupByKey]]),(OutputTable[GroupByKey]=OutputTable[[#This Row],[GroupByKey]])*OutputTable[RecordedValue])),0)</f>
        <v>0.77958649426527116</v>
      </c>
      <c r="M203" s="5" cm="1">
        <f t="array" ref="M203">MAX(IF((ProjectInfoTable[ProjectName]=OutputTable[[#This Row],[ProjectName]]),(ProjectInfoTable[ProjectName]=OutputTable[[#This Row],[ProjectName]])*ProjectInfoTable[ConfidenceInterval]))</f>
        <v>0.95</v>
      </c>
      <c r="N20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203" s="5" cm="1">
        <f t="array" ref="O203">MIN(IF((OutputTable[GroupByKey]=OutputTable[[#This Row],[GroupByKey]]),(OutputTable[GroupByKey]=OutputTable[[#This Row],[GroupByKey]])*OutputTable[RecordedValue]))</f>
        <v>2</v>
      </c>
      <c r="P203" s="5" cm="1">
        <f t="array" ref="P203">MAX(IF((OutputTable[GroupByKey]=OutputTable[[#This Row],[GroupByKey]]),(OutputTable[GroupByKey]=OutputTable[[#This Row],[GroupByKey]])*OutputTable[RecordedValue]))</f>
        <v>5</v>
      </c>
    </row>
    <row r="204" spans="1:16" x14ac:dyDescent="0.35">
      <c r="A204" t="s">
        <v>66</v>
      </c>
      <c r="B204" t="s">
        <v>69</v>
      </c>
      <c r="C204">
        <v>41</v>
      </c>
      <c r="D204" t="s">
        <v>92</v>
      </c>
      <c r="E204" t="s">
        <v>93</v>
      </c>
      <c r="F204" t="s">
        <v>85</v>
      </c>
      <c r="G204">
        <v>4</v>
      </c>
      <c r="H204">
        <v>0</v>
      </c>
      <c r="I204" s="5" t="str">
        <f>OutputTable[[#This Row],[ProjectName]]&amp;OutputTable[[#This Row],[Name]]&amp;OutputTable[[#This Row],[Type]]&amp;OutputTable[[#This Row],[Source]]</f>
        <v>Unnamed ProjectOperador.NumberSeizedTotal Number SeizedResource</v>
      </c>
      <c r="J204" s="5" cm="1">
        <f t="array" ref="J204">MAX(IF((ProjectInfoTable[ProjectName]=OutputTable[[#This Row],[ProjectName]]),(ProjectInfoTable[ProjectName]=OutputTable[[#This Row],[ProjectName]])*ProjectInfoTable[NumberOfReplications]))</f>
        <v>50</v>
      </c>
      <c r="K204" s="5" cm="1">
        <f t="array" ref="K204">IFERROR(AVERAGE(IF((OutputTable[GroupByKey]=OutputTable[[#This Row],[GroupByKey]]),(OutputTable[GroupByKey]=OutputTable[[#This Row],[GroupByKey]])*OutputTable[RecordedValue])),0)</f>
        <v>4.58</v>
      </c>
      <c r="L204" s="5" cm="1">
        <f t="array" ref="L204">IFERROR(_xlfn.STDEV.S(IF((OutputTable[GroupByKey]=OutputTable[[#This Row],[GroupByKey]]),(OutputTable[GroupByKey]=OutputTable[[#This Row],[GroupByKey]])*OutputTable[RecordedValue])),0)</f>
        <v>0.78480466827545059</v>
      </c>
      <c r="M204" s="5" cm="1">
        <f t="array" ref="M204">MAX(IF((ProjectInfoTable[ProjectName]=OutputTable[[#This Row],[ProjectName]]),(ProjectInfoTable[ProjectName]=OutputTable[[#This Row],[ProjectName]])*ProjectInfoTable[ConfidenceInterval]))</f>
        <v>0.95</v>
      </c>
      <c r="N20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0.22303901890225239</v>
      </c>
      <c r="O204" s="5" cm="1">
        <f t="array" ref="O204">MIN(IF((OutputTable[GroupByKey]=OutputTable[[#This Row],[GroupByKey]]),(OutputTable[GroupByKey]=OutputTable[[#This Row],[GroupByKey]])*OutputTable[RecordedValue]))</f>
        <v>3</v>
      </c>
      <c r="P204" s="5" cm="1">
        <f t="array" ref="P204">MAX(IF((OutputTable[GroupByKey]=OutputTable[[#This Row],[GroupByKey]]),(OutputTable[GroupByKey]=OutputTable[[#This Row],[GroupByKey]])*OutputTable[RecordedValue]))</f>
        <v>6</v>
      </c>
    </row>
    <row r="205" spans="1:16" x14ac:dyDescent="0.35">
      <c r="A205" t="s">
        <v>66</v>
      </c>
      <c r="B205" t="s">
        <v>69</v>
      </c>
      <c r="C205">
        <v>41</v>
      </c>
      <c r="D205" t="s">
        <v>94</v>
      </c>
      <c r="E205" t="s">
        <v>95</v>
      </c>
      <c r="F205" t="s">
        <v>85</v>
      </c>
      <c r="G205">
        <v>0.915329524608128</v>
      </c>
      <c r="H205">
        <v>0</v>
      </c>
      <c r="I205" s="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205" s="5" cm="1">
        <f t="array" ref="J205">MAX(IF((ProjectInfoTable[ProjectName]=OutputTable[[#This Row],[ProjectName]]),(ProjectInfoTable[ProjectName]=OutputTable[[#This Row],[ProjectName]])*ProjectInfoTable[NumberOfReplications]))</f>
        <v>50</v>
      </c>
      <c r="K205" s="5" cm="1">
        <f t="array" ref="K205">IFERROR(AVERAGE(IF((OutputTable[GroupByKey]=OutputTable[[#This Row],[GroupByKey]]),(OutputTable[GroupByKey]=OutputTable[[#This Row],[GroupByKey]])*OutputTable[RecordedValue])),0)</f>
        <v>0.92637977941440086</v>
      </c>
      <c r="L205" s="5" cm="1">
        <f t="array" ref="L205">IFERROR(_xlfn.STDEV.S(IF((OutputTable[GroupByKey]=OutputTable[[#This Row],[GroupByKey]]),(OutputTable[GroupByKey]=OutputTable[[#This Row],[GroupByKey]])*OutputTable[RecordedValue])),0)</f>
        <v>0.11789675502181338</v>
      </c>
      <c r="M205" s="5" cm="1">
        <f t="array" ref="M205">MAX(IF((ProjectInfoTable[ProjectName]=OutputTable[[#This Row],[ProjectName]]),(ProjectInfoTable[ProjectName]=OutputTable[[#This Row],[ProjectName]])*ProjectInfoTable[ConfidenceInterval]))</f>
        <v>0.95</v>
      </c>
      <c r="N20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3.350588705034975E-2</v>
      </c>
      <c r="O205" s="5" cm="1">
        <f t="array" ref="O205">MIN(IF((OutputTable[GroupByKey]=OutputTable[[#This Row],[GroupByKey]]),(OutputTable[GroupByKey]=OutputTable[[#This Row],[GroupByKey]])*OutputTable[RecordedValue]))</f>
        <v>0.60846830422583797</v>
      </c>
      <c r="P205" s="5" cm="1">
        <f t="array" ref="P205">MAX(IF((OutputTable[GroupByKey]=OutputTable[[#This Row],[GroupByKey]]),(OutputTable[GroupByKey]=OutputTable[[#This Row],[GroupByKey]])*OutputTable[RecordedValue]))</f>
        <v>1</v>
      </c>
    </row>
    <row r="206" spans="1:16" x14ac:dyDescent="0.35">
      <c r="A206" t="s">
        <v>66</v>
      </c>
      <c r="B206" t="s">
        <v>69</v>
      </c>
      <c r="C206">
        <v>41</v>
      </c>
      <c r="D206" t="s">
        <v>96</v>
      </c>
      <c r="E206" t="s">
        <v>91</v>
      </c>
      <c r="F206" t="s">
        <v>97</v>
      </c>
      <c r="G206">
        <v>3</v>
      </c>
      <c r="H206">
        <v>0</v>
      </c>
      <c r="I206" s="5" t="str">
        <f>OutputTable[[#This Row],[ProjectName]]&amp;OutputTable[[#This Row],[Name]]&amp;OutputTable[[#This Row],[Type]]&amp;OutputTable[[#This Row],[Source]]</f>
        <v>Unnamed ProjectSystem.NumberOutNumber OutSystem</v>
      </c>
      <c r="J206" s="5" cm="1">
        <f t="array" ref="J206">MAX(IF((ProjectInfoTable[ProjectName]=OutputTable[[#This Row],[ProjectName]]),(ProjectInfoTable[ProjectName]=OutputTable[[#This Row],[ProjectName]])*ProjectInfoTable[NumberOfReplications]))</f>
        <v>50</v>
      </c>
      <c r="K206" s="5" cm="1">
        <f t="array" ref="K206">IFERROR(AVERAGE(IF((OutputTable[GroupByKey]=OutputTable[[#This Row],[GroupByKey]]),(OutputTable[GroupByKey]=OutputTable[[#This Row],[GroupByKey]])*OutputTable[RecordedValue])),0)</f>
        <v>3.62</v>
      </c>
      <c r="L206" s="5" cm="1">
        <f t="array" ref="L206">IFERROR(_xlfn.STDEV.S(IF((OutputTable[GroupByKey]=OutputTable[[#This Row],[GroupByKey]]),(OutputTable[GroupByKey]=OutputTable[[#This Row],[GroupByKey]])*OutputTable[RecordedValue])),0)</f>
        <v>0.77958649426527116</v>
      </c>
      <c r="M206" s="5" cm="1">
        <f t="array" ref="M206">MAX(IF((ProjectInfoTable[ProjectName]=OutputTable[[#This Row],[ProjectName]]),(ProjectInfoTable[ProjectName]=OutputTable[[#This Row],[ProjectName]])*ProjectInfoTable[ConfidenceInterval]))</f>
        <v>0.95</v>
      </c>
      <c r="N20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206" s="5" cm="1">
        <f t="array" ref="O206">MIN(IF((OutputTable[GroupByKey]=OutputTable[[#This Row],[GroupByKey]]),(OutputTable[GroupByKey]=OutputTable[[#This Row],[GroupByKey]])*OutputTable[RecordedValue]))</f>
        <v>2</v>
      </c>
      <c r="P206" s="5" cm="1">
        <f t="array" ref="P206">MAX(IF((OutputTable[GroupByKey]=OutputTable[[#This Row],[GroupByKey]]),(OutputTable[GroupByKey]=OutputTable[[#This Row],[GroupByKey]])*OutputTable[RecordedValue]))</f>
        <v>5</v>
      </c>
    </row>
    <row r="207" spans="1:16" x14ac:dyDescent="0.35">
      <c r="A207" t="s">
        <v>66</v>
      </c>
      <c r="B207" t="s">
        <v>69</v>
      </c>
      <c r="C207">
        <v>42</v>
      </c>
      <c r="D207" t="s">
        <v>88</v>
      </c>
      <c r="E207" t="s">
        <v>89</v>
      </c>
      <c r="F207" t="s">
        <v>72</v>
      </c>
      <c r="G207">
        <v>6</v>
      </c>
      <c r="H207">
        <v>0</v>
      </c>
      <c r="I207" s="5" t="str">
        <f>OutputTable[[#This Row],[ProjectName]]&amp;OutputTable[[#This Row],[Name]]&amp;OutputTable[[#This Row],[Type]]&amp;OutputTable[[#This Row],[Source]]</f>
        <v>Unnamed ProjectArquivos.NumberInNumber InEntity</v>
      </c>
      <c r="J207" s="5" cm="1">
        <f t="array" ref="J207">MAX(IF((ProjectInfoTable[ProjectName]=OutputTable[[#This Row],[ProjectName]]),(ProjectInfoTable[ProjectName]=OutputTable[[#This Row],[ProjectName]])*ProjectInfoTable[NumberOfReplications]))</f>
        <v>50</v>
      </c>
      <c r="K207" s="5" cm="1">
        <f t="array" ref="K207">IFERROR(AVERAGE(IF((OutputTable[GroupByKey]=OutputTable[[#This Row],[GroupByKey]]),(OutputTable[GroupByKey]=OutputTable[[#This Row],[GroupByKey]])*OutputTable[RecordedValue])),0)</f>
        <v>6.48</v>
      </c>
      <c r="L207" s="5" cm="1">
        <f t="array" ref="L207">IFERROR(_xlfn.STDEV.S(IF((OutputTable[GroupByKey]=OutputTable[[#This Row],[GroupByKey]]),(OutputTable[GroupByKey]=OutputTable[[#This Row],[GroupByKey]])*OutputTable[RecordedValue])),0)</f>
        <v>1.7984119979264248</v>
      </c>
      <c r="M207" s="5" cm="1">
        <f t="array" ref="M207">MAX(IF((ProjectInfoTable[ProjectName]=OutputTable[[#This Row],[ProjectName]]),(ProjectInfoTable[ProjectName]=OutputTable[[#This Row],[ProjectName]])*ProjectInfoTable[ConfidenceInterval]))</f>
        <v>0.95</v>
      </c>
      <c r="N20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0.51110303469648288</v>
      </c>
      <c r="O207" s="5" cm="1">
        <f t="array" ref="O207">MIN(IF((OutputTable[GroupByKey]=OutputTable[[#This Row],[GroupByKey]]),(OutputTable[GroupByKey]=OutputTable[[#This Row],[GroupByKey]])*OutputTable[RecordedValue]))</f>
        <v>3</v>
      </c>
      <c r="P207" s="5" cm="1">
        <f t="array" ref="P207">MAX(IF((OutputTable[GroupByKey]=OutputTable[[#This Row],[GroupByKey]]),(OutputTable[GroupByKey]=OutputTable[[#This Row],[GroupByKey]])*OutputTable[RecordedValue]))</f>
        <v>13</v>
      </c>
    </row>
    <row r="208" spans="1:16" x14ac:dyDescent="0.35">
      <c r="A208" t="s">
        <v>66</v>
      </c>
      <c r="B208" t="s">
        <v>69</v>
      </c>
      <c r="C208">
        <v>42</v>
      </c>
      <c r="D208" t="s">
        <v>90</v>
      </c>
      <c r="E208" t="s">
        <v>91</v>
      </c>
      <c r="F208" t="s">
        <v>72</v>
      </c>
      <c r="G208">
        <v>4</v>
      </c>
      <c r="H208">
        <v>0</v>
      </c>
      <c r="I208" s="5" t="str">
        <f>OutputTable[[#This Row],[ProjectName]]&amp;OutputTable[[#This Row],[Name]]&amp;OutputTable[[#This Row],[Type]]&amp;OutputTable[[#This Row],[Source]]</f>
        <v>Unnamed ProjectArquivos.NumberOutNumber OutEntity</v>
      </c>
      <c r="J208" s="5" cm="1">
        <f t="array" ref="J208">MAX(IF((ProjectInfoTable[ProjectName]=OutputTable[[#This Row],[ProjectName]]),(ProjectInfoTable[ProjectName]=OutputTable[[#This Row],[ProjectName]])*ProjectInfoTable[NumberOfReplications]))</f>
        <v>50</v>
      </c>
      <c r="K208" s="5" cm="1">
        <f t="array" ref="K208">IFERROR(AVERAGE(IF((OutputTable[GroupByKey]=OutputTable[[#This Row],[GroupByKey]]),(OutputTable[GroupByKey]=OutputTable[[#This Row],[GroupByKey]])*OutputTable[RecordedValue])),0)</f>
        <v>3.62</v>
      </c>
      <c r="L208" s="5" cm="1">
        <f t="array" ref="L208">IFERROR(_xlfn.STDEV.S(IF((OutputTable[GroupByKey]=OutputTable[[#This Row],[GroupByKey]]),(OutputTable[GroupByKey]=OutputTable[[#This Row],[GroupByKey]])*OutputTable[RecordedValue])),0)</f>
        <v>0.77958649426527116</v>
      </c>
      <c r="M208" s="5" cm="1">
        <f t="array" ref="M208">MAX(IF((ProjectInfoTable[ProjectName]=OutputTable[[#This Row],[ProjectName]]),(ProjectInfoTable[ProjectName]=OutputTable[[#This Row],[ProjectName]])*ProjectInfoTable[ConfidenceInterval]))</f>
        <v>0.95</v>
      </c>
      <c r="N20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208" s="5" cm="1">
        <f t="array" ref="O208">MIN(IF((OutputTable[GroupByKey]=OutputTable[[#This Row],[GroupByKey]]),(OutputTable[GroupByKey]=OutputTable[[#This Row],[GroupByKey]])*OutputTable[RecordedValue]))</f>
        <v>2</v>
      </c>
      <c r="P208" s="5" cm="1">
        <f t="array" ref="P208">MAX(IF((OutputTable[GroupByKey]=OutputTable[[#This Row],[GroupByKey]]),(OutputTable[GroupByKey]=OutputTable[[#This Row],[GroupByKey]])*OutputTable[RecordedValue]))</f>
        <v>5</v>
      </c>
    </row>
    <row r="209" spans="1:16" x14ac:dyDescent="0.35">
      <c r="A209" t="s">
        <v>66</v>
      </c>
      <c r="B209" t="s">
        <v>69</v>
      </c>
      <c r="C209">
        <v>42</v>
      </c>
      <c r="D209" t="s">
        <v>92</v>
      </c>
      <c r="E209" t="s">
        <v>93</v>
      </c>
      <c r="F209" t="s">
        <v>85</v>
      </c>
      <c r="G209">
        <v>5</v>
      </c>
      <c r="H209">
        <v>0</v>
      </c>
      <c r="I209" s="5" t="str">
        <f>OutputTable[[#This Row],[ProjectName]]&amp;OutputTable[[#This Row],[Name]]&amp;OutputTable[[#This Row],[Type]]&amp;OutputTable[[#This Row],[Source]]</f>
        <v>Unnamed ProjectOperador.NumberSeizedTotal Number SeizedResource</v>
      </c>
      <c r="J209" s="5" cm="1">
        <f t="array" ref="J209">MAX(IF((ProjectInfoTable[ProjectName]=OutputTable[[#This Row],[ProjectName]]),(ProjectInfoTable[ProjectName]=OutputTable[[#This Row],[ProjectName]])*ProjectInfoTable[NumberOfReplications]))</f>
        <v>50</v>
      </c>
      <c r="K209" s="5" cm="1">
        <f t="array" ref="K209">IFERROR(AVERAGE(IF((OutputTable[GroupByKey]=OutputTable[[#This Row],[GroupByKey]]),(OutputTable[GroupByKey]=OutputTable[[#This Row],[GroupByKey]])*OutputTable[RecordedValue])),0)</f>
        <v>4.58</v>
      </c>
      <c r="L209" s="5" cm="1">
        <f t="array" ref="L209">IFERROR(_xlfn.STDEV.S(IF((OutputTable[GroupByKey]=OutputTable[[#This Row],[GroupByKey]]),(OutputTable[GroupByKey]=OutputTable[[#This Row],[GroupByKey]])*OutputTable[RecordedValue])),0)</f>
        <v>0.78480466827545059</v>
      </c>
      <c r="M209" s="5" cm="1">
        <f t="array" ref="M209">MAX(IF((ProjectInfoTable[ProjectName]=OutputTable[[#This Row],[ProjectName]]),(ProjectInfoTable[ProjectName]=OutputTable[[#This Row],[ProjectName]])*ProjectInfoTable[ConfidenceInterval]))</f>
        <v>0.95</v>
      </c>
      <c r="N20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0.22303901890225239</v>
      </c>
      <c r="O209" s="5" cm="1">
        <f t="array" ref="O209">MIN(IF((OutputTable[GroupByKey]=OutputTable[[#This Row],[GroupByKey]]),(OutputTable[GroupByKey]=OutputTable[[#This Row],[GroupByKey]])*OutputTable[RecordedValue]))</f>
        <v>3</v>
      </c>
      <c r="P209" s="5" cm="1">
        <f t="array" ref="P209">MAX(IF((OutputTable[GroupByKey]=OutputTable[[#This Row],[GroupByKey]]),(OutputTable[GroupByKey]=OutputTable[[#This Row],[GroupByKey]])*OutputTable[RecordedValue]))</f>
        <v>6</v>
      </c>
    </row>
    <row r="210" spans="1:16" x14ac:dyDescent="0.35">
      <c r="A210" t="s">
        <v>66</v>
      </c>
      <c r="B210" t="s">
        <v>69</v>
      </c>
      <c r="C210">
        <v>42</v>
      </c>
      <c r="D210" t="s">
        <v>94</v>
      </c>
      <c r="E210" t="s">
        <v>95</v>
      </c>
      <c r="F210" t="s">
        <v>85</v>
      </c>
      <c r="G210">
        <v>0.74162121913578904</v>
      </c>
      <c r="H210">
        <v>0</v>
      </c>
      <c r="I210" s="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210" s="5" cm="1">
        <f t="array" ref="J210">MAX(IF((ProjectInfoTable[ProjectName]=OutputTable[[#This Row],[ProjectName]]),(ProjectInfoTable[ProjectName]=OutputTable[[#This Row],[ProjectName]])*ProjectInfoTable[NumberOfReplications]))</f>
        <v>50</v>
      </c>
      <c r="K210" s="5" cm="1">
        <f t="array" ref="K210">IFERROR(AVERAGE(IF((OutputTable[GroupByKey]=OutputTable[[#This Row],[GroupByKey]]),(OutputTable[GroupByKey]=OutputTable[[#This Row],[GroupByKey]])*OutputTable[RecordedValue])),0)</f>
        <v>0.92637977941440086</v>
      </c>
      <c r="L210" s="5" cm="1">
        <f t="array" ref="L210">IFERROR(_xlfn.STDEV.S(IF((OutputTable[GroupByKey]=OutputTable[[#This Row],[GroupByKey]]),(OutputTable[GroupByKey]=OutputTable[[#This Row],[GroupByKey]])*OutputTable[RecordedValue])),0)</f>
        <v>0.11789675502181338</v>
      </c>
      <c r="M210" s="5" cm="1">
        <f t="array" ref="M210">MAX(IF((ProjectInfoTable[ProjectName]=OutputTable[[#This Row],[ProjectName]]),(ProjectInfoTable[ProjectName]=OutputTable[[#This Row],[ProjectName]])*ProjectInfoTable[ConfidenceInterval]))</f>
        <v>0.95</v>
      </c>
      <c r="N21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3.350588705034975E-2</v>
      </c>
      <c r="O210" s="5" cm="1">
        <f t="array" ref="O210">MIN(IF((OutputTable[GroupByKey]=OutputTable[[#This Row],[GroupByKey]]),(OutputTable[GroupByKey]=OutputTable[[#This Row],[GroupByKey]])*OutputTable[RecordedValue]))</f>
        <v>0.60846830422583797</v>
      </c>
      <c r="P210" s="5" cm="1">
        <f t="array" ref="P210">MAX(IF((OutputTable[GroupByKey]=OutputTable[[#This Row],[GroupByKey]]),(OutputTable[GroupByKey]=OutputTable[[#This Row],[GroupByKey]])*OutputTable[RecordedValue]))</f>
        <v>1</v>
      </c>
    </row>
    <row r="211" spans="1:16" x14ac:dyDescent="0.35">
      <c r="A211" t="s">
        <v>66</v>
      </c>
      <c r="B211" t="s">
        <v>69</v>
      </c>
      <c r="C211">
        <v>42</v>
      </c>
      <c r="D211" t="s">
        <v>96</v>
      </c>
      <c r="E211" t="s">
        <v>91</v>
      </c>
      <c r="F211" t="s">
        <v>97</v>
      </c>
      <c r="G211">
        <v>4</v>
      </c>
      <c r="H211">
        <v>0</v>
      </c>
      <c r="I211" s="5" t="str">
        <f>OutputTable[[#This Row],[ProjectName]]&amp;OutputTable[[#This Row],[Name]]&amp;OutputTable[[#This Row],[Type]]&amp;OutputTable[[#This Row],[Source]]</f>
        <v>Unnamed ProjectSystem.NumberOutNumber OutSystem</v>
      </c>
      <c r="J211" s="5" cm="1">
        <f t="array" ref="J211">MAX(IF((ProjectInfoTable[ProjectName]=OutputTable[[#This Row],[ProjectName]]),(ProjectInfoTable[ProjectName]=OutputTable[[#This Row],[ProjectName]])*ProjectInfoTable[NumberOfReplications]))</f>
        <v>50</v>
      </c>
      <c r="K211" s="5" cm="1">
        <f t="array" ref="K211">IFERROR(AVERAGE(IF((OutputTable[GroupByKey]=OutputTable[[#This Row],[GroupByKey]]),(OutputTable[GroupByKey]=OutputTable[[#This Row],[GroupByKey]])*OutputTable[RecordedValue])),0)</f>
        <v>3.62</v>
      </c>
      <c r="L211" s="5" cm="1">
        <f t="array" ref="L211">IFERROR(_xlfn.STDEV.S(IF((OutputTable[GroupByKey]=OutputTable[[#This Row],[GroupByKey]]),(OutputTable[GroupByKey]=OutputTable[[#This Row],[GroupByKey]])*OutputTable[RecordedValue])),0)</f>
        <v>0.77958649426527116</v>
      </c>
      <c r="M211" s="5" cm="1">
        <f t="array" ref="M211">MAX(IF((ProjectInfoTable[ProjectName]=OutputTable[[#This Row],[ProjectName]]),(ProjectInfoTable[ProjectName]=OutputTable[[#This Row],[ProjectName]])*ProjectInfoTable[ConfidenceInterval]))</f>
        <v>0.95</v>
      </c>
      <c r="N21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211" s="5" cm="1">
        <f t="array" ref="O211">MIN(IF((OutputTable[GroupByKey]=OutputTable[[#This Row],[GroupByKey]]),(OutputTable[GroupByKey]=OutputTable[[#This Row],[GroupByKey]])*OutputTable[RecordedValue]))</f>
        <v>2</v>
      </c>
      <c r="P211" s="5" cm="1">
        <f t="array" ref="P211">MAX(IF((OutputTable[GroupByKey]=OutputTable[[#This Row],[GroupByKey]]),(OutputTable[GroupByKey]=OutputTable[[#This Row],[GroupByKey]])*OutputTable[RecordedValue]))</f>
        <v>5</v>
      </c>
    </row>
    <row r="212" spans="1:16" x14ac:dyDescent="0.35">
      <c r="A212" t="s">
        <v>66</v>
      </c>
      <c r="B212" t="s">
        <v>69</v>
      </c>
      <c r="C212">
        <v>43</v>
      </c>
      <c r="D212" t="s">
        <v>88</v>
      </c>
      <c r="E212" t="s">
        <v>89</v>
      </c>
      <c r="F212" t="s">
        <v>72</v>
      </c>
      <c r="G212">
        <v>9</v>
      </c>
      <c r="H212">
        <v>0</v>
      </c>
      <c r="I212" s="5" t="str">
        <f>OutputTable[[#This Row],[ProjectName]]&amp;OutputTable[[#This Row],[Name]]&amp;OutputTable[[#This Row],[Type]]&amp;OutputTable[[#This Row],[Source]]</f>
        <v>Unnamed ProjectArquivos.NumberInNumber InEntity</v>
      </c>
      <c r="J212" s="5" cm="1">
        <f t="array" ref="J212">MAX(IF((ProjectInfoTable[ProjectName]=OutputTable[[#This Row],[ProjectName]]),(ProjectInfoTable[ProjectName]=OutputTable[[#This Row],[ProjectName]])*ProjectInfoTable[NumberOfReplications]))</f>
        <v>50</v>
      </c>
      <c r="K212" s="5" cm="1">
        <f t="array" ref="K212">IFERROR(AVERAGE(IF((OutputTable[GroupByKey]=OutputTable[[#This Row],[GroupByKey]]),(OutputTable[GroupByKey]=OutputTable[[#This Row],[GroupByKey]])*OutputTable[RecordedValue])),0)</f>
        <v>6.48</v>
      </c>
      <c r="L212" s="5" cm="1">
        <f t="array" ref="L212">IFERROR(_xlfn.STDEV.S(IF((OutputTable[GroupByKey]=OutputTable[[#This Row],[GroupByKey]]),(OutputTable[GroupByKey]=OutputTable[[#This Row],[GroupByKey]])*OutputTable[RecordedValue])),0)</f>
        <v>1.7984119979264248</v>
      </c>
      <c r="M212" s="5" cm="1">
        <f t="array" ref="M212">MAX(IF((ProjectInfoTable[ProjectName]=OutputTable[[#This Row],[ProjectName]]),(ProjectInfoTable[ProjectName]=OutputTable[[#This Row],[ProjectName]])*ProjectInfoTable[ConfidenceInterval]))</f>
        <v>0.95</v>
      </c>
      <c r="N2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0.51110303469648288</v>
      </c>
      <c r="O212" s="5" cm="1">
        <f t="array" ref="O212">MIN(IF((OutputTable[GroupByKey]=OutputTable[[#This Row],[GroupByKey]]),(OutputTable[GroupByKey]=OutputTable[[#This Row],[GroupByKey]])*OutputTable[RecordedValue]))</f>
        <v>3</v>
      </c>
      <c r="P212" s="5" cm="1">
        <f t="array" ref="P212">MAX(IF((OutputTable[GroupByKey]=OutputTable[[#This Row],[GroupByKey]]),(OutputTable[GroupByKey]=OutputTable[[#This Row],[GroupByKey]])*OutputTable[RecordedValue]))</f>
        <v>13</v>
      </c>
    </row>
    <row r="213" spans="1:16" x14ac:dyDescent="0.35">
      <c r="A213" t="s">
        <v>66</v>
      </c>
      <c r="B213" t="s">
        <v>69</v>
      </c>
      <c r="C213">
        <v>43</v>
      </c>
      <c r="D213" t="s">
        <v>90</v>
      </c>
      <c r="E213" t="s">
        <v>91</v>
      </c>
      <c r="F213" t="s">
        <v>72</v>
      </c>
      <c r="G213">
        <v>4</v>
      </c>
      <c r="H213">
        <v>0</v>
      </c>
      <c r="I213" s="5" t="str">
        <f>OutputTable[[#This Row],[ProjectName]]&amp;OutputTable[[#This Row],[Name]]&amp;OutputTable[[#This Row],[Type]]&amp;OutputTable[[#This Row],[Source]]</f>
        <v>Unnamed ProjectArquivos.NumberOutNumber OutEntity</v>
      </c>
      <c r="J213" s="5" cm="1">
        <f t="array" ref="J213">MAX(IF((ProjectInfoTable[ProjectName]=OutputTable[[#This Row],[ProjectName]]),(ProjectInfoTable[ProjectName]=OutputTable[[#This Row],[ProjectName]])*ProjectInfoTable[NumberOfReplications]))</f>
        <v>50</v>
      </c>
      <c r="K213" s="5" cm="1">
        <f t="array" ref="K213">IFERROR(AVERAGE(IF((OutputTable[GroupByKey]=OutputTable[[#This Row],[GroupByKey]]),(OutputTable[GroupByKey]=OutputTable[[#This Row],[GroupByKey]])*OutputTable[RecordedValue])),0)</f>
        <v>3.62</v>
      </c>
      <c r="L213" s="5" cm="1">
        <f t="array" ref="L213">IFERROR(_xlfn.STDEV.S(IF((OutputTable[GroupByKey]=OutputTable[[#This Row],[GroupByKey]]),(OutputTable[GroupByKey]=OutputTable[[#This Row],[GroupByKey]])*OutputTable[RecordedValue])),0)</f>
        <v>0.77958649426527116</v>
      </c>
      <c r="M213" s="5" cm="1">
        <f t="array" ref="M213">MAX(IF((ProjectInfoTable[ProjectName]=OutputTable[[#This Row],[ProjectName]]),(ProjectInfoTable[ProjectName]=OutputTable[[#This Row],[ProjectName]])*ProjectInfoTable[ConfidenceInterval]))</f>
        <v>0.95</v>
      </c>
      <c r="N2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213" s="5" cm="1">
        <f t="array" ref="O213">MIN(IF((OutputTable[GroupByKey]=OutputTable[[#This Row],[GroupByKey]]),(OutputTable[GroupByKey]=OutputTable[[#This Row],[GroupByKey]])*OutputTable[RecordedValue]))</f>
        <v>2</v>
      </c>
      <c r="P213" s="5" cm="1">
        <f t="array" ref="P213">MAX(IF((OutputTable[GroupByKey]=OutputTable[[#This Row],[GroupByKey]]),(OutputTable[GroupByKey]=OutputTable[[#This Row],[GroupByKey]])*OutputTable[RecordedValue]))</f>
        <v>5</v>
      </c>
    </row>
    <row r="214" spans="1:16" x14ac:dyDescent="0.35">
      <c r="A214" t="s">
        <v>66</v>
      </c>
      <c r="B214" t="s">
        <v>69</v>
      </c>
      <c r="C214">
        <v>43</v>
      </c>
      <c r="D214" t="s">
        <v>92</v>
      </c>
      <c r="E214" t="s">
        <v>93</v>
      </c>
      <c r="F214" t="s">
        <v>85</v>
      </c>
      <c r="G214">
        <v>5</v>
      </c>
      <c r="H214">
        <v>0</v>
      </c>
      <c r="I214" s="5" t="str">
        <f>OutputTable[[#This Row],[ProjectName]]&amp;OutputTable[[#This Row],[Name]]&amp;OutputTable[[#This Row],[Type]]&amp;OutputTable[[#This Row],[Source]]</f>
        <v>Unnamed ProjectOperador.NumberSeizedTotal Number SeizedResource</v>
      </c>
      <c r="J214" s="5" cm="1">
        <f t="array" ref="J214">MAX(IF((ProjectInfoTable[ProjectName]=OutputTable[[#This Row],[ProjectName]]),(ProjectInfoTable[ProjectName]=OutputTable[[#This Row],[ProjectName]])*ProjectInfoTable[NumberOfReplications]))</f>
        <v>50</v>
      </c>
      <c r="K214" s="5" cm="1">
        <f t="array" ref="K214">IFERROR(AVERAGE(IF((OutputTable[GroupByKey]=OutputTable[[#This Row],[GroupByKey]]),(OutputTable[GroupByKey]=OutputTable[[#This Row],[GroupByKey]])*OutputTable[RecordedValue])),0)</f>
        <v>4.58</v>
      </c>
      <c r="L214" s="5" cm="1">
        <f t="array" ref="L214">IFERROR(_xlfn.STDEV.S(IF((OutputTable[GroupByKey]=OutputTable[[#This Row],[GroupByKey]]),(OutputTable[GroupByKey]=OutputTable[[#This Row],[GroupByKey]])*OutputTable[RecordedValue])),0)</f>
        <v>0.78480466827545059</v>
      </c>
      <c r="M214" s="5" cm="1">
        <f t="array" ref="M214">MAX(IF((ProjectInfoTable[ProjectName]=OutputTable[[#This Row],[ProjectName]]),(ProjectInfoTable[ProjectName]=OutputTable[[#This Row],[ProjectName]])*ProjectInfoTable[ConfidenceInterval]))</f>
        <v>0.95</v>
      </c>
      <c r="N2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0.22303901890225239</v>
      </c>
      <c r="O214" s="5" cm="1">
        <f t="array" ref="O214">MIN(IF((OutputTable[GroupByKey]=OutputTable[[#This Row],[GroupByKey]]),(OutputTable[GroupByKey]=OutputTable[[#This Row],[GroupByKey]])*OutputTable[RecordedValue]))</f>
        <v>3</v>
      </c>
      <c r="P214" s="5" cm="1">
        <f t="array" ref="P214">MAX(IF((OutputTable[GroupByKey]=OutputTable[[#This Row],[GroupByKey]]),(OutputTable[GroupByKey]=OutputTable[[#This Row],[GroupByKey]])*OutputTable[RecordedValue]))</f>
        <v>6</v>
      </c>
    </row>
    <row r="215" spans="1:16" x14ac:dyDescent="0.35">
      <c r="A215" t="s">
        <v>66</v>
      </c>
      <c r="B215" t="s">
        <v>69</v>
      </c>
      <c r="C215">
        <v>43</v>
      </c>
      <c r="D215" t="s">
        <v>94</v>
      </c>
      <c r="E215" t="s">
        <v>95</v>
      </c>
      <c r="F215" t="s">
        <v>85</v>
      </c>
      <c r="G215">
        <v>1</v>
      </c>
      <c r="H215">
        <v>0</v>
      </c>
      <c r="I215" s="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215" s="5" cm="1">
        <f t="array" ref="J215">MAX(IF((ProjectInfoTable[ProjectName]=OutputTable[[#This Row],[ProjectName]]),(ProjectInfoTable[ProjectName]=OutputTable[[#This Row],[ProjectName]])*ProjectInfoTable[NumberOfReplications]))</f>
        <v>50</v>
      </c>
      <c r="K215" s="5" cm="1">
        <f t="array" ref="K215">IFERROR(AVERAGE(IF((OutputTable[GroupByKey]=OutputTable[[#This Row],[GroupByKey]]),(OutputTable[GroupByKey]=OutputTable[[#This Row],[GroupByKey]])*OutputTable[RecordedValue])),0)</f>
        <v>0.92637977941440086</v>
      </c>
      <c r="L215" s="5" cm="1">
        <f t="array" ref="L215">IFERROR(_xlfn.STDEV.S(IF((OutputTable[GroupByKey]=OutputTable[[#This Row],[GroupByKey]]),(OutputTable[GroupByKey]=OutputTable[[#This Row],[GroupByKey]])*OutputTable[RecordedValue])),0)</f>
        <v>0.11789675502181338</v>
      </c>
      <c r="M215" s="5" cm="1">
        <f t="array" ref="M215">MAX(IF((ProjectInfoTable[ProjectName]=OutputTable[[#This Row],[ProjectName]]),(ProjectInfoTable[ProjectName]=OutputTable[[#This Row],[ProjectName]])*ProjectInfoTable[ConfidenceInterval]))</f>
        <v>0.95</v>
      </c>
      <c r="N2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3.350588705034975E-2</v>
      </c>
      <c r="O215" s="5" cm="1">
        <f t="array" ref="O215">MIN(IF((OutputTable[GroupByKey]=OutputTable[[#This Row],[GroupByKey]]),(OutputTable[GroupByKey]=OutputTable[[#This Row],[GroupByKey]])*OutputTable[RecordedValue]))</f>
        <v>0.60846830422583797</v>
      </c>
      <c r="P215" s="5" cm="1">
        <f t="array" ref="P215">MAX(IF((OutputTable[GroupByKey]=OutputTable[[#This Row],[GroupByKey]]),(OutputTable[GroupByKey]=OutputTable[[#This Row],[GroupByKey]])*OutputTable[RecordedValue]))</f>
        <v>1</v>
      </c>
    </row>
    <row r="216" spans="1:16" x14ac:dyDescent="0.35">
      <c r="A216" t="s">
        <v>66</v>
      </c>
      <c r="B216" t="s">
        <v>69</v>
      </c>
      <c r="C216">
        <v>43</v>
      </c>
      <c r="D216" t="s">
        <v>96</v>
      </c>
      <c r="E216" t="s">
        <v>91</v>
      </c>
      <c r="F216" t="s">
        <v>97</v>
      </c>
      <c r="G216">
        <v>4</v>
      </c>
      <c r="H216">
        <v>0</v>
      </c>
      <c r="I216" s="5" t="str">
        <f>OutputTable[[#This Row],[ProjectName]]&amp;OutputTable[[#This Row],[Name]]&amp;OutputTable[[#This Row],[Type]]&amp;OutputTable[[#This Row],[Source]]</f>
        <v>Unnamed ProjectSystem.NumberOutNumber OutSystem</v>
      </c>
      <c r="J216" s="5" cm="1">
        <f t="array" ref="J216">MAX(IF((ProjectInfoTable[ProjectName]=OutputTable[[#This Row],[ProjectName]]),(ProjectInfoTable[ProjectName]=OutputTable[[#This Row],[ProjectName]])*ProjectInfoTable[NumberOfReplications]))</f>
        <v>50</v>
      </c>
      <c r="K216" s="5" cm="1">
        <f t="array" ref="K216">IFERROR(AVERAGE(IF((OutputTable[GroupByKey]=OutputTable[[#This Row],[GroupByKey]]),(OutputTable[GroupByKey]=OutputTable[[#This Row],[GroupByKey]])*OutputTable[RecordedValue])),0)</f>
        <v>3.62</v>
      </c>
      <c r="L216" s="5" cm="1">
        <f t="array" ref="L216">IFERROR(_xlfn.STDEV.S(IF((OutputTable[GroupByKey]=OutputTable[[#This Row],[GroupByKey]]),(OutputTable[GroupByKey]=OutputTable[[#This Row],[GroupByKey]])*OutputTable[RecordedValue])),0)</f>
        <v>0.77958649426527116</v>
      </c>
      <c r="M216" s="5" cm="1">
        <f t="array" ref="M216">MAX(IF((ProjectInfoTable[ProjectName]=OutputTable[[#This Row],[ProjectName]]),(ProjectInfoTable[ProjectName]=OutputTable[[#This Row],[ProjectName]])*ProjectInfoTable[ConfidenceInterval]))</f>
        <v>0.95</v>
      </c>
      <c r="N2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216" s="5" cm="1">
        <f t="array" ref="O216">MIN(IF((OutputTable[GroupByKey]=OutputTable[[#This Row],[GroupByKey]]),(OutputTable[GroupByKey]=OutputTable[[#This Row],[GroupByKey]])*OutputTable[RecordedValue]))</f>
        <v>2</v>
      </c>
      <c r="P216" s="5" cm="1">
        <f t="array" ref="P216">MAX(IF((OutputTable[GroupByKey]=OutputTable[[#This Row],[GroupByKey]]),(OutputTable[GroupByKey]=OutputTable[[#This Row],[GroupByKey]])*OutputTable[RecordedValue]))</f>
        <v>5</v>
      </c>
    </row>
    <row r="217" spans="1:16" x14ac:dyDescent="0.35">
      <c r="A217" t="s">
        <v>66</v>
      </c>
      <c r="B217" t="s">
        <v>69</v>
      </c>
      <c r="C217">
        <v>44</v>
      </c>
      <c r="D217" t="s">
        <v>88</v>
      </c>
      <c r="E217" t="s">
        <v>89</v>
      </c>
      <c r="F217" t="s">
        <v>72</v>
      </c>
      <c r="G217">
        <v>7</v>
      </c>
      <c r="H217">
        <v>0</v>
      </c>
      <c r="I217" s="5" t="str">
        <f>OutputTable[[#This Row],[ProjectName]]&amp;OutputTable[[#This Row],[Name]]&amp;OutputTable[[#This Row],[Type]]&amp;OutputTable[[#This Row],[Source]]</f>
        <v>Unnamed ProjectArquivos.NumberInNumber InEntity</v>
      </c>
      <c r="J217" s="5" cm="1">
        <f t="array" ref="J217">MAX(IF((ProjectInfoTable[ProjectName]=OutputTable[[#This Row],[ProjectName]]),(ProjectInfoTable[ProjectName]=OutputTable[[#This Row],[ProjectName]])*ProjectInfoTable[NumberOfReplications]))</f>
        <v>50</v>
      </c>
      <c r="K217" s="5" cm="1">
        <f t="array" ref="K217">IFERROR(AVERAGE(IF((OutputTable[GroupByKey]=OutputTable[[#This Row],[GroupByKey]]),(OutputTable[GroupByKey]=OutputTable[[#This Row],[GroupByKey]])*OutputTable[RecordedValue])),0)</f>
        <v>6.48</v>
      </c>
      <c r="L217" s="5" cm="1">
        <f t="array" ref="L217">IFERROR(_xlfn.STDEV.S(IF((OutputTable[GroupByKey]=OutputTable[[#This Row],[GroupByKey]]),(OutputTable[GroupByKey]=OutputTable[[#This Row],[GroupByKey]])*OutputTable[RecordedValue])),0)</f>
        <v>1.7984119979264248</v>
      </c>
      <c r="M217" s="5" cm="1">
        <f t="array" ref="M217">MAX(IF((ProjectInfoTable[ProjectName]=OutputTable[[#This Row],[ProjectName]]),(ProjectInfoTable[ProjectName]=OutputTable[[#This Row],[ProjectName]])*ProjectInfoTable[ConfidenceInterval]))</f>
        <v>0.95</v>
      </c>
      <c r="N2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0.51110303469648288</v>
      </c>
      <c r="O217" s="5" cm="1">
        <f t="array" ref="O217">MIN(IF((OutputTable[GroupByKey]=OutputTable[[#This Row],[GroupByKey]]),(OutputTable[GroupByKey]=OutputTable[[#This Row],[GroupByKey]])*OutputTable[RecordedValue]))</f>
        <v>3</v>
      </c>
      <c r="P217" s="5" cm="1">
        <f t="array" ref="P217">MAX(IF((OutputTable[GroupByKey]=OutputTable[[#This Row],[GroupByKey]]),(OutputTable[GroupByKey]=OutputTable[[#This Row],[GroupByKey]])*OutputTable[RecordedValue]))</f>
        <v>13</v>
      </c>
    </row>
    <row r="218" spans="1:16" x14ac:dyDescent="0.35">
      <c r="A218" t="s">
        <v>66</v>
      </c>
      <c r="B218" t="s">
        <v>69</v>
      </c>
      <c r="C218">
        <v>44</v>
      </c>
      <c r="D218" t="s">
        <v>90</v>
      </c>
      <c r="E218" t="s">
        <v>91</v>
      </c>
      <c r="F218" t="s">
        <v>72</v>
      </c>
      <c r="G218">
        <v>3</v>
      </c>
      <c r="H218">
        <v>0</v>
      </c>
      <c r="I218" s="5" t="str">
        <f>OutputTable[[#This Row],[ProjectName]]&amp;OutputTable[[#This Row],[Name]]&amp;OutputTable[[#This Row],[Type]]&amp;OutputTable[[#This Row],[Source]]</f>
        <v>Unnamed ProjectArquivos.NumberOutNumber OutEntity</v>
      </c>
      <c r="J218" s="5" cm="1">
        <f t="array" ref="J218">MAX(IF((ProjectInfoTable[ProjectName]=OutputTable[[#This Row],[ProjectName]]),(ProjectInfoTable[ProjectName]=OutputTable[[#This Row],[ProjectName]])*ProjectInfoTable[NumberOfReplications]))</f>
        <v>50</v>
      </c>
      <c r="K218" s="5" cm="1">
        <f t="array" ref="K218">IFERROR(AVERAGE(IF((OutputTable[GroupByKey]=OutputTable[[#This Row],[GroupByKey]]),(OutputTable[GroupByKey]=OutputTable[[#This Row],[GroupByKey]])*OutputTable[RecordedValue])),0)</f>
        <v>3.62</v>
      </c>
      <c r="L218" s="5" cm="1">
        <f t="array" ref="L218">IFERROR(_xlfn.STDEV.S(IF((OutputTable[GroupByKey]=OutputTable[[#This Row],[GroupByKey]]),(OutputTable[GroupByKey]=OutputTable[[#This Row],[GroupByKey]])*OutputTable[RecordedValue])),0)</f>
        <v>0.77958649426527116</v>
      </c>
      <c r="M218" s="5" cm="1">
        <f t="array" ref="M218">MAX(IF((ProjectInfoTable[ProjectName]=OutputTable[[#This Row],[ProjectName]]),(ProjectInfoTable[ProjectName]=OutputTable[[#This Row],[ProjectName]])*ProjectInfoTable[ConfidenceInterval]))</f>
        <v>0.95</v>
      </c>
      <c r="N2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218" s="5" cm="1">
        <f t="array" ref="O218">MIN(IF((OutputTable[GroupByKey]=OutputTable[[#This Row],[GroupByKey]]),(OutputTable[GroupByKey]=OutputTable[[#This Row],[GroupByKey]])*OutputTable[RecordedValue]))</f>
        <v>2</v>
      </c>
      <c r="P218" s="5" cm="1">
        <f t="array" ref="P218">MAX(IF((OutputTable[GroupByKey]=OutputTable[[#This Row],[GroupByKey]]),(OutputTable[GroupByKey]=OutputTable[[#This Row],[GroupByKey]])*OutputTable[RecordedValue]))</f>
        <v>5</v>
      </c>
    </row>
    <row r="219" spans="1:16" x14ac:dyDescent="0.35">
      <c r="A219" t="s">
        <v>66</v>
      </c>
      <c r="B219" t="s">
        <v>69</v>
      </c>
      <c r="C219">
        <v>44</v>
      </c>
      <c r="D219" t="s">
        <v>92</v>
      </c>
      <c r="E219" t="s">
        <v>93</v>
      </c>
      <c r="F219" t="s">
        <v>85</v>
      </c>
      <c r="G219">
        <v>4</v>
      </c>
      <c r="H219">
        <v>0</v>
      </c>
      <c r="I219" s="5" t="str">
        <f>OutputTable[[#This Row],[ProjectName]]&amp;OutputTable[[#This Row],[Name]]&amp;OutputTable[[#This Row],[Type]]&amp;OutputTable[[#This Row],[Source]]</f>
        <v>Unnamed ProjectOperador.NumberSeizedTotal Number SeizedResource</v>
      </c>
      <c r="J219" s="5" cm="1">
        <f t="array" ref="J219">MAX(IF((ProjectInfoTable[ProjectName]=OutputTable[[#This Row],[ProjectName]]),(ProjectInfoTable[ProjectName]=OutputTable[[#This Row],[ProjectName]])*ProjectInfoTable[NumberOfReplications]))</f>
        <v>50</v>
      </c>
      <c r="K219" s="5" cm="1">
        <f t="array" ref="K219">IFERROR(AVERAGE(IF((OutputTable[GroupByKey]=OutputTable[[#This Row],[GroupByKey]]),(OutputTable[GroupByKey]=OutputTable[[#This Row],[GroupByKey]])*OutputTable[RecordedValue])),0)</f>
        <v>4.58</v>
      </c>
      <c r="L219" s="5" cm="1">
        <f t="array" ref="L219">IFERROR(_xlfn.STDEV.S(IF((OutputTable[GroupByKey]=OutputTable[[#This Row],[GroupByKey]]),(OutputTable[GroupByKey]=OutputTable[[#This Row],[GroupByKey]])*OutputTable[RecordedValue])),0)</f>
        <v>0.78480466827545059</v>
      </c>
      <c r="M219" s="5" cm="1">
        <f t="array" ref="M219">MAX(IF((ProjectInfoTable[ProjectName]=OutputTable[[#This Row],[ProjectName]]),(ProjectInfoTable[ProjectName]=OutputTable[[#This Row],[ProjectName]])*ProjectInfoTable[ConfidenceInterval]))</f>
        <v>0.95</v>
      </c>
      <c r="N2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0.22303901890225239</v>
      </c>
      <c r="O219" s="5" cm="1">
        <f t="array" ref="O219">MIN(IF((OutputTable[GroupByKey]=OutputTable[[#This Row],[GroupByKey]]),(OutputTable[GroupByKey]=OutputTable[[#This Row],[GroupByKey]])*OutputTable[RecordedValue]))</f>
        <v>3</v>
      </c>
      <c r="P219" s="5" cm="1">
        <f t="array" ref="P219">MAX(IF((OutputTable[GroupByKey]=OutputTable[[#This Row],[GroupByKey]]),(OutputTable[GroupByKey]=OutputTable[[#This Row],[GroupByKey]])*OutputTable[RecordedValue]))</f>
        <v>6</v>
      </c>
    </row>
    <row r="220" spans="1:16" x14ac:dyDescent="0.35">
      <c r="A220" t="s">
        <v>66</v>
      </c>
      <c r="B220" t="s">
        <v>69</v>
      </c>
      <c r="C220">
        <v>44</v>
      </c>
      <c r="D220" t="s">
        <v>94</v>
      </c>
      <c r="E220" t="s">
        <v>95</v>
      </c>
      <c r="F220" t="s">
        <v>85</v>
      </c>
      <c r="G220">
        <v>1</v>
      </c>
      <c r="H220">
        <v>0</v>
      </c>
      <c r="I220" s="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220" s="5" cm="1">
        <f t="array" ref="J220">MAX(IF((ProjectInfoTable[ProjectName]=OutputTable[[#This Row],[ProjectName]]),(ProjectInfoTable[ProjectName]=OutputTable[[#This Row],[ProjectName]])*ProjectInfoTable[NumberOfReplications]))</f>
        <v>50</v>
      </c>
      <c r="K220" s="5" cm="1">
        <f t="array" ref="K220">IFERROR(AVERAGE(IF((OutputTable[GroupByKey]=OutputTable[[#This Row],[GroupByKey]]),(OutputTable[GroupByKey]=OutputTable[[#This Row],[GroupByKey]])*OutputTable[RecordedValue])),0)</f>
        <v>0.92637977941440086</v>
      </c>
      <c r="L220" s="5" cm="1">
        <f t="array" ref="L220">IFERROR(_xlfn.STDEV.S(IF((OutputTable[GroupByKey]=OutputTable[[#This Row],[GroupByKey]]),(OutputTable[GroupByKey]=OutputTable[[#This Row],[GroupByKey]])*OutputTable[RecordedValue])),0)</f>
        <v>0.11789675502181338</v>
      </c>
      <c r="M220" s="5" cm="1">
        <f t="array" ref="M220">MAX(IF((ProjectInfoTable[ProjectName]=OutputTable[[#This Row],[ProjectName]]),(ProjectInfoTable[ProjectName]=OutputTable[[#This Row],[ProjectName]])*ProjectInfoTable[ConfidenceInterval]))</f>
        <v>0.95</v>
      </c>
      <c r="N2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3.350588705034975E-2</v>
      </c>
      <c r="O220" s="5" cm="1">
        <f t="array" ref="O220">MIN(IF((OutputTable[GroupByKey]=OutputTable[[#This Row],[GroupByKey]]),(OutputTable[GroupByKey]=OutputTable[[#This Row],[GroupByKey]])*OutputTable[RecordedValue]))</f>
        <v>0.60846830422583797</v>
      </c>
      <c r="P220" s="5" cm="1">
        <f t="array" ref="P220">MAX(IF((OutputTable[GroupByKey]=OutputTable[[#This Row],[GroupByKey]]),(OutputTable[GroupByKey]=OutputTable[[#This Row],[GroupByKey]])*OutputTable[RecordedValue]))</f>
        <v>1</v>
      </c>
    </row>
    <row r="221" spans="1:16" x14ac:dyDescent="0.35">
      <c r="A221" t="s">
        <v>66</v>
      </c>
      <c r="B221" t="s">
        <v>69</v>
      </c>
      <c r="C221">
        <v>44</v>
      </c>
      <c r="D221" t="s">
        <v>96</v>
      </c>
      <c r="E221" t="s">
        <v>91</v>
      </c>
      <c r="F221" t="s">
        <v>97</v>
      </c>
      <c r="G221">
        <v>3</v>
      </c>
      <c r="H221">
        <v>0</v>
      </c>
      <c r="I221" s="5" t="str">
        <f>OutputTable[[#This Row],[ProjectName]]&amp;OutputTable[[#This Row],[Name]]&amp;OutputTable[[#This Row],[Type]]&amp;OutputTable[[#This Row],[Source]]</f>
        <v>Unnamed ProjectSystem.NumberOutNumber OutSystem</v>
      </c>
      <c r="J221" s="5" cm="1">
        <f t="array" ref="J221">MAX(IF((ProjectInfoTable[ProjectName]=OutputTable[[#This Row],[ProjectName]]),(ProjectInfoTable[ProjectName]=OutputTable[[#This Row],[ProjectName]])*ProjectInfoTable[NumberOfReplications]))</f>
        <v>50</v>
      </c>
      <c r="K221" s="5" cm="1">
        <f t="array" ref="K221">IFERROR(AVERAGE(IF((OutputTable[GroupByKey]=OutputTable[[#This Row],[GroupByKey]]),(OutputTable[GroupByKey]=OutputTable[[#This Row],[GroupByKey]])*OutputTable[RecordedValue])),0)</f>
        <v>3.62</v>
      </c>
      <c r="L221" s="5" cm="1">
        <f t="array" ref="L221">IFERROR(_xlfn.STDEV.S(IF((OutputTable[GroupByKey]=OutputTable[[#This Row],[GroupByKey]]),(OutputTable[GroupByKey]=OutputTable[[#This Row],[GroupByKey]])*OutputTable[RecordedValue])),0)</f>
        <v>0.77958649426527116</v>
      </c>
      <c r="M221" s="5" cm="1">
        <f t="array" ref="M221">MAX(IF((ProjectInfoTable[ProjectName]=OutputTable[[#This Row],[ProjectName]]),(ProjectInfoTable[ProjectName]=OutputTable[[#This Row],[ProjectName]])*ProjectInfoTable[ConfidenceInterval]))</f>
        <v>0.95</v>
      </c>
      <c r="N2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221" s="5" cm="1">
        <f t="array" ref="O221">MIN(IF((OutputTable[GroupByKey]=OutputTable[[#This Row],[GroupByKey]]),(OutputTable[GroupByKey]=OutputTable[[#This Row],[GroupByKey]])*OutputTable[RecordedValue]))</f>
        <v>2</v>
      </c>
      <c r="P221" s="5" cm="1">
        <f t="array" ref="P221">MAX(IF((OutputTable[GroupByKey]=OutputTable[[#This Row],[GroupByKey]]),(OutputTable[GroupByKey]=OutputTable[[#This Row],[GroupByKey]])*OutputTable[RecordedValue]))</f>
        <v>5</v>
      </c>
    </row>
    <row r="222" spans="1:16" x14ac:dyDescent="0.35">
      <c r="A222" t="s">
        <v>66</v>
      </c>
      <c r="B222" t="s">
        <v>69</v>
      </c>
      <c r="C222">
        <v>45</v>
      </c>
      <c r="D222" t="s">
        <v>88</v>
      </c>
      <c r="E222" t="s">
        <v>89</v>
      </c>
      <c r="F222" t="s">
        <v>72</v>
      </c>
      <c r="G222">
        <v>4</v>
      </c>
      <c r="H222">
        <v>0</v>
      </c>
      <c r="I222" s="5" t="str">
        <f>OutputTable[[#This Row],[ProjectName]]&amp;OutputTable[[#This Row],[Name]]&amp;OutputTable[[#This Row],[Type]]&amp;OutputTable[[#This Row],[Source]]</f>
        <v>Unnamed ProjectArquivos.NumberInNumber InEntity</v>
      </c>
      <c r="J222" s="5" cm="1">
        <f t="array" ref="J222">MAX(IF((ProjectInfoTable[ProjectName]=OutputTable[[#This Row],[ProjectName]]),(ProjectInfoTable[ProjectName]=OutputTable[[#This Row],[ProjectName]])*ProjectInfoTable[NumberOfReplications]))</f>
        <v>50</v>
      </c>
      <c r="K222" s="5" cm="1">
        <f t="array" ref="K222">IFERROR(AVERAGE(IF((OutputTable[GroupByKey]=OutputTable[[#This Row],[GroupByKey]]),(OutputTable[GroupByKey]=OutputTable[[#This Row],[GroupByKey]])*OutputTable[RecordedValue])),0)</f>
        <v>6.48</v>
      </c>
      <c r="L222" s="5" cm="1">
        <f t="array" ref="L222">IFERROR(_xlfn.STDEV.S(IF((OutputTable[GroupByKey]=OutputTable[[#This Row],[GroupByKey]]),(OutputTable[GroupByKey]=OutputTable[[#This Row],[GroupByKey]])*OutputTable[RecordedValue])),0)</f>
        <v>1.7984119979264248</v>
      </c>
      <c r="M222" s="5" cm="1">
        <f t="array" ref="M222">MAX(IF((ProjectInfoTable[ProjectName]=OutputTable[[#This Row],[ProjectName]]),(ProjectInfoTable[ProjectName]=OutputTable[[#This Row],[ProjectName]])*ProjectInfoTable[ConfidenceInterval]))</f>
        <v>0.95</v>
      </c>
      <c r="N2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0.51110303469648288</v>
      </c>
      <c r="O222" s="5" cm="1">
        <f t="array" ref="O222">MIN(IF((OutputTable[GroupByKey]=OutputTable[[#This Row],[GroupByKey]]),(OutputTable[GroupByKey]=OutputTable[[#This Row],[GroupByKey]])*OutputTable[RecordedValue]))</f>
        <v>3</v>
      </c>
      <c r="P222" s="5" cm="1">
        <f t="array" ref="P222">MAX(IF((OutputTable[GroupByKey]=OutputTable[[#This Row],[GroupByKey]]),(OutputTable[GroupByKey]=OutputTable[[#This Row],[GroupByKey]])*OutputTable[RecordedValue]))</f>
        <v>13</v>
      </c>
    </row>
    <row r="223" spans="1:16" x14ac:dyDescent="0.35">
      <c r="A223" t="s">
        <v>66</v>
      </c>
      <c r="B223" t="s">
        <v>69</v>
      </c>
      <c r="C223">
        <v>45</v>
      </c>
      <c r="D223" t="s">
        <v>90</v>
      </c>
      <c r="E223" t="s">
        <v>91</v>
      </c>
      <c r="F223" t="s">
        <v>72</v>
      </c>
      <c r="G223">
        <v>4</v>
      </c>
      <c r="H223">
        <v>0</v>
      </c>
      <c r="I223" s="5" t="str">
        <f>OutputTable[[#This Row],[ProjectName]]&amp;OutputTable[[#This Row],[Name]]&amp;OutputTable[[#This Row],[Type]]&amp;OutputTable[[#This Row],[Source]]</f>
        <v>Unnamed ProjectArquivos.NumberOutNumber OutEntity</v>
      </c>
      <c r="J223" s="5" cm="1">
        <f t="array" ref="J223">MAX(IF((ProjectInfoTable[ProjectName]=OutputTable[[#This Row],[ProjectName]]),(ProjectInfoTable[ProjectName]=OutputTable[[#This Row],[ProjectName]])*ProjectInfoTable[NumberOfReplications]))</f>
        <v>50</v>
      </c>
      <c r="K223" s="5" cm="1">
        <f t="array" ref="K223">IFERROR(AVERAGE(IF((OutputTable[GroupByKey]=OutputTable[[#This Row],[GroupByKey]]),(OutputTable[GroupByKey]=OutputTable[[#This Row],[GroupByKey]])*OutputTable[RecordedValue])),0)</f>
        <v>3.62</v>
      </c>
      <c r="L223" s="5" cm="1">
        <f t="array" ref="L223">IFERROR(_xlfn.STDEV.S(IF((OutputTable[GroupByKey]=OutputTable[[#This Row],[GroupByKey]]),(OutputTable[GroupByKey]=OutputTable[[#This Row],[GroupByKey]])*OutputTable[RecordedValue])),0)</f>
        <v>0.77958649426527116</v>
      </c>
      <c r="M223" s="5" cm="1">
        <f t="array" ref="M223">MAX(IF((ProjectInfoTable[ProjectName]=OutputTable[[#This Row],[ProjectName]]),(ProjectInfoTable[ProjectName]=OutputTable[[#This Row],[ProjectName]])*ProjectInfoTable[ConfidenceInterval]))</f>
        <v>0.95</v>
      </c>
      <c r="N2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223" s="5" cm="1">
        <f t="array" ref="O223">MIN(IF((OutputTable[GroupByKey]=OutputTable[[#This Row],[GroupByKey]]),(OutputTable[GroupByKey]=OutputTable[[#This Row],[GroupByKey]])*OutputTable[RecordedValue]))</f>
        <v>2</v>
      </c>
      <c r="P223" s="5" cm="1">
        <f t="array" ref="P223">MAX(IF((OutputTable[GroupByKey]=OutputTable[[#This Row],[GroupByKey]]),(OutputTable[GroupByKey]=OutputTable[[#This Row],[GroupByKey]])*OutputTable[RecordedValue]))</f>
        <v>5</v>
      </c>
    </row>
    <row r="224" spans="1:16" x14ac:dyDescent="0.35">
      <c r="A224" t="s">
        <v>66</v>
      </c>
      <c r="B224" t="s">
        <v>69</v>
      </c>
      <c r="C224">
        <v>45</v>
      </c>
      <c r="D224" t="s">
        <v>92</v>
      </c>
      <c r="E224" t="s">
        <v>93</v>
      </c>
      <c r="F224" t="s">
        <v>85</v>
      </c>
      <c r="G224">
        <v>4</v>
      </c>
      <c r="H224">
        <v>0</v>
      </c>
      <c r="I224" s="5" t="str">
        <f>OutputTable[[#This Row],[ProjectName]]&amp;OutputTable[[#This Row],[Name]]&amp;OutputTable[[#This Row],[Type]]&amp;OutputTable[[#This Row],[Source]]</f>
        <v>Unnamed ProjectOperador.NumberSeizedTotal Number SeizedResource</v>
      </c>
      <c r="J224" s="5" cm="1">
        <f t="array" ref="J224">MAX(IF((ProjectInfoTable[ProjectName]=OutputTable[[#This Row],[ProjectName]]),(ProjectInfoTable[ProjectName]=OutputTable[[#This Row],[ProjectName]])*ProjectInfoTable[NumberOfReplications]))</f>
        <v>50</v>
      </c>
      <c r="K224" s="5" cm="1">
        <f t="array" ref="K224">IFERROR(AVERAGE(IF((OutputTable[GroupByKey]=OutputTable[[#This Row],[GroupByKey]]),(OutputTable[GroupByKey]=OutputTable[[#This Row],[GroupByKey]])*OutputTable[RecordedValue])),0)</f>
        <v>4.58</v>
      </c>
      <c r="L224" s="5" cm="1">
        <f t="array" ref="L224">IFERROR(_xlfn.STDEV.S(IF((OutputTable[GroupByKey]=OutputTable[[#This Row],[GroupByKey]]),(OutputTable[GroupByKey]=OutputTable[[#This Row],[GroupByKey]])*OutputTable[RecordedValue])),0)</f>
        <v>0.78480466827545059</v>
      </c>
      <c r="M224" s="5" cm="1">
        <f t="array" ref="M224">MAX(IF((ProjectInfoTable[ProjectName]=OutputTable[[#This Row],[ProjectName]]),(ProjectInfoTable[ProjectName]=OutputTable[[#This Row],[ProjectName]])*ProjectInfoTable[ConfidenceInterval]))</f>
        <v>0.95</v>
      </c>
      <c r="N2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0.22303901890225239</v>
      </c>
      <c r="O224" s="5" cm="1">
        <f t="array" ref="O224">MIN(IF((OutputTable[GroupByKey]=OutputTable[[#This Row],[GroupByKey]]),(OutputTable[GroupByKey]=OutputTable[[#This Row],[GroupByKey]])*OutputTable[RecordedValue]))</f>
        <v>3</v>
      </c>
      <c r="P224" s="5" cm="1">
        <f t="array" ref="P224">MAX(IF((OutputTable[GroupByKey]=OutputTable[[#This Row],[GroupByKey]]),(OutputTable[GroupByKey]=OutputTable[[#This Row],[GroupByKey]])*OutputTable[RecordedValue]))</f>
        <v>6</v>
      </c>
    </row>
    <row r="225" spans="1:16" x14ac:dyDescent="0.35">
      <c r="A225" t="s">
        <v>66</v>
      </c>
      <c r="B225" t="s">
        <v>69</v>
      </c>
      <c r="C225">
        <v>45</v>
      </c>
      <c r="D225" t="s">
        <v>94</v>
      </c>
      <c r="E225" t="s">
        <v>95</v>
      </c>
      <c r="F225" t="s">
        <v>85</v>
      </c>
      <c r="G225">
        <v>0.61954068660996098</v>
      </c>
      <c r="H225">
        <v>0</v>
      </c>
      <c r="I225" s="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225" s="5" cm="1">
        <f t="array" ref="J225">MAX(IF((ProjectInfoTable[ProjectName]=OutputTable[[#This Row],[ProjectName]]),(ProjectInfoTable[ProjectName]=OutputTable[[#This Row],[ProjectName]])*ProjectInfoTable[NumberOfReplications]))</f>
        <v>50</v>
      </c>
      <c r="K225" s="5" cm="1">
        <f t="array" ref="K225">IFERROR(AVERAGE(IF((OutputTable[GroupByKey]=OutputTable[[#This Row],[GroupByKey]]),(OutputTable[GroupByKey]=OutputTable[[#This Row],[GroupByKey]])*OutputTable[RecordedValue])),0)</f>
        <v>0.92637977941440086</v>
      </c>
      <c r="L225" s="5" cm="1">
        <f t="array" ref="L225">IFERROR(_xlfn.STDEV.S(IF((OutputTable[GroupByKey]=OutputTable[[#This Row],[GroupByKey]]),(OutputTable[GroupByKey]=OutputTable[[#This Row],[GroupByKey]])*OutputTable[RecordedValue])),0)</f>
        <v>0.11789675502181338</v>
      </c>
      <c r="M225" s="5" cm="1">
        <f t="array" ref="M225">MAX(IF((ProjectInfoTable[ProjectName]=OutputTable[[#This Row],[ProjectName]]),(ProjectInfoTable[ProjectName]=OutputTable[[#This Row],[ProjectName]])*ProjectInfoTable[ConfidenceInterval]))</f>
        <v>0.95</v>
      </c>
      <c r="N2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3.350588705034975E-2</v>
      </c>
      <c r="O225" s="5" cm="1">
        <f t="array" ref="O225">MIN(IF((OutputTable[GroupByKey]=OutputTable[[#This Row],[GroupByKey]]),(OutputTable[GroupByKey]=OutputTable[[#This Row],[GroupByKey]])*OutputTable[RecordedValue]))</f>
        <v>0.60846830422583797</v>
      </c>
      <c r="P225" s="5" cm="1">
        <f t="array" ref="P225">MAX(IF((OutputTable[GroupByKey]=OutputTable[[#This Row],[GroupByKey]]),(OutputTable[GroupByKey]=OutputTable[[#This Row],[GroupByKey]])*OutputTable[RecordedValue]))</f>
        <v>1</v>
      </c>
    </row>
    <row r="226" spans="1:16" x14ac:dyDescent="0.35">
      <c r="A226" t="s">
        <v>66</v>
      </c>
      <c r="B226" t="s">
        <v>69</v>
      </c>
      <c r="C226">
        <v>45</v>
      </c>
      <c r="D226" t="s">
        <v>96</v>
      </c>
      <c r="E226" t="s">
        <v>91</v>
      </c>
      <c r="F226" t="s">
        <v>97</v>
      </c>
      <c r="G226">
        <v>4</v>
      </c>
      <c r="H226">
        <v>0</v>
      </c>
      <c r="I226" s="5" t="str">
        <f>OutputTable[[#This Row],[ProjectName]]&amp;OutputTable[[#This Row],[Name]]&amp;OutputTable[[#This Row],[Type]]&amp;OutputTable[[#This Row],[Source]]</f>
        <v>Unnamed ProjectSystem.NumberOutNumber OutSystem</v>
      </c>
      <c r="J226" s="5" cm="1">
        <f t="array" ref="J226">MAX(IF((ProjectInfoTable[ProjectName]=OutputTable[[#This Row],[ProjectName]]),(ProjectInfoTable[ProjectName]=OutputTable[[#This Row],[ProjectName]])*ProjectInfoTable[NumberOfReplications]))</f>
        <v>50</v>
      </c>
      <c r="K226" s="5" cm="1">
        <f t="array" ref="K226">IFERROR(AVERAGE(IF((OutputTable[GroupByKey]=OutputTable[[#This Row],[GroupByKey]]),(OutputTable[GroupByKey]=OutputTable[[#This Row],[GroupByKey]])*OutputTable[RecordedValue])),0)</f>
        <v>3.62</v>
      </c>
      <c r="L226" s="5" cm="1">
        <f t="array" ref="L226">IFERROR(_xlfn.STDEV.S(IF((OutputTable[GroupByKey]=OutputTable[[#This Row],[GroupByKey]]),(OutputTable[GroupByKey]=OutputTable[[#This Row],[GroupByKey]])*OutputTable[RecordedValue])),0)</f>
        <v>0.77958649426527116</v>
      </c>
      <c r="M226" s="5" cm="1">
        <f t="array" ref="M226">MAX(IF((ProjectInfoTable[ProjectName]=OutputTable[[#This Row],[ProjectName]]),(ProjectInfoTable[ProjectName]=OutputTable[[#This Row],[ProjectName]])*ProjectInfoTable[ConfidenceInterval]))</f>
        <v>0.95</v>
      </c>
      <c r="N2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226" s="5" cm="1">
        <f t="array" ref="O226">MIN(IF((OutputTable[GroupByKey]=OutputTable[[#This Row],[GroupByKey]]),(OutputTable[GroupByKey]=OutputTable[[#This Row],[GroupByKey]])*OutputTable[RecordedValue]))</f>
        <v>2</v>
      </c>
      <c r="P226" s="5" cm="1">
        <f t="array" ref="P226">MAX(IF((OutputTable[GroupByKey]=OutputTable[[#This Row],[GroupByKey]]),(OutputTable[GroupByKey]=OutputTable[[#This Row],[GroupByKey]])*OutputTable[RecordedValue]))</f>
        <v>5</v>
      </c>
    </row>
    <row r="227" spans="1:16" x14ac:dyDescent="0.35">
      <c r="A227" t="s">
        <v>66</v>
      </c>
      <c r="B227" t="s">
        <v>69</v>
      </c>
      <c r="C227">
        <v>46</v>
      </c>
      <c r="D227" t="s">
        <v>88</v>
      </c>
      <c r="E227" t="s">
        <v>89</v>
      </c>
      <c r="F227" t="s">
        <v>72</v>
      </c>
      <c r="G227">
        <v>5</v>
      </c>
      <c r="H227">
        <v>0</v>
      </c>
      <c r="I227" s="5" t="str">
        <f>OutputTable[[#This Row],[ProjectName]]&amp;OutputTable[[#This Row],[Name]]&amp;OutputTable[[#This Row],[Type]]&amp;OutputTable[[#This Row],[Source]]</f>
        <v>Unnamed ProjectArquivos.NumberInNumber InEntity</v>
      </c>
      <c r="J227" s="5" cm="1">
        <f t="array" ref="J227">MAX(IF((ProjectInfoTable[ProjectName]=OutputTable[[#This Row],[ProjectName]]),(ProjectInfoTable[ProjectName]=OutputTable[[#This Row],[ProjectName]])*ProjectInfoTable[NumberOfReplications]))</f>
        <v>50</v>
      </c>
      <c r="K227" s="5" cm="1">
        <f t="array" ref="K227">IFERROR(AVERAGE(IF((OutputTable[GroupByKey]=OutputTable[[#This Row],[GroupByKey]]),(OutputTable[GroupByKey]=OutputTable[[#This Row],[GroupByKey]])*OutputTable[RecordedValue])),0)</f>
        <v>6.48</v>
      </c>
      <c r="L227" s="5" cm="1">
        <f t="array" ref="L227">IFERROR(_xlfn.STDEV.S(IF((OutputTable[GroupByKey]=OutputTable[[#This Row],[GroupByKey]]),(OutputTable[GroupByKey]=OutputTable[[#This Row],[GroupByKey]])*OutputTable[RecordedValue])),0)</f>
        <v>1.7984119979264248</v>
      </c>
      <c r="M227" s="5" cm="1">
        <f t="array" ref="M227">MAX(IF((ProjectInfoTable[ProjectName]=OutputTable[[#This Row],[ProjectName]]),(ProjectInfoTable[ProjectName]=OutputTable[[#This Row],[ProjectName]])*ProjectInfoTable[ConfidenceInterval]))</f>
        <v>0.95</v>
      </c>
      <c r="N2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0.51110303469648288</v>
      </c>
      <c r="O227" s="5" cm="1">
        <f t="array" ref="O227">MIN(IF((OutputTable[GroupByKey]=OutputTable[[#This Row],[GroupByKey]]),(OutputTable[GroupByKey]=OutputTable[[#This Row],[GroupByKey]])*OutputTable[RecordedValue]))</f>
        <v>3</v>
      </c>
      <c r="P227" s="5" cm="1">
        <f t="array" ref="P227">MAX(IF((OutputTable[GroupByKey]=OutputTable[[#This Row],[GroupByKey]]),(OutputTable[GroupByKey]=OutputTable[[#This Row],[GroupByKey]])*OutputTable[RecordedValue]))</f>
        <v>13</v>
      </c>
    </row>
    <row r="228" spans="1:16" x14ac:dyDescent="0.35">
      <c r="A228" t="s">
        <v>66</v>
      </c>
      <c r="B228" t="s">
        <v>69</v>
      </c>
      <c r="C228">
        <v>46</v>
      </c>
      <c r="D228" t="s">
        <v>90</v>
      </c>
      <c r="E228" t="s">
        <v>91</v>
      </c>
      <c r="F228" t="s">
        <v>72</v>
      </c>
      <c r="G228">
        <v>2</v>
      </c>
      <c r="H228">
        <v>0</v>
      </c>
      <c r="I228" s="5" t="str">
        <f>OutputTable[[#This Row],[ProjectName]]&amp;OutputTable[[#This Row],[Name]]&amp;OutputTable[[#This Row],[Type]]&amp;OutputTable[[#This Row],[Source]]</f>
        <v>Unnamed ProjectArquivos.NumberOutNumber OutEntity</v>
      </c>
      <c r="J228" s="5" cm="1">
        <f t="array" ref="J228">MAX(IF((ProjectInfoTable[ProjectName]=OutputTable[[#This Row],[ProjectName]]),(ProjectInfoTable[ProjectName]=OutputTable[[#This Row],[ProjectName]])*ProjectInfoTable[NumberOfReplications]))</f>
        <v>50</v>
      </c>
      <c r="K228" s="5" cm="1">
        <f t="array" ref="K228">IFERROR(AVERAGE(IF((OutputTable[GroupByKey]=OutputTable[[#This Row],[GroupByKey]]),(OutputTable[GroupByKey]=OutputTable[[#This Row],[GroupByKey]])*OutputTable[RecordedValue])),0)</f>
        <v>3.62</v>
      </c>
      <c r="L228" s="5" cm="1">
        <f t="array" ref="L228">IFERROR(_xlfn.STDEV.S(IF((OutputTable[GroupByKey]=OutputTable[[#This Row],[GroupByKey]]),(OutputTable[GroupByKey]=OutputTable[[#This Row],[GroupByKey]])*OutputTable[RecordedValue])),0)</f>
        <v>0.77958649426527116</v>
      </c>
      <c r="M228" s="5" cm="1">
        <f t="array" ref="M228">MAX(IF((ProjectInfoTable[ProjectName]=OutputTable[[#This Row],[ProjectName]]),(ProjectInfoTable[ProjectName]=OutputTable[[#This Row],[ProjectName]])*ProjectInfoTable[ConfidenceInterval]))</f>
        <v>0.95</v>
      </c>
      <c r="N2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228" s="5" cm="1">
        <f t="array" ref="O228">MIN(IF((OutputTable[GroupByKey]=OutputTable[[#This Row],[GroupByKey]]),(OutputTable[GroupByKey]=OutputTable[[#This Row],[GroupByKey]])*OutputTable[RecordedValue]))</f>
        <v>2</v>
      </c>
      <c r="P228" s="5" cm="1">
        <f t="array" ref="P228">MAX(IF((OutputTable[GroupByKey]=OutputTable[[#This Row],[GroupByKey]]),(OutputTable[GroupByKey]=OutputTable[[#This Row],[GroupByKey]])*OutputTable[RecordedValue]))</f>
        <v>5</v>
      </c>
    </row>
    <row r="229" spans="1:16" x14ac:dyDescent="0.35">
      <c r="A229" t="s">
        <v>66</v>
      </c>
      <c r="B229" t="s">
        <v>69</v>
      </c>
      <c r="C229">
        <v>46</v>
      </c>
      <c r="D229" t="s">
        <v>92</v>
      </c>
      <c r="E229" t="s">
        <v>93</v>
      </c>
      <c r="F229" t="s">
        <v>85</v>
      </c>
      <c r="G229">
        <v>3</v>
      </c>
      <c r="H229">
        <v>0</v>
      </c>
      <c r="I229" s="5" t="str">
        <f>OutputTable[[#This Row],[ProjectName]]&amp;OutputTable[[#This Row],[Name]]&amp;OutputTable[[#This Row],[Type]]&amp;OutputTable[[#This Row],[Source]]</f>
        <v>Unnamed ProjectOperador.NumberSeizedTotal Number SeizedResource</v>
      </c>
      <c r="J229" s="5" cm="1">
        <f t="array" ref="J229">MAX(IF((ProjectInfoTable[ProjectName]=OutputTable[[#This Row],[ProjectName]]),(ProjectInfoTable[ProjectName]=OutputTable[[#This Row],[ProjectName]])*ProjectInfoTable[NumberOfReplications]))</f>
        <v>50</v>
      </c>
      <c r="K229" s="5" cm="1">
        <f t="array" ref="K229">IFERROR(AVERAGE(IF((OutputTable[GroupByKey]=OutputTable[[#This Row],[GroupByKey]]),(OutputTable[GroupByKey]=OutputTable[[#This Row],[GroupByKey]])*OutputTable[RecordedValue])),0)</f>
        <v>4.58</v>
      </c>
      <c r="L229" s="5" cm="1">
        <f t="array" ref="L229">IFERROR(_xlfn.STDEV.S(IF((OutputTable[GroupByKey]=OutputTable[[#This Row],[GroupByKey]]),(OutputTable[GroupByKey]=OutputTable[[#This Row],[GroupByKey]])*OutputTable[RecordedValue])),0)</f>
        <v>0.78480466827545059</v>
      </c>
      <c r="M229" s="5" cm="1">
        <f t="array" ref="M229">MAX(IF((ProjectInfoTable[ProjectName]=OutputTable[[#This Row],[ProjectName]]),(ProjectInfoTable[ProjectName]=OutputTable[[#This Row],[ProjectName]])*ProjectInfoTable[ConfidenceInterval]))</f>
        <v>0.95</v>
      </c>
      <c r="N2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0.22303901890225239</v>
      </c>
      <c r="O229" s="5" cm="1">
        <f t="array" ref="O229">MIN(IF((OutputTable[GroupByKey]=OutputTable[[#This Row],[GroupByKey]]),(OutputTable[GroupByKey]=OutputTable[[#This Row],[GroupByKey]])*OutputTable[RecordedValue]))</f>
        <v>3</v>
      </c>
      <c r="P229" s="5" cm="1">
        <f t="array" ref="P229">MAX(IF((OutputTable[GroupByKey]=OutputTable[[#This Row],[GroupByKey]]),(OutputTable[GroupByKey]=OutputTable[[#This Row],[GroupByKey]])*OutputTable[RecordedValue]))</f>
        <v>6</v>
      </c>
    </row>
    <row r="230" spans="1:16" x14ac:dyDescent="0.35">
      <c r="A230" t="s">
        <v>66</v>
      </c>
      <c r="B230" t="s">
        <v>69</v>
      </c>
      <c r="C230">
        <v>46</v>
      </c>
      <c r="D230" t="s">
        <v>94</v>
      </c>
      <c r="E230" t="s">
        <v>95</v>
      </c>
      <c r="F230" t="s">
        <v>85</v>
      </c>
      <c r="G230">
        <v>0.60846830422583797</v>
      </c>
      <c r="H230">
        <v>0</v>
      </c>
      <c r="I230" s="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230" s="5" cm="1">
        <f t="array" ref="J230">MAX(IF((ProjectInfoTable[ProjectName]=OutputTable[[#This Row],[ProjectName]]),(ProjectInfoTable[ProjectName]=OutputTable[[#This Row],[ProjectName]])*ProjectInfoTable[NumberOfReplications]))</f>
        <v>50</v>
      </c>
      <c r="K230" s="5" cm="1">
        <f t="array" ref="K230">IFERROR(AVERAGE(IF((OutputTable[GroupByKey]=OutputTable[[#This Row],[GroupByKey]]),(OutputTable[GroupByKey]=OutputTable[[#This Row],[GroupByKey]])*OutputTable[RecordedValue])),0)</f>
        <v>0.92637977941440086</v>
      </c>
      <c r="L230" s="5" cm="1">
        <f t="array" ref="L230">IFERROR(_xlfn.STDEV.S(IF((OutputTable[GroupByKey]=OutputTable[[#This Row],[GroupByKey]]),(OutputTable[GroupByKey]=OutputTable[[#This Row],[GroupByKey]])*OutputTable[RecordedValue])),0)</f>
        <v>0.11789675502181338</v>
      </c>
      <c r="M230" s="5" cm="1">
        <f t="array" ref="M230">MAX(IF((ProjectInfoTable[ProjectName]=OutputTable[[#This Row],[ProjectName]]),(ProjectInfoTable[ProjectName]=OutputTable[[#This Row],[ProjectName]])*ProjectInfoTable[ConfidenceInterval]))</f>
        <v>0.95</v>
      </c>
      <c r="N2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3.350588705034975E-2</v>
      </c>
      <c r="O230" s="5" cm="1">
        <f t="array" ref="O230">MIN(IF((OutputTable[GroupByKey]=OutputTable[[#This Row],[GroupByKey]]),(OutputTable[GroupByKey]=OutputTable[[#This Row],[GroupByKey]])*OutputTable[RecordedValue]))</f>
        <v>0.60846830422583797</v>
      </c>
      <c r="P230" s="5" cm="1">
        <f t="array" ref="P230">MAX(IF((OutputTable[GroupByKey]=OutputTable[[#This Row],[GroupByKey]]),(OutputTable[GroupByKey]=OutputTable[[#This Row],[GroupByKey]])*OutputTable[RecordedValue]))</f>
        <v>1</v>
      </c>
    </row>
    <row r="231" spans="1:16" x14ac:dyDescent="0.35">
      <c r="A231" t="s">
        <v>66</v>
      </c>
      <c r="B231" t="s">
        <v>69</v>
      </c>
      <c r="C231">
        <v>46</v>
      </c>
      <c r="D231" t="s">
        <v>96</v>
      </c>
      <c r="E231" t="s">
        <v>91</v>
      </c>
      <c r="F231" t="s">
        <v>97</v>
      </c>
      <c r="G231">
        <v>2</v>
      </c>
      <c r="H231">
        <v>0</v>
      </c>
      <c r="I231" s="5" t="str">
        <f>OutputTable[[#This Row],[ProjectName]]&amp;OutputTable[[#This Row],[Name]]&amp;OutputTable[[#This Row],[Type]]&amp;OutputTable[[#This Row],[Source]]</f>
        <v>Unnamed ProjectSystem.NumberOutNumber OutSystem</v>
      </c>
      <c r="J231" s="5" cm="1">
        <f t="array" ref="J231">MAX(IF((ProjectInfoTable[ProjectName]=OutputTable[[#This Row],[ProjectName]]),(ProjectInfoTable[ProjectName]=OutputTable[[#This Row],[ProjectName]])*ProjectInfoTable[NumberOfReplications]))</f>
        <v>50</v>
      </c>
      <c r="K231" s="5" cm="1">
        <f t="array" ref="K231">IFERROR(AVERAGE(IF((OutputTable[GroupByKey]=OutputTable[[#This Row],[GroupByKey]]),(OutputTable[GroupByKey]=OutputTable[[#This Row],[GroupByKey]])*OutputTable[RecordedValue])),0)</f>
        <v>3.62</v>
      </c>
      <c r="L231" s="5" cm="1">
        <f t="array" ref="L231">IFERROR(_xlfn.STDEV.S(IF((OutputTable[GroupByKey]=OutputTable[[#This Row],[GroupByKey]]),(OutputTable[GroupByKey]=OutputTable[[#This Row],[GroupByKey]])*OutputTable[RecordedValue])),0)</f>
        <v>0.77958649426527116</v>
      </c>
      <c r="M231" s="5" cm="1">
        <f t="array" ref="M231">MAX(IF((ProjectInfoTable[ProjectName]=OutputTable[[#This Row],[ProjectName]]),(ProjectInfoTable[ProjectName]=OutputTable[[#This Row],[ProjectName]])*ProjectInfoTable[ConfidenceInterval]))</f>
        <v>0.95</v>
      </c>
      <c r="N2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231" s="5" cm="1">
        <f t="array" ref="O231">MIN(IF((OutputTable[GroupByKey]=OutputTable[[#This Row],[GroupByKey]]),(OutputTable[GroupByKey]=OutputTable[[#This Row],[GroupByKey]])*OutputTable[RecordedValue]))</f>
        <v>2</v>
      </c>
      <c r="P231" s="5" cm="1">
        <f t="array" ref="P231">MAX(IF((OutputTable[GroupByKey]=OutputTable[[#This Row],[GroupByKey]]),(OutputTable[GroupByKey]=OutputTable[[#This Row],[GroupByKey]])*OutputTable[RecordedValue]))</f>
        <v>5</v>
      </c>
    </row>
    <row r="232" spans="1:16" x14ac:dyDescent="0.35">
      <c r="A232" t="s">
        <v>66</v>
      </c>
      <c r="B232" t="s">
        <v>69</v>
      </c>
      <c r="C232">
        <v>47</v>
      </c>
      <c r="D232" t="s">
        <v>88</v>
      </c>
      <c r="E232" t="s">
        <v>89</v>
      </c>
      <c r="F232" t="s">
        <v>72</v>
      </c>
      <c r="G232">
        <v>6</v>
      </c>
      <c r="H232">
        <v>0</v>
      </c>
      <c r="I232" s="5" t="str">
        <f>OutputTable[[#This Row],[ProjectName]]&amp;OutputTable[[#This Row],[Name]]&amp;OutputTable[[#This Row],[Type]]&amp;OutputTable[[#This Row],[Source]]</f>
        <v>Unnamed ProjectArquivos.NumberInNumber InEntity</v>
      </c>
      <c r="J232" s="5" cm="1">
        <f t="array" ref="J232">MAX(IF((ProjectInfoTable[ProjectName]=OutputTable[[#This Row],[ProjectName]]),(ProjectInfoTable[ProjectName]=OutputTable[[#This Row],[ProjectName]])*ProjectInfoTable[NumberOfReplications]))</f>
        <v>50</v>
      </c>
      <c r="K232" s="5" cm="1">
        <f t="array" ref="K232">IFERROR(AVERAGE(IF((OutputTable[GroupByKey]=OutputTable[[#This Row],[GroupByKey]]),(OutputTable[GroupByKey]=OutputTable[[#This Row],[GroupByKey]])*OutputTable[RecordedValue])),0)</f>
        <v>6.48</v>
      </c>
      <c r="L232" s="5" cm="1">
        <f t="array" ref="L232">IFERROR(_xlfn.STDEV.S(IF((OutputTable[GroupByKey]=OutputTable[[#This Row],[GroupByKey]]),(OutputTable[GroupByKey]=OutputTable[[#This Row],[GroupByKey]])*OutputTable[RecordedValue])),0)</f>
        <v>1.7984119979264248</v>
      </c>
      <c r="M232" s="5" cm="1">
        <f t="array" ref="M232">MAX(IF((ProjectInfoTable[ProjectName]=OutputTable[[#This Row],[ProjectName]]),(ProjectInfoTable[ProjectName]=OutputTable[[#This Row],[ProjectName]])*ProjectInfoTable[ConfidenceInterval]))</f>
        <v>0.95</v>
      </c>
      <c r="N2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0.51110303469648288</v>
      </c>
      <c r="O232" s="5" cm="1">
        <f t="array" ref="O232">MIN(IF((OutputTable[GroupByKey]=OutputTable[[#This Row],[GroupByKey]]),(OutputTable[GroupByKey]=OutputTable[[#This Row],[GroupByKey]])*OutputTable[RecordedValue]))</f>
        <v>3</v>
      </c>
      <c r="P232" s="5" cm="1">
        <f t="array" ref="P232">MAX(IF((OutputTable[GroupByKey]=OutputTable[[#This Row],[GroupByKey]]),(OutputTable[GroupByKey]=OutputTable[[#This Row],[GroupByKey]])*OutputTable[RecordedValue]))</f>
        <v>13</v>
      </c>
    </row>
    <row r="233" spans="1:16" x14ac:dyDescent="0.35">
      <c r="A233" t="s">
        <v>66</v>
      </c>
      <c r="B233" t="s">
        <v>69</v>
      </c>
      <c r="C233">
        <v>47</v>
      </c>
      <c r="D233" t="s">
        <v>90</v>
      </c>
      <c r="E233" t="s">
        <v>91</v>
      </c>
      <c r="F233" t="s">
        <v>72</v>
      </c>
      <c r="G233">
        <v>4</v>
      </c>
      <c r="H233">
        <v>0</v>
      </c>
      <c r="I233" s="5" t="str">
        <f>OutputTable[[#This Row],[ProjectName]]&amp;OutputTable[[#This Row],[Name]]&amp;OutputTable[[#This Row],[Type]]&amp;OutputTable[[#This Row],[Source]]</f>
        <v>Unnamed ProjectArquivos.NumberOutNumber OutEntity</v>
      </c>
      <c r="J233" s="5" cm="1">
        <f t="array" ref="J233">MAX(IF((ProjectInfoTable[ProjectName]=OutputTable[[#This Row],[ProjectName]]),(ProjectInfoTable[ProjectName]=OutputTable[[#This Row],[ProjectName]])*ProjectInfoTable[NumberOfReplications]))</f>
        <v>50</v>
      </c>
      <c r="K233" s="5" cm="1">
        <f t="array" ref="K233">IFERROR(AVERAGE(IF((OutputTable[GroupByKey]=OutputTable[[#This Row],[GroupByKey]]),(OutputTable[GroupByKey]=OutputTable[[#This Row],[GroupByKey]])*OutputTable[RecordedValue])),0)</f>
        <v>3.62</v>
      </c>
      <c r="L233" s="5" cm="1">
        <f t="array" ref="L233">IFERROR(_xlfn.STDEV.S(IF((OutputTable[GroupByKey]=OutputTable[[#This Row],[GroupByKey]]),(OutputTable[GroupByKey]=OutputTable[[#This Row],[GroupByKey]])*OutputTable[RecordedValue])),0)</f>
        <v>0.77958649426527116</v>
      </c>
      <c r="M233" s="5" cm="1">
        <f t="array" ref="M233">MAX(IF((ProjectInfoTable[ProjectName]=OutputTable[[#This Row],[ProjectName]]),(ProjectInfoTable[ProjectName]=OutputTable[[#This Row],[ProjectName]])*ProjectInfoTable[ConfidenceInterval]))</f>
        <v>0.95</v>
      </c>
      <c r="N2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233" s="5" cm="1">
        <f t="array" ref="O233">MIN(IF((OutputTable[GroupByKey]=OutputTable[[#This Row],[GroupByKey]]),(OutputTable[GroupByKey]=OutputTable[[#This Row],[GroupByKey]])*OutputTable[RecordedValue]))</f>
        <v>2</v>
      </c>
      <c r="P233" s="5" cm="1">
        <f t="array" ref="P233">MAX(IF((OutputTable[GroupByKey]=OutputTable[[#This Row],[GroupByKey]]),(OutputTable[GroupByKey]=OutputTable[[#This Row],[GroupByKey]])*OutputTable[RecordedValue]))</f>
        <v>5</v>
      </c>
    </row>
    <row r="234" spans="1:16" x14ac:dyDescent="0.35">
      <c r="A234" t="s">
        <v>66</v>
      </c>
      <c r="B234" t="s">
        <v>69</v>
      </c>
      <c r="C234">
        <v>47</v>
      </c>
      <c r="D234" t="s">
        <v>92</v>
      </c>
      <c r="E234" t="s">
        <v>93</v>
      </c>
      <c r="F234" t="s">
        <v>85</v>
      </c>
      <c r="G234">
        <v>5</v>
      </c>
      <c r="H234">
        <v>0</v>
      </c>
      <c r="I234" s="5" t="str">
        <f>OutputTable[[#This Row],[ProjectName]]&amp;OutputTable[[#This Row],[Name]]&amp;OutputTable[[#This Row],[Type]]&amp;OutputTable[[#This Row],[Source]]</f>
        <v>Unnamed ProjectOperador.NumberSeizedTotal Number SeizedResource</v>
      </c>
      <c r="J234" s="5" cm="1">
        <f t="array" ref="J234">MAX(IF((ProjectInfoTable[ProjectName]=OutputTable[[#This Row],[ProjectName]]),(ProjectInfoTable[ProjectName]=OutputTable[[#This Row],[ProjectName]])*ProjectInfoTable[NumberOfReplications]))</f>
        <v>50</v>
      </c>
      <c r="K234" s="5" cm="1">
        <f t="array" ref="K234">IFERROR(AVERAGE(IF((OutputTable[GroupByKey]=OutputTable[[#This Row],[GroupByKey]]),(OutputTable[GroupByKey]=OutputTable[[#This Row],[GroupByKey]])*OutputTable[RecordedValue])),0)</f>
        <v>4.58</v>
      </c>
      <c r="L234" s="5" cm="1">
        <f t="array" ref="L234">IFERROR(_xlfn.STDEV.S(IF((OutputTable[GroupByKey]=OutputTable[[#This Row],[GroupByKey]]),(OutputTable[GroupByKey]=OutputTable[[#This Row],[GroupByKey]])*OutputTable[RecordedValue])),0)</f>
        <v>0.78480466827545059</v>
      </c>
      <c r="M234" s="5" cm="1">
        <f t="array" ref="M234">MAX(IF((ProjectInfoTable[ProjectName]=OutputTable[[#This Row],[ProjectName]]),(ProjectInfoTable[ProjectName]=OutputTable[[#This Row],[ProjectName]])*ProjectInfoTable[ConfidenceInterval]))</f>
        <v>0.95</v>
      </c>
      <c r="N2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0.22303901890225239</v>
      </c>
      <c r="O234" s="5" cm="1">
        <f t="array" ref="O234">MIN(IF((OutputTable[GroupByKey]=OutputTable[[#This Row],[GroupByKey]]),(OutputTable[GroupByKey]=OutputTable[[#This Row],[GroupByKey]])*OutputTable[RecordedValue]))</f>
        <v>3</v>
      </c>
      <c r="P234" s="5" cm="1">
        <f t="array" ref="P234">MAX(IF((OutputTable[GroupByKey]=OutputTable[[#This Row],[GroupByKey]]),(OutputTable[GroupByKey]=OutputTable[[#This Row],[GroupByKey]])*OutputTable[RecordedValue]))</f>
        <v>6</v>
      </c>
    </row>
    <row r="235" spans="1:16" x14ac:dyDescent="0.35">
      <c r="A235" t="s">
        <v>66</v>
      </c>
      <c r="B235" t="s">
        <v>69</v>
      </c>
      <c r="C235">
        <v>47</v>
      </c>
      <c r="D235" t="s">
        <v>94</v>
      </c>
      <c r="E235" t="s">
        <v>95</v>
      </c>
      <c r="F235" t="s">
        <v>85</v>
      </c>
      <c r="G235">
        <v>1</v>
      </c>
      <c r="H235">
        <v>0</v>
      </c>
      <c r="I235" s="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235" s="5" cm="1">
        <f t="array" ref="J235">MAX(IF((ProjectInfoTable[ProjectName]=OutputTable[[#This Row],[ProjectName]]),(ProjectInfoTable[ProjectName]=OutputTable[[#This Row],[ProjectName]])*ProjectInfoTable[NumberOfReplications]))</f>
        <v>50</v>
      </c>
      <c r="K235" s="5" cm="1">
        <f t="array" ref="K235">IFERROR(AVERAGE(IF((OutputTable[GroupByKey]=OutputTable[[#This Row],[GroupByKey]]),(OutputTable[GroupByKey]=OutputTable[[#This Row],[GroupByKey]])*OutputTable[RecordedValue])),0)</f>
        <v>0.92637977941440086</v>
      </c>
      <c r="L235" s="5" cm="1">
        <f t="array" ref="L235">IFERROR(_xlfn.STDEV.S(IF((OutputTable[GroupByKey]=OutputTable[[#This Row],[GroupByKey]]),(OutputTable[GroupByKey]=OutputTable[[#This Row],[GroupByKey]])*OutputTable[RecordedValue])),0)</f>
        <v>0.11789675502181338</v>
      </c>
      <c r="M235" s="5" cm="1">
        <f t="array" ref="M235">MAX(IF((ProjectInfoTable[ProjectName]=OutputTable[[#This Row],[ProjectName]]),(ProjectInfoTable[ProjectName]=OutputTable[[#This Row],[ProjectName]])*ProjectInfoTable[ConfidenceInterval]))</f>
        <v>0.95</v>
      </c>
      <c r="N2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3.350588705034975E-2</v>
      </c>
      <c r="O235" s="5" cm="1">
        <f t="array" ref="O235">MIN(IF((OutputTable[GroupByKey]=OutputTable[[#This Row],[GroupByKey]]),(OutputTable[GroupByKey]=OutputTable[[#This Row],[GroupByKey]])*OutputTable[RecordedValue]))</f>
        <v>0.60846830422583797</v>
      </c>
      <c r="P235" s="5" cm="1">
        <f t="array" ref="P235">MAX(IF((OutputTable[GroupByKey]=OutputTable[[#This Row],[GroupByKey]]),(OutputTable[GroupByKey]=OutputTable[[#This Row],[GroupByKey]])*OutputTable[RecordedValue]))</f>
        <v>1</v>
      </c>
    </row>
    <row r="236" spans="1:16" x14ac:dyDescent="0.35">
      <c r="A236" t="s">
        <v>66</v>
      </c>
      <c r="B236" t="s">
        <v>69</v>
      </c>
      <c r="C236">
        <v>47</v>
      </c>
      <c r="D236" t="s">
        <v>96</v>
      </c>
      <c r="E236" t="s">
        <v>91</v>
      </c>
      <c r="F236" t="s">
        <v>97</v>
      </c>
      <c r="G236">
        <v>4</v>
      </c>
      <c r="H236">
        <v>0</v>
      </c>
      <c r="I236" s="5" t="str">
        <f>OutputTable[[#This Row],[ProjectName]]&amp;OutputTable[[#This Row],[Name]]&amp;OutputTable[[#This Row],[Type]]&amp;OutputTable[[#This Row],[Source]]</f>
        <v>Unnamed ProjectSystem.NumberOutNumber OutSystem</v>
      </c>
      <c r="J236" s="5" cm="1">
        <f t="array" ref="J236">MAX(IF((ProjectInfoTable[ProjectName]=OutputTable[[#This Row],[ProjectName]]),(ProjectInfoTable[ProjectName]=OutputTable[[#This Row],[ProjectName]])*ProjectInfoTable[NumberOfReplications]))</f>
        <v>50</v>
      </c>
      <c r="K236" s="5" cm="1">
        <f t="array" ref="K236">IFERROR(AVERAGE(IF((OutputTable[GroupByKey]=OutputTable[[#This Row],[GroupByKey]]),(OutputTable[GroupByKey]=OutputTable[[#This Row],[GroupByKey]])*OutputTable[RecordedValue])),0)</f>
        <v>3.62</v>
      </c>
      <c r="L236" s="5" cm="1">
        <f t="array" ref="L236">IFERROR(_xlfn.STDEV.S(IF((OutputTable[GroupByKey]=OutputTable[[#This Row],[GroupByKey]]),(OutputTable[GroupByKey]=OutputTable[[#This Row],[GroupByKey]])*OutputTable[RecordedValue])),0)</f>
        <v>0.77958649426527116</v>
      </c>
      <c r="M236" s="5" cm="1">
        <f t="array" ref="M236">MAX(IF((ProjectInfoTable[ProjectName]=OutputTable[[#This Row],[ProjectName]]),(ProjectInfoTable[ProjectName]=OutputTable[[#This Row],[ProjectName]])*ProjectInfoTable[ConfidenceInterval]))</f>
        <v>0.95</v>
      </c>
      <c r="N2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236" s="5" cm="1">
        <f t="array" ref="O236">MIN(IF((OutputTable[GroupByKey]=OutputTable[[#This Row],[GroupByKey]]),(OutputTable[GroupByKey]=OutputTable[[#This Row],[GroupByKey]])*OutputTable[RecordedValue]))</f>
        <v>2</v>
      </c>
      <c r="P236" s="5" cm="1">
        <f t="array" ref="P236">MAX(IF((OutputTable[GroupByKey]=OutputTable[[#This Row],[GroupByKey]]),(OutputTable[GroupByKey]=OutputTable[[#This Row],[GroupByKey]])*OutputTable[RecordedValue]))</f>
        <v>5</v>
      </c>
    </row>
    <row r="237" spans="1:16" x14ac:dyDescent="0.35">
      <c r="A237" t="s">
        <v>66</v>
      </c>
      <c r="B237" t="s">
        <v>69</v>
      </c>
      <c r="C237">
        <v>48</v>
      </c>
      <c r="D237" t="s">
        <v>88</v>
      </c>
      <c r="E237" t="s">
        <v>89</v>
      </c>
      <c r="F237" t="s">
        <v>72</v>
      </c>
      <c r="G237">
        <v>5</v>
      </c>
      <c r="H237">
        <v>0</v>
      </c>
      <c r="I237" s="5" t="str">
        <f>OutputTable[[#This Row],[ProjectName]]&amp;OutputTable[[#This Row],[Name]]&amp;OutputTable[[#This Row],[Type]]&amp;OutputTable[[#This Row],[Source]]</f>
        <v>Unnamed ProjectArquivos.NumberInNumber InEntity</v>
      </c>
      <c r="J237" s="5" cm="1">
        <f t="array" ref="J237">MAX(IF((ProjectInfoTable[ProjectName]=OutputTable[[#This Row],[ProjectName]]),(ProjectInfoTable[ProjectName]=OutputTable[[#This Row],[ProjectName]])*ProjectInfoTable[NumberOfReplications]))</f>
        <v>50</v>
      </c>
      <c r="K237" s="5" cm="1">
        <f t="array" ref="K237">IFERROR(AVERAGE(IF((OutputTable[GroupByKey]=OutputTable[[#This Row],[GroupByKey]]),(OutputTable[GroupByKey]=OutputTable[[#This Row],[GroupByKey]])*OutputTable[RecordedValue])),0)</f>
        <v>6.48</v>
      </c>
      <c r="L237" s="5" cm="1">
        <f t="array" ref="L237">IFERROR(_xlfn.STDEV.S(IF((OutputTable[GroupByKey]=OutputTable[[#This Row],[GroupByKey]]),(OutputTable[GroupByKey]=OutputTable[[#This Row],[GroupByKey]])*OutputTable[RecordedValue])),0)</f>
        <v>1.7984119979264248</v>
      </c>
      <c r="M237" s="5" cm="1">
        <f t="array" ref="M237">MAX(IF((ProjectInfoTable[ProjectName]=OutputTable[[#This Row],[ProjectName]]),(ProjectInfoTable[ProjectName]=OutputTable[[#This Row],[ProjectName]])*ProjectInfoTable[ConfidenceInterval]))</f>
        <v>0.95</v>
      </c>
      <c r="N2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0.51110303469648288</v>
      </c>
      <c r="O237" s="5" cm="1">
        <f t="array" ref="O237">MIN(IF((OutputTable[GroupByKey]=OutputTable[[#This Row],[GroupByKey]]),(OutputTable[GroupByKey]=OutputTable[[#This Row],[GroupByKey]])*OutputTable[RecordedValue]))</f>
        <v>3</v>
      </c>
      <c r="P237" s="5" cm="1">
        <f t="array" ref="P237">MAX(IF((OutputTable[GroupByKey]=OutputTable[[#This Row],[GroupByKey]]),(OutputTable[GroupByKey]=OutputTable[[#This Row],[GroupByKey]])*OutputTable[RecordedValue]))</f>
        <v>13</v>
      </c>
    </row>
    <row r="238" spans="1:16" x14ac:dyDescent="0.35">
      <c r="A238" t="s">
        <v>66</v>
      </c>
      <c r="B238" t="s">
        <v>69</v>
      </c>
      <c r="C238">
        <v>48</v>
      </c>
      <c r="D238" t="s">
        <v>90</v>
      </c>
      <c r="E238" t="s">
        <v>91</v>
      </c>
      <c r="F238" t="s">
        <v>72</v>
      </c>
      <c r="G238">
        <v>3</v>
      </c>
      <c r="H238">
        <v>0</v>
      </c>
      <c r="I238" s="5" t="str">
        <f>OutputTable[[#This Row],[ProjectName]]&amp;OutputTable[[#This Row],[Name]]&amp;OutputTable[[#This Row],[Type]]&amp;OutputTable[[#This Row],[Source]]</f>
        <v>Unnamed ProjectArquivos.NumberOutNumber OutEntity</v>
      </c>
      <c r="J238" s="5" cm="1">
        <f t="array" ref="J238">MAX(IF((ProjectInfoTable[ProjectName]=OutputTable[[#This Row],[ProjectName]]),(ProjectInfoTable[ProjectName]=OutputTable[[#This Row],[ProjectName]])*ProjectInfoTable[NumberOfReplications]))</f>
        <v>50</v>
      </c>
      <c r="K238" s="5" cm="1">
        <f t="array" ref="K238">IFERROR(AVERAGE(IF((OutputTable[GroupByKey]=OutputTable[[#This Row],[GroupByKey]]),(OutputTable[GroupByKey]=OutputTable[[#This Row],[GroupByKey]])*OutputTable[RecordedValue])),0)</f>
        <v>3.62</v>
      </c>
      <c r="L238" s="5" cm="1">
        <f t="array" ref="L238">IFERROR(_xlfn.STDEV.S(IF((OutputTable[GroupByKey]=OutputTable[[#This Row],[GroupByKey]]),(OutputTable[GroupByKey]=OutputTable[[#This Row],[GroupByKey]])*OutputTable[RecordedValue])),0)</f>
        <v>0.77958649426527116</v>
      </c>
      <c r="M238" s="5" cm="1">
        <f t="array" ref="M238">MAX(IF((ProjectInfoTable[ProjectName]=OutputTable[[#This Row],[ProjectName]]),(ProjectInfoTable[ProjectName]=OutputTable[[#This Row],[ProjectName]])*ProjectInfoTable[ConfidenceInterval]))</f>
        <v>0.95</v>
      </c>
      <c r="N2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238" s="5" cm="1">
        <f t="array" ref="O238">MIN(IF((OutputTable[GroupByKey]=OutputTable[[#This Row],[GroupByKey]]),(OutputTable[GroupByKey]=OutputTable[[#This Row],[GroupByKey]])*OutputTable[RecordedValue]))</f>
        <v>2</v>
      </c>
      <c r="P238" s="5" cm="1">
        <f t="array" ref="P238">MAX(IF((OutputTable[GroupByKey]=OutputTable[[#This Row],[GroupByKey]]),(OutputTable[GroupByKey]=OutputTable[[#This Row],[GroupByKey]])*OutputTable[RecordedValue]))</f>
        <v>5</v>
      </c>
    </row>
    <row r="239" spans="1:16" x14ac:dyDescent="0.35">
      <c r="A239" t="s">
        <v>66</v>
      </c>
      <c r="B239" t="s">
        <v>69</v>
      </c>
      <c r="C239">
        <v>48</v>
      </c>
      <c r="D239" t="s">
        <v>92</v>
      </c>
      <c r="E239" t="s">
        <v>93</v>
      </c>
      <c r="F239" t="s">
        <v>85</v>
      </c>
      <c r="G239">
        <v>4</v>
      </c>
      <c r="H239">
        <v>0</v>
      </c>
      <c r="I239" s="5" t="str">
        <f>OutputTable[[#This Row],[ProjectName]]&amp;OutputTable[[#This Row],[Name]]&amp;OutputTable[[#This Row],[Type]]&amp;OutputTable[[#This Row],[Source]]</f>
        <v>Unnamed ProjectOperador.NumberSeizedTotal Number SeizedResource</v>
      </c>
      <c r="J239" s="5" cm="1">
        <f t="array" ref="J239">MAX(IF((ProjectInfoTable[ProjectName]=OutputTable[[#This Row],[ProjectName]]),(ProjectInfoTable[ProjectName]=OutputTable[[#This Row],[ProjectName]])*ProjectInfoTable[NumberOfReplications]))</f>
        <v>50</v>
      </c>
      <c r="K239" s="5" cm="1">
        <f t="array" ref="K239">IFERROR(AVERAGE(IF((OutputTable[GroupByKey]=OutputTable[[#This Row],[GroupByKey]]),(OutputTable[GroupByKey]=OutputTable[[#This Row],[GroupByKey]])*OutputTable[RecordedValue])),0)</f>
        <v>4.58</v>
      </c>
      <c r="L239" s="5" cm="1">
        <f t="array" ref="L239">IFERROR(_xlfn.STDEV.S(IF((OutputTable[GroupByKey]=OutputTable[[#This Row],[GroupByKey]]),(OutputTable[GroupByKey]=OutputTable[[#This Row],[GroupByKey]])*OutputTable[RecordedValue])),0)</f>
        <v>0.78480466827545059</v>
      </c>
      <c r="M239" s="5" cm="1">
        <f t="array" ref="M239">MAX(IF((ProjectInfoTable[ProjectName]=OutputTable[[#This Row],[ProjectName]]),(ProjectInfoTable[ProjectName]=OutputTable[[#This Row],[ProjectName]])*ProjectInfoTable[ConfidenceInterval]))</f>
        <v>0.95</v>
      </c>
      <c r="N2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0.22303901890225239</v>
      </c>
      <c r="O239" s="5" cm="1">
        <f t="array" ref="O239">MIN(IF((OutputTable[GroupByKey]=OutputTable[[#This Row],[GroupByKey]]),(OutputTable[GroupByKey]=OutputTable[[#This Row],[GroupByKey]])*OutputTable[RecordedValue]))</f>
        <v>3</v>
      </c>
      <c r="P239" s="5" cm="1">
        <f t="array" ref="P239">MAX(IF((OutputTable[GroupByKey]=OutputTable[[#This Row],[GroupByKey]]),(OutputTable[GroupByKey]=OutputTable[[#This Row],[GroupByKey]])*OutputTable[RecordedValue]))</f>
        <v>6</v>
      </c>
    </row>
    <row r="240" spans="1:16" x14ac:dyDescent="0.35">
      <c r="A240" t="s">
        <v>66</v>
      </c>
      <c r="B240" t="s">
        <v>69</v>
      </c>
      <c r="C240">
        <v>48</v>
      </c>
      <c r="D240" t="s">
        <v>94</v>
      </c>
      <c r="E240" t="s">
        <v>95</v>
      </c>
      <c r="F240" t="s">
        <v>85</v>
      </c>
      <c r="G240">
        <v>1</v>
      </c>
      <c r="H240">
        <v>0</v>
      </c>
      <c r="I240" s="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240" s="5" cm="1">
        <f t="array" ref="J240">MAX(IF((ProjectInfoTable[ProjectName]=OutputTable[[#This Row],[ProjectName]]),(ProjectInfoTable[ProjectName]=OutputTable[[#This Row],[ProjectName]])*ProjectInfoTable[NumberOfReplications]))</f>
        <v>50</v>
      </c>
      <c r="K240" s="5" cm="1">
        <f t="array" ref="K240">IFERROR(AVERAGE(IF((OutputTable[GroupByKey]=OutputTable[[#This Row],[GroupByKey]]),(OutputTable[GroupByKey]=OutputTable[[#This Row],[GroupByKey]])*OutputTable[RecordedValue])),0)</f>
        <v>0.92637977941440086</v>
      </c>
      <c r="L240" s="5" cm="1">
        <f t="array" ref="L240">IFERROR(_xlfn.STDEV.S(IF((OutputTable[GroupByKey]=OutputTable[[#This Row],[GroupByKey]]),(OutputTable[GroupByKey]=OutputTable[[#This Row],[GroupByKey]])*OutputTable[RecordedValue])),0)</f>
        <v>0.11789675502181338</v>
      </c>
      <c r="M240" s="5" cm="1">
        <f t="array" ref="M240">MAX(IF((ProjectInfoTable[ProjectName]=OutputTable[[#This Row],[ProjectName]]),(ProjectInfoTable[ProjectName]=OutputTable[[#This Row],[ProjectName]])*ProjectInfoTable[ConfidenceInterval]))</f>
        <v>0.95</v>
      </c>
      <c r="N2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3.350588705034975E-2</v>
      </c>
      <c r="O240" s="5" cm="1">
        <f t="array" ref="O240">MIN(IF((OutputTable[GroupByKey]=OutputTable[[#This Row],[GroupByKey]]),(OutputTable[GroupByKey]=OutputTable[[#This Row],[GroupByKey]])*OutputTable[RecordedValue]))</f>
        <v>0.60846830422583797</v>
      </c>
      <c r="P240" s="5" cm="1">
        <f t="array" ref="P240">MAX(IF((OutputTable[GroupByKey]=OutputTable[[#This Row],[GroupByKey]]),(OutputTable[GroupByKey]=OutputTable[[#This Row],[GroupByKey]])*OutputTable[RecordedValue]))</f>
        <v>1</v>
      </c>
    </row>
    <row r="241" spans="1:16" x14ac:dyDescent="0.35">
      <c r="A241" t="s">
        <v>66</v>
      </c>
      <c r="B241" t="s">
        <v>69</v>
      </c>
      <c r="C241">
        <v>48</v>
      </c>
      <c r="D241" t="s">
        <v>96</v>
      </c>
      <c r="E241" t="s">
        <v>91</v>
      </c>
      <c r="F241" t="s">
        <v>97</v>
      </c>
      <c r="G241">
        <v>3</v>
      </c>
      <c r="H241">
        <v>0</v>
      </c>
      <c r="I241" s="5" t="str">
        <f>OutputTable[[#This Row],[ProjectName]]&amp;OutputTable[[#This Row],[Name]]&amp;OutputTable[[#This Row],[Type]]&amp;OutputTable[[#This Row],[Source]]</f>
        <v>Unnamed ProjectSystem.NumberOutNumber OutSystem</v>
      </c>
      <c r="J241" s="5" cm="1">
        <f t="array" ref="J241">MAX(IF((ProjectInfoTable[ProjectName]=OutputTable[[#This Row],[ProjectName]]),(ProjectInfoTable[ProjectName]=OutputTable[[#This Row],[ProjectName]])*ProjectInfoTable[NumberOfReplications]))</f>
        <v>50</v>
      </c>
      <c r="K241" s="5" cm="1">
        <f t="array" ref="K241">IFERROR(AVERAGE(IF((OutputTable[GroupByKey]=OutputTable[[#This Row],[GroupByKey]]),(OutputTable[GroupByKey]=OutputTable[[#This Row],[GroupByKey]])*OutputTable[RecordedValue])),0)</f>
        <v>3.62</v>
      </c>
      <c r="L241" s="5" cm="1">
        <f t="array" ref="L241">IFERROR(_xlfn.STDEV.S(IF((OutputTable[GroupByKey]=OutputTable[[#This Row],[GroupByKey]]),(OutputTable[GroupByKey]=OutputTable[[#This Row],[GroupByKey]])*OutputTable[RecordedValue])),0)</f>
        <v>0.77958649426527116</v>
      </c>
      <c r="M241" s="5" cm="1">
        <f t="array" ref="M241">MAX(IF((ProjectInfoTable[ProjectName]=OutputTable[[#This Row],[ProjectName]]),(ProjectInfoTable[ProjectName]=OutputTable[[#This Row],[ProjectName]])*ProjectInfoTable[ConfidenceInterval]))</f>
        <v>0.95</v>
      </c>
      <c r="N2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241" s="5" cm="1">
        <f t="array" ref="O241">MIN(IF((OutputTable[GroupByKey]=OutputTable[[#This Row],[GroupByKey]]),(OutputTable[GroupByKey]=OutputTable[[#This Row],[GroupByKey]])*OutputTable[RecordedValue]))</f>
        <v>2</v>
      </c>
      <c r="P241" s="5" cm="1">
        <f t="array" ref="P241">MAX(IF((OutputTable[GroupByKey]=OutputTable[[#This Row],[GroupByKey]]),(OutputTable[GroupByKey]=OutputTable[[#This Row],[GroupByKey]])*OutputTable[RecordedValue]))</f>
        <v>5</v>
      </c>
    </row>
    <row r="242" spans="1:16" x14ac:dyDescent="0.35">
      <c r="A242" t="s">
        <v>66</v>
      </c>
      <c r="B242" t="s">
        <v>69</v>
      </c>
      <c r="C242">
        <v>49</v>
      </c>
      <c r="D242" t="s">
        <v>88</v>
      </c>
      <c r="E242" t="s">
        <v>89</v>
      </c>
      <c r="F242" t="s">
        <v>72</v>
      </c>
      <c r="G242">
        <v>6</v>
      </c>
      <c r="H242">
        <v>0</v>
      </c>
      <c r="I242" s="5" t="str">
        <f>OutputTable[[#This Row],[ProjectName]]&amp;OutputTable[[#This Row],[Name]]&amp;OutputTable[[#This Row],[Type]]&amp;OutputTable[[#This Row],[Source]]</f>
        <v>Unnamed ProjectArquivos.NumberInNumber InEntity</v>
      </c>
      <c r="J242" s="5" cm="1">
        <f t="array" ref="J242">MAX(IF((ProjectInfoTable[ProjectName]=OutputTable[[#This Row],[ProjectName]]),(ProjectInfoTable[ProjectName]=OutputTable[[#This Row],[ProjectName]])*ProjectInfoTable[NumberOfReplications]))</f>
        <v>50</v>
      </c>
      <c r="K242" s="5" cm="1">
        <f t="array" ref="K242">IFERROR(AVERAGE(IF((OutputTable[GroupByKey]=OutputTable[[#This Row],[GroupByKey]]),(OutputTable[GroupByKey]=OutputTable[[#This Row],[GroupByKey]])*OutputTable[RecordedValue])),0)</f>
        <v>6.48</v>
      </c>
      <c r="L242" s="5" cm="1">
        <f t="array" ref="L242">IFERROR(_xlfn.STDEV.S(IF((OutputTable[GroupByKey]=OutputTable[[#This Row],[GroupByKey]]),(OutputTable[GroupByKey]=OutputTable[[#This Row],[GroupByKey]])*OutputTable[RecordedValue])),0)</f>
        <v>1.7984119979264248</v>
      </c>
      <c r="M242" s="5" cm="1">
        <f t="array" ref="M242">MAX(IF((ProjectInfoTable[ProjectName]=OutputTable[[#This Row],[ProjectName]]),(ProjectInfoTable[ProjectName]=OutputTable[[#This Row],[ProjectName]])*ProjectInfoTable[ConfidenceInterval]))</f>
        <v>0.95</v>
      </c>
      <c r="N2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0.51110303469648288</v>
      </c>
      <c r="O242" s="5" cm="1">
        <f t="array" ref="O242">MIN(IF((OutputTable[GroupByKey]=OutputTable[[#This Row],[GroupByKey]]),(OutputTable[GroupByKey]=OutputTable[[#This Row],[GroupByKey]])*OutputTable[RecordedValue]))</f>
        <v>3</v>
      </c>
      <c r="P242" s="5" cm="1">
        <f t="array" ref="P242">MAX(IF((OutputTable[GroupByKey]=OutputTable[[#This Row],[GroupByKey]]),(OutputTable[GroupByKey]=OutputTable[[#This Row],[GroupByKey]])*OutputTable[RecordedValue]))</f>
        <v>13</v>
      </c>
    </row>
    <row r="243" spans="1:16" x14ac:dyDescent="0.35">
      <c r="A243" t="s">
        <v>66</v>
      </c>
      <c r="B243" t="s">
        <v>69</v>
      </c>
      <c r="C243">
        <v>49</v>
      </c>
      <c r="D243" t="s">
        <v>90</v>
      </c>
      <c r="E243" t="s">
        <v>91</v>
      </c>
      <c r="F243" t="s">
        <v>72</v>
      </c>
      <c r="G243">
        <v>3</v>
      </c>
      <c r="H243">
        <v>0</v>
      </c>
      <c r="I243" s="5" t="str">
        <f>OutputTable[[#This Row],[ProjectName]]&amp;OutputTable[[#This Row],[Name]]&amp;OutputTable[[#This Row],[Type]]&amp;OutputTable[[#This Row],[Source]]</f>
        <v>Unnamed ProjectArquivos.NumberOutNumber OutEntity</v>
      </c>
      <c r="J243" s="5" cm="1">
        <f t="array" ref="J243">MAX(IF((ProjectInfoTable[ProjectName]=OutputTable[[#This Row],[ProjectName]]),(ProjectInfoTable[ProjectName]=OutputTable[[#This Row],[ProjectName]])*ProjectInfoTable[NumberOfReplications]))</f>
        <v>50</v>
      </c>
      <c r="K243" s="5" cm="1">
        <f t="array" ref="K243">IFERROR(AVERAGE(IF((OutputTable[GroupByKey]=OutputTable[[#This Row],[GroupByKey]]),(OutputTable[GroupByKey]=OutputTable[[#This Row],[GroupByKey]])*OutputTable[RecordedValue])),0)</f>
        <v>3.62</v>
      </c>
      <c r="L243" s="5" cm="1">
        <f t="array" ref="L243">IFERROR(_xlfn.STDEV.S(IF((OutputTable[GroupByKey]=OutputTable[[#This Row],[GroupByKey]]),(OutputTable[GroupByKey]=OutputTable[[#This Row],[GroupByKey]])*OutputTable[RecordedValue])),0)</f>
        <v>0.77958649426527116</v>
      </c>
      <c r="M243" s="5" cm="1">
        <f t="array" ref="M243">MAX(IF((ProjectInfoTable[ProjectName]=OutputTable[[#This Row],[ProjectName]]),(ProjectInfoTable[ProjectName]=OutputTable[[#This Row],[ProjectName]])*ProjectInfoTable[ConfidenceInterval]))</f>
        <v>0.95</v>
      </c>
      <c r="N2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243" s="5" cm="1">
        <f t="array" ref="O243">MIN(IF((OutputTable[GroupByKey]=OutputTable[[#This Row],[GroupByKey]]),(OutputTable[GroupByKey]=OutputTable[[#This Row],[GroupByKey]])*OutputTable[RecordedValue]))</f>
        <v>2</v>
      </c>
      <c r="P243" s="5" cm="1">
        <f t="array" ref="P243">MAX(IF((OutputTable[GroupByKey]=OutputTable[[#This Row],[GroupByKey]]),(OutputTable[GroupByKey]=OutputTable[[#This Row],[GroupByKey]])*OutputTable[RecordedValue]))</f>
        <v>5</v>
      </c>
    </row>
    <row r="244" spans="1:16" x14ac:dyDescent="0.35">
      <c r="A244" t="s">
        <v>66</v>
      </c>
      <c r="B244" t="s">
        <v>69</v>
      </c>
      <c r="C244">
        <v>49</v>
      </c>
      <c r="D244" t="s">
        <v>92</v>
      </c>
      <c r="E244" t="s">
        <v>93</v>
      </c>
      <c r="F244" t="s">
        <v>85</v>
      </c>
      <c r="G244">
        <v>4</v>
      </c>
      <c r="H244">
        <v>0</v>
      </c>
      <c r="I244" s="5" t="str">
        <f>OutputTable[[#This Row],[ProjectName]]&amp;OutputTable[[#This Row],[Name]]&amp;OutputTable[[#This Row],[Type]]&amp;OutputTable[[#This Row],[Source]]</f>
        <v>Unnamed ProjectOperador.NumberSeizedTotal Number SeizedResource</v>
      </c>
      <c r="J244" s="5" cm="1">
        <f t="array" ref="J244">MAX(IF((ProjectInfoTable[ProjectName]=OutputTable[[#This Row],[ProjectName]]),(ProjectInfoTable[ProjectName]=OutputTable[[#This Row],[ProjectName]])*ProjectInfoTable[NumberOfReplications]))</f>
        <v>50</v>
      </c>
      <c r="K244" s="5" cm="1">
        <f t="array" ref="K244">IFERROR(AVERAGE(IF((OutputTable[GroupByKey]=OutputTable[[#This Row],[GroupByKey]]),(OutputTable[GroupByKey]=OutputTable[[#This Row],[GroupByKey]])*OutputTable[RecordedValue])),0)</f>
        <v>4.58</v>
      </c>
      <c r="L244" s="5" cm="1">
        <f t="array" ref="L244">IFERROR(_xlfn.STDEV.S(IF((OutputTable[GroupByKey]=OutputTable[[#This Row],[GroupByKey]]),(OutputTable[GroupByKey]=OutputTable[[#This Row],[GroupByKey]])*OutputTable[RecordedValue])),0)</f>
        <v>0.78480466827545059</v>
      </c>
      <c r="M244" s="5" cm="1">
        <f t="array" ref="M244">MAX(IF((ProjectInfoTable[ProjectName]=OutputTable[[#This Row],[ProjectName]]),(ProjectInfoTable[ProjectName]=OutputTable[[#This Row],[ProjectName]])*ProjectInfoTable[ConfidenceInterval]))</f>
        <v>0.95</v>
      </c>
      <c r="N2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0.22303901890225239</v>
      </c>
      <c r="O244" s="5" cm="1">
        <f t="array" ref="O244">MIN(IF((OutputTable[GroupByKey]=OutputTable[[#This Row],[GroupByKey]]),(OutputTable[GroupByKey]=OutputTable[[#This Row],[GroupByKey]])*OutputTable[RecordedValue]))</f>
        <v>3</v>
      </c>
      <c r="P244" s="5" cm="1">
        <f t="array" ref="P244">MAX(IF((OutputTable[GroupByKey]=OutputTable[[#This Row],[GroupByKey]]),(OutputTable[GroupByKey]=OutputTable[[#This Row],[GroupByKey]])*OutputTable[RecordedValue]))</f>
        <v>6</v>
      </c>
    </row>
    <row r="245" spans="1:16" x14ac:dyDescent="0.35">
      <c r="A245" t="s">
        <v>66</v>
      </c>
      <c r="B245" t="s">
        <v>69</v>
      </c>
      <c r="C245">
        <v>49</v>
      </c>
      <c r="D245" t="s">
        <v>94</v>
      </c>
      <c r="E245" t="s">
        <v>95</v>
      </c>
      <c r="F245" t="s">
        <v>85</v>
      </c>
      <c r="G245">
        <v>0.77414066075489796</v>
      </c>
      <c r="H245">
        <v>0</v>
      </c>
      <c r="I245" s="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245" s="5" cm="1">
        <f t="array" ref="J245">MAX(IF((ProjectInfoTable[ProjectName]=OutputTable[[#This Row],[ProjectName]]),(ProjectInfoTable[ProjectName]=OutputTable[[#This Row],[ProjectName]])*ProjectInfoTable[NumberOfReplications]))</f>
        <v>50</v>
      </c>
      <c r="K245" s="5" cm="1">
        <f t="array" ref="K245">IFERROR(AVERAGE(IF((OutputTable[GroupByKey]=OutputTable[[#This Row],[GroupByKey]]),(OutputTable[GroupByKey]=OutputTable[[#This Row],[GroupByKey]])*OutputTable[RecordedValue])),0)</f>
        <v>0.92637977941440086</v>
      </c>
      <c r="L245" s="5" cm="1">
        <f t="array" ref="L245">IFERROR(_xlfn.STDEV.S(IF((OutputTable[GroupByKey]=OutputTable[[#This Row],[GroupByKey]]),(OutputTable[GroupByKey]=OutputTable[[#This Row],[GroupByKey]])*OutputTable[RecordedValue])),0)</f>
        <v>0.11789675502181338</v>
      </c>
      <c r="M245" s="5" cm="1">
        <f t="array" ref="M245">MAX(IF((ProjectInfoTable[ProjectName]=OutputTable[[#This Row],[ProjectName]]),(ProjectInfoTable[ProjectName]=OutputTable[[#This Row],[ProjectName]])*ProjectInfoTable[ConfidenceInterval]))</f>
        <v>0.95</v>
      </c>
      <c r="N2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3.350588705034975E-2</v>
      </c>
      <c r="O245" s="5" cm="1">
        <f t="array" ref="O245">MIN(IF((OutputTable[GroupByKey]=OutputTable[[#This Row],[GroupByKey]]),(OutputTable[GroupByKey]=OutputTable[[#This Row],[GroupByKey]])*OutputTable[RecordedValue]))</f>
        <v>0.60846830422583797</v>
      </c>
      <c r="P245" s="5" cm="1">
        <f t="array" ref="P245">MAX(IF((OutputTable[GroupByKey]=OutputTable[[#This Row],[GroupByKey]]),(OutputTable[GroupByKey]=OutputTable[[#This Row],[GroupByKey]])*OutputTable[RecordedValue]))</f>
        <v>1</v>
      </c>
    </row>
    <row r="246" spans="1:16" x14ac:dyDescent="0.35">
      <c r="A246" t="s">
        <v>66</v>
      </c>
      <c r="B246" t="s">
        <v>69</v>
      </c>
      <c r="C246">
        <v>49</v>
      </c>
      <c r="D246" t="s">
        <v>96</v>
      </c>
      <c r="E246" t="s">
        <v>91</v>
      </c>
      <c r="F246" t="s">
        <v>97</v>
      </c>
      <c r="G246">
        <v>3</v>
      </c>
      <c r="H246">
        <v>0</v>
      </c>
      <c r="I246" s="5" t="str">
        <f>OutputTable[[#This Row],[ProjectName]]&amp;OutputTable[[#This Row],[Name]]&amp;OutputTable[[#This Row],[Type]]&amp;OutputTable[[#This Row],[Source]]</f>
        <v>Unnamed ProjectSystem.NumberOutNumber OutSystem</v>
      </c>
      <c r="J246" s="5" cm="1">
        <f t="array" ref="J246">MAX(IF((ProjectInfoTable[ProjectName]=OutputTable[[#This Row],[ProjectName]]),(ProjectInfoTable[ProjectName]=OutputTable[[#This Row],[ProjectName]])*ProjectInfoTable[NumberOfReplications]))</f>
        <v>50</v>
      </c>
      <c r="K246" s="5" cm="1">
        <f t="array" ref="K246">IFERROR(AVERAGE(IF((OutputTable[GroupByKey]=OutputTable[[#This Row],[GroupByKey]]),(OutputTable[GroupByKey]=OutputTable[[#This Row],[GroupByKey]])*OutputTable[RecordedValue])),0)</f>
        <v>3.62</v>
      </c>
      <c r="L246" s="5" cm="1">
        <f t="array" ref="L246">IFERROR(_xlfn.STDEV.S(IF((OutputTable[GroupByKey]=OutputTable[[#This Row],[GroupByKey]]),(OutputTable[GroupByKey]=OutputTable[[#This Row],[GroupByKey]])*OutputTable[RecordedValue])),0)</f>
        <v>0.77958649426527116</v>
      </c>
      <c r="M246" s="5" cm="1">
        <f t="array" ref="M246">MAX(IF((ProjectInfoTable[ProjectName]=OutputTable[[#This Row],[ProjectName]]),(ProjectInfoTable[ProjectName]=OutputTable[[#This Row],[ProjectName]])*ProjectInfoTable[ConfidenceInterval]))</f>
        <v>0.95</v>
      </c>
      <c r="N2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246" s="5" cm="1">
        <f t="array" ref="O246">MIN(IF((OutputTable[GroupByKey]=OutputTable[[#This Row],[GroupByKey]]),(OutputTable[GroupByKey]=OutputTable[[#This Row],[GroupByKey]])*OutputTable[RecordedValue]))</f>
        <v>2</v>
      </c>
      <c r="P246" s="5" cm="1">
        <f t="array" ref="P246">MAX(IF((OutputTable[GroupByKey]=OutputTable[[#This Row],[GroupByKey]]),(OutputTable[GroupByKey]=OutputTable[[#This Row],[GroupByKey]])*OutputTable[RecordedValue]))</f>
        <v>5</v>
      </c>
    </row>
    <row r="247" spans="1:16" x14ac:dyDescent="0.35">
      <c r="A247" t="s">
        <v>66</v>
      </c>
      <c r="B247" t="s">
        <v>69</v>
      </c>
      <c r="C247">
        <v>50</v>
      </c>
      <c r="D247" t="s">
        <v>88</v>
      </c>
      <c r="E247" t="s">
        <v>89</v>
      </c>
      <c r="F247" t="s">
        <v>72</v>
      </c>
      <c r="G247">
        <v>7</v>
      </c>
      <c r="H247">
        <v>0</v>
      </c>
      <c r="I247" s="5" t="str">
        <f>OutputTable[[#This Row],[ProjectName]]&amp;OutputTable[[#This Row],[Name]]&amp;OutputTable[[#This Row],[Type]]&amp;OutputTable[[#This Row],[Source]]</f>
        <v>Unnamed ProjectArquivos.NumberInNumber InEntity</v>
      </c>
      <c r="J247" s="5" cm="1">
        <f t="array" ref="J247">MAX(IF((ProjectInfoTable[ProjectName]=OutputTable[[#This Row],[ProjectName]]),(ProjectInfoTable[ProjectName]=OutputTable[[#This Row],[ProjectName]])*ProjectInfoTable[NumberOfReplications]))</f>
        <v>50</v>
      </c>
      <c r="K247" s="5" cm="1">
        <f t="array" ref="K247">IFERROR(AVERAGE(IF((OutputTable[GroupByKey]=OutputTable[[#This Row],[GroupByKey]]),(OutputTable[GroupByKey]=OutputTable[[#This Row],[GroupByKey]])*OutputTable[RecordedValue])),0)</f>
        <v>6.48</v>
      </c>
      <c r="L247" s="5" cm="1">
        <f t="array" ref="L247">IFERROR(_xlfn.STDEV.S(IF((OutputTable[GroupByKey]=OutputTable[[#This Row],[GroupByKey]]),(OutputTable[GroupByKey]=OutputTable[[#This Row],[GroupByKey]])*OutputTable[RecordedValue])),0)</f>
        <v>1.7984119979264248</v>
      </c>
      <c r="M247" s="5" cm="1">
        <f t="array" ref="M247">MAX(IF((ProjectInfoTable[ProjectName]=OutputTable[[#This Row],[ProjectName]]),(ProjectInfoTable[ProjectName]=OutputTable[[#This Row],[ProjectName]])*ProjectInfoTable[ConfidenceInterval]))</f>
        <v>0.95</v>
      </c>
      <c r="N2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0.51110303469648288</v>
      </c>
      <c r="O247" s="5" cm="1">
        <f t="array" ref="O247">MIN(IF((OutputTable[GroupByKey]=OutputTable[[#This Row],[GroupByKey]]),(OutputTable[GroupByKey]=OutputTable[[#This Row],[GroupByKey]])*OutputTable[RecordedValue]))</f>
        <v>3</v>
      </c>
      <c r="P247" s="5" cm="1">
        <f t="array" ref="P247">MAX(IF((OutputTable[GroupByKey]=OutputTable[[#This Row],[GroupByKey]]),(OutputTable[GroupByKey]=OutputTable[[#This Row],[GroupByKey]])*OutputTable[RecordedValue]))</f>
        <v>13</v>
      </c>
    </row>
    <row r="248" spans="1:16" x14ac:dyDescent="0.35">
      <c r="A248" t="s">
        <v>66</v>
      </c>
      <c r="B248" t="s">
        <v>69</v>
      </c>
      <c r="C248">
        <v>50</v>
      </c>
      <c r="D248" t="s">
        <v>90</v>
      </c>
      <c r="E248" t="s">
        <v>91</v>
      </c>
      <c r="F248" t="s">
        <v>72</v>
      </c>
      <c r="G248">
        <v>4</v>
      </c>
      <c r="H248">
        <v>0</v>
      </c>
      <c r="I248" s="5" t="str">
        <f>OutputTable[[#This Row],[ProjectName]]&amp;OutputTable[[#This Row],[Name]]&amp;OutputTable[[#This Row],[Type]]&amp;OutputTable[[#This Row],[Source]]</f>
        <v>Unnamed ProjectArquivos.NumberOutNumber OutEntity</v>
      </c>
      <c r="J248" s="5" cm="1">
        <f t="array" ref="J248">MAX(IF((ProjectInfoTable[ProjectName]=OutputTable[[#This Row],[ProjectName]]),(ProjectInfoTable[ProjectName]=OutputTable[[#This Row],[ProjectName]])*ProjectInfoTable[NumberOfReplications]))</f>
        <v>50</v>
      </c>
      <c r="K248" s="5" cm="1">
        <f t="array" ref="K248">IFERROR(AVERAGE(IF((OutputTable[GroupByKey]=OutputTable[[#This Row],[GroupByKey]]),(OutputTable[GroupByKey]=OutputTable[[#This Row],[GroupByKey]])*OutputTable[RecordedValue])),0)</f>
        <v>3.62</v>
      </c>
      <c r="L248" s="5" cm="1">
        <f t="array" ref="L248">IFERROR(_xlfn.STDEV.S(IF((OutputTable[GroupByKey]=OutputTable[[#This Row],[GroupByKey]]),(OutputTable[GroupByKey]=OutputTable[[#This Row],[GroupByKey]])*OutputTable[RecordedValue])),0)</f>
        <v>0.77958649426527116</v>
      </c>
      <c r="M248" s="5" cm="1">
        <f t="array" ref="M248">MAX(IF((ProjectInfoTable[ProjectName]=OutputTable[[#This Row],[ProjectName]]),(ProjectInfoTable[ProjectName]=OutputTable[[#This Row],[ProjectName]])*ProjectInfoTable[ConfidenceInterval]))</f>
        <v>0.95</v>
      </c>
      <c r="N2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248" s="5" cm="1">
        <f t="array" ref="O248">MIN(IF((OutputTable[GroupByKey]=OutputTable[[#This Row],[GroupByKey]]),(OutputTable[GroupByKey]=OutputTable[[#This Row],[GroupByKey]])*OutputTable[RecordedValue]))</f>
        <v>2</v>
      </c>
      <c r="P248" s="5" cm="1">
        <f t="array" ref="P248">MAX(IF((OutputTable[GroupByKey]=OutputTable[[#This Row],[GroupByKey]]),(OutputTable[GroupByKey]=OutputTable[[#This Row],[GroupByKey]])*OutputTable[RecordedValue]))</f>
        <v>5</v>
      </c>
    </row>
    <row r="249" spans="1:16" x14ac:dyDescent="0.35">
      <c r="A249" t="s">
        <v>66</v>
      </c>
      <c r="B249" t="s">
        <v>69</v>
      </c>
      <c r="C249">
        <v>50</v>
      </c>
      <c r="D249" t="s">
        <v>92</v>
      </c>
      <c r="E249" t="s">
        <v>93</v>
      </c>
      <c r="F249" t="s">
        <v>85</v>
      </c>
      <c r="G249">
        <v>5</v>
      </c>
      <c r="H249">
        <v>0</v>
      </c>
      <c r="I249" s="5" t="str">
        <f>OutputTable[[#This Row],[ProjectName]]&amp;OutputTable[[#This Row],[Name]]&amp;OutputTable[[#This Row],[Type]]&amp;OutputTable[[#This Row],[Source]]</f>
        <v>Unnamed ProjectOperador.NumberSeizedTotal Number SeizedResource</v>
      </c>
      <c r="J249" s="5" cm="1">
        <f t="array" ref="J249">MAX(IF((ProjectInfoTable[ProjectName]=OutputTable[[#This Row],[ProjectName]]),(ProjectInfoTable[ProjectName]=OutputTable[[#This Row],[ProjectName]])*ProjectInfoTable[NumberOfReplications]))</f>
        <v>50</v>
      </c>
      <c r="K249" s="5" cm="1">
        <f t="array" ref="K249">IFERROR(AVERAGE(IF((OutputTable[GroupByKey]=OutputTable[[#This Row],[GroupByKey]]),(OutputTable[GroupByKey]=OutputTable[[#This Row],[GroupByKey]])*OutputTable[RecordedValue])),0)</f>
        <v>4.58</v>
      </c>
      <c r="L249" s="5" cm="1">
        <f t="array" ref="L249">IFERROR(_xlfn.STDEV.S(IF((OutputTable[GroupByKey]=OutputTable[[#This Row],[GroupByKey]]),(OutputTable[GroupByKey]=OutputTable[[#This Row],[GroupByKey]])*OutputTable[RecordedValue])),0)</f>
        <v>0.78480466827545059</v>
      </c>
      <c r="M249" s="5" cm="1">
        <f t="array" ref="M249">MAX(IF((ProjectInfoTable[ProjectName]=OutputTable[[#This Row],[ProjectName]]),(ProjectInfoTable[ProjectName]=OutputTable[[#This Row],[ProjectName]])*ProjectInfoTable[ConfidenceInterval]))</f>
        <v>0.95</v>
      </c>
      <c r="N2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0.22303901890225239</v>
      </c>
      <c r="O249" s="5" cm="1">
        <f t="array" ref="O249">MIN(IF((OutputTable[GroupByKey]=OutputTable[[#This Row],[GroupByKey]]),(OutputTable[GroupByKey]=OutputTable[[#This Row],[GroupByKey]])*OutputTable[RecordedValue]))</f>
        <v>3</v>
      </c>
      <c r="P249" s="5" cm="1">
        <f t="array" ref="P249">MAX(IF((OutputTable[GroupByKey]=OutputTable[[#This Row],[GroupByKey]]),(OutputTable[GroupByKey]=OutputTable[[#This Row],[GroupByKey]])*OutputTable[RecordedValue]))</f>
        <v>6</v>
      </c>
    </row>
    <row r="250" spans="1:16" x14ac:dyDescent="0.35">
      <c r="A250" t="s">
        <v>66</v>
      </c>
      <c r="B250" t="s">
        <v>69</v>
      </c>
      <c r="C250">
        <v>50</v>
      </c>
      <c r="D250" t="s">
        <v>94</v>
      </c>
      <c r="E250" t="s">
        <v>95</v>
      </c>
      <c r="F250" t="s">
        <v>85</v>
      </c>
      <c r="G250">
        <v>0.94228013375700903</v>
      </c>
      <c r="H250">
        <v>0</v>
      </c>
      <c r="I250" s="5" t="str">
        <f>OutputTable[[#This Row],[ProjectName]]&amp;OutputTable[[#This Row],[Name]]&amp;OutputTable[[#This Row],[Type]]&amp;OutputTable[[#This Row],[Source]]</f>
        <v>Unnamed ProjectOperador.ScheduledUtilizationScheduled UtilizationResource</v>
      </c>
      <c r="J250" s="5" cm="1">
        <f t="array" ref="J250">MAX(IF((ProjectInfoTable[ProjectName]=OutputTable[[#This Row],[ProjectName]]),(ProjectInfoTable[ProjectName]=OutputTable[[#This Row],[ProjectName]])*ProjectInfoTable[NumberOfReplications]))</f>
        <v>50</v>
      </c>
      <c r="K250" s="5" cm="1">
        <f t="array" ref="K250">IFERROR(AVERAGE(IF((OutputTable[GroupByKey]=OutputTable[[#This Row],[GroupByKey]]),(OutputTable[GroupByKey]=OutputTable[[#This Row],[GroupByKey]])*OutputTable[RecordedValue])),0)</f>
        <v>0.92637977941440086</v>
      </c>
      <c r="L250" s="5" cm="1">
        <f t="array" ref="L250">IFERROR(_xlfn.STDEV.S(IF((OutputTable[GroupByKey]=OutputTable[[#This Row],[GroupByKey]]),(OutputTable[GroupByKey]=OutputTable[[#This Row],[GroupByKey]])*OutputTable[RecordedValue])),0)</f>
        <v>0.11789675502181338</v>
      </c>
      <c r="M250" s="5" cm="1">
        <f t="array" ref="M250">MAX(IF((ProjectInfoTable[ProjectName]=OutputTable[[#This Row],[ProjectName]]),(ProjectInfoTable[ProjectName]=OutputTable[[#This Row],[ProjectName]])*ProjectInfoTable[ConfidenceInterval]))</f>
        <v>0.95</v>
      </c>
      <c r="N2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3.350588705034975E-2</v>
      </c>
      <c r="O250" s="5" cm="1">
        <f t="array" ref="O250">MIN(IF((OutputTable[GroupByKey]=OutputTable[[#This Row],[GroupByKey]]),(OutputTable[GroupByKey]=OutputTable[[#This Row],[GroupByKey]])*OutputTable[RecordedValue]))</f>
        <v>0.60846830422583797</v>
      </c>
      <c r="P250" s="5" cm="1">
        <f t="array" ref="P250">MAX(IF((OutputTable[GroupByKey]=OutputTable[[#This Row],[GroupByKey]]),(OutputTable[GroupByKey]=OutputTable[[#This Row],[GroupByKey]])*OutputTable[RecordedValue]))</f>
        <v>1</v>
      </c>
    </row>
    <row r="251" spans="1:16" x14ac:dyDescent="0.35">
      <c r="A251" t="s">
        <v>66</v>
      </c>
      <c r="B251" t="s">
        <v>69</v>
      </c>
      <c r="C251">
        <v>50</v>
      </c>
      <c r="D251" t="s">
        <v>96</v>
      </c>
      <c r="E251" t="s">
        <v>91</v>
      </c>
      <c r="F251" t="s">
        <v>97</v>
      </c>
      <c r="G251">
        <v>4</v>
      </c>
      <c r="H251">
        <v>0</v>
      </c>
      <c r="I251" s="5" t="str">
        <f>OutputTable[[#This Row],[ProjectName]]&amp;OutputTable[[#This Row],[Name]]&amp;OutputTable[[#This Row],[Type]]&amp;OutputTable[[#This Row],[Source]]</f>
        <v>Unnamed ProjectSystem.NumberOutNumber OutSystem</v>
      </c>
      <c r="J251" s="5" cm="1">
        <f t="array" ref="J251">MAX(IF((ProjectInfoTable[ProjectName]=OutputTable[[#This Row],[ProjectName]]),(ProjectInfoTable[ProjectName]=OutputTable[[#This Row],[ProjectName]])*ProjectInfoTable[NumberOfReplications]))</f>
        <v>50</v>
      </c>
      <c r="K251" s="5" cm="1">
        <f t="array" ref="K251">IFERROR(AVERAGE(IF((OutputTable[GroupByKey]=OutputTable[[#This Row],[GroupByKey]]),(OutputTable[GroupByKey]=OutputTable[[#This Row],[GroupByKey]])*OutputTable[RecordedValue])),0)</f>
        <v>3.62</v>
      </c>
      <c r="L251" s="5" cm="1">
        <f t="array" ref="L251">IFERROR(_xlfn.STDEV.S(IF((OutputTable[GroupByKey]=OutputTable[[#This Row],[GroupByKey]]),(OutputTable[GroupByKey]=OutputTable[[#This Row],[GroupByKey]])*OutputTable[RecordedValue])),0)</f>
        <v>0.77958649426527116</v>
      </c>
      <c r="M251" s="5" cm="1">
        <f t="array" ref="M251">MAX(IF((ProjectInfoTable[ProjectName]=OutputTable[[#This Row],[ProjectName]]),(ProjectInfoTable[ProjectName]=OutputTable[[#This Row],[ProjectName]])*ProjectInfoTable[ConfidenceInterval]))</f>
        <v>0.95</v>
      </c>
      <c r="N2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0.22155603025712986</v>
      </c>
      <c r="O251" s="5" cm="1">
        <f t="array" ref="O251">MIN(IF((OutputTable[GroupByKey]=OutputTable[[#This Row],[GroupByKey]]),(OutputTable[GroupByKey]=OutputTable[[#This Row],[GroupByKey]])*OutputTable[RecordedValue]))</f>
        <v>2</v>
      </c>
      <c r="P251" s="5" cm="1">
        <f t="array" ref="P251">MAX(IF((OutputTable[GroupByKey]=OutputTable[[#This Row],[GroupByKey]]),(OutputTable[GroupByKey]=OutputTable[[#This Row],[GroupByKey]])*OutputTable[RecordedValue]))</f>
        <v>5</v>
      </c>
    </row>
  </sheetData>
  <phoneticPr fontId="2" type="noConversion"/>
  <conditionalFormatting sqref="I2:P251">
    <cfRule type="expression" dxfId="3" priority="2">
      <formula>MOD(ROW(),2)=0</formula>
    </cfRule>
  </conditionalFormatting>
  <conditionalFormatting sqref="N2:N251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4.5" x14ac:dyDescent="0.35"/>
  <cols>
    <col min="1" max="1" width="14" bestFit="1" customWidth="1"/>
    <col min="2" max="2" width="21.08984375" bestFit="1" customWidth="1"/>
    <col min="3" max="3" width="12.36328125" bestFit="1" customWidth="1"/>
    <col min="4" max="4" width="8" bestFit="1" customWidth="1"/>
    <col min="5" max="5" width="10.54296875" bestFit="1" customWidth="1"/>
    <col min="6" max="6" width="8.7265625" bestFit="1" customWidth="1"/>
    <col min="7" max="7" width="20.26953125" bestFit="1" customWidth="1"/>
    <col min="8" max="8" width="21.08984375" bestFit="1" customWidth="1"/>
    <col min="9" max="9" width="23.1796875" bestFit="1" customWidth="1"/>
    <col min="10" max="10" width="24.54296875" bestFit="1" customWidth="1"/>
    <col min="11" max="11" width="15" bestFit="1" customWidth="1"/>
    <col min="12" max="12" width="13.36328125" bestFit="1" customWidth="1"/>
    <col min="13" max="13" width="28.36328125" bestFit="1" customWidth="1"/>
    <col min="14" max="14" width="29.1796875" bestFit="1" customWidth="1"/>
    <col min="15" max="15" width="16.08984375" bestFit="1" customWidth="1"/>
    <col min="16" max="16" width="27.08984375" bestFit="1" customWidth="1"/>
    <col min="17" max="17" width="28" bestFit="1" customWidth="1"/>
    <col min="18" max="18" width="29.1796875" bestFit="1" customWidth="1"/>
    <col min="19" max="19" width="28.36328125" bestFit="1" customWidth="1"/>
    <col min="20" max="20" width="26.1796875" bestFit="1" customWidth="1"/>
    <col min="21" max="21" width="29.90625" bestFit="1" customWidth="1"/>
    <col min="22" max="22" width="31.90625" bestFit="1" customWidth="1"/>
    <col min="23" max="23" width="32.08984375" bestFit="1" customWidth="1"/>
  </cols>
  <sheetData>
    <row r="1" spans="1:17" x14ac:dyDescent="0.3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35">
      <c r="B17" s="3"/>
    </row>
    <row r="18" spans="2:2" x14ac:dyDescent="0.35">
      <c r="B18" s="3"/>
    </row>
    <row r="19" spans="2:2" x14ac:dyDescent="0.35">
      <c r="B19" s="3"/>
    </row>
    <row r="20" spans="2:2" x14ac:dyDescent="0.35">
      <c r="B20" s="3"/>
    </row>
    <row r="21" spans="2:2" x14ac:dyDescent="0.35">
      <c r="B21" s="3"/>
    </row>
    <row r="22" spans="2:2" x14ac:dyDescent="0.35">
      <c r="B22" s="3"/>
    </row>
    <row r="23" spans="2:2" x14ac:dyDescent="0.35">
      <c r="B23" s="3"/>
    </row>
    <row r="24" spans="2:2" x14ac:dyDescent="0.35">
      <c r="B24" s="3"/>
    </row>
    <row r="25" spans="2:2" x14ac:dyDescent="0.35">
      <c r="B25" s="3"/>
    </row>
    <row r="26" spans="2:2" x14ac:dyDescent="0.35">
      <c r="B26" s="3"/>
    </row>
    <row r="27" spans="2:2" x14ac:dyDescent="0.35">
      <c r="B27" s="3"/>
    </row>
    <row r="28" spans="2:2" x14ac:dyDescent="0.35">
      <c r="B28" s="3"/>
    </row>
    <row r="29" spans="2:2" x14ac:dyDescent="0.35">
      <c r="B29" s="3"/>
    </row>
    <row r="30" spans="2:2" x14ac:dyDescent="0.35">
      <c r="B30" s="3"/>
    </row>
    <row r="31" spans="2:2" x14ac:dyDescent="0.3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Gabriel Solonynka Hoffmann</cp:lastModifiedBy>
  <cp:lastPrinted>2022-03-22T10:33:10Z</cp:lastPrinted>
  <dcterms:created xsi:type="dcterms:W3CDTF">2020-06-29T21:30:31Z</dcterms:created>
  <dcterms:modified xsi:type="dcterms:W3CDTF">2023-12-03T00:15:08Z</dcterms:modified>
</cp:coreProperties>
</file>