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8_{23358CAE-AC1A-47CC-9946-17956D4E9518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N181" i="20" s="1"/>
  <c r="J182" i="20" a="1"/>
  <c r="J182" i="20" s="1"/>
  <c r="J183" i="20" a="1"/>
  <c r="J183" i="20" s="1"/>
  <c r="J184" i="20" a="1"/>
  <c r="J184" i="20" s="1"/>
  <c r="J185" i="20" a="1"/>
  <c r="J185" i="20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N193" i="20" s="1"/>
  <c r="J194" i="20" a="1"/>
  <c r="J194" i="20" s="1"/>
  <c r="J195" i="20" a="1"/>
  <c r="J195" i="20" s="1"/>
  <c r="J196" i="20" a="1"/>
  <c r="J196" i="20" s="1"/>
  <c r="J197" i="20" a="1"/>
  <c r="J197" i="20" s="1"/>
  <c r="N197" i="20" s="1"/>
  <c r="J198" i="20" a="1"/>
  <c r="J198" i="20" s="1"/>
  <c r="J199" i="20" a="1"/>
  <c r="J199" i="20" s="1"/>
  <c r="J200" i="20" a="1"/>
  <c r="J200" i="20" s="1"/>
  <c r="J201" i="20" a="1"/>
  <c r="J201" i="20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/>
  <c r="J214" i="20" a="1"/>
  <c r="J214" i="20" s="1"/>
  <c r="J215" i="20" a="1"/>
  <c r="J215" i="20"/>
  <c r="J216" i="20" a="1"/>
  <c r="J216" i="20" s="1"/>
  <c r="J217" i="20" a="1"/>
  <c r="J217" i="20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N225" i="20" s="1"/>
  <c r="J226" i="20" a="1"/>
  <c r="J226" i="20" s="1"/>
  <c r="J227" i="20" a="1"/>
  <c r="J227" i="20" s="1"/>
  <c r="J228" i="20" a="1"/>
  <c r="J228" i="20" s="1"/>
  <c r="J229" i="20" a="1"/>
  <c r="J229" i="20" s="1"/>
  <c r="N229" i="20" s="1"/>
  <c r="J230" i="20" a="1"/>
  <c r="J230" i="20" s="1"/>
  <c r="J231" i="20" a="1"/>
  <c r="J231" i="20" s="1"/>
  <c r="J232" i="20" a="1"/>
  <c r="J232" i="20" s="1"/>
  <c r="J233" i="20" a="1"/>
  <c r="J233" i="20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/>
  <c r="J242" i="20" a="1"/>
  <c r="J242" i="20" s="1"/>
  <c r="J243" i="20" a="1"/>
  <c r="J243" i="20" s="1"/>
  <c r="J244" i="20" a="1"/>
  <c r="J244" i="20" s="1"/>
  <c r="J245" i="20" a="1"/>
  <c r="J245" i="20"/>
  <c r="J246" i="20" a="1"/>
  <c r="J246" i="20" s="1"/>
  <c r="J247" i="20" a="1"/>
  <c r="J247" i="20"/>
  <c r="J248" i="20" a="1"/>
  <c r="J248" i="20" s="1"/>
  <c r="J249" i="20" a="1"/>
  <c r="J249" i="20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N257" i="20" s="1"/>
  <c r="J258" i="20" a="1"/>
  <c r="J258" i="20" s="1"/>
  <c r="J259" i="20" a="1"/>
  <c r="J259" i="20" s="1"/>
  <c r="J260" i="20" a="1"/>
  <c r="J260" i="20" s="1"/>
  <c r="J261" i="20" a="1"/>
  <c r="J261" i="20" s="1"/>
  <c r="N261" i="20" s="1"/>
  <c r="J262" i="20" a="1"/>
  <c r="J262" i="20" s="1"/>
  <c r="J263" i="20" a="1"/>
  <c r="J263" i="20" s="1"/>
  <c r="J264" i="20" a="1"/>
  <c r="J264" i="20" s="1"/>
  <c r="J265" i="20" a="1"/>
  <c r="J265" i="20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/>
  <c r="J274" i="20" a="1"/>
  <c r="J274" i="20" s="1"/>
  <c r="J275" i="20" a="1"/>
  <c r="J275" i="20" s="1"/>
  <c r="J276" i="20" a="1"/>
  <c r="J276" i="20" s="1"/>
  <c r="J277" i="20" a="1"/>
  <c r="J277" i="20"/>
  <c r="J278" i="20" a="1"/>
  <c r="J278" i="20" s="1"/>
  <c r="J279" i="20" a="1"/>
  <c r="J279" i="20"/>
  <c r="J280" i="20" a="1"/>
  <c r="J280" i="20" s="1"/>
  <c r="J281" i="20" a="1"/>
  <c r="J281" i="20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/>
  <c r="K62" i="20" a="1"/>
  <c r="K62" i="20" s="1"/>
  <c r="K63" i="20" a="1"/>
  <c r="K63" i="20" s="1"/>
  <c r="K64" i="20" a="1"/>
  <c r="K64" i="20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/>
  <c r="K192" i="20" a="1"/>
  <c r="K192" i="20" s="1"/>
  <c r="K193" i="20" a="1"/>
  <c r="K193" i="20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/>
  <c r="K225" i="20" a="1"/>
  <c r="K225" i="20" s="1"/>
  <c r="K226" i="20" a="1"/>
  <c r="K226" i="20" s="1"/>
  <c r="K227" i="20" a="1"/>
  <c r="K227" i="20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/>
  <c r="K233" i="20" a="1"/>
  <c r="K233" i="20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/>
  <c r="K240" i="20" a="1"/>
  <c r="K240" i="20" s="1"/>
  <c r="K241" i="20" a="1"/>
  <c r="K241" i="20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/>
  <c r="L32" i="20" a="1"/>
  <c r="L32" i="20" s="1"/>
  <c r="N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/>
  <c r="L41" i="20" a="1"/>
  <c r="L41" i="20" s="1"/>
  <c r="L42" i="20" a="1"/>
  <c r="L42" i="20" s="1"/>
  <c r="L43" i="20" a="1"/>
  <c r="L43" i="20" s="1"/>
  <c r="N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N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/>
  <c r="L94" i="20" a="1"/>
  <c r="L94" i="20" s="1"/>
  <c r="L95" i="20" a="1"/>
  <c r="L95" i="20"/>
  <c r="L96" i="20" a="1"/>
  <c r="L96" i="20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/>
  <c r="L105" i="20" a="1"/>
  <c r="L105" i="20" s="1"/>
  <c r="L106" i="20" a="1"/>
  <c r="L106" i="20" s="1"/>
  <c r="L107" i="20" a="1"/>
  <c r="L107" i="20" s="1"/>
  <c r="N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/>
  <c r="L146" i="20" a="1"/>
  <c r="L146" i="20" s="1"/>
  <c r="L147" i="20" a="1"/>
  <c r="L147" i="20" s="1"/>
  <c r="L148" i="20" a="1"/>
  <c r="L148" i="20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/>
  <c r="L158" i="20" a="1"/>
  <c r="L158" i="20" s="1"/>
  <c r="L159" i="20" a="1"/>
  <c r="L159" i="20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/>
  <c r="L190" i="20" a="1"/>
  <c r="L190" i="20" s="1"/>
  <c r="L191" i="20" a="1"/>
  <c r="L191" i="20"/>
  <c r="L192" i="20" a="1"/>
  <c r="L192" i="20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/>
  <c r="L222" i="20" a="1"/>
  <c r="L222" i="20" s="1"/>
  <c r="L223" i="20" a="1"/>
  <c r="L223" i="20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N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/>
  <c r="L242" i="20" a="1"/>
  <c r="L242" i="20" s="1"/>
  <c r="L243" i="20" a="1"/>
  <c r="L243" i="20" s="1"/>
  <c r="L244" i="20" a="1"/>
  <c r="L244" i="20" s="1"/>
  <c r="N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N253" i="20" s="1"/>
  <c r="L254" i="20" a="1"/>
  <c r="L254" i="20" s="1"/>
  <c r="L255" i="20" a="1"/>
  <c r="L255" i="20" s="1"/>
  <c r="L256" i="20" a="1"/>
  <c r="L256" i="20"/>
  <c r="L257" i="20" a="1"/>
  <c r="L257" i="20" s="1"/>
  <c r="L258" i="20" a="1"/>
  <c r="L258" i="20" s="1"/>
  <c r="N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N264" i="20" s="1"/>
  <c r="L265" i="20" a="1"/>
  <c r="L265" i="20" s="1"/>
  <c r="L266" i="20" a="1"/>
  <c r="L266" i="20" s="1"/>
  <c r="L267" i="20" a="1"/>
  <c r="L267" i="20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N273" i="20" s="1"/>
  <c r="L274" i="20" a="1"/>
  <c r="L274" i="20" s="1"/>
  <c r="L275" i="20" a="1"/>
  <c r="L275" i="20" s="1"/>
  <c r="N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M2" i="20" a="1"/>
  <c r="M2" i="20" s="1"/>
  <c r="M3" i="20" a="1"/>
  <c r="M3" i="20" s="1"/>
  <c r="N3" i="20" s="1"/>
  <c r="M4" i="20" a="1"/>
  <c r="M4" i="20" s="1"/>
  <c r="N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/>
  <c r="N8" i="20" s="1"/>
  <c r="M9" i="20" a="1"/>
  <c r="M9" i="20" s="1"/>
  <c r="N9" i="20" s="1"/>
  <c r="M10" i="20" a="1"/>
  <c r="M10" i="20" s="1"/>
  <c r="M11" i="20" a="1"/>
  <c r="M11" i="20" s="1"/>
  <c r="M12" i="20" a="1"/>
  <c r="M12" i="20" s="1"/>
  <c r="N12" i="20" s="1"/>
  <c r="M13" i="20" a="1"/>
  <c r="M13" i="20" s="1"/>
  <c r="N13" i="20" s="1"/>
  <c r="M14" i="20" a="1"/>
  <c r="M14" i="20" s="1"/>
  <c r="M15" i="20" a="1"/>
  <c r="M15" i="20"/>
  <c r="N15" i="20" s="1"/>
  <c r="M16" i="20" a="1"/>
  <c r="M16" i="20"/>
  <c r="N16" i="20" s="1"/>
  <c r="M17" i="20" a="1"/>
  <c r="M17" i="20" s="1"/>
  <c r="N17" i="20" s="1"/>
  <c r="M18" i="20" a="1"/>
  <c r="M18" i="20" s="1"/>
  <c r="N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 s="1"/>
  <c r="N22" i="20" s="1"/>
  <c r="M23" i="20" a="1"/>
  <c r="M23" i="20" s="1"/>
  <c r="N23" i="20" s="1"/>
  <c r="M24" i="20" a="1"/>
  <c r="M24" i="20"/>
  <c r="N24" i="20" s="1"/>
  <c r="M25" i="20" a="1"/>
  <c r="M25" i="20" s="1"/>
  <c r="N25" i="20" s="1"/>
  <c r="M26" i="20" a="1"/>
  <c r="M26" i="20" s="1"/>
  <c r="M27" i="20" a="1"/>
  <c r="M27" i="20" s="1"/>
  <c r="M28" i="20" a="1"/>
  <c r="M28" i="20" s="1"/>
  <c r="N28" i="20" s="1"/>
  <c r="M29" i="20" a="1"/>
  <c r="M29" i="20" s="1"/>
  <c r="M30" i="20" a="1"/>
  <c r="M30" i="20" s="1"/>
  <c r="N30" i="20" s="1"/>
  <c r="M31" i="20" a="1"/>
  <c r="M31" i="20" s="1"/>
  <c r="N31" i="20" s="1"/>
  <c r="M32" i="20" a="1"/>
  <c r="M32" i="20" s="1"/>
  <c r="M33" i="20" a="1"/>
  <c r="M33" i="20" s="1"/>
  <c r="N33" i="20" s="1"/>
  <c r="M34" i="20" a="1"/>
  <c r="M34" i="20" s="1"/>
  <c r="N34" i="20" s="1"/>
  <c r="M35" i="20" a="1"/>
  <c r="M35" i="20" s="1"/>
  <c r="N35" i="20" s="1"/>
  <c r="M36" i="20" a="1"/>
  <c r="M36" i="20" s="1"/>
  <c r="M37" i="20" a="1"/>
  <c r="M37" i="20" s="1"/>
  <c r="N37" i="20" s="1"/>
  <c r="M38" i="20" a="1"/>
  <c r="M38" i="20" s="1"/>
  <c r="N38" i="20" s="1"/>
  <c r="M39" i="20" a="1"/>
  <c r="M39" i="20" s="1"/>
  <c r="N39" i="20" s="1"/>
  <c r="M40" i="20" a="1"/>
  <c r="M40" i="20" s="1"/>
  <c r="N40" i="20" s="1"/>
  <c r="M41" i="20" a="1"/>
  <c r="M41" i="20" s="1"/>
  <c r="N41" i="20" s="1"/>
  <c r="M42" i="20" a="1"/>
  <c r="M42" i="20" s="1"/>
  <c r="M43" i="20" a="1"/>
  <c r="M43" i="20" s="1"/>
  <c r="M44" i="20" a="1"/>
  <c r="M44" i="20" s="1"/>
  <c r="N44" i="20" s="1"/>
  <c r="M45" i="20" a="1"/>
  <c r="M45" i="20" s="1"/>
  <c r="M46" i="20" a="1"/>
  <c r="M46" i="20" s="1"/>
  <c r="M47" i="20" a="1"/>
  <c r="M47" i="20" s="1"/>
  <c r="N47" i="20" s="1"/>
  <c r="M48" i="20" a="1"/>
  <c r="M48" i="20" s="1"/>
  <c r="N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/>
  <c r="N56" i="20" s="1"/>
  <c r="M57" i="20" a="1"/>
  <c r="M57" i="20"/>
  <c r="M58" i="20" a="1"/>
  <c r="M58" i="20" s="1"/>
  <c r="M59" i="20" a="1"/>
  <c r="M59" i="20" s="1"/>
  <c r="M60" i="20" a="1"/>
  <c r="M60" i="20" s="1"/>
  <c r="N60" i="20" s="1"/>
  <c r="M61" i="20" a="1"/>
  <c r="M61" i="20" s="1"/>
  <c r="M62" i="20" a="1"/>
  <c r="M62" i="20" s="1"/>
  <c r="N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 s="1"/>
  <c r="M69" i="20" a="1"/>
  <c r="M69" i="20" s="1"/>
  <c r="N69" i="20" s="1"/>
  <c r="M70" i="20" a="1"/>
  <c r="M70" i="20" s="1"/>
  <c r="M71" i="20" a="1"/>
  <c r="M71" i="20" s="1"/>
  <c r="N71" i="20" s="1"/>
  <c r="M72" i="20" a="1"/>
  <c r="M72" i="20" s="1"/>
  <c r="N72" i="20" s="1"/>
  <c r="M73" i="20" a="1"/>
  <c r="M73" i="20" s="1"/>
  <c r="M74" i="20" a="1"/>
  <c r="M74" i="20" s="1"/>
  <c r="N74" i="20" s="1"/>
  <c r="M75" i="20" a="1"/>
  <c r="M75" i="20" s="1"/>
  <c r="N75" i="20" s="1"/>
  <c r="M76" i="20" a="1"/>
  <c r="M76" i="20" s="1"/>
  <c r="M77" i="20" a="1"/>
  <c r="M77" i="20" s="1"/>
  <c r="N77" i="20" s="1"/>
  <c r="M78" i="20" a="1"/>
  <c r="M78" i="20" s="1"/>
  <c r="M79" i="20" a="1"/>
  <c r="M79" i="20"/>
  <c r="N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 s="1"/>
  <c r="N83" i="20" s="1"/>
  <c r="M84" i="20" a="1"/>
  <c r="M84" i="20" s="1"/>
  <c r="N84" i="20" s="1"/>
  <c r="M85" i="20" a="1"/>
  <c r="M85" i="20" s="1"/>
  <c r="N85" i="20" s="1"/>
  <c r="M86" i="20" a="1"/>
  <c r="M86" i="20" s="1"/>
  <c r="M87" i="20" a="1"/>
  <c r="M87" i="20" s="1"/>
  <c r="M88" i="20" a="1"/>
  <c r="M88" i="20" s="1"/>
  <c r="N88" i="20" s="1"/>
  <c r="M89" i="20" a="1"/>
  <c r="M89" i="20" s="1"/>
  <c r="N89" i="20" s="1"/>
  <c r="M90" i="20" a="1"/>
  <c r="M90" i="20" s="1"/>
  <c r="M91" i="20" a="1"/>
  <c r="M91" i="20" s="1"/>
  <c r="M92" i="20" a="1"/>
  <c r="M92" i="20"/>
  <c r="N92" i="20" s="1"/>
  <c r="M93" i="20" a="1"/>
  <c r="M93" i="20" s="1"/>
  <c r="M94" i="20" a="1"/>
  <c r="M94" i="20" s="1"/>
  <c r="N94" i="20" s="1"/>
  <c r="M95" i="20" a="1"/>
  <c r="M95" i="20" s="1"/>
  <c r="N95" i="20" s="1"/>
  <c r="M96" i="20" a="1"/>
  <c r="M96" i="20" s="1"/>
  <c r="N96" i="20" s="1"/>
  <c r="M97" i="20" a="1"/>
  <c r="M97" i="20" s="1"/>
  <c r="N97" i="20" s="1"/>
  <c r="M98" i="20" a="1"/>
  <c r="M98" i="20" s="1"/>
  <c r="M99" i="20" a="1"/>
  <c r="M99" i="20" s="1"/>
  <c r="N99" i="20" s="1"/>
  <c r="M100" i="20" a="1"/>
  <c r="M100" i="20" s="1"/>
  <c r="M101" i="20" a="1"/>
  <c r="M101" i="20" s="1"/>
  <c r="N101" i="20" s="1"/>
  <c r="M102" i="20" a="1"/>
  <c r="M102" i="20" s="1"/>
  <c r="M103" i="20" a="1"/>
  <c r="M103" i="20" s="1"/>
  <c r="N103" i="20" s="1"/>
  <c r="M104" i="20" a="1"/>
  <c r="M104" i="20"/>
  <c r="N104" i="20" s="1"/>
  <c r="M105" i="20" a="1"/>
  <c r="M105" i="20" s="1"/>
  <c r="N105" i="20" s="1"/>
  <c r="M106" i="20" a="1"/>
  <c r="M106" i="20" s="1"/>
  <c r="N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/>
  <c r="N111" i="20" s="1"/>
  <c r="M112" i="20" a="1"/>
  <c r="M112" i="20"/>
  <c r="N112" i="20" s="1"/>
  <c r="M113" i="20" a="1"/>
  <c r="M113" i="20" s="1"/>
  <c r="N113" i="20" s="1"/>
  <c r="M114" i="20" a="1"/>
  <c r="M114" i="20" s="1"/>
  <c r="M115" i="20" a="1"/>
  <c r="M115" i="20" s="1"/>
  <c r="N115" i="20" s="1"/>
  <c r="M116" i="20" a="1"/>
  <c r="M116" i="20" s="1"/>
  <c r="M117" i="20" a="1"/>
  <c r="M117" i="20" s="1"/>
  <c r="N117" i="20" s="1"/>
  <c r="M118" i="20" a="1"/>
  <c r="M118" i="20" s="1"/>
  <c r="N118" i="20" s="1"/>
  <c r="M119" i="20" a="1"/>
  <c r="M119" i="20" s="1"/>
  <c r="M120" i="20" a="1"/>
  <c r="M120" i="20"/>
  <c r="N120" i="20" s="1"/>
  <c r="M121" i="20" a="1"/>
  <c r="M121" i="20" s="1"/>
  <c r="N121" i="20" s="1"/>
  <c r="M122" i="20" a="1"/>
  <c r="M122" i="20" s="1"/>
  <c r="N122" i="20" s="1"/>
  <c r="M123" i="20" a="1"/>
  <c r="M123" i="20" s="1"/>
  <c r="M124" i="20" a="1"/>
  <c r="M124" i="20" s="1"/>
  <c r="N124" i="20" s="1"/>
  <c r="M125" i="20" a="1"/>
  <c r="M125" i="20" s="1"/>
  <c r="N125" i="20" s="1"/>
  <c r="M126" i="20" a="1"/>
  <c r="M126" i="20" s="1"/>
  <c r="M127" i="20" a="1"/>
  <c r="M127" i="20" s="1"/>
  <c r="M128" i="20" a="1"/>
  <c r="M128" i="20" s="1"/>
  <c r="N128" i="20" s="1"/>
  <c r="M129" i="20" a="1"/>
  <c r="M129" i="20" s="1"/>
  <c r="N129" i="20" s="1"/>
  <c r="M130" i="20" a="1"/>
  <c r="M130" i="20" s="1"/>
  <c r="M131" i="20" a="1"/>
  <c r="M131" i="20" s="1"/>
  <c r="N131" i="20" s="1"/>
  <c r="M132" i="20" a="1"/>
  <c r="M132" i="20" s="1"/>
  <c r="N132" i="20" s="1"/>
  <c r="M133" i="20" a="1"/>
  <c r="M133" i="20"/>
  <c r="M134" i="20" a="1"/>
  <c r="M134" i="20" s="1"/>
  <c r="M135" i="20" a="1"/>
  <c r="M135" i="20"/>
  <c r="N135" i="20" s="1"/>
  <c r="M136" i="20" a="1"/>
  <c r="M136" i="20"/>
  <c r="M137" i="20" a="1"/>
  <c r="M137" i="20" s="1"/>
  <c r="N137" i="20" s="1"/>
  <c r="M138" i="20" a="1"/>
  <c r="M138" i="20" s="1"/>
  <c r="M139" i="20" a="1"/>
  <c r="M139" i="20" s="1"/>
  <c r="N139" i="20" s="1"/>
  <c r="M140" i="20" a="1"/>
  <c r="M140" i="20" s="1"/>
  <c r="M141" i="20" a="1"/>
  <c r="M141" i="20" s="1"/>
  <c r="M142" i="20" a="1"/>
  <c r="M142" i="20" s="1"/>
  <c r="N142" i="20" s="1"/>
  <c r="M143" i="20" a="1"/>
  <c r="M143" i="20"/>
  <c r="N143" i="20" s="1"/>
  <c r="M144" i="20" a="1"/>
  <c r="M144" i="20" s="1"/>
  <c r="N144" i="20" s="1"/>
  <c r="M145" i="20" a="1"/>
  <c r="M145" i="20" s="1"/>
  <c r="N145" i="20" s="1"/>
  <c r="M146" i="20" a="1"/>
  <c r="M146" i="20" s="1"/>
  <c r="M147" i="20" a="1"/>
  <c r="M147" i="20" s="1"/>
  <c r="N147" i="20" s="1"/>
  <c r="M148" i="20" a="1"/>
  <c r="M148" i="20" s="1"/>
  <c r="N148" i="20" s="1"/>
  <c r="M149" i="20" a="1"/>
  <c r="M149" i="20" s="1"/>
  <c r="M150" i="20" a="1"/>
  <c r="M150" i="20" s="1"/>
  <c r="M151" i="20" a="1"/>
  <c r="M151" i="20" s="1"/>
  <c r="N151" i="20" s="1"/>
  <c r="M152" i="20" a="1"/>
  <c r="M152" i="20" s="1"/>
  <c r="N152" i="20" s="1"/>
  <c r="M153" i="20" a="1"/>
  <c r="M153" i="20" s="1"/>
  <c r="N153" i="20" s="1"/>
  <c r="M154" i="20" a="1"/>
  <c r="M154" i="20" s="1"/>
  <c r="M155" i="20" a="1"/>
  <c r="M155" i="20" s="1"/>
  <c r="N155" i="20" s="1"/>
  <c r="M156" i="20" a="1"/>
  <c r="M156" i="20"/>
  <c r="N156" i="20" s="1"/>
  <c r="M157" i="20" a="1"/>
  <c r="M157" i="20" s="1"/>
  <c r="M158" i="20" a="1"/>
  <c r="M158" i="20" s="1"/>
  <c r="M159" i="20" a="1"/>
  <c r="M159" i="20" s="1"/>
  <c r="N159" i="20" s="1"/>
  <c r="M160" i="20" a="1"/>
  <c r="M160" i="20" s="1"/>
  <c r="M161" i="20" a="1"/>
  <c r="M161" i="20" s="1"/>
  <c r="N161" i="20" s="1"/>
  <c r="M162" i="20" a="1"/>
  <c r="M162" i="20" s="1"/>
  <c r="M163" i="20" a="1"/>
  <c r="M163" i="20" s="1"/>
  <c r="M164" i="20" a="1"/>
  <c r="M164" i="20" s="1"/>
  <c r="M165" i="20" a="1"/>
  <c r="M165" i="20"/>
  <c r="N165" i="20" s="1"/>
  <c r="M166" i="20" a="1"/>
  <c r="M166" i="20" s="1"/>
  <c r="M167" i="20" a="1"/>
  <c r="M167" i="20" s="1"/>
  <c r="N167" i="20" s="1"/>
  <c r="M168" i="20" a="1"/>
  <c r="M168" i="20"/>
  <c r="M169" i="20" a="1"/>
  <c r="M169" i="20" s="1"/>
  <c r="M170" i="20" a="1"/>
  <c r="M170" i="20" s="1"/>
  <c r="M171" i="20" a="1"/>
  <c r="M171" i="20" s="1"/>
  <c r="M172" i="20" a="1"/>
  <c r="M172" i="20" s="1"/>
  <c r="N172" i="20" s="1"/>
  <c r="M173" i="20" a="1"/>
  <c r="M173" i="20" s="1"/>
  <c r="M174" i="20" a="1"/>
  <c r="M174" i="20" s="1"/>
  <c r="N174" i="20" s="1"/>
  <c r="M175" i="20" a="1"/>
  <c r="M175" i="20" s="1"/>
  <c r="N175" i="20" s="1"/>
  <c r="M176" i="20" a="1"/>
  <c r="M176" i="20" s="1"/>
  <c r="N176" i="20" s="1"/>
  <c r="M177" i="20" a="1"/>
  <c r="M177" i="20"/>
  <c r="M178" i="20" a="1"/>
  <c r="M178" i="20" s="1"/>
  <c r="M179" i="20" a="1"/>
  <c r="M179" i="20" s="1"/>
  <c r="N179" i="20" s="1"/>
  <c r="M180" i="20" a="1"/>
  <c r="M180" i="20" s="1"/>
  <c r="N180" i="20" s="1"/>
  <c r="M181" i="20" a="1"/>
  <c r="M181" i="20" s="1"/>
  <c r="M182" i="20" a="1"/>
  <c r="M182" i="20" s="1"/>
  <c r="M183" i="20" a="1"/>
  <c r="M183" i="20"/>
  <c r="M184" i="20" a="1"/>
  <c r="M184" i="20"/>
  <c r="M185" i="20" a="1"/>
  <c r="M185" i="20" s="1"/>
  <c r="N185" i="20" s="1"/>
  <c r="M186" i="20" a="1"/>
  <c r="M186" i="20" s="1"/>
  <c r="N186" i="20" s="1"/>
  <c r="M187" i="20" a="1"/>
  <c r="M187" i="20" s="1"/>
  <c r="M188" i="20" a="1"/>
  <c r="M188" i="20"/>
  <c r="N188" i="20" s="1"/>
  <c r="M189" i="20" a="1"/>
  <c r="M189" i="20" s="1"/>
  <c r="M190" i="20" a="1"/>
  <c r="M190" i="20" s="1"/>
  <c r="N190" i="20" s="1"/>
  <c r="M191" i="20" a="1"/>
  <c r="M191" i="20" s="1"/>
  <c r="N191" i="20" s="1"/>
  <c r="M192" i="20" a="1"/>
  <c r="M192" i="20" s="1"/>
  <c r="N192" i="20" s="1"/>
  <c r="M193" i="20" a="1"/>
  <c r="M193" i="20" s="1"/>
  <c r="M194" i="20" a="1"/>
  <c r="M194" i="20" s="1"/>
  <c r="N194" i="20" s="1"/>
  <c r="M195" i="20" a="1"/>
  <c r="M195" i="20" s="1"/>
  <c r="N195" i="20" s="1"/>
  <c r="M196" i="20" a="1"/>
  <c r="M196" i="20" s="1"/>
  <c r="N196" i="20" s="1"/>
  <c r="M197" i="20" a="1"/>
  <c r="M197" i="20" s="1"/>
  <c r="M198" i="20" a="1"/>
  <c r="M198" i="20" s="1"/>
  <c r="M199" i="20" a="1"/>
  <c r="M199" i="20" s="1"/>
  <c r="N199" i="20" s="1"/>
  <c r="M200" i="20" a="1"/>
  <c r="M200" i="20" s="1"/>
  <c r="N200" i="20" s="1"/>
  <c r="M201" i="20" a="1"/>
  <c r="M201" i="20" s="1"/>
  <c r="N201" i="20" s="1"/>
  <c r="M202" i="20" a="1"/>
  <c r="M202" i="20" s="1"/>
  <c r="M203" i="20" a="1"/>
  <c r="M203" i="20" s="1"/>
  <c r="N203" i="20" s="1"/>
  <c r="M204" i="20" a="1"/>
  <c r="M204" i="20" s="1"/>
  <c r="N204" i="20" s="1"/>
  <c r="M205" i="20" a="1"/>
  <c r="M205" i="20" s="1"/>
  <c r="M206" i="20" a="1"/>
  <c r="M206" i="20" s="1"/>
  <c r="M207" i="20" a="1"/>
  <c r="M207" i="20" s="1"/>
  <c r="N207" i="20" s="1"/>
  <c r="M208" i="20" a="1"/>
  <c r="M208" i="20" s="1"/>
  <c r="N208" i="20" s="1"/>
  <c r="M209" i="20" a="1"/>
  <c r="M209" i="20" s="1"/>
  <c r="N209" i="20" s="1"/>
  <c r="M210" i="20" a="1"/>
  <c r="M210" i="20" s="1"/>
  <c r="M211" i="20" a="1"/>
  <c r="M211" i="20" s="1"/>
  <c r="M212" i="20" a="1"/>
  <c r="M212" i="20"/>
  <c r="N212" i="20" s="1"/>
  <c r="M213" i="20" a="1"/>
  <c r="M213" i="20" s="1"/>
  <c r="N213" i="20" s="1"/>
  <c r="M214" i="20" a="1"/>
  <c r="M214" i="20" s="1"/>
  <c r="M215" i="20" a="1"/>
  <c r="M215" i="20" s="1"/>
  <c r="N215" i="20" s="1"/>
  <c r="M216" i="20" a="1"/>
  <c r="M216" i="20"/>
  <c r="N216" i="20" s="1"/>
  <c r="M217" i="20" a="1"/>
  <c r="M217" i="20"/>
  <c r="M218" i="20" a="1"/>
  <c r="M218" i="20" s="1"/>
  <c r="M219" i="20" a="1"/>
  <c r="M219" i="20" s="1"/>
  <c r="M220" i="20" a="1"/>
  <c r="M220" i="20" s="1"/>
  <c r="N220" i="20" s="1"/>
  <c r="M221" i="20" a="1"/>
  <c r="M221" i="20" s="1"/>
  <c r="M222" i="20" a="1"/>
  <c r="M222" i="20" s="1"/>
  <c r="N222" i="20" s="1"/>
  <c r="M223" i="20" a="1"/>
  <c r="M223" i="20"/>
  <c r="N223" i="20" s="1"/>
  <c r="M224" i="20" a="1"/>
  <c r="M224" i="20" s="1"/>
  <c r="N224" i="20" s="1"/>
  <c r="M225" i="20" a="1"/>
  <c r="M225" i="20" s="1"/>
  <c r="M226" i="20" a="1"/>
  <c r="M226" i="20" s="1"/>
  <c r="M227" i="20" a="1"/>
  <c r="M227" i="20" s="1"/>
  <c r="M228" i="20" a="1"/>
  <c r="M228" i="20" s="1"/>
  <c r="N228" i="20" s="1"/>
  <c r="M229" i="20" a="1"/>
  <c r="M229" i="20" s="1"/>
  <c r="M230" i="20" a="1"/>
  <c r="M230" i="20" s="1"/>
  <c r="N230" i="20" s="1"/>
  <c r="M231" i="20" a="1"/>
  <c r="M231" i="20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 s="1"/>
  <c r="M236" i="20" a="1"/>
  <c r="M236" i="20"/>
  <c r="M237" i="20" a="1"/>
  <c r="M237" i="20" s="1"/>
  <c r="M238" i="20" a="1"/>
  <c r="M238" i="20" s="1"/>
  <c r="M239" i="20" a="1"/>
  <c r="M239" i="20" s="1"/>
  <c r="N239" i="20" s="1"/>
  <c r="M240" i="20" a="1"/>
  <c r="M240" i="20"/>
  <c r="N240" i="20" s="1"/>
  <c r="M241" i="20" a="1"/>
  <c r="M241" i="20" s="1"/>
  <c r="N241" i="20" s="1"/>
  <c r="M242" i="20" a="1"/>
  <c r="M242" i="20" s="1"/>
  <c r="M243" i="20" a="1"/>
  <c r="M243" i="20" s="1"/>
  <c r="M244" i="20" a="1"/>
  <c r="M244" i="20"/>
  <c r="M245" i="20" a="1"/>
  <c r="M245" i="20" s="1"/>
  <c r="M246" i="20" a="1"/>
  <c r="M246" i="20" s="1"/>
  <c r="N246" i="20" s="1"/>
  <c r="M247" i="20" a="1"/>
  <c r="M247" i="20" s="1"/>
  <c r="N247" i="20" s="1"/>
  <c r="M248" i="20" a="1"/>
  <c r="M248" i="20" s="1"/>
  <c r="N248" i="20" s="1"/>
  <c r="M249" i="20" a="1"/>
  <c r="M249" i="20"/>
  <c r="N249" i="20" s="1"/>
  <c r="M250" i="20" a="1"/>
  <c r="M250" i="20" s="1"/>
  <c r="N250" i="20" s="1"/>
  <c r="M251" i="20" a="1"/>
  <c r="M251" i="20" s="1"/>
  <c r="M252" i="20" a="1"/>
  <c r="M252" i="20" s="1"/>
  <c r="N252" i="20" s="1"/>
  <c r="M253" i="20" a="1"/>
  <c r="M253" i="20" s="1"/>
  <c r="M254" i="20" a="1"/>
  <c r="M254" i="20" s="1"/>
  <c r="M255" i="20" a="1"/>
  <c r="M255" i="20"/>
  <c r="M256" i="20" a="1"/>
  <c r="M256" i="20"/>
  <c r="N256" i="20" s="1"/>
  <c r="M257" i="20" a="1"/>
  <c r="M257" i="20" s="1"/>
  <c r="M258" i="20" a="1"/>
  <c r="M258" i="20" s="1"/>
  <c r="M259" i="20" a="1"/>
  <c r="M259" i="20" s="1"/>
  <c r="N259" i="20" s="1"/>
  <c r="M260" i="20" a="1"/>
  <c r="M260" i="20" s="1"/>
  <c r="N260" i="20" s="1"/>
  <c r="M261" i="20" a="1"/>
  <c r="M261" i="20" s="1"/>
  <c r="M262" i="20" a="1"/>
  <c r="M262" i="20" s="1"/>
  <c r="M263" i="20" a="1"/>
  <c r="M263" i="20" s="1"/>
  <c r="N263" i="20" s="1"/>
  <c r="M264" i="20" a="1"/>
  <c r="M264" i="20"/>
  <c r="M265" i="20" a="1"/>
  <c r="M265" i="20" s="1"/>
  <c r="N265" i="20" s="1"/>
  <c r="M266" i="20" a="1"/>
  <c r="M266" i="20" s="1"/>
  <c r="M267" i="20" a="1"/>
  <c r="M267" i="20"/>
  <c r="N267" i="20" s="1"/>
  <c r="M268" i="20" a="1"/>
  <c r="M268" i="20" s="1"/>
  <c r="N268" i="20" s="1"/>
  <c r="M269" i="20" a="1"/>
  <c r="M269" i="20" s="1"/>
  <c r="N269" i="20" s="1"/>
  <c r="M270" i="20" a="1"/>
  <c r="M270" i="20" s="1"/>
  <c r="M271" i="20" a="1"/>
  <c r="M271" i="20" s="1"/>
  <c r="N271" i="20" s="1"/>
  <c r="M272" i="20" a="1"/>
  <c r="M272" i="20" s="1"/>
  <c r="N272" i="20" s="1"/>
  <c r="M273" i="20" a="1"/>
  <c r="M273" i="20"/>
  <c r="M274" i="20" a="1"/>
  <c r="M274" i="20" s="1"/>
  <c r="M275" i="20" a="1"/>
  <c r="M275" i="20"/>
  <c r="M276" i="20" a="1"/>
  <c r="M276" i="20"/>
  <c r="N276" i="20" s="1"/>
  <c r="M277" i="20" a="1"/>
  <c r="M277" i="20" s="1"/>
  <c r="N277" i="20" s="1"/>
  <c r="M278" i="20" a="1"/>
  <c r="M278" i="20" s="1"/>
  <c r="M279" i="20" a="1"/>
  <c r="M279" i="20" s="1"/>
  <c r="N279" i="20" s="1"/>
  <c r="M280" i="20" a="1"/>
  <c r="M280" i="20" s="1"/>
  <c r="N280" i="20" s="1"/>
  <c r="M281" i="20" a="1"/>
  <c r="M281" i="20" s="1"/>
  <c r="N281" i="20" s="1"/>
  <c r="N2" i="20"/>
  <c r="N10" i="20"/>
  <c r="N11" i="20"/>
  <c r="N14" i="20"/>
  <c r="N26" i="20"/>
  <c r="N27" i="20"/>
  <c r="N36" i="20"/>
  <c r="N42" i="20"/>
  <c r="N45" i="20"/>
  <c r="N46" i="20"/>
  <c r="N50" i="20"/>
  <c r="N57" i="20"/>
  <c r="N58" i="20"/>
  <c r="N59" i="20"/>
  <c r="N67" i="20"/>
  <c r="N68" i="20"/>
  <c r="N70" i="20"/>
  <c r="N73" i="20"/>
  <c r="N76" i="20"/>
  <c r="N78" i="20"/>
  <c r="N86" i="20"/>
  <c r="N90" i="20"/>
  <c r="N91" i="20"/>
  <c r="N93" i="20"/>
  <c r="N98" i="20"/>
  <c r="N100" i="20"/>
  <c r="N102" i="20"/>
  <c r="N108" i="20"/>
  <c r="N109" i="20"/>
  <c r="N110" i="20"/>
  <c r="N114" i="20"/>
  <c r="N116" i="20"/>
  <c r="N119" i="20"/>
  <c r="N123" i="20"/>
  <c r="N126" i="20"/>
  <c r="N130" i="20"/>
  <c r="N133" i="20"/>
  <c r="N134" i="20"/>
  <c r="N138" i="20"/>
  <c r="N140" i="20"/>
  <c r="N141" i="20"/>
  <c r="N146" i="20"/>
  <c r="N149" i="20"/>
  <c r="N150" i="20"/>
  <c r="N154" i="20"/>
  <c r="N157" i="20"/>
  <c r="N158" i="20"/>
  <c r="N160" i="20"/>
  <c r="N162" i="20"/>
  <c r="N163" i="20"/>
  <c r="N164" i="20"/>
  <c r="N166" i="20"/>
  <c r="N169" i="20"/>
  <c r="N170" i="20"/>
  <c r="N171" i="20"/>
  <c r="N173" i="20"/>
  <c r="N178" i="20"/>
  <c r="N182" i="20"/>
  <c r="N184" i="20"/>
  <c r="N187" i="20"/>
  <c r="N189" i="20"/>
  <c r="N198" i="20"/>
  <c r="N202" i="20"/>
  <c r="N205" i="20"/>
  <c r="N206" i="20"/>
  <c r="N210" i="20"/>
  <c r="N211" i="20"/>
  <c r="N214" i="20"/>
  <c r="N217" i="20"/>
  <c r="N218" i="20"/>
  <c r="N219" i="20"/>
  <c r="N221" i="20"/>
  <c r="N226" i="20"/>
  <c r="N227" i="20"/>
  <c r="N236" i="20"/>
  <c r="N237" i="20"/>
  <c r="N238" i="20"/>
  <c r="N242" i="20"/>
  <c r="N243" i="20"/>
  <c r="N245" i="20"/>
  <c r="N251" i="20"/>
  <c r="N254" i="20"/>
  <c r="N262" i="20"/>
  <c r="N266" i="20"/>
  <c r="N270" i="20"/>
  <c r="N274" i="20"/>
  <c r="N278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/>
  <c r="O18" i="20" a="1"/>
  <c r="O18" i="20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/>
  <c r="O90" i="20" a="1"/>
  <c r="O90" i="20" s="1"/>
  <c r="O91" i="20" a="1"/>
  <c r="O91" i="20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/>
  <c r="O199" i="20" a="1"/>
  <c r="O199" i="20" s="1"/>
  <c r="O200" i="20" a="1"/>
  <c r="O200" i="20" s="1"/>
  <c r="O201" i="20" a="1"/>
  <c r="O201" i="20" s="1"/>
  <c r="O202" i="20" a="1"/>
  <c r="O202" i="20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/>
  <c r="P79" i="20" a="1"/>
  <c r="P79" i="20" s="1"/>
  <c r="P80" i="20" a="1"/>
  <c r="P80" i="20" s="1"/>
  <c r="P81" i="20" a="1"/>
  <c r="P81" i="20" s="1"/>
  <c r="P82" i="20" a="1"/>
  <c r="P82" i="20"/>
  <c r="P83" i="20" a="1"/>
  <c r="P83" i="20" s="1"/>
  <c r="P84" i="20" a="1"/>
  <c r="P84" i="20" s="1"/>
  <c r="P85" i="20" a="1"/>
  <c r="P85" i="20" s="1"/>
  <c r="P86" i="20" a="1"/>
  <c r="P86" i="20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/>
  <c r="P171" i="20" a="1"/>
  <c r="P171" i="20" s="1"/>
  <c r="P172" i="20" a="1"/>
  <c r="P172" i="20" s="1"/>
  <c r="P173" i="20" a="1"/>
  <c r="P173" i="20" s="1"/>
  <c r="P174" i="20" a="1"/>
  <c r="P174" i="20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/>
  <c r="P203" i="20" a="1"/>
  <c r="P203" i="20" s="1"/>
  <c r="P204" i="20" a="1"/>
  <c r="P204" i="20" s="1"/>
  <c r="P205" i="20" a="1"/>
  <c r="P205" i="20" s="1"/>
  <c r="P206" i="20" a="1"/>
  <c r="P206" i="20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/>
  <c r="P215" i="20" a="1"/>
  <c r="P215" i="20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/>
  <c r="P223" i="20" a="1"/>
  <c r="P223" i="20" s="1"/>
  <c r="P224" i="20" a="1"/>
  <c r="P224" i="20" s="1"/>
  <c r="P225" i="20" a="1"/>
  <c r="P225" i="20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/>
  <c r="P244" i="20" a="1"/>
  <c r="P244" i="20" s="1"/>
  <c r="P245" i="20" a="1"/>
  <c r="P245" i="20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/>
  <c r="P267" i="20" a="1"/>
  <c r="P267" i="20" s="1"/>
  <c r="P268" i="20" a="1"/>
  <c r="P268" i="20" s="1"/>
  <c r="P269" i="20" a="1"/>
  <c r="P269" i="20" s="1"/>
  <c r="P270" i="20" a="1"/>
  <c r="P270" i="20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/>
  <c r="P279" i="20" a="1"/>
  <c r="P279" i="20"/>
  <c r="P280" i="20" a="1"/>
  <c r="P280" i="20" s="1"/>
  <c r="P281" i="20" a="1"/>
  <c r="P281" i="20" s="1"/>
  <c r="H2" i="19"/>
  <c r="H3" i="19"/>
  <c r="H4" i="19"/>
  <c r="H5" i="19"/>
  <c r="H6" i="19"/>
  <c r="H7" i="19"/>
  <c r="H8" i="19"/>
  <c r="K8" i="19" s="1" a="1"/>
  <c r="K8" i="19" s="1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J64" i="19" s="1" a="1"/>
  <c r="J64" i="19" s="1"/>
  <c r="H65" i="19"/>
  <c r="H66" i="19"/>
  <c r="H67" i="19"/>
  <c r="H68" i="19"/>
  <c r="H69" i="19"/>
  <c r="H70" i="19"/>
  <c r="H71" i="19"/>
  <c r="H72" i="19"/>
  <c r="K72" i="19" s="1" a="1"/>
  <c r="K72" i="19" s="1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I101" i="19" a="1"/>
  <c r="I101" i="19" s="1"/>
  <c r="I102" i="19" a="1"/>
  <c r="I102" i="19" s="1"/>
  <c r="I103" i="19" a="1"/>
  <c r="I103" i="19" s="1"/>
  <c r="I104" i="19" a="1"/>
  <c r="I104" i="19" s="1"/>
  <c r="I105" i="19" a="1"/>
  <c r="I105" i="19" s="1"/>
  <c r="I106" i="19" a="1"/>
  <c r="I106" i="19" s="1"/>
  <c r="I107" i="19" a="1"/>
  <c r="I107" i="19" s="1"/>
  <c r="I108" i="19" a="1"/>
  <c r="I108" i="19" s="1"/>
  <c r="I109" i="19" a="1"/>
  <c r="I109" i="19" s="1"/>
  <c r="I110" i="19" a="1"/>
  <c r="I110" i="19" s="1"/>
  <c r="I111" i="19" a="1"/>
  <c r="I111" i="19" s="1"/>
  <c r="I112" i="19" a="1"/>
  <c r="I112" i="19" s="1"/>
  <c r="I113" i="19" a="1"/>
  <c r="I113" i="19" s="1"/>
  <c r="I114" i="19" a="1"/>
  <c r="I114" i="19" s="1"/>
  <c r="I115" i="19" a="1"/>
  <c r="I115" i="19" s="1"/>
  <c r="I116" i="19" a="1"/>
  <c r="I116" i="19" s="1"/>
  <c r="I117" i="19" a="1"/>
  <c r="I117" i="19" s="1"/>
  <c r="I118" i="19" a="1"/>
  <c r="I118" i="19" s="1"/>
  <c r="I119" i="19" a="1"/>
  <c r="I119" i="19" s="1"/>
  <c r="I120" i="19" a="1"/>
  <c r="I120" i="19" s="1"/>
  <c r="I121" i="19" a="1"/>
  <c r="I121" i="19" s="1"/>
  <c r="J56" i="19" a="1"/>
  <c r="J56" i="19" s="1"/>
  <c r="J120" i="19" a="1"/>
  <c r="J120" i="19" s="1"/>
  <c r="K64" i="19" a="1"/>
  <c r="K64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L62" i="19" a="1"/>
  <c r="L62" i="19" s="1"/>
  <c r="L63" i="19" a="1"/>
  <c r="L63" i="19" s="1"/>
  <c r="L64" i="19" a="1"/>
  <c r="L64" i="19" s="1"/>
  <c r="L65" i="19" a="1"/>
  <c r="L65" i="19" s="1"/>
  <c r="L66" i="19" a="1"/>
  <c r="L66" i="19" s="1"/>
  <c r="L67" i="19" a="1"/>
  <c r="L67" i="19" s="1"/>
  <c r="L68" i="19" a="1"/>
  <c r="L68" i="19" s="1"/>
  <c r="L69" i="19" a="1"/>
  <c r="L69" i="19" s="1"/>
  <c r="L70" i="19" a="1"/>
  <c r="L70" i="19" s="1"/>
  <c r="L71" i="19" a="1"/>
  <c r="L71" i="19" s="1"/>
  <c r="L72" i="19" a="1"/>
  <c r="L72" i="19" s="1"/>
  <c r="L73" i="19" a="1"/>
  <c r="L73" i="19" s="1"/>
  <c r="L74" i="19" a="1"/>
  <c r="L74" i="19" s="1"/>
  <c r="L75" i="19" a="1"/>
  <c r="L75" i="19" s="1"/>
  <c r="L76" i="19" a="1"/>
  <c r="L76" i="19" s="1"/>
  <c r="L77" i="19" a="1"/>
  <c r="L77" i="19" s="1"/>
  <c r="L78" i="19" a="1"/>
  <c r="L78" i="19" s="1"/>
  <c r="L79" i="19" a="1"/>
  <c r="L79" i="19" s="1"/>
  <c r="L80" i="19" a="1"/>
  <c r="L80" i="19" s="1"/>
  <c r="L81" i="19" a="1"/>
  <c r="L81" i="19" s="1"/>
  <c r="L82" i="19" a="1"/>
  <c r="L82" i="19" s="1"/>
  <c r="L83" i="19" a="1"/>
  <c r="L83" i="19" s="1"/>
  <c r="L84" i="19" a="1"/>
  <c r="L84" i="19" s="1"/>
  <c r="L85" i="19" a="1"/>
  <c r="L85" i="19" s="1"/>
  <c r="L86" i="19" a="1"/>
  <c r="L86" i="19" s="1"/>
  <c r="L87" i="19" a="1"/>
  <c r="L87" i="19" s="1"/>
  <c r="L88" i="19" a="1"/>
  <c r="L88" i="19" s="1"/>
  <c r="L89" i="19" a="1"/>
  <c r="L89" i="19" s="1"/>
  <c r="L90" i="19" a="1"/>
  <c r="L90" i="19" s="1"/>
  <c r="L91" i="19" a="1"/>
  <c r="L91" i="19" s="1"/>
  <c r="L92" i="19" a="1"/>
  <c r="L92" i="19" s="1"/>
  <c r="L93" i="19" a="1"/>
  <c r="L93" i="19" s="1"/>
  <c r="L94" i="19" a="1"/>
  <c r="L94" i="19" s="1"/>
  <c r="L95" i="19" a="1"/>
  <c r="L95" i="19" s="1"/>
  <c r="L96" i="19" a="1"/>
  <c r="L96" i="19" s="1"/>
  <c r="L97" i="19" a="1"/>
  <c r="L97" i="19" s="1"/>
  <c r="L98" i="19" a="1"/>
  <c r="L98" i="19" s="1"/>
  <c r="L99" i="19" a="1"/>
  <c r="L99" i="19" s="1"/>
  <c r="L100" i="19" a="1"/>
  <c r="L100" i="19" s="1"/>
  <c r="L101" i="19" a="1"/>
  <c r="L101" i="19" s="1"/>
  <c r="L102" i="19" a="1"/>
  <c r="L102" i="19" s="1"/>
  <c r="L103" i="19" a="1"/>
  <c r="L103" i="19" s="1"/>
  <c r="L104" i="19" a="1"/>
  <c r="L104" i="19" s="1"/>
  <c r="L105" i="19" a="1"/>
  <c r="L105" i="19" s="1"/>
  <c r="L106" i="19" a="1"/>
  <c r="L106" i="19" s="1"/>
  <c r="L107" i="19" a="1"/>
  <c r="L107" i="19" s="1"/>
  <c r="L108" i="19" a="1"/>
  <c r="L108" i="19" s="1"/>
  <c r="L109" i="19" a="1"/>
  <c r="L109" i="19" s="1"/>
  <c r="L110" i="19" a="1"/>
  <c r="L110" i="19" s="1"/>
  <c r="L111" i="19" a="1"/>
  <c r="L111" i="19" s="1"/>
  <c r="L112" i="19" a="1"/>
  <c r="L112" i="19" s="1"/>
  <c r="L113" i="19" a="1"/>
  <c r="L113" i="19" s="1"/>
  <c r="L114" i="19" a="1"/>
  <c r="L114" i="19" s="1"/>
  <c r="L115" i="19" a="1"/>
  <c r="L115" i="19" s="1"/>
  <c r="L116" i="19" a="1"/>
  <c r="L116" i="19" s="1"/>
  <c r="L117" i="19" a="1"/>
  <c r="L117" i="19" s="1"/>
  <c r="L118" i="19" a="1"/>
  <c r="L118" i="19" s="1"/>
  <c r="L119" i="19" a="1"/>
  <c r="L119" i="19" s="1"/>
  <c r="L120" i="19" a="1"/>
  <c r="L120" i="19" s="1"/>
  <c r="L121" i="19" a="1"/>
  <c r="L121" i="19" s="1"/>
  <c r="N7" i="19" a="1"/>
  <c r="N7" i="19" s="1"/>
  <c r="N47" i="19" a="1"/>
  <c r="N47" i="19" s="1"/>
  <c r="N69" i="19" a="1"/>
  <c r="N69" i="19" s="1"/>
  <c r="N79" i="19" a="1"/>
  <c r="N79" i="19" s="1"/>
  <c r="N85" i="19" a="1"/>
  <c r="N85" i="19" s="1"/>
  <c r="N92" i="19" a="1"/>
  <c r="N92" i="19" s="1"/>
  <c r="N95" i="19" a="1"/>
  <c r="N95" i="19" s="1"/>
  <c r="N102" i="19" a="1"/>
  <c r="N102" i="19" s="1"/>
  <c r="N103" i="19" a="1"/>
  <c r="N103" i="19" s="1"/>
  <c r="N106" i="19" a="1"/>
  <c r="N106" i="19" s="1"/>
  <c r="N107" i="19" a="1"/>
  <c r="N107" i="19" s="1"/>
  <c r="N108" i="19" a="1"/>
  <c r="N108" i="19" s="1"/>
  <c r="N109" i="19" a="1"/>
  <c r="N109" i="19" s="1"/>
  <c r="N110" i="19" a="1"/>
  <c r="N110" i="19" s="1"/>
  <c r="N111" i="19" a="1"/>
  <c r="N111" i="19" s="1"/>
  <c r="N114" i="19" a="1"/>
  <c r="N114" i="19" s="1"/>
  <c r="N115" i="19" a="1"/>
  <c r="N115" i="19" s="1"/>
  <c r="N116" i="19" a="1"/>
  <c r="N116" i="19" s="1"/>
  <c r="N117" i="19" a="1"/>
  <c r="N117" i="19" s="1"/>
  <c r="N118" i="19" a="1"/>
  <c r="N118" i="19" s="1"/>
  <c r="N119" i="19" a="1"/>
  <c r="N119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3" i="19" a="1"/>
  <c r="O73" i="19" s="1"/>
  <c r="O74" i="19" a="1"/>
  <c r="O74" i="19" s="1"/>
  <c r="O75" i="19" a="1"/>
  <c r="O75" i="19" s="1"/>
  <c r="O76" i="19" a="1"/>
  <c r="O76" i="19" s="1"/>
  <c r="O77" i="19" a="1"/>
  <c r="O77" i="19" s="1"/>
  <c r="O78" i="19" a="1"/>
  <c r="O78" i="19" s="1"/>
  <c r="O79" i="19" a="1"/>
  <c r="O79" i="19" s="1"/>
  <c r="O81" i="19" a="1"/>
  <c r="O81" i="19" s="1"/>
  <c r="O82" i="19" a="1"/>
  <c r="O82" i="19" s="1"/>
  <c r="O83" i="19" a="1"/>
  <c r="O83" i="19" s="1"/>
  <c r="O84" i="19" a="1"/>
  <c r="O84" i="19" s="1"/>
  <c r="O85" i="19" a="1"/>
  <c r="O85" i="19" s="1"/>
  <c r="O86" i="19" a="1"/>
  <c r="O86" i="19" s="1"/>
  <c r="O87" i="19" a="1"/>
  <c r="O87" i="19" s="1"/>
  <c r="O89" i="19" a="1"/>
  <c r="O89" i="19" s="1"/>
  <c r="O90" i="19" a="1"/>
  <c r="O90" i="19" s="1"/>
  <c r="O91" i="19" a="1"/>
  <c r="O91" i="19" s="1"/>
  <c r="O92" i="19" a="1"/>
  <c r="O92" i="19" s="1"/>
  <c r="O93" i="19" a="1"/>
  <c r="O93" i="19" s="1"/>
  <c r="O94" i="19" a="1"/>
  <c r="O94" i="19" s="1"/>
  <c r="O95" i="19" a="1"/>
  <c r="O95" i="19" s="1"/>
  <c r="O97" i="19" a="1"/>
  <c r="O97" i="19" s="1"/>
  <c r="O98" i="19" a="1"/>
  <c r="O98" i="19" s="1"/>
  <c r="O99" i="19" a="1"/>
  <c r="O99" i="19" s="1"/>
  <c r="O100" i="19" a="1"/>
  <c r="O100" i="19" s="1"/>
  <c r="O101" i="19" a="1"/>
  <c r="O101" i="19" s="1"/>
  <c r="O102" i="19" a="1"/>
  <c r="O102" i="19" s="1"/>
  <c r="O103" i="19" a="1"/>
  <c r="O103" i="19" s="1"/>
  <c r="O105" i="19" a="1"/>
  <c r="O105" i="19" s="1"/>
  <c r="O106" i="19" a="1"/>
  <c r="O106" i="19" s="1"/>
  <c r="O107" i="19" a="1"/>
  <c r="O107" i="19" s="1"/>
  <c r="O108" i="19" a="1"/>
  <c r="O108" i="19" s="1"/>
  <c r="O109" i="19" a="1"/>
  <c r="O109" i="19" s="1"/>
  <c r="O110" i="19" a="1"/>
  <c r="O110" i="19" s="1"/>
  <c r="O111" i="19" a="1"/>
  <c r="O111" i="19" s="1"/>
  <c r="O113" i="19" a="1"/>
  <c r="O113" i="19" s="1"/>
  <c r="O114" i="19" a="1"/>
  <c r="O114" i="19" s="1"/>
  <c r="O115" i="19" a="1"/>
  <c r="O115" i="19" s="1"/>
  <c r="O116" i="19" a="1"/>
  <c r="O116" i="19" s="1"/>
  <c r="O117" i="19" a="1"/>
  <c r="O117" i="19" s="1"/>
  <c r="O118" i="19" a="1"/>
  <c r="O118" i="19" s="1"/>
  <c r="O119" i="19" a="1"/>
  <c r="O119" i="19" s="1"/>
  <c r="O121" i="19" a="1"/>
  <c r="O12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/>
  <c r="N214" i="18" a="1"/>
  <c r="N214" i="18" s="1"/>
  <c r="N215" i="18" a="1"/>
  <c r="N215" i="18"/>
  <c r="N216" i="18" a="1"/>
  <c r="N216" i="18" s="1"/>
  <c r="N217" i="18" a="1"/>
  <c r="N217" i="18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/>
  <c r="N232" i="18" a="1"/>
  <c r="N232" i="18" s="1"/>
  <c r="N233" i="18" a="1"/>
  <c r="N233" i="18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/>
  <c r="N343" i="18" a="1"/>
  <c r="N343" i="18" s="1"/>
  <c r="N344" i="18" a="1"/>
  <c r="N344" i="18" s="1"/>
  <c r="N345" i="18" a="1"/>
  <c r="N345" i="18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/>
  <c r="N397" i="18" a="1"/>
  <c r="N397" i="18" s="1"/>
  <c r="N398" i="18" a="1"/>
  <c r="N398" i="18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/>
  <c r="N421" i="18" a="1"/>
  <c r="N421" i="18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/>
  <c r="N439" i="18" a="1"/>
  <c r="N439" i="18" s="1"/>
  <c r="N440" i="18" a="1"/>
  <c r="N440" i="18" s="1"/>
  <c r="N441" i="18" a="1"/>
  <c r="N44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/>
  <c r="O114" i="18" a="1"/>
  <c r="O114" i="18"/>
  <c r="O115" i="18" a="1"/>
  <c r="O115" i="18" s="1"/>
  <c r="O116" i="18" a="1"/>
  <c r="O116" i="18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/>
  <c r="O146" i="18" a="1"/>
  <c r="O146" i="18" s="1"/>
  <c r="O147" i="18" a="1"/>
  <c r="O147" i="18" s="1"/>
  <c r="O148" i="18" a="1"/>
  <c r="O148" i="18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/>
  <c r="O155" i="18" a="1"/>
  <c r="O155" i="18" s="1"/>
  <c r="O156" i="18" a="1"/>
  <c r="O156" i="18" s="1"/>
  <c r="O157" i="18" a="1"/>
  <c r="O157" i="18"/>
  <c r="O158" i="18" a="1"/>
  <c r="O158" i="18" s="1"/>
  <c r="O159" i="18" a="1"/>
  <c r="O159" i="18" s="1"/>
  <c r="O160" i="18" a="1"/>
  <c r="O160" i="18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/>
  <c r="O190" i="18" a="1"/>
  <c r="O190" i="18"/>
  <c r="O191" i="18" a="1"/>
  <c r="O191" i="18" s="1"/>
  <c r="O192" i="18" a="1"/>
  <c r="O192" i="18"/>
  <c r="O193" i="18" a="1"/>
  <c r="O193" i="18" s="1"/>
  <c r="O194" i="18" a="1"/>
  <c r="O194" i="18"/>
  <c r="O195" i="18" a="1"/>
  <c r="O195" i="18" s="1"/>
  <c r="O196" i="18" a="1"/>
  <c r="O196" i="18" s="1"/>
  <c r="O197" i="18" a="1"/>
  <c r="O197" i="18" s="1"/>
  <c r="O198" i="18" a="1"/>
  <c r="O198" i="18"/>
  <c r="O199" i="18" a="1"/>
  <c r="O199" i="18" s="1"/>
  <c r="O200" i="18" a="1"/>
  <c r="O200" i="18" s="1"/>
  <c r="O201" i="18" a="1"/>
  <c r="O201" i="18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/>
  <c r="O234" i="18" a="1"/>
  <c r="O234" i="18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/>
  <c r="O244" i="18" a="1"/>
  <c r="O244" i="18" s="1"/>
  <c r="O245" i="18" a="1"/>
  <c r="O245" i="18" s="1"/>
  <c r="O246" i="18" a="1"/>
  <c r="O246" i="18"/>
  <c r="O247" i="18" a="1"/>
  <c r="O247" i="18" s="1"/>
  <c r="O248" i="18" a="1"/>
  <c r="O248" i="18" s="1"/>
  <c r="O249" i="18" a="1"/>
  <c r="O249" i="18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/>
  <c r="O276" i="18" a="1"/>
  <c r="O276" i="18" s="1"/>
  <c r="O277" i="18" a="1"/>
  <c r="O277" i="18" s="1"/>
  <c r="O278" i="18" a="1"/>
  <c r="O278" i="18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/>
  <c r="O288" i="18" a="1"/>
  <c r="O288" i="18" s="1"/>
  <c r="O289" i="18" a="1"/>
  <c r="O289" i="18"/>
  <c r="O290" i="18" a="1"/>
  <c r="O290" i="18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/>
  <c r="O299" i="18" a="1"/>
  <c r="O299" i="18"/>
  <c r="O300" i="18" a="1"/>
  <c r="O300" i="18" s="1"/>
  <c r="O301" i="18" a="1"/>
  <c r="O301" i="18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/>
  <c r="O331" i="18" a="1"/>
  <c r="O331" i="18" s="1"/>
  <c r="O332" i="18" a="1"/>
  <c r="O332" i="18" s="1"/>
  <c r="O333" i="18" a="1"/>
  <c r="O333" i="18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/>
  <c r="O340" i="18" a="1"/>
  <c r="O340" i="18" s="1"/>
  <c r="O341" i="18" a="1"/>
  <c r="O341" i="18" s="1"/>
  <c r="O342" i="18" a="1"/>
  <c r="O342" i="18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/>
  <c r="O364" i="18" a="1"/>
  <c r="O364" i="18" s="1"/>
  <c r="O365" i="18" a="1"/>
  <c r="O365" i="18"/>
  <c r="O366" i="18" a="1"/>
  <c r="O366" i="18" s="1"/>
  <c r="O367" i="18" a="1"/>
  <c r="O367" i="18" s="1"/>
  <c r="O368" i="18" a="1"/>
  <c r="O368" i="18" s="1"/>
  <c r="O369" i="18" a="1"/>
  <c r="O369" i="18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/>
  <c r="O396" i="18" a="1"/>
  <c r="O396" i="18" s="1"/>
  <c r="O397" i="18" a="1"/>
  <c r="O397" i="18"/>
  <c r="O398" i="18" a="1"/>
  <c r="O398" i="18" s="1"/>
  <c r="O399" i="18" a="1"/>
  <c r="O399" i="18" s="1"/>
  <c r="O400" i="18" a="1"/>
  <c r="O400" i="18" s="1"/>
  <c r="O401" i="18" a="1"/>
  <c r="O401" i="18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/>
  <c r="P2" i="18" a="1"/>
  <c r="P2" i="18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/>
  <c r="P24" i="18" a="1"/>
  <c r="P24" i="18" s="1"/>
  <c r="P25" i="18" a="1"/>
  <c r="P25" i="18" s="1"/>
  <c r="P26" i="18" a="1"/>
  <c r="P26" i="18" s="1"/>
  <c r="P27" i="18" a="1"/>
  <c r="P27" i="18"/>
  <c r="P28" i="18" a="1"/>
  <c r="P28" i="18" s="1"/>
  <c r="P29" i="18" a="1"/>
  <c r="P29" i="18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/>
  <c r="P134" i="18" a="1"/>
  <c r="P134" i="18" s="1"/>
  <c r="P135" i="18" a="1"/>
  <c r="P135" i="18"/>
  <c r="P136" i="18" a="1"/>
  <c r="P136" i="18" s="1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 s="1"/>
  <c r="P143" i="18" a="1"/>
  <c r="P143" i="18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/>
  <c r="P172" i="18" a="1"/>
  <c r="P172" i="18" s="1"/>
  <c r="P173" i="18" a="1"/>
  <c r="P173" i="18" s="1"/>
  <c r="P174" i="18" a="1"/>
  <c r="P174" i="18" s="1"/>
  <c r="P175" i="18" a="1"/>
  <c r="P175" i="18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/>
  <c r="P266" i="18" a="1"/>
  <c r="P266" i="18" s="1"/>
  <c r="P267" i="18" a="1"/>
  <c r="P267" i="18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/>
  <c r="P280" i="18" a="1"/>
  <c r="P280" i="18" s="1"/>
  <c r="P281" i="18" a="1"/>
  <c r="P281" i="18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/>
  <c r="P303" i="18" a="1"/>
  <c r="P303" i="18"/>
  <c r="P304" i="18" a="1"/>
  <c r="P304" i="18" s="1"/>
  <c r="P305" i="18" a="1"/>
  <c r="P305" i="18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/>
  <c r="P323" i="18" a="1"/>
  <c r="P323" i="18"/>
  <c r="P324" i="18" a="1"/>
  <c r="P324" i="18" s="1"/>
  <c r="P325" i="18" a="1"/>
  <c r="P325" i="18"/>
  <c r="P326" i="18" a="1"/>
  <c r="P326" i="18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/>
  <c r="P344" i="18" a="1"/>
  <c r="P344" i="18" s="1"/>
  <c r="P345" i="18" a="1"/>
  <c r="P345" i="18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/>
  <c r="P367" i="18" a="1"/>
  <c r="P367" i="18"/>
  <c r="P368" i="18" a="1"/>
  <c r="P368" i="18" s="1"/>
  <c r="P369" i="18" a="1"/>
  <c r="P369" i="18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/>
  <c r="P387" i="18" a="1"/>
  <c r="P387" i="18"/>
  <c r="P388" i="18" a="1"/>
  <c r="P388" i="18" s="1"/>
  <c r="P389" i="18" a="1"/>
  <c r="P389" i="18"/>
  <c r="P390" i="18" a="1"/>
  <c r="P390" i="18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/>
  <c r="P396" i="18" a="1"/>
  <c r="P396" i="18" s="1"/>
  <c r="P397" i="18" a="1"/>
  <c r="P397" i="18" s="1"/>
  <c r="P398" i="18" a="1"/>
  <c r="P398" i="18" s="1"/>
  <c r="P399" i="18" a="1"/>
  <c r="P399" i="18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/>
  <c r="P408" i="18" a="1"/>
  <c r="P408" i="18" s="1"/>
  <c r="P409" i="18" a="1"/>
  <c r="P409" i="18"/>
  <c r="P410" i="18" a="1"/>
  <c r="P410" i="18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R441" i="18" s="1"/>
  <c r="U441" i="18" s="1"/>
  <c r="Q2" i="18" a="1"/>
  <c r="Q2" i="18"/>
  <c r="Q3" i="18" a="1"/>
  <c r="Q3" i="18"/>
  <c r="Q4" i="18" a="1"/>
  <c r="Q4" i="18" s="1"/>
  <c r="Q5" i="18" a="1"/>
  <c r="Q5" i="18"/>
  <c r="Q6" i="18" a="1"/>
  <c r="Q6" i="18" s="1"/>
  <c r="R6" i="18" s="1"/>
  <c r="Q7" i="18" a="1"/>
  <c r="Q7" i="18" s="1"/>
  <c r="Q8" i="18" a="1"/>
  <c r="Q8" i="18" s="1"/>
  <c r="R8" i="18" s="1"/>
  <c r="Q9" i="18" a="1"/>
  <c r="Q9" i="18" s="1"/>
  <c r="R9" i="18" s="1"/>
  <c r="Q10" i="18" a="1"/>
  <c r="Q10" i="18" s="1"/>
  <c r="R10" i="18" s="1"/>
  <c r="Q11" i="18" a="1"/>
  <c r="Q11" i="18" s="1"/>
  <c r="R11" i="18" s="1"/>
  <c r="U11" i="18" s="1"/>
  <c r="Q12" i="18" a="1"/>
  <c r="Q12" i="18" s="1"/>
  <c r="Q13" i="18" a="1"/>
  <c r="Q13" i="18" s="1"/>
  <c r="R13" i="18" s="1"/>
  <c r="Q14" i="18" a="1"/>
  <c r="Q14" i="18"/>
  <c r="Q15" i="18" a="1"/>
  <c r="Q15" i="18" s="1"/>
  <c r="Q16" i="18" a="1"/>
  <c r="Q16" i="18" s="1"/>
  <c r="Q17" i="18" a="1"/>
  <c r="Q17" i="18" s="1"/>
  <c r="R17" i="18" s="1"/>
  <c r="U17" i="18" s="1"/>
  <c r="Q18" i="18" a="1"/>
  <c r="Q18" i="18" s="1"/>
  <c r="R18" i="18" s="1"/>
  <c r="Q19" i="18" a="1"/>
  <c r="Q19" i="18" s="1"/>
  <c r="R19" i="18" s="1"/>
  <c r="Q20" i="18" a="1"/>
  <c r="Q20" i="18" s="1"/>
  <c r="Q21" i="18" a="1"/>
  <c r="Q21" i="18" s="1"/>
  <c r="Q22" i="18" a="1"/>
  <c r="Q22" i="18"/>
  <c r="R22" i="18" s="1"/>
  <c r="Q23" i="18" a="1"/>
  <c r="Q23" i="18" s="1"/>
  <c r="R23" i="18" s="1"/>
  <c r="U23" i="18" s="1"/>
  <c r="Q24" i="18" a="1"/>
  <c r="Q24" i="18" s="1"/>
  <c r="Q25" i="18" a="1"/>
  <c r="Q25" i="18"/>
  <c r="R25" i="18" s="1"/>
  <c r="Q26" i="18" a="1"/>
  <c r="Q26" i="18"/>
  <c r="Q27" i="18" a="1"/>
  <c r="Q27" i="18" s="1"/>
  <c r="Q28" i="18" a="1"/>
  <c r="Q28" i="18" s="1"/>
  <c r="R28" i="18" s="1"/>
  <c r="Q29" i="18" a="1"/>
  <c r="Q29" i="18" s="1"/>
  <c r="Q30" i="18" a="1"/>
  <c r="Q30" i="18" s="1"/>
  <c r="R30" i="18" s="1"/>
  <c r="Q31" i="18" a="1"/>
  <c r="Q31" i="18" s="1"/>
  <c r="Q32" i="18" a="1"/>
  <c r="Q32" i="18" s="1"/>
  <c r="Q33" i="18" a="1"/>
  <c r="Q33" i="18"/>
  <c r="R33" i="18" s="1"/>
  <c r="Q34" i="18" a="1"/>
  <c r="Q34" i="18" s="1"/>
  <c r="R34" i="18" s="1"/>
  <c r="U34" i="18" s="1"/>
  <c r="Q35" i="18" a="1"/>
  <c r="Q35" i="18"/>
  <c r="Q36" i="18" a="1"/>
  <c r="Q36" i="18" s="1"/>
  <c r="R36" i="18" s="1"/>
  <c r="Q37" i="18" a="1"/>
  <c r="Q37" i="18" s="1"/>
  <c r="Q38" i="18" a="1"/>
  <c r="Q38" i="18" s="1"/>
  <c r="Q39" i="18" a="1"/>
  <c r="Q39" i="18" s="1"/>
  <c r="R39" i="18" s="1"/>
  <c r="Q40" i="18" a="1"/>
  <c r="Q40" i="18" s="1"/>
  <c r="Q41" i="18" a="1"/>
  <c r="Q41" i="18" s="1"/>
  <c r="R41" i="18" s="1"/>
  <c r="Q42" i="18" a="1"/>
  <c r="Q42" i="18" s="1"/>
  <c r="R42" i="18" s="1"/>
  <c r="Q43" i="18" a="1"/>
  <c r="Q43" i="18"/>
  <c r="Q44" i="18" a="1"/>
  <c r="Q44" i="18" s="1"/>
  <c r="Q45" i="18" a="1"/>
  <c r="Q45" i="18" s="1"/>
  <c r="R45" i="18" s="1"/>
  <c r="Q46" i="18" a="1"/>
  <c r="Q46" i="18"/>
  <c r="Q47" i="18" a="1"/>
  <c r="Q47" i="18" s="1"/>
  <c r="R47" i="18" s="1"/>
  <c r="Q48" i="18" a="1"/>
  <c r="Q48" i="18" s="1"/>
  <c r="Q49" i="18" a="1"/>
  <c r="Q49" i="18"/>
  <c r="Q50" i="18" a="1"/>
  <c r="Q50" i="18" s="1"/>
  <c r="Q51" i="18" a="1"/>
  <c r="Q51" i="18" s="1"/>
  <c r="Q52" i="18" a="1"/>
  <c r="Q52" i="18" s="1"/>
  <c r="R52" i="18" s="1"/>
  <c r="Q53" i="18" a="1"/>
  <c r="Q53" i="18" s="1"/>
  <c r="Q54" i="18" a="1"/>
  <c r="Q54" i="18" s="1"/>
  <c r="R54" i="18" s="1"/>
  <c r="U54" i="18" s="1"/>
  <c r="Q55" i="18" a="1"/>
  <c r="Q55" i="18"/>
  <c r="R55" i="18" s="1"/>
  <c r="Q56" i="18" a="1"/>
  <c r="Q56" i="18" s="1"/>
  <c r="Q57" i="18" a="1"/>
  <c r="Q57" i="18" s="1"/>
  <c r="R57" i="18" s="1"/>
  <c r="U57" i="18" s="1"/>
  <c r="Q58" i="18" a="1"/>
  <c r="Q58" i="18"/>
  <c r="Q59" i="18" a="1"/>
  <c r="Q59" i="18" s="1"/>
  <c r="Q60" i="18" a="1"/>
  <c r="Q60" i="18" s="1"/>
  <c r="Q61" i="18" a="1"/>
  <c r="Q61" i="18" s="1"/>
  <c r="R61" i="18" s="1"/>
  <c r="Q62" i="18" a="1"/>
  <c r="Q62" i="18" s="1"/>
  <c r="Q63" i="18" a="1"/>
  <c r="Q63" i="18" s="1"/>
  <c r="R63" i="18" s="1"/>
  <c r="U63" i="18" s="1"/>
  <c r="Q64" i="18" a="1"/>
  <c r="Q64" i="18" s="1"/>
  <c r="R64" i="18" s="1"/>
  <c r="Q65" i="18" a="1"/>
  <c r="Q65" i="18" s="1"/>
  <c r="R65" i="18" s="1"/>
  <c r="U65" i="18" s="1"/>
  <c r="Q66" i="18" a="1"/>
  <c r="Q66" i="18"/>
  <c r="Q67" i="18" a="1"/>
  <c r="Q67" i="18"/>
  <c r="Q68" i="18" a="1"/>
  <c r="Q68" i="18" s="1"/>
  <c r="Q69" i="18" a="1"/>
  <c r="Q69" i="18" s="1"/>
  <c r="R69" i="18" s="1"/>
  <c r="U69" i="18" s="1"/>
  <c r="Q70" i="18" a="1"/>
  <c r="Q70" i="18" s="1"/>
  <c r="R70" i="18" s="1"/>
  <c r="Q71" i="18" a="1"/>
  <c r="Q71" i="18" s="1"/>
  <c r="R71" i="18" s="1"/>
  <c r="Q72" i="18" a="1"/>
  <c r="Q72" i="18" s="1"/>
  <c r="Q73" i="18" a="1"/>
  <c r="Q73" i="18" s="1"/>
  <c r="Q74" i="18" a="1"/>
  <c r="Q74" i="18" s="1"/>
  <c r="R74" i="18" s="1"/>
  <c r="U74" i="18" s="1"/>
  <c r="Q75" i="18" a="1"/>
  <c r="Q75" i="18" s="1"/>
  <c r="R75" i="18" s="1"/>
  <c r="U75" i="18" s="1"/>
  <c r="Q76" i="18" a="1"/>
  <c r="Q76" i="18" s="1"/>
  <c r="Q77" i="18" a="1"/>
  <c r="Q77" i="18"/>
  <c r="Q78" i="18" a="1"/>
  <c r="Q78" i="18"/>
  <c r="Q79" i="18" a="1"/>
  <c r="Q79" i="18" s="1"/>
  <c r="R79" i="18" s="1"/>
  <c r="Q80" i="18" a="1"/>
  <c r="Q80" i="18" s="1"/>
  <c r="R80" i="18" s="1"/>
  <c r="Q81" i="18" a="1"/>
  <c r="Q81" i="18" s="1"/>
  <c r="R81" i="18" s="1"/>
  <c r="U81" i="18" s="1"/>
  <c r="Q82" i="18" a="1"/>
  <c r="Q82" i="18" s="1"/>
  <c r="Q83" i="18" a="1"/>
  <c r="Q83" i="18" s="1"/>
  <c r="R83" i="18" s="1"/>
  <c r="Q84" i="18" a="1"/>
  <c r="Q84" i="18" s="1"/>
  <c r="Q85" i="18" a="1"/>
  <c r="Q85" i="18" s="1"/>
  <c r="Q86" i="18" a="1"/>
  <c r="Q86" i="18" s="1"/>
  <c r="Q87" i="18" a="1"/>
  <c r="Q87" i="18" s="1"/>
  <c r="R87" i="18" s="1"/>
  <c r="U87" i="18" s="1"/>
  <c r="Q88" i="18" a="1"/>
  <c r="Q88" i="18" s="1"/>
  <c r="Q89" i="18" a="1"/>
  <c r="Q89" i="18"/>
  <c r="Q90" i="18" a="1"/>
  <c r="Q90" i="18"/>
  <c r="R90" i="18" s="1"/>
  <c r="Q91" i="18" a="1"/>
  <c r="Q91" i="18" s="1"/>
  <c r="Q92" i="18" a="1"/>
  <c r="Q92" i="18" s="1"/>
  <c r="R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R98" i="18" s="1"/>
  <c r="U98" i="18" s="1"/>
  <c r="Q99" i="18" a="1"/>
  <c r="Q99" i="18" s="1"/>
  <c r="R99" i="18" s="1"/>
  <c r="U99" i="18" s="1"/>
  <c r="Q100" i="18" a="1"/>
  <c r="Q100" i="18" s="1"/>
  <c r="Q101" i="18" a="1"/>
  <c r="Q101" i="18"/>
  <c r="R101" i="18" s="1"/>
  <c r="Q102" i="18" a="1"/>
  <c r="Q102" i="18" s="1"/>
  <c r="Q103" i="18" a="1"/>
  <c r="Q103" i="18" s="1"/>
  <c r="R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R108" i="18" s="1"/>
  <c r="Q109" i="18" a="1"/>
  <c r="Q109" i="18"/>
  <c r="Q110" i="18" a="1"/>
  <c r="Q110" i="18" s="1"/>
  <c r="R110" i="18" s="1"/>
  <c r="U110" i="18" s="1"/>
  <c r="Q111" i="18" a="1"/>
  <c r="Q111" i="18" s="1"/>
  <c r="R111" i="18" s="1"/>
  <c r="Q112" i="18" a="1"/>
  <c r="Q112" i="18" s="1"/>
  <c r="Q113" i="18" a="1"/>
  <c r="Q113" i="18"/>
  <c r="Q114" i="18" a="1"/>
  <c r="Q114" i="18" s="1"/>
  <c r="Q115" i="18" a="1"/>
  <c r="Q115" i="18" s="1"/>
  <c r="R115" i="18" s="1"/>
  <c r="Q116" i="18" a="1"/>
  <c r="Q116" i="18" s="1"/>
  <c r="Q117" i="18" a="1"/>
  <c r="Q117" i="18" s="1"/>
  <c r="Q118" i="18" a="1"/>
  <c r="Q118" i="18" s="1"/>
  <c r="R118" i="18" s="1"/>
  <c r="U118" i="18" s="1"/>
  <c r="Q119" i="18" a="1"/>
  <c r="Q119" i="18"/>
  <c r="R119" i="18" s="1"/>
  <c r="Q120" i="18" a="1"/>
  <c r="Q120" i="18" s="1"/>
  <c r="Q121" i="18" a="1"/>
  <c r="Q121" i="18" s="1"/>
  <c r="R121" i="18" s="1"/>
  <c r="Q122" i="18" a="1"/>
  <c r="Q122" i="18" s="1"/>
  <c r="Q123" i="18" a="1"/>
  <c r="Q123" i="18"/>
  <c r="Q124" i="18" a="1"/>
  <c r="Q124" i="18" s="1"/>
  <c r="Q125" i="18" a="1"/>
  <c r="Q125" i="18" s="1"/>
  <c r="Q126" i="18" a="1"/>
  <c r="Q126" i="18" s="1"/>
  <c r="Q127" i="18" a="1"/>
  <c r="Q127" i="18" s="1"/>
  <c r="R127" i="18" s="1"/>
  <c r="U127" i="18" s="1"/>
  <c r="Q128" i="18" a="1"/>
  <c r="Q128" i="18" s="1"/>
  <c r="R128" i="18" s="1"/>
  <c r="Q129" i="18" a="1"/>
  <c r="Q129" i="18" s="1"/>
  <c r="Q130" i="18" a="1"/>
  <c r="Q130" i="18" s="1"/>
  <c r="R130" i="18" s="1"/>
  <c r="Q131" i="18" a="1"/>
  <c r="Q131" i="18" s="1"/>
  <c r="Q132" i="18" a="1"/>
  <c r="Q132" i="18" s="1"/>
  <c r="Q133" i="18" a="1"/>
  <c r="Q133" i="18" s="1"/>
  <c r="Q134" i="18" a="1"/>
  <c r="Q134" i="18" s="1"/>
  <c r="R134" i="18" s="1"/>
  <c r="Q135" i="18" a="1"/>
  <c r="Q135" i="18"/>
  <c r="R135" i="18" s="1"/>
  <c r="Q136" i="18" a="1"/>
  <c r="Q136" i="18" s="1"/>
  <c r="Q137" i="18" a="1"/>
  <c r="Q137" i="18" s="1"/>
  <c r="Q138" i="18" a="1"/>
  <c r="Q138" i="18" s="1"/>
  <c r="Q139" i="18" a="1"/>
  <c r="Q139" i="18"/>
  <c r="Q140" i="18" a="1"/>
  <c r="Q140" i="18" s="1"/>
  <c r="R140" i="18" s="1"/>
  <c r="Q141" i="18" a="1"/>
  <c r="Q141" i="18" s="1"/>
  <c r="Q142" i="18" a="1"/>
  <c r="Q142" i="18" s="1"/>
  <c r="R142" i="18" s="1"/>
  <c r="Q143" i="18" a="1"/>
  <c r="Q143" i="18"/>
  <c r="R143" i="18" s="1"/>
  <c r="Q144" i="18" a="1"/>
  <c r="Q144" i="18" s="1"/>
  <c r="Q145" i="18" a="1"/>
  <c r="Q145" i="18" s="1"/>
  <c r="Q146" i="18" a="1"/>
  <c r="Q146" i="18"/>
  <c r="Q147" i="18" a="1"/>
  <c r="Q147" i="18"/>
  <c r="Q148" i="18" a="1"/>
  <c r="Q148" i="18" s="1"/>
  <c r="Q149" i="18" a="1"/>
  <c r="Q149" i="18" s="1"/>
  <c r="Q150" i="18" a="1"/>
  <c r="Q150" i="18"/>
  <c r="R150" i="18" s="1"/>
  <c r="Q151" i="18" a="1"/>
  <c r="Q151" i="18"/>
  <c r="R151" i="18" s="1"/>
  <c r="Q152" i="18" a="1"/>
  <c r="Q152" i="18" s="1"/>
  <c r="Q153" i="18" a="1"/>
  <c r="Q153" i="18" s="1"/>
  <c r="Q154" i="18" a="1"/>
  <c r="Q154" i="18" s="1"/>
  <c r="Q155" i="18" a="1"/>
  <c r="Q155" i="18" s="1"/>
  <c r="Q156" i="18" a="1"/>
  <c r="Q156" i="18" s="1"/>
  <c r="Q157" i="18" a="1"/>
  <c r="Q157" i="18" s="1"/>
  <c r="R157" i="18" s="1"/>
  <c r="Q158" i="18" a="1"/>
  <c r="Q158" i="18" s="1"/>
  <c r="R158" i="18" s="1"/>
  <c r="Q159" i="18" a="1"/>
  <c r="Q159" i="18" s="1"/>
  <c r="R159" i="18" s="1"/>
  <c r="U159" i="18" s="1"/>
  <c r="Q160" i="18" a="1"/>
  <c r="Q160" i="18" s="1"/>
  <c r="Q161" i="18" a="1"/>
  <c r="Q161" i="18" s="1"/>
  <c r="R161" i="18" s="1"/>
  <c r="Q162" i="18" a="1"/>
  <c r="Q162" i="18"/>
  <c r="Q163" i="18" a="1"/>
  <c r="Q163" i="18" s="1"/>
  <c r="R163" i="18" s="1"/>
  <c r="Q164" i="18" a="1"/>
  <c r="Q164" i="18" s="1"/>
  <c r="Q165" i="18" a="1"/>
  <c r="Q165" i="18" s="1"/>
  <c r="Q166" i="18" a="1"/>
  <c r="Q166" i="18" s="1"/>
  <c r="Q167" i="18" a="1"/>
  <c r="Q167" i="18" s="1"/>
  <c r="R167" i="18" s="1"/>
  <c r="Q168" i="18" a="1"/>
  <c r="Q168" i="18" s="1"/>
  <c r="Q169" i="18" a="1"/>
  <c r="Q169" i="18" s="1"/>
  <c r="R169" i="18" s="1"/>
  <c r="Q170" i="18" a="1"/>
  <c r="Q170" i="18" s="1"/>
  <c r="Q171" i="18" a="1"/>
  <c r="Q171" i="18" s="1"/>
  <c r="R171" i="18" s="1"/>
  <c r="Q172" i="18" a="1"/>
  <c r="Q172" i="18" s="1"/>
  <c r="R172" i="18" s="1"/>
  <c r="Q173" i="18" a="1"/>
  <c r="Q173" i="18" s="1"/>
  <c r="Q174" i="18" a="1"/>
  <c r="Q174" i="18" s="1"/>
  <c r="Q175" i="18" a="1"/>
  <c r="Q175" i="18" s="1"/>
  <c r="R175" i="18" s="1"/>
  <c r="Q176" i="18" a="1"/>
  <c r="Q176" i="18" s="1"/>
  <c r="Q177" i="18" a="1"/>
  <c r="Q177" i="18" s="1"/>
  <c r="Q178" i="18" a="1"/>
  <c r="Q178" i="18"/>
  <c r="Q179" i="18" a="1"/>
  <c r="Q179" i="18" s="1"/>
  <c r="R179" i="18" s="1"/>
  <c r="Q180" i="18" a="1"/>
  <c r="Q180" i="18" s="1"/>
  <c r="Q181" i="18" a="1"/>
  <c r="Q181" i="18" s="1"/>
  <c r="Q182" i="18" a="1"/>
  <c r="Q182" i="18" s="1"/>
  <c r="R182" i="18" s="1"/>
  <c r="U182" i="18" s="1"/>
  <c r="Q183" i="18" a="1"/>
  <c r="Q183" i="18" s="1"/>
  <c r="R183" i="18" s="1"/>
  <c r="U183" i="18" s="1"/>
  <c r="Q184" i="18" a="1"/>
  <c r="Q184" i="18" s="1"/>
  <c r="Q185" i="18" a="1"/>
  <c r="Q185" i="18" s="1"/>
  <c r="Q186" i="18" a="1"/>
  <c r="Q186" i="18" s="1"/>
  <c r="Q187" i="18" a="1"/>
  <c r="Q187" i="18" s="1"/>
  <c r="Q188" i="18" a="1"/>
  <c r="Q188" i="18" s="1"/>
  <c r="Q189" i="18" a="1"/>
  <c r="Q189" i="18" s="1"/>
  <c r="Q190" i="18" a="1"/>
  <c r="Q190" i="18" s="1"/>
  <c r="R190" i="18" s="1"/>
  <c r="U190" i="18" s="1"/>
  <c r="Q191" i="18" a="1"/>
  <c r="Q191" i="18" s="1"/>
  <c r="R191" i="18" s="1"/>
  <c r="Q192" i="18" a="1"/>
  <c r="Q192" i="18" s="1"/>
  <c r="Q193" i="18" a="1"/>
  <c r="Q193" i="18" s="1"/>
  <c r="R193" i="18" s="1"/>
  <c r="Q194" i="18" a="1"/>
  <c r="Q194" i="18"/>
  <c r="Q195" i="18" a="1"/>
  <c r="Q195" i="18"/>
  <c r="Q196" i="18" a="1"/>
  <c r="Q196" i="18" s="1"/>
  <c r="Q197" i="18" a="1"/>
  <c r="Q197" i="18" s="1"/>
  <c r="Q198" i="18" a="1"/>
  <c r="Q198" i="18" s="1"/>
  <c r="R198" i="18" s="1"/>
  <c r="Q199" i="18" a="1"/>
  <c r="Q199" i="18" s="1"/>
  <c r="R199" i="18" s="1"/>
  <c r="Q200" i="18" a="1"/>
  <c r="Q200" i="18" s="1"/>
  <c r="Q201" i="18" a="1"/>
  <c r="Q201" i="18" s="1"/>
  <c r="Q202" i="18" a="1"/>
  <c r="Q202" i="18" s="1"/>
  <c r="Q203" i="18" a="1"/>
  <c r="Q203" i="18" s="1"/>
  <c r="R203" i="18" s="1"/>
  <c r="U203" i="18" s="1"/>
  <c r="Q204" i="18" a="1"/>
  <c r="Q204" i="18" s="1"/>
  <c r="Q205" i="18" a="1"/>
  <c r="Q205" i="18" s="1"/>
  <c r="Q206" i="18" a="1"/>
  <c r="Q206" i="18" s="1"/>
  <c r="R206" i="18" s="1"/>
  <c r="Q207" i="18" a="1"/>
  <c r="Q207" i="18" s="1"/>
  <c r="R207" i="18" s="1"/>
  <c r="Q208" i="18" a="1"/>
  <c r="Q208" i="18" s="1"/>
  <c r="Q209" i="18" a="1"/>
  <c r="Q209" i="18" s="1"/>
  <c r="Q210" i="18" a="1"/>
  <c r="Q210" i="18" s="1"/>
  <c r="R210" i="18" s="1"/>
  <c r="U210" i="18" s="1"/>
  <c r="Q211" i="18" a="1"/>
  <c r="Q211" i="18"/>
  <c r="Q212" i="18" a="1"/>
  <c r="Q212" i="18" s="1"/>
  <c r="Q213" i="18" a="1"/>
  <c r="Q213" i="18" s="1"/>
  <c r="R213" i="18" s="1"/>
  <c r="Q214" i="18" a="1"/>
  <c r="Q214" i="18" s="1"/>
  <c r="R214" i="18" s="1"/>
  <c r="Q215" i="18" a="1"/>
  <c r="Q215" i="18"/>
  <c r="R215" i="18" s="1"/>
  <c r="Q216" i="18" a="1"/>
  <c r="Q216" i="18" s="1"/>
  <c r="Q217" i="18" a="1"/>
  <c r="Q217" i="18" s="1"/>
  <c r="Q218" i="18" a="1"/>
  <c r="Q218" i="18" s="1"/>
  <c r="Q219" i="18" a="1"/>
  <c r="Q219" i="18"/>
  <c r="Q220" i="18" a="1"/>
  <c r="Q220" i="18" s="1"/>
  <c r="Q221" i="18" a="1"/>
  <c r="Q221" i="18" s="1"/>
  <c r="Q222" i="18" a="1"/>
  <c r="Q222" i="18" s="1"/>
  <c r="R222" i="18" s="1"/>
  <c r="Q223" i="18" a="1"/>
  <c r="Q223" i="18" s="1"/>
  <c r="R223" i="18" s="1"/>
  <c r="Q224" i="18" a="1"/>
  <c r="Q224" i="18" s="1"/>
  <c r="Q225" i="18" a="1"/>
  <c r="Q225" i="18" s="1"/>
  <c r="Q226" i="18" a="1"/>
  <c r="Q226" i="18"/>
  <c r="Q227" i="18" a="1"/>
  <c r="Q227" i="18" s="1"/>
  <c r="R227" i="18" s="1"/>
  <c r="U227" i="18" s="1"/>
  <c r="Q228" i="18" a="1"/>
  <c r="Q228" i="18" s="1"/>
  <c r="Q229" i="18" a="1"/>
  <c r="Q229" i="18" s="1"/>
  <c r="Q230" i="18" a="1"/>
  <c r="Q230" i="18"/>
  <c r="Q231" i="18" a="1"/>
  <c r="Q231" i="18"/>
  <c r="R231" i="18" s="1"/>
  <c r="Q232" i="18" a="1"/>
  <c r="Q232" i="18" s="1"/>
  <c r="Q233" i="18" a="1"/>
  <c r="Q233" i="18" s="1"/>
  <c r="Q234" i="18" a="1"/>
  <c r="Q234" i="18" s="1"/>
  <c r="R234" i="18" s="1"/>
  <c r="Q235" i="18" a="1"/>
  <c r="Q235" i="18" s="1"/>
  <c r="R235" i="18" s="1"/>
  <c r="Q236" i="18" a="1"/>
  <c r="Q236" i="18" s="1"/>
  <c r="Q237" i="18" a="1"/>
  <c r="Q237" i="18" s="1"/>
  <c r="Q238" i="18" a="1"/>
  <c r="Q238" i="18" s="1"/>
  <c r="R238" i="18" s="1"/>
  <c r="Q239" i="18" a="1"/>
  <c r="Q239" i="18" s="1"/>
  <c r="R239" i="18" s="1"/>
  <c r="Q240" i="18" a="1"/>
  <c r="Q240" i="18" s="1"/>
  <c r="Q241" i="18" a="1"/>
  <c r="Q241" i="18" s="1"/>
  <c r="Q242" i="18" a="1"/>
  <c r="Q242" i="18" s="1"/>
  <c r="R242" i="18" s="1"/>
  <c r="U242" i="18" s="1"/>
  <c r="Q243" i="18" a="1"/>
  <c r="Q243" i="18" s="1"/>
  <c r="Q244" i="18" a="1"/>
  <c r="Q244" i="18" s="1"/>
  <c r="Q245" i="18" a="1"/>
  <c r="Q245" i="18" s="1"/>
  <c r="Q246" i="18" a="1"/>
  <c r="Q246" i="18"/>
  <c r="R246" i="18" s="1"/>
  <c r="Q247" i="18" a="1"/>
  <c r="Q247" i="18"/>
  <c r="R247" i="18" s="1"/>
  <c r="Q248" i="18" a="1"/>
  <c r="Q248" i="18" s="1"/>
  <c r="Q249" i="18" a="1"/>
  <c r="Q249" i="18" s="1"/>
  <c r="Q250" i="18" a="1"/>
  <c r="Q250" i="18" s="1"/>
  <c r="Q251" i="18" a="1"/>
  <c r="Q251" i="18" s="1"/>
  <c r="R251" i="18" s="1"/>
  <c r="Q252" i="18" a="1"/>
  <c r="Q252" i="18" s="1"/>
  <c r="Q253" i="18" a="1"/>
  <c r="Q253" i="18" s="1"/>
  <c r="Q254" i="18" a="1"/>
  <c r="Q254" i="18"/>
  <c r="Q255" i="18" a="1"/>
  <c r="Q255" i="18" s="1"/>
  <c r="R255" i="18" s="1"/>
  <c r="Q256" i="18" a="1"/>
  <c r="Q256" i="18" s="1"/>
  <c r="Q257" i="18" a="1"/>
  <c r="Q257" i="18" s="1"/>
  <c r="Q258" i="18" a="1"/>
  <c r="Q258" i="18"/>
  <c r="Q259" i="18" a="1"/>
  <c r="Q259" i="18" s="1"/>
  <c r="R259" i="18" s="1"/>
  <c r="U259" i="18" s="1"/>
  <c r="Q260" i="18" a="1"/>
  <c r="Q260" i="18" s="1"/>
  <c r="Q261" i="18" a="1"/>
  <c r="Q261" i="18" s="1"/>
  <c r="Q262" i="18" a="1"/>
  <c r="Q262" i="18"/>
  <c r="Q263" i="18" a="1"/>
  <c r="Q263" i="18"/>
  <c r="R263" i="18" s="1"/>
  <c r="Q264" i="18" a="1"/>
  <c r="Q264" i="18" s="1"/>
  <c r="Q265" i="18" a="1"/>
  <c r="Q265" i="18" s="1"/>
  <c r="Q266" i="18" a="1"/>
  <c r="Q266" i="18" s="1"/>
  <c r="R266" i="18" s="1"/>
  <c r="Q267" i="18" a="1"/>
  <c r="Q267" i="18" s="1"/>
  <c r="R267" i="18" s="1"/>
  <c r="Q268" i="18" a="1"/>
  <c r="Q268" i="18" s="1"/>
  <c r="Q269" i="18" a="1"/>
  <c r="Q269" i="18" s="1"/>
  <c r="Q270" i="18" a="1"/>
  <c r="Q270" i="18" s="1"/>
  <c r="Q271" i="18" a="1"/>
  <c r="Q271" i="18" s="1"/>
  <c r="R271" i="18" s="1"/>
  <c r="Q272" i="18" a="1"/>
  <c r="Q272" i="18" s="1"/>
  <c r="Q273" i="18" a="1"/>
  <c r="Q273" i="18" s="1"/>
  <c r="Q274" i="18" a="1"/>
  <c r="Q274" i="18" s="1"/>
  <c r="R274" i="18" s="1"/>
  <c r="U274" i="18" s="1"/>
  <c r="Q275" i="18" a="1"/>
  <c r="Q275" i="18"/>
  <c r="Q276" i="18" a="1"/>
  <c r="Q276" i="18" s="1"/>
  <c r="Q277" i="18" a="1"/>
  <c r="Q277" i="18" s="1"/>
  <c r="Q278" i="18" a="1"/>
  <c r="Q278" i="18" s="1"/>
  <c r="R278" i="18" s="1"/>
  <c r="Q279" i="18" a="1"/>
  <c r="Q279" i="18"/>
  <c r="R279" i="18" s="1"/>
  <c r="Q280" i="18" a="1"/>
  <c r="Q280" i="18" s="1"/>
  <c r="Q281" i="18" a="1"/>
  <c r="Q281" i="18" s="1"/>
  <c r="Q282" i="18" a="1"/>
  <c r="Q282" i="18" s="1"/>
  <c r="Q283" i="18" a="1"/>
  <c r="Q283" i="18"/>
  <c r="Q284" i="18" a="1"/>
  <c r="Q284" i="18" s="1"/>
  <c r="Q285" i="18" a="1"/>
  <c r="Q285" i="18" s="1"/>
  <c r="Q286" i="18" a="1"/>
  <c r="Q286" i="18" s="1"/>
  <c r="R286" i="18" s="1"/>
  <c r="Q287" i="18" a="1"/>
  <c r="Q287" i="18" s="1"/>
  <c r="R287" i="18" s="1"/>
  <c r="Q288" i="18" a="1"/>
  <c r="Q288" i="18" s="1"/>
  <c r="Q289" i="18" a="1"/>
  <c r="Q289" i="18" s="1"/>
  <c r="Q290" i="18" a="1"/>
  <c r="Q290" i="18"/>
  <c r="Q291" i="18" a="1"/>
  <c r="Q291" i="18" s="1"/>
  <c r="R291" i="18" s="1"/>
  <c r="U291" i="18" s="1"/>
  <c r="Q292" i="18" a="1"/>
  <c r="Q292" i="18" s="1"/>
  <c r="Q293" i="18" a="1"/>
  <c r="Q293" i="18" s="1"/>
  <c r="Q294" i="18" a="1"/>
  <c r="Q294" i="18"/>
  <c r="Q295" i="18" a="1"/>
  <c r="Q295" i="18"/>
  <c r="R295" i="18" s="1"/>
  <c r="Q296" i="18" a="1"/>
  <c r="Q296" i="18" s="1"/>
  <c r="Q297" i="18" a="1"/>
  <c r="Q297" i="18" s="1"/>
  <c r="Q298" i="18" a="1"/>
  <c r="Q298" i="18" s="1"/>
  <c r="R298" i="18" s="1"/>
  <c r="Q299" i="18" a="1"/>
  <c r="Q299" i="18" s="1"/>
  <c r="R299" i="18" s="1"/>
  <c r="Q300" i="18" a="1"/>
  <c r="Q300" i="18" s="1"/>
  <c r="Q301" i="18" a="1"/>
  <c r="Q301" i="18" s="1"/>
  <c r="Q302" i="18" a="1"/>
  <c r="Q302" i="18" s="1"/>
  <c r="R302" i="18" s="1"/>
  <c r="Q303" i="18" a="1"/>
  <c r="Q303" i="18" s="1"/>
  <c r="R303" i="18" s="1"/>
  <c r="Q304" i="18" a="1"/>
  <c r="Q304" i="18" s="1"/>
  <c r="Q305" i="18" a="1"/>
  <c r="Q305" i="18" s="1"/>
  <c r="Q306" i="18" a="1"/>
  <c r="Q306" i="18" s="1"/>
  <c r="R306" i="18" s="1"/>
  <c r="U306" i="18" s="1"/>
  <c r="Q307" i="18" a="1"/>
  <c r="Q307" i="18" s="1"/>
  <c r="Q308" i="18" a="1"/>
  <c r="Q308" i="18" s="1"/>
  <c r="Q309" i="18" a="1"/>
  <c r="Q309" i="18" s="1"/>
  <c r="Q310" i="18" a="1"/>
  <c r="Q310" i="18"/>
  <c r="R310" i="18" s="1"/>
  <c r="Q311" i="18" a="1"/>
  <c r="Q311" i="18"/>
  <c r="R311" i="18" s="1"/>
  <c r="Q312" i="18" a="1"/>
  <c r="Q312" i="18" s="1"/>
  <c r="Q313" i="18" a="1"/>
  <c r="Q313" i="18" s="1"/>
  <c r="Q314" i="18" a="1"/>
  <c r="Q314" i="18" s="1"/>
  <c r="Q315" i="18" a="1"/>
  <c r="Q315" i="18" s="1"/>
  <c r="R315" i="18" s="1"/>
  <c r="Q316" i="18" a="1"/>
  <c r="Q316" i="18" s="1"/>
  <c r="Q317" i="18" a="1"/>
  <c r="Q317" i="18" s="1"/>
  <c r="Q318" i="18" a="1"/>
  <c r="Q318" i="18"/>
  <c r="Q319" i="18" a="1"/>
  <c r="Q319" i="18" s="1"/>
  <c r="R319" i="18" s="1"/>
  <c r="Q320" i="18" a="1"/>
  <c r="Q320" i="18" s="1"/>
  <c r="Q321" i="18" a="1"/>
  <c r="Q321" i="18" s="1"/>
  <c r="Q322" i="18" a="1"/>
  <c r="Q322" i="18"/>
  <c r="Q323" i="18" a="1"/>
  <c r="Q323" i="18" s="1"/>
  <c r="R323" i="18" s="1"/>
  <c r="U323" i="18" s="1"/>
  <c r="Q324" i="18" a="1"/>
  <c r="Q324" i="18" s="1"/>
  <c r="Q325" i="18" a="1"/>
  <c r="Q325" i="18" s="1"/>
  <c r="Q326" i="18" a="1"/>
  <c r="Q326" i="18"/>
  <c r="Q327" i="18" a="1"/>
  <c r="Q327" i="18"/>
  <c r="R327" i="18" s="1"/>
  <c r="Q328" i="18" a="1"/>
  <c r="Q328" i="18" s="1"/>
  <c r="Q329" i="18" a="1"/>
  <c r="Q329" i="18" s="1"/>
  <c r="Q330" i="18" a="1"/>
  <c r="Q330" i="18" s="1"/>
  <c r="R330" i="18" s="1"/>
  <c r="Q331" i="18" a="1"/>
  <c r="Q331" i="18" s="1"/>
  <c r="R331" i="18" s="1"/>
  <c r="Q332" i="18" a="1"/>
  <c r="Q332" i="18" s="1"/>
  <c r="Q333" i="18" a="1"/>
  <c r="Q333" i="18" s="1"/>
  <c r="Q334" i="18" a="1"/>
  <c r="Q334" i="18" s="1"/>
  <c r="Q335" i="18" a="1"/>
  <c r="Q335" i="18" s="1"/>
  <c r="R335" i="18" s="1"/>
  <c r="Q336" i="18" a="1"/>
  <c r="Q336" i="18" s="1"/>
  <c r="Q337" i="18" a="1"/>
  <c r="Q337" i="18" s="1"/>
  <c r="Q338" i="18" a="1"/>
  <c r="Q338" i="18" s="1"/>
  <c r="R338" i="18" s="1"/>
  <c r="U338" i="18" s="1"/>
  <c r="Q339" i="18" a="1"/>
  <c r="Q339" i="18"/>
  <c r="Q340" i="18" a="1"/>
  <c r="Q340" i="18" s="1"/>
  <c r="Q341" i="18" a="1"/>
  <c r="Q341" i="18" s="1"/>
  <c r="Q342" i="18" a="1"/>
  <c r="Q342" i="18" s="1"/>
  <c r="Q343" i="18" a="1"/>
  <c r="Q343" i="18" s="1"/>
  <c r="R343" i="18" s="1"/>
  <c r="Q344" i="18" a="1"/>
  <c r="Q344" i="18" s="1"/>
  <c r="R344" i="18" s="1"/>
  <c r="Q345" i="18" a="1"/>
  <c r="Q345" i="18" s="1"/>
  <c r="Q346" i="18" a="1"/>
  <c r="Q346" i="18"/>
  <c r="Q347" i="18" a="1"/>
  <c r="Q347" i="18"/>
  <c r="Q348" i="18" a="1"/>
  <c r="Q348" i="18" s="1"/>
  <c r="R348" i="18" s="1"/>
  <c r="U348" i="18" s="1"/>
  <c r="Q349" i="18" a="1"/>
  <c r="Q349" i="18" s="1"/>
  <c r="Q350" i="18" a="1"/>
  <c r="Q350" i="18" s="1"/>
  <c r="Q351" i="18" a="1"/>
  <c r="Q351" i="18" s="1"/>
  <c r="R351" i="18" s="1"/>
  <c r="Q352" i="18" a="1"/>
  <c r="Q352" i="18" s="1"/>
  <c r="R352" i="18" s="1"/>
  <c r="Q353" i="18" a="1"/>
  <c r="Q353" i="18" s="1"/>
  <c r="R353" i="18" s="1"/>
  <c r="Q354" i="18" a="1"/>
  <c r="Q354" i="18" s="1"/>
  <c r="Q355" i="18" a="1"/>
  <c r="Q355" i="18" s="1"/>
  <c r="R355" i="18" s="1"/>
  <c r="U355" i="18" s="1"/>
  <c r="Q356" i="18" a="1"/>
  <c r="Q356" i="18" s="1"/>
  <c r="Q357" i="18" a="1"/>
  <c r="Q357" i="18" s="1"/>
  <c r="Q358" i="18" a="1"/>
  <c r="Q358" i="18" s="1"/>
  <c r="Q359" i="18" a="1"/>
  <c r="Q359" i="18"/>
  <c r="R359" i="18" s="1"/>
  <c r="Q360" i="18" a="1"/>
  <c r="Q360" i="18" s="1"/>
  <c r="Q361" i="18" a="1"/>
  <c r="Q361" i="18" s="1"/>
  <c r="Q362" i="18" a="1"/>
  <c r="Q362" i="18" s="1"/>
  <c r="Q363" i="18" a="1"/>
  <c r="Q363" i="18" s="1"/>
  <c r="Q364" i="18" a="1"/>
  <c r="Q364" i="18"/>
  <c r="Q365" i="18" a="1"/>
  <c r="Q365" i="18" s="1"/>
  <c r="Q366" i="18" a="1"/>
  <c r="Q366" i="18" s="1"/>
  <c r="R366" i="18" s="1"/>
  <c r="Q367" i="18" a="1"/>
  <c r="Q367" i="18" s="1"/>
  <c r="R367" i="18" s="1"/>
  <c r="Q368" i="18" a="1"/>
  <c r="Q368" i="18" s="1"/>
  <c r="Q369" i="18" a="1"/>
  <c r="Q369" i="18" s="1"/>
  <c r="Q370" i="18" a="1"/>
  <c r="Q370" i="18"/>
  <c r="Q371" i="18" a="1"/>
  <c r="Q371" i="18"/>
  <c r="Q372" i="18" a="1"/>
  <c r="Q372" i="18" s="1"/>
  <c r="Q373" i="18" a="1"/>
  <c r="Q373" i="18" s="1"/>
  <c r="Q374" i="18" a="1"/>
  <c r="Q374" i="18" s="1"/>
  <c r="Q375" i="18" a="1"/>
  <c r="Q375" i="18" s="1"/>
  <c r="R375" i="18" s="1"/>
  <c r="Q376" i="18" a="1"/>
  <c r="Q376" i="18" s="1"/>
  <c r="R376" i="18" s="1"/>
  <c r="Q377" i="18" a="1"/>
  <c r="Q377" i="18" s="1"/>
  <c r="Q378" i="18" a="1"/>
  <c r="Q378" i="18" s="1"/>
  <c r="R378" i="18" s="1"/>
  <c r="Q379" i="18" a="1"/>
  <c r="Q379" i="18"/>
  <c r="Q380" i="18" a="1"/>
  <c r="Q380" i="18" s="1"/>
  <c r="Q381" i="18" a="1"/>
  <c r="Q381" i="18" s="1"/>
  <c r="Q382" i="18" a="1"/>
  <c r="Q382" i="18"/>
  <c r="Q383" i="18" a="1"/>
  <c r="Q383" i="18" s="1"/>
  <c r="R383" i="18" s="1"/>
  <c r="Q384" i="18" a="1"/>
  <c r="Q384" i="18"/>
  <c r="Q385" i="18" a="1"/>
  <c r="Q385" i="18" s="1"/>
  <c r="Q386" i="18" a="1"/>
  <c r="Q386" i="18" s="1"/>
  <c r="Q387" i="18" a="1"/>
  <c r="Q387" i="18" s="1"/>
  <c r="Q388" i="18" a="1"/>
  <c r="Q388" i="18"/>
  <c r="Q389" i="18" a="1"/>
  <c r="Q389" i="18" s="1"/>
  <c r="Q390" i="18" a="1"/>
  <c r="Q390" i="18" s="1"/>
  <c r="R390" i="18" s="1"/>
  <c r="Q391" i="18" a="1"/>
  <c r="Q391" i="18" s="1"/>
  <c r="R391" i="18" s="1"/>
  <c r="Q392" i="18" a="1"/>
  <c r="Q392" i="18" s="1"/>
  <c r="Q393" i="18" a="1"/>
  <c r="Q393" i="18" s="1"/>
  <c r="Q394" i="18" a="1"/>
  <c r="Q394" i="18" s="1"/>
  <c r="R394" i="18" s="1"/>
  <c r="Q395" i="18" a="1"/>
  <c r="Q395" i="18" s="1"/>
  <c r="Q396" i="18" a="1"/>
  <c r="Q396" i="18" s="1"/>
  <c r="R396" i="18" s="1"/>
  <c r="U396" i="18" s="1"/>
  <c r="Q397" i="18" a="1"/>
  <c r="Q397" i="18" s="1"/>
  <c r="Q398" i="18" a="1"/>
  <c r="Q398" i="18"/>
  <c r="Q399" i="18" a="1"/>
  <c r="Q399" i="18" s="1"/>
  <c r="Q400" i="18" a="1"/>
  <c r="Q400" i="18" s="1"/>
  <c r="R400" i="18" s="1"/>
  <c r="U400" i="18" s="1"/>
  <c r="Q401" i="18" a="1"/>
  <c r="Q401" i="18" s="1"/>
  <c r="Q402" i="18" a="1"/>
  <c r="Q402" i="18" s="1"/>
  <c r="R402" i="18" s="1"/>
  <c r="U402" i="18" s="1"/>
  <c r="Q403" i="18" a="1"/>
  <c r="Q403" i="18" s="1"/>
  <c r="Q404" i="18" a="1"/>
  <c r="Q404" i="18" s="1"/>
  <c r="Q405" i="18" a="1"/>
  <c r="Q405" i="18" s="1"/>
  <c r="Q406" i="18" a="1"/>
  <c r="Q406" i="18" s="1"/>
  <c r="Q407" i="18" a="1"/>
  <c r="Q407" i="18" s="1"/>
  <c r="R407" i="18" s="1"/>
  <c r="Q408" i="18" a="1"/>
  <c r="Q408" i="18" s="1"/>
  <c r="R408" i="18" s="1"/>
  <c r="U408" i="18" s="1"/>
  <c r="Q409" i="18" a="1"/>
  <c r="Q409" i="18" s="1"/>
  <c r="Q410" i="18" a="1"/>
  <c r="Q410" i="18"/>
  <c r="Q411" i="18" a="1"/>
  <c r="Q411" i="18"/>
  <c r="Q412" i="18" a="1"/>
  <c r="Q412" i="18"/>
  <c r="Q413" i="18" a="1"/>
  <c r="Q413" i="18" s="1"/>
  <c r="Q414" i="18" a="1"/>
  <c r="Q414" i="18" s="1"/>
  <c r="Q415" i="18" a="1"/>
  <c r="Q415" i="18" s="1"/>
  <c r="R415" i="18" s="1"/>
  <c r="Q416" i="18" a="1"/>
  <c r="Q416" i="18"/>
  <c r="Q417" i="18" a="1"/>
  <c r="Q417" i="18" s="1"/>
  <c r="Q418" i="18" a="1"/>
  <c r="Q418" i="18" s="1"/>
  <c r="Q419" i="18" a="1"/>
  <c r="Q419" i="18" s="1"/>
  <c r="R419" i="18" s="1"/>
  <c r="Q420" i="18" a="1"/>
  <c r="Q420" i="18" s="1"/>
  <c r="Q421" i="18" a="1"/>
  <c r="Q421" i="18" s="1"/>
  <c r="Q422" i="18" a="1"/>
  <c r="Q422" i="18" s="1"/>
  <c r="Q423" i="18" a="1"/>
  <c r="Q423" i="18" s="1"/>
  <c r="R423" i="18" s="1"/>
  <c r="U423" i="18" s="1"/>
  <c r="Q424" i="18" a="1"/>
  <c r="Q424" i="18" s="1"/>
  <c r="Q425" i="18" a="1"/>
  <c r="Q425" i="18" s="1"/>
  <c r="Q426" i="18" a="1"/>
  <c r="Q426" i="18" s="1"/>
  <c r="R426" i="18" s="1"/>
  <c r="Q427" i="18" a="1"/>
  <c r="Q427" i="18" s="1"/>
  <c r="Q428" i="18" a="1"/>
  <c r="Q428" i="18" s="1"/>
  <c r="Q429" i="18" a="1"/>
  <c r="Q429" i="18" s="1"/>
  <c r="Q430" i="18" a="1"/>
  <c r="Q430" i="18" s="1"/>
  <c r="R430" i="18" s="1"/>
  <c r="Q431" i="18" a="1"/>
  <c r="Q431" i="18" s="1"/>
  <c r="R431" i="18" s="1"/>
  <c r="Q432" i="18" a="1"/>
  <c r="Q432" i="18" s="1"/>
  <c r="R432" i="18" s="1"/>
  <c r="U432" i="18" s="1"/>
  <c r="Q433" i="18" a="1"/>
  <c r="Q433" i="18" s="1"/>
  <c r="Q434" i="18" a="1"/>
  <c r="Q434" i="18" s="1"/>
  <c r="Q435" i="18" a="1"/>
  <c r="Q435" i="18"/>
  <c r="Q436" i="18" a="1"/>
  <c r="Q436" i="18" s="1"/>
  <c r="Q437" i="18" a="1"/>
  <c r="Q437" i="18" s="1"/>
  <c r="Q438" i="18" a="1"/>
  <c r="Q438" i="18" s="1"/>
  <c r="Q439" i="18" a="1"/>
  <c r="Q439" i="18"/>
  <c r="Q440" i="18" a="1"/>
  <c r="Q440" i="18" s="1"/>
  <c r="Q441" i="18" a="1"/>
  <c r="Q441" i="18" s="1"/>
  <c r="R2" i="18"/>
  <c r="R3" i="18"/>
  <c r="R4" i="18"/>
  <c r="R5" i="18"/>
  <c r="R7" i="18"/>
  <c r="R12" i="18"/>
  <c r="R14" i="18"/>
  <c r="R15" i="18"/>
  <c r="R16" i="18"/>
  <c r="R20" i="18"/>
  <c r="R21" i="18"/>
  <c r="R24" i="18"/>
  <c r="R26" i="18"/>
  <c r="R27" i="18"/>
  <c r="R29" i="18"/>
  <c r="R32" i="18"/>
  <c r="R35" i="18"/>
  <c r="R37" i="18"/>
  <c r="R38" i="18"/>
  <c r="R40" i="18"/>
  <c r="R43" i="18"/>
  <c r="R44" i="18"/>
  <c r="R46" i="18"/>
  <c r="R48" i="18"/>
  <c r="R49" i="18"/>
  <c r="R50" i="18"/>
  <c r="R51" i="18"/>
  <c r="R53" i="18"/>
  <c r="R56" i="18"/>
  <c r="R58" i="18"/>
  <c r="R59" i="18"/>
  <c r="R60" i="18"/>
  <c r="R62" i="18"/>
  <c r="R66" i="18"/>
  <c r="R67" i="18"/>
  <c r="R68" i="18"/>
  <c r="R72" i="18"/>
  <c r="R73" i="18"/>
  <c r="R76" i="18"/>
  <c r="R77" i="18"/>
  <c r="R78" i="18"/>
  <c r="R82" i="18"/>
  <c r="R84" i="18"/>
  <c r="R85" i="18"/>
  <c r="R86" i="18"/>
  <c r="R88" i="18"/>
  <c r="R89" i="18"/>
  <c r="R91" i="18"/>
  <c r="R93" i="18"/>
  <c r="R94" i="18"/>
  <c r="R96" i="18"/>
  <c r="R97" i="18"/>
  <c r="R100" i="18"/>
  <c r="R102" i="18"/>
  <c r="R104" i="18"/>
  <c r="R105" i="18"/>
  <c r="R106" i="18"/>
  <c r="R107" i="18"/>
  <c r="R109" i="18"/>
  <c r="R112" i="18"/>
  <c r="R113" i="18"/>
  <c r="R114" i="18"/>
  <c r="R116" i="18"/>
  <c r="R117" i="18"/>
  <c r="R120" i="18"/>
  <c r="R122" i="18"/>
  <c r="R123" i="18"/>
  <c r="R124" i="18"/>
  <c r="R125" i="18"/>
  <c r="R126" i="18"/>
  <c r="R129" i="18"/>
  <c r="R131" i="18"/>
  <c r="R132" i="18"/>
  <c r="R133" i="18"/>
  <c r="R136" i="18"/>
  <c r="R137" i="18"/>
  <c r="R138" i="18"/>
  <c r="R139" i="18"/>
  <c r="R141" i="18"/>
  <c r="R144" i="18"/>
  <c r="R145" i="18"/>
  <c r="R146" i="18"/>
  <c r="R147" i="18"/>
  <c r="R148" i="18"/>
  <c r="R149" i="18"/>
  <c r="R152" i="18"/>
  <c r="R153" i="18"/>
  <c r="R154" i="18"/>
  <c r="R155" i="18"/>
  <c r="R156" i="18"/>
  <c r="R160" i="18"/>
  <c r="R162" i="18"/>
  <c r="R164" i="18"/>
  <c r="R165" i="18"/>
  <c r="R166" i="18"/>
  <c r="R168" i="18"/>
  <c r="R170" i="18"/>
  <c r="R173" i="18"/>
  <c r="R174" i="18"/>
  <c r="R176" i="18"/>
  <c r="R177" i="18"/>
  <c r="R178" i="18"/>
  <c r="R180" i="18"/>
  <c r="R181" i="18"/>
  <c r="R184" i="18"/>
  <c r="R185" i="18"/>
  <c r="R186" i="18"/>
  <c r="R188" i="18"/>
  <c r="R189" i="18"/>
  <c r="R192" i="18"/>
  <c r="R194" i="18"/>
  <c r="R195" i="18"/>
  <c r="R196" i="18"/>
  <c r="R197" i="18"/>
  <c r="R200" i="18"/>
  <c r="R201" i="18"/>
  <c r="R202" i="18"/>
  <c r="R204" i="18"/>
  <c r="R205" i="18"/>
  <c r="R208" i="18"/>
  <c r="R209" i="18"/>
  <c r="R211" i="18"/>
  <c r="R212" i="18"/>
  <c r="R216" i="18"/>
  <c r="R217" i="18"/>
  <c r="R218" i="18"/>
  <c r="R219" i="18"/>
  <c r="R220" i="18"/>
  <c r="R221" i="18"/>
  <c r="R224" i="18"/>
  <c r="R226" i="18"/>
  <c r="R228" i="18"/>
  <c r="R229" i="18"/>
  <c r="R230" i="18"/>
  <c r="R232" i="18"/>
  <c r="R233" i="18"/>
  <c r="R236" i="18"/>
  <c r="R237" i="18"/>
  <c r="R240" i="18"/>
  <c r="R241" i="18"/>
  <c r="R244" i="18"/>
  <c r="R245" i="18"/>
  <c r="R248" i="18"/>
  <c r="R249" i="18"/>
  <c r="R250" i="18"/>
  <c r="R252" i="18"/>
  <c r="R253" i="18"/>
  <c r="R254" i="18"/>
  <c r="R256" i="18"/>
  <c r="R258" i="18"/>
  <c r="R260" i="18"/>
  <c r="R261" i="18"/>
  <c r="R262" i="18"/>
  <c r="R264" i="18"/>
  <c r="R265" i="18"/>
  <c r="R268" i="18"/>
  <c r="R269" i="18"/>
  <c r="R272" i="18"/>
  <c r="R273" i="18"/>
  <c r="R275" i="18"/>
  <c r="R276" i="18"/>
  <c r="R280" i="18"/>
  <c r="R281" i="18"/>
  <c r="R282" i="18"/>
  <c r="R283" i="18"/>
  <c r="R284" i="18"/>
  <c r="R285" i="18"/>
  <c r="R288" i="18"/>
  <c r="R290" i="18"/>
  <c r="R292" i="18"/>
  <c r="R293" i="18"/>
  <c r="R294" i="18"/>
  <c r="R296" i="18"/>
  <c r="R297" i="18"/>
  <c r="R300" i="18"/>
  <c r="R301" i="18"/>
  <c r="R304" i="18"/>
  <c r="R305" i="18"/>
  <c r="R308" i="18"/>
  <c r="R309" i="18"/>
  <c r="R312" i="18"/>
  <c r="R313" i="18"/>
  <c r="R314" i="18"/>
  <c r="R316" i="18"/>
  <c r="R317" i="18"/>
  <c r="R318" i="18"/>
  <c r="R320" i="18"/>
  <c r="R322" i="18"/>
  <c r="R324" i="18"/>
  <c r="R325" i="18"/>
  <c r="R326" i="18"/>
  <c r="R328" i="18"/>
  <c r="R329" i="18"/>
  <c r="R332" i="18"/>
  <c r="R333" i="18"/>
  <c r="R336" i="18"/>
  <c r="R337" i="18"/>
  <c r="R339" i="18"/>
  <c r="R340" i="18"/>
  <c r="R342" i="18"/>
  <c r="R345" i="18"/>
  <c r="R346" i="18"/>
  <c r="R347" i="18"/>
  <c r="R349" i="18"/>
  <c r="R350" i="18"/>
  <c r="R354" i="18"/>
  <c r="R356" i="18"/>
  <c r="R357" i="18"/>
  <c r="R360" i="18"/>
  <c r="R361" i="18"/>
  <c r="R362" i="18"/>
  <c r="R363" i="18"/>
  <c r="R364" i="18"/>
  <c r="R365" i="18"/>
  <c r="R368" i="18"/>
  <c r="R369" i="18"/>
  <c r="R370" i="18"/>
  <c r="R371" i="18"/>
  <c r="R372" i="18"/>
  <c r="R373" i="18"/>
  <c r="R374" i="18"/>
  <c r="R377" i="18"/>
  <c r="R379" i="18"/>
  <c r="R380" i="18"/>
  <c r="R381" i="18"/>
  <c r="R382" i="18"/>
  <c r="R384" i="18"/>
  <c r="R385" i="18"/>
  <c r="R386" i="18"/>
  <c r="R387" i="18"/>
  <c r="R388" i="18"/>
  <c r="R389" i="18"/>
  <c r="R392" i="18"/>
  <c r="R393" i="18"/>
  <c r="R395" i="18"/>
  <c r="R397" i="18"/>
  <c r="R398" i="18"/>
  <c r="R401" i="18"/>
  <c r="R404" i="18"/>
  <c r="R405" i="18"/>
  <c r="R406" i="18"/>
  <c r="R409" i="18"/>
  <c r="R410" i="18"/>
  <c r="R411" i="18"/>
  <c r="R412" i="18"/>
  <c r="R413" i="18"/>
  <c r="R414" i="18"/>
  <c r="R416" i="18"/>
  <c r="R417" i="18"/>
  <c r="R418" i="18"/>
  <c r="R420" i="18"/>
  <c r="R421" i="18"/>
  <c r="R424" i="18"/>
  <c r="R425" i="18"/>
  <c r="R427" i="18"/>
  <c r="R428" i="18"/>
  <c r="R429" i="18"/>
  <c r="R433" i="18"/>
  <c r="R434" i="18"/>
  <c r="R435" i="18"/>
  <c r="R436" i="18"/>
  <c r="R437" i="18"/>
  <c r="R438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/>
  <c r="S80" i="18" a="1"/>
  <c r="S80" i="18" s="1"/>
  <c r="S81" i="18" a="1"/>
  <c r="S81" i="18"/>
  <c r="S82" i="18" a="1"/>
  <c r="S82" i="18" s="1"/>
  <c r="S83" i="18" a="1"/>
  <c r="S83" i="18" s="1"/>
  <c r="S84" i="18" a="1"/>
  <c r="S84" i="18" s="1"/>
  <c r="S85" i="18" a="1"/>
  <c r="S85" i="18" s="1"/>
  <c r="S86" i="18" a="1"/>
  <c r="S86" i="18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/>
  <c r="S167" i="18" a="1"/>
  <c r="S167" i="18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/>
  <c r="S190" i="18" a="1"/>
  <c r="S190" i="18" s="1"/>
  <c r="S191" i="18" a="1"/>
  <c r="S191" i="18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/>
  <c r="S214" i="18" a="1"/>
  <c r="S214" i="18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/>
  <c r="S222" i="18" a="1"/>
  <c r="S222" i="18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/>
  <c r="S255" i="18" a="1"/>
  <c r="S255" i="18"/>
  <c r="S256" i="18" a="1"/>
  <c r="S256" i="18" s="1"/>
  <c r="S257" i="18" a="1"/>
  <c r="S257" i="18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/>
  <c r="S278" i="18" a="1"/>
  <c r="S278" i="18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/>
  <c r="S286" i="18" a="1"/>
  <c r="S286" i="18" s="1"/>
  <c r="S287" i="18" a="1"/>
  <c r="S287" i="18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/>
  <c r="S319" i="18" a="1"/>
  <c r="S319" i="18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/>
  <c r="S342" i="18" a="1"/>
  <c r="S342" i="18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/>
  <c r="S408" i="18" a="1"/>
  <c r="S408" i="18" s="1"/>
  <c r="S409" i="18" a="1"/>
  <c r="S409" i="18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/>
  <c r="S419" i="18" a="1"/>
  <c r="S419" i="18" s="1"/>
  <c r="S420" i="18" a="1"/>
  <c r="S420" i="18" s="1"/>
  <c r="S421" i="18" a="1"/>
  <c r="S421" i="18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 s="1"/>
  <c r="S429" i="18" a="1"/>
  <c r="S429" i="18" s="1"/>
  <c r="S430" i="18" a="1"/>
  <c r="S430" i="18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T2" i="18" a="1"/>
  <c r="T2" i="18"/>
  <c r="T3" i="18" a="1"/>
  <c r="T3" i="18" s="1"/>
  <c r="T4" i="18" a="1"/>
  <c r="T4" i="18" s="1"/>
  <c r="T5" i="18" a="1"/>
  <c r="T5" i="18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/>
  <c r="T34" i="18" a="1"/>
  <c r="T34" i="18" s="1"/>
  <c r="T35" i="18" a="1"/>
  <c r="T35" i="18"/>
  <c r="T36" i="18" a="1"/>
  <c r="T36" i="18" s="1"/>
  <c r="T37" i="18" a="1"/>
  <c r="T37" i="18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/>
  <c r="T44" i="18" a="1"/>
  <c r="T44" i="18" s="1"/>
  <c r="T45" i="18" a="1"/>
  <c r="T45" i="18" s="1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 s="1"/>
  <c r="T64" i="18" a="1"/>
  <c r="T64" i="18" s="1"/>
  <c r="T65" i="18" a="1"/>
  <c r="T65" i="18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/>
  <c r="T84" i="18" a="1"/>
  <c r="T84" i="18" s="1"/>
  <c r="T85" i="18" a="1"/>
  <c r="T85" i="18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/>
  <c r="T115" i="18" a="1"/>
  <c r="T115" i="18" s="1"/>
  <c r="T116" i="18" a="1"/>
  <c r="T116" i="18" s="1"/>
  <c r="T117" i="18" a="1"/>
  <c r="T117" i="18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/>
  <c r="T156" i="18" a="1"/>
  <c r="T156" i="18" s="1"/>
  <c r="T157" i="18" a="1"/>
  <c r="T157" i="18" s="1"/>
  <c r="T158" i="18" a="1"/>
  <c r="T158" i="18"/>
  <c r="T159" i="18" a="1"/>
  <c r="T159" i="18" s="1"/>
  <c r="T160" i="18" a="1"/>
  <c r="T160" i="18" s="1"/>
  <c r="T161" i="18" a="1"/>
  <c r="T161" i="18"/>
  <c r="T162" i="18" a="1"/>
  <c r="T162" i="18" s="1"/>
  <c r="T163" i="18" a="1"/>
  <c r="T163" i="18" s="1"/>
  <c r="T164" i="18" a="1"/>
  <c r="T164" i="18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/>
  <c r="T170" i="18" a="1"/>
  <c r="T170" i="18" s="1"/>
  <c r="T171" i="18" a="1"/>
  <c r="T171" i="18" s="1"/>
  <c r="T172" i="18" a="1"/>
  <c r="T172" i="18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/>
  <c r="T178" i="18" a="1"/>
  <c r="T178" i="18" s="1"/>
  <c r="T179" i="18" a="1"/>
  <c r="T179" i="18" s="1"/>
  <c r="T180" i="18" a="1"/>
  <c r="T180" i="18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/>
  <c r="T186" i="18" a="1"/>
  <c r="T186" i="18" s="1"/>
  <c r="T187" i="18" a="1"/>
  <c r="T187" i="18" s="1"/>
  <c r="T188" i="18" a="1"/>
  <c r="T188" i="18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/>
  <c r="T194" i="18" a="1"/>
  <c r="T194" i="18" s="1"/>
  <c r="T195" i="18" a="1"/>
  <c r="T195" i="18" s="1"/>
  <c r="T196" i="18" a="1"/>
  <c r="T196" i="18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 s="1"/>
  <c r="T203" i="18" a="1"/>
  <c r="T203" i="18" s="1"/>
  <c r="T204" i="18" a="1"/>
  <c r="T204" i="18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/>
  <c r="T213" i="18" a="1"/>
  <c r="T213" i="18" s="1"/>
  <c r="T214" i="18" a="1"/>
  <c r="T214" i="18" s="1"/>
  <c r="T215" i="18" a="1"/>
  <c r="T215" i="18" s="1"/>
  <c r="T216" i="18" a="1"/>
  <c r="T216" i="18"/>
  <c r="T217" i="18" a="1"/>
  <c r="T217" i="18" s="1"/>
  <c r="T218" i="18" a="1"/>
  <c r="T218" i="18" s="1"/>
  <c r="T219" i="18" a="1"/>
  <c r="T219" i="18" s="1"/>
  <c r="T220" i="18" a="1"/>
  <c r="T220" i="18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U2" i="18"/>
  <c r="U3" i="18"/>
  <c r="U4" i="18"/>
  <c r="U5" i="18"/>
  <c r="U6" i="18"/>
  <c r="U7" i="18"/>
  <c r="U8" i="18"/>
  <c r="U9" i="18"/>
  <c r="U10" i="18"/>
  <c r="U12" i="18"/>
  <c r="U13" i="18"/>
  <c r="U14" i="18"/>
  <c r="U15" i="18"/>
  <c r="U16" i="18"/>
  <c r="U18" i="18"/>
  <c r="U19" i="18"/>
  <c r="U20" i="18"/>
  <c r="U21" i="18"/>
  <c r="U22" i="18"/>
  <c r="U24" i="18"/>
  <c r="U25" i="18"/>
  <c r="U26" i="18"/>
  <c r="U27" i="18"/>
  <c r="U28" i="18"/>
  <c r="U29" i="18"/>
  <c r="U30" i="18"/>
  <c r="U32" i="18"/>
  <c r="U33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5" i="18"/>
  <c r="U56" i="18"/>
  <c r="U58" i="18"/>
  <c r="U59" i="18"/>
  <c r="U60" i="18"/>
  <c r="U61" i="18"/>
  <c r="U62" i="18"/>
  <c r="U64" i="18"/>
  <c r="U66" i="18"/>
  <c r="U67" i="18"/>
  <c r="U68" i="18"/>
  <c r="U70" i="18"/>
  <c r="U71" i="18"/>
  <c r="U72" i="18"/>
  <c r="U73" i="18"/>
  <c r="U76" i="18"/>
  <c r="U77" i="18"/>
  <c r="U78" i="18"/>
  <c r="U79" i="18"/>
  <c r="U80" i="18"/>
  <c r="U82" i="18"/>
  <c r="U83" i="18"/>
  <c r="U84" i="18"/>
  <c r="U85" i="18"/>
  <c r="U86" i="18"/>
  <c r="U88" i="18"/>
  <c r="U89" i="18"/>
  <c r="U90" i="18"/>
  <c r="U91" i="18"/>
  <c r="U92" i="18"/>
  <c r="U93" i="18"/>
  <c r="U94" i="18"/>
  <c r="U96" i="18"/>
  <c r="U97" i="18"/>
  <c r="U100" i="18"/>
  <c r="U101" i="18"/>
  <c r="U102" i="18"/>
  <c r="U103" i="18"/>
  <c r="U104" i="18"/>
  <c r="U105" i="18"/>
  <c r="U106" i="18"/>
  <c r="U107" i="18"/>
  <c r="U108" i="18"/>
  <c r="U109" i="18"/>
  <c r="U111" i="18"/>
  <c r="U112" i="18"/>
  <c r="U113" i="18"/>
  <c r="U114" i="18"/>
  <c r="U115" i="18"/>
  <c r="U116" i="18"/>
  <c r="U117" i="18"/>
  <c r="U119" i="18"/>
  <c r="U120" i="18"/>
  <c r="U121" i="18"/>
  <c r="U122" i="18"/>
  <c r="U123" i="18"/>
  <c r="U124" i="18"/>
  <c r="U125" i="18"/>
  <c r="U126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4" i="18"/>
  <c r="U185" i="18"/>
  <c r="U186" i="18"/>
  <c r="U188" i="18"/>
  <c r="U189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4" i="18"/>
  <c r="U205" i="18"/>
  <c r="U206" i="18"/>
  <c r="U207" i="18"/>
  <c r="U208" i="18"/>
  <c r="U209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6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8" i="18"/>
  <c r="U260" i="18"/>
  <c r="U261" i="18"/>
  <c r="U262" i="18"/>
  <c r="U263" i="18"/>
  <c r="U264" i="18"/>
  <c r="U265" i="18"/>
  <c r="U266" i="18"/>
  <c r="U267" i="18"/>
  <c r="U268" i="18"/>
  <c r="U269" i="18"/>
  <c r="U271" i="18"/>
  <c r="U272" i="18"/>
  <c r="U273" i="18"/>
  <c r="U275" i="18"/>
  <c r="U276" i="18"/>
  <c r="U278" i="18"/>
  <c r="U279" i="18"/>
  <c r="U280" i="18"/>
  <c r="U281" i="18"/>
  <c r="U282" i="18"/>
  <c r="U283" i="18"/>
  <c r="U284" i="18"/>
  <c r="U285" i="18"/>
  <c r="U286" i="18"/>
  <c r="U287" i="18"/>
  <c r="U288" i="18"/>
  <c r="U290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2" i="18"/>
  <c r="U324" i="18"/>
  <c r="U325" i="18"/>
  <c r="U326" i="18"/>
  <c r="U327" i="18"/>
  <c r="U328" i="18"/>
  <c r="U329" i="18"/>
  <c r="U330" i="18"/>
  <c r="U331" i="18"/>
  <c r="U332" i="18"/>
  <c r="U333" i="18"/>
  <c r="U335" i="18"/>
  <c r="U336" i="18"/>
  <c r="U337" i="18"/>
  <c r="U339" i="18"/>
  <c r="U340" i="18"/>
  <c r="U342" i="18"/>
  <c r="U343" i="18"/>
  <c r="U344" i="18"/>
  <c r="U345" i="18"/>
  <c r="U346" i="18"/>
  <c r="U347" i="18"/>
  <c r="U349" i="18"/>
  <c r="U350" i="18"/>
  <c r="U351" i="18"/>
  <c r="U352" i="18"/>
  <c r="U353" i="18"/>
  <c r="U354" i="18"/>
  <c r="U356" i="18"/>
  <c r="U357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7" i="18"/>
  <c r="U398" i="18"/>
  <c r="U401" i="18"/>
  <c r="U404" i="18"/>
  <c r="U405" i="18"/>
  <c r="U406" i="18"/>
  <c r="U407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4" i="18"/>
  <c r="U425" i="18"/>
  <c r="U426" i="18"/>
  <c r="U427" i="18"/>
  <c r="U428" i="18"/>
  <c r="U429" i="18"/>
  <c r="U430" i="18"/>
  <c r="U431" i="18"/>
  <c r="U433" i="18"/>
  <c r="U434" i="18"/>
  <c r="U435" i="18"/>
  <c r="U436" i="18"/>
  <c r="U437" i="18"/>
  <c r="U438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L310" i="17"/>
  <c r="L311" i="17"/>
  <c r="L312" i="17"/>
  <c r="L313" i="17"/>
  <c r="L314" i="17"/>
  <c r="L315" i="17"/>
  <c r="L360" i="17"/>
  <c r="L400" i="17"/>
  <c r="L41" i="17"/>
  <c r="L81" i="17"/>
  <c r="L316" i="17"/>
  <c r="L317" i="17"/>
  <c r="L318" i="17"/>
  <c r="L319" i="17"/>
  <c r="L320" i="17"/>
  <c r="L321" i="17"/>
  <c r="L361" i="17"/>
  <c r="L401" i="17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23" i="17" a="1"/>
  <c r="M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M324" i="17" a="1"/>
  <c r="M324" i="17" s="1"/>
  <c r="M364" i="17" a="1"/>
  <c r="M364" i="17" s="1"/>
  <c r="Y364" i="17" s="1"/>
  <c r="Q364" i="17" s="1"/>
  <c r="W364" i="17" s="1"/>
  <c r="M5" i="17" a="1"/>
  <c r="M5" i="17" s="1"/>
  <c r="M45" i="17" a="1"/>
  <c r="M45" i="17" s="1"/>
  <c r="M100" i="17" a="1"/>
  <c r="M100" i="17" s="1"/>
  <c r="M101" i="17" a="1"/>
  <c r="M101" i="17" s="1"/>
  <c r="M102" i="17" a="1"/>
  <c r="M102" i="17" s="1"/>
  <c r="M103" i="17" a="1"/>
  <c r="M103" i="17" s="1"/>
  <c r="M104" i="17" a="1"/>
  <c r="M104" i="17" s="1"/>
  <c r="M105" i="17" a="1"/>
  <c r="M105" i="17"/>
  <c r="M325" i="17" a="1"/>
  <c r="M325" i="17" s="1"/>
  <c r="M365" i="17" a="1"/>
  <c r="M365" i="17" s="1"/>
  <c r="M6" i="17" a="1"/>
  <c r="M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26" i="17" a="1"/>
  <c r="M326" i="17" s="1"/>
  <c r="M366" i="17" a="1"/>
  <c r="M366" i="17" s="1"/>
  <c r="M7" i="17" a="1"/>
  <c r="M7" i="17" s="1"/>
  <c r="M47" i="17" a="1"/>
  <c r="M47" i="17" s="1"/>
  <c r="M112" i="17" a="1"/>
  <c r="M112" i="17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 s="1"/>
  <c r="M327" i="17" a="1"/>
  <c r="M327" i="17" s="1"/>
  <c r="M367" i="17" a="1"/>
  <c r="M367" i="17" s="1"/>
  <c r="M8" i="17" a="1"/>
  <c r="M8" i="17" s="1"/>
  <c r="M48" i="17" a="1"/>
  <c r="M48" i="17" s="1"/>
  <c r="M118" i="17" a="1"/>
  <c r="M118" i="17"/>
  <c r="M119" i="17" a="1"/>
  <c r="M119" i="17" s="1"/>
  <c r="M120" i="17" a="1"/>
  <c r="M120" i="17" s="1"/>
  <c r="M121" i="17" a="1"/>
  <c r="M121" i="17" s="1"/>
  <c r="M122" i="17" a="1"/>
  <c r="M122" i="17" s="1"/>
  <c r="M123" i="17" a="1"/>
  <c r="M123" i="17" s="1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M131" i="17" a="1"/>
  <c r="M131" i="17" s="1"/>
  <c r="M132" i="17" a="1"/>
  <c r="M132" i="17" s="1"/>
  <c r="M133" i="17" a="1"/>
  <c r="M133" i="17" s="1"/>
  <c r="Y133" i="17" s="1"/>
  <c r="M134" i="17" a="1"/>
  <c r="M134" i="17" s="1"/>
  <c r="M135" i="17" a="1"/>
  <c r="M135" i="17" s="1"/>
  <c r="M330" i="17" a="1"/>
  <c r="M330" i="17" s="1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/>
  <c r="M138" i="17" a="1"/>
  <c r="M138" i="17" s="1"/>
  <c r="Y138" i="17" s="1"/>
  <c r="M139" i="17" a="1"/>
  <c r="M139" i="17" s="1"/>
  <c r="M140" i="17" a="1"/>
  <c r="M140" i="17" s="1"/>
  <c r="M141" i="17" a="1"/>
  <c r="M141" i="17" s="1"/>
  <c r="M331" i="17" a="1"/>
  <c r="M331" i="17" s="1"/>
  <c r="M371" i="17" a="1"/>
  <c r="M371" i="17" s="1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M53" i="17" a="1"/>
  <c r="M53" i="17" s="1"/>
  <c r="M148" i="17" a="1"/>
  <c r="M148" i="17" s="1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M54" i="17" a="1"/>
  <c r="M54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M160" i="17" a="1"/>
  <c r="M160" i="17" s="1"/>
  <c r="M161" i="17" a="1"/>
  <c r="M161" i="17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M171" i="17" a="1"/>
  <c r="M171" i="17" s="1"/>
  <c r="M336" i="17" a="1"/>
  <c r="M336" i="17" s="1"/>
  <c r="M376" i="17" a="1"/>
  <c r="M376" i="17"/>
  <c r="M17" i="17" a="1"/>
  <c r="M17" i="17" s="1"/>
  <c r="M57" i="17" a="1"/>
  <c r="M57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/>
  <c r="M177" i="17" a="1"/>
  <c r="M177" i="17" s="1"/>
  <c r="M337" i="17" a="1"/>
  <c r="M337" i="17"/>
  <c r="M377" i="17" a="1"/>
  <c r="M377" i="17" s="1"/>
  <c r="M18" i="17" a="1"/>
  <c r="M18" i="17" s="1"/>
  <c r="M58" i="17" a="1"/>
  <c r="M58" i="17" s="1"/>
  <c r="M178" i="17" a="1"/>
  <c r="M178" i="17" s="1"/>
  <c r="M179" i="17" a="1"/>
  <c r="M179" i="17" s="1"/>
  <c r="M180" i="17" a="1"/>
  <c r="M180" i="17" s="1"/>
  <c r="M181" i="17" a="1"/>
  <c r="M181" i="17"/>
  <c r="M182" i="17" a="1"/>
  <c r="M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M379" i="17" a="1"/>
  <c r="M379" i="17" s="1"/>
  <c r="M20" i="17" a="1"/>
  <c r="M20" i="17" s="1"/>
  <c r="M60" i="17" a="1"/>
  <c r="M60" i="17" s="1"/>
  <c r="Y60" i="17" s="1"/>
  <c r="Q60" i="17" s="1"/>
  <c r="W6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40" i="17" a="1"/>
  <c r="M340" i="17" s="1"/>
  <c r="M380" i="17" a="1"/>
  <c r="M380" i="17" s="1"/>
  <c r="M21" i="17" a="1"/>
  <c r="M21" i="17"/>
  <c r="M61" i="17" a="1"/>
  <c r="M61" i="17" s="1"/>
  <c r="M196" i="17" a="1"/>
  <c r="M196" i="17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Y342" i="17" s="1"/>
  <c r="Q342" i="17" s="1"/>
  <c r="W342" i="17" s="1"/>
  <c r="M382" i="17" a="1"/>
  <c r="M382" i="17" s="1"/>
  <c r="M23" i="17" a="1"/>
  <c r="M23" i="17" s="1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 s="1"/>
  <c r="M213" i="17" a="1"/>
  <c r="M213" i="17" s="1"/>
  <c r="M343" i="17" a="1"/>
  <c r="M343" i="17" s="1"/>
  <c r="M383" i="17" a="1"/>
  <c r="M383" i="17" s="1"/>
  <c r="M24" i="17" a="1"/>
  <c r="M24" i="17" s="1"/>
  <c r="M64" i="17" a="1"/>
  <c r="M64" i="17" s="1"/>
  <c r="M214" i="17" a="1"/>
  <c r="M214" i="17"/>
  <c r="M215" i="17" a="1"/>
  <c r="M215" i="17" s="1"/>
  <c r="M216" i="17" a="1"/>
  <c r="M216" i="17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Y384" i="17" s="1"/>
  <c r="Q384" i="17" s="1"/>
  <c r="W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M227" i="17" a="1"/>
  <c r="M227" i="17" s="1"/>
  <c r="M228" i="17" a="1"/>
  <c r="M228" i="17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 s="1"/>
  <c r="M67" i="17" a="1"/>
  <c r="M67" i="17" s="1"/>
  <c r="M232" i="17" a="1"/>
  <c r="M232" i="17" s="1"/>
  <c r="M233" i="17" a="1"/>
  <c r="M233" i="17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/>
  <c r="M387" i="17" a="1"/>
  <c r="M387" i="17" s="1"/>
  <c r="M28" i="17" a="1"/>
  <c r="M28" i="17" s="1"/>
  <c r="M68" i="17" a="1"/>
  <c r="M68" i="17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M251" i="17" a="1"/>
  <c r="M251" i="17" s="1"/>
  <c r="M252" i="17" a="1"/>
  <c r="M252" i="17" s="1"/>
  <c r="Y252" i="17" s="1"/>
  <c r="Q252" i="17" s="1"/>
  <c r="W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 s="1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51" i="17" a="1"/>
  <c r="M351" i="17" s="1"/>
  <c r="M391" i="17" a="1"/>
  <c r="M391" i="17" s="1"/>
  <c r="M32" i="17" a="1"/>
  <c r="M32" i="17" s="1"/>
  <c r="M72" i="17" a="1"/>
  <c r="M72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352" i="17" a="1"/>
  <c r="M352" i="17" s="1"/>
  <c r="M392" i="17" a="1"/>
  <c r="M392" i="17" s="1"/>
  <c r="M33" i="17" a="1"/>
  <c r="M33" i="17" s="1"/>
  <c r="M73" i="17" a="1"/>
  <c r="M73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/>
  <c r="M285" i="17" a="1"/>
  <c r="M285" i="17" s="1"/>
  <c r="M355" i="17" a="1"/>
  <c r="M355" i="17" s="1"/>
  <c r="M395" i="17" a="1"/>
  <c r="M395" i="17" s="1"/>
  <c r="M36" i="17" a="1"/>
  <c r="M36" i="17" s="1"/>
  <c r="M76" i="17" a="1"/>
  <c r="M76" i="17" s="1"/>
  <c r="M286" i="17" a="1"/>
  <c r="M286" i="17" s="1"/>
  <c r="M287" i="17" a="1"/>
  <c r="M287" i="17" s="1"/>
  <c r="M288" i="17" a="1"/>
  <c r="M288" i="17"/>
  <c r="M289" i="17" a="1"/>
  <c r="M289" i="17" s="1"/>
  <c r="M290" i="17" a="1"/>
  <c r="M290" i="17" s="1"/>
  <c r="M291" i="17" a="1"/>
  <c r="M291" i="17" s="1"/>
  <c r="M356" i="17" a="1"/>
  <c r="M356" i="17" s="1"/>
  <c r="M396" i="17" a="1"/>
  <c r="M396" i="17" s="1"/>
  <c r="M37" i="17" a="1"/>
  <c r="M37" i="17" s="1"/>
  <c r="M77" i="17" a="1"/>
  <c r="M77" i="17" s="1"/>
  <c r="M292" i="17" a="1"/>
  <c r="M292" i="17" s="1"/>
  <c r="M293" i="17" a="1"/>
  <c r="M293" i="17" s="1"/>
  <c r="Y293" i="17" s="1"/>
  <c r="Q293" i="17" s="1"/>
  <c r="W293" i="17" s="1"/>
  <c r="M294" i="17" a="1"/>
  <c r="M294" i="17" s="1"/>
  <c r="M295" i="17" a="1"/>
  <c r="M295" i="17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/>
  <c r="M298" i="17" a="1"/>
  <c r="M298" i="17" s="1"/>
  <c r="M299" i="17" a="1"/>
  <c r="M299" i="17" s="1"/>
  <c r="M300" i="17" a="1"/>
  <c r="M300" i="17"/>
  <c r="M301" i="17" a="1"/>
  <c r="M301" i="17" s="1"/>
  <c r="M302" i="17" a="1"/>
  <c r="M302" i="17" s="1"/>
  <c r="M303" i="17" a="1"/>
  <c r="M303" i="17"/>
  <c r="M358" i="17" a="1"/>
  <c r="M358" i="17" s="1"/>
  <c r="M398" i="17" a="1"/>
  <c r="M398" i="17" s="1"/>
  <c r="M39" i="17" a="1"/>
  <c r="M39" i="17" s="1"/>
  <c r="M79" i="17" a="1"/>
  <c r="M79" i="17" s="1"/>
  <c r="M304" i="17" a="1"/>
  <c r="M304" i="17" s="1"/>
  <c r="M305" i="17" a="1"/>
  <c r="M305" i="17"/>
  <c r="M306" i="17" a="1"/>
  <c r="M306" i="17" s="1"/>
  <c r="M307" i="17" a="1"/>
  <c r="M307" i="17" s="1"/>
  <c r="M308" i="17" a="1"/>
  <c r="M308" i="17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 s="1"/>
  <c r="M310" i="17" a="1"/>
  <c r="M310" i="17" s="1"/>
  <c r="M311" i="17" a="1"/>
  <c r="M311" i="17" s="1"/>
  <c r="M312" i="17" a="1"/>
  <c r="M312" i="17" s="1"/>
  <c r="M313" i="17" a="1"/>
  <c r="M313" i="17"/>
  <c r="M314" i="17" a="1"/>
  <c r="M314" i="17" s="1"/>
  <c r="M315" i="17" a="1"/>
  <c r="M315" i="17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/>
  <c r="M318" i="17" a="1"/>
  <c r="M318" i="17" s="1"/>
  <c r="M319" i="17" a="1"/>
  <c r="M319" i="17" s="1"/>
  <c r="M320" i="17" a="1"/>
  <c r="M320" i="17" s="1"/>
  <c r="M321" i="17" a="1"/>
  <c r="M321" i="17" s="1"/>
  <c r="M361" i="17" a="1"/>
  <c r="M361" i="17" s="1"/>
  <c r="M401" i="17" a="1"/>
  <c r="M401" i="17"/>
  <c r="N2" i="17" a="1"/>
  <c r="N2" i="17" s="1"/>
  <c r="N42" i="17" a="1"/>
  <c r="N42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87" i="17" a="1"/>
  <c r="N87" i="17" s="1"/>
  <c r="N322" i="17" a="1"/>
  <c r="N322" i="17" s="1"/>
  <c r="N362" i="17" a="1"/>
  <c r="N362" i="17" s="1"/>
  <c r="N3" i="17" a="1"/>
  <c r="N3" i="17" s="1"/>
  <c r="N43" i="17" a="1"/>
  <c r="N43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93" i="17" a="1"/>
  <c r="N93" i="17" s="1"/>
  <c r="N323" i="17" a="1"/>
  <c r="N323" i="17" s="1"/>
  <c r="N363" i="17" a="1"/>
  <c r="N363" i="17" s="1"/>
  <c r="N4" i="17" a="1"/>
  <c r="N4" i="17" s="1"/>
  <c r="N44" i="17" a="1"/>
  <c r="N44" i="17" s="1"/>
  <c r="N94" i="17" a="1"/>
  <c r="N94" i="17" s="1"/>
  <c r="N95" i="17" a="1"/>
  <c r="N95" i="17" s="1"/>
  <c r="N96" i="17" a="1"/>
  <c r="N96" i="17" s="1"/>
  <c r="N97" i="17" a="1"/>
  <c r="N97" i="17" s="1"/>
  <c r="N98" i="17" a="1"/>
  <c r="N98" i="17" s="1"/>
  <c r="N99" i="17" a="1"/>
  <c r="N99" i="17" s="1"/>
  <c r="N324" i="17" a="1"/>
  <c r="N324" i="17" s="1"/>
  <c r="N364" i="17" a="1"/>
  <c r="N364" i="17" s="1"/>
  <c r="N5" i="17" a="1"/>
  <c r="N5" i="17" s="1"/>
  <c r="N45" i="17" a="1"/>
  <c r="N45" i="17" s="1"/>
  <c r="N100" i="17" a="1"/>
  <c r="N100" i="17" s="1"/>
  <c r="N101" i="17" a="1"/>
  <c r="N101" i="17" s="1"/>
  <c r="N102" i="17" a="1"/>
  <c r="N102" i="17" s="1"/>
  <c r="N103" i="17" a="1"/>
  <c r="N103" i="17" s="1"/>
  <c r="N104" i="17" a="1"/>
  <c r="N104" i="17" s="1"/>
  <c r="N105" i="17" a="1"/>
  <c r="N105" i="17" s="1"/>
  <c r="N325" i="17" a="1"/>
  <c r="N325" i="17" s="1"/>
  <c r="N365" i="17" a="1"/>
  <c r="N365" i="17" s="1"/>
  <c r="N6" i="17" a="1"/>
  <c r="N6" i="17" s="1"/>
  <c r="N46" i="17" a="1"/>
  <c r="N46" i="17" s="1"/>
  <c r="N106" i="17" a="1"/>
  <c r="N106" i="17" s="1"/>
  <c r="N107" i="17" a="1"/>
  <c r="N107" i="17" s="1"/>
  <c r="N108" i="17" a="1"/>
  <c r="N108" i="17" s="1"/>
  <c r="N109" i="17" a="1"/>
  <c r="N109" i="17" s="1"/>
  <c r="N110" i="17" a="1"/>
  <c r="N110" i="17" s="1"/>
  <c r="N111" i="17" a="1"/>
  <c r="N111" i="17" s="1"/>
  <c r="N326" i="17" a="1"/>
  <c r="N326" i="17" s="1"/>
  <c r="N366" i="17" a="1"/>
  <c r="N366" i="17" s="1"/>
  <c r="N7" i="17" a="1"/>
  <c r="N7" i="17" s="1"/>
  <c r="N47" i="17" a="1"/>
  <c r="N47" i="17" s="1"/>
  <c r="N112" i="17" a="1"/>
  <c r="N112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327" i="17" a="1"/>
  <c r="N327" i="17" s="1"/>
  <c r="N367" i="17" a="1"/>
  <c r="N367" i="17" s="1"/>
  <c r="N8" i="17" a="1"/>
  <c r="N8" i="17" s="1"/>
  <c r="N48" i="17" a="1"/>
  <c r="N48" i="17" s="1"/>
  <c r="N118" i="17" a="1"/>
  <c r="N118" i="17" s="1"/>
  <c r="N119" i="17" a="1"/>
  <c r="N119" i="17" s="1"/>
  <c r="N120" i="17" a="1"/>
  <c r="N120" i="17" s="1"/>
  <c r="N121" i="17" a="1"/>
  <c r="N121" i="17" s="1"/>
  <c r="N122" i="17" a="1"/>
  <c r="N122" i="17" s="1"/>
  <c r="N123" i="17" a="1"/>
  <c r="N123" i="17" s="1"/>
  <c r="N328" i="17" a="1"/>
  <c r="N328" i="17" s="1"/>
  <c r="N368" i="17" a="1"/>
  <c r="N368" i="17" s="1"/>
  <c r="N9" i="17" a="1"/>
  <c r="N9" i="17" s="1"/>
  <c r="N49" i="17" a="1"/>
  <c r="N49" i="17" s="1"/>
  <c r="N124" i="17" a="1"/>
  <c r="N124" i="17" s="1"/>
  <c r="N125" i="17" a="1"/>
  <c r="N125" i="17" s="1"/>
  <c r="N126" i="17" a="1"/>
  <c r="N126" i="17" s="1"/>
  <c r="N127" i="17" a="1"/>
  <c r="N127" i="17" s="1"/>
  <c r="N128" i="17" a="1"/>
  <c r="N128" i="17" s="1"/>
  <c r="N129" i="17" a="1"/>
  <c r="N129" i="17" s="1"/>
  <c r="N329" i="17" a="1"/>
  <c r="N329" i="17" s="1"/>
  <c r="N369" i="17" a="1"/>
  <c r="N369" i="17" s="1"/>
  <c r="N10" i="17" a="1"/>
  <c r="N10" i="17" s="1"/>
  <c r="N50" i="17" a="1"/>
  <c r="N50" i="17" s="1"/>
  <c r="N130" i="17" a="1"/>
  <c r="N130" i="17" s="1"/>
  <c r="N131" i="17" a="1"/>
  <c r="N131" i="17" s="1"/>
  <c r="N132" i="17" a="1"/>
  <c r="N132" i="17" s="1"/>
  <c r="N133" i="17" a="1"/>
  <c r="N133" i="17" s="1"/>
  <c r="N134" i="17" a="1"/>
  <c r="N134" i="17" s="1"/>
  <c r="N135" i="17" a="1"/>
  <c r="N135" i="17" s="1"/>
  <c r="N330" i="17" a="1"/>
  <c r="N330" i="17" s="1"/>
  <c r="N370" i="17" a="1"/>
  <c r="N370" i="17" s="1"/>
  <c r="N11" i="17" a="1"/>
  <c r="N11" i="17" s="1"/>
  <c r="N51" i="17" a="1"/>
  <c r="N51" i="17" s="1"/>
  <c r="N136" i="17" a="1"/>
  <c r="N136" i="17" s="1"/>
  <c r="N137" i="17" a="1"/>
  <c r="N137" i="17" s="1"/>
  <c r="N138" i="17" a="1"/>
  <c r="N138" i="17" s="1"/>
  <c r="N139" i="17" a="1"/>
  <c r="N139" i="17" s="1"/>
  <c r="N140" i="17" a="1"/>
  <c r="N140" i="17" s="1"/>
  <c r="N141" i="17" a="1"/>
  <c r="N141" i="17" s="1"/>
  <c r="N331" i="17" a="1"/>
  <c r="N331" i="17" s="1"/>
  <c r="N371" i="17" a="1"/>
  <c r="N371" i="17" s="1"/>
  <c r="N12" i="17" a="1"/>
  <c r="N12" i="17" s="1"/>
  <c r="N52" i="17" a="1"/>
  <c r="N52" i="17" s="1"/>
  <c r="N142" i="17" a="1"/>
  <c r="N142" i="17" s="1"/>
  <c r="N143" i="17" a="1"/>
  <c r="N143" i="17" s="1"/>
  <c r="N144" i="17" a="1"/>
  <c r="N144" i="17" s="1"/>
  <c r="N145" i="17" a="1"/>
  <c r="N145" i="17" s="1"/>
  <c r="N146" i="17" a="1"/>
  <c r="N146" i="17" s="1"/>
  <c r="N147" i="17" a="1"/>
  <c r="N147" i="17" s="1"/>
  <c r="N332" i="17" a="1"/>
  <c r="N332" i="17" s="1"/>
  <c r="N372" i="17" a="1"/>
  <c r="N372" i="17" s="1"/>
  <c r="N13" i="17" a="1"/>
  <c r="N13" i="17" s="1"/>
  <c r="N53" i="17" a="1"/>
  <c r="N53" i="17" s="1"/>
  <c r="N148" i="17" a="1"/>
  <c r="N148" i="17" s="1"/>
  <c r="N149" i="17" a="1"/>
  <c r="N149" i="17" s="1"/>
  <c r="N150" i="17" a="1"/>
  <c r="N150" i="17" s="1"/>
  <c r="N151" i="17" a="1"/>
  <c r="N151" i="17" s="1"/>
  <c r="N152" i="17" a="1"/>
  <c r="N152" i="17" s="1"/>
  <c r="N153" i="17" a="1"/>
  <c r="N153" i="17" s="1"/>
  <c r="N333" i="17" a="1"/>
  <c r="N333" i="17" s="1"/>
  <c r="N373" i="17" a="1"/>
  <c r="N373" i="17" s="1"/>
  <c r="N14" i="17" a="1"/>
  <c r="N14" i="17" s="1"/>
  <c r="N54" i="17" a="1"/>
  <c r="N54" i="17" s="1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334" i="17" a="1"/>
  <c r="N334" i="17" s="1"/>
  <c r="N374" i="17" a="1"/>
  <c r="N374" i="17" s="1"/>
  <c r="N15" i="17" a="1"/>
  <c r="N15" i="17" s="1"/>
  <c r="N55" i="17" a="1"/>
  <c r="N55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/>
  <c r="N165" i="17" a="1"/>
  <c r="N165" i="17" s="1"/>
  <c r="N335" i="17" a="1"/>
  <c r="N335" i="17" s="1"/>
  <c r="N375" i="17" a="1"/>
  <c r="N375" i="17" s="1"/>
  <c r="N16" i="17" a="1"/>
  <c r="N16" i="17" s="1"/>
  <c r="N56" i="17" a="1"/>
  <c r="N56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336" i="17" a="1"/>
  <c r="N336" i="17" s="1"/>
  <c r="N376" i="17" a="1"/>
  <c r="N376" i="17" s="1"/>
  <c r="N17" i="17" a="1"/>
  <c r="N17" i="17" s="1"/>
  <c r="N57" i="17" a="1"/>
  <c r="N57" i="17" s="1"/>
  <c r="N172" i="17" a="1"/>
  <c r="N172" i="17" s="1"/>
  <c r="N173" i="17" a="1"/>
  <c r="N173" i="17" s="1"/>
  <c r="N174" i="17" a="1"/>
  <c r="N174" i="17" s="1"/>
  <c r="N175" i="17" a="1"/>
  <c r="N175" i="17" s="1"/>
  <c r="N176" i="17" a="1"/>
  <c r="N176" i="17" s="1"/>
  <c r="N177" i="17" a="1"/>
  <c r="N177" i="17" s="1"/>
  <c r="N337" i="17" a="1"/>
  <c r="N337" i="17" s="1"/>
  <c r="N377" i="17" a="1"/>
  <c r="N377" i="17" s="1"/>
  <c r="N18" i="17" a="1"/>
  <c r="N18" i="17" s="1"/>
  <c r="N58" i="17" a="1"/>
  <c r="N58" i="17" s="1"/>
  <c r="N178" i="17" a="1"/>
  <c r="N178" i="17" s="1"/>
  <c r="N179" i="17" a="1"/>
  <c r="N179" i="17" s="1"/>
  <c r="N180" i="17" a="1"/>
  <c r="N180" i="17" s="1"/>
  <c r="N181" i="17" a="1"/>
  <c r="N181" i="17" s="1"/>
  <c r="N182" i="17" a="1"/>
  <c r="N182" i="17" s="1"/>
  <c r="N183" i="17" a="1"/>
  <c r="N183" i="17" s="1"/>
  <c r="N338" i="17" a="1"/>
  <c r="N338" i="17" s="1"/>
  <c r="N378" i="17" a="1"/>
  <c r="N378" i="17" s="1"/>
  <c r="N19" i="17" a="1"/>
  <c r="N19" i="17" s="1"/>
  <c r="N59" i="17" a="1"/>
  <c r="N59" i="17" s="1"/>
  <c r="N184" i="17" a="1"/>
  <c r="N184" i="17" s="1"/>
  <c r="N185" i="17" a="1"/>
  <c r="N185" i="17" s="1"/>
  <c r="N186" i="17" a="1"/>
  <c r="N186" i="17" s="1"/>
  <c r="N187" i="17" a="1"/>
  <c r="N187" i="17" s="1"/>
  <c r="N188" i="17" a="1"/>
  <c r="N188" i="17" s="1"/>
  <c r="N189" i="17" a="1"/>
  <c r="N189" i="17" s="1"/>
  <c r="N339" i="17" a="1"/>
  <c r="N339" i="17" s="1"/>
  <c r="N379" i="17" a="1"/>
  <c r="N379" i="17" s="1"/>
  <c r="N20" i="17" a="1"/>
  <c r="N20" i="17" s="1"/>
  <c r="N60" i="17" a="1"/>
  <c r="N60" i="17" s="1"/>
  <c r="N190" i="17" a="1"/>
  <c r="N190" i="17" s="1"/>
  <c r="N191" i="17" a="1"/>
  <c r="N191" i="17" s="1"/>
  <c r="N192" i="17" a="1"/>
  <c r="N192" i="17" s="1"/>
  <c r="N193" i="17" a="1"/>
  <c r="N193" i="17" s="1"/>
  <c r="N194" i="17" a="1"/>
  <c r="N194" i="17" s="1"/>
  <c r="N195" i="17" a="1"/>
  <c r="N195" i="17" s="1"/>
  <c r="N340" i="17" a="1"/>
  <c r="N340" i="17" s="1"/>
  <c r="N380" i="17" a="1"/>
  <c r="N380" i="17" s="1"/>
  <c r="N21" i="17" a="1"/>
  <c r="N21" i="17" s="1"/>
  <c r="N61" i="17" a="1"/>
  <c r="N61" i="17" s="1"/>
  <c r="N196" i="17" a="1"/>
  <c r="N196" i="17" s="1"/>
  <c r="N197" i="17" a="1"/>
  <c r="N197" i="17" s="1"/>
  <c r="N198" i="17" a="1"/>
  <c r="N198" i="17" s="1"/>
  <c r="N199" i="17" a="1"/>
  <c r="N199" i="17" s="1"/>
  <c r="N200" i="17" a="1"/>
  <c r="N200" i="17" s="1"/>
  <c r="N201" i="17" a="1"/>
  <c r="N201" i="17" s="1"/>
  <c r="N341" i="17" a="1"/>
  <c r="N341" i="17" s="1"/>
  <c r="N381" i="17" a="1"/>
  <c r="N381" i="17" s="1"/>
  <c r="N22" i="17" a="1"/>
  <c r="N22" i="17" s="1"/>
  <c r="N62" i="17" a="1"/>
  <c r="N62" i="17" s="1"/>
  <c r="N202" i="17" a="1"/>
  <c r="N202" i="17" s="1"/>
  <c r="N203" i="17" a="1"/>
  <c r="N203" i="17" s="1"/>
  <c r="N204" i="17" a="1"/>
  <c r="N204" i="17" s="1"/>
  <c r="N205" i="17" a="1"/>
  <c r="N205" i="17" s="1"/>
  <c r="N206" i="17" a="1"/>
  <c r="N206" i="17" s="1"/>
  <c r="N207" i="17" a="1"/>
  <c r="N207" i="17" s="1"/>
  <c r="N342" i="17" a="1"/>
  <c r="N342" i="17" s="1"/>
  <c r="N382" i="17" a="1"/>
  <c r="N382" i="17" s="1"/>
  <c r="N23" i="17" a="1"/>
  <c r="N23" i="17" s="1"/>
  <c r="N63" i="17" a="1"/>
  <c r="N63" i="17" s="1"/>
  <c r="N208" i="17" a="1"/>
  <c r="N208" i="17" s="1"/>
  <c r="N209" i="17" a="1"/>
  <c r="N209" i="17" s="1"/>
  <c r="N210" i="17" a="1"/>
  <c r="N210" i="17" s="1"/>
  <c r="N211" i="17" a="1"/>
  <c r="N211" i="17" s="1"/>
  <c r="N212" i="17" a="1"/>
  <c r="N212" i="17" s="1"/>
  <c r="N213" i="17" a="1"/>
  <c r="N213" i="17" s="1"/>
  <c r="N343" i="17" a="1"/>
  <c r="N343" i="17" s="1"/>
  <c r="N383" i="17" a="1"/>
  <c r="N383" i="17" s="1"/>
  <c r="N24" i="17" a="1"/>
  <c r="N24" i="17" s="1"/>
  <c r="N64" i="17" a="1"/>
  <c r="N64" i="17" s="1"/>
  <c r="N214" i="17" a="1"/>
  <c r="N214" i="17" s="1"/>
  <c r="N215" i="17" a="1"/>
  <c r="N215" i="17" s="1"/>
  <c r="N216" i="17" a="1"/>
  <c r="N216" i="17" s="1"/>
  <c r="N217" i="17" a="1"/>
  <c r="N217" i="17" s="1"/>
  <c r="N218" i="17" a="1"/>
  <c r="N218" i="17" s="1"/>
  <c r="N219" i="17" a="1"/>
  <c r="N219" i="17" s="1"/>
  <c r="N344" i="17" a="1"/>
  <c r="N344" i="17" s="1"/>
  <c r="N384" i="17" a="1"/>
  <c r="N384" i="17" s="1"/>
  <c r="N25" i="17" a="1"/>
  <c r="N25" i="17" s="1"/>
  <c r="N65" i="17" a="1"/>
  <c r="N65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345" i="17" a="1"/>
  <c r="N345" i="17" s="1"/>
  <c r="N385" i="17" a="1"/>
  <c r="N385" i="17" s="1"/>
  <c r="N26" i="17" a="1"/>
  <c r="N26" i="17" s="1"/>
  <c r="N66" i="17" a="1"/>
  <c r="N66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346" i="17" a="1"/>
  <c r="N346" i="17" s="1"/>
  <c r="N386" i="17" a="1"/>
  <c r="N386" i="17" s="1"/>
  <c r="N27" i="17" a="1"/>
  <c r="N27" i="17" s="1"/>
  <c r="N67" i="17" a="1"/>
  <c r="N67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347" i="17" a="1"/>
  <c r="N347" i="17" s="1"/>
  <c r="N387" i="17" a="1"/>
  <c r="N387" i="17" s="1"/>
  <c r="N28" i="17" a="1"/>
  <c r="N28" i="17" s="1"/>
  <c r="N68" i="17" a="1"/>
  <c r="N68" i="17" s="1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 s="1"/>
  <c r="N243" i="17" a="1"/>
  <c r="N243" i="17" s="1"/>
  <c r="N348" i="17" a="1"/>
  <c r="N348" i="17" s="1"/>
  <c r="N388" i="17" a="1"/>
  <c r="N388" i="17" s="1"/>
  <c r="N29" i="17" a="1"/>
  <c r="N29" i="17" s="1"/>
  <c r="N69" i="17" a="1"/>
  <c r="N69" i="17"/>
  <c r="N244" i="17" a="1"/>
  <c r="N244" i="17" s="1"/>
  <c r="N245" i="17" a="1"/>
  <c r="N245" i="17" s="1"/>
  <c r="N246" i="17" a="1"/>
  <c r="N246" i="17" s="1"/>
  <c r="N247" i="17" a="1"/>
  <c r="N247" i="17" s="1"/>
  <c r="N248" i="17" a="1"/>
  <c r="N248" i="17" s="1"/>
  <c r="N249" i="17" a="1"/>
  <c r="N249" i="17" s="1"/>
  <c r="N349" i="17" a="1"/>
  <c r="N349" i="17" s="1"/>
  <c r="N389" i="17" a="1"/>
  <c r="N389" i="17" s="1"/>
  <c r="N30" i="17" a="1"/>
  <c r="N30" i="17" s="1"/>
  <c r="N70" i="17" a="1"/>
  <c r="N70" i="17" s="1"/>
  <c r="N250" i="17" a="1"/>
  <c r="N250" i="17" s="1"/>
  <c r="N251" i="17" a="1"/>
  <c r="N251" i="17" s="1"/>
  <c r="N252" i="17" a="1"/>
  <c r="N252" i="17" s="1"/>
  <c r="N253" i="17" a="1"/>
  <c r="N253" i="17" s="1"/>
  <c r="N254" i="17" a="1"/>
  <c r="N254" i="17" s="1"/>
  <c r="N255" i="17" a="1"/>
  <c r="N255" i="17" s="1"/>
  <c r="N350" i="17" a="1"/>
  <c r="N350" i="17" s="1"/>
  <c r="N390" i="17" a="1"/>
  <c r="N390" i="17" s="1"/>
  <c r="N31" i="17" a="1"/>
  <c r="N31" i="17" s="1"/>
  <c r="N71" i="17" a="1"/>
  <c r="N71" i="17" s="1"/>
  <c r="N256" i="17" a="1"/>
  <c r="N256" i="17" s="1"/>
  <c r="N257" i="17" a="1"/>
  <c r="N257" i="17" s="1"/>
  <c r="N258" i="17" a="1"/>
  <c r="N258" i="17"/>
  <c r="N259" i="17" a="1"/>
  <c r="N259" i="17" s="1"/>
  <c r="N260" i="17" a="1"/>
  <c r="N260" i="17" s="1"/>
  <c r="N261" i="17" a="1"/>
  <c r="N261" i="17" s="1"/>
  <c r="N351" i="17" a="1"/>
  <c r="N351" i="17" s="1"/>
  <c r="N391" i="17" a="1"/>
  <c r="N391" i="17" s="1"/>
  <c r="N32" i="17" a="1"/>
  <c r="N32" i="17" s="1"/>
  <c r="N72" i="17" a="1"/>
  <c r="N72" i="17"/>
  <c r="N262" i="17" a="1"/>
  <c r="N262" i="17" s="1"/>
  <c r="N263" i="17" a="1"/>
  <c r="N263" i="17" s="1"/>
  <c r="N264" i="17" a="1"/>
  <c r="N264" i="17" s="1"/>
  <c r="N265" i="17" a="1"/>
  <c r="N265" i="17" s="1"/>
  <c r="N266" i="17" a="1"/>
  <c r="N266" i="17" s="1"/>
  <c r="N267" i="17" a="1"/>
  <c r="N267" i="17" s="1"/>
  <c r="N352" i="17" a="1"/>
  <c r="N352" i="17" s="1"/>
  <c r="N392" i="17" a="1"/>
  <c r="N392" i="17" s="1"/>
  <c r="N33" i="17" a="1"/>
  <c r="N33" i="17" s="1"/>
  <c r="N73" i="17" a="1"/>
  <c r="N73" i="17" s="1"/>
  <c r="N268" i="17" a="1"/>
  <c r="N268" i="17" s="1"/>
  <c r="N269" i="17" a="1"/>
  <c r="N269" i="17" s="1"/>
  <c r="N270" i="17" a="1"/>
  <c r="N270" i="17" s="1"/>
  <c r="N271" i="17" a="1"/>
  <c r="N271" i="17" s="1"/>
  <c r="N272" i="17" a="1"/>
  <c r="N272" i="17" s="1"/>
  <c r="N273" i="17" a="1"/>
  <c r="N273" i="17" s="1"/>
  <c r="N353" i="17" a="1"/>
  <c r="N353" i="17" s="1"/>
  <c r="N393" i="17" a="1"/>
  <c r="N393" i="17" s="1"/>
  <c r="N34" i="17" a="1"/>
  <c r="N34" i="17" s="1"/>
  <c r="N74" i="17" a="1"/>
  <c r="N74" i="17" s="1"/>
  <c r="N274" i="17" a="1"/>
  <c r="N274" i="17" s="1"/>
  <c r="N275" i="17" a="1"/>
  <c r="N275" i="17" s="1"/>
  <c r="N276" i="17" a="1"/>
  <c r="N276" i="17" s="1"/>
  <c r="N277" i="17" a="1"/>
  <c r="N277" i="17" s="1"/>
  <c r="N278" i="17" a="1"/>
  <c r="N278" i="17" s="1"/>
  <c r="N279" i="17" a="1"/>
  <c r="N279" i="17" s="1"/>
  <c r="N354" i="17" a="1"/>
  <c r="N354" i="17" s="1"/>
  <c r="N394" i="17" a="1"/>
  <c r="N394" i="17" s="1"/>
  <c r="N35" i="17" a="1"/>
  <c r="N35" i="17" s="1"/>
  <c r="N75" i="17" a="1"/>
  <c r="N75" i="17" s="1"/>
  <c r="N280" i="17" a="1"/>
  <c r="N280" i="17" s="1"/>
  <c r="N281" i="17" a="1"/>
  <c r="N281" i="17" s="1"/>
  <c r="N282" i="17" a="1"/>
  <c r="N282" i="17" s="1"/>
  <c r="N283" i="17" a="1"/>
  <c r="N283" i="17"/>
  <c r="N284" i="17" a="1"/>
  <c r="N284" i="17" s="1"/>
  <c r="N285" i="17" a="1"/>
  <c r="N285" i="17" s="1"/>
  <c r="N355" i="17" a="1"/>
  <c r="N355" i="17" s="1"/>
  <c r="N395" i="17" a="1"/>
  <c r="N395" i="17" s="1"/>
  <c r="N36" i="17" a="1"/>
  <c r="N36" i="17" s="1"/>
  <c r="N76" i="17" a="1"/>
  <c r="N76" i="17" s="1"/>
  <c r="N286" i="17" a="1"/>
  <c r="N286" i="17"/>
  <c r="N287" i="17" a="1"/>
  <c r="N287" i="17" s="1"/>
  <c r="N288" i="17" a="1"/>
  <c r="N288" i="17" s="1"/>
  <c r="N289" i="17" a="1"/>
  <c r="N289" i="17" s="1"/>
  <c r="N290" i="17" a="1"/>
  <c r="N290" i="17" s="1"/>
  <c r="N291" i="17" a="1"/>
  <c r="N291" i="17" s="1"/>
  <c r="N356" i="17" a="1"/>
  <c r="N356" i="17" s="1"/>
  <c r="N396" i="17" a="1"/>
  <c r="N396" i="17" s="1"/>
  <c r="N37" i="17" a="1"/>
  <c r="N37" i="17" s="1"/>
  <c r="N77" i="17" a="1"/>
  <c r="N77" i="17" s="1"/>
  <c r="N292" i="17" a="1"/>
  <c r="N292" i="17" s="1"/>
  <c r="N293" i="17" a="1"/>
  <c r="N293" i="17" s="1"/>
  <c r="N294" i="17" a="1"/>
  <c r="N294" i="17" s="1"/>
  <c r="N295" i="17" a="1"/>
  <c r="N295" i="17" s="1"/>
  <c r="N296" i="17" a="1"/>
  <c r="N296" i="17" s="1"/>
  <c r="N297" i="17" a="1"/>
  <c r="N297" i="17" s="1"/>
  <c r="N357" i="17" a="1"/>
  <c r="N357" i="17" s="1"/>
  <c r="N397" i="17" a="1"/>
  <c r="N397" i="17" s="1"/>
  <c r="N38" i="17" a="1"/>
  <c r="N38" i="17" s="1"/>
  <c r="N78" i="17" a="1"/>
  <c r="N78" i="17" s="1"/>
  <c r="N298" i="17" a="1"/>
  <c r="N298" i="17" s="1"/>
  <c r="N299" i="17" a="1"/>
  <c r="N299" i="17" s="1"/>
  <c r="N300" i="17" a="1"/>
  <c r="N300" i="17" s="1"/>
  <c r="N301" i="17" a="1"/>
  <c r="N301" i="17"/>
  <c r="N302" i="17" a="1"/>
  <c r="N302" i="17" s="1"/>
  <c r="N303" i="17" a="1"/>
  <c r="N303" i="17" s="1"/>
  <c r="N358" i="17" a="1"/>
  <c r="N358" i="17" s="1"/>
  <c r="N398" i="17" a="1"/>
  <c r="N398" i="17" s="1"/>
  <c r="N39" i="17" a="1"/>
  <c r="N39" i="17" s="1"/>
  <c r="N79" i="17" a="1"/>
  <c r="N79" i="17" s="1"/>
  <c r="N304" i="17" a="1"/>
  <c r="N304" i="17" s="1"/>
  <c r="N305" i="17" a="1"/>
  <c r="N305" i="17" s="1"/>
  <c r="N306" i="17" a="1"/>
  <c r="N306" i="17" s="1"/>
  <c r="N307" i="17" a="1"/>
  <c r="N307" i="17" s="1"/>
  <c r="N308" i="17" a="1"/>
  <c r="N308" i="17" s="1"/>
  <c r="N309" i="17" a="1"/>
  <c r="N309" i="17" s="1"/>
  <c r="N359" i="17" a="1"/>
  <c r="N359" i="17" s="1"/>
  <c r="N399" i="17" a="1"/>
  <c r="N399" i="17" s="1"/>
  <c r="N40" i="17" a="1"/>
  <c r="N40" i="17" s="1"/>
  <c r="N80" i="17" a="1"/>
  <c r="N80" i="17" s="1"/>
  <c r="N310" i="17" a="1"/>
  <c r="N310" i="17"/>
  <c r="N311" i="17" a="1"/>
  <c r="N311" i="17" s="1"/>
  <c r="N312" i="17" a="1"/>
  <c r="N312" i="17" s="1"/>
  <c r="N313" i="17" a="1"/>
  <c r="N313" i="17" s="1"/>
  <c r="N314" i="17" a="1"/>
  <c r="N314" i="17" s="1"/>
  <c r="N315" i="17" a="1"/>
  <c r="N315" i="17" s="1"/>
  <c r="N360" i="17" a="1"/>
  <c r="N360" i="17" s="1"/>
  <c r="N400" i="17" a="1"/>
  <c r="N400" i="17" s="1"/>
  <c r="N41" i="17" a="1"/>
  <c r="N41" i="17" s="1"/>
  <c r="N81" i="17" a="1"/>
  <c r="N81" i="17"/>
  <c r="N316" i="17" a="1"/>
  <c r="N316" i="17" s="1"/>
  <c r="N317" i="17" a="1"/>
  <c r="N317" i="17" s="1"/>
  <c r="N318" i="17" a="1"/>
  <c r="N318" i="17" s="1"/>
  <c r="N319" i="17" a="1"/>
  <c r="N319" i="17"/>
  <c r="N320" i="17" a="1"/>
  <c r="N320" i="17" s="1"/>
  <c r="N321" i="17" a="1"/>
  <c r="N321" i="17" s="1"/>
  <c r="N361" i="17" a="1"/>
  <c r="N361" i="17" s="1"/>
  <c r="N401" i="17" a="1"/>
  <c r="N401" i="17" s="1"/>
  <c r="O2" i="17" a="1"/>
  <c r="O2" i="17" s="1"/>
  <c r="O42" i="17" a="1"/>
  <c r="O42" i="17" s="1"/>
  <c r="O82" i="17" a="1"/>
  <c r="O82" i="17" s="1"/>
  <c r="O83" i="17" a="1"/>
  <c r="O83" i="17" s="1"/>
  <c r="O84" i="17" a="1"/>
  <c r="O84" i="17" s="1"/>
  <c r="O85" i="17" a="1"/>
  <c r="O85" i="17" s="1"/>
  <c r="O86" i="17" a="1"/>
  <c r="O86" i="17" s="1"/>
  <c r="O87" i="17" a="1"/>
  <c r="O87" i="17" s="1"/>
  <c r="O322" i="17" a="1"/>
  <c r="O322" i="17" s="1"/>
  <c r="O362" i="17" a="1"/>
  <c r="O362" i="17" s="1"/>
  <c r="O3" i="17" a="1"/>
  <c r="O3" i="17" s="1"/>
  <c r="O43" i="17" a="1"/>
  <c r="O43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323" i="17" a="1"/>
  <c r="O323" i="17" s="1"/>
  <c r="O363" i="17" a="1"/>
  <c r="O363" i="17" s="1"/>
  <c r="O4" i="17" a="1"/>
  <c r="O4" i="17" s="1"/>
  <c r="O44" i="17" a="1"/>
  <c r="O44" i="17" s="1"/>
  <c r="O94" i="17" a="1"/>
  <c r="O94" i="17" s="1"/>
  <c r="O95" i="17" a="1"/>
  <c r="O95" i="17" s="1"/>
  <c r="O96" i="17" a="1"/>
  <c r="O96" i="17" s="1"/>
  <c r="O97" i="17" a="1"/>
  <c r="O97" i="17" s="1"/>
  <c r="O98" i="17" a="1"/>
  <c r="O98" i="17" s="1"/>
  <c r="O99" i="17" a="1"/>
  <c r="O99" i="17" s="1"/>
  <c r="O324" i="17" a="1"/>
  <c r="O324" i="17" s="1"/>
  <c r="O364" i="17" a="1"/>
  <c r="O364" i="17" s="1"/>
  <c r="O5" i="17" a="1"/>
  <c r="O5" i="17" s="1"/>
  <c r="O45" i="17" a="1"/>
  <c r="O45" i="17" s="1"/>
  <c r="O100" i="17" a="1"/>
  <c r="O100" i="17" s="1"/>
  <c r="O101" i="17" a="1"/>
  <c r="O101" i="17" s="1"/>
  <c r="O102" i="17" a="1"/>
  <c r="O102" i="17" s="1"/>
  <c r="O103" i="17" a="1"/>
  <c r="O103" i="17" s="1"/>
  <c r="O104" i="17" a="1"/>
  <c r="O104" i="17" s="1"/>
  <c r="O105" i="17" a="1"/>
  <c r="O105" i="17" s="1"/>
  <c r="O325" i="17" a="1"/>
  <c r="O325" i="17" s="1"/>
  <c r="O365" i="17" a="1"/>
  <c r="O365" i="17" s="1"/>
  <c r="O6" i="17" a="1"/>
  <c r="O6" i="17" s="1"/>
  <c r="O46" i="17" a="1"/>
  <c r="O46" i="17" s="1"/>
  <c r="O106" i="17" a="1"/>
  <c r="O106" i="17" s="1"/>
  <c r="O107" i="17" a="1"/>
  <c r="O107" i="17" s="1"/>
  <c r="O108" i="17" a="1"/>
  <c r="O108" i="17" s="1"/>
  <c r="O109" i="17" a="1"/>
  <c r="O109" i="17" s="1"/>
  <c r="O110" i="17" a="1"/>
  <c r="O110" i="17" s="1"/>
  <c r="O111" i="17" a="1"/>
  <c r="O111" i="17" s="1"/>
  <c r="O326" i="17" a="1"/>
  <c r="O326" i="17" s="1"/>
  <c r="O366" i="17" a="1"/>
  <c r="O366" i="17" s="1"/>
  <c r="O7" i="17" a="1"/>
  <c r="O7" i="17" s="1"/>
  <c r="O47" i="17" a="1"/>
  <c r="O47" i="17" s="1"/>
  <c r="O112" i="17" a="1"/>
  <c r="O112" i="17" s="1"/>
  <c r="O113" i="17" a="1"/>
  <c r="O113" i="17" s="1"/>
  <c r="O114" i="17" a="1"/>
  <c r="O114" i="17" s="1"/>
  <c r="O115" i="17" a="1"/>
  <c r="O115" i="17" s="1"/>
  <c r="O116" i="17" a="1"/>
  <c r="O116" i="17" s="1"/>
  <c r="O117" i="17" a="1"/>
  <c r="O117" i="17" s="1"/>
  <c r="O327" i="17" a="1"/>
  <c r="O327" i="17" s="1"/>
  <c r="O367" i="17" a="1"/>
  <c r="O367" i="17" s="1"/>
  <c r="O8" i="17" a="1"/>
  <c r="O8" i="17" s="1"/>
  <c r="O48" i="17" a="1"/>
  <c r="O48" i="17" s="1"/>
  <c r="O118" i="17" a="1"/>
  <c r="O118" i="17" s="1"/>
  <c r="O119" i="17" a="1"/>
  <c r="O119" i="17" s="1"/>
  <c r="O120" i="17" a="1"/>
  <c r="O120" i="17" s="1"/>
  <c r="O121" i="17" a="1"/>
  <c r="O121" i="17" s="1"/>
  <c r="O122" i="17" a="1"/>
  <c r="O122" i="17" s="1"/>
  <c r="O123" i="17" a="1"/>
  <c r="O123" i="17" s="1"/>
  <c r="O328" i="17" a="1"/>
  <c r="O328" i="17" s="1"/>
  <c r="O368" i="17" a="1"/>
  <c r="O368" i="17" s="1"/>
  <c r="O9" i="17" a="1"/>
  <c r="O9" i="17" s="1"/>
  <c r="O49" i="17" a="1"/>
  <c r="O49" i="17" s="1"/>
  <c r="O124" i="17" a="1"/>
  <c r="O124" i="17" s="1"/>
  <c r="O125" i="17" a="1"/>
  <c r="O125" i="17" s="1"/>
  <c r="O126" i="17" a="1"/>
  <c r="O126" i="17" s="1"/>
  <c r="O127" i="17" a="1"/>
  <c r="O127" i="17"/>
  <c r="O128" i="17" a="1"/>
  <c r="O128" i="17" s="1"/>
  <c r="O129" i="17" a="1"/>
  <c r="O129" i="17" s="1"/>
  <c r="O329" i="17" a="1"/>
  <c r="O329" i="17" s="1"/>
  <c r="O369" i="17" a="1"/>
  <c r="O369" i="17" s="1"/>
  <c r="O10" i="17" a="1"/>
  <c r="O10" i="17" s="1"/>
  <c r="O50" i="17" a="1"/>
  <c r="O50" i="17" s="1"/>
  <c r="O130" i="17" a="1"/>
  <c r="O130" i="17"/>
  <c r="O131" i="17" a="1"/>
  <c r="O131" i="17" s="1"/>
  <c r="O132" i="17" a="1"/>
  <c r="O132" i="17" s="1"/>
  <c r="O133" i="17" a="1"/>
  <c r="O133" i="17" s="1"/>
  <c r="O134" i="17" a="1"/>
  <c r="O134" i="17" s="1"/>
  <c r="O135" i="17" a="1"/>
  <c r="O135" i="17"/>
  <c r="O330" i="17" a="1"/>
  <c r="O330" i="17" s="1"/>
  <c r="O370" i="17" a="1"/>
  <c r="O370" i="17" s="1"/>
  <c r="O11" i="17" a="1"/>
  <c r="O11" i="17" s="1"/>
  <c r="O51" i="17" a="1"/>
  <c r="O51" i="17" s="1"/>
  <c r="O136" i="17" a="1"/>
  <c r="O136" i="17" s="1"/>
  <c r="O137" i="17" a="1"/>
  <c r="O137" i="17" s="1"/>
  <c r="O138" i="17" a="1"/>
  <c r="O138" i="17" s="1"/>
  <c r="O139" i="17" a="1"/>
  <c r="O139" i="17" s="1"/>
  <c r="O140" i="17" a="1"/>
  <c r="O140" i="17" s="1"/>
  <c r="O141" i="17" a="1"/>
  <c r="O141" i="17" s="1"/>
  <c r="O331" i="17" a="1"/>
  <c r="O331" i="17" s="1"/>
  <c r="O371" i="17" a="1"/>
  <c r="O371" i="17" s="1"/>
  <c r="O12" i="17" a="1"/>
  <c r="O12" i="17" s="1"/>
  <c r="O52" i="17" a="1"/>
  <c r="O52" i="17"/>
  <c r="O142" i="17" a="1"/>
  <c r="O142" i="17" s="1"/>
  <c r="O143" i="17" a="1"/>
  <c r="O143" i="17" s="1"/>
  <c r="O144" i="17" a="1"/>
  <c r="O144" i="17" s="1"/>
  <c r="O145" i="17" a="1"/>
  <c r="O145" i="17" s="1"/>
  <c r="O146" i="17" a="1"/>
  <c r="O146" i="17" s="1"/>
  <c r="O147" i="17" a="1"/>
  <c r="O147" i="17"/>
  <c r="O332" i="17" a="1"/>
  <c r="O332" i="17" s="1"/>
  <c r="O372" i="17" a="1"/>
  <c r="O372" i="17" s="1"/>
  <c r="O13" i="17" a="1"/>
  <c r="O13" i="17" s="1"/>
  <c r="O53" i="17" a="1"/>
  <c r="O53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 s="1"/>
  <c r="O153" i="17" a="1"/>
  <c r="O153" i="17" s="1"/>
  <c r="O333" i="17" a="1"/>
  <c r="O333" i="17" s="1"/>
  <c r="O373" i="17" a="1"/>
  <c r="O373" i="17" s="1"/>
  <c r="O14" i="17" a="1"/>
  <c r="O14" i="17" s="1"/>
  <c r="O54" i="17" a="1"/>
  <c r="O54" i="17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334" i="17" a="1"/>
  <c r="O334" i="17" s="1"/>
  <c r="O374" i="17" a="1"/>
  <c r="O374" i="17" s="1"/>
  <c r="O15" i="17" a="1"/>
  <c r="O15" i="17" s="1"/>
  <c r="O55" i="17" a="1"/>
  <c r="O55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/>
  <c r="O335" i="17" a="1"/>
  <c r="O335" i="17" s="1"/>
  <c r="O375" i="17" a="1"/>
  <c r="O375" i="17" s="1"/>
  <c r="O16" i="17" a="1"/>
  <c r="O16" i="17" s="1"/>
  <c r="O56" i="17" a="1"/>
  <c r="O56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336" i="17" a="1"/>
  <c r="O336" i="17" s="1"/>
  <c r="O376" i="17" a="1"/>
  <c r="O376" i="17" s="1"/>
  <c r="O17" i="17" a="1"/>
  <c r="O17" i="17" s="1"/>
  <c r="O57" i="17" a="1"/>
  <c r="O57" i="17"/>
  <c r="O172" i="17" a="1"/>
  <c r="O172" i="17" s="1"/>
  <c r="O173" i="17" a="1"/>
  <c r="O173" i="17" s="1"/>
  <c r="O174" i="17" a="1"/>
  <c r="O174" i="17" s="1"/>
  <c r="O175" i="17" a="1"/>
  <c r="O175" i="17"/>
  <c r="O176" i="17" a="1"/>
  <c r="O176" i="17" s="1"/>
  <c r="O177" i="17" a="1"/>
  <c r="O177" i="17" s="1"/>
  <c r="O337" i="17" a="1"/>
  <c r="O337" i="17" s="1"/>
  <c r="O377" i="17" a="1"/>
  <c r="O377" i="17" s="1"/>
  <c r="O18" i="17" a="1"/>
  <c r="O18" i="17" s="1"/>
  <c r="O58" i="17" a="1"/>
  <c r="O58" i="17" s="1"/>
  <c r="O178" i="17" a="1"/>
  <c r="O178" i="17"/>
  <c r="O179" i="17" a="1"/>
  <c r="O179" i="17" s="1"/>
  <c r="O180" i="17" a="1"/>
  <c r="O180" i="17" s="1"/>
  <c r="O181" i="17" a="1"/>
  <c r="O181" i="17"/>
  <c r="O182" i="17" a="1"/>
  <c r="O182" i="17" s="1"/>
  <c r="O183" i="17" a="1"/>
  <c r="O183" i="17" s="1"/>
  <c r="O338" i="17" a="1"/>
  <c r="O338" i="17" s="1"/>
  <c r="O378" i="17" a="1"/>
  <c r="O378" i="17" s="1"/>
  <c r="O19" i="17" a="1"/>
  <c r="O19" i="17" s="1"/>
  <c r="O59" i="17" a="1"/>
  <c r="O59" i="17" s="1"/>
  <c r="O184" i="17" a="1"/>
  <c r="O184" i="17" s="1"/>
  <c r="O185" i="17" a="1"/>
  <c r="O185" i="17" s="1"/>
  <c r="O186" i="17" a="1"/>
  <c r="O186" i="17" s="1"/>
  <c r="O187" i="17" a="1"/>
  <c r="O187" i="17" s="1"/>
  <c r="O188" i="17" a="1"/>
  <c r="O188" i="17" s="1"/>
  <c r="O189" i="17" a="1"/>
  <c r="O189" i="17" s="1"/>
  <c r="O339" i="17" a="1"/>
  <c r="O339" i="17" s="1"/>
  <c r="O379" i="17" a="1"/>
  <c r="O379" i="17" s="1"/>
  <c r="O20" i="17" a="1"/>
  <c r="O20" i="17" s="1"/>
  <c r="O60" i="17" a="1"/>
  <c r="O60" i="17" s="1"/>
  <c r="O190" i="17" a="1"/>
  <c r="O190" i="17" s="1"/>
  <c r="O191" i="17" a="1"/>
  <c r="O191" i="17" s="1"/>
  <c r="O192" i="17" a="1"/>
  <c r="O192" i="17" s="1"/>
  <c r="O193" i="17" a="1"/>
  <c r="O193" i="17" s="1"/>
  <c r="O194" i="17" a="1"/>
  <c r="O194" i="17" s="1"/>
  <c r="O195" i="17" a="1"/>
  <c r="O195" i="17" s="1"/>
  <c r="O340" i="17" a="1"/>
  <c r="O340" i="17" s="1"/>
  <c r="O380" i="17" a="1"/>
  <c r="O380" i="17" s="1"/>
  <c r="O21" i="17" a="1"/>
  <c r="O21" i="17" s="1"/>
  <c r="O61" i="17" a="1"/>
  <c r="O61" i="17" s="1"/>
  <c r="O196" i="17" a="1"/>
  <c r="O196" i="17" s="1"/>
  <c r="O197" i="17" a="1"/>
  <c r="O197" i="17" s="1"/>
  <c r="O198" i="17" a="1"/>
  <c r="O198" i="17" s="1"/>
  <c r="O199" i="17" a="1"/>
  <c r="O199" i="17" s="1"/>
  <c r="O200" i="17" a="1"/>
  <c r="O200" i="17" s="1"/>
  <c r="O201" i="17" a="1"/>
  <c r="O201" i="17" s="1"/>
  <c r="O341" i="17" a="1"/>
  <c r="O341" i="17" s="1"/>
  <c r="O381" i="17" a="1"/>
  <c r="O381" i="17" s="1"/>
  <c r="O22" i="17" a="1"/>
  <c r="O22" i="17" s="1"/>
  <c r="O62" i="17" a="1"/>
  <c r="O62" i="17"/>
  <c r="O202" i="17" a="1"/>
  <c r="O202" i="17" s="1"/>
  <c r="O203" i="17" a="1"/>
  <c r="O203" i="17" s="1"/>
  <c r="O204" i="17" a="1"/>
  <c r="O204" i="17" s="1"/>
  <c r="O205" i="17" a="1"/>
  <c r="O205" i="17" s="1"/>
  <c r="O206" i="17" a="1"/>
  <c r="O206" i="17" s="1"/>
  <c r="O207" i="17" a="1"/>
  <c r="O207" i="17" s="1"/>
  <c r="O342" i="17" a="1"/>
  <c r="O342" i="17" s="1"/>
  <c r="O382" i="17" a="1"/>
  <c r="O382" i="17" s="1"/>
  <c r="O23" i="17" a="1"/>
  <c r="O23" i="17" s="1"/>
  <c r="O63" i="17" a="1"/>
  <c r="O63" i="17" s="1"/>
  <c r="O208" i="17" a="1"/>
  <c r="O208" i="17" s="1"/>
  <c r="O209" i="17" a="1"/>
  <c r="O209" i="17" s="1"/>
  <c r="O210" i="17" a="1"/>
  <c r="O210" i="17" s="1"/>
  <c r="O211" i="17" a="1"/>
  <c r="O211" i="17"/>
  <c r="O212" i="17" a="1"/>
  <c r="O212" i="17" s="1"/>
  <c r="O213" i="17" a="1"/>
  <c r="O213" i="17" s="1"/>
  <c r="O343" i="17" a="1"/>
  <c r="O343" i="17" s="1"/>
  <c r="O383" i="17" a="1"/>
  <c r="O383" i="17" s="1"/>
  <c r="O24" i="17" a="1"/>
  <c r="O24" i="17" s="1"/>
  <c r="O64" i="17" a="1"/>
  <c r="O64" i="17" s="1"/>
  <c r="O214" i="17" a="1"/>
  <c r="O214" i="17" s="1"/>
  <c r="O215" i="17" a="1"/>
  <c r="O215" i="17" s="1"/>
  <c r="O216" i="17" a="1"/>
  <c r="O216" i="17" s="1"/>
  <c r="O217" i="17" a="1"/>
  <c r="O217" i="17" s="1"/>
  <c r="O218" i="17" a="1"/>
  <c r="O218" i="17" s="1"/>
  <c r="O219" i="17" a="1"/>
  <c r="O219" i="17" s="1"/>
  <c r="O344" i="17" a="1"/>
  <c r="O344" i="17" s="1"/>
  <c r="O384" i="17" a="1"/>
  <c r="O384" i="17"/>
  <c r="O25" i="17" a="1"/>
  <c r="O25" i="17" s="1"/>
  <c r="O65" i="17" a="1"/>
  <c r="O65" i="17" s="1"/>
  <c r="O220" i="17" a="1"/>
  <c r="O220" i="17" s="1"/>
  <c r="O221" i="17" a="1"/>
  <c r="O221" i="17" s="1"/>
  <c r="O222" i="17" a="1"/>
  <c r="O222" i="17" s="1"/>
  <c r="O223" i="17" a="1"/>
  <c r="O223" i="17"/>
  <c r="O224" i="17" a="1"/>
  <c r="O224" i="17" s="1"/>
  <c r="O225" i="17" a="1"/>
  <c r="O225" i="17" s="1"/>
  <c r="O345" i="17" a="1"/>
  <c r="O345" i="17"/>
  <c r="O385" i="17" a="1"/>
  <c r="O385" i="17" s="1"/>
  <c r="O26" i="17" a="1"/>
  <c r="O26" i="17" s="1"/>
  <c r="O66" i="17" a="1"/>
  <c r="O66" i="17" s="1"/>
  <c r="O226" i="17" a="1"/>
  <c r="O226" i="17" s="1"/>
  <c r="O227" i="17" a="1"/>
  <c r="O227" i="17" s="1"/>
  <c r="O228" i="17" a="1"/>
  <c r="O228" i="17" s="1"/>
  <c r="O229" i="17" a="1"/>
  <c r="O229" i="17" s="1"/>
  <c r="O230" i="17" a="1"/>
  <c r="O230" i="17" s="1"/>
  <c r="O231" i="17" a="1"/>
  <c r="O231" i="17" s="1"/>
  <c r="O346" i="17" a="1"/>
  <c r="O346" i="17" s="1"/>
  <c r="O386" i="17" a="1"/>
  <c r="O386" i="17"/>
  <c r="O27" i="17" a="1"/>
  <c r="O27" i="17" s="1"/>
  <c r="O67" i="17" a="1"/>
  <c r="O67" i="17" s="1"/>
  <c r="O232" i="17" a="1"/>
  <c r="O232" i="17" s="1"/>
  <c r="O233" i="17" a="1"/>
  <c r="O233" i="17" s="1"/>
  <c r="O234" i="17" a="1"/>
  <c r="O234" i="17" s="1"/>
  <c r="O235" i="17" a="1"/>
  <c r="O235" i="17" s="1"/>
  <c r="O236" i="17" a="1"/>
  <c r="O236" i="17" s="1"/>
  <c r="O237" i="17" a="1"/>
  <c r="O237" i="17" s="1"/>
  <c r="O347" i="17" a="1"/>
  <c r="O347" i="17" s="1"/>
  <c r="O387" i="17" a="1"/>
  <c r="O387" i="17" s="1"/>
  <c r="O28" i="17" a="1"/>
  <c r="O28" i="17" s="1"/>
  <c r="O68" i="17" a="1"/>
  <c r="O68" i="17" s="1"/>
  <c r="O238" i="17" a="1"/>
  <c r="O238" i="17" s="1"/>
  <c r="O239" i="17" a="1"/>
  <c r="O239" i="17" s="1"/>
  <c r="O240" i="17" a="1"/>
  <c r="O240" i="17" s="1"/>
  <c r="O241" i="17" a="1"/>
  <c r="O241" i="17"/>
  <c r="O242" i="17" a="1"/>
  <c r="O242" i="17" s="1"/>
  <c r="O243" i="17" a="1"/>
  <c r="O243" i="17" s="1"/>
  <c r="O348" i="17" a="1"/>
  <c r="O348" i="17" s="1"/>
  <c r="O388" i="17" a="1"/>
  <c r="O388" i="17" s="1"/>
  <c r="O29" i="17" a="1"/>
  <c r="O29" i="17" s="1"/>
  <c r="O69" i="17" a="1"/>
  <c r="O69" i="17" s="1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249" i="17" a="1"/>
  <c r="O249" i="17" s="1"/>
  <c r="O349" i="17" a="1"/>
  <c r="O349" i="17" s="1"/>
  <c r="O389" i="17" a="1"/>
  <c r="O389" i="17"/>
  <c r="O30" i="17" a="1"/>
  <c r="O30" i="17" s="1"/>
  <c r="O70" i="17" a="1"/>
  <c r="O70" i="17" s="1"/>
  <c r="O250" i="17" a="1"/>
  <c r="O250" i="17" s="1"/>
  <c r="O251" i="17" a="1"/>
  <c r="O251" i="17"/>
  <c r="O252" i="17" a="1"/>
  <c r="O252" i="17" s="1"/>
  <c r="O253" i="17" a="1"/>
  <c r="O253" i="17" s="1"/>
  <c r="O254" i="17" a="1"/>
  <c r="O254" i="17" s="1"/>
  <c r="O255" i="17" a="1"/>
  <c r="O255" i="17" s="1"/>
  <c r="O350" i="17" a="1"/>
  <c r="O350" i="17" s="1"/>
  <c r="O390" i="17" a="1"/>
  <c r="O390" i="17" s="1"/>
  <c r="O31" i="17" a="1"/>
  <c r="O31" i="17"/>
  <c r="O71" i="17" a="1"/>
  <c r="O7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351" i="17" a="1"/>
  <c r="O351" i="17" s="1"/>
  <c r="O391" i="17" a="1"/>
  <c r="O391" i="17" s="1"/>
  <c r="O32" i="17" a="1"/>
  <c r="O32" i="17" s="1"/>
  <c r="O72" i="17" a="1"/>
  <c r="O72" i="17" s="1"/>
  <c r="O262" i="17" a="1"/>
  <c r="O262" i="17" s="1"/>
  <c r="O263" i="17" a="1"/>
  <c r="O263" i="17" s="1"/>
  <c r="O264" i="17" a="1"/>
  <c r="O264" i="17" s="1"/>
  <c r="O265" i="17" a="1"/>
  <c r="O265" i="17" s="1"/>
  <c r="O266" i="17" a="1"/>
  <c r="O266" i="17" s="1"/>
  <c r="O267" i="17" a="1"/>
  <c r="O267" i="17" s="1"/>
  <c r="O352" i="17" a="1"/>
  <c r="O352" i="17" s="1"/>
  <c r="O392" i="17" a="1"/>
  <c r="O392" i="17" s="1"/>
  <c r="O33" i="17" a="1"/>
  <c r="O33" i="17" s="1"/>
  <c r="O73" i="17" a="1"/>
  <c r="O73" i="17" s="1"/>
  <c r="O268" i="17" a="1"/>
  <c r="O268" i="17" s="1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353" i="17" a="1"/>
  <c r="O353" i="17" s="1"/>
  <c r="O393" i="17" a="1"/>
  <c r="O393" i="17" s="1"/>
  <c r="O34" i="17" a="1"/>
  <c r="O34" i="17" s="1"/>
  <c r="O74" i="17" a="1"/>
  <c r="O74" i="17" s="1"/>
  <c r="O274" i="17" a="1"/>
  <c r="O274" i="17" s="1"/>
  <c r="O275" i="17" a="1"/>
  <c r="O275" i="17" s="1"/>
  <c r="O276" i="17" a="1"/>
  <c r="O276" i="17" s="1"/>
  <c r="O277" i="17" a="1"/>
  <c r="O277" i="17" s="1"/>
  <c r="O278" i="17" a="1"/>
  <c r="O278" i="17" s="1"/>
  <c r="O279" i="17" a="1"/>
  <c r="O279" i="17" s="1"/>
  <c r="O354" i="17" a="1"/>
  <c r="O354" i="17" s="1"/>
  <c r="O394" i="17" a="1"/>
  <c r="O394" i="17"/>
  <c r="O35" i="17" a="1"/>
  <c r="O35" i="17" s="1"/>
  <c r="O75" i="17" a="1"/>
  <c r="O75" i="17" s="1"/>
  <c r="O280" i="17" a="1"/>
  <c r="O280" i="17" s="1"/>
  <c r="O281" i="17" a="1"/>
  <c r="O281" i="17" s="1"/>
  <c r="O282" i="17" a="1"/>
  <c r="O282" i="17" s="1"/>
  <c r="O283" i="17" a="1"/>
  <c r="O283" i="17" s="1"/>
  <c r="O284" i="17" a="1"/>
  <c r="O284" i="17" s="1"/>
  <c r="O285" i="17" a="1"/>
  <c r="O285" i="17" s="1"/>
  <c r="O355" i="17" a="1"/>
  <c r="O355" i="17"/>
  <c r="O395" i="17" a="1"/>
  <c r="O395" i="17" s="1"/>
  <c r="O36" i="17" a="1"/>
  <c r="O36" i="17" s="1"/>
  <c r="O76" i="17" a="1"/>
  <c r="O76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 s="1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/>
  <c r="O303" i="17" a="1"/>
  <c r="O303" i="17" s="1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 s="1"/>
  <c r="O360" i="17" a="1"/>
  <c r="O360" i="17" s="1"/>
  <c r="O400" i="17" a="1"/>
  <c r="O400" i="17" s="1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 s="1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322" i="17" a="1"/>
  <c r="P322" i="17" s="1"/>
  <c r="P362" i="17" a="1"/>
  <c r="P362" i="17"/>
  <c r="P3" i="17" a="1"/>
  <c r="P3" i="17" s="1"/>
  <c r="P43" i="17" a="1"/>
  <c r="P43" i="17" s="1"/>
  <c r="P88" i="17" a="1"/>
  <c r="P88" i="17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 s="1"/>
  <c r="P4" i="17" a="1"/>
  <c r="P4" i="17" s="1"/>
  <c r="P44" i="17" a="1"/>
  <c r="P44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24" i="17" a="1"/>
  <c r="P324" i="17" s="1"/>
  <c r="P364" i="17" a="1"/>
  <c r="P364" i="17" s="1"/>
  <c r="P5" i="17" a="1"/>
  <c r="P5" i="17"/>
  <c r="P45" i="17" a="1"/>
  <c r="P45" i="17" s="1"/>
  <c r="P100" i="17" a="1"/>
  <c r="P100" i="17" s="1"/>
  <c r="P101" i="17" a="1"/>
  <c r="P101" i="17" s="1"/>
  <c r="P102" i="17" a="1"/>
  <c r="P102" i="17" s="1"/>
  <c r="P103" i="17" a="1"/>
  <c r="P103" i="17" s="1"/>
  <c r="P104" i="17" a="1"/>
  <c r="P104" i="17" s="1"/>
  <c r="P105" i="17" a="1"/>
  <c r="P105" i="17" s="1"/>
  <c r="P325" i="17" a="1"/>
  <c r="P325" i="17" s="1"/>
  <c r="P365" i="17" a="1"/>
  <c r="P365" i="17" s="1"/>
  <c r="P6" i="17" a="1"/>
  <c r="P6" i="17" s="1"/>
  <c r="P46" i="17" a="1"/>
  <c r="P46" i="17" s="1"/>
  <c r="P106" i="17" a="1"/>
  <c r="P106" i="17" s="1"/>
  <c r="P107" i="17" a="1"/>
  <c r="P107" i="17" s="1"/>
  <c r="P108" i="17" a="1"/>
  <c r="P108" i="17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 s="1"/>
  <c r="P113" i="17" a="1"/>
  <c r="P113" i="17" s="1"/>
  <c r="P114" i="17" a="1"/>
  <c r="P114" i="17" s="1"/>
  <c r="P115" i="17" a="1"/>
  <c r="P115" i="17" s="1"/>
  <c r="P116" i="17" a="1"/>
  <c r="P116" i="17" s="1"/>
  <c r="P117" i="17" a="1"/>
  <c r="P117" i="17" s="1"/>
  <c r="P327" i="17" a="1"/>
  <c r="P327" i="17" s="1"/>
  <c r="P367" i="17" a="1"/>
  <c r="P367" i="17" s="1"/>
  <c r="P8" i="17" a="1"/>
  <c r="P8" i="17" s="1"/>
  <c r="P48" i="17" a="1"/>
  <c r="P48" i="17" s="1"/>
  <c r="P118" i="17" a="1"/>
  <c r="P118" i="17"/>
  <c r="P119" i="17" a="1"/>
  <c r="P119" i="17" s="1"/>
  <c r="P120" i="17" a="1"/>
  <c r="P120" i="17" s="1"/>
  <c r="P121" i="17" a="1"/>
  <c r="P121" i="17" s="1"/>
  <c r="P122" i="17" a="1"/>
  <c r="P122" i="17" s="1"/>
  <c r="P123" i="17" a="1"/>
  <c r="P123" i="17" s="1"/>
  <c r="P328" i="17" a="1"/>
  <c r="P328" i="17" s="1"/>
  <c r="P368" i="17" a="1"/>
  <c r="P368" i="17" s="1"/>
  <c r="P9" i="17" a="1"/>
  <c r="P9" i="17" s="1"/>
  <c r="P49" i="17" a="1"/>
  <c r="P49" i="17" s="1"/>
  <c r="P124" i="17" a="1"/>
  <c r="P124" i="17" s="1"/>
  <c r="P125" i="17" a="1"/>
  <c r="P125" i="17" s="1"/>
  <c r="P126" i="17" a="1"/>
  <c r="P126" i="17" s="1"/>
  <c r="P127" i="17" a="1"/>
  <c r="P127" i="17" s="1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 s="1"/>
  <c r="P130" i="17" a="1"/>
  <c r="P130" i="17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330" i="17" a="1"/>
  <c r="P330" i="17"/>
  <c r="P370" i="17" a="1"/>
  <c r="P370" i="17" s="1"/>
  <c r="P11" i="17" a="1"/>
  <c r="P11" i="17" s="1"/>
  <c r="P51" i="17" a="1"/>
  <c r="P51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331" i="17" a="1"/>
  <c r="P331" i="17" s="1"/>
  <c r="P371" i="17" a="1"/>
  <c r="P371" i="17" s="1"/>
  <c r="P12" i="17" a="1"/>
  <c r="P12" i="17" s="1"/>
  <c r="P52" i="17" a="1"/>
  <c r="P52" i="17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332" i="17" a="1"/>
  <c r="P332" i="17" s="1"/>
  <c r="P372" i="17" a="1"/>
  <c r="P372" i="17" s="1"/>
  <c r="P13" i="17" a="1"/>
  <c r="P13" i="17"/>
  <c r="P53" i="17" a="1"/>
  <c r="P5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 s="1"/>
  <c r="P153" i="17" a="1"/>
  <c r="P153" i="17" s="1"/>
  <c r="P333" i="17" a="1"/>
  <c r="P333" i="17" s="1"/>
  <c r="P373" i="17" a="1"/>
  <c r="P373" i="17" s="1"/>
  <c r="P14" i="17" a="1"/>
  <c r="P14" i="17" s="1"/>
  <c r="P54" i="17" a="1"/>
  <c r="P54" i="17" s="1"/>
  <c r="P154" i="17" a="1"/>
  <c r="P154" i="17" s="1"/>
  <c r="P155" i="17" a="1"/>
  <c r="P155" i="17" s="1"/>
  <c r="P156" i="17" a="1"/>
  <c r="P156" i="17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 s="1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 s="1"/>
  <c r="P375" i="17" a="1"/>
  <c r="P375" i="17" s="1"/>
  <c r="P16" i="17" a="1"/>
  <c r="P16" i="17" s="1"/>
  <c r="P56" i="17" a="1"/>
  <c r="P56" i="17" s="1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 s="1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337" i="17" a="1"/>
  <c r="P337" i="17" s="1"/>
  <c r="P377" i="17" a="1"/>
  <c r="P377" i="17" s="1"/>
  <c r="P18" i="17" a="1"/>
  <c r="P18" i="17"/>
  <c r="P58" i="17" a="1"/>
  <c r="P58" i="17" s="1"/>
  <c r="P178" i="17" a="1"/>
  <c r="P178" i="17" s="1"/>
  <c r="P179" i="17" a="1"/>
  <c r="P179" i="17" s="1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/>
  <c r="P378" i="17" a="1"/>
  <c r="P378" i="17" s="1"/>
  <c r="P19" i="17" a="1"/>
  <c r="P19" i="17" s="1"/>
  <c r="P59" i="17" a="1"/>
  <c r="P59" i="17" s="1"/>
  <c r="P184" i="17" a="1"/>
  <c r="P184" i="17"/>
  <c r="P185" i="17" a="1"/>
  <c r="P185" i="17" s="1"/>
  <c r="P186" i="17" a="1"/>
  <c r="P186" i="17" s="1"/>
  <c r="P187" i="17" a="1"/>
  <c r="P187" i="17" s="1"/>
  <c r="P188" i="17" a="1"/>
  <c r="P188" i="17" s="1"/>
  <c r="P189" i="17" a="1"/>
  <c r="P189" i="17" s="1"/>
  <c r="P339" i="17" a="1"/>
  <c r="P339" i="17" s="1"/>
  <c r="P379" i="17" a="1"/>
  <c r="P379" i="17" s="1"/>
  <c r="P20" i="17" a="1"/>
  <c r="P20" i="17" s="1"/>
  <c r="P60" i="17" a="1"/>
  <c r="P60" i="17" s="1"/>
  <c r="P190" i="17" a="1"/>
  <c r="P190" i="17" s="1"/>
  <c r="P191" i="17" a="1"/>
  <c r="P191" i="17" s="1"/>
  <c r="P192" i="17" a="1"/>
  <c r="P192" i="17" s="1"/>
  <c r="P193" i="17" a="1"/>
  <c r="P193" i="17" s="1"/>
  <c r="P194" i="17" a="1"/>
  <c r="P194" i="17" s="1"/>
  <c r="P195" i="17" a="1"/>
  <c r="P195" i="17" s="1"/>
  <c r="P340" i="17" a="1"/>
  <c r="P340" i="17" s="1"/>
  <c r="P380" i="17" a="1"/>
  <c r="P380" i="17" s="1"/>
  <c r="P21" i="17" a="1"/>
  <c r="P21" i="17" s="1"/>
  <c r="P61" i="17" a="1"/>
  <c r="P61" i="17" s="1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 s="1"/>
  <c r="P341" i="17" a="1"/>
  <c r="P341" i="17" s="1"/>
  <c r="P381" i="17" a="1"/>
  <c r="P381" i="17" s="1"/>
  <c r="P22" i="17" a="1"/>
  <c r="P22" i="17" s="1"/>
  <c r="P62" i="17" a="1"/>
  <c r="P62" i="17"/>
  <c r="P202" i="17" a="1"/>
  <c r="P202" i="17" s="1"/>
  <c r="P203" i="17" a="1"/>
  <c r="P203" i="17" s="1"/>
  <c r="P204" i="17" a="1"/>
  <c r="P204" i="17"/>
  <c r="P205" i="17" a="1"/>
  <c r="P205" i="17" s="1"/>
  <c r="P206" i="17" a="1"/>
  <c r="P206" i="17" s="1"/>
  <c r="P207" i="17" a="1"/>
  <c r="P207" i="17" s="1"/>
  <c r="P342" i="17" a="1"/>
  <c r="P342" i="17" s="1"/>
  <c r="P382" i="17" a="1"/>
  <c r="P382" i="17" s="1"/>
  <c r="P23" i="17" a="1"/>
  <c r="P23" i="17"/>
  <c r="P63" i="17" a="1"/>
  <c r="P63" i="17" s="1"/>
  <c r="P208" i="17" a="1"/>
  <c r="P208" i="17" s="1"/>
  <c r="P209" i="17" a="1"/>
  <c r="P209" i="17"/>
  <c r="P210" i="17" a="1"/>
  <c r="P210" i="17" s="1"/>
  <c r="P211" i="17" a="1"/>
  <c r="P211" i="17" s="1"/>
  <c r="P212" i="17" a="1"/>
  <c r="P212" i="17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 s="1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 s="1"/>
  <c r="P384" i="17" a="1"/>
  <c r="P384" i="17" s="1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/>
  <c r="P225" i="17" a="1"/>
  <c r="P225" i="17" s="1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 s="1"/>
  <c r="P229" i="17" a="1"/>
  <c r="P229" i="17"/>
  <c r="P230" i="17" a="1"/>
  <c r="P230" i="17" s="1"/>
  <c r="P231" i="17" a="1"/>
  <c r="P231" i="17" s="1"/>
  <c r="P346" i="17" a="1"/>
  <c r="P346" i="17" s="1"/>
  <c r="P386" i="17" a="1"/>
  <c r="P386" i="17" s="1"/>
  <c r="P27" i="17" a="1"/>
  <c r="P27" i="17" s="1"/>
  <c r="P67" i="17" a="1"/>
  <c r="P67" i="17" s="1"/>
  <c r="P232" i="17" a="1"/>
  <c r="P232" i="17" s="1"/>
  <c r="P233" i="17" a="1"/>
  <c r="P233" i="17" s="1"/>
  <c r="P234" i="17" a="1"/>
  <c r="P234" i="17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 s="1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48" i="17" a="1"/>
  <c r="P348" i="17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/>
  <c r="P247" i="17" a="1"/>
  <c r="P247" i="17" s="1"/>
  <c r="P248" i="17" a="1"/>
  <c r="P248" i="17" s="1"/>
  <c r="P249" i="17" a="1"/>
  <c r="P249" i="17" s="1"/>
  <c r="P349" i="17" a="1"/>
  <c r="P349" i="17" s="1"/>
  <c r="P389" i="17" a="1"/>
  <c r="P389" i="17" s="1"/>
  <c r="P30" i="17" a="1"/>
  <c r="P30" i="17"/>
  <c r="P70" i="17" a="1"/>
  <c r="P70" i="17" s="1"/>
  <c r="P250" i="17" a="1"/>
  <c r="P250" i="17" s="1"/>
  <c r="P251" i="17" a="1"/>
  <c r="P251" i="17" s="1"/>
  <c r="P252" i="17" a="1"/>
  <c r="P252" i="17"/>
  <c r="P253" i="17" a="1"/>
  <c r="P253" i="17" s="1"/>
  <c r="P254" i="17" a="1"/>
  <c r="P254" i="17" s="1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 s="1"/>
  <c r="P256" i="17" a="1"/>
  <c r="P256" i="17" s="1"/>
  <c r="P257" i="17" a="1"/>
  <c r="P257" i="17"/>
  <c r="P258" i="17" a="1"/>
  <c r="P258" i="17" s="1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 s="1"/>
  <c r="P32" i="17" a="1"/>
  <c r="P32" i="17" s="1"/>
  <c r="P72" i="17" a="1"/>
  <c r="P72" i="17" s="1"/>
  <c r="P262" i="17" a="1"/>
  <c r="P262" i="17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 s="1"/>
  <c r="P33" i="17" a="1"/>
  <c r="P33" i="17" s="1"/>
  <c r="P73" i="17" a="1"/>
  <c r="P73" i="17" s="1"/>
  <c r="P268" i="17" a="1"/>
  <c r="P268" i="17" s="1"/>
  <c r="P269" i="17" a="1"/>
  <c r="P269" i="17" s="1"/>
  <c r="P270" i="17" a="1"/>
  <c r="P270" i="17" s="1"/>
  <c r="P271" i="17" a="1"/>
  <c r="P271" i="17" s="1"/>
  <c r="P272" i="17" a="1"/>
  <c r="P272" i="17" s="1"/>
  <c r="P273" i="17" a="1"/>
  <c r="P273" i="17" s="1"/>
  <c r="P353" i="17" a="1"/>
  <c r="P353" i="17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 s="1"/>
  <c r="P278" i="17" a="1"/>
  <c r="P278" i="17" s="1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 s="1"/>
  <c r="P280" i="17" a="1"/>
  <c r="P280" i="17" s="1"/>
  <c r="P281" i="17" a="1"/>
  <c r="P281" i="17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 s="1"/>
  <c r="P36" i="17" a="1"/>
  <c r="P36" i="17" s="1"/>
  <c r="P76" i="17" a="1"/>
  <c r="P76" i="17" s="1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/>
  <c r="P77" i="17" a="1"/>
  <c r="P77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 s="1"/>
  <c r="P297" i="17" a="1"/>
  <c r="P297" i="17" s="1"/>
  <c r="P357" i="17" a="1"/>
  <c r="P357" i="17" s="1"/>
  <c r="P397" i="17" a="1"/>
  <c r="P397" i="17" s="1"/>
  <c r="P38" i="17" a="1"/>
  <c r="P38" i="17" s="1"/>
  <c r="P78" i="17" a="1"/>
  <c r="P78" i="17" s="1"/>
  <c r="P298" i="17" a="1"/>
  <c r="P298" i="17" s="1"/>
  <c r="P299" i="17" a="1"/>
  <c r="P299" i="17" s="1"/>
  <c r="P300" i="17" a="1"/>
  <c r="P300" i="17" s="1"/>
  <c r="P301" i="17" a="1"/>
  <c r="P301" i="17" s="1"/>
  <c r="P302" i="17" a="1"/>
  <c r="P302" i="17" s="1"/>
  <c r="P303" i="17" a="1"/>
  <c r="P303" i="17" s="1"/>
  <c r="P358" i="17" a="1"/>
  <c r="P358" i="17" s="1"/>
  <c r="P398" i="17" a="1"/>
  <c r="P398" i="17"/>
  <c r="P39" i="17" a="1"/>
  <c r="P39" i="17" s="1"/>
  <c r="P79" i="17" a="1"/>
  <c r="P79" i="17" s="1"/>
  <c r="P304" i="17" a="1"/>
  <c r="P304" i="17" s="1"/>
  <c r="P305" i="17" a="1"/>
  <c r="P305" i="17" s="1"/>
  <c r="P306" i="17" a="1"/>
  <c r="P306" i="17" s="1"/>
  <c r="P307" i="17" a="1"/>
  <c r="P307" i="17" s="1"/>
  <c r="P308" i="17" a="1"/>
  <c r="P308" i="17" s="1"/>
  <c r="P309" i="17" a="1"/>
  <c r="P309" i="17" s="1"/>
  <c r="P359" i="17" a="1"/>
  <c r="P359" i="17" s="1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 s="1"/>
  <c r="P360" i="17" a="1"/>
  <c r="P360" i="17" s="1"/>
  <c r="P400" i="17" a="1"/>
  <c r="P400" i="17" s="1"/>
  <c r="P41" i="17" a="1"/>
  <c r="P41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 s="1"/>
  <c r="P321" i="17" a="1"/>
  <c r="P321" i="17" s="1"/>
  <c r="P361" i="17" a="1"/>
  <c r="P361" i="17" s="1"/>
  <c r="P401" i="17" a="1"/>
  <c r="P401" i="17" s="1"/>
  <c r="R2" i="17" a="1"/>
  <c r="R2" i="17" s="1"/>
  <c r="R42" i="17" a="1"/>
  <c r="R42" i="17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 s="1"/>
  <c r="R3" i="17" a="1"/>
  <c r="R3" i="17" s="1"/>
  <c r="R43" i="17" a="1"/>
  <c r="R43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 s="1"/>
  <c r="R363" i="17" a="1"/>
  <c r="R363" i="17" s="1"/>
  <c r="R4" i="17" a="1"/>
  <c r="R4" i="17" s="1"/>
  <c r="R44" i="17" a="1"/>
  <c r="R44" i="17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 s="1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/>
  <c r="R325" i="17" a="1"/>
  <c r="R325" i="17" s="1"/>
  <c r="R365" i="17" a="1"/>
  <c r="R365" i="17" s="1"/>
  <c r="R6" i="17" a="1"/>
  <c r="R6" i="17" s="1"/>
  <c r="R46" i="17" a="1"/>
  <c r="R46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 s="1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 s="1"/>
  <c r="R8" i="17" a="1"/>
  <c r="R8" i="17" s="1"/>
  <c r="R48" i="17" a="1"/>
  <c r="R48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328" i="17" a="1"/>
  <c r="R328" i="17" s="1"/>
  <c r="R368" i="17" a="1"/>
  <c r="R368" i="17"/>
  <c r="R9" i="17" a="1"/>
  <c r="R9" i="17" s="1"/>
  <c r="R49" i="17" a="1"/>
  <c r="R49" i="17" s="1"/>
  <c r="R124" i="17" a="1"/>
  <c r="R124" i="17" s="1"/>
  <c r="R125" i="17" a="1"/>
  <c r="R125" i="17"/>
  <c r="R126" i="17" a="1"/>
  <c r="R126" i="17" s="1"/>
  <c r="R127" i="17" a="1"/>
  <c r="R127" i="17" s="1"/>
  <c r="R128" i="17" a="1"/>
  <c r="R128" i="17" s="1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 s="1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 s="1"/>
  <c r="R137" i="17" a="1"/>
  <c r="R137" i="17" s="1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 s="1"/>
  <c r="R52" i="17" a="1"/>
  <c r="R52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 s="1"/>
  <c r="R149" i="17" a="1"/>
  <c r="R149" i="17"/>
  <c r="R150" i="17" a="1"/>
  <c r="R150" i="17" s="1"/>
  <c r="R151" i="17" a="1"/>
  <c r="R151" i="17" s="1"/>
  <c r="R152" i="17" a="1"/>
  <c r="R152" i="17" s="1"/>
  <c r="R153" i="17" a="1"/>
  <c r="R153" i="17" s="1"/>
  <c r="R333" i="17" a="1"/>
  <c r="R333" i="17" s="1"/>
  <c r="R373" i="17" a="1"/>
  <c r="R373" i="17"/>
  <c r="R14" i="17" a="1"/>
  <c r="R14" i="17" s="1"/>
  <c r="R54" i="17" a="1"/>
  <c r="R54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 s="1"/>
  <c r="R56" i="17" a="1"/>
  <c r="R56" i="17" s="1"/>
  <c r="R166" i="17" a="1"/>
  <c r="R166" i="17" s="1"/>
  <c r="R167" i="17" a="1"/>
  <c r="R167" i="17" s="1"/>
  <c r="R168" i="17" a="1"/>
  <c r="R168" i="17" s="1"/>
  <c r="R169" i="17" a="1"/>
  <c r="R169" i="17"/>
  <c r="R170" i="17" a="1"/>
  <c r="R170" i="17" s="1"/>
  <c r="R171" i="17" a="1"/>
  <c r="R171" i="17" s="1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 s="1"/>
  <c r="R377" i="17" a="1"/>
  <c r="R377" i="17" s="1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/>
  <c r="R338" i="17" a="1"/>
  <c r="R338" i="17" s="1"/>
  <c r="R378" i="17" a="1"/>
  <c r="R378" i="17" s="1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339" i="17" a="1"/>
  <c r="R339" i="17" s="1"/>
  <c r="R379" i="17" a="1"/>
  <c r="R379" i="17" s="1"/>
  <c r="R20" i="17" a="1"/>
  <c r="R20" i="17" s="1"/>
  <c r="R60" i="17" a="1"/>
  <c r="R60" i="17" s="1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341" i="17" a="1"/>
  <c r="R341" i="17" s="1"/>
  <c r="R381" i="17" a="1"/>
  <c r="R381" i="17" s="1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/>
  <c r="R23" i="17" a="1"/>
  <c r="R23" i="17" s="1"/>
  <c r="R63" i="17" a="1"/>
  <c r="R63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 s="1"/>
  <c r="R24" i="17" a="1"/>
  <c r="R24" i="17" s="1"/>
  <c r="R64" i="17" a="1"/>
  <c r="R64" i="17" s="1"/>
  <c r="R214" i="17" a="1"/>
  <c r="R214" i="17" s="1"/>
  <c r="R215" i="17" a="1"/>
  <c r="R215" i="17"/>
  <c r="R216" i="17" a="1"/>
  <c r="R216" i="17" s="1"/>
  <c r="R217" i="17" a="1"/>
  <c r="R217" i="17" s="1"/>
  <c r="R218" i="17" a="1"/>
  <c r="R218" i="17" s="1"/>
  <c r="R219" i="17" a="1"/>
  <c r="R219" i="17" s="1"/>
  <c r="R344" i="17" a="1"/>
  <c r="R344" i="17" s="1"/>
  <c r="R384" i="17" a="1"/>
  <c r="R384" i="17" s="1"/>
  <c r="R25" i="17" a="1"/>
  <c r="R25" i="17" s="1"/>
  <c r="R65" i="17" a="1"/>
  <c r="R65" i="17" s="1"/>
  <c r="R220" i="17" a="1"/>
  <c r="R220" i="17" s="1"/>
  <c r="R221" i="17" a="1"/>
  <c r="R221" i="17"/>
  <c r="R222" i="17" a="1"/>
  <c r="R222" i="17" s="1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 s="1"/>
  <c r="R387" i="17" a="1"/>
  <c r="R387" i="17" s="1"/>
  <c r="R28" i="17" a="1"/>
  <c r="R28" i="17" s="1"/>
  <c r="R68" i="17" a="1"/>
  <c r="R68" i="17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48" i="17" a="1"/>
  <c r="R348" i="17" s="1"/>
  <c r="R388" i="17" a="1"/>
  <c r="R388" i="17" s="1"/>
  <c r="R29" i="17" a="1"/>
  <c r="R29" i="17" s="1"/>
  <c r="R69" i="17" a="1"/>
  <c r="R69" i="17" s="1"/>
  <c r="R244" i="17" a="1"/>
  <c r="R244" i="17" s="1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52" i="17" a="1"/>
  <c r="R352" i="17" s="1"/>
  <c r="R392" i="17" a="1"/>
  <c r="R392" i="17" s="1"/>
  <c r="R33" i="17" a="1"/>
  <c r="R33" i="17" s="1"/>
  <c r="R73" i="17" a="1"/>
  <c r="R73" i="17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353" i="17" a="1"/>
  <c r="R353" i="17" s="1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/>
  <c r="R354" i="17" a="1"/>
  <c r="R354" i="17" s="1"/>
  <c r="R394" i="17" a="1"/>
  <c r="R394" i="17" s="1"/>
  <c r="R35" i="17" a="1"/>
  <c r="R35" i="17" s="1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 s="1"/>
  <c r="R76" i="17" a="1"/>
  <c r="R76" i="17" s="1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 s="1"/>
  <c r="R356" i="17" a="1"/>
  <c r="R356" i="17" s="1"/>
  <c r="R396" i="17" a="1"/>
  <c r="R396" i="17" s="1"/>
  <c r="R37" i="17" a="1"/>
  <c r="R37" i="17" s="1"/>
  <c r="R77" i="17" a="1"/>
  <c r="R77" i="17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58" i="17" a="1"/>
  <c r="R358" i="17" s="1"/>
  <c r="R398" i="17" a="1"/>
  <c r="R398" i="17"/>
  <c r="R39" i="17" a="1"/>
  <c r="R39" i="17" s="1"/>
  <c r="R79" i="17" a="1"/>
  <c r="R79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 s="1"/>
  <c r="R41" i="17" a="1"/>
  <c r="R41" i="17" s="1"/>
  <c r="R81" i="17" a="1"/>
  <c r="R81" i="17" s="1"/>
  <c r="R316" i="17" a="1"/>
  <c r="R316" i="17" s="1"/>
  <c r="R317" i="17" a="1"/>
  <c r="R317" i="17"/>
  <c r="R318" i="17" a="1"/>
  <c r="R318" i="17" s="1"/>
  <c r="R319" i="17" a="1"/>
  <c r="R319" i="17" s="1"/>
  <c r="R320" i="17" a="1"/>
  <c r="R320" i="17" s="1"/>
  <c r="R321" i="17" a="1"/>
  <c r="R321" i="17" s="1"/>
  <c r="R361" i="17" a="1"/>
  <c r="R361" i="17" s="1"/>
  <c r="R401" i="17" a="1"/>
  <c r="R401" i="17" s="1"/>
  <c r="S2" i="17" a="1"/>
  <c r="S2" i="17" s="1"/>
  <c r="S42" i="17" a="1"/>
  <c r="S42" i="17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 s="1"/>
  <c r="S362" i="17" a="1"/>
  <c r="S362" i="17" s="1"/>
  <c r="S3" i="17" a="1"/>
  <c r="S3" i="17" s="1"/>
  <c r="S43" i="17" a="1"/>
  <c r="S43" i="17" s="1"/>
  <c r="S88" i="17" a="1"/>
  <c r="S88" i="17" s="1"/>
  <c r="S89" i="17" a="1"/>
  <c r="S89" i="17" s="1"/>
  <c r="S90" i="17" a="1"/>
  <c r="S90" i="17" s="1"/>
  <c r="S91" i="17" a="1"/>
  <c r="S91" i="17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 s="1"/>
  <c r="S45" i="17" a="1"/>
  <c r="S45" i="17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25" i="17" a="1"/>
  <c r="S325" i="17" s="1"/>
  <c r="S365" i="17" a="1"/>
  <c r="S365" i="17"/>
  <c r="S6" i="17" a="1"/>
  <c r="S6" i="17" s="1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28" i="17" a="1"/>
  <c r="S328" i="17" s="1"/>
  <c r="S368" i="17" a="1"/>
  <c r="S368" i="17" s="1"/>
  <c r="S9" i="17" a="1"/>
  <c r="S9" i="17" s="1"/>
  <c r="S49" i="17" a="1"/>
  <c r="S49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329" i="17" a="1"/>
  <c r="S329" i="17" s="1"/>
  <c r="S369" i="17" a="1"/>
  <c r="S369" i="17" s="1"/>
  <c r="S10" i="17" a="1"/>
  <c r="S10" i="17" s="1"/>
  <c r="S50" i="17" a="1"/>
  <c r="S50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330" i="17" a="1"/>
  <c r="S330" i="17" s="1"/>
  <c r="S370" i="17" a="1"/>
  <c r="S370" i="17" s="1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332" i="17" a="1"/>
  <c r="S332" i="17" s="1"/>
  <c r="S372" i="17" a="1"/>
  <c r="S372" i="17" s="1"/>
  <c r="S13" i="17" a="1"/>
  <c r="S13" i="17" s="1"/>
  <c r="S53" i="17" a="1"/>
  <c r="S53" i="17"/>
  <c r="S148" i="17" a="1"/>
  <c r="S148" i="17" s="1"/>
  <c r="S149" i="17" a="1"/>
  <c r="S149" i="17"/>
  <c r="S150" i="17" a="1"/>
  <c r="S150" i="17" s="1"/>
  <c r="S151" i="17" a="1"/>
  <c r="S151" i="17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/>
  <c r="S175" i="17" a="1"/>
  <c r="S175" i="17" s="1"/>
  <c r="S176" i="17" a="1"/>
  <c r="S176" i="17" s="1"/>
  <c r="S177" i="17" a="1"/>
  <c r="S177" i="17" s="1"/>
  <c r="S337" i="17" a="1"/>
  <c r="S337" i="17" s="1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 s="1"/>
  <c r="S180" i="17" a="1"/>
  <c r="S180" i="17" s="1"/>
  <c r="S181" i="17" a="1"/>
  <c r="S181" i="17" s="1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/>
  <c r="S379" i="17" a="1"/>
  <c r="S379" i="17" s="1"/>
  <c r="S20" i="17" a="1"/>
  <c r="S20" i="17" s="1"/>
  <c r="S60" i="17" a="1"/>
  <c r="S60" i="17" s="1"/>
  <c r="S190" i="17" a="1"/>
  <c r="S190" i="17" s="1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/>
  <c r="S340" i="17" a="1"/>
  <c r="S340" i="17" s="1"/>
  <c r="S380" i="17" a="1"/>
  <c r="S380" i="17" s="1"/>
  <c r="S21" i="17" a="1"/>
  <c r="S21" i="17" s="1"/>
  <c r="S61" i="17" a="1"/>
  <c r="S61" i="17" s="1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 s="1"/>
  <c r="S341" i="17" a="1"/>
  <c r="S341" i="17" s="1"/>
  <c r="S381" i="17" a="1"/>
  <c r="S381" i="17" s="1"/>
  <c r="S22" i="17" a="1"/>
  <c r="S22" i="17" s="1"/>
  <c r="S62" i="17" a="1"/>
  <c r="S62" i="17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/>
  <c r="S63" i="17" a="1"/>
  <c r="S6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344" i="17" a="1"/>
  <c r="S344" i="17" s="1"/>
  <c r="S384" i="17" a="1"/>
  <c r="S384" i="17" s="1"/>
  <c r="S25" i="17" a="1"/>
  <c r="S25" i="17" s="1"/>
  <c r="S65" i="17" a="1"/>
  <c r="S65" i="17" s="1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 s="1"/>
  <c r="S385" i="17" a="1"/>
  <c r="S385" i="17" s="1"/>
  <c r="S26" i="17" a="1"/>
  <c r="S26" i="17" s="1"/>
  <c r="S66" i="17" a="1"/>
  <c r="S66" i="17" s="1"/>
  <c r="S226" i="17" a="1"/>
  <c r="S226" i="17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 s="1"/>
  <c r="S346" i="17" a="1"/>
  <c r="S346" i="17" s="1"/>
  <c r="S386" i="17" a="1"/>
  <c r="S386" i="17" s="1"/>
  <c r="S27" i="17" a="1"/>
  <c r="S27" i="17" s="1"/>
  <c r="S67" i="17" a="1"/>
  <c r="S67" i="17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47" i="17" a="1"/>
  <c r="S347" i="17" s="1"/>
  <c r="S387" i="17" a="1"/>
  <c r="S387" i="17" s="1"/>
  <c r="S28" i="17" a="1"/>
  <c r="S28" i="17" s="1"/>
  <c r="S68" i="17" a="1"/>
  <c r="S68" i="17" s="1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49" i="17" a="1"/>
  <c r="S349" i="17"/>
  <c r="S389" i="17" a="1"/>
  <c r="S389" i="17" s="1"/>
  <c r="S30" i="17" a="1"/>
  <c r="S30" i="17" s="1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 s="1"/>
  <c r="S350" i="17" a="1"/>
  <c r="S350" i="17" s="1"/>
  <c r="S390" i="17" a="1"/>
  <c r="S390" i="17" s="1"/>
  <c r="S31" i="17" a="1"/>
  <c r="S31" i="17" s="1"/>
  <c r="S71" i="17" a="1"/>
  <c r="S71" i="17" s="1"/>
  <c r="S256" i="17" a="1"/>
  <c r="S256" i="17" s="1"/>
  <c r="S257" i="17" a="1"/>
  <c r="S257" i="17" s="1"/>
  <c r="S258" i="17" a="1"/>
  <c r="S258" i="17"/>
  <c r="S259" i="17" a="1"/>
  <c r="S259" i="17" s="1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 s="1"/>
  <c r="S262" i="17" a="1"/>
  <c r="S262" i="17" s="1"/>
  <c r="S263" i="17" a="1"/>
  <c r="S263" i="17" s="1"/>
  <c r="S264" i="17" a="1"/>
  <c r="S264" i="17" s="1"/>
  <c r="S265" i="17" a="1"/>
  <c r="S265" i="17"/>
  <c r="S266" i="17" a="1"/>
  <c r="S266" i="17" s="1"/>
  <c r="S267" i="17" a="1"/>
  <c r="S267" i="17" s="1"/>
  <c r="S352" i="17" a="1"/>
  <c r="S352" i="17" s="1"/>
  <c r="S392" i="17" a="1"/>
  <c r="S392" i="17" s="1"/>
  <c r="S33" i="17" a="1"/>
  <c r="S33" i="17" s="1"/>
  <c r="S73" i="17" a="1"/>
  <c r="S73" i="17" s="1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 s="1"/>
  <c r="S393" i="17" a="1"/>
  <c r="S393" i="17" s="1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54" i="17" a="1"/>
  <c r="S354" i="17" s="1"/>
  <c r="S394" i="17" a="1"/>
  <c r="S394" i="17" s="1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/>
  <c r="S283" i="17" a="1"/>
  <c r="S283" i="17" s="1"/>
  <c r="S284" i="17" a="1"/>
  <c r="S284" i="17" s="1"/>
  <c r="S285" i="17" a="1"/>
  <c r="S285" i="17" s="1"/>
  <c r="S355" i="17" a="1"/>
  <c r="S355" i="17" s="1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356" i="17" a="1"/>
  <c r="S356" i="17" s="1"/>
  <c r="S396" i="17" a="1"/>
  <c r="S396" i="17" s="1"/>
  <c r="S37" i="17" a="1"/>
  <c r="S37" i="17" s="1"/>
  <c r="S77" i="17" a="1"/>
  <c r="S77" i="17" s="1"/>
  <c r="S292" i="17" a="1"/>
  <c r="S292" i="17" s="1"/>
  <c r="S293" i="17" a="1"/>
  <c r="S293" i="17" s="1"/>
  <c r="S294" i="17" a="1"/>
  <c r="S294" i="17"/>
  <c r="S295" i="17" a="1"/>
  <c r="S295" i="17" s="1"/>
  <c r="S296" i="17" a="1"/>
  <c r="S296" i="17" s="1"/>
  <c r="S297" i="17" a="1"/>
  <c r="S297" i="17"/>
  <c r="S357" i="17" a="1"/>
  <c r="S357" i="17" s="1"/>
  <c r="S397" i="17" a="1"/>
  <c r="S397" i="17" s="1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 s="1"/>
  <c r="S398" i="17" a="1"/>
  <c r="S398" i="17" s="1"/>
  <c r="S39" i="17" a="1"/>
  <c r="S39" i="17"/>
  <c r="S79" i="17" a="1"/>
  <c r="S79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 s="1"/>
  <c r="S309" i="17" a="1"/>
  <c r="S309" i="17"/>
  <c r="S359" i="17" a="1"/>
  <c r="S359" i="17" s="1"/>
  <c r="S399" i="17" a="1"/>
  <c r="S399" i="17" s="1"/>
  <c r="S40" i="17" a="1"/>
  <c r="S40" i="17" s="1"/>
  <c r="S80" i="17" a="1"/>
  <c r="S80" i="17" s="1"/>
  <c r="S310" i="17" a="1"/>
  <c r="S310" i="17" s="1"/>
  <c r="S311" i="17" a="1"/>
  <c r="S311" i="17" s="1"/>
  <c r="S312" i="17" a="1"/>
  <c r="S312" i="17"/>
  <c r="S313" i="17" a="1"/>
  <c r="S313" i="17" s="1"/>
  <c r="S314" i="17" a="1"/>
  <c r="S314" i="17" s="1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/>
  <c r="S318" i="17" a="1"/>
  <c r="S318" i="17" s="1"/>
  <c r="S319" i="17" a="1"/>
  <c r="S319" i="17" s="1"/>
  <c r="S320" i="17" a="1"/>
  <c r="S320" i="17" s="1"/>
  <c r="S321" i="17" a="1"/>
  <c r="S321" i="17" s="1"/>
  <c r="S361" i="17" a="1"/>
  <c r="S361" i="17" s="1"/>
  <c r="S401" i="17" a="1"/>
  <c r="S401" i="17" s="1"/>
  <c r="T2" i="17" a="1"/>
  <c r="T2" i="17" s="1"/>
  <c r="T42" i="17" a="1"/>
  <c r="T42" i="17" s="1"/>
  <c r="T82" i="17" a="1"/>
  <c r="T82" i="17"/>
  <c r="T83" i="17" a="1"/>
  <c r="T83" i="17" s="1"/>
  <c r="T84" i="17" a="1"/>
  <c r="T84" i="17" s="1"/>
  <c r="T85" i="17" a="1"/>
  <c r="T85" i="17" s="1"/>
  <c r="T86" i="17" a="1"/>
  <c r="T86" i="17" s="1"/>
  <c r="T87" i="17" a="1"/>
  <c r="T87" i="17" s="1"/>
  <c r="T322" i="17" a="1"/>
  <c r="T322" i="17" s="1"/>
  <c r="T362" i="17" a="1"/>
  <c r="T362" i="17"/>
  <c r="T3" i="17" a="1"/>
  <c r="T3" i="17" s="1"/>
  <c r="T43" i="17" a="1"/>
  <c r="T43" i="17" s="1"/>
  <c r="T88" i="17" a="1"/>
  <c r="T88" i="17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23" i="17" a="1"/>
  <c r="T323" i="17" s="1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 s="1"/>
  <c r="T97" i="17" a="1"/>
  <c r="T97" i="17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 s="1"/>
  <c r="T100" i="17" a="1"/>
  <c r="T100" i="17"/>
  <c r="T101" i="17" a="1"/>
  <c r="T101" i="17" s="1"/>
  <c r="T102" i="17" a="1"/>
  <c r="T102" i="17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326" i="17" a="1"/>
  <c r="T326" i="17" s="1"/>
  <c r="T366" i="17" a="1"/>
  <c r="T366" i="17" s="1"/>
  <c r="T7" i="17" a="1"/>
  <c r="T7" i="17" s="1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 s="1"/>
  <c r="T48" i="17" a="1"/>
  <c r="T48" i="17"/>
  <c r="T118" i="17" a="1"/>
  <c r="T118" i="17" s="1"/>
  <c r="T119" i="17" a="1"/>
  <c r="T119" i="17" s="1"/>
  <c r="T120" i="17" a="1"/>
  <c r="T120" i="17" s="1"/>
  <c r="T121" i="17" a="1"/>
  <c r="T121" i="17" s="1"/>
  <c r="T122" i="17" a="1"/>
  <c r="T122" i="17" s="1"/>
  <c r="T123" i="17" a="1"/>
  <c r="T123" i="17" s="1"/>
  <c r="T328" i="17" a="1"/>
  <c r="T328" i="17" s="1"/>
  <c r="T368" i="17" a="1"/>
  <c r="T368" i="17" s="1"/>
  <c r="T9" i="17" a="1"/>
  <c r="T9" i="17"/>
  <c r="T49" i="17" a="1"/>
  <c r="T49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 s="1"/>
  <c r="T50" i="17" a="1"/>
  <c r="T50" i="17" s="1"/>
  <c r="T130" i="17" a="1"/>
  <c r="T130" i="17" s="1"/>
  <c r="T131" i="17" a="1"/>
  <c r="T131" i="17" s="1"/>
  <c r="T132" i="17" a="1"/>
  <c r="T132" i="17"/>
  <c r="T133" i="17" a="1"/>
  <c r="T133" i="17" s="1"/>
  <c r="T134" i="17" a="1"/>
  <c r="T134" i="17" s="1"/>
  <c r="T135" i="17" a="1"/>
  <c r="T135" i="17" s="1"/>
  <c r="T330" i="17" a="1"/>
  <c r="T330" i="17" s="1"/>
  <c r="T370" i="17" a="1"/>
  <c r="T370" i="17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331" i="17" a="1"/>
  <c r="T331" i="17" s="1"/>
  <c r="T371" i="17" a="1"/>
  <c r="T371" i="17" s="1"/>
  <c r="T12" i="17" a="1"/>
  <c r="T12" i="17" s="1"/>
  <c r="T52" i="17" a="1"/>
  <c r="T52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 s="1"/>
  <c r="T149" i="17" a="1"/>
  <c r="T149" i="17" s="1"/>
  <c r="T150" i="17" a="1"/>
  <c r="T150" i="17"/>
  <c r="T151" i="17" a="1"/>
  <c r="T151" i="17" s="1"/>
  <c r="T152" i="17" a="1"/>
  <c r="T152" i="17" s="1"/>
  <c r="T153" i="17" a="1"/>
  <c r="T153" i="17" s="1"/>
  <c r="T333" i="17" a="1"/>
  <c r="T333" i="17" s="1"/>
  <c r="T373" i="17" a="1"/>
  <c r="T373" i="17" s="1"/>
  <c r="T14" i="17" a="1"/>
  <c r="T14" i="17" s="1"/>
  <c r="T54" i="17" a="1"/>
  <c r="T54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334" i="17" a="1"/>
  <c r="T334" i="17" s="1"/>
  <c r="T374" i="17" a="1"/>
  <c r="T374" i="17" s="1"/>
  <c r="T15" i="17" a="1"/>
  <c r="T15" i="17" s="1"/>
  <c r="T55" i="17" a="1"/>
  <c r="T55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 s="1"/>
  <c r="T58" i="17" a="1"/>
  <c r="T5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338" i="17" a="1"/>
  <c r="T338" i="17" s="1"/>
  <c r="T378" i="17" a="1"/>
  <c r="T378" i="17" s="1"/>
  <c r="T19" i="17" a="1"/>
  <c r="T19" i="17" s="1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/>
  <c r="T189" i="17" a="1"/>
  <c r="T189" i="17" s="1"/>
  <c r="T339" i="17" a="1"/>
  <c r="T339" i="17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 s="1"/>
  <c r="T192" i="17" a="1"/>
  <c r="T192" i="17" s="1"/>
  <c r="T193" i="17" a="1"/>
  <c r="T193" i="17" s="1"/>
  <c r="T194" i="17" a="1"/>
  <c r="T194" i="17" s="1"/>
  <c r="T195" i="17" a="1"/>
  <c r="T195" i="17" s="1"/>
  <c r="T340" i="17" a="1"/>
  <c r="T340" i="17" s="1"/>
  <c r="T380" i="17" a="1"/>
  <c r="T380" i="17" s="1"/>
  <c r="T21" i="17" a="1"/>
  <c r="T21" i="17" s="1"/>
  <c r="T61" i="17" a="1"/>
  <c r="T61" i="17" s="1"/>
  <c r="T196" i="17" a="1"/>
  <c r="T196" i="17" s="1"/>
  <c r="T197" i="17" a="1"/>
  <c r="T197" i="17"/>
  <c r="T198" i="17" a="1"/>
  <c r="T198" i="17" s="1"/>
  <c r="T199" i="17" a="1"/>
  <c r="T199" i="17" s="1"/>
  <c r="T200" i="17" a="1"/>
  <c r="T200" i="17" s="1"/>
  <c r="T201" i="17" a="1"/>
  <c r="T201" i="17" s="1"/>
  <c r="T341" i="17" a="1"/>
  <c r="T341" i="17" s="1"/>
  <c r="T381" i="17" a="1"/>
  <c r="T381" i="17" s="1"/>
  <c r="T22" i="17" a="1"/>
  <c r="T22" i="17" s="1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43" i="17" a="1"/>
  <c r="T343" i="17" s="1"/>
  <c r="T383" i="17" a="1"/>
  <c r="T383" i="17" s="1"/>
  <c r="T24" i="17" a="1"/>
  <c r="T24" i="17" s="1"/>
  <c r="T64" i="17" a="1"/>
  <c r="T64" i="17" s="1"/>
  <c r="T214" i="17" a="1"/>
  <c r="T214" i="17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344" i="17" a="1"/>
  <c r="T344" i="17" s="1"/>
  <c r="T384" i="17" a="1"/>
  <c r="T384" i="17" s="1"/>
  <c r="T25" i="17" a="1"/>
  <c r="T25" i="17" s="1"/>
  <c r="T65" i="17" a="1"/>
  <c r="T65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47" i="17" a="1"/>
  <c r="T347" i="17" s="1"/>
  <c r="T387" i="17" a="1"/>
  <c r="T387" i="17" s="1"/>
  <c r="T28" i="17" a="1"/>
  <c r="T28" i="17" s="1"/>
  <c r="T68" i="17" a="1"/>
  <c r="T68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48" i="17" a="1"/>
  <c r="T348" i="17" s="1"/>
  <c r="T388" i="17" a="1"/>
  <c r="T388" i="17" s="1"/>
  <c r="T29" i="17" a="1"/>
  <c r="T29" i="17" s="1"/>
  <c r="T69" i="17" a="1"/>
  <c r="T69" i="17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 s="1"/>
  <c r="T389" i="17" a="1"/>
  <c r="T389" i="17" s="1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/>
  <c r="T255" i="17" a="1"/>
  <c r="T255" i="17" s="1"/>
  <c r="T350" i="17" a="1"/>
  <c r="T350" i="17" s="1"/>
  <c r="T390" i="17" a="1"/>
  <c r="T390" i="17" s="1"/>
  <c r="T31" i="17" a="1"/>
  <c r="T31" i="17" s="1"/>
  <c r="T71" i="17" a="1"/>
  <c r="T7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51" i="17" a="1"/>
  <c r="T351" i="17" s="1"/>
  <c r="T391" i="17" a="1"/>
  <c r="T391" i="17" s="1"/>
  <c r="T32" i="17" a="1"/>
  <c r="T32" i="17" s="1"/>
  <c r="T72" i="17" a="1"/>
  <c r="T72" i="17" s="1"/>
  <c r="T262" i="17" a="1"/>
  <c r="T262" i="17" s="1"/>
  <c r="T263" i="17" a="1"/>
  <c r="T263" i="17" s="1"/>
  <c r="T264" i="17" a="1"/>
  <c r="T264" i="17" s="1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 s="1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 s="1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 s="1"/>
  <c r="T37" i="17" a="1"/>
  <c r="T37" i="17"/>
  <c r="T77" i="17" a="1"/>
  <c r="T77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 s="1"/>
  <c r="T357" i="17" a="1"/>
  <c r="T357" i="17" s="1"/>
  <c r="T397" i="17" a="1"/>
  <c r="T397" i="17" s="1"/>
  <c r="T38" i="17" a="1"/>
  <c r="T38" i="17" s="1"/>
  <c r="T78" i="17" a="1"/>
  <c r="T78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 s="1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61" i="17" a="1"/>
  <c r="T361" i="17" s="1"/>
  <c r="T401" i="17" a="1"/>
  <c r="T401" i="17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 s="1"/>
  <c r="U324" i="17" a="1"/>
  <c r="U324" i="17" s="1"/>
  <c r="U364" i="17" a="1"/>
  <c r="U364" i="17" s="1"/>
  <c r="U5" i="17" a="1"/>
  <c r="U5" i="17" s="1"/>
  <c r="U45" i="17" a="1"/>
  <c r="U45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/>
  <c r="U6" i="17" a="1"/>
  <c r="U6" i="17" s="1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27" i="17" a="1"/>
  <c r="U327" i="17" s="1"/>
  <c r="U367" i="17" a="1"/>
  <c r="U367" i="17" s="1"/>
  <c r="U8" i="17" a="1"/>
  <c r="U8" i="17" s="1"/>
  <c r="U48" i="17" a="1"/>
  <c r="U48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 s="1"/>
  <c r="U368" i="17" a="1"/>
  <c r="U368" i="17" s="1"/>
  <c r="U9" i="17" a="1"/>
  <c r="U9" i="17" s="1"/>
  <c r="U49" i="17" a="1"/>
  <c r="U49" i="17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/>
  <c r="U139" i="17" a="1"/>
  <c r="U139" i="17" s="1"/>
  <c r="U140" i="17" a="1"/>
  <c r="U140" i="17" s="1"/>
  <c r="U141" i="17" a="1"/>
  <c r="U141" i="17" s="1"/>
  <c r="U331" i="17" a="1"/>
  <c r="U331" i="17" s="1"/>
  <c r="U371" i="17" a="1"/>
  <c r="U371" i="17" s="1"/>
  <c r="U12" i="17" a="1"/>
  <c r="U12" i="17" s="1"/>
  <c r="U52" i="17" a="1"/>
  <c r="U52" i="17" s="1"/>
  <c r="U142" i="17" a="1"/>
  <c r="U142" i="17" s="1"/>
  <c r="U143" i="17" a="1"/>
  <c r="U143" i="17" s="1"/>
  <c r="U144" i="17" a="1"/>
  <c r="U144" i="17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 s="1"/>
  <c r="U13" i="17" a="1"/>
  <c r="U13" i="17" s="1"/>
  <c r="U53" i="17" a="1"/>
  <c r="U53" i="17" s="1"/>
  <c r="U148" i="17" a="1"/>
  <c r="U148" i="17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333" i="17" a="1"/>
  <c r="U333" i="17" s="1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/>
  <c r="U159" i="17" a="1"/>
  <c r="U159" i="17" s="1"/>
  <c r="U334" i="17" a="1"/>
  <c r="U334" i="17" s="1"/>
  <c r="U374" i="17" a="1"/>
  <c r="U374" i="17" s="1"/>
  <c r="U15" i="17" a="1"/>
  <c r="U15" i="17" s="1"/>
  <c r="U55" i="17" a="1"/>
  <c r="U5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335" i="17" a="1"/>
  <c r="U335" i="17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 s="1"/>
  <c r="U57" i="17" a="1"/>
  <c r="U5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 s="1"/>
  <c r="U178" i="17" a="1"/>
  <c r="U178" i="17" s="1"/>
  <c r="U179" i="17" a="1"/>
  <c r="U179" i="17" s="1"/>
  <c r="U180" i="17" a="1"/>
  <c r="U180" i="17" s="1"/>
  <c r="U181" i="17" a="1"/>
  <c r="U181" i="17" s="1"/>
  <c r="U182" i="17" a="1"/>
  <c r="U182" i="17" s="1"/>
  <c r="U183" i="17" a="1"/>
  <c r="U183" i="17"/>
  <c r="U338" i="17" a="1"/>
  <c r="U338" i="17" s="1"/>
  <c r="U378" i="17" a="1"/>
  <c r="U378" i="17" s="1"/>
  <c r="U19" i="17" a="1"/>
  <c r="U19" i="17" s="1"/>
  <c r="U59" i="17" a="1"/>
  <c r="U5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39" i="17" a="1"/>
  <c r="U339" i="17" s="1"/>
  <c r="U379" i="17" a="1"/>
  <c r="U379" i="17" s="1"/>
  <c r="U20" i="17" a="1"/>
  <c r="U20" i="17" s="1"/>
  <c r="U60" i="17" a="1"/>
  <c r="U6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 s="1"/>
  <c r="U21" i="17" a="1"/>
  <c r="U21" i="17" s="1"/>
  <c r="U61" i="17" a="1"/>
  <c r="U61" i="17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341" i="17" a="1"/>
  <c r="U341" i="17" s="1"/>
  <c r="U381" i="17" a="1"/>
  <c r="U381" i="17"/>
  <c r="U22" i="17" a="1"/>
  <c r="U22" i="17" s="1"/>
  <c r="U62" i="17" a="1"/>
  <c r="U62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 s="1"/>
  <c r="U23" i="17" a="1"/>
  <c r="U23" i="17" s="1"/>
  <c r="U63" i="17" a="1"/>
  <c r="U63" i="17" s="1"/>
  <c r="U208" i="17" a="1"/>
  <c r="U208" i="17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44" i="17" a="1"/>
  <c r="U344" i="17" s="1"/>
  <c r="U384" i="17" a="1"/>
  <c r="U384" i="17" s="1"/>
  <c r="U25" i="17" a="1"/>
  <c r="U25" i="17" s="1"/>
  <c r="U65" i="17" a="1"/>
  <c r="U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/>
  <c r="U233" i="17" a="1"/>
  <c r="U233" i="17" s="1"/>
  <c r="U234" i="17" a="1"/>
  <c r="U234" i="17" s="1"/>
  <c r="U235" i="17" a="1"/>
  <c r="U235" i="17"/>
  <c r="U236" i="17" a="1"/>
  <c r="U236" i="17" s="1"/>
  <c r="U237" i="17" a="1"/>
  <c r="U237" i="17" s="1"/>
  <c r="U347" i="17" a="1"/>
  <c r="U347" i="17" s="1"/>
  <c r="U387" i="17" a="1"/>
  <c r="U387" i="17" s="1"/>
  <c r="U28" i="17" a="1"/>
  <c r="U28" i="17" s="1"/>
  <c r="U68" i="17" a="1"/>
  <c r="U68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/>
  <c r="U243" i="17" a="1"/>
  <c r="U243" i="17" s="1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349" i="17" a="1"/>
  <c r="U349" i="17" s="1"/>
  <c r="U389" i="17" a="1"/>
  <c r="U389" i="17" s="1"/>
  <c r="U30" i="17" a="1"/>
  <c r="U30" i="17" s="1"/>
  <c r="U70" i="17" a="1"/>
  <c r="U70" i="17" s="1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 s="1"/>
  <c r="U256" i="17" a="1"/>
  <c r="U256" i="17" s="1"/>
  <c r="U257" i="17" a="1"/>
  <c r="U257" i="17" s="1"/>
  <c r="U258" i="17" a="1"/>
  <c r="U258" i="17" s="1"/>
  <c r="U259" i="17" a="1"/>
  <c r="U259" i="17" s="1"/>
  <c r="U260" i="17" a="1"/>
  <c r="U260" i="17" s="1"/>
  <c r="U261" i="17" a="1"/>
  <c r="U261" i="17" s="1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/>
  <c r="U393" i="17" a="1"/>
  <c r="U393" i="17" s="1"/>
  <c r="U34" i="17" a="1"/>
  <c r="U34" i="17" s="1"/>
  <c r="U74" i="17" a="1"/>
  <c r="U74" i="17" s="1"/>
  <c r="U274" i="17" a="1"/>
  <c r="U274" i="17" s="1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 s="1"/>
  <c r="U36" i="17" a="1"/>
  <c r="U36" i="17" s="1"/>
  <c r="U76" i="17" a="1"/>
  <c r="U76" i="17" s="1"/>
  <c r="U286" i="17" a="1"/>
  <c r="U286" i="17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/>
  <c r="U77" i="17" a="1"/>
  <c r="U77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/>
  <c r="U38" i="17" a="1"/>
  <c r="U38" i="17" s="1"/>
  <c r="U78" i="17" a="1"/>
  <c r="U78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58" i="17" a="1"/>
  <c r="U358" i="17" s="1"/>
  <c r="U398" i="17" a="1"/>
  <c r="U398" i="17" s="1"/>
  <c r="U39" i="17" a="1"/>
  <c r="U39" i="17" s="1"/>
  <c r="U79" i="17" a="1"/>
  <c r="U79" i="17" s="1"/>
  <c r="U304" i="17" a="1"/>
  <c r="U304" i="17"/>
  <c r="U305" i="17" a="1"/>
  <c r="U305" i="17" s="1"/>
  <c r="U306" i="17" a="1"/>
  <c r="U306" i="17" s="1"/>
  <c r="U307" i="17" a="1"/>
  <c r="U307" i="17" s="1"/>
  <c r="U308" i="17" a="1"/>
  <c r="U308" i="17" s="1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360" i="17" a="1"/>
  <c r="U360" i="17" s="1"/>
  <c r="U400" i="17" a="1"/>
  <c r="U400" i="17" s="1"/>
  <c r="U41" i="17" a="1"/>
  <c r="U41" i="17" s="1"/>
  <c r="U81" i="17" a="1"/>
  <c r="U81" i="17"/>
  <c r="U316" i="17" a="1"/>
  <c r="U316" i="17" s="1"/>
  <c r="U317" i="17" a="1"/>
  <c r="U317" i="17" s="1"/>
  <c r="U318" i="17" a="1"/>
  <c r="U318" i="17" s="1"/>
  <c r="U319" i="17" a="1"/>
  <c r="U319" i="17" s="1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22" i="17" a="1"/>
  <c r="V322" i="17" s="1"/>
  <c r="V362" i="17" a="1"/>
  <c r="V362" i="17" s="1"/>
  <c r="V3" i="17" a="1"/>
  <c r="V3" i="17" s="1"/>
  <c r="V43" i="17" a="1"/>
  <c r="V43" i="17" s="1"/>
  <c r="V88" i="17" a="1"/>
  <c r="V88" i="17" s="1"/>
  <c r="V89" i="17" a="1"/>
  <c r="V89" i="17" s="1"/>
  <c r="V90" i="17" a="1"/>
  <c r="V90" i="17" s="1"/>
  <c r="V91" i="17" a="1"/>
  <c r="V91" i="17"/>
  <c r="V92" i="17" a="1"/>
  <c r="V92" i="17" s="1"/>
  <c r="V93" i="17" a="1"/>
  <c r="V93" i="17" s="1"/>
  <c r="V323" i="17" a="1"/>
  <c r="V323" i="17"/>
  <c r="V363" i="17" a="1"/>
  <c r="V363" i="17" s="1"/>
  <c r="V4" i="17" a="1"/>
  <c r="V4" i="17" s="1"/>
  <c r="V44" i="17" a="1"/>
  <c r="V44" i="17" s="1"/>
  <c r="V94" i="17" a="1"/>
  <c r="V94" i="17" s="1"/>
  <c r="V95" i="17" a="1"/>
  <c r="V95" i="17" s="1"/>
  <c r="V96" i="17" a="1"/>
  <c r="V96" i="17"/>
  <c r="V97" i="17" a="1"/>
  <c r="V97" i="17" s="1"/>
  <c r="V98" i="17" a="1"/>
  <c r="V98" i="17" s="1"/>
  <c r="V99" i="17" a="1"/>
  <c r="V99" i="17" s="1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325" i="17" a="1"/>
  <c r="V325" i="17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326" i="17" a="1"/>
  <c r="V326" i="17" s="1"/>
  <c r="V366" i="17" a="1"/>
  <c r="V366" i="17" s="1"/>
  <c r="V7" i="17" a="1"/>
  <c r="V7" i="17"/>
  <c r="V47" i="17" a="1"/>
  <c r="V47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/>
  <c r="V117" i="17" a="1"/>
  <c r="V117" i="17" s="1"/>
  <c r="V327" i="17" a="1"/>
  <c r="V327" i="17" s="1"/>
  <c r="V367" i="17" a="1"/>
  <c r="V367" i="17" s="1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 s="1"/>
  <c r="V10" i="17" a="1"/>
  <c r="V10" i="17" s="1"/>
  <c r="V50" i="17" a="1"/>
  <c r="V50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/>
  <c r="V330" i="17" a="1"/>
  <c r="V330" i="17" s="1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 s="1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 s="1"/>
  <c r="V13" i="17" a="1"/>
  <c r="V13" i="17"/>
  <c r="V53" i="17" a="1"/>
  <c r="V53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 s="1"/>
  <c r="V154" i="17" a="1"/>
  <c r="V154" i="17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 s="1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 s="1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/>
  <c r="V58" i="17" a="1"/>
  <c r="V58" i="17" s="1"/>
  <c r="V178" i="17" a="1"/>
  <c r="V178" i="17" s="1"/>
  <c r="V179" i="17" a="1"/>
  <c r="V179" i="17" s="1"/>
  <c r="V180" i="17" a="1"/>
  <c r="V180" i="17" s="1"/>
  <c r="V181" i="17" a="1"/>
  <c r="V181" i="17" s="1"/>
  <c r="V182" i="17" a="1"/>
  <c r="V182" i="17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 s="1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 s="1"/>
  <c r="V340" i="17" a="1"/>
  <c r="V340" i="17" s="1"/>
  <c r="V380" i="17" a="1"/>
  <c r="V380" i="17" s="1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/>
  <c r="V342" i="17" a="1"/>
  <c r="V342" i="17" s="1"/>
  <c r="V382" i="17" a="1"/>
  <c r="V382" i="17" s="1"/>
  <c r="V23" i="17" a="1"/>
  <c r="V23" i="17" s="1"/>
  <c r="V63" i="17" a="1"/>
  <c r="V63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 s="1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 s="1"/>
  <c r="V27" i="17" a="1"/>
  <c r="V27" i="17" s="1"/>
  <c r="V67" i="17" a="1"/>
  <c r="V6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 s="1"/>
  <c r="V29" i="17" a="1"/>
  <c r="V29" i="17" s="1"/>
  <c r="V69" i="17" a="1"/>
  <c r="V69" i="17"/>
  <c r="V244" i="17" a="1"/>
  <c r="V244" i="17" s="1"/>
  <c r="V245" i="17" a="1"/>
  <c r="V245" i="17" s="1"/>
  <c r="V246" i="17" a="1"/>
  <c r="V246" i="17"/>
  <c r="V247" i="17" a="1"/>
  <c r="V247" i="17" s="1"/>
  <c r="V248" i="17" a="1"/>
  <c r="V248" i="17" s="1"/>
  <c r="V249" i="17" a="1"/>
  <c r="V249" i="17" s="1"/>
  <c r="V349" i="17" a="1"/>
  <c r="V349" i="17" s="1"/>
  <c r="V389" i="17" a="1"/>
  <c r="V389" i="17" s="1"/>
  <c r="V30" i="17" a="1"/>
  <c r="V30" i="17" s="1"/>
  <c r="V70" i="17" a="1"/>
  <c r="V70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 s="1"/>
  <c r="V31" i="17" a="1"/>
  <c r="V31" i="17" s="1"/>
  <c r="V71" i="17" a="1"/>
  <c r="V71" i="17" s="1"/>
  <c r="V256" i="17" a="1"/>
  <c r="V256" i="17" s="1"/>
  <c r="V257" i="17" a="1"/>
  <c r="V257" i="17" s="1"/>
  <c r="V258" i="17" a="1"/>
  <c r="V258" i="17"/>
  <c r="V259" i="17" a="1"/>
  <c r="V259" i="17" s="1"/>
  <c r="V260" i="17" a="1"/>
  <c r="V260" i="17" s="1"/>
  <c r="V261" i="17" a="1"/>
  <c r="V261" i="17" s="1"/>
  <c r="V351" i="17" a="1"/>
  <c r="V351" i="17" s="1"/>
  <c r="V391" i="17" a="1"/>
  <c r="V391" i="17" s="1"/>
  <c r="V32" i="17" a="1"/>
  <c r="V32" i="17"/>
  <c r="V72" i="17" a="1"/>
  <c r="V72" i="17" s="1"/>
  <c r="V262" i="17" a="1"/>
  <c r="V262" i="17" s="1"/>
  <c r="V263" i="17" a="1"/>
  <c r="V263" i="17" s="1"/>
  <c r="V264" i="17" a="1"/>
  <c r="V264" i="17"/>
  <c r="V265" i="17" a="1"/>
  <c r="V265" i="17" s="1"/>
  <c r="V266" i="17" a="1"/>
  <c r="V266" i="17" s="1"/>
  <c r="V267" i="17" a="1"/>
  <c r="V267" i="17" s="1"/>
  <c r="V352" i="17" a="1"/>
  <c r="V352" i="17" s="1"/>
  <c r="V392" i="17" a="1"/>
  <c r="V392" i="17" s="1"/>
  <c r="V33" i="17" a="1"/>
  <c r="V33" i="17" s="1"/>
  <c r="V73" i="17" a="1"/>
  <c r="V73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 s="1"/>
  <c r="V75" i="17" a="1"/>
  <c r="V75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 s="1"/>
  <c r="V355" i="17" a="1"/>
  <c r="V355" i="17" s="1"/>
  <c r="V395" i="17" a="1"/>
  <c r="V395" i="17" s="1"/>
  <c r="V36" i="17" a="1"/>
  <c r="V36" i="17" s="1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/>
  <c r="V78" i="17" a="1"/>
  <c r="V78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 s="1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361" i="17" a="1"/>
  <c r="V361" i="17" s="1"/>
  <c r="V401" i="17" a="1"/>
  <c r="V401" i="17" s="1"/>
  <c r="X2" i="17" a="1"/>
  <c r="X2" i="17" s="1"/>
  <c r="Y2" i="17" s="1"/>
  <c r="Q2" i="17" s="1"/>
  <c r="W2" i="17" s="1"/>
  <c r="X42" i="17" a="1"/>
  <c r="X42" i="17" s="1"/>
  <c r="Y42" i="17" s="1"/>
  <c r="Q42" i="17" s="1"/>
  <c r="W42" i="17" s="1"/>
  <c r="X82" i="17" a="1"/>
  <c r="X82" i="17" s="1"/>
  <c r="Y82" i="17" s="1"/>
  <c r="Q82" i="17" s="1"/>
  <c r="W82" i="17" s="1"/>
  <c r="X83" i="17" a="1"/>
  <c r="X83" i="17" s="1"/>
  <c r="X84" i="17" a="1"/>
  <c r="X84" i="17" s="1"/>
  <c r="X85" i="17" a="1"/>
  <c r="X85" i="17" s="1"/>
  <c r="X86" i="17" a="1"/>
  <c r="X86" i="17" s="1"/>
  <c r="X87" i="17" a="1"/>
  <c r="X87" i="17" s="1"/>
  <c r="X322" i="17" a="1"/>
  <c r="X322" i="17" s="1"/>
  <c r="X362" i="17" a="1"/>
  <c r="X362" i="17" s="1"/>
  <c r="Y362" i="17" s="1"/>
  <c r="Q362" i="17" s="1"/>
  <c r="W362" i="17" s="1"/>
  <c r="X3" i="17" a="1"/>
  <c r="X3" i="17" s="1"/>
  <c r="X43" i="17" a="1"/>
  <c r="X43" i="17" s="1"/>
  <c r="X88" i="17" a="1"/>
  <c r="X88" i="17" s="1"/>
  <c r="X89" i="17" a="1"/>
  <c r="X89" i="17" s="1"/>
  <c r="X90" i="17" a="1"/>
  <c r="X90" i="17" s="1"/>
  <c r="X91" i="17" a="1"/>
  <c r="X91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323" i="17" a="1"/>
  <c r="X323" i="17" s="1"/>
  <c r="X363" i="17" a="1"/>
  <c r="X363" i="17" s="1"/>
  <c r="X4" i="17" a="1"/>
  <c r="X4" i="17" s="1"/>
  <c r="X44" i="17" a="1"/>
  <c r="X44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X97" i="17" a="1"/>
  <c r="X97" i="17" s="1"/>
  <c r="X98" i="17" a="1"/>
  <c r="X98" i="17" s="1"/>
  <c r="X99" i="17" a="1"/>
  <c r="X99" i="17" s="1"/>
  <c r="X324" i="17" a="1"/>
  <c r="X324" i="17" s="1"/>
  <c r="X364" i="17" a="1"/>
  <c r="X364" i="17" s="1"/>
  <c r="X5" i="17" a="1"/>
  <c r="X5" i="17" s="1"/>
  <c r="Y5" i="17" s="1"/>
  <c r="Q5" i="17" s="1"/>
  <c r="W5" i="17" s="1"/>
  <c r="X45" i="17" a="1"/>
  <c r="X45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X104" i="17" a="1"/>
  <c r="X104" i="17" s="1"/>
  <c r="X105" i="17" a="1"/>
  <c r="X105" i="17" s="1"/>
  <c r="X325" i="17" a="1"/>
  <c r="X325" i="17" s="1"/>
  <c r="X365" i="17" a="1"/>
  <c r="X365" i="17" s="1"/>
  <c r="X6" i="17" a="1"/>
  <c r="X6" i="17" s="1"/>
  <c r="X46" i="17" a="1"/>
  <c r="X46" i="17" s="1"/>
  <c r="Y46" i="17" s="1"/>
  <c r="X106" i="17" a="1"/>
  <c r="X106" i="17" s="1"/>
  <c r="X107" i="17" a="1"/>
  <c r="X107" i="17" s="1"/>
  <c r="X108" i="17" a="1"/>
  <c r="X108" i="17" s="1"/>
  <c r="X109" i="17" a="1"/>
  <c r="X109" i="17" s="1"/>
  <c r="X110" i="17" a="1"/>
  <c r="X110" i="17" s="1"/>
  <c r="X111" i="17" a="1"/>
  <c r="X111" i="17" s="1"/>
  <c r="X326" i="17" a="1"/>
  <c r="X326" i="17"/>
  <c r="X366" i="17" a="1"/>
  <c r="X366" i="17" s="1"/>
  <c r="Y366" i="17" s="1"/>
  <c r="Q366" i="17" s="1"/>
  <c r="W366" i="17" s="1"/>
  <c r="X7" i="17" a="1"/>
  <c r="X7" i="17" s="1"/>
  <c r="X47" i="17" a="1"/>
  <c r="X47" i="17" s="1"/>
  <c r="X112" i="17" a="1"/>
  <c r="X112" i="17" s="1"/>
  <c r="X113" i="17" a="1"/>
  <c r="X113" i="17" s="1"/>
  <c r="X114" i="17" a="1"/>
  <c r="X114" i="17" s="1"/>
  <c r="X115" i="17" a="1"/>
  <c r="X115" i="17" s="1"/>
  <c r="X116" i="17" a="1"/>
  <c r="X116" i="17" s="1"/>
  <c r="X117" i="17" a="1"/>
  <c r="X117" i="17" s="1"/>
  <c r="Y117" i="17" s="1"/>
  <c r="X327" i="17" a="1"/>
  <c r="X327" i="17" s="1"/>
  <c r="X367" i="17" a="1"/>
  <c r="X367" i="17" s="1"/>
  <c r="Y367" i="17" s="1"/>
  <c r="Q367" i="17" s="1"/>
  <c r="W367" i="17" s="1"/>
  <c r="X8" i="17" a="1"/>
  <c r="X8" i="17" s="1"/>
  <c r="X48" i="17" a="1"/>
  <c r="X48" i="17" s="1"/>
  <c r="X118" i="17" a="1"/>
  <c r="X118" i="17" s="1"/>
  <c r="X119" i="17" a="1"/>
  <c r="X119" i="17" s="1"/>
  <c r="X120" i="17" a="1"/>
  <c r="X120" i="17" s="1"/>
  <c r="X121" i="17" a="1"/>
  <c r="X121" i="17" s="1"/>
  <c r="Y121" i="17" s="1"/>
  <c r="Q121" i="17" s="1"/>
  <c r="W121" i="17" s="1"/>
  <c r="X122" i="17" a="1"/>
  <c r="X122" i="17"/>
  <c r="Y122" i="17" s="1"/>
  <c r="Q122" i="17" s="1"/>
  <c r="W122" i="17" s="1"/>
  <c r="X123" i="17" a="1"/>
  <c r="X123" i="17" s="1"/>
  <c r="X328" i="17" a="1"/>
  <c r="X328" i="17" s="1"/>
  <c r="X368" i="17" a="1"/>
  <c r="X368" i="17" s="1"/>
  <c r="X9" i="17" a="1"/>
  <c r="X9" i="17" s="1"/>
  <c r="X49" i="17" a="1"/>
  <c r="X49" i="17" s="1"/>
  <c r="X124" i="17" a="1"/>
  <c r="X124" i="17" s="1"/>
  <c r="X125" i="17" a="1"/>
  <c r="X125" i="17" s="1"/>
  <c r="Y125" i="17" s="1"/>
  <c r="Q125" i="17" s="1"/>
  <c r="W125" i="17" s="1"/>
  <c r="X126" i="17" a="1"/>
  <c r="X126" i="17" s="1"/>
  <c r="X127" i="17" a="1"/>
  <c r="X127" i="17" s="1"/>
  <c r="X128" i="17" a="1"/>
  <c r="X128" i="17" s="1"/>
  <c r="X129" i="17" a="1"/>
  <c r="X129" i="17" s="1"/>
  <c r="X329" i="17" a="1"/>
  <c r="X329" i="17" s="1"/>
  <c r="X369" i="17" a="1"/>
  <c r="X369" i="17" s="1"/>
  <c r="X10" i="17" a="1"/>
  <c r="X10" i="17" s="1"/>
  <c r="Y10" i="17" s="1"/>
  <c r="Q10" i="17" s="1"/>
  <c r="W10" i="17" s="1"/>
  <c r="X50" i="17" a="1"/>
  <c r="X50" i="17" s="1"/>
  <c r="Y50" i="17" s="1"/>
  <c r="Q50" i="17" s="1"/>
  <c r="W50" i="17" s="1"/>
  <c r="X130" i="17" a="1"/>
  <c r="X130" i="17" s="1"/>
  <c r="X131" i="17" a="1"/>
  <c r="X131" i="17" s="1"/>
  <c r="X132" i="17" a="1"/>
  <c r="X132" i="17" s="1"/>
  <c r="X133" i="17" a="1"/>
  <c r="X133" i="17" s="1"/>
  <c r="X134" i="17" a="1"/>
  <c r="X134" i="17" s="1"/>
  <c r="Y134" i="17" s="1"/>
  <c r="Q134" i="17" s="1"/>
  <c r="W134" i="17" s="1"/>
  <c r="X135" i="17" a="1"/>
  <c r="X135" i="17" s="1"/>
  <c r="X330" i="17" a="1"/>
  <c r="X330" i="17" s="1"/>
  <c r="Y330" i="17" s="1"/>
  <c r="Q330" i="17" s="1"/>
  <c r="W330" i="17" s="1"/>
  <c r="X370" i="17" a="1"/>
  <c r="X370" i="17" s="1"/>
  <c r="Y370" i="17" s="1"/>
  <c r="Q370" i="17" s="1"/>
  <c r="W370" i="17" s="1"/>
  <c r="X11" i="17" a="1"/>
  <c r="X11" i="17" s="1"/>
  <c r="X51" i="17" a="1"/>
  <c r="X51" i="17" s="1"/>
  <c r="X136" i="17" a="1"/>
  <c r="X136" i="17" s="1"/>
  <c r="X137" i="17" a="1"/>
  <c r="X137" i="17" s="1"/>
  <c r="X138" i="17" a="1"/>
  <c r="X138" i="17" s="1"/>
  <c r="X139" i="17" a="1"/>
  <c r="X139" i="17" s="1"/>
  <c r="X140" i="17" a="1"/>
  <c r="X140" i="17" s="1"/>
  <c r="Y140" i="17" s="1"/>
  <c r="Q140" i="17" s="1"/>
  <c r="W140" i="17" s="1"/>
  <c r="X141" i="17" a="1"/>
  <c r="X141" i="17" s="1"/>
  <c r="X331" i="17" a="1"/>
  <c r="X331" i="17"/>
  <c r="X371" i="17" a="1"/>
  <c r="X371" i="17" s="1"/>
  <c r="X12" i="17" a="1"/>
  <c r="X12" i="17" s="1"/>
  <c r="X52" i="17" a="1"/>
  <c r="X52" i="17" s="1"/>
  <c r="X142" i="17" a="1"/>
  <c r="X142" i="17" s="1"/>
  <c r="Y142" i="17" s="1"/>
  <c r="Q142" i="17" s="1"/>
  <c r="W142" i="17" s="1"/>
  <c r="X143" i="17" a="1"/>
  <c r="X143" i="17" s="1"/>
  <c r="X144" i="17" a="1"/>
  <c r="X144" i="17" s="1"/>
  <c r="X145" i="17" a="1"/>
  <c r="X145" i="17" s="1"/>
  <c r="Y145" i="17" s="1"/>
  <c r="Q145" i="17" s="1"/>
  <c r="W145" i="17" s="1"/>
  <c r="X146" i="17" a="1"/>
  <c r="X146" i="17" s="1"/>
  <c r="Y146" i="17" s="1"/>
  <c r="Q146" i="17" s="1"/>
  <c r="W146" i="17" s="1"/>
  <c r="X147" i="17" a="1"/>
  <c r="X147" i="17" s="1"/>
  <c r="X332" i="17" a="1"/>
  <c r="X332" i="17" s="1"/>
  <c r="Y332" i="17" s="1"/>
  <c r="Q332" i="17" s="1"/>
  <c r="W332" i="17" s="1"/>
  <c r="X372" i="17" a="1"/>
  <c r="X372" i="17" s="1"/>
  <c r="X13" i="17" a="1"/>
  <c r="X13" i="17" s="1"/>
  <c r="X53" i="17" a="1"/>
  <c r="X53" i="17" s="1"/>
  <c r="X148" i="17" a="1"/>
  <c r="X148" i="17" s="1"/>
  <c r="X149" i="17" a="1"/>
  <c r="X149" i="17" s="1"/>
  <c r="Y149" i="17" s="1"/>
  <c r="X150" i="17" a="1"/>
  <c r="X150" i="17" s="1"/>
  <c r="X151" i="17" a="1"/>
  <c r="X151" i="17" s="1"/>
  <c r="X152" i="17" a="1"/>
  <c r="X152" i="17" s="1"/>
  <c r="X153" i="17" a="1"/>
  <c r="X153" i="17" s="1"/>
  <c r="X333" i="17" a="1"/>
  <c r="X333" i="17" s="1"/>
  <c r="Y333" i="17" s="1"/>
  <c r="Q333" i="17" s="1"/>
  <c r="W333" i="17" s="1"/>
  <c r="X373" i="17" a="1"/>
  <c r="X373" i="17" s="1"/>
  <c r="X14" i="17" a="1"/>
  <c r="X14" i="17" s="1"/>
  <c r="Y14" i="17" s="1"/>
  <c r="Q14" i="17" s="1"/>
  <c r="W14" i="17" s="1"/>
  <c r="X54" i="17" a="1"/>
  <c r="X54" i="17" s="1"/>
  <c r="Y54" i="17" s="1"/>
  <c r="Q54" i="17" s="1"/>
  <c r="W54" i="17" s="1"/>
  <c r="X154" i="17" a="1"/>
  <c r="X154" i="17" s="1"/>
  <c r="X155" i="17" a="1"/>
  <c r="X155" i="17" s="1"/>
  <c r="X156" i="17" a="1"/>
  <c r="X156" i="17" s="1"/>
  <c r="X157" i="17" a="1"/>
  <c r="X157" i="17" s="1"/>
  <c r="X158" i="17" a="1"/>
  <c r="X158" i="17" s="1"/>
  <c r="Y158" i="17" s="1"/>
  <c r="Q158" i="17" s="1"/>
  <c r="W158" i="17" s="1"/>
  <c r="X159" i="17" a="1"/>
  <c r="X159" i="17" s="1"/>
  <c r="X334" i="17" a="1"/>
  <c r="X334" i="17" s="1"/>
  <c r="X374" i="17" a="1"/>
  <c r="X374" i="17"/>
  <c r="X15" i="17" a="1"/>
  <c r="X15" i="17" s="1"/>
  <c r="Y15" i="17" s="1"/>
  <c r="Q15" i="17" s="1"/>
  <c r="W15" i="17" s="1"/>
  <c r="X55" i="17" a="1"/>
  <c r="X55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Y162" i="17" s="1"/>
  <c r="Q162" i="17" s="1"/>
  <c r="W162" i="17" s="1"/>
  <c r="X163" i="17" a="1"/>
  <c r="X163" i="17" s="1"/>
  <c r="X164" i="17" a="1"/>
  <c r="X164" i="17" s="1"/>
  <c r="X165" i="17" a="1"/>
  <c r="X165" i="17" s="1"/>
  <c r="Y165" i="17" s="1"/>
  <c r="Q165" i="17" s="1"/>
  <c r="W165" i="17" s="1"/>
  <c r="X335" i="17" a="1"/>
  <c r="X335" i="17" s="1"/>
  <c r="Y335" i="17" s="1"/>
  <c r="Q335" i="17" s="1"/>
  <c r="W335" i="17" s="1"/>
  <c r="X375" i="17" a="1"/>
  <c r="X375" i="17" s="1"/>
  <c r="X16" i="17" a="1"/>
  <c r="X16" i="17" s="1"/>
  <c r="Y16" i="17" s="1"/>
  <c r="Q16" i="17" s="1"/>
  <c r="W16" i="17" s="1"/>
  <c r="X56" i="17" a="1"/>
  <c r="X56" i="17" s="1"/>
  <c r="X166" i="17" a="1"/>
  <c r="X166" i="17" s="1"/>
  <c r="Y166" i="17" s="1"/>
  <c r="Q166" i="17" s="1"/>
  <c r="W166" i="17" s="1"/>
  <c r="X167" i="17" a="1"/>
  <c r="X167" i="17" s="1"/>
  <c r="X168" i="17" a="1"/>
  <c r="X168" i="17" s="1"/>
  <c r="X169" i="17" a="1"/>
  <c r="X169" i="17" s="1"/>
  <c r="Y169" i="17" s="1"/>
  <c r="Q169" i="17" s="1"/>
  <c r="W169" i="17" s="1"/>
  <c r="X170" i="17" a="1"/>
  <c r="X170" i="17" s="1"/>
  <c r="Y170" i="17" s="1"/>
  <c r="X171" i="17" a="1"/>
  <c r="X171" i="17" s="1"/>
  <c r="X336" i="17" a="1"/>
  <c r="X336" i="17" s="1"/>
  <c r="X376" i="17" a="1"/>
  <c r="X376" i="17" s="1"/>
  <c r="X17" i="17" a="1"/>
  <c r="X17" i="17" s="1"/>
  <c r="Y17" i="17" s="1"/>
  <c r="Q17" i="17" s="1"/>
  <c r="W17" i="17" s="1"/>
  <c r="X57" i="17" a="1"/>
  <c r="X57" i="17" s="1"/>
  <c r="X172" i="17" a="1"/>
  <c r="X172" i="17" s="1"/>
  <c r="X173" i="17" a="1"/>
  <c r="X173" i="17" s="1"/>
  <c r="Y173" i="17" s="1"/>
  <c r="Q173" i="17" s="1"/>
  <c r="W173" i="17" s="1"/>
  <c r="X174" i="17" a="1"/>
  <c r="X174" i="17" s="1"/>
  <c r="Y174" i="17" s="1"/>
  <c r="Q174" i="17" s="1"/>
  <c r="W174" i="17" s="1"/>
  <c r="X175" i="17" a="1"/>
  <c r="X175" i="17" s="1"/>
  <c r="X176" i="17" a="1"/>
  <c r="X176" i="17" s="1"/>
  <c r="X177" i="17" a="1"/>
  <c r="X177" i="17" s="1"/>
  <c r="X337" i="17" a="1"/>
  <c r="X337" i="17" s="1"/>
  <c r="Y337" i="17" s="1"/>
  <c r="Q337" i="17" s="1"/>
  <c r="W337" i="17" s="1"/>
  <c r="X377" i="17" a="1"/>
  <c r="X377" i="17" s="1"/>
  <c r="X18" i="17" a="1"/>
  <c r="X18" i="17" s="1"/>
  <c r="X58" i="17" a="1"/>
  <c r="X58" i="17" s="1"/>
  <c r="Y58" i="17" s="1"/>
  <c r="Q58" i="17" s="1"/>
  <c r="W58" i="17" s="1"/>
  <c r="X178" i="17" a="1"/>
  <c r="X178" i="17" s="1"/>
  <c r="X179" i="17" a="1"/>
  <c r="X179" i="17" s="1"/>
  <c r="X180" i="17" a="1"/>
  <c r="X180" i="17" s="1"/>
  <c r="Y180" i="17" s="1"/>
  <c r="Q180" i="17" s="1"/>
  <c r="W180" i="17" s="1"/>
  <c r="X181" i="17" a="1"/>
  <c r="X181" i="17" s="1"/>
  <c r="X182" i="17" a="1"/>
  <c r="X182" i="17" s="1"/>
  <c r="Y182" i="17" s="1"/>
  <c r="Q182" i="17" s="1"/>
  <c r="W182" i="17" s="1"/>
  <c r="X183" i="17" a="1"/>
  <c r="X183" i="17" s="1"/>
  <c r="X338" i="17" a="1"/>
  <c r="X338" i="17" s="1"/>
  <c r="X378" i="17" a="1"/>
  <c r="X378" i="17" s="1"/>
  <c r="Y378" i="17" s="1"/>
  <c r="Q378" i="17" s="1"/>
  <c r="W378" i="17" s="1"/>
  <c r="X19" i="17" a="1"/>
  <c r="X19" i="17" s="1"/>
  <c r="Y19" i="17" s="1"/>
  <c r="Q19" i="17" s="1"/>
  <c r="W19" i="17" s="1"/>
  <c r="X59" i="17" a="1"/>
  <c r="X59" i="17" s="1"/>
  <c r="X184" i="17" a="1"/>
  <c r="X184" i="17" s="1"/>
  <c r="X185" i="17" a="1"/>
  <c r="X185" i="17" s="1"/>
  <c r="X186" i="17" a="1"/>
  <c r="X186" i="17" s="1"/>
  <c r="Y186" i="17" s="1"/>
  <c r="X187" i="17" a="1"/>
  <c r="X187" i="17" s="1"/>
  <c r="X188" i="17" a="1"/>
  <c r="X188" i="17" s="1"/>
  <c r="X189" i="17" a="1"/>
  <c r="X189" i="17" s="1"/>
  <c r="Y189" i="17" s="1"/>
  <c r="Q189" i="17" s="1"/>
  <c r="W189" i="17" s="1"/>
  <c r="X339" i="17" a="1"/>
  <c r="X339" i="17" s="1"/>
  <c r="Y339" i="17" s="1"/>
  <c r="Q339" i="17" s="1"/>
  <c r="W339" i="17" s="1"/>
  <c r="X379" i="17" a="1"/>
  <c r="X379" i="17" s="1"/>
  <c r="X20" i="17" a="1"/>
  <c r="X20" i="17" s="1"/>
  <c r="Y20" i="17" s="1"/>
  <c r="Q20" i="17" s="1"/>
  <c r="W20" i="17" s="1"/>
  <c r="X60" i="17" a="1"/>
  <c r="X60" i="17" s="1"/>
  <c r="X190" i="17" a="1"/>
  <c r="X190" i="17" s="1"/>
  <c r="Y190" i="17" s="1"/>
  <c r="X191" i="17" a="1"/>
  <c r="X191" i="17" s="1"/>
  <c r="X192" i="17" a="1"/>
  <c r="X192" i="17" s="1"/>
  <c r="X193" i="17" a="1"/>
  <c r="X193" i="17" s="1"/>
  <c r="X194" i="17" a="1"/>
  <c r="X194" i="17" s="1"/>
  <c r="Y194" i="17" s="1"/>
  <c r="Q194" i="17" s="1"/>
  <c r="W194" i="17" s="1"/>
  <c r="X195" i="17" a="1"/>
  <c r="X195" i="17" s="1"/>
  <c r="Y195" i="17" s="1"/>
  <c r="Q195" i="17" s="1"/>
  <c r="W195" i="17" s="1"/>
  <c r="X340" i="17" a="1"/>
  <c r="X340" i="17" s="1"/>
  <c r="X380" i="17" a="1"/>
  <c r="X380" i="17" s="1"/>
  <c r="X21" i="17" a="1"/>
  <c r="X21" i="17" s="1"/>
  <c r="Y21" i="17" s="1"/>
  <c r="Q21" i="17" s="1"/>
  <c r="W21" i="17" s="1"/>
  <c r="X61" i="17" a="1"/>
  <c r="X61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X199" i="17" a="1"/>
  <c r="X199" i="17" s="1"/>
  <c r="X200" i="17" a="1"/>
  <c r="X200" i="17" s="1"/>
  <c r="X201" i="17" a="1"/>
  <c r="X201" i="17" s="1"/>
  <c r="X341" i="17" a="1"/>
  <c r="X341" i="17" s="1"/>
  <c r="X381" i="17" a="1"/>
  <c r="X381" i="17" s="1"/>
  <c r="X22" i="17" a="1"/>
  <c r="X22" i="17" s="1"/>
  <c r="X62" i="17" a="1"/>
  <c r="X62" i="17" s="1"/>
  <c r="X202" i="17" a="1"/>
  <c r="X202" i="17" s="1"/>
  <c r="Y202" i="17" s="1"/>
  <c r="Q202" i="17" s="1"/>
  <c r="W202" i="17" s="1"/>
  <c r="X203" i="17" a="1"/>
  <c r="X203" i="17" s="1"/>
  <c r="Y203" i="17" s="1"/>
  <c r="Q203" i="17" s="1"/>
  <c r="W203" i="17" s="1"/>
  <c r="X204" i="17" a="1"/>
  <c r="X204" i="17" s="1"/>
  <c r="X205" i="17" a="1"/>
  <c r="X205" i="17" s="1"/>
  <c r="X206" i="17" a="1"/>
  <c r="X206" i="17" s="1"/>
  <c r="Y206" i="17" s="1"/>
  <c r="Q206" i="17" s="1"/>
  <c r="W206" i="17" s="1"/>
  <c r="X207" i="17" a="1"/>
  <c r="X207" i="17" s="1"/>
  <c r="X342" i="17" a="1"/>
  <c r="X342" i="17" s="1"/>
  <c r="X382" i="17" a="1"/>
  <c r="X382" i="17" s="1"/>
  <c r="Y382" i="17" s="1"/>
  <c r="Q382" i="17" s="1"/>
  <c r="W382" i="17" s="1"/>
  <c r="X23" i="17" a="1"/>
  <c r="X23" i="17"/>
  <c r="X63" i="17" a="1"/>
  <c r="X63" i="17" s="1"/>
  <c r="X208" i="17" a="1"/>
  <c r="X208" i="17" s="1"/>
  <c r="X209" i="17" a="1"/>
  <c r="X209" i="17" s="1"/>
  <c r="X210" i="17" a="1"/>
  <c r="X210" i="17" s="1"/>
  <c r="Y210" i="17" s="1"/>
  <c r="Q210" i="17" s="1"/>
  <c r="W210" i="17" s="1"/>
  <c r="X211" i="17" a="1"/>
  <c r="X211" i="17" s="1"/>
  <c r="X212" i="17" a="1"/>
  <c r="X212" i="17" s="1"/>
  <c r="X213" i="17" a="1"/>
  <c r="X213" i="17" s="1"/>
  <c r="Y213" i="17" s="1"/>
  <c r="Q213" i="17" s="1"/>
  <c r="W213" i="17" s="1"/>
  <c r="X343" i="17" a="1"/>
  <c r="X343" i="17" s="1"/>
  <c r="Y343" i="17" s="1"/>
  <c r="Q343" i="17" s="1"/>
  <c r="W343" i="17" s="1"/>
  <c r="X383" i="17" a="1"/>
  <c r="X383" i="17" s="1"/>
  <c r="X24" i="17" a="1"/>
  <c r="X24" i="17" s="1"/>
  <c r="X64" i="17" a="1"/>
  <c r="X64" i="17" s="1"/>
  <c r="X214" i="17" a="1"/>
  <c r="X214" i="17" s="1"/>
  <c r="Y214" i="17" s="1"/>
  <c r="X215" i="17" a="1"/>
  <c r="X215" i="17" s="1"/>
  <c r="X216" i="17" a="1"/>
  <c r="X216" i="17" s="1"/>
  <c r="X217" i="17" a="1"/>
  <c r="X217" i="17" s="1"/>
  <c r="Y217" i="17" s="1"/>
  <c r="Q217" i="17" s="1"/>
  <c r="W217" i="17" s="1"/>
  <c r="X218" i="17" a="1"/>
  <c r="X218" i="17" s="1"/>
  <c r="X219" i="17" a="1"/>
  <c r="X219" i="17" s="1"/>
  <c r="X344" i="17" a="1"/>
  <c r="X344" i="17" s="1"/>
  <c r="X384" i="17" a="1"/>
  <c r="X384" i="17" s="1"/>
  <c r="X25" i="17" a="1"/>
  <c r="X25" i="17" s="1"/>
  <c r="Y25" i="17" s="1"/>
  <c r="Q25" i="17" s="1"/>
  <c r="W25" i="17" s="1"/>
  <c r="X65" i="17" a="1"/>
  <c r="X65" i="17" s="1"/>
  <c r="X220" i="17" a="1"/>
  <c r="X220" i="17" s="1"/>
  <c r="X221" i="17" a="1"/>
  <c r="X221" i="17" s="1"/>
  <c r="Y221" i="17" s="1"/>
  <c r="Q221" i="17" s="1"/>
  <c r="W221" i="17" s="1"/>
  <c r="X222" i="17" a="1"/>
  <c r="X222" i="17" s="1"/>
  <c r="Y222" i="17" s="1"/>
  <c r="Q222" i="17" s="1"/>
  <c r="W222" i="17" s="1"/>
  <c r="X223" i="17" a="1"/>
  <c r="X223" i="17" s="1"/>
  <c r="X224" i="17" a="1"/>
  <c r="X224" i="17" s="1"/>
  <c r="X225" i="17" a="1"/>
  <c r="X225" i="17" s="1"/>
  <c r="X345" i="17" a="1"/>
  <c r="X345" i="17" s="1"/>
  <c r="X385" i="17" a="1"/>
  <c r="X385" i="17" s="1"/>
  <c r="X26" i="17" a="1"/>
  <c r="X26" i="17" s="1"/>
  <c r="X66" i="17" a="1"/>
  <c r="X66" i="17" s="1"/>
  <c r="Y66" i="17" s="1"/>
  <c r="Q66" i="17" s="1"/>
  <c r="W66" i="17" s="1"/>
  <c r="X226" i="17" a="1"/>
  <c r="X226" i="17" s="1"/>
  <c r="X227" i="17" a="1"/>
  <c r="X227" i="17" s="1"/>
  <c r="X228" i="17" a="1"/>
  <c r="X228" i="17" s="1"/>
  <c r="X229" i="17" a="1"/>
  <c r="X229" i="17" s="1"/>
  <c r="X230" i="17" a="1"/>
  <c r="X230" i="17" s="1"/>
  <c r="Y230" i="17" s="1"/>
  <c r="X231" i="17" a="1"/>
  <c r="X231" i="17" s="1"/>
  <c r="X346" i="17" a="1"/>
  <c r="X346" i="17" s="1"/>
  <c r="X386" i="17" a="1"/>
  <c r="X386" i="17" s="1"/>
  <c r="Y386" i="17" s="1"/>
  <c r="Q386" i="17" s="1"/>
  <c r="W386" i="17" s="1"/>
  <c r="X27" i="17" a="1"/>
  <c r="X27" i="17" s="1"/>
  <c r="X67" i="17" a="1"/>
  <c r="X67" i="17" s="1"/>
  <c r="X232" i="17" a="1"/>
  <c r="X232" i="17" s="1"/>
  <c r="X233" i="17" a="1"/>
  <c r="X233" i="17" s="1"/>
  <c r="Y233" i="17" s="1"/>
  <c r="Q233" i="17" s="1"/>
  <c r="W233" i="17" s="1"/>
  <c r="X234" i="17" a="1"/>
  <c r="X234" i="17" s="1"/>
  <c r="Y234" i="17" s="1"/>
  <c r="Q234" i="17" s="1"/>
  <c r="W234" i="17" s="1"/>
  <c r="X235" i="17" a="1"/>
  <c r="X235" i="17" s="1"/>
  <c r="X236" i="17" a="1"/>
  <c r="X236" i="17" s="1"/>
  <c r="X237" i="17" a="1"/>
  <c r="X237" i="17" s="1"/>
  <c r="Y237" i="17" s="1"/>
  <c r="X347" i="17" a="1"/>
  <c r="X347" i="17" s="1"/>
  <c r="X387" i="17" a="1"/>
  <c r="X387" i="17" s="1"/>
  <c r="X28" i="17" a="1"/>
  <c r="X28" i="17" s="1"/>
  <c r="X68" i="17" a="1"/>
  <c r="X68" i="17" s="1"/>
  <c r="X238" i="17" a="1"/>
  <c r="X238" i="17" s="1"/>
  <c r="Y238" i="17" s="1"/>
  <c r="Q238" i="17" s="1"/>
  <c r="W238" i="17" s="1"/>
  <c r="X239" i="17" a="1"/>
  <c r="X239" i="17" s="1"/>
  <c r="X240" i="17" a="1"/>
  <c r="X240" i="17" s="1"/>
  <c r="Y240" i="17" s="1"/>
  <c r="Q240" i="17" s="1"/>
  <c r="W240" i="17" s="1"/>
  <c r="X241" i="17" a="1"/>
  <c r="X241" i="17" s="1"/>
  <c r="Y241" i="17" s="1"/>
  <c r="Q241" i="17" s="1"/>
  <c r="W241" i="17" s="1"/>
  <c r="X242" i="17" a="1"/>
  <c r="X242" i="17" s="1"/>
  <c r="X243" i="17" a="1"/>
  <c r="X243" i="17" s="1"/>
  <c r="X348" i="17" a="1"/>
  <c r="X348" i="17" s="1"/>
  <c r="X388" i="17" a="1"/>
  <c r="X388" i="17" s="1"/>
  <c r="X29" i="17" a="1"/>
  <c r="X29" i="17" s="1"/>
  <c r="X69" i="17" a="1"/>
  <c r="X69" i="17" s="1"/>
  <c r="X244" i="17" a="1"/>
  <c r="X244" i="17" s="1"/>
  <c r="X245" i="17" a="1"/>
  <c r="X245" i="17" s="1"/>
  <c r="Y245" i="17" s="1"/>
  <c r="Q245" i="17" s="1"/>
  <c r="W245" i="17" s="1"/>
  <c r="X246" i="17" a="1"/>
  <c r="X246" i="17" s="1"/>
  <c r="X247" i="17" a="1"/>
  <c r="X247" i="17" s="1"/>
  <c r="X248" i="17" a="1"/>
  <c r="X248" i="17" s="1"/>
  <c r="X249" i="17" a="1"/>
  <c r="X249" i="17" s="1"/>
  <c r="X349" i="17" a="1"/>
  <c r="X349" i="17" s="1"/>
  <c r="Y349" i="17" s="1"/>
  <c r="Q349" i="17" s="1"/>
  <c r="W349" i="17" s="1"/>
  <c r="X389" i="17" a="1"/>
  <c r="X389" i="17" s="1"/>
  <c r="X30" i="17" a="1"/>
  <c r="X30" i="17" s="1"/>
  <c r="X70" i="17" a="1"/>
  <c r="X70" i="17" s="1"/>
  <c r="X250" i="17" a="1"/>
  <c r="X250" i="17"/>
  <c r="X251" i="17" a="1"/>
  <c r="X251" i="17" s="1"/>
  <c r="X252" i="17" a="1"/>
  <c r="X252" i="17" s="1"/>
  <c r="X253" i="17" a="1"/>
  <c r="X253" i="17" s="1"/>
  <c r="X254" i="17" a="1"/>
  <c r="X254" i="17" s="1"/>
  <c r="Y254" i="17" s="1"/>
  <c r="Q254" i="17" s="1"/>
  <c r="W254" i="17" s="1"/>
  <c r="X255" i="17" a="1"/>
  <c r="X255" i="17" s="1"/>
  <c r="X350" i="17" a="1"/>
  <c r="X350" i="17" s="1"/>
  <c r="X390" i="17" a="1"/>
  <c r="X390" i="17" s="1"/>
  <c r="Y390" i="17" s="1"/>
  <c r="Q390" i="17" s="1"/>
  <c r="W390" i="17" s="1"/>
  <c r="X31" i="17" a="1"/>
  <c r="X31" i="17"/>
  <c r="X71" i="17" a="1"/>
  <c r="X71" i="17" s="1"/>
  <c r="X256" i="17" a="1"/>
  <c r="X256" i="17" s="1"/>
  <c r="X257" i="17" a="1"/>
  <c r="X257" i="17" s="1"/>
  <c r="X258" i="17" a="1"/>
  <c r="X258" i="17" s="1"/>
  <c r="Y258" i="17" s="1"/>
  <c r="Q258" i="17" s="1"/>
  <c r="W258" i="17" s="1"/>
  <c r="X259" i="17" a="1"/>
  <c r="X259" i="17" s="1"/>
  <c r="X260" i="17" a="1"/>
  <c r="X260" i="17" s="1"/>
  <c r="X261" i="17" a="1"/>
  <c r="X261" i="17" s="1"/>
  <c r="X351" i="17" a="1"/>
  <c r="X351" i="17" s="1"/>
  <c r="Y351" i="17" s="1"/>
  <c r="Q351" i="17" s="1"/>
  <c r="W351" i="17" s="1"/>
  <c r="X391" i="17" a="1"/>
  <c r="X391" i="17" s="1"/>
  <c r="X32" i="17" a="1"/>
  <c r="X32" i="17" s="1"/>
  <c r="X72" i="17" a="1"/>
  <c r="X72" i="17" s="1"/>
  <c r="Y72" i="17" s="1"/>
  <c r="Q72" i="17" s="1"/>
  <c r="W72" i="17" s="1"/>
  <c r="X262" i="17" a="1"/>
  <c r="X262" i="17" s="1"/>
  <c r="Y262" i="17" s="1"/>
  <c r="X263" i="17" a="1"/>
  <c r="X263" i="17" s="1"/>
  <c r="X264" i="17" a="1"/>
  <c r="X264" i="17" s="1"/>
  <c r="X265" i="17" a="1"/>
  <c r="X265" i="17" s="1"/>
  <c r="Y265" i="17" s="1"/>
  <c r="X266" i="17" a="1"/>
  <c r="X266" i="17" s="1"/>
  <c r="X267" i="17" a="1"/>
  <c r="X267" i="17" s="1"/>
  <c r="Y267" i="17" s="1"/>
  <c r="Q267" i="17" s="1"/>
  <c r="W267" i="17" s="1"/>
  <c r="X352" i="17" a="1"/>
  <c r="X352" i="17" s="1"/>
  <c r="X392" i="17" a="1"/>
  <c r="X392" i="17" s="1"/>
  <c r="X33" i="17" a="1"/>
  <c r="X33" i="17" s="1"/>
  <c r="Y33" i="17" s="1"/>
  <c r="Q33" i="17" s="1"/>
  <c r="W33" i="17" s="1"/>
  <c r="X73" i="17" a="1"/>
  <c r="X73" i="17" s="1"/>
  <c r="X268" i="17" a="1"/>
  <c r="X268" i="17" s="1"/>
  <c r="X269" i="17" a="1"/>
  <c r="X269" i="17" s="1"/>
  <c r="Y269" i="17" s="1"/>
  <c r="X270" i="17" a="1"/>
  <c r="X270" i="17" s="1"/>
  <c r="X271" i="17" a="1"/>
  <c r="X271" i="17" s="1"/>
  <c r="X272" i="17" a="1"/>
  <c r="X272" i="17" s="1"/>
  <c r="X273" i="17" a="1"/>
  <c r="X273" i="17" s="1"/>
  <c r="X353" i="17" a="1"/>
  <c r="X353" i="17" s="1"/>
  <c r="X393" i="17" a="1"/>
  <c r="X393" i="17" s="1"/>
  <c r="X34" i="17" a="1"/>
  <c r="X34" i="17" s="1"/>
  <c r="X74" i="17" a="1"/>
  <c r="X74" i="17" s="1"/>
  <c r="Y74" i="17" s="1"/>
  <c r="Q74" i="17" s="1"/>
  <c r="W74" i="17" s="1"/>
  <c r="X274" i="17" a="1"/>
  <c r="X274" i="17" s="1"/>
  <c r="X275" i="17" a="1"/>
  <c r="X275" i="17" s="1"/>
  <c r="X276" i="17" a="1"/>
  <c r="X276" i="17" s="1"/>
  <c r="X277" i="17" a="1"/>
  <c r="X277" i="17" s="1"/>
  <c r="X278" i="17" a="1"/>
  <c r="X278" i="17" s="1"/>
  <c r="Y278" i="17" s="1"/>
  <c r="Q278" i="17" s="1"/>
  <c r="W278" i="17" s="1"/>
  <c r="X279" i="17" a="1"/>
  <c r="X279" i="17" s="1"/>
  <c r="X354" i="17" a="1"/>
  <c r="X354" i="17" s="1"/>
  <c r="X394" i="17" a="1"/>
  <c r="X394" i="17" s="1"/>
  <c r="Y394" i="17" s="1"/>
  <c r="Q394" i="17" s="1"/>
  <c r="W394" i="17" s="1"/>
  <c r="X35" i="17" a="1"/>
  <c r="X35" i="17" s="1"/>
  <c r="Y35" i="17" s="1"/>
  <c r="Q35" i="17" s="1"/>
  <c r="W35" i="17" s="1"/>
  <c r="X75" i="17" a="1"/>
  <c r="X75" i="17" s="1"/>
  <c r="Y75" i="17" s="1"/>
  <c r="Q75" i="17" s="1"/>
  <c r="W75" i="17" s="1"/>
  <c r="X280" i="17" a="1"/>
  <c r="X280" i="17" s="1"/>
  <c r="X281" i="17" a="1"/>
  <c r="X281" i="17" s="1"/>
  <c r="X282" i="17" a="1"/>
  <c r="X282" i="17" s="1"/>
  <c r="X283" i="17" a="1"/>
  <c r="X283" i="17" s="1"/>
  <c r="X284" i="17" a="1"/>
  <c r="X284" i="17" s="1"/>
  <c r="Y284" i="17" s="1"/>
  <c r="Q284" i="17" s="1"/>
  <c r="W284" i="17" s="1"/>
  <c r="X285" i="17" a="1"/>
  <c r="X285" i="17" s="1"/>
  <c r="X355" i="17" a="1"/>
  <c r="X355" i="17" s="1"/>
  <c r="Y355" i="17" s="1"/>
  <c r="X395" i="17" a="1"/>
  <c r="X395" i="17" s="1"/>
  <c r="Y395" i="17" s="1"/>
  <c r="Q395" i="17" s="1"/>
  <c r="W395" i="17" s="1"/>
  <c r="X36" i="17" a="1"/>
  <c r="X36" i="17" s="1"/>
  <c r="X76" i="17" a="1"/>
  <c r="X76" i="17" s="1"/>
  <c r="X286" i="17" a="1"/>
  <c r="X286" i="17" s="1"/>
  <c r="Y286" i="17" s="1"/>
  <c r="Q286" i="17" s="1"/>
  <c r="W286" i="17" s="1"/>
  <c r="X287" i="17" a="1"/>
  <c r="X287" i="17" s="1"/>
  <c r="X288" i="17" a="1"/>
  <c r="X288" i="17" s="1"/>
  <c r="X289" i="17" a="1"/>
  <c r="X289" i="17" s="1"/>
  <c r="X290" i="17" a="1"/>
  <c r="X290" i="17"/>
  <c r="X291" i="17" a="1"/>
  <c r="X291" i="17" s="1"/>
  <c r="X356" i="17" a="1"/>
  <c r="X356" i="17" s="1"/>
  <c r="Y356" i="17" s="1"/>
  <c r="Q356" i="17" s="1"/>
  <c r="W356" i="17" s="1"/>
  <c r="X396" i="17" a="1"/>
  <c r="X396" i="17" s="1"/>
  <c r="X37" i="17" a="1"/>
  <c r="X37" i="17" s="1"/>
  <c r="Y37" i="17" s="1"/>
  <c r="Q37" i="17" s="1"/>
  <c r="W37" i="17" s="1"/>
  <c r="X77" i="17" a="1"/>
  <c r="X77" i="17" s="1"/>
  <c r="Y77" i="17" s="1"/>
  <c r="Q77" i="17" s="1"/>
  <c r="W77" i="17" s="1"/>
  <c r="X292" i="17" a="1"/>
  <c r="X292" i="17" s="1"/>
  <c r="Y292" i="17" s="1"/>
  <c r="Q292" i="17" s="1"/>
  <c r="W292" i="17" s="1"/>
  <c r="X293" i="17" a="1"/>
  <c r="X293" i="17" s="1"/>
  <c r="X294" i="17" a="1"/>
  <c r="X294" i="17" s="1"/>
  <c r="Y294" i="17" s="1"/>
  <c r="Q294" i="17" s="1"/>
  <c r="W294" i="17" s="1"/>
  <c r="X295" i="17" a="1"/>
  <c r="X295" i="17" s="1"/>
  <c r="X296" i="17" a="1"/>
  <c r="X296" i="17" s="1"/>
  <c r="X297" i="17" a="1"/>
  <c r="X297" i="17" s="1"/>
  <c r="X357" i="17" a="1"/>
  <c r="X357" i="17" s="1"/>
  <c r="Y357" i="17" s="1"/>
  <c r="Q357" i="17" s="1"/>
  <c r="W357" i="17" s="1"/>
  <c r="X397" i="17" a="1"/>
  <c r="X397" i="17" s="1"/>
  <c r="X38" i="17" a="1"/>
  <c r="X38" i="17" s="1"/>
  <c r="X78" i="17" a="1"/>
  <c r="X78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X301" i="17" a="1"/>
  <c r="X301" i="17" s="1"/>
  <c r="X302" i="17" a="1"/>
  <c r="X302" i="17" s="1"/>
  <c r="Y302" i="17" s="1"/>
  <c r="Q302" i="17" s="1"/>
  <c r="W302" i="17" s="1"/>
  <c r="X303" i="17" a="1"/>
  <c r="X303" i="17" s="1"/>
  <c r="X358" i="17" a="1"/>
  <c r="X358" i="17" s="1"/>
  <c r="Y358" i="17" s="1"/>
  <c r="Q358" i="17" s="1"/>
  <c r="W358" i="17" s="1"/>
  <c r="X398" i="17" a="1"/>
  <c r="X398" i="17" s="1"/>
  <c r="X39" i="17" a="1"/>
  <c r="X39" i="17" s="1"/>
  <c r="X79" i="17" a="1"/>
  <c r="X79" i="17" s="1"/>
  <c r="X304" i="17" a="1"/>
  <c r="X304" i="17" s="1"/>
  <c r="Y304" i="17" s="1"/>
  <c r="Q304" i="17" s="1"/>
  <c r="W304" i="17" s="1"/>
  <c r="X305" i="17" a="1"/>
  <c r="X305" i="17" s="1"/>
  <c r="X306" i="17" a="1"/>
  <c r="X306" i="17" s="1"/>
  <c r="Y306" i="17" s="1"/>
  <c r="Q306" i="17" s="1"/>
  <c r="W306" i="17" s="1"/>
  <c r="X307" i="17" a="1"/>
  <c r="X307" i="17" s="1"/>
  <c r="X308" i="17" a="1"/>
  <c r="X308" i="17" s="1"/>
  <c r="Y308" i="17" s="1"/>
  <c r="Q308" i="17" s="1"/>
  <c r="W308" i="17" s="1"/>
  <c r="X309" i="17" a="1"/>
  <c r="X309" i="17" s="1"/>
  <c r="X359" i="17" a="1"/>
  <c r="X359" i="17" s="1"/>
  <c r="X399" i="17" a="1"/>
  <c r="X399" i="17" s="1"/>
  <c r="X40" i="17" a="1"/>
  <c r="X40" i="17" s="1"/>
  <c r="Y40" i="17" s="1"/>
  <c r="Q40" i="17" s="1"/>
  <c r="W40" i="17" s="1"/>
  <c r="X80" i="17" a="1"/>
  <c r="X80" i="17" s="1"/>
  <c r="Y80" i="17" s="1"/>
  <c r="Q80" i="17" s="1"/>
  <c r="W80" i="17" s="1"/>
  <c r="X310" i="17" a="1"/>
  <c r="X310" i="17" s="1"/>
  <c r="Y310" i="17" s="1"/>
  <c r="Q310" i="17" s="1"/>
  <c r="W310" i="17" s="1"/>
  <c r="X311" i="17" a="1"/>
  <c r="X311" i="17" s="1"/>
  <c r="Y311" i="17" s="1"/>
  <c r="Q311" i="17" s="1"/>
  <c r="W311" i="17" s="1"/>
  <c r="X312" i="17" a="1"/>
  <c r="X312" i="17" s="1"/>
  <c r="Y312" i="17" s="1"/>
  <c r="Q312" i="17" s="1"/>
  <c r="W312" i="17" s="1"/>
  <c r="X313" i="17" a="1"/>
  <c r="X313" i="17" s="1"/>
  <c r="X314" i="17" a="1"/>
  <c r="X314" i="17" s="1"/>
  <c r="X315" i="17" a="1"/>
  <c r="X315" i="17" s="1"/>
  <c r="X360" i="17" a="1"/>
  <c r="X360" i="17" s="1"/>
  <c r="Y360" i="17" s="1"/>
  <c r="Q360" i="17" s="1"/>
  <c r="W360" i="17" s="1"/>
  <c r="X400" i="17" a="1"/>
  <c r="X400" i="17" s="1"/>
  <c r="X41" i="17" a="1"/>
  <c r="X41" i="17" s="1"/>
  <c r="Y41" i="17" s="1"/>
  <c r="Q41" i="17" s="1"/>
  <c r="W41" i="17" s="1"/>
  <c r="X81" i="17" a="1"/>
  <c r="X81" i="17" s="1"/>
  <c r="X316" i="17" a="1"/>
  <c r="X316" i="17" s="1"/>
  <c r="Y316" i="17" s="1"/>
  <c r="Q316" i="17" s="1"/>
  <c r="W316" i="17" s="1"/>
  <c r="X317" i="17" a="1"/>
  <c r="X317" i="17" s="1"/>
  <c r="Y317" i="17" s="1"/>
  <c r="Q317" i="17" s="1"/>
  <c r="W317" i="17" s="1"/>
  <c r="X318" i="17" a="1"/>
  <c r="X318" i="17"/>
  <c r="X319" i="17" a="1"/>
  <c r="X319" i="17" s="1"/>
  <c r="X320" i="17" a="1"/>
  <c r="X320" i="17" s="1"/>
  <c r="X321" i="17" a="1"/>
  <c r="X321" i="17" s="1"/>
  <c r="X361" i="17" a="1"/>
  <c r="X361" i="17" s="1"/>
  <c r="Y361" i="17" s="1"/>
  <c r="Q361" i="17" s="1"/>
  <c r="W361" i="17" s="1"/>
  <c r="X401" i="17" a="1"/>
  <c r="X401" i="17" s="1"/>
  <c r="Y401" i="17" s="1"/>
  <c r="Q401" i="17" s="1"/>
  <c r="W401" i="17" s="1"/>
  <c r="Y83" i="17"/>
  <c r="Q83" i="17" s="1"/>
  <c r="W83" i="17" s="1"/>
  <c r="Y84" i="17"/>
  <c r="Q84" i="17" s="1"/>
  <c r="W84" i="17" s="1"/>
  <c r="Y85" i="17"/>
  <c r="Q85" i="17" s="1"/>
  <c r="W85" i="17" s="1"/>
  <c r="Y86" i="17"/>
  <c r="Q86" i="17" s="1"/>
  <c r="W86" i="17" s="1"/>
  <c r="Y87" i="17"/>
  <c r="Q87" i="17" s="1"/>
  <c r="W87" i="17" s="1"/>
  <c r="Y322" i="17"/>
  <c r="Q322" i="17" s="1"/>
  <c r="W322" i="17" s="1"/>
  <c r="Y3" i="17"/>
  <c r="Q3" i="17" s="1"/>
  <c r="W3" i="17" s="1"/>
  <c r="Y43" i="17"/>
  <c r="Q43" i="17" s="1"/>
  <c r="W43" i="17" s="1"/>
  <c r="Y88" i="17"/>
  <c r="Q88" i="17" s="1"/>
  <c r="W88" i="17" s="1"/>
  <c r="Y89" i="17"/>
  <c r="Q89" i="17" s="1"/>
  <c r="W89" i="17" s="1"/>
  <c r="Y90" i="17"/>
  <c r="Q90" i="17" s="1"/>
  <c r="W90" i="17" s="1"/>
  <c r="Y91" i="17"/>
  <c r="Q91" i="17" s="1"/>
  <c r="W91" i="17" s="1"/>
  <c r="Y323" i="17"/>
  <c r="Q323" i="17" s="1"/>
  <c r="W323" i="17" s="1"/>
  <c r="Y363" i="17"/>
  <c r="Q363" i="17" s="1"/>
  <c r="W363" i="17" s="1"/>
  <c r="Y4" i="17"/>
  <c r="Q4" i="17" s="1"/>
  <c r="W4" i="17" s="1"/>
  <c r="Y44" i="17"/>
  <c r="Q44" i="17" s="1"/>
  <c r="W44" i="17" s="1"/>
  <c r="Y96" i="17"/>
  <c r="Q96" i="17" s="1"/>
  <c r="W96" i="17" s="1"/>
  <c r="Y97" i="17"/>
  <c r="Q97" i="17" s="1"/>
  <c r="W97" i="17" s="1"/>
  <c r="Y98" i="17"/>
  <c r="Q98" i="17" s="1"/>
  <c r="W98" i="17" s="1"/>
  <c r="Y99" i="17"/>
  <c r="Q99" i="17" s="1"/>
  <c r="W99" i="17" s="1"/>
  <c r="Y324" i="17"/>
  <c r="Q324" i="17" s="1"/>
  <c r="W324" i="17" s="1"/>
  <c r="Y45" i="17"/>
  <c r="Q45" i="17" s="1"/>
  <c r="W45" i="17" s="1"/>
  <c r="Y100" i="17"/>
  <c r="Q100" i="17" s="1"/>
  <c r="W100" i="17" s="1"/>
  <c r="Y102" i="17"/>
  <c r="Q102" i="17" s="1"/>
  <c r="W102" i="17" s="1"/>
  <c r="Y103" i="17"/>
  <c r="Q103" i="17" s="1"/>
  <c r="W103" i="17" s="1"/>
  <c r="Y104" i="17"/>
  <c r="Q104" i="17" s="1"/>
  <c r="W104" i="17" s="1"/>
  <c r="Y105" i="17"/>
  <c r="Q105" i="17" s="1"/>
  <c r="W105" i="17" s="1"/>
  <c r="Y325" i="17"/>
  <c r="Q325" i="17" s="1"/>
  <c r="W325" i="17" s="1"/>
  <c r="Y365" i="17"/>
  <c r="Q365" i="17" s="1"/>
  <c r="W365" i="17" s="1"/>
  <c r="Y6" i="17"/>
  <c r="Q6" i="17" s="1"/>
  <c r="W6" i="17" s="1"/>
  <c r="Y106" i="17"/>
  <c r="Q106" i="17" s="1"/>
  <c r="W106" i="17" s="1"/>
  <c r="Y107" i="17"/>
  <c r="Q107" i="17" s="1"/>
  <c r="W107" i="17" s="1"/>
  <c r="Y108" i="17"/>
  <c r="Q108" i="17" s="1"/>
  <c r="W108" i="17" s="1"/>
  <c r="Y109" i="17"/>
  <c r="Q109" i="17" s="1"/>
  <c r="W109" i="17" s="1"/>
  <c r="Y110" i="17"/>
  <c r="Q110" i="17" s="1"/>
  <c r="W110" i="17" s="1"/>
  <c r="Y111" i="17"/>
  <c r="Q111" i="17" s="1"/>
  <c r="W111" i="17" s="1"/>
  <c r="Y326" i="17"/>
  <c r="Q326" i="17" s="1"/>
  <c r="W326" i="17" s="1"/>
  <c r="Y7" i="17"/>
  <c r="Y47" i="17"/>
  <c r="Q47" i="17" s="1"/>
  <c r="W47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116" i="17"/>
  <c r="Q116" i="17" s="1"/>
  <c r="W116" i="17" s="1"/>
  <c r="Y327" i="17"/>
  <c r="Q327" i="17" s="1"/>
  <c r="W327" i="17" s="1"/>
  <c r="Y8" i="17"/>
  <c r="Q8" i="17" s="1"/>
  <c r="W8" i="17" s="1"/>
  <c r="Y48" i="17"/>
  <c r="Q48" i="17" s="1"/>
  <c r="W48" i="17" s="1"/>
  <c r="Y118" i="17"/>
  <c r="Q118" i="17" s="1"/>
  <c r="W118" i="17" s="1"/>
  <c r="Y119" i="17"/>
  <c r="Q119" i="17" s="1"/>
  <c r="W119" i="17" s="1"/>
  <c r="Y120" i="17"/>
  <c r="Q120" i="17" s="1"/>
  <c r="W120" i="17" s="1"/>
  <c r="Y123" i="17"/>
  <c r="Q123" i="17" s="1"/>
  <c r="W123" i="17" s="1"/>
  <c r="Y328" i="17"/>
  <c r="Q328" i="17" s="1"/>
  <c r="W328" i="17" s="1"/>
  <c r="Y368" i="17"/>
  <c r="Q368" i="17" s="1"/>
  <c r="W368" i="17" s="1"/>
  <c r="Y9" i="17"/>
  <c r="Q9" i="17" s="1"/>
  <c r="W9" i="17" s="1"/>
  <c r="Y49" i="17"/>
  <c r="Q49" i="17" s="1"/>
  <c r="W49" i="17" s="1"/>
  <c r="Y124" i="17"/>
  <c r="Q124" i="17" s="1"/>
  <c r="W124" i="17" s="1"/>
  <c r="Y126" i="17"/>
  <c r="Q126" i="17" s="1"/>
  <c r="W126" i="17" s="1"/>
  <c r="Y127" i="17"/>
  <c r="Q127" i="17" s="1"/>
  <c r="W127" i="17" s="1"/>
  <c r="Y128" i="17"/>
  <c r="Q128" i="17" s="1"/>
  <c r="W128" i="17" s="1"/>
  <c r="Y129" i="17"/>
  <c r="Q129" i="17" s="1"/>
  <c r="W129" i="17" s="1"/>
  <c r="Y329" i="17"/>
  <c r="Q329" i="17" s="1"/>
  <c r="W329" i="17" s="1"/>
  <c r="Y369" i="17"/>
  <c r="Q369" i="17" s="1"/>
  <c r="W369" i="17" s="1"/>
  <c r="Y130" i="17"/>
  <c r="Q130" i="17" s="1"/>
  <c r="W130" i="17" s="1"/>
  <c r="Y131" i="17"/>
  <c r="Q131" i="17" s="1"/>
  <c r="W131" i="17" s="1"/>
  <c r="Y132" i="17"/>
  <c r="Q132" i="17" s="1"/>
  <c r="W132" i="17" s="1"/>
  <c r="Y135" i="17"/>
  <c r="Q135" i="17" s="1"/>
  <c r="W135" i="17" s="1"/>
  <c r="Y11" i="17"/>
  <c r="Q11" i="17" s="1"/>
  <c r="W11" i="17" s="1"/>
  <c r="Y51" i="17"/>
  <c r="Y136" i="17"/>
  <c r="Q136" i="17" s="1"/>
  <c r="W136" i="17" s="1"/>
  <c r="Y137" i="17"/>
  <c r="Q137" i="17" s="1"/>
  <c r="W137" i="17" s="1"/>
  <c r="Y139" i="17"/>
  <c r="Q139" i="17" s="1"/>
  <c r="W139" i="17" s="1"/>
  <c r="Y141" i="17"/>
  <c r="Q141" i="17" s="1"/>
  <c r="W141" i="17" s="1"/>
  <c r="Y331" i="17"/>
  <c r="Q331" i="17" s="1"/>
  <c r="W331" i="17" s="1"/>
  <c r="Y371" i="17"/>
  <c r="Q371" i="17" s="1"/>
  <c r="W371" i="17" s="1"/>
  <c r="Y12" i="17"/>
  <c r="Q12" i="17" s="1"/>
  <c r="W12" i="17" s="1"/>
  <c r="Y52" i="17"/>
  <c r="Q52" i="17" s="1"/>
  <c r="W52" i="17" s="1"/>
  <c r="Y143" i="17"/>
  <c r="Q143" i="17" s="1"/>
  <c r="W143" i="17" s="1"/>
  <c r="Y144" i="17"/>
  <c r="Y147" i="17"/>
  <c r="Q147" i="17" s="1"/>
  <c r="W147" i="17" s="1"/>
  <c r="Y372" i="17"/>
  <c r="Q372" i="17" s="1"/>
  <c r="W372" i="17" s="1"/>
  <c r="Y53" i="17"/>
  <c r="Q53" i="17" s="1"/>
  <c r="W53" i="17" s="1"/>
  <c r="Y148" i="17"/>
  <c r="Q148" i="17" s="1"/>
  <c r="W148" i="17" s="1"/>
  <c r="Y150" i="17"/>
  <c r="Q150" i="17" s="1"/>
  <c r="W150" i="17" s="1"/>
  <c r="Y151" i="17"/>
  <c r="Q151" i="17" s="1"/>
  <c r="W151" i="17" s="1"/>
  <c r="Y152" i="17"/>
  <c r="Q152" i="17" s="1"/>
  <c r="W152" i="17" s="1"/>
  <c r="Y373" i="17"/>
  <c r="Q373" i="17" s="1"/>
  <c r="W373" i="17" s="1"/>
  <c r="Y154" i="17"/>
  <c r="Q154" i="17" s="1"/>
  <c r="W154" i="17" s="1"/>
  <c r="Y155" i="17"/>
  <c r="Q155" i="17" s="1"/>
  <c r="W155" i="17" s="1"/>
  <c r="Y156" i="17"/>
  <c r="Q156" i="17" s="1"/>
  <c r="W156" i="17" s="1"/>
  <c r="Y157" i="17"/>
  <c r="Q157" i="17" s="1"/>
  <c r="W157" i="17" s="1"/>
  <c r="Y159" i="17"/>
  <c r="Q159" i="17" s="1"/>
  <c r="W159" i="17" s="1"/>
  <c r="Y334" i="17"/>
  <c r="Q334" i="17" s="1"/>
  <c r="W334" i="17" s="1"/>
  <c r="Y374" i="17"/>
  <c r="Q374" i="17" s="1"/>
  <c r="W374" i="17" s="1"/>
  <c r="Y55" i="17"/>
  <c r="Q55" i="17" s="1"/>
  <c r="W55" i="17" s="1"/>
  <c r="Y160" i="17"/>
  <c r="Q160" i="17" s="1"/>
  <c r="W160" i="17" s="1"/>
  <c r="Y163" i="17"/>
  <c r="Q163" i="17" s="1"/>
  <c r="W163" i="17" s="1"/>
  <c r="Y164" i="17"/>
  <c r="Q164" i="17" s="1"/>
  <c r="W164" i="17" s="1"/>
  <c r="Y375" i="17"/>
  <c r="Q375" i="17" s="1"/>
  <c r="W375" i="17" s="1"/>
  <c r="Y56" i="17"/>
  <c r="Q56" i="17" s="1"/>
  <c r="W56" i="17" s="1"/>
  <c r="Y167" i="17"/>
  <c r="Q167" i="17" s="1"/>
  <c r="W167" i="17" s="1"/>
  <c r="Y168" i="17"/>
  <c r="Q168" i="17" s="1"/>
  <c r="W168" i="17" s="1"/>
  <c r="Y171" i="17"/>
  <c r="Q171" i="17" s="1"/>
  <c r="W171" i="17" s="1"/>
  <c r="Y336" i="17"/>
  <c r="Q336" i="17" s="1"/>
  <c r="W336" i="17" s="1"/>
  <c r="Y376" i="17"/>
  <c r="Q376" i="17" s="1"/>
  <c r="W376" i="17" s="1"/>
  <c r="Y57" i="17"/>
  <c r="Q57" i="17" s="1"/>
  <c r="W57" i="17" s="1"/>
  <c r="Y172" i="17"/>
  <c r="Q172" i="17" s="1"/>
  <c r="W172" i="17" s="1"/>
  <c r="Y175" i="17"/>
  <c r="Q175" i="17" s="1"/>
  <c r="W175" i="17" s="1"/>
  <c r="Y176" i="17"/>
  <c r="Q176" i="17" s="1"/>
  <c r="W176" i="17" s="1"/>
  <c r="Y177" i="17"/>
  <c r="Q177" i="17" s="1"/>
  <c r="W177" i="17" s="1"/>
  <c r="Y377" i="17"/>
  <c r="Q377" i="17" s="1"/>
  <c r="W377" i="17" s="1"/>
  <c r="Y18" i="17"/>
  <c r="Q18" i="17" s="1"/>
  <c r="W18" i="17" s="1"/>
  <c r="Y178" i="17"/>
  <c r="Q178" i="17" s="1"/>
  <c r="W178" i="17" s="1"/>
  <c r="Y179" i="17"/>
  <c r="Q179" i="17" s="1"/>
  <c r="W179" i="17" s="1"/>
  <c r="Y181" i="17"/>
  <c r="Q181" i="17" s="1"/>
  <c r="W181" i="17" s="1"/>
  <c r="Y183" i="17"/>
  <c r="Q183" i="17" s="1"/>
  <c r="W183" i="17" s="1"/>
  <c r="Y338" i="17"/>
  <c r="Q338" i="17" s="1"/>
  <c r="W338" i="17" s="1"/>
  <c r="Y59" i="17"/>
  <c r="Q59" i="17" s="1"/>
  <c r="W59" i="17" s="1"/>
  <c r="Y184" i="17"/>
  <c r="Q184" i="17" s="1"/>
  <c r="W184" i="17" s="1"/>
  <c r="Y185" i="17"/>
  <c r="Q185" i="17" s="1"/>
  <c r="W185" i="17" s="1"/>
  <c r="Y187" i="17"/>
  <c r="Q187" i="17" s="1"/>
  <c r="W187" i="17" s="1"/>
  <c r="Y188" i="17"/>
  <c r="Q188" i="17" s="1"/>
  <c r="W188" i="17" s="1"/>
  <c r="Y379" i="17"/>
  <c r="Q379" i="17" s="1"/>
  <c r="W379" i="17" s="1"/>
  <c r="Y191" i="17"/>
  <c r="Q191" i="17" s="1"/>
  <c r="W191" i="17" s="1"/>
  <c r="Y192" i="17"/>
  <c r="Q192" i="17" s="1"/>
  <c r="W192" i="17" s="1"/>
  <c r="Y340" i="17"/>
  <c r="Q340" i="17" s="1"/>
  <c r="W340" i="17" s="1"/>
  <c r="Y380" i="17"/>
  <c r="Q380" i="17" s="1"/>
  <c r="W380" i="17" s="1"/>
  <c r="Y61" i="17"/>
  <c r="Q61" i="17" s="1"/>
  <c r="W61" i="17" s="1"/>
  <c r="Y196" i="17"/>
  <c r="Y198" i="17"/>
  <c r="Q198" i="17" s="1"/>
  <c r="W198" i="17" s="1"/>
  <c r="Y199" i="17"/>
  <c r="Q199" i="17" s="1"/>
  <c r="W199" i="17" s="1"/>
  <c r="Y200" i="17"/>
  <c r="Q200" i="17" s="1"/>
  <c r="W200" i="17" s="1"/>
  <c r="Y201" i="17"/>
  <c r="Q201" i="17" s="1"/>
  <c r="W201" i="17" s="1"/>
  <c r="Y381" i="17"/>
  <c r="Q381" i="17" s="1"/>
  <c r="W381" i="17" s="1"/>
  <c r="Y22" i="17"/>
  <c r="Q22" i="17" s="1"/>
  <c r="W22" i="17" s="1"/>
  <c r="Y204" i="17"/>
  <c r="Q204" i="17" s="1"/>
  <c r="W204" i="17" s="1"/>
  <c r="Y205" i="17"/>
  <c r="Q205" i="17" s="1"/>
  <c r="W205" i="17" s="1"/>
  <c r="Y207" i="17"/>
  <c r="Q207" i="17" s="1"/>
  <c r="W207" i="17" s="1"/>
  <c r="Y63" i="17"/>
  <c r="Q63" i="17" s="1"/>
  <c r="W63" i="17" s="1"/>
  <c r="Y208" i="17"/>
  <c r="Q208" i="17" s="1"/>
  <c r="W208" i="17" s="1"/>
  <c r="Y209" i="17"/>
  <c r="Q209" i="17" s="1"/>
  <c r="W209" i="17" s="1"/>
  <c r="Y211" i="17"/>
  <c r="Q211" i="17" s="1"/>
  <c r="W211" i="17" s="1"/>
  <c r="Y212" i="17"/>
  <c r="Q212" i="17" s="1"/>
  <c r="W212" i="17" s="1"/>
  <c r="Y383" i="17"/>
  <c r="Y24" i="17"/>
  <c r="Q24" i="17" s="1"/>
  <c r="W24" i="17" s="1"/>
  <c r="Y64" i="17"/>
  <c r="Q64" i="17" s="1"/>
  <c r="W64" i="17" s="1"/>
  <c r="Y215" i="17"/>
  <c r="Q215" i="17" s="1"/>
  <c r="W215" i="17" s="1"/>
  <c r="Y216" i="17"/>
  <c r="Q216" i="17" s="1"/>
  <c r="W216" i="17" s="1"/>
  <c r="Y218" i="17"/>
  <c r="Q218" i="17" s="1"/>
  <c r="W218" i="17" s="1"/>
  <c r="Y219" i="17"/>
  <c r="Q219" i="17" s="1"/>
  <c r="W219" i="17" s="1"/>
  <c r="Y344" i="17"/>
  <c r="Q344" i="17" s="1"/>
  <c r="W344" i="17" s="1"/>
  <c r="Y65" i="17"/>
  <c r="Q65" i="17" s="1"/>
  <c r="W65" i="17" s="1"/>
  <c r="Y220" i="17"/>
  <c r="Q220" i="17" s="1"/>
  <c r="W220" i="17" s="1"/>
  <c r="Y223" i="17"/>
  <c r="Q223" i="17" s="1"/>
  <c r="W223" i="17" s="1"/>
  <c r="Y224" i="17"/>
  <c r="Q224" i="17" s="1"/>
  <c r="W224" i="17" s="1"/>
  <c r="Y225" i="17"/>
  <c r="Q225" i="17" s="1"/>
  <c r="W225" i="17" s="1"/>
  <c r="Y385" i="17"/>
  <c r="Q385" i="17" s="1"/>
  <c r="W385" i="17" s="1"/>
  <c r="Y26" i="17"/>
  <c r="Q26" i="17" s="1"/>
  <c r="W26" i="17" s="1"/>
  <c r="Y226" i="17"/>
  <c r="Q226" i="17" s="1"/>
  <c r="W226" i="17" s="1"/>
  <c r="Y227" i="17"/>
  <c r="Q227" i="17" s="1"/>
  <c r="W227" i="17" s="1"/>
  <c r="Y228" i="17"/>
  <c r="Q228" i="17" s="1"/>
  <c r="W228" i="17" s="1"/>
  <c r="Y229" i="17"/>
  <c r="Q229" i="17" s="1"/>
  <c r="W229" i="17" s="1"/>
  <c r="Y231" i="17"/>
  <c r="Q231" i="17" s="1"/>
  <c r="W231" i="17" s="1"/>
  <c r="Y346" i="17"/>
  <c r="Q346" i="17" s="1"/>
  <c r="W346" i="17" s="1"/>
  <c r="Y27" i="17"/>
  <c r="Q27" i="17" s="1"/>
  <c r="W27" i="17" s="1"/>
  <c r="Y67" i="17"/>
  <c r="Q67" i="17" s="1"/>
  <c r="W67" i="17" s="1"/>
  <c r="Y232" i="17"/>
  <c r="Q232" i="17" s="1"/>
  <c r="W232" i="17" s="1"/>
  <c r="Y235" i="17"/>
  <c r="Q235" i="17" s="1"/>
  <c r="W235" i="17" s="1"/>
  <c r="Y236" i="17"/>
  <c r="Q236" i="17" s="1"/>
  <c r="W236" i="17" s="1"/>
  <c r="Y347" i="17"/>
  <c r="Q347" i="17" s="1"/>
  <c r="W347" i="17" s="1"/>
  <c r="Y387" i="17"/>
  <c r="Q387" i="17" s="1"/>
  <c r="W387" i="17" s="1"/>
  <c r="Y28" i="17"/>
  <c r="Q28" i="17" s="1"/>
  <c r="W28" i="17" s="1"/>
  <c r="Y68" i="17"/>
  <c r="Q68" i="17" s="1"/>
  <c r="W68" i="17" s="1"/>
  <c r="Y239" i="17"/>
  <c r="Q239" i="17" s="1"/>
  <c r="W239" i="17" s="1"/>
  <c r="Y242" i="17"/>
  <c r="Q242" i="17" s="1"/>
  <c r="W242" i="17" s="1"/>
  <c r="Y243" i="17"/>
  <c r="Q243" i="17" s="1"/>
  <c r="W243" i="17" s="1"/>
  <c r="Y348" i="17"/>
  <c r="Q348" i="17" s="1"/>
  <c r="W348" i="17" s="1"/>
  <c r="Y388" i="17"/>
  <c r="Q388" i="17" s="1"/>
  <c r="W388" i="17" s="1"/>
  <c r="Y69" i="17"/>
  <c r="Q69" i="17" s="1"/>
  <c r="W69" i="17" s="1"/>
  <c r="Y244" i="17"/>
  <c r="Q244" i="17" s="1"/>
  <c r="W244" i="17" s="1"/>
  <c r="Y246" i="17"/>
  <c r="Y247" i="17"/>
  <c r="Q247" i="17" s="1"/>
  <c r="W247" i="17" s="1"/>
  <c r="Y248" i="17"/>
  <c r="Q248" i="17" s="1"/>
  <c r="W248" i="17" s="1"/>
  <c r="Y249" i="17"/>
  <c r="Q249" i="17" s="1"/>
  <c r="W249" i="17" s="1"/>
  <c r="Y389" i="17"/>
  <c r="Q389" i="17" s="1"/>
  <c r="W389" i="17" s="1"/>
  <c r="Y30" i="17"/>
  <c r="Q30" i="17" s="1"/>
  <c r="W30" i="17" s="1"/>
  <c r="Y250" i="17"/>
  <c r="Q250" i="17" s="1"/>
  <c r="W250" i="17" s="1"/>
  <c r="Y251" i="17"/>
  <c r="Q251" i="17" s="1"/>
  <c r="W251" i="17" s="1"/>
  <c r="Y253" i="17"/>
  <c r="Q253" i="17" s="1"/>
  <c r="W253" i="17" s="1"/>
  <c r="Y255" i="17"/>
  <c r="Q255" i="17" s="1"/>
  <c r="W255" i="17" s="1"/>
  <c r="Y350" i="17"/>
  <c r="Q350" i="17" s="1"/>
  <c r="W350" i="17" s="1"/>
  <c r="Y31" i="17"/>
  <c r="Q31" i="17" s="1"/>
  <c r="W31" i="17" s="1"/>
  <c r="Y71" i="17"/>
  <c r="Q71" i="17" s="1"/>
  <c r="W71" i="17" s="1"/>
  <c r="Y256" i="17"/>
  <c r="Q256" i="17" s="1"/>
  <c r="W256" i="17" s="1"/>
  <c r="Y257" i="17"/>
  <c r="Q257" i="17" s="1"/>
  <c r="W257" i="17" s="1"/>
  <c r="Y259" i="17"/>
  <c r="Q259" i="17" s="1"/>
  <c r="W259" i="17" s="1"/>
  <c r="Y260" i="17"/>
  <c r="Q260" i="17" s="1"/>
  <c r="W260" i="17" s="1"/>
  <c r="Y391" i="17"/>
  <c r="Q391" i="17" s="1"/>
  <c r="W391" i="17" s="1"/>
  <c r="Y32" i="17"/>
  <c r="Q32" i="17" s="1"/>
  <c r="W32" i="17" s="1"/>
  <c r="Y263" i="17"/>
  <c r="Q263" i="17" s="1"/>
  <c r="W263" i="17" s="1"/>
  <c r="Y264" i="17"/>
  <c r="Q264" i="17" s="1"/>
  <c r="W264" i="17" s="1"/>
  <c r="Y266" i="17"/>
  <c r="Q266" i="17" s="1"/>
  <c r="W266" i="17" s="1"/>
  <c r="Y352" i="17"/>
  <c r="Q352" i="17" s="1"/>
  <c r="W352" i="17" s="1"/>
  <c r="Y73" i="17"/>
  <c r="Q73" i="17" s="1"/>
  <c r="W73" i="17" s="1"/>
  <c r="Y268" i="17"/>
  <c r="Q268" i="17" s="1"/>
  <c r="W268" i="17" s="1"/>
  <c r="Y270" i="17"/>
  <c r="Q270" i="17" s="1"/>
  <c r="W270" i="17" s="1"/>
  <c r="Y271" i="17"/>
  <c r="Q271" i="17" s="1"/>
  <c r="W271" i="17" s="1"/>
  <c r="Y272" i="17"/>
  <c r="Q272" i="17" s="1"/>
  <c r="W272" i="17" s="1"/>
  <c r="Y273" i="17"/>
  <c r="Q273" i="17" s="1"/>
  <c r="W273" i="17" s="1"/>
  <c r="Y393" i="17"/>
  <c r="Q393" i="17" s="1"/>
  <c r="W393" i="17" s="1"/>
  <c r="Y34" i="17"/>
  <c r="Q34" i="17" s="1"/>
  <c r="W34" i="17" s="1"/>
  <c r="Y274" i="17"/>
  <c r="Q274" i="17" s="1"/>
  <c r="W274" i="17" s="1"/>
  <c r="Y275" i="17"/>
  <c r="Q275" i="17" s="1"/>
  <c r="W275" i="17" s="1"/>
  <c r="Y276" i="17"/>
  <c r="Q276" i="17" s="1"/>
  <c r="W276" i="17" s="1"/>
  <c r="Y277" i="17"/>
  <c r="Q277" i="17" s="1"/>
  <c r="W277" i="17" s="1"/>
  <c r="Y279" i="17"/>
  <c r="Q279" i="17" s="1"/>
  <c r="W279" i="17" s="1"/>
  <c r="Y354" i="17"/>
  <c r="Q354" i="17" s="1"/>
  <c r="W354" i="17" s="1"/>
  <c r="Y280" i="17"/>
  <c r="Y281" i="17"/>
  <c r="Q281" i="17" s="1"/>
  <c r="W281" i="17" s="1"/>
  <c r="Y283" i="17"/>
  <c r="Q283" i="17" s="1"/>
  <c r="W283" i="17" s="1"/>
  <c r="Y285" i="17"/>
  <c r="Q285" i="17" s="1"/>
  <c r="W285" i="17" s="1"/>
  <c r="Y36" i="17"/>
  <c r="Q36" i="17" s="1"/>
  <c r="W36" i="17" s="1"/>
  <c r="Y76" i="17"/>
  <c r="Y287" i="17"/>
  <c r="Y288" i="17"/>
  <c r="Q288" i="17" s="1"/>
  <c r="W288" i="17" s="1"/>
  <c r="Y289" i="17"/>
  <c r="Q289" i="17" s="1"/>
  <c r="W289" i="17" s="1"/>
  <c r="Y290" i="17"/>
  <c r="Q290" i="17" s="1"/>
  <c r="W290" i="17" s="1"/>
  <c r="Y396" i="17"/>
  <c r="Q396" i="17" s="1"/>
  <c r="W396" i="17" s="1"/>
  <c r="Y295" i="17"/>
  <c r="Q295" i="17" s="1"/>
  <c r="W295" i="17" s="1"/>
  <c r="Y296" i="17"/>
  <c r="Q296" i="17" s="1"/>
  <c r="W296" i="17" s="1"/>
  <c r="Y297" i="17"/>
  <c r="Q297" i="17" s="1"/>
  <c r="W297" i="17" s="1"/>
  <c r="Y397" i="17"/>
  <c r="Q397" i="17" s="1"/>
  <c r="W397" i="17" s="1"/>
  <c r="Y38" i="17"/>
  <c r="Q38" i="17" s="1"/>
  <c r="W38" i="17" s="1"/>
  <c r="Y78" i="17"/>
  <c r="Q78" i="17" s="1"/>
  <c r="W78" i="17" s="1"/>
  <c r="Y299" i="17"/>
  <c r="Y300" i="17"/>
  <c r="Q300" i="17" s="1"/>
  <c r="W300" i="17" s="1"/>
  <c r="Y301" i="17"/>
  <c r="Q301" i="17" s="1"/>
  <c r="W301" i="17" s="1"/>
  <c r="Y303" i="17"/>
  <c r="Q303" i="17" s="1"/>
  <c r="W303" i="17" s="1"/>
  <c r="Y398" i="17"/>
  <c r="Q398" i="17" s="1"/>
  <c r="W398" i="17" s="1"/>
  <c r="Y39" i="17"/>
  <c r="Q39" i="17" s="1"/>
  <c r="W39" i="17" s="1"/>
  <c r="Y79" i="17"/>
  <c r="Q79" i="17" s="1"/>
  <c r="W79" i="17" s="1"/>
  <c r="Y305" i="17"/>
  <c r="Q305" i="17" s="1"/>
  <c r="W305" i="17" s="1"/>
  <c r="Y307" i="17"/>
  <c r="Q307" i="17" s="1"/>
  <c r="W307" i="17" s="1"/>
  <c r="Y309" i="17"/>
  <c r="Q309" i="17" s="1"/>
  <c r="W309" i="17" s="1"/>
  <c r="Y359" i="17"/>
  <c r="Q359" i="17" s="1"/>
  <c r="W359" i="17" s="1"/>
  <c r="Y399" i="17"/>
  <c r="Q399" i="17" s="1"/>
  <c r="W399" i="17" s="1"/>
  <c r="Y313" i="17"/>
  <c r="Q313" i="17" s="1"/>
  <c r="W313" i="17" s="1"/>
  <c r="Y314" i="17"/>
  <c r="Q314" i="17" s="1"/>
  <c r="W314" i="17" s="1"/>
  <c r="Y315" i="17"/>
  <c r="Q315" i="17" s="1"/>
  <c r="W315" i="17" s="1"/>
  <c r="Y400" i="17"/>
  <c r="Q400" i="17" s="1"/>
  <c r="W400" i="17" s="1"/>
  <c r="Y318" i="17"/>
  <c r="Q318" i="17" s="1"/>
  <c r="W318" i="17" s="1"/>
  <c r="Y319" i="17"/>
  <c r="Q319" i="17" s="1"/>
  <c r="W319" i="17" s="1"/>
  <c r="Y320" i="17"/>
  <c r="Q320" i="17" s="1"/>
  <c r="W320" i="17" s="1"/>
  <c r="Y321" i="17"/>
  <c r="Q321" i="17" s="1"/>
  <c r="W321" i="17" s="1"/>
  <c r="G2" i="16"/>
  <c r="N177" i="20" l="1"/>
  <c r="N127" i="20"/>
  <c r="N231" i="20"/>
  <c r="N168" i="20"/>
  <c r="N29" i="20"/>
  <c r="N136" i="20"/>
  <c r="N87" i="20"/>
  <c r="N63" i="20"/>
  <c r="N255" i="20"/>
  <c r="N183" i="20"/>
  <c r="N98" i="19" a="1"/>
  <c r="N98" i="19" s="1"/>
  <c r="N86" i="19" a="1"/>
  <c r="N86" i="19" s="1"/>
  <c r="N71" i="19" a="1"/>
  <c r="N71" i="19" s="1"/>
  <c r="N15" i="19" a="1"/>
  <c r="N15" i="19" s="1"/>
  <c r="K120" i="19" a="1"/>
  <c r="K120" i="19" s="1"/>
  <c r="N120" i="19" a="1"/>
  <c r="N120" i="19" s="1"/>
  <c r="O120" i="19" a="1"/>
  <c r="O120" i="19" s="1"/>
  <c r="K112" i="19" a="1"/>
  <c r="K112" i="19" s="1"/>
  <c r="N112" i="19" a="1"/>
  <c r="N112" i="19" s="1"/>
  <c r="O112" i="19" a="1"/>
  <c r="O112" i="19" s="1"/>
  <c r="K104" i="19" a="1"/>
  <c r="K104" i="19" s="1"/>
  <c r="N104" i="19" a="1"/>
  <c r="N104" i="19" s="1"/>
  <c r="O104" i="19" a="1"/>
  <c r="O104" i="19" s="1"/>
  <c r="N96" i="19" a="1"/>
  <c r="N96" i="19" s="1"/>
  <c r="O96" i="19" a="1"/>
  <c r="O96" i="19" s="1"/>
  <c r="N88" i="19" a="1"/>
  <c r="N88" i="19" s="1"/>
  <c r="O88" i="19" a="1"/>
  <c r="O88" i="19" s="1"/>
  <c r="N80" i="19" a="1"/>
  <c r="N80" i="19" s="1"/>
  <c r="O80" i="19" a="1"/>
  <c r="O80" i="19" s="1"/>
  <c r="N72" i="19" a="1"/>
  <c r="N72" i="19" s="1"/>
  <c r="O72" i="19" a="1"/>
  <c r="O72" i="19" s="1"/>
  <c r="N64" i="19" a="1"/>
  <c r="N64" i="19" s="1"/>
  <c r="O64" i="19" a="1"/>
  <c r="O64" i="19" s="1"/>
  <c r="N56" i="19" a="1"/>
  <c r="N56" i="19" s="1"/>
  <c r="O56" i="19" a="1"/>
  <c r="O56" i="19" s="1"/>
  <c r="N48" i="19" a="1"/>
  <c r="N48" i="19" s="1"/>
  <c r="O48" i="19" a="1"/>
  <c r="O48" i="19" s="1"/>
  <c r="N40" i="19" a="1"/>
  <c r="N40" i="19" s="1"/>
  <c r="O40" i="19" a="1"/>
  <c r="O40" i="19" s="1"/>
  <c r="N32" i="19" a="1"/>
  <c r="N32" i="19" s="1"/>
  <c r="O32" i="19" a="1"/>
  <c r="O32" i="19" s="1"/>
  <c r="N24" i="19" a="1"/>
  <c r="N24" i="19" s="1"/>
  <c r="O24" i="19" a="1"/>
  <c r="O24" i="19" s="1"/>
  <c r="N16" i="19" a="1"/>
  <c r="N16" i="19" s="1"/>
  <c r="O16" i="19" a="1"/>
  <c r="O16" i="19" s="1"/>
  <c r="J2" i="19" a="1"/>
  <c r="J2" i="19" s="1"/>
  <c r="J10" i="19" a="1"/>
  <c r="J10" i="19" s="1"/>
  <c r="J18" i="19" a="1"/>
  <c r="J18" i="19" s="1"/>
  <c r="J26" i="19" a="1"/>
  <c r="J26" i="19" s="1"/>
  <c r="J34" i="19" a="1"/>
  <c r="J34" i="19" s="1"/>
  <c r="J42" i="19" a="1"/>
  <c r="J42" i="19" s="1"/>
  <c r="J50" i="19" a="1"/>
  <c r="J50" i="19" s="1"/>
  <c r="J58" i="19" a="1"/>
  <c r="J58" i="19" s="1"/>
  <c r="J66" i="19" a="1"/>
  <c r="J66" i="19" s="1"/>
  <c r="J74" i="19" a="1"/>
  <c r="J74" i="19" s="1"/>
  <c r="J82" i="19" a="1"/>
  <c r="J82" i="19" s="1"/>
  <c r="J90" i="19" a="1"/>
  <c r="J90" i="19" s="1"/>
  <c r="J98" i="19" a="1"/>
  <c r="J98" i="19" s="1"/>
  <c r="J106" i="19" a="1"/>
  <c r="J106" i="19" s="1"/>
  <c r="J114" i="19" a="1"/>
  <c r="J114" i="19" s="1"/>
  <c r="K2" i="19" a="1"/>
  <c r="K2" i="19" s="1"/>
  <c r="K10" i="19" a="1"/>
  <c r="K10" i="19" s="1"/>
  <c r="K18" i="19" a="1"/>
  <c r="K18" i="19" s="1"/>
  <c r="K26" i="19" a="1"/>
  <c r="K26" i="19" s="1"/>
  <c r="K34" i="19" a="1"/>
  <c r="K34" i="19" s="1"/>
  <c r="K42" i="19" a="1"/>
  <c r="K42" i="19" s="1"/>
  <c r="K50" i="19" a="1"/>
  <c r="K50" i="19" s="1"/>
  <c r="K58" i="19" a="1"/>
  <c r="K58" i="19" s="1"/>
  <c r="K66" i="19" a="1"/>
  <c r="K66" i="19" s="1"/>
  <c r="K74" i="19" a="1"/>
  <c r="K74" i="19" s="1"/>
  <c r="K82" i="19" a="1"/>
  <c r="K82" i="19" s="1"/>
  <c r="K90" i="19" a="1"/>
  <c r="K90" i="19" s="1"/>
  <c r="K98" i="19" a="1"/>
  <c r="K98" i="19" s="1"/>
  <c r="K105" i="19" a="1"/>
  <c r="K105" i="19" s="1"/>
  <c r="K113" i="19" a="1"/>
  <c r="K113" i="19" s="1"/>
  <c r="K121" i="19" a="1"/>
  <c r="K121" i="19" s="1"/>
  <c r="N17" i="19" a="1"/>
  <c r="N17" i="19" s="1"/>
  <c r="N33" i="19" a="1"/>
  <c r="N33" i="19" s="1"/>
  <c r="N49" i="19" a="1"/>
  <c r="N49" i="19" s="1"/>
  <c r="N65" i="19" a="1"/>
  <c r="N65" i="19" s="1"/>
  <c r="N81" i="19" a="1"/>
  <c r="N81" i="19" s="1"/>
  <c r="N97" i="19" a="1"/>
  <c r="N97" i="19" s="1"/>
  <c r="N113" i="19" a="1"/>
  <c r="N113" i="19" s="1"/>
  <c r="O9" i="19" a="1"/>
  <c r="O9" i="19" s="1"/>
  <c r="O25" i="19" a="1"/>
  <c r="O25" i="19" s="1"/>
  <c r="J3" i="19" a="1"/>
  <c r="J3" i="19" s="1"/>
  <c r="J11" i="19" a="1"/>
  <c r="J11" i="19" s="1"/>
  <c r="J19" i="19" a="1"/>
  <c r="J19" i="19" s="1"/>
  <c r="J27" i="19" a="1"/>
  <c r="J27" i="19" s="1"/>
  <c r="J35" i="19" a="1"/>
  <c r="J35" i="19" s="1"/>
  <c r="J43" i="19" a="1"/>
  <c r="J43" i="19" s="1"/>
  <c r="J51" i="19" a="1"/>
  <c r="J51" i="19" s="1"/>
  <c r="J59" i="19" a="1"/>
  <c r="J59" i="19" s="1"/>
  <c r="J67" i="19" a="1"/>
  <c r="J67" i="19" s="1"/>
  <c r="J75" i="19" a="1"/>
  <c r="J75" i="19" s="1"/>
  <c r="J83" i="19" a="1"/>
  <c r="J83" i="19" s="1"/>
  <c r="J91" i="19" a="1"/>
  <c r="J91" i="19" s="1"/>
  <c r="J99" i="19" a="1"/>
  <c r="J99" i="19" s="1"/>
  <c r="J107" i="19" a="1"/>
  <c r="J107" i="19" s="1"/>
  <c r="J115" i="19" a="1"/>
  <c r="J115" i="19" s="1"/>
  <c r="K3" i="19" a="1"/>
  <c r="K3" i="19" s="1"/>
  <c r="K11" i="19" a="1"/>
  <c r="K11" i="19" s="1"/>
  <c r="K19" i="19" a="1"/>
  <c r="K19" i="19" s="1"/>
  <c r="K27" i="19" a="1"/>
  <c r="K27" i="19" s="1"/>
  <c r="K35" i="19" a="1"/>
  <c r="K35" i="19" s="1"/>
  <c r="K43" i="19" a="1"/>
  <c r="K43" i="19" s="1"/>
  <c r="K51" i="19" a="1"/>
  <c r="K51" i="19" s="1"/>
  <c r="K59" i="19" a="1"/>
  <c r="K59" i="19" s="1"/>
  <c r="K67" i="19" a="1"/>
  <c r="K67" i="19" s="1"/>
  <c r="K75" i="19" a="1"/>
  <c r="K75" i="19" s="1"/>
  <c r="K83" i="19" a="1"/>
  <c r="K83" i="19" s="1"/>
  <c r="K91" i="19" a="1"/>
  <c r="K91" i="19" s="1"/>
  <c r="K99" i="19" a="1"/>
  <c r="K99" i="19" s="1"/>
  <c r="K106" i="19" a="1"/>
  <c r="K106" i="19" s="1"/>
  <c r="K114" i="19" a="1"/>
  <c r="K114" i="19" s="1"/>
  <c r="N2" i="19" a="1"/>
  <c r="N2" i="19" s="1"/>
  <c r="N10" i="19" a="1"/>
  <c r="N10" i="19" s="1"/>
  <c r="N18" i="19" a="1"/>
  <c r="N18" i="19" s="1"/>
  <c r="N26" i="19" a="1"/>
  <c r="N26" i="19" s="1"/>
  <c r="N34" i="19" a="1"/>
  <c r="N34" i="19" s="1"/>
  <c r="N42" i="19" a="1"/>
  <c r="N42" i="19" s="1"/>
  <c r="N50" i="19" a="1"/>
  <c r="N50" i="19" s="1"/>
  <c r="N58" i="19" a="1"/>
  <c r="N58" i="19" s="1"/>
  <c r="N66" i="19" a="1"/>
  <c r="N66" i="19" s="1"/>
  <c r="J4" i="19" a="1"/>
  <c r="J4" i="19" s="1"/>
  <c r="J12" i="19" a="1"/>
  <c r="J12" i="19" s="1"/>
  <c r="J20" i="19" a="1"/>
  <c r="J20" i="19" s="1"/>
  <c r="J28" i="19" a="1"/>
  <c r="J28" i="19" s="1"/>
  <c r="J36" i="19" a="1"/>
  <c r="J36" i="19" s="1"/>
  <c r="J44" i="19" a="1"/>
  <c r="J44" i="19" s="1"/>
  <c r="J52" i="19" a="1"/>
  <c r="J52" i="19" s="1"/>
  <c r="J60" i="19" a="1"/>
  <c r="J60" i="19" s="1"/>
  <c r="J68" i="19" a="1"/>
  <c r="J68" i="19" s="1"/>
  <c r="J76" i="19" a="1"/>
  <c r="J76" i="19" s="1"/>
  <c r="J84" i="19" a="1"/>
  <c r="J84" i="19" s="1"/>
  <c r="J92" i="19" a="1"/>
  <c r="J92" i="19" s="1"/>
  <c r="J100" i="19" a="1"/>
  <c r="J100" i="19" s="1"/>
  <c r="J108" i="19" a="1"/>
  <c r="J108" i="19" s="1"/>
  <c r="J116" i="19" a="1"/>
  <c r="J116" i="19" s="1"/>
  <c r="K4" i="19" a="1"/>
  <c r="K4" i="19" s="1"/>
  <c r="K12" i="19" a="1"/>
  <c r="K12" i="19" s="1"/>
  <c r="K20" i="19" a="1"/>
  <c r="K20" i="19" s="1"/>
  <c r="K28" i="19" a="1"/>
  <c r="K28" i="19" s="1"/>
  <c r="K36" i="19" a="1"/>
  <c r="K36" i="19" s="1"/>
  <c r="K44" i="19" a="1"/>
  <c r="K44" i="19" s="1"/>
  <c r="K52" i="19" a="1"/>
  <c r="K52" i="19" s="1"/>
  <c r="K60" i="19" a="1"/>
  <c r="K60" i="19" s="1"/>
  <c r="K68" i="19" a="1"/>
  <c r="K68" i="19" s="1"/>
  <c r="K76" i="19" a="1"/>
  <c r="K76" i="19" s="1"/>
  <c r="K84" i="19" a="1"/>
  <c r="K84" i="19" s="1"/>
  <c r="K92" i="19" a="1"/>
  <c r="K92" i="19" s="1"/>
  <c r="K100" i="19" a="1"/>
  <c r="K100" i="19" s="1"/>
  <c r="K107" i="19" a="1"/>
  <c r="K107" i="19" s="1"/>
  <c r="K115" i="19" a="1"/>
  <c r="K115" i="19" s="1"/>
  <c r="N3" i="19" a="1"/>
  <c r="N3" i="19" s="1"/>
  <c r="N11" i="19" a="1"/>
  <c r="N11" i="19" s="1"/>
  <c r="N19" i="19" a="1"/>
  <c r="N19" i="19" s="1"/>
  <c r="N27" i="19" a="1"/>
  <c r="N27" i="19" s="1"/>
  <c r="N35" i="19" a="1"/>
  <c r="N35" i="19" s="1"/>
  <c r="N43" i="19" a="1"/>
  <c r="N43" i="19" s="1"/>
  <c r="N51" i="19" a="1"/>
  <c r="N51" i="19" s="1"/>
  <c r="N59" i="19" a="1"/>
  <c r="N59" i="19" s="1"/>
  <c r="N67" i="19" a="1"/>
  <c r="N67" i="19" s="1"/>
  <c r="J5" i="19" a="1"/>
  <c r="J5" i="19" s="1"/>
  <c r="J13" i="19" a="1"/>
  <c r="J13" i="19" s="1"/>
  <c r="J21" i="19" a="1"/>
  <c r="J21" i="19" s="1"/>
  <c r="J29" i="19" a="1"/>
  <c r="J29" i="19" s="1"/>
  <c r="J37" i="19" a="1"/>
  <c r="J37" i="19" s="1"/>
  <c r="J45" i="19" a="1"/>
  <c r="J45" i="19" s="1"/>
  <c r="J53" i="19" a="1"/>
  <c r="J53" i="19" s="1"/>
  <c r="J61" i="19" a="1"/>
  <c r="J61" i="19" s="1"/>
  <c r="J69" i="19" a="1"/>
  <c r="J69" i="19" s="1"/>
  <c r="J77" i="19" a="1"/>
  <c r="J77" i="19" s="1"/>
  <c r="J85" i="19" a="1"/>
  <c r="J85" i="19" s="1"/>
  <c r="J93" i="19" a="1"/>
  <c r="J93" i="19" s="1"/>
  <c r="J101" i="19" a="1"/>
  <c r="J101" i="19" s="1"/>
  <c r="J109" i="19" a="1"/>
  <c r="J109" i="19" s="1"/>
  <c r="J117" i="19" a="1"/>
  <c r="J117" i="19" s="1"/>
  <c r="K5" i="19" a="1"/>
  <c r="K5" i="19" s="1"/>
  <c r="K13" i="19" a="1"/>
  <c r="K13" i="19" s="1"/>
  <c r="K21" i="19" a="1"/>
  <c r="K21" i="19" s="1"/>
  <c r="K29" i="19" a="1"/>
  <c r="K29" i="19" s="1"/>
  <c r="K37" i="19" a="1"/>
  <c r="K37" i="19" s="1"/>
  <c r="K45" i="19" a="1"/>
  <c r="K45" i="19" s="1"/>
  <c r="K53" i="19" a="1"/>
  <c r="K53" i="19" s="1"/>
  <c r="K61" i="19" a="1"/>
  <c r="K61" i="19" s="1"/>
  <c r="K69" i="19" a="1"/>
  <c r="K69" i="19" s="1"/>
  <c r="K77" i="19" a="1"/>
  <c r="K77" i="19" s="1"/>
  <c r="K85" i="19" a="1"/>
  <c r="K85" i="19" s="1"/>
  <c r="K93" i="19" a="1"/>
  <c r="K93" i="19" s="1"/>
  <c r="K101" i="19" a="1"/>
  <c r="K101" i="19" s="1"/>
  <c r="K108" i="19" a="1"/>
  <c r="K108" i="19" s="1"/>
  <c r="K116" i="19" a="1"/>
  <c r="K116" i="19" s="1"/>
  <c r="N4" i="19" a="1"/>
  <c r="N4" i="19" s="1"/>
  <c r="N12" i="19" a="1"/>
  <c r="N12" i="19" s="1"/>
  <c r="N20" i="19" a="1"/>
  <c r="N20" i="19" s="1"/>
  <c r="N28" i="19" a="1"/>
  <c r="N28" i="19" s="1"/>
  <c r="N36" i="19" a="1"/>
  <c r="N36" i="19" s="1"/>
  <c r="N44" i="19" a="1"/>
  <c r="N44" i="19" s="1"/>
  <c r="N52" i="19" a="1"/>
  <c r="N52" i="19" s="1"/>
  <c r="N60" i="19" a="1"/>
  <c r="N60" i="19" s="1"/>
  <c r="N68" i="19" a="1"/>
  <c r="N68" i="19" s="1"/>
  <c r="N76" i="19" a="1"/>
  <c r="N76" i="19" s="1"/>
  <c r="N84" i="19" a="1"/>
  <c r="N84" i="19" s="1"/>
  <c r="J6" i="19" a="1"/>
  <c r="J6" i="19" s="1"/>
  <c r="J14" i="19" a="1"/>
  <c r="J14" i="19" s="1"/>
  <c r="J22" i="19" a="1"/>
  <c r="J22" i="19" s="1"/>
  <c r="J30" i="19" a="1"/>
  <c r="J30" i="19" s="1"/>
  <c r="J38" i="19" a="1"/>
  <c r="J38" i="19" s="1"/>
  <c r="J46" i="19" a="1"/>
  <c r="J46" i="19" s="1"/>
  <c r="J54" i="19" a="1"/>
  <c r="J54" i="19" s="1"/>
  <c r="J62" i="19" a="1"/>
  <c r="J62" i="19" s="1"/>
  <c r="J70" i="19" a="1"/>
  <c r="J70" i="19" s="1"/>
  <c r="J78" i="19" a="1"/>
  <c r="J78" i="19" s="1"/>
  <c r="J86" i="19" a="1"/>
  <c r="J86" i="19" s="1"/>
  <c r="J94" i="19" a="1"/>
  <c r="J94" i="19" s="1"/>
  <c r="J102" i="19" a="1"/>
  <c r="J102" i="19" s="1"/>
  <c r="J110" i="19" a="1"/>
  <c r="J110" i="19" s="1"/>
  <c r="J118" i="19" a="1"/>
  <c r="J118" i="19" s="1"/>
  <c r="K6" i="19" a="1"/>
  <c r="K6" i="19" s="1"/>
  <c r="K14" i="19" a="1"/>
  <c r="K14" i="19" s="1"/>
  <c r="K22" i="19" a="1"/>
  <c r="K22" i="19" s="1"/>
  <c r="K30" i="19" a="1"/>
  <c r="K30" i="19" s="1"/>
  <c r="K38" i="19" a="1"/>
  <c r="K38" i="19" s="1"/>
  <c r="K46" i="19" a="1"/>
  <c r="K46" i="19" s="1"/>
  <c r="K54" i="19" a="1"/>
  <c r="K54" i="19" s="1"/>
  <c r="K62" i="19" a="1"/>
  <c r="K62" i="19" s="1"/>
  <c r="K70" i="19" a="1"/>
  <c r="K70" i="19" s="1"/>
  <c r="K78" i="19" a="1"/>
  <c r="K78" i="19" s="1"/>
  <c r="K86" i="19" a="1"/>
  <c r="K86" i="19" s="1"/>
  <c r="K94" i="19" a="1"/>
  <c r="K94" i="19" s="1"/>
  <c r="K102" i="19" a="1"/>
  <c r="K102" i="19" s="1"/>
  <c r="K109" i="19" a="1"/>
  <c r="K109" i="19" s="1"/>
  <c r="K117" i="19" a="1"/>
  <c r="K117" i="19" s="1"/>
  <c r="N5" i="19" a="1"/>
  <c r="N5" i="19" s="1"/>
  <c r="N13" i="19" a="1"/>
  <c r="N13" i="19" s="1"/>
  <c r="N21" i="19" a="1"/>
  <c r="N21" i="19" s="1"/>
  <c r="N29" i="19" a="1"/>
  <c r="N29" i="19" s="1"/>
  <c r="N37" i="19" a="1"/>
  <c r="N37" i="19" s="1"/>
  <c r="N45" i="19" a="1"/>
  <c r="N45" i="19" s="1"/>
  <c r="N53" i="19" a="1"/>
  <c r="N53" i="19" s="1"/>
  <c r="N61" i="19" a="1"/>
  <c r="N61" i="19" s="1"/>
  <c r="J7" i="19" a="1"/>
  <c r="J7" i="19" s="1"/>
  <c r="J15" i="19" a="1"/>
  <c r="J15" i="19" s="1"/>
  <c r="J23" i="19" a="1"/>
  <c r="J23" i="19" s="1"/>
  <c r="J31" i="19" a="1"/>
  <c r="J31" i="19" s="1"/>
  <c r="J39" i="19" a="1"/>
  <c r="J39" i="19" s="1"/>
  <c r="J47" i="19" a="1"/>
  <c r="J47" i="19" s="1"/>
  <c r="J55" i="19" a="1"/>
  <c r="J55" i="19" s="1"/>
  <c r="J63" i="19" a="1"/>
  <c r="J63" i="19" s="1"/>
  <c r="J71" i="19" a="1"/>
  <c r="J71" i="19" s="1"/>
  <c r="J79" i="19" a="1"/>
  <c r="J79" i="19" s="1"/>
  <c r="J87" i="19" a="1"/>
  <c r="J87" i="19" s="1"/>
  <c r="J95" i="19" a="1"/>
  <c r="J95" i="19" s="1"/>
  <c r="J103" i="19" a="1"/>
  <c r="J103" i="19" s="1"/>
  <c r="J111" i="19" a="1"/>
  <c r="J111" i="19" s="1"/>
  <c r="J119" i="19" a="1"/>
  <c r="J119" i="19" s="1"/>
  <c r="K7" i="19" a="1"/>
  <c r="K7" i="19" s="1"/>
  <c r="K15" i="19" a="1"/>
  <c r="K15" i="19" s="1"/>
  <c r="K23" i="19" a="1"/>
  <c r="K23" i="19" s="1"/>
  <c r="K31" i="19" a="1"/>
  <c r="K31" i="19" s="1"/>
  <c r="K39" i="19" a="1"/>
  <c r="K39" i="19" s="1"/>
  <c r="K47" i="19" a="1"/>
  <c r="K47" i="19" s="1"/>
  <c r="K55" i="19" a="1"/>
  <c r="K55" i="19" s="1"/>
  <c r="K63" i="19" a="1"/>
  <c r="K63" i="19" s="1"/>
  <c r="K71" i="19" a="1"/>
  <c r="K71" i="19" s="1"/>
  <c r="K79" i="19" a="1"/>
  <c r="K79" i="19" s="1"/>
  <c r="K87" i="19" a="1"/>
  <c r="K87" i="19" s="1"/>
  <c r="K95" i="19" a="1"/>
  <c r="K95" i="19" s="1"/>
  <c r="K110" i="19" a="1"/>
  <c r="K110" i="19" s="1"/>
  <c r="K118" i="19" a="1"/>
  <c r="K118" i="19" s="1"/>
  <c r="N6" i="19" a="1"/>
  <c r="N6" i="19" s="1"/>
  <c r="N14" i="19" a="1"/>
  <c r="N14" i="19" s="1"/>
  <c r="N22" i="19" a="1"/>
  <c r="N22" i="19" s="1"/>
  <c r="N30" i="19" a="1"/>
  <c r="N30" i="19" s="1"/>
  <c r="N38" i="19" a="1"/>
  <c r="N38" i="19" s="1"/>
  <c r="N46" i="19" a="1"/>
  <c r="N46" i="19" s="1"/>
  <c r="N54" i="19" a="1"/>
  <c r="N54" i="19" s="1"/>
  <c r="N62" i="19" a="1"/>
  <c r="N62" i="19" s="1"/>
  <c r="N70" i="19" a="1"/>
  <c r="N70" i="19" s="1"/>
  <c r="N78" i="19" a="1"/>
  <c r="N78" i="19" s="1"/>
  <c r="J9" i="19" a="1"/>
  <c r="J9" i="19" s="1"/>
  <c r="J17" i="19" a="1"/>
  <c r="J17" i="19" s="1"/>
  <c r="J25" i="19" a="1"/>
  <c r="J25" i="19" s="1"/>
  <c r="J33" i="19" a="1"/>
  <c r="J33" i="19" s="1"/>
  <c r="J41" i="19" a="1"/>
  <c r="J41" i="19" s="1"/>
  <c r="J49" i="19" a="1"/>
  <c r="J49" i="19" s="1"/>
  <c r="J57" i="19" a="1"/>
  <c r="J57" i="19" s="1"/>
  <c r="J65" i="19" a="1"/>
  <c r="J65" i="19" s="1"/>
  <c r="J73" i="19" a="1"/>
  <c r="J73" i="19" s="1"/>
  <c r="J81" i="19" a="1"/>
  <c r="J81" i="19" s="1"/>
  <c r="J89" i="19" a="1"/>
  <c r="J89" i="19" s="1"/>
  <c r="J97" i="19" a="1"/>
  <c r="J97" i="19" s="1"/>
  <c r="J105" i="19" a="1"/>
  <c r="J105" i="19" s="1"/>
  <c r="J113" i="19" a="1"/>
  <c r="J113" i="19" s="1"/>
  <c r="J121" i="19" a="1"/>
  <c r="J121" i="19" s="1"/>
  <c r="K9" i="19" a="1"/>
  <c r="K9" i="19" s="1"/>
  <c r="K17" i="19" a="1"/>
  <c r="K17" i="19" s="1"/>
  <c r="K25" i="19" a="1"/>
  <c r="K25" i="19" s="1"/>
  <c r="K33" i="19" a="1"/>
  <c r="K33" i="19" s="1"/>
  <c r="K41" i="19" a="1"/>
  <c r="K41" i="19" s="1"/>
  <c r="K49" i="19" a="1"/>
  <c r="K49" i="19" s="1"/>
  <c r="K57" i="19" a="1"/>
  <c r="K57" i="19" s="1"/>
  <c r="K65" i="19" a="1"/>
  <c r="K65" i="19" s="1"/>
  <c r="K73" i="19" a="1"/>
  <c r="K73" i="19" s="1"/>
  <c r="K81" i="19" a="1"/>
  <c r="K81" i="19" s="1"/>
  <c r="K89" i="19" a="1"/>
  <c r="K89" i="19" s="1"/>
  <c r="K97" i="19" a="1"/>
  <c r="K97" i="19" s="1"/>
  <c r="N8" i="19" a="1"/>
  <c r="N8" i="19" s="1"/>
  <c r="O8" i="19" a="1"/>
  <c r="O8" i="19" s="1"/>
  <c r="N9" i="19" a="1"/>
  <c r="N9" i="19" s="1"/>
  <c r="N25" i="19" a="1"/>
  <c r="N25" i="19" s="1"/>
  <c r="N41" i="19" a="1"/>
  <c r="N41" i="19" s="1"/>
  <c r="N57" i="19" a="1"/>
  <c r="N57" i="19" s="1"/>
  <c r="N73" i="19" a="1"/>
  <c r="N73" i="19" s="1"/>
  <c r="N89" i="19" a="1"/>
  <c r="N89" i="19" s="1"/>
  <c r="N105" i="19" a="1"/>
  <c r="N105" i="19" s="1"/>
  <c r="N121" i="19" a="1"/>
  <c r="N121" i="19" s="1"/>
  <c r="O17" i="19" a="1"/>
  <c r="O17" i="19" s="1"/>
  <c r="N94" i="19" a="1"/>
  <c r="N94" i="19" s="1"/>
  <c r="N83" i="19" a="1"/>
  <c r="N83" i="19" s="1"/>
  <c r="N63" i="19" a="1"/>
  <c r="N63" i="19" s="1"/>
  <c r="K119" i="19" a="1"/>
  <c r="K119" i="19" s="1"/>
  <c r="K56" i="19" a="1"/>
  <c r="K56" i="19" s="1"/>
  <c r="J112" i="19" a="1"/>
  <c r="J112" i="19" s="1"/>
  <c r="J48" i="19" a="1"/>
  <c r="J48" i="19" s="1"/>
  <c r="N93" i="19" a="1"/>
  <c r="N93" i="19" s="1"/>
  <c r="N82" i="19" a="1"/>
  <c r="N82" i="19" s="1"/>
  <c r="N55" i="19" a="1"/>
  <c r="N55" i="19" s="1"/>
  <c r="K111" i="19" a="1"/>
  <c r="K111" i="19" s="1"/>
  <c r="M111" i="19" s="1"/>
  <c r="K48" i="19" a="1"/>
  <c r="K48" i="19" s="1"/>
  <c r="J104" i="19" a="1"/>
  <c r="J104" i="19" s="1"/>
  <c r="J40" i="19" a="1"/>
  <c r="J40" i="19" s="1"/>
  <c r="M119" i="19"/>
  <c r="M95" i="19"/>
  <c r="M87" i="19"/>
  <c r="M79" i="19"/>
  <c r="M71" i="19"/>
  <c r="M63" i="19"/>
  <c r="M55" i="19"/>
  <c r="M47" i="19"/>
  <c r="M39" i="19"/>
  <c r="M31" i="19"/>
  <c r="M23" i="19"/>
  <c r="M15" i="19"/>
  <c r="M7" i="19"/>
  <c r="K103" i="19" a="1"/>
  <c r="K103" i="19" s="1"/>
  <c r="M103" i="19" s="1"/>
  <c r="K40" i="19" a="1"/>
  <c r="K40" i="19" s="1"/>
  <c r="J96" i="19" a="1"/>
  <c r="J96" i="19" s="1"/>
  <c r="J32" i="19" a="1"/>
  <c r="J32" i="19" s="1"/>
  <c r="N101" i="19" a="1"/>
  <c r="N101" i="19" s="1"/>
  <c r="N91" i="19" a="1"/>
  <c r="N91" i="19" s="1"/>
  <c r="N77" i="19" a="1"/>
  <c r="N77" i="19" s="1"/>
  <c r="N39" i="19" a="1"/>
  <c r="N39" i="19" s="1"/>
  <c r="K96" i="19" a="1"/>
  <c r="K96" i="19" s="1"/>
  <c r="K32" i="19" a="1"/>
  <c r="K32" i="19" s="1"/>
  <c r="J88" i="19" a="1"/>
  <c r="J88" i="19" s="1"/>
  <c r="J24" i="19" a="1"/>
  <c r="J24" i="19" s="1"/>
  <c r="N100" i="19" a="1"/>
  <c r="N100" i="19" s="1"/>
  <c r="N90" i="19" a="1"/>
  <c r="N90" i="19" s="1"/>
  <c r="N75" i="19" a="1"/>
  <c r="N75" i="19" s="1"/>
  <c r="N31" i="19" a="1"/>
  <c r="N31" i="19" s="1"/>
  <c r="K88" i="19" a="1"/>
  <c r="K88" i="19" s="1"/>
  <c r="M88" i="19" s="1"/>
  <c r="K24" i="19" a="1"/>
  <c r="K24" i="19" s="1"/>
  <c r="J80" i="19" a="1"/>
  <c r="J80" i="19" s="1"/>
  <c r="J16" i="19" a="1"/>
  <c r="J16" i="19" s="1"/>
  <c r="N99" i="19" a="1"/>
  <c r="N99" i="19" s="1"/>
  <c r="N87" i="19" a="1"/>
  <c r="N87" i="19" s="1"/>
  <c r="N74" i="19" a="1"/>
  <c r="N74" i="19" s="1"/>
  <c r="N23" i="19" a="1"/>
  <c r="N23" i="19" s="1"/>
  <c r="K80" i="19" a="1"/>
  <c r="K80" i="19" s="1"/>
  <c r="M80" i="19" s="1"/>
  <c r="K16" i="19" a="1"/>
  <c r="K16" i="19" s="1"/>
  <c r="J72" i="19" a="1"/>
  <c r="J72" i="19" s="1"/>
  <c r="J8" i="19" a="1"/>
  <c r="J8" i="19" s="1"/>
  <c r="M73" i="19"/>
  <c r="M120" i="19"/>
  <c r="M112" i="19"/>
  <c r="M104" i="19"/>
  <c r="M96" i="19"/>
  <c r="M72" i="19"/>
  <c r="M64" i="19"/>
  <c r="M56" i="19"/>
  <c r="M48" i="19"/>
  <c r="M40" i="19"/>
  <c r="M32" i="19"/>
  <c r="M24" i="19"/>
  <c r="M16" i="19"/>
  <c r="M8" i="19"/>
  <c r="M118" i="19"/>
  <c r="M110" i="19"/>
  <c r="M102" i="19"/>
  <c r="M94" i="19"/>
  <c r="M86" i="19"/>
  <c r="M78" i="19"/>
  <c r="M70" i="19"/>
  <c r="M62" i="19"/>
  <c r="M54" i="19"/>
  <c r="M46" i="19"/>
  <c r="M38" i="19"/>
  <c r="M30" i="19"/>
  <c r="M22" i="19"/>
  <c r="M14" i="19"/>
  <c r="M6" i="19"/>
  <c r="M117" i="19"/>
  <c r="M109" i="19"/>
  <c r="M101" i="19"/>
  <c r="M93" i="19"/>
  <c r="M85" i="19"/>
  <c r="M77" i="19"/>
  <c r="M69" i="19"/>
  <c r="M61" i="19"/>
  <c r="M53" i="19"/>
  <c r="M45" i="19"/>
  <c r="M37" i="19"/>
  <c r="M29" i="19"/>
  <c r="M21" i="19"/>
  <c r="M13" i="19"/>
  <c r="M5" i="19"/>
  <c r="M116" i="19"/>
  <c r="M108" i="19"/>
  <c r="M100" i="19"/>
  <c r="M92" i="19"/>
  <c r="M84" i="19"/>
  <c r="M76" i="19"/>
  <c r="M68" i="19"/>
  <c r="M60" i="19"/>
  <c r="M52" i="19"/>
  <c r="M44" i="19"/>
  <c r="M36" i="19"/>
  <c r="M28" i="19"/>
  <c r="M20" i="19"/>
  <c r="M12" i="19"/>
  <c r="M4" i="19"/>
  <c r="M115" i="19"/>
  <c r="M107" i="19"/>
  <c r="M99" i="19"/>
  <c r="M91" i="19"/>
  <c r="M83" i="19"/>
  <c r="M75" i="19"/>
  <c r="M67" i="19"/>
  <c r="M59" i="19"/>
  <c r="M51" i="19"/>
  <c r="M43" i="19"/>
  <c r="M35" i="19"/>
  <c r="M27" i="19"/>
  <c r="M19" i="19"/>
  <c r="M11" i="19"/>
  <c r="M3" i="19"/>
  <c r="M114" i="19"/>
  <c r="M106" i="19"/>
  <c r="M98" i="19"/>
  <c r="M90" i="19"/>
  <c r="M82" i="19"/>
  <c r="M74" i="19"/>
  <c r="M66" i="19"/>
  <c r="M58" i="19"/>
  <c r="M50" i="19"/>
  <c r="M42" i="19"/>
  <c r="M34" i="19"/>
  <c r="M26" i="19"/>
  <c r="M18" i="19"/>
  <c r="M10" i="19"/>
  <c r="M2" i="19"/>
  <c r="M121" i="19"/>
  <c r="M113" i="19"/>
  <c r="M105" i="19"/>
  <c r="M97" i="19"/>
  <c r="M89" i="19"/>
  <c r="M81" i="19"/>
  <c r="M65" i="19"/>
  <c r="M57" i="19"/>
  <c r="M49" i="19"/>
  <c r="M41" i="19"/>
  <c r="M33" i="19"/>
  <c r="M25" i="19"/>
  <c r="M17" i="19"/>
  <c r="M9" i="19"/>
  <c r="R341" i="18"/>
  <c r="U341" i="18" s="1"/>
  <c r="R289" i="18"/>
  <c r="U289" i="18" s="1"/>
  <c r="R257" i="18"/>
  <c r="U257" i="18" s="1"/>
  <c r="R277" i="18"/>
  <c r="U277" i="18" s="1"/>
  <c r="R225" i="18"/>
  <c r="U225" i="18" s="1"/>
  <c r="R439" i="18"/>
  <c r="U439" i="18" s="1"/>
  <c r="R321" i="18"/>
  <c r="U321" i="18" s="1"/>
  <c r="R440" i="18"/>
  <c r="U440" i="18" s="1"/>
  <c r="R422" i="18"/>
  <c r="U422" i="18" s="1"/>
  <c r="R399" i="18"/>
  <c r="U399" i="18" s="1"/>
  <c r="R358" i="18"/>
  <c r="U358" i="18" s="1"/>
  <c r="R334" i="18"/>
  <c r="U334" i="18" s="1"/>
  <c r="R270" i="18"/>
  <c r="U270" i="18" s="1"/>
  <c r="R187" i="18"/>
  <c r="U187" i="18" s="1"/>
  <c r="R403" i="18"/>
  <c r="U403" i="18" s="1"/>
  <c r="R307" i="18"/>
  <c r="U307" i="18" s="1"/>
  <c r="R243" i="18"/>
  <c r="U243" i="18" s="1"/>
  <c r="R95" i="18"/>
  <c r="U95" i="18" s="1"/>
  <c r="R31" i="18"/>
  <c r="U31" i="18" s="1"/>
  <c r="Y392" i="17"/>
  <c r="Q392" i="17" s="1"/>
  <c r="W392" i="17" s="1"/>
  <c r="Y23" i="17"/>
  <c r="Q23" i="17" s="1"/>
  <c r="W23" i="17" s="1"/>
  <c r="Y81" i="17"/>
  <c r="Q81" i="17" s="1"/>
  <c r="W81" i="17" s="1"/>
  <c r="Y13" i="17"/>
  <c r="Q13" i="17" s="1"/>
  <c r="W13" i="17" s="1"/>
  <c r="Q138" i="17"/>
  <c r="W138" i="17" s="1"/>
  <c r="Q133" i="17"/>
  <c r="W133" i="17" s="1"/>
  <c r="Q230" i="17"/>
  <c r="W230" i="17" s="1"/>
  <c r="Y345" i="17"/>
  <c r="Q345" i="17" s="1"/>
  <c r="W345" i="17" s="1"/>
  <c r="Q214" i="17"/>
  <c r="W214" i="17" s="1"/>
  <c r="Y193" i="17"/>
  <c r="Q193" i="17" s="1"/>
  <c r="W193" i="17" s="1"/>
  <c r="Q269" i="17"/>
  <c r="W269" i="17" s="1"/>
  <c r="Q265" i="17"/>
  <c r="W265" i="17" s="1"/>
  <c r="Y261" i="17"/>
  <c r="Q261" i="17" s="1"/>
  <c r="W261" i="17" s="1"/>
  <c r="Q46" i="17"/>
  <c r="W46" i="17" s="1"/>
  <c r="Q144" i="17"/>
  <c r="W144" i="17" s="1"/>
  <c r="Q7" i="17"/>
  <c r="W7" i="17" s="1"/>
  <c r="Q299" i="17"/>
  <c r="W299" i="17" s="1"/>
  <c r="Q287" i="17"/>
  <c r="W287" i="17" s="1"/>
  <c r="Q280" i="17"/>
  <c r="W280" i="17" s="1"/>
  <c r="Y282" i="17"/>
  <c r="Q282" i="17" s="1"/>
  <c r="W282" i="17" s="1"/>
  <c r="Y341" i="17"/>
  <c r="Q341" i="17" s="1"/>
  <c r="W341" i="17" s="1"/>
  <c r="Q149" i="17"/>
  <c r="W149" i="17" s="1"/>
  <c r="Q76" i="17"/>
  <c r="W76" i="17" s="1"/>
  <c r="Q246" i="17"/>
  <c r="W246" i="17" s="1"/>
  <c r="Q383" i="17"/>
  <c r="W383" i="17" s="1"/>
  <c r="Y353" i="17"/>
  <c r="Q353" i="17" s="1"/>
  <c r="W353" i="17" s="1"/>
  <c r="Y70" i="17"/>
  <c r="Q70" i="17" s="1"/>
  <c r="W70" i="17" s="1"/>
  <c r="Q190" i="17"/>
  <c r="W190" i="17" s="1"/>
  <c r="Q186" i="17"/>
  <c r="W186" i="17" s="1"/>
  <c r="Y291" i="17"/>
  <c r="Q291" i="17" s="1"/>
  <c r="W291" i="17" s="1"/>
  <c r="Q262" i="17"/>
  <c r="W262" i="17" s="1"/>
  <c r="Q237" i="17"/>
  <c r="W237" i="17" s="1"/>
  <c r="Q196" i="17"/>
  <c r="W196" i="17" s="1"/>
  <c r="Q51" i="17"/>
  <c r="W51" i="17" s="1"/>
  <c r="Q355" i="17"/>
  <c r="W355" i="17" s="1"/>
  <c r="Y29" i="17"/>
  <c r="Q29" i="17" s="1"/>
  <c r="W29" i="17" s="1"/>
  <c r="Y153" i="17"/>
  <c r="Q153" i="17" s="1"/>
  <c r="W153" i="17" s="1"/>
  <c r="Y62" i="17"/>
  <c r="Q62" i="17" s="1"/>
  <c r="W62" i="17" s="1"/>
  <c r="Q170" i="17"/>
  <c r="W170" i="17" s="1"/>
  <c r="Q117" i="17"/>
  <c r="W11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<sst xmlns="http://schemas.openxmlformats.org/spreadsheetml/2006/main" count="6449" uniqueCount="110">
  <si>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</si>
  <si>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</si>
  <si>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</si>
  <si>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</si>
  <si>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</si>
  <si>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</si>
  <si>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</si>
  <si>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</si>
  <si>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</si>
  <si>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</si>
  <si>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</si>
  <si>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</si>
  <si>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</si>
  <si>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</si>
  <si>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</si>
  <si>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</si>
  <si>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</si>
  <si>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</si>
  <si>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</si>
  <si>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</si>
  <si>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</si>
  <si>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</si>
  <si>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</si>
  <si>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</si>
  <si>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</si>
  <si>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</si>
  <si>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</si>
  <si>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</si>
  <si>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</si>
  <si>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</si>
  <si>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</si>
  <si>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</si>
  <si>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</si>
  <si>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</si>
  <si>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</si>
  <si>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</si>
  <si>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</si>
  <si>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</si>
  <si>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</si>
  <si>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</si>
  <si>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</si>
  <si>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</si>
  <si>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</si>
  <si>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</si>
  <si>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</si>
  <si>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</si>
  <si>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</si>
  <si>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</si>
  <si>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</si>
  <si>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</si>
  <si>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</si>
  <si>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</si>
  <si>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</si>
  <si>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</si>
  <si>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</si>
  <si>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</si>
  <si>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</si>
  <si>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</si>
  <si>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</si>
  <si>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</si>
  <si>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</si>
  <si>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</si>
  <si>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</si>
  <si>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</si>
  <si>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</si>
  <si>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</si>
  <si>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</si>
  <si>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</si>
  <si>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</si>
  <si>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2023-12-09 10:17:21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</si>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</sst>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8814236111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21" maxValue="46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27.15" maxValue="43.25"/>
    </cacheField>
    <cacheField name="StandardDeviation" numFmtId="0">
      <sharedItems containsSemiMixedTypes="0" containsString="0" containsNumber="1" minValue="1.1491356841177722" maxValue="2.587445032241611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36751142118739266" maxValue="0.82750506679585156"/>
    </cacheField>
    <cacheField name="Minimum" numFmtId="0">
      <sharedItems containsSemiMixedTypes="0" containsString="0" containsNumber="1" containsInteger="1" minValue="21" maxValue="41"/>
    </cacheField>
    <cacheField name="Maximum" numFmtId="0">
      <sharedItems containsSemiMixedTypes="0" containsString="0" containsNumber="1" containsInteger="1" minValue="32" maxValue="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881435185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47.99282868510899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containsInteger="1" minValue="1" maxValue="86"/>
    </cacheField>
    <cacheField name="LastRecordedValue" numFmtId="0">
      <sharedItems containsSemiMixedTypes="0" containsString="0" containsNumber="1" containsInteger="1" minValue="0" maxValue="8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29.304295622339577"/>
    </cacheField>
    <cacheField name="StDevOfAverage" numFmtId="0">
      <sharedItems containsSemiMixedTypes="0" containsString="0" containsNumber="1" minValue="0" maxValue="8.19203869587190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6199410784579222"/>
    </cacheField>
    <cacheField name="MinimumAverage" numFmtId="0">
      <sharedItems containsSemiMixedTypes="0" containsString="0" containsNumber="1" minValue="0" maxValue="16.614335916574898"/>
    </cacheField>
    <cacheField name="MaximumAverage" numFmtId="0">
      <sharedItems containsSemiMixedTypes="0" containsString="0" containsNumber="1" minValue="0" maxValue="47.992828685108996"/>
    </cacheField>
    <cacheField name="SummaryHalfWidth" numFmtId="0">
      <sharedItems containsSemiMixedTypes="0" containsString="0" containsNumber="1" minValue="0" maxValue="2.61994107845792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88143518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8814583334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4.4810640371495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3.5343163672385"/>
    </cacheField>
    <cacheField name="Maximum" numFmtId="0">
      <sharedItems containsSemiMixedTypes="0" containsString="0" containsNumber="1" minValue="0" maxValue="135.81902063368"/>
    </cacheField>
    <cacheField name="NumberObservations" numFmtId="0">
      <sharedItems containsSemiMixedTypes="0" containsString="0" containsNumber="1" containsInteger="1" minValue="38" maxValue="8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34.654260549205119"/>
    </cacheField>
    <cacheField name="StDevOfAverage" numFmtId="0">
      <sharedItems containsSemiMixedTypes="0" containsString="0" containsNumber="1" minValue="0" maxValue="10.5479530148795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3733990308484154"/>
    </cacheField>
    <cacheField name="MinimumAverage" numFmtId="0">
      <sharedItems containsSemiMixedTypes="0" containsString="0" containsNumber="1" minValue="0" maxValue="22.316251643751801"/>
    </cacheField>
    <cacheField name="MaximumAverage" numFmtId="0">
      <sharedItems containsSemiMixedTypes="0" containsString="0" containsNumber="1" minValue="0" maxValue="54.481064037149501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135.81902063368"/>
    </cacheField>
    <cacheField name="AverageNumberObservations" numFmtId="0">
      <sharedItems containsSemiMixedTypes="0" containsString="0" containsNumber="1" minValue="40.125" maxValue="66.25"/>
    </cacheField>
    <cacheField name="SummaryHalfWidth" numFmtId="0">
      <sharedItems containsSemiMixedTypes="0" containsString="0" containsNumber="1" minValue="0" maxValue="3.3733990308484154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8814814812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1791407599347101" maxValue="18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87901029902009642" maxValue="154.65"/>
    </cacheField>
    <cacheField name="StandardDeviation" numFmtId="0">
      <sharedItems containsSemiMixedTypes="0" containsString="0" containsNumber="1" minValue="2.0318152206087455E-2" maxValue="14.19380507700815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6.4980603216527278E-3" maxValue="4.5393990875088708"/>
    </cacheField>
    <cacheField name="Minimum" numFmtId="0">
      <sharedItems containsSemiMixedTypes="0" containsString="0" containsNumber="1" minValue="0.71791407599347101" maxValue="128"/>
    </cacheField>
    <cacheField name="Maximum" numFmtId="0">
      <sharedItems containsSemiMixedTypes="0" containsString="0" containsNumber="1" minValue="0.96105910626671998" maxValue="1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10:17:21"/>
    <n v="1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"/>
    <x v="2"/>
    <x v="0"/>
    <x v="0"/>
    <n v="29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4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4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4"/>
    <x v="2"/>
    <x v="0"/>
    <x v="0"/>
    <n v="27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5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5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5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6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6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6"/>
    <x v="2"/>
    <x v="0"/>
    <x v="0"/>
    <n v="21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7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7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7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8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8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8"/>
    <x v="2"/>
    <x v="0"/>
    <x v="0"/>
    <n v="27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9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9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9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0"/>
    <x v="0"/>
    <x v="0"/>
    <x v="0"/>
    <n v="45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0"/>
    <x v="1"/>
    <x v="0"/>
    <x v="0"/>
    <n v="45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0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1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1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1"/>
    <x v="2"/>
    <x v="0"/>
    <x v="0"/>
    <n v="29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2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2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2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3"/>
    <x v="0"/>
    <x v="0"/>
    <x v="0"/>
    <n v="45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3"/>
    <x v="1"/>
    <x v="0"/>
    <x v="0"/>
    <n v="45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3"/>
    <x v="2"/>
    <x v="0"/>
    <x v="0"/>
    <n v="29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4"/>
    <x v="0"/>
    <x v="0"/>
    <x v="0"/>
    <n v="46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4"/>
    <x v="1"/>
    <x v="0"/>
    <x v="0"/>
    <n v="46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4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5"/>
    <x v="0"/>
    <x v="0"/>
    <x v="0"/>
    <n v="41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5"/>
    <x v="1"/>
    <x v="0"/>
    <x v="0"/>
    <n v="41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5"/>
    <x v="2"/>
    <x v="0"/>
    <x v="0"/>
    <n v="23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6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6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6"/>
    <x v="2"/>
    <x v="0"/>
    <x v="0"/>
    <n v="24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7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7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7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8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8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8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19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19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19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0"/>
    <x v="0"/>
    <x v="0"/>
    <x v="0"/>
    <n v="45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0"/>
    <x v="1"/>
    <x v="0"/>
    <x v="0"/>
    <n v="45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0"/>
    <x v="2"/>
    <x v="0"/>
    <x v="0"/>
    <n v="29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1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1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1"/>
    <x v="2"/>
    <x v="0"/>
    <x v="0"/>
    <n v="31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2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2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2"/>
    <x v="2"/>
    <x v="0"/>
    <x v="0"/>
    <n v="24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3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3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3"/>
    <x v="2"/>
    <x v="0"/>
    <x v="0"/>
    <n v="29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4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4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4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5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5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5"/>
    <x v="2"/>
    <x v="0"/>
    <x v="0"/>
    <n v="30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6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6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6"/>
    <x v="2"/>
    <x v="0"/>
    <x v="0"/>
    <n v="23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7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7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7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8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8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8"/>
    <x v="2"/>
    <x v="0"/>
    <x v="0"/>
    <n v="24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29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29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29"/>
    <x v="2"/>
    <x v="0"/>
    <x v="0"/>
    <n v="25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0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0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0"/>
    <x v="2"/>
    <x v="0"/>
    <x v="0"/>
    <n v="26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1"/>
    <x v="0"/>
    <x v="0"/>
    <x v="0"/>
    <n v="42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1"/>
    <x v="1"/>
    <x v="0"/>
    <x v="0"/>
    <n v="42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1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2"/>
    <x v="0"/>
    <x v="0"/>
    <x v="0"/>
    <n v="41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2"/>
    <x v="1"/>
    <x v="0"/>
    <x v="0"/>
    <n v="41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2"/>
    <x v="2"/>
    <x v="0"/>
    <x v="0"/>
    <n v="25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3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3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3"/>
    <x v="2"/>
    <x v="0"/>
    <x v="0"/>
    <n v="32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4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4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4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5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5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5"/>
    <x v="2"/>
    <x v="0"/>
    <x v="0"/>
    <n v="24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6"/>
    <x v="0"/>
    <x v="0"/>
    <x v="0"/>
    <n v="45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6"/>
    <x v="1"/>
    <x v="0"/>
    <x v="0"/>
    <n v="45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6"/>
    <x v="2"/>
    <x v="0"/>
    <x v="0"/>
    <n v="30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7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7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7"/>
    <x v="2"/>
    <x v="0"/>
    <x v="0"/>
    <n v="32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8"/>
    <x v="0"/>
    <x v="0"/>
    <x v="0"/>
    <n v="45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8"/>
    <x v="1"/>
    <x v="0"/>
    <x v="0"/>
    <n v="45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8"/>
    <x v="2"/>
    <x v="0"/>
    <x v="0"/>
    <n v="32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39"/>
    <x v="0"/>
    <x v="0"/>
    <x v="0"/>
    <n v="44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39"/>
    <x v="1"/>
    <x v="0"/>
    <x v="0"/>
    <n v="44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39"/>
    <x v="2"/>
    <x v="0"/>
    <x v="0"/>
    <n v="28"/>
    <s v="Unnamed ProjectcontaClientesSatisfeitosCountUser Specified"/>
    <n v="40"/>
    <n v="27.15"/>
    <n v="2.5874450322416114"/>
    <n v="0.95"/>
    <n v="0.82750506679585156"/>
    <n v="21"/>
    <n v="32"/>
  </r>
  <r>
    <x v="0"/>
    <s v="2023-12-09 10:17:21"/>
    <n v="40"/>
    <x v="0"/>
    <x v="0"/>
    <x v="0"/>
    <n v="43"/>
    <s v="Unnamed ProjectccontaCoposLavadosCountUser Specified"/>
    <n v="40"/>
    <n v="43.25"/>
    <n v="1.1491356841177722"/>
    <n v="0.95"/>
    <n v="0.36751142118739266"/>
    <n v="41"/>
    <n v="46"/>
  </r>
  <r>
    <x v="0"/>
    <s v="2023-12-09 10:17:21"/>
    <n v="40"/>
    <x v="1"/>
    <x v="0"/>
    <x v="0"/>
    <n v="43"/>
    <s v="Unnamed ProjectcontaBebidaCountUser Specified"/>
    <n v="40"/>
    <n v="43.25"/>
    <n v="1.1491356841177722"/>
    <n v="0.95"/>
    <n v="0.36751142118739266"/>
    <n v="41"/>
    <n v="46"/>
  </r>
  <r>
    <x v="0"/>
    <s v="2023-12-09 10:17:21"/>
    <n v="40"/>
    <x v="2"/>
    <x v="0"/>
    <x v="0"/>
    <n v="25"/>
    <s v="Unnamed ProjectcontaClientesSatisfeitosCountUser Specified"/>
    <n v="40"/>
    <n v="27.15"/>
    <n v="2.5874450322416114"/>
    <n v="0.95"/>
    <n v="0.82750506679585156"/>
    <n v="21"/>
    <n v="3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10:17:21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"/>
    <x v="1"/>
    <x v="0"/>
    <x v="0"/>
    <n v="2.8964620727800301"/>
    <n v="2E+20"/>
    <n v="0"/>
    <n v="10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"/>
    <x v="2"/>
    <x v="1"/>
    <x v="1"/>
    <n v="21.7850317186494"/>
    <n v="2E+20"/>
    <n v="0"/>
    <n v="41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"/>
    <x v="3"/>
    <x v="2"/>
    <x v="2"/>
    <n v="0.79960537865446901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"/>
    <x v="3"/>
    <x v="3"/>
    <x v="2"/>
    <n v="7.996053786544700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"/>
    <x v="4"/>
    <x v="0"/>
    <x v="0"/>
    <n v="2.518136442138589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"/>
    <x v="5"/>
    <x v="2"/>
    <x v="2"/>
    <n v="0.9555400778744540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"/>
    <x v="5"/>
    <x v="3"/>
    <x v="2"/>
    <n v="1.91108015574891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"/>
    <x v="6"/>
    <x v="0"/>
    <x v="0"/>
    <n v="2.4058217729622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"/>
    <x v="1"/>
    <x v="0"/>
    <x v="0"/>
    <n v="6.3934661152006704"/>
    <n v="2E+20"/>
    <n v="0"/>
    <n v="18"/>
    <n v="16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"/>
    <x v="2"/>
    <x v="1"/>
    <x v="1"/>
    <n v="30.229808814233898"/>
    <n v="2E+20"/>
    <n v="0"/>
    <n v="56"/>
    <n v="5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"/>
    <x v="3"/>
    <x v="2"/>
    <x v="2"/>
    <n v="0.87214382919162603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"/>
    <x v="3"/>
    <x v="3"/>
    <x v="2"/>
    <n v="8.7214382919162592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"/>
    <x v="4"/>
    <x v="0"/>
    <x v="0"/>
    <n v="2.83796981627617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"/>
    <x v="5"/>
    <x v="2"/>
    <x v="2"/>
    <n v="0.9950085379017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"/>
    <x v="5"/>
    <x v="3"/>
    <x v="2"/>
    <n v="1.9900170758036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"/>
    <x v="6"/>
    <x v="0"/>
    <x v="0"/>
    <n v="2.7024477597744698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"/>
    <x v="1"/>
    <x v="0"/>
    <x v="0"/>
    <n v="7.5080977217792997"/>
    <n v="2E+20"/>
    <n v="0"/>
    <n v="21"/>
    <n v="21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"/>
    <x v="2"/>
    <x v="1"/>
    <x v="1"/>
    <n v="33.509827963732398"/>
    <n v="2E+20"/>
    <n v="0"/>
    <n v="62"/>
    <n v="6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"/>
    <x v="3"/>
    <x v="2"/>
    <x v="2"/>
    <n v="0.924681626008690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"/>
    <x v="3"/>
    <x v="3"/>
    <x v="2"/>
    <n v="9.246816260086909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"/>
    <x v="4"/>
    <x v="0"/>
    <x v="0"/>
    <n v="3.019465749541069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"/>
    <x v="5"/>
    <x v="2"/>
    <x v="2"/>
    <n v="0.9985692282901500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"/>
    <x v="5"/>
    <x v="3"/>
    <x v="2"/>
    <n v="1.99713845658030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"/>
    <x v="6"/>
    <x v="0"/>
    <x v="0"/>
    <n v="3.0038733558349802"/>
    <n v="2E+20"/>
    <n v="0"/>
    <n v="5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4"/>
    <x v="1"/>
    <x v="0"/>
    <x v="0"/>
    <n v="8.8528269236472106"/>
    <n v="2E+20"/>
    <n v="0"/>
    <n v="25"/>
    <n v="22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4"/>
    <x v="2"/>
    <x v="1"/>
    <x v="1"/>
    <n v="36.366067463643198"/>
    <n v="2E+20"/>
    <n v="0"/>
    <n v="70"/>
    <n v="6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4"/>
    <x v="3"/>
    <x v="2"/>
    <x v="2"/>
    <n v="0.9330206808174410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4"/>
    <x v="3"/>
    <x v="3"/>
    <x v="2"/>
    <n v="9.330206808174409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4"/>
    <x v="4"/>
    <x v="0"/>
    <x v="0"/>
    <n v="3.166006275994889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4"/>
    <x v="5"/>
    <x v="2"/>
    <x v="2"/>
    <n v="0.977968180261926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4"/>
    <x v="5"/>
    <x v="3"/>
    <x v="2"/>
    <n v="1.95593636052385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4"/>
    <x v="6"/>
    <x v="0"/>
    <x v="0"/>
    <n v="3.03928320884769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5"/>
    <x v="1"/>
    <x v="0"/>
    <x v="0"/>
    <n v="11.768961111683801"/>
    <n v="2E+20"/>
    <n v="0"/>
    <n v="24"/>
    <n v="21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5"/>
    <x v="2"/>
    <x v="1"/>
    <x v="1"/>
    <n v="42.186589525090398"/>
    <n v="2E+20"/>
    <n v="0"/>
    <n v="68"/>
    <n v="6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5"/>
    <x v="3"/>
    <x v="2"/>
    <x v="2"/>
    <n v="0.9324333650861400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5"/>
    <x v="3"/>
    <x v="3"/>
    <x v="2"/>
    <n v="9.324333650861399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5"/>
    <x v="4"/>
    <x v="0"/>
    <x v="0"/>
    <n v="3.1234569825578902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5"/>
    <x v="5"/>
    <x v="2"/>
    <x v="2"/>
    <n v="0.96772241811315096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5"/>
    <x v="5"/>
    <x v="3"/>
    <x v="2"/>
    <n v="1.93544483622629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5"/>
    <x v="6"/>
    <x v="0"/>
    <x v="0"/>
    <n v="3.0741379770972501"/>
    <n v="2E+20"/>
    <n v="0"/>
    <n v="5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6"/>
    <x v="1"/>
    <x v="0"/>
    <x v="0"/>
    <n v="14.545335118962701"/>
    <n v="2E+20"/>
    <n v="0"/>
    <n v="33"/>
    <n v="31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6"/>
    <x v="2"/>
    <x v="1"/>
    <x v="1"/>
    <n v="47.992828685108996"/>
    <n v="2E+20"/>
    <n v="0"/>
    <n v="86"/>
    <n v="8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6"/>
    <x v="3"/>
    <x v="2"/>
    <x v="2"/>
    <n v="0.94510792235917396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6"/>
    <x v="3"/>
    <x v="3"/>
    <x v="2"/>
    <n v="9.451079223591749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6"/>
    <x v="4"/>
    <x v="0"/>
    <x v="0"/>
    <n v="3.0870907164728298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6"/>
    <x v="5"/>
    <x v="2"/>
    <x v="2"/>
    <n v="0.991313302322404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6"/>
    <x v="5"/>
    <x v="3"/>
    <x v="2"/>
    <n v="1.9826266046448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6"/>
    <x v="6"/>
    <x v="0"/>
    <x v="0"/>
    <n v="3.1770392136915899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7"/>
    <x v="1"/>
    <x v="0"/>
    <x v="0"/>
    <n v="0.475935837419309"/>
    <n v="2E+20"/>
    <n v="0"/>
    <n v="4"/>
    <n v="2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7"/>
    <x v="2"/>
    <x v="1"/>
    <x v="1"/>
    <n v="17.2648050393815"/>
    <n v="2E+20"/>
    <n v="0"/>
    <n v="28"/>
    <n v="2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7"/>
    <x v="3"/>
    <x v="2"/>
    <x v="2"/>
    <n v="0.8156466682271420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7"/>
    <x v="3"/>
    <x v="3"/>
    <x v="2"/>
    <n v="8.1564666822714198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7"/>
    <x v="4"/>
    <x v="0"/>
    <x v="0"/>
    <n v="2.6929194017010398"/>
    <n v="2E+20"/>
    <n v="0"/>
    <n v="6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7"/>
    <x v="5"/>
    <x v="2"/>
    <x v="2"/>
    <n v="0.980472219855010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7"/>
    <x v="5"/>
    <x v="3"/>
    <x v="2"/>
    <n v="1.96094443971002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7"/>
    <x v="6"/>
    <x v="0"/>
    <x v="0"/>
    <n v="2.31399527417372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8"/>
    <x v="1"/>
    <x v="0"/>
    <x v="0"/>
    <n v="6.1142331333953202"/>
    <n v="2E+20"/>
    <n v="0"/>
    <n v="15"/>
    <n v="15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8"/>
    <x v="2"/>
    <x v="1"/>
    <x v="1"/>
    <n v="30.216516994791402"/>
    <n v="2E+20"/>
    <n v="0"/>
    <n v="50"/>
    <n v="5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8"/>
    <x v="3"/>
    <x v="2"/>
    <x v="2"/>
    <n v="0.899402536400036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8"/>
    <x v="3"/>
    <x v="3"/>
    <x v="2"/>
    <n v="8.9940253640003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8"/>
    <x v="4"/>
    <x v="0"/>
    <x v="0"/>
    <n v="3.0610895680394101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8"/>
    <x v="5"/>
    <x v="2"/>
    <x v="2"/>
    <n v="0.9970698249769569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8"/>
    <x v="5"/>
    <x v="3"/>
    <x v="2"/>
    <n v="1.99413964995390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8"/>
    <x v="6"/>
    <x v="0"/>
    <x v="0"/>
    <n v="2.7715361752627601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9"/>
    <x v="1"/>
    <x v="0"/>
    <x v="0"/>
    <n v="8.5393622498054995"/>
    <n v="2E+20"/>
    <n v="0"/>
    <n v="18"/>
    <n v="1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9"/>
    <x v="2"/>
    <x v="1"/>
    <x v="1"/>
    <n v="35.715267076036"/>
    <n v="2E+20"/>
    <n v="0"/>
    <n v="56"/>
    <n v="5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9"/>
    <x v="3"/>
    <x v="2"/>
    <x v="2"/>
    <n v="0.93182712882124996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9"/>
    <x v="3"/>
    <x v="3"/>
    <x v="2"/>
    <n v="9.3182712882125092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9"/>
    <x v="4"/>
    <x v="0"/>
    <x v="0"/>
    <n v="3.06631990360053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9"/>
    <x v="5"/>
    <x v="2"/>
    <x v="2"/>
    <n v="0.96992763584812303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9"/>
    <x v="5"/>
    <x v="3"/>
    <x v="2"/>
    <n v="1.93985527169625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9"/>
    <x v="6"/>
    <x v="0"/>
    <x v="0"/>
    <n v="3.1625959499144898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0"/>
    <x v="1"/>
    <x v="0"/>
    <x v="0"/>
    <n v="7.4566857488067999"/>
    <n v="2E+20"/>
    <n v="0"/>
    <n v="19"/>
    <n v="1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0"/>
    <x v="2"/>
    <x v="1"/>
    <x v="1"/>
    <n v="32.874894282498403"/>
    <n v="2E+20"/>
    <n v="0"/>
    <n v="58"/>
    <n v="5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0"/>
    <x v="3"/>
    <x v="2"/>
    <x v="2"/>
    <n v="0.89807613924424101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0"/>
    <x v="3"/>
    <x v="3"/>
    <x v="2"/>
    <n v="8.980761392442410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0"/>
    <x v="4"/>
    <x v="0"/>
    <x v="0"/>
    <n v="2.9794934953196002"/>
    <n v="2E+20"/>
    <n v="0"/>
    <n v="6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0"/>
    <x v="5"/>
    <x v="2"/>
    <x v="2"/>
    <n v="0.9770409645845600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0"/>
    <x v="5"/>
    <x v="3"/>
    <x v="2"/>
    <n v="1.95408192916912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0"/>
    <x v="6"/>
    <x v="0"/>
    <x v="0"/>
    <n v="2.8605589315155302"/>
    <n v="2E+20"/>
    <n v="0"/>
    <n v="6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1"/>
    <x v="1"/>
    <x v="0"/>
    <x v="0"/>
    <n v="3.2611323045640499"/>
    <n v="2E+20"/>
    <n v="0"/>
    <n v="16"/>
    <n v="15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1"/>
    <x v="2"/>
    <x v="1"/>
    <x v="1"/>
    <n v="22.809039796942301"/>
    <n v="2E+20"/>
    <n v="0"/>
    <n v="52"/>
    <n v="5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1"/>
    <x v="3"/>
    <x v="2"/>
    <x v="2"/>
    <n v="0.81433875939071199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1"/>
    <x v="3"/>
    <x v="3"/>
    <x v="2"/>
    <n v="8.1433875939071108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1"/>
    <x v="4"/>
    <x v="0"/>
    <x v="0"/>
    <n v="2.5251731955244598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1"/>
    <x v="5"/>
    <x v="2"/>
    <x v="2"/>
    <n v="0.975008672547789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1"/>
    <x v="5"/>
    <x v="3"/>
    <x v="2"/>
    <n v="1.95001734509558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1"/>
    <x v="6"/>
    <x v="0"/>
    <x v="0"/>
    <n v="2.5113945532697399"/>
    <n v="2E+20"/>
    <n v="0"/>
    <n v="6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2"/>
    <x v="1"/>
    <x v="0"/>
    <x v="0"/>
    <n v="4.9359256560579698"/>
    <n v="2E+20"/>
    <n v="0"/>
    <n v="10"/>
    <n v="7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2"/>
    <x v="2"/>
    <x v="1"/>
    <x v="1"/>
    <n v="27.233694518012499"/>
    <n v="2E+20"/>
    <n v="0"/>
    <n v="40"/>
    <n v="3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2"/>
    <x v="3"/>
    <x v="2"/>
    <x v="2"/>
    <n v="0.8680921602948290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2"/>
    <x v="3"/>
    <x v="3"/>
    <x v="2"/>
    <n v="8.6809216029482901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2"/>
    <x v="4"/>
    <x v="0"/>
    <x v="0"/>
    <n v="2.8333123248800098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2"/>
    <x v="5"/>
    <x v="2"/>
    <x v="2"/>
    <n v="0.96612864085926897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2"/>
    <x v="5"/>
    <x v="3"/>
    <x v="2"/>
    <n v="1.93225728171853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2"/>
    <x v="6"/>
    <x v="0"/>
    <x v="0"/>
    <n v="2.7384835485770198"/>
    <n v="2E+20"/>
    <n v="0"/>
    <n v="6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3"/>
    <x v="1"/>
    <x v="0"/>
    <x v="0"/>
    <n v="3.58522020877137"/>
    <n v="2E+20"/>
    <n v="0"/>
    <n v="12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3"/>
    <x v="2"/>
    <x v="1"/>
    <x v="1"/>
    <n v="25.729015996861101"/>
    <n v="2E+20"/>
    <n v="0"/>
    <n v="44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3"/>
    <x v="3"/>
    <x v="2"/>
    <x v="2"/>
    <n v="0.927928778965914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3"/>
    <x v="3"/>
    <x v="3"/>
    <x v="2"/>
    <n v="9.2792877896591595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3"/>
    <x v="4"/>
    <x v="0"/>
    <x v="0"/>
    <n v="3.0729940756462999"/>
    <n v="2E+20"/>
    <n v="0"/>
    <n v="4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3"/>
    <x v="5"/>
    <x v="2"/>
    <x v="2"/>
    <n v="0.98841331928457399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3"/>
    <x v="5"/>
    <x v="3"/>
    <x v="2"/>
    <n v="1.97682663856915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3"/>
    <x v="6"/>
    <x v="0"/>
    <x v="0"/>
    <n v="2.9804845784168199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4"/>
    <x v="1"/>
    <x v="0"/>
    <x v="0"/>
    <n v="5.5400452193142904"/>
    <n v="2E+20"/>
    <n v="0"/>
    <n v="15"/>
    <n v="15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4"/>
    <x v="2"/>
    <x v="1"/>
    <x v="1"/>
    <n v="29.549142728946499"/>
    <n v="2E+20"/>
    <n v="0"/>
    <n v="51"/>
    <n v="5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4"/>
    <x v="3"/>
    <x v="2"/>
    <x v="2"/>
    <n v="0.923452614515896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4"/>
    <x v="3"/>
    <x v="3"/>
    <x v="2"/>
    <n v="9.234526145158959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4"/>
    <x v="4"/>
    <x v="0"/>
    <x v="0"/>
    <n v="3.0452280183818399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4"/>
    <x v="5"/>
    <x v="2"/>
    <x v="2"/>
    <n v="0.9977856597454769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4"/>
    <x v="5"/>
    <x v="3"/>
    <x v="2"/>
    <n v="1.99557131949094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4"/>
    <x v="6"/>
    <x v="0"/>
    <x v="0"/>
    <n v="2.9299066041157502"/>
    <n v="2E+20"/>
    <n v="0"/>
    <n v="6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5"/>
    <x v="1"/>
    <x v="0"/>
    <x v="0"/>
    <n v="3.2066048901968101"/>
    <n v="2E+20"/>
    <n v="0"/>
    <n v="12"/>
    <n v="9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5"/>
    <x v="2"/>
    <x v="1"/>
    <x v="1"/>
    <n v="21.848590216021201"/>
    <n v="2E+20"/>
    <n v="0"/>
    <n v="44"/>
    <n v="3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5"/>
    <x v="3"/>
    <x v="2"/>
    <x v="2"/>
    <n v="0.77176902178137796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5"/>
    <x v="3"/>
    <x v="3"/>
    <x v="2"/>
    <n v="7.717690217813779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5"/>
    <x v="4"/>
    <x v="0"/>
    <x v="0"/>
    <n v="2.5792350010066798"/>
    <n v="2E+20"/>
    <n v="0"/>
    <n v="6"/>
    <n v="5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5"/>
    <x v="5"/>
    <x v="2"/>
    <x v="2"/>
    <n v="0.92732957491889501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5"/>
    <x v="5"/>
    <x v="3"/>
    <x v="2"/>
    <n v="1.8546591498377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5"/>
    <x v="6"/>
    <x v="0"/>
    <x v="0"/>
    <n v="2.1692426210793099"/>
    <n v="2E+20"/>
    <n v="0"/>
    <n v="5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6"/>
    <x v="1"/>
    <x v="0"/>
    <x v="0"/>
    <n v="8.7796134444220897"/>
    <n v="2E+20"/>
    <n v="0"/>
    <n v="21"/>
    <n v="21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6"/>
    <x v="2"/>
    <x v="1"/>
    <x v="1"/>
    <n v="36.780409014178602"/>
    <n v="2E+20"/>
    <n v="0"/>
    <n v="63"/>
    <n v="6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6"/>
    <x v="3"/>
    <x v="2"/>
    <x v="2"/>
    <n v="0.961059106266719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6"/>
    <x v="3"/>
    <x v="3"/>
    <x v="2"/>
    <n v="9.610591062667200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6"/>
    <x v="4"/>
    <x v="0"/>
    <x v="0"/>
    <n v="3.2146629180002901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6"/>
    <x v="5"/>
    <x v="2"/>
    <x v="2"/>
    <n v="0.99866787210596297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6"/>
    <x v="5"/>
    <x v="3"/>
    <x v="2"/>
    <n v="1.99733574421192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6"/>
    <x v="6"/>
    <x v="0"/>
    <x v="0"/>
    <n v="3.1833377638216702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7"/>
    <x v="1"/>
    <x v="0"/>
    <x v="0"/>
    <n v="3.2342920798920001"/>
    <n v="2E+20"/>
    <n v="0"/>
    <n v="10"/>
    <n v="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7"/>
    <x v="2"/>
    <x v="1"/>
    <x v="1"/>
    <n v="22.336509894015101"/>
    <n v="2E+20"/>
    <n v="0"/>
    <n v="41"/>
    <n v="3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7"/>
    <x v="3"/>
    <x v="2"/>
    <x v="2"/>
    <n v="0.79339628671155604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7"/>
    <x v="3"/>
    <x v="3"/>
    <x v="2"/>
    <n v="7.9339628671155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7"/>
    <x v="4"/>
    <x v="0"/>
    <x v="0"/>
    <n v="2.5383860611608799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7"/>
    <x v="5"/>
    <x v="2"/>
    <x v="2"/>
    <n v="0.92631153500444496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7"/>
    <x v="5"/>
    <x v="3"/>
    <x v="2"/>
    <n v="1.85262307000888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7"/>
    <x v="6"/>
    <x v="0"/>
    <x v="0"/>
    <n v="2.39668855736338"/>
    <n v="2E+20"/>
    <n v="0"/>
    <n v="6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8"/>
    <x v="1"/>
    <x v="0"/>
    <x v="0"/>
    <n v="9.3901413750805407"/>
    <n v="2E+20"/>
    <n v="0"/>
    <n v="24"/>
    <n v="24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8"/>
    <x v="2"/>
    <x v="1"/>
    <x v="1"/>
    <n v="35.564887510838702"/>
    <n v="2E+20"/>
    <n v="0"/>
    <n v="68"/>
    <n v="6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8"/>
    <x v="3"/>
    <x v="2"/>
    <x v="2"/>
    <n v="0.839230238033882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8"/>
    <x v="3"/>
    <x v="3"/>
    <x v="2"/>
    <n v="8.392302380338829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8"/>
    <x v="4"/>
    <x v="0"/>
    <x v="0"/>
    <n v="2.6998610470914302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8"/>
    <x v="5"/>
    <x v="2"/>
    <x v="2"/>
    <n v="0.968492111887999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8"/>
    <x v="5"/>
    <x v="3"/>
    <x v="2"/>
    <n v="1.936984223776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8"/>
    <x v="6"/>
    <x v="0"/>
    <x v="0"/>
    <n v="2.6206593601192099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19"/>
    <x v="1"/>
    <x v="0"/>
    <x v="0"/>
    <n v="5.7551353987394904"/>
    <n v="2E+20"/>
    <n v="0"/>
    <n v="14"/>
    <n v="14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19"/>
    <x v="2"/>
    <x v="1"/>
    <x v="1"/>
    <n v="28.393222824271302"/>
    <n v="2E+20"/>
    <n v="0"/>
    <n v="48"/>
    <n v="4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19"/>
    <x v="3"/>
    <x v="2"/>
    <x v="2"/>
    <n v="0.844147601339614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19"/>
    <x v="3"/>
    <x v="3"/>
    <x v="2"/>
    <n v="8.441476013396149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19"/>
    <x v="4"/>
    <x v="0"/>
    <x v="0"/>
    <n v="2.7062152045961998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19"/>
    <x v="5"/>
    <x v="2"/>
    <x v="2"/>
    <n v="0.99667037070778597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19"/>
    <x v="5"/>
    <x v="3"/>
    <x v="2"/>
    <n v="1.99334074141556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1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19"/>
    <x v="6"/>
    <x v="0"/>
    <x v="0"/>
    <n v="2.5529713807413001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0"/>
    <x v="1"/>
    <x v="0"/>
    <x v="0"/>
    <n v="8.6089482586560795"/>
    <n v="2E+20"/>
    <n v="0"/>
    <n v="23"/>
    <n v="22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0"/>
    <x v="2"/>
    <x v="1"/>
    <x v="1"/>
    <n v="36.173828173331898"/>
    <n v="2E+20"/>
    <n v="0"/>
    <n v="66"/>
    <n v="6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0"/>
    <x v="3"/>
    <x v="2"/>
    <x v="2"/>
    <n v="0.94779658280098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0"/>
    <x v="3"/>
    <x v="3"/>
    <x v="2"/>
    <n v="9.4779658280098804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0"/>
    <x v="4"/>
    <x v="0"/>
    <x v="0"/>
    <n v="3.1619963182377901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0"/>
    <x v="5"/>
    <x v="2"/>
    <x v="2"/>
    <n v="0.99511711828987603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0"/>
    <x v="5"/>
    <x v="3"/>
    <x v="2"/>
    <n v="1.99023423657975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0"/>
    <x v="6"/>
    <x v="0"/>
    <x v="0"/>
    <n v="3.1104909449294902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1"/>
    <x v="1"/>
    <x v="0"/>
    <x v="0"/>
    <n v="4.2296540594721197"/>
    <n v="2E+20"/>
    <n v="0"/>
    <n v="19"/>
    <n v="1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1"/>
    <x v="2"/>
    <x v="1"/>
    <x v="1"/>
    <n v="26.006777877614802"/>
    <n v="2E+20"/>
    <n v="0"/>
    <n v="58"/>
    <n v="5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1"/>
    <x v="3"/>
    <x v="2"/>
    <x v="2"/>
    <n v="0.877373487933529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1"/>
    <x v="3"/>
    <x v="3"/>
    <x v="2"/>
    <n v="8.773734879335300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1"/>
    <x v="4"/>
    <x v="0"/>
    <x v="0"/>
    <n v="2.8945883385364999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1"/>
    <x v="5"/>
    <x v="2"/>
    <x v="2"/>
    <n v="0.96721225425113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1"/>
    <x v="5"/>
    <x v="3"/>
    <x v="2"/>
    <n v="1.93442450850226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1"/>
    <x v="6"/>
    <x v="0"/>
    <x v="0"/>
    <n v="2.73531143515345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2"/>
    <x v="1"/>
    <x v="0"/>
    <x v="0"/>
    <n v="3.1391103560709301"/>
    <n v="2E+20"/>
    <n v="0"/>
    <n v="10"/>
    <n v="9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2"/>
    <x v="2"/>
    <x v="1"/>
    <x v="1"/>
    <n v="24.1536250745724"/>
    <n v="2E+20"/>
    <n v="0"/>
    <n v="40"/>
    <n v="3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2"/>
    <x v="3"/>
    <x v="2"/>
    <x v="2"/>
    <n v="0.89377021812152901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2"/>
    <x v="3"/>
    <x v="3"/>
    <x v="2"/>
    <n v="8.937702181215289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2"/>
    <x v="4"/>
    <x v="0"/>
    <x v="0"/>
    <n v="2.9809535550642301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2"/>
    <x v="5"/>
    <x v="2"/>
    <x v="2"/>
    <n v="0.9744222308254090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2"/>
    <x v="5"/>
    <x v="3"/>
    <x v="2"/>
    <n v="1.94884446165082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2"/>
    <x v="6"/>
    <x v="0"/>
    <x v="0"/>
    <n v="2.81690075696583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3"/>
    <x v="1"/>
    <x v="0"/>
    <x v="0"/>
    <n v="3.1736389337108601"/>
    <n v="2E+20"/>
    <n v="0"/>
    <n v="10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3"/>
    <x v="2"/>
    <x v="1"/>
    <x v="1"/>
    <n v="25.083107568163701"/>
    <n v="2E+20"/>
    <n v="0"/>
    <n v="40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3"/>
    <x v="3"/>
    <x v="2"/>
    <x v="2"/>
    <n v="0.936791485037099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3"/>
    <x v="3"/>
    <x v="3"/>
    <x v="2"/>
    <n v="9.3679148503709992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3"/>
    <x v="4"/>
    <x v="0"/>
    <x v="0"/>
    <n v="3.1143983651413998"/>
    <n v="2E+20"/>
    <n v="0"/>
    <n v="5"/>
    <n v="2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3"/>
    <x v="5"/>
    <x v="2"/>
    <x v="2"/>
    <n v="0.999136030415012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3"/>
    <x v="5"/>
    <x v="3"/>
    <x v="2"/>
    <n v="1.99827206083003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3"/>
    <x v="6"/>
    <x v="0"/>
    <x v="0"/>
    <n v="3.0486716415266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4"/>
    <x v="1"/>
    <x v="0"/>
    <x v="0"/>
    <n v="0.57068734002460997"/>
    <n v="2E+20"/>
    <n v="0"/>
    <n v="4"/>
    <n v="2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4"/>
    <x v="2"/>
    <x v="1"/>
    <x v="1"/>
    <n v="16.614335916574898"/>
    <n v="2E+20"/>
    <n v="0"/>
    <n v="28"/>
    <n v="2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4"/>
    <x v="3"/>
    <x v="2"/>
    <x v="2"/>
    <n v="0.773648061826283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4"/>
    <x v="3"/>
    <x v="3"/>
    <x v="2"/>
    <n v="7.736480618262840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4"/>
    <x v="4"/>
    <x v="0"/>
    <x v="0"/>
    <n v="2.31546428830148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4"/>
    <x v="5"/>
    <x v="2"/>
    <x v="2"/>
    <n v="0.9864231483302470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4"/>
    <x v="5"/>
    <x v="3"/>
    <x v="2"/>
    <n v="1.97284629666049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4"/>
    <x v="6"/>
    <x v="0"/>
    <x v="0"/>
    <n v="2.2919204074798101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5"/>
    <x v="1"/>
    <x v="0"/>
    <x v="0"/>
    <n v="3.8230948689273498"/>
    <n v="2E+20"/>
    <n v="0"/>
    <n v="9"/>
    <n v="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5"/>
    <x v="2"/>
    <x v="1"/>
    <x v="1"/>
    <n v="25.588346801476899"/>
    <n v="2E+20"/>
    <n v="0"/>
    <n v="39"/>
    <n v="3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5"/>
    <x v="3"/>
    <x v="2"/>
    <x v="2"/>
    <n v="0.897107853181111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5"/>
    <x v="3"/>
    <x v="3"/>
    <x v="2"/>
    <n v="8.9710785318111199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5"/>
    <x v="4"/>
    <x v="0"/>
    <x v="0"/>
    <n v="3.0015989969875601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5"/>
    <x v="5"/>
    <x v="2"/>
    <x v="2"/>
    <n v="0.98403171754398699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5"/>
    <x v="5"/>
    <x v="3"/>
    <x v="2"/>
    <n v="1.96806343508797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5"/>
    <x v="6"/>
    <x v="0"/>
    <x v="0"/>
    <n v="2.8484982851291201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6"/>
    <x v="1"/>
    <x v="0"/>
    <x v="0"/>
    <n v="11.7609607253127"/>
    <n v="2E+20"/>
    <n v="0"/>
    <n v="26"/>
    <n v="22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6"/>
    <x v="2"/>
    <x v="1"/>
    <x v="1"/>
    <n v="42.302776957669003"/>
    <n v="2E+20"/>
    <n v="0"/>
    <n v="72"/>
    <n v="64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6"/>
    <x v="3"/>
    <x v="2"/>
    <x v="2"/>
    <n v="0.9390427753521779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6"/>
    <x v="3"/>
    <x v="3"/>
    <x v="2"/>
    <n v="9.3904277535217808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6"/>
    <x v="4"/>
    <x v="0"/>
    <x v="0"/>
    <n v="3.1675296275607798"/>
    <n v="2E+20"/>
    <n v="0"/>
    <n v="5"/>
    <n v="5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6"/>
    <x v="5"/>
    <x v="2"/>
    <x v="2"/>
    <n v="0.967159985443407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6"/>
    <x v="5"/>
    <x v="3"/>
    <x v="2"/>
    <n v="1.93431997088682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6"/>
    <x v="6"/>
    <x v="0"/>
    <x v="0"/>
    <n v="3.1166374024041099"/>
    <n v="2E+20"/>
    <n v="0"/>
    <n v="6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7"/>
    <x v="1"/>
    <x v="0"/>
    <x v="0"/>
    <n v="4.5070117592140004"/>
    <n v="2E+20"/>
    <n v="0"/>
    <n v="15"/>
    <n v="13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7"/>
    <x v="2"/>
    <x v="1"/>
    <x v="1"/>
    <n v="25.9164545312413"/>
    <n v="2E+20"/>
    <n v="0"/>
    <n v="50"/>
    <n v="4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7"/>
    <x v="3"/>
    <x v="2"/>
    <x v="2"/>
    <n v="0.845121550640663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7"/>
    <x v="3"/>
    <x v="3"/>
    <x v="2"/>
    <n v="8.4512155064066405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7"/>
    <x v="4"/>
    <x v="0"/>
    <x v="0"/>
    <n v="2.719991140458299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7"/>
    <x v="5"/>
    <x v="2"/>
    <x v="2"/>
    <n v="0.99684311992927299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7"/>
    <x v="5"/>
    <x v="3"/>
    <x v="2"/>
    <n v="1.99368623985855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7"/>
    <x v="6"/>
    <x v="0"/>
    <x v="0"/>
    <n v="2.5728317558389699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8"/>
    <x v="1"/>
    <x v="0"/>
    <x v="0"/>
    <n v="10.659125357571501"/>
    <n v="2E+20"/>
    <n v="0"/>
    <n v="29"/>
    <n v="29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8"/>
    <x v="2"/>
    <x v="1"/>
    <x v="1"/>
    <n v="40.192981188408602"/>
    <n v="2E+20"/>
    <n v="0"/>
    <n v="78"/>
    <n v="7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8"/>
    <x v="3"/>
    <x v="2"/>
    <x v="2"/>
    <n v="0.943736523663283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8"/>
    <x v="3"/>
    <x v="3"/>
    <x v="2"/>
    <n v="9.4373652366328304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8"/>
    <x v="4"/>
    <x v="0"/>
    <x v="0"/>
    <n v="3.0920763821815198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8"/>
    <x v="5"/>
    <x v="2"/>
    <x v="2"/>
    <n v="0.9786817838157140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8"/>
    <x v="5"/>
    <x v="3"/>
    <x v="2"/>
    <n v="1.95736356763143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8"/>
    <x v="6"/>
    <x v="0"/>
    <x v="0"/>
    <n v="3.1751193396358102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29"/>
    <x v="1"/>
    <x v="0"/>
    <x v="0"/>
    <n v="3.7777244460972401"/>
    <n v="2E+20"/>
    <n v="0"/>
    <n v="12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29"/>
    <x v="2"/>
    <x v="1"/>
    <x v="1"/>
    <n v="24.0637861702556"/>
    <n v="2E+20"/>
    <n v="0"/>
    <n v="44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29"/>
    <x v="3"/>
    <x v="2"/>
    <x v="2"/>
    <n v="0.82541686390305702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29"/>
    <x v="3"/>
    <x v="3"/>
    <x v="2"/>
    <n v="8.254168639030570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29"/>
    <x v="4"/>
    <x v="0"/>
    <x v="0"/>
    <n v="2.5761478057877398"/>
    <n v="2E+20"/>
    <n v="0"/>
    <n v="5"/>
    <n v="2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29"/>
    <x v="5"/>
    <x v="2"/>
    <x v="2"/>
    <n v="0.97760852785839103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29"/>
    <x v="5"/>
    <x v="3"/>
    <x v="2"/>
    <n v="1.95521705571678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2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29"/>
    <x v="6"/>
    <x v="0"/>
    <x v="0"/>
    <n v="2.4978558953635099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0"/>
    <x v="1"/>
    <x v="0"/>
    <x v="0"/>
    <n v="2.2040363487402499"/>
    <n v="2E+20"/>
    <n v="0"/>
    <n v="11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0"/>
    <x v="2"/>
    <x v="1"/>
    <x v="1"/>
    <n v="19.421015999464199"/>
    <n v="2E+20"/>
    <n v="0"/>
    <n v="42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0"/>
    <x v="3"/>
    <x v="2"/>
    <x v="2"/>
    <n v="0.7506471650991850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0"/>
    <x v="3"/>
    <x v="3"/>
    <x v="2"/>
    <n v="7.5064716509918501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0"/>
    <x v="4"/>
    <x v="0"/>
    <x v="0"/>
    <n v="2.2880086346224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0"/>
    <x v="5"/>
    <x v="2"/>
    <x v="2"/>
    <n v="0.9431821137117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0"/>
    <x v="5"/>
    <x v="3"/>
    <x v="2"/>
    <n v="1.88636422742344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0"/>
    <x v="6"/>
    <x v="0"/>
    <x v="0"/>
    <n v="2.1749918330962799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1"/>
    <x v="1"/>
    <x v="0"/>
    <x v="0"/>
    <n v="1.1945115493077301"/>
    <n v="2E+20"/>
    <n v="0"/>
    <n v="8"/>
    <n v="8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1"/>
    <x v="2"/>
    <x v="1"/>
    <x v="1"/>
    <n v="16.7473046184849"/>
    <n v="2E+20"/>
    <n v="0"/>
    <n v="37"/>
    <n v="36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1"/>
    <x v="3"/>
    <x v="2"/>
    <x v="2"/>
    <n v="0.71791407599347101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1"/>
    <x v="3"/>
    <x v="3"/>
    <x v="2"/>
    <n v="7.1791407599347101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1"/>
    <x v="4"/>
    <x v="0"/>
    <x v="0"/>
    <n v="2.1426391607582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1"/>
    <x v="5"/>
    <x v="2"/>
    <x v="2"/>
    <n v="0.9365531070787509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1"/>
    <x v="5"/>
    <x v="3"/>
    <x v="2"/>
    <n v="1.873106214157499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1"/>
    <x v="6"/>
    <x v="0"/>
    <x v="0"/>
    <n v="2.0230576660756401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2"/>
    <x v="1"/>
    <x v="0"/>
    <x v="0"/>
    <n v="10.829737903596101"/>
    <n v="2E+20"/>
    <n v="0"/>
    <n v="26"/>
    <n v="25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2"/>
    <x v="2"/>
    <x v="1"/>
    <x v="1"/>
    <n v="39.334083578667702"/>
    <n v="2E+20"/>
    <n v="0"/>
    <n v="73"/>
    <n v="7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2"/>
    <x v="3"/>
    <x v="2"/>
    <x v="2"/>
    <n v="0.88373038857377595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2"/>
    <x v="3"/>
    <x v="3"/>
    <x v="2"/>
    <n v="8.8373038857377608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2"/>
    <x v="4"/>
    <x v="0"/>
    <x v="0"/>
    <n v="2.9950928176137199"/>
    <n v="2E+20"/>
    <n v="0"/>
    <n v="4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2"/>
    <x v="5"/>
    <x v="2"/>
    <x v="2"/>
    <n v="0.94089492450732604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2"/>
    <x v="5"/>
    <x v="3"/>
    <x v="2"/>
    <n v="1.88178984901465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2"/>
    <x v="6"/>
    <x v="0"/>
    <x v="0"/>
    <n v="2.81798290893494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3"/>
    <x v="1"/>
    <x v="0"/>
    <x v="0"/>
    <n v="4.53064197917928"/>
    <n v="2E+20"/>
    <n v="0"/>
    <n v="15"/>
    <n v="14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3"/>
    <x v="2"/>
    <x v="1"/>
    <x v="1"/>
    <n v="28.255869736153201"/>
    <n v="2E+20"/>
    <n v="0"/>
    <n v="50"/>
    <n v="4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3"/>
    <x v="3"/>
    <x v="2"/>
    <x v="2"/>
    <n v="0.9597292888897309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3"/>
    <x v="3"/>
    <x v="3"/>
    <x v="2"/>
    <n v="9.5972928888973108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3"/>
    <x v="4"/>
    <x v="0"/>
    <x v="0"/>
    <n v="3.27384557923344"/>
    <n v="2E+20"/>
    <n v="0"/>
    <n v="6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3"/>
    <x v="5"/>
    <x v="2"/>
    <x v="2"/>
    <n v="0.99597963781204601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3"/>
    <x v="5"/>
    <x v="3"/>
    <x v="2"/>
    <n v="1.9919592756240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3"/>
    <x v="6"/>
    <x v="0"/>
    <x v="0"/>
    <n v="3.1321826707254301"/>
    <n v="2E+20"/>
    <n v="0"/>
    <n v="6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4"/>
    <x v="1"/>
    <x v="0"/>
    <x v="0"/>
    <n v="7.2089656935250899"/>
    <n v="2E+20"/>
    <n v="0"/>
    <n v="21"/>
    <n v="21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4"/>
    <x v="2"/>
    <x v="1"/>
    <x v="1"/>
    <n v="33.1819621307489"/>
    <n v="2E+20"/>
    <n v="0"/>
    <n v="62"/>
    <n v="62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4"/>
    <x v="3"/>
    <x v="2"/>
    <x v="2"/>
    <n v="0.93820153718493604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4"/>
    <x v="3"/>
    <x v="3"/>
    <x v="2"/>
    <n v="9.382015371849359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4"/>
    <x v="4"/>
    <x v="0"/>
    <x v="0"/>
    <n v="3.1540079989522898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4"/>
    <x v="5"/>
    <x v="2"/>
    <x v="2"/>
    <n v="0.99868085324383205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4"/>
    <x v="5"/>
    <x v="3"/>
    <x v="2"/>
    <n v="1.99736170648766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4"/>
    <x v="6"/>
    <x v="0"/>
    <x v="0"/>
    <n v="3.05614320679225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5"/>
    <x v="1"/>
    <x v="0"/>
    <x v="0"/>
    <n v="10.4729492447093"/>
    <n v="2E+20"/>
    <n v="0"/>
    <n v="21"/>
    <n v="2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5"/>
    <x v="2"/>
    <x v="1"/>
    <x v="1"/>
    <n v="39.9894292395891"/>
    <n v="2E+20"/>
    <n v="0"/>
    <n v="63"/>
    <n v="6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5"/>
    <x v="3"/>
    <x v="2"/>
    <x v="2"/>
    <n v="0.95217653750853204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5"/>
    <x v="3"/>
    <x v="3"/>
    <x v="2"/>
    <n v="9.521765375085310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5"/>
    <x v="4"/>
    <x v="0"/>
    <x v="0"/>
    <n v="3.189666050468559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5"/>
    <x v="5"/>
    <x v="2"/>
    <x v="2"/>
    <n v="0.99166360732138903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5"/>
    <x v="5"/>
    <x v="3"/>
    <x v="2"/>
    <n v="1.98332721464278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5"/>
    <x v="6"/>
    <x v="0"/>
    <x v="0"/>
    <n v="3.1492882883768001"/>
    <n v="2E+20"/>
    <n v="0"/>
    <n v="5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6"/>
    <x v="1"/>
    <x v="0"/>
    <x v="0"/>
    <n v="5.7715326074705402"/>
    <n v="2E+20"/>
    <n v="0"/>
    <n v="13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6"/>
    <x v="2"/>
    <x v="1"/>
    <x v="1"/>
    <n v="28.430123844185001"/>
    <n v="2E+20"/>
    <n v="0"/>
    <n v="47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6"/>
    <x v="3"/>
    <x v="2"/>
    <x v="2"/>
    <n v="0.84435293146219603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6"/>
    <x v="3"/>
    <x v="3"/>
    <x v="2"/>
    <n v="8.4435293146219603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6"/>
    <x v="4"/>
    <x v="0"/>
    <x v="0"/>
    <n v="2.6244273675277401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6"/>
    <x v="5"/>
    <x v="2"/>
    <x v="2"/>
    <n v="0.994211710696308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6"/>
    <x v="5"/>
    <x v="3"/>
    <x v="2"/>
    <n v="1.98842342139262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6"/>
    <x v="6"/>
    <x v="0"/>
    <x v="0"/>
    <n v="2.6122236575503801"/>
    <n v="2E+20"/>
    <n v="0"/>
    <n v="5"/>
    <n v="4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7"/>
    <x v="1"/>
    <x v="0"/>
    <x v="0"/>
    <n v="0.69280905200452503"/>
    <n v="2E+20"/>
    <n v="0"/>
    <n v="5"/>
    <n v="4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7"/>
    <x v="2"/>
    <x v="1"/>
    <x v="1"/>
    <n v="18.9264457181967"/>
    <n v="2E+20"/>
    <n v="0"/>
    <n v="30"/>
    <n v="2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7"/>
    <x v="3"/>
    <x v="2"/>
    <x v="2"/>
    <n v="0.87704138070938198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7"/>
    <x v="3"/>
    <x v="3"/>
    <x v="2"/>
    <n v="8.7704138070938296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7"/>
    <x v="4"/>
    <x v="0"/>
    <x v="0"/>
    <n v="2.8825303258687098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7"/>
    <x v="5"/>
    <x v="2"/>
    <x v="2"/>
    <n v="0.984469957753789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7"/>
    <x v="5"/>
    <x v="3"/>
    <x v="2"/>
    <n v="1.96893991550758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7"/>
    <x v="6"/>
    <x v="0"/>
    <x v="0"/>
    <n v="2.7308339595436801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8"/>
    <x v="1"/>
    <x v="0"/>
    <x v="0"/>
    <n v="11.6027533745215"/>
    <n v="2E+20"/>
    <n v="0"/>
    <n v="21"/>
    <n v="19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8"/>
    <x v="2"/>
    <x v="1"/>
    <x v="1"/>
    <n v="42.212083466170498"/>
    <n v="2E+20"/>
    <n v="0"/>
    <n v="62"/>
    <n v="58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8"/>
    <x v="3"/>
    <x v="2"/>
    <x v="2"/>
    <n v="0.95032883585637096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8"/>
    <x v="3"/>
    <x v="3"/>
    <x v="2"/>
    <n v="9.5032883585636991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8"/>
    <x v="4"/>
    <x v="0"/>
    <x v="0"/>
    <n v="3.2225033422177098"/>
    <n v="2E+20"/>
    <n v="0"/>
    <n v="5"/>
    <n v="3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8"/>
    <x v="5"/>
    <x v="2"/>
    <x v="2"/>
    <n v="0.99529885108462202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8"/>
    <x v="5"/>
    <x v="3"/>
    <x v="2"/>
    <n v="1.99059770216924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8"/>
    <x v="6"/>
    <x v="0"/>
    <x v="0"/>
    <n v="3.0427323488099498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39"/>
    <x v="1"/>
    <x v="0"/>
    <x v="0"/>
    <n v="2.1299258305192401"/>
    <n v="2E+20"/>
    <n v="0"/>
    <n v="11"/>
    <n v="10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39"/>
    <x v="2"/>
    <x v="1"/>
    <x v="1"/>
    <n v="21.421417777932199"/>
    <n v="2E+20"/>
    <n v="0"/>
    <n v="42"/>
    <n v="4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39"/>
    <x v="3"/>
    <x v="2"/>
    <x v="2"/>
    <n v="0.85807830584468703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39"/>
    <x v="3"/>
    <x v="3"/>
    <x v="2"/>
    <n v="8.580783058446870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39"/>
    <x v="4"/>
    <x v="0"/>
    <x v="0"/>
    <n v="2.89022073388539"/>
    <n v="2E+20"/>
    <n v="0"/>
    <n v="5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39"/>
    <x v="5"/>
    <x v="2"/>
    <x v="2"/>
    <n v="0.96758095254889598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39"/>
    <x v="5"/>
    <x v="3"/>
    <x v="2"/>
    <n v="1.93516190509779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3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39"/>
    <x v="6"/>
    <x v="0"/>
    <x v="0"/>
    <n v="2.5780424395062398"/>
    <n v="2E+20"/>
    <n v="0"/>
    <n v="5"/>
    <n v="3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  <r>
    <x v="0"/>
    <s v="2023-12-09 10:17:21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7:21"/>
    <n v="40"/>
    <x v="1"/>
    <x v="0"/>
    <x v="0"/>
    <n v="1.3544965396028801"/>
    <n v="2E+20"/>
    <n v="0"/>
    <n v="6"/>
    <n v="5"/>
    <n v="0"/>
    <s v="Unnamed ProjectAtribui copo.QueueNumber WaitingQueue"/>
    <n v="40"/>
    <n v="5.862044820968829"/>
    <n v="3.6418723998741918"/>
    <n v="0.95"/>
    <n v="1.1647272989250694"/>
    <n v="0.475935837419309"/>
    <n v="14.545335118962701"/>
    <n v="1.1647272989250694"/>
  </r>
  <r>
    <x v="0"/>
    <s v="2023-12-09 10:17:21"/>
    <n v="40"/>
    <x v="2"/>
    <x v="1"/>
    <x v="1"/>
    <n v="19.769918461428901"/>
    <n v="2E+20"/>
    <n v="0"/>
    <n v="32"/>
    <n v="30"/>
    <n v="0"/>
    <s v="Unnamed ProjectClienteWIPEntity"/>
    <n v="40"/>
    <n v="29.304295622339577"/>
    <n v="8.1920386958719043"/>
    <n v="0.95"/>
    <n v="2.6199410784579222"/>
    <n v="16.614335916574898"/>
    <n v="47.992828685108996"/>
    <n v="2.6199410784579222"/>
  </r>
  <r>
    <x v="0"/>
    <s v="2023-12-09 10:17:21"/>
    <n v="40"/>
    <x v="3"/>
    <x v="2"/>
    <x v="2"/>
    <n v="0.853046269111157"/>
    <n v="2E+20"/>
    <n v="0"/>
    <n v="1"/>
    <n v="1"/>
    <n v="0"/>
    <s v="Unnamed ProjectCopoInstantaneous UtilizationResource"/>
    <n v="40"/>
    <n v="0.8790102990200962"/>
    <n v="6.4041892088461574E-2"/>
    <n v="0.95"/>
    <n v="2.0481590731410954E-2"/>
    <n v="0.71791407599347101"/>
    <n v="0.96105910626671998"/>
    <n v="2.0481590731410954E-2"/>
  </r>
  <r>
    <x v="0"/>
    <s v="2023-12-09 10:17:21"/>
    <n v="40"/>
    <x v="3"/>
    <x v="3"/>
    <x v="2"/>
    <n v="8.5304626911115697"/>
    <n v="2E+20"/>
    <n v="0"/>
    <n v="10"/>
    <n v="10"/>
    <n v="0"/>
    <s v="Unnamed ProjectCopoNumber BusyResource"/>
    <n v="40"/>
    <n v="8.790102990200964"/>
    <n v="0.64041892088461538"/>
    <n v="0.95"/>
    <n v="0.20481590731410945"/>
    <n v="7.1791407599347101"/>
    <n v="9.6105910626672006"/>
    <n v="0.20481590731410945"/>
  </r>
  <r>
    <x v="0"/>
    <s v="2023-12-09 10:17:21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7:21"/>
    <n v="40"/>
    <x v="4"/>
    <x v="0"/>
    <x v="0"/>
    <n v="2.7146643604673701"/>
    <n v="2E+20"/>
    <n v="0"/>
    <n v="6"/>
    <n v="4"/>
    <n v="0"/>
    <s v="Unnamed ProjectEncher.QueueNumber WaitingQueue"/>
    <n v="40"/>
    <n v="2.8792341846950738"/>
    <n v="0.28601766769087028"/>
    <n v="0.95"/>
    <n v="9.1472887832627928E-2"/>
    <n v="2.1426391607582"/>
    <n v="3.27384557923344"/>
    <n v="9.1472887832627928E-2"/>
  </r>
  <r>
    <x v="0"/>
    <s v="2023-12-09 10:17:21"/>
    <n v="40"/>
    <x v="5"/>
    <x v="2"/>
    <x v="2"/>
    <n v="0.97513747162922904"/>
    <n v="2E+20"/>
    <n v="0"/>
    <n v="1"/>
    <n v="1"/>
    <n v="0"/>
    <s v="Unnamed ProjectGarçoneteInstantaneous UtilizationResource"/>
    <n v="40"/>
    <n v="0.97764323127952735"/>
    <n v="2.0318152206087455E-2"/>
    <n v="0.95"/>
    <n v="6.4980603216527278E-3"/>
    <n v="0.92631153500444496"/>
    <n v="0.99913603041501298"/>
    <n v="6.4980603216527278E-3"/>
  </r>
  <r>
    <x v="0"/>
    <s v="2023-12-09 10:17:21"/>
    <n v="40"/>
    <x v="5"/>
    <x v="3"/>
    <x v="2"/>
    <n v="1.9502749432584601"/>
    <n v="2E+20"/>
    <n v="0"/>
    <n v="2"/>
    <n v="2"/>
    <n v="0"/>
    <s v="Unnamed ProjectGarçoneteNumber BusyResource"/>
    <n v="40"/>
    <n v="1.9552864625590551"/>
    <n v="4.0636304412174862E-2"/>
    <n v="0.95"/>
    <n v="1.299612064330544E-2"/>
    <n v="1.8526230700088899"/>
    <n v="1.99827206083003"/>
    <n v="1.299612064330544E-2"/>
  </r>
  <r>
    <x v="0"/>
    <s v="2023-12-09 10:17:21"/>
    <n v="4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10:17:21"/>
    <n v="40"/>
    <x v="6"/>
    <x v="0"/>
    <x v="0"/>
    <n v="2.63886080909927"/>
    <n v="2E+20"/>
    <n v="0"/>
    <n v="6"/>
    <n v="2"/>
    <n v="0"/>
    <s v="Unnamed ProjectLava copo.QueueNumber WaitingQueue"/>
    <n v="40"/>
    <n v="2.7691259059879112"/>
    <n v="0.32129764276607009"/>
    <n v="0.95"/>
    <n v="0.10275597124787904"/>
    <n v="2.0230576660756401"/>
    <n v="3.1833377638216702"/>
    <n v="0.102755971247879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10:17:21"/>
    <n v="1"/>
    <x v="0"/>
    <x v="0"/>
    <x v="0"/>
    <n v="0"/>
    <n v="2E+20"/>
    <n v="0"/>
    <n v="0"/>
    <n v="58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"/>
    <x v="0"/>
    <x v="0"/>
    <x v="0"/>
    <n v="0"/>
    <n v="2E+20"/>
    <n v="0"/>
    <n v="0"/>
    <n v="65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4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5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6"/>
    <x v="0"/>
    <x v="0"/>
    <x v="0"/>
    <n v="0"/>
    <n v="2E+20"/>
    <n v="0"/>
    <n v="0"/>
    <n v="8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7"/>
    <x v="0"/>
    <x v="0"/>
    <x v="0"/>
    <n v="0"/>
    <n v="2E+20"/>
    <n v="0"/>
    <n v="0"/>
    <n v="51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8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9"/>
    <x v="0"/>
    <x v="0"/>
    <x v="0"/>
    <n v="0"/>
    <n v="2E+20"/>
    <n v="0"/>
    <n v="0"/>
    <n v="66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0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1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2"/>
    <x v="0"/>
    <x v="0"/>
    <x v="0"/>
    <n v="0"/>
    <n v="2E+20"/>
    <n v="0"/>
    <n v="0"/>
    <n v="57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3"/>
    <x v="0"/>
    <x v="0"/>
    <x v="0"/>
    <n v="0"/>
    <n v="2E+20"/>
    <n v="0"/>
    <n v="0"/>
    <n v="6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4"/>
    <x v="0"/>
    <x v="0"/>
    <x v="0"/>
    <n v="0"/>
    <n v="2E+20"/>
    <n v="0"/>
    <n v="0"/>
    <n v="66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5"/>
    <x v="0"/>
    <x v="0"/>
    <x v="0"/>
    <n v="0"/>
    <n v="2E+20"/>
    <n v="0"/>
    <n v="0"/>
    <n v="57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6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7"/>
    <x v="0"/>
    <x v="0"/>
    <x v="0"/>
    <n v="0"/>
    <n v="2E+20"/>
    <n v="0"/>
    <n v="0"/>
    <n v="55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8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9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0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1"/>
    <x v="0"/>
    <x v="0"/>
    <x v="0"/>
    <n v="0"/>
    <n v="2E+20"/>
    <n v="0"/>
    <n v="0"/>
    <n v="67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2"/>
    <x v="0"/>
    <x v="0"/>
    <x v="0"/>
    <n v="0"/>
    <n v="2E+20"/>
    <n v="0"/>
    <n v="0"/>
    <n v="58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3"/>
    <x v="0"/>
    <x v="0"/>
    <x v="0"/>
    <n v="0"/>
    <n v="2E+20"/>
    <n v="0"/>
    <n v="0"/>
    <n v="59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4"/>
    <x v="0"/>
    <x v="0"/>
    <x v="0"/>
    <n v="0"/>
    <n v="2E+20"/>
    <n v="0"/>
    <n v="0"/>
    <n v="51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5"/>
    <x v="0"/>
    <x v="0"/>
    <x v="0"/>
    <n v="0"/>
    <n v="2E+20"/>
    <n v="0"/>
    <n v="0"/>
    <n v="57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6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7"/>
    <x v="0"/>
    <x v="0"/>
    <x v="0"/>
    <n v="0"/>
    <n v="2E+20"/>
    <n v="0"/>
    <n v="0"/>
    <n v="6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8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29"/>
    <x v="0"/>
    <x v="0"/>
    <x v="0"/>
    <n v="0"/>
    <n v="2E+20"/>
    <n v="0"/>
    <n v="0"/>
    <n v="59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0"/>
    <x v="0"/>
    <x v="0"/>
    <x v="0"/>
    <n v="0"/>
    <n v="2E+20"/>
    <n v="0"/>
    <n v="0"/>
    <n v="58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1"/>
    <x v="0"/>
    <x v="0"/>
    <x v="0"/>
    <n v="0"/>
    <n v="2E+20"/>
    <n v="0"/>
    <n v="0"/>
    <n v="55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2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3"/>
    <x v="0"/>
    <x v="0"/>
    <x v="0"/>
    <n v="0"/>
    <n v="2E+20"/>
    <n v="0"/>
    <n v="0"/>
    <n v="63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4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5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6"/>
    <x v="0"/>
    <x v="0"/>
    <x v="0"/>
    <n v="0"/>
    <n v="2E+20"/>
    <n v="0"/>
    <n v="0"/>
    <n v="6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7"/>
    <x v="0"/>
    <x v="0"/>
    <x v="0"/>
    <n v="0"/>
    <n v="2E+20"/>
    <n v="0"/>
    <n v="0"/>
    <n v="54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8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39"/>
    <x v="0"/>
    <x v="0"/>
    <x v="0"/>
    <n v="0"/>
    <n v="2E+20"/>
    <n v="0"/>
    <n v="0"/>
    <n v="60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40"/>
    <x v="0"/>
    <x v="0"/>
    <x v="0"/>
    <n v="0"/>
    <n v="2E+20"/>
    <n v="0"/>
    <n v="0"/>
    <n v="54"/>
    <s v="Unnamed ProjectAgrupar.QueueWaiting TimeQueue"/>
    <n v="40"/>
    <n v="0"/>
    <n v="0"/>
    <n v="0.95"/>
    <n v="0"/>
    <n v="0"/>
    <n v="0"/>
    <n v="0"/>
    <n v="0"/>
    <n v="63.75"/>
    <n v="0"/>
    <n v="40"/>
    <n v="1"/>
  </r>
  <r>
    <x v="0"/>
    <s v="2023-12-09 10:17:21"/>
    <n v="1"/>
    <x v="1"/>
    <x v="0"/>
    <x v="0"/>
    <n v="10.8219127185396"/>
    <n v="2E+20"/>
    <n v="0"/>
    <n v="44.964149089395399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"/>
    <x v="1"/>
    <x v="0"/>
    <x v="0"/>
    <n v="17.6558098682112"/>
    <n v="2E+20"/>
    <n v="0"/>
    <n v="66.288394770064102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"/>
    <x v="1"/>
    <x v="0"/>
    <x v="0"/>
    <n v="22.793276176791998"/>
    <n v="2E+20"/>
    <n v="0"/>
    <n v="74.548602896488703"/>
    <n v="51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4"/>
    <x v="1"/>
    <x v="0"/>
    <x v="0"/>
    <n v="27.043578551047101"/>
    <n v="2E+20"/>
    <n v="0"/>
    <n v="70.088172631155899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5"/>
    <x v="1"/>
    <x v="0"/>
    <x v="0"/>
    <n v="31.5268972691489"/>
    <n v="2E+20"/>
    <n v="0"/>
    <n v="94.042954195922107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6"/>
    <x v="1"/>
    <x v="0"/>
    <x v="0"/>
    <n v="43.617756229995699"/>
    <n v="2E+20"/>
    <n v="0"/>
    <n v="99.920062845191197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7"/>
    <x v="1"/>
    <x v="0"/>
    <x v="0"/>
    <n v="2.2923591374407501"/>
    <n v="2E+20"/>
    <n v="0"/>
    <n v="17.697084761662399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8"/>
    <x v="1"/>
    <x v="0"/>
    <x v="0"/>
    <n v="22.123741588970301"/>
    <n v="2E+20"/>
    <n v="0"/>
    <n v="59.278390676568797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9"/>
    <x v="1"/>
    <x v="0"/>
    <x v="0"/>
    <n v="30.281474350582702"/>
    <n v="2E+20"/>
    <n v="0"/>
    <n v="88.1251952536674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0"/>
    <x v="1"/>
    <x v="0"/>
    <x v="0"/>
    <n v="24.555340513997599"/>
    <n v="2E+20"/>
    <n v="0"/>
    <n v="67.747676453594295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1"/>
    <x v="1"/>
    <x v="0"/>
    <x v="0"/>
    <n v="10.1821260357517"/>
    <n v="2E+20"/>
    <n v="0"/>
    <n v="39.709738415874902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2"/>
    <x v="1"/>
    <x v="0"/>
    <x v="0"/>
    <n v="20.8569235978484"/>
    <n v="2E+20"/>
    <n v="0"/>
    <n v="47.842119725842998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3"/>
    <x v="1"/>
    <x v="0"/>
    <x v="0"/>
    <n v="11.356345592079199"/>
    <n v="2E+20"/>
    <n v="0"/>
    <n v="48.056636702374803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4"/>
    <x v="1"/>
    <x v="0"/>
    <x v="0"/>
    <n v="17.683387338165801"/>
    <n v="2E+20"/>
    <n v="0"/>
    <n v="52.242154641001001"/>
    <n v="51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5"/>
    <x v="1"/>
    <x v="0"/>
    <x v="0"/>
    <n v="11.5938918800581"/>
    <n v="2E+20"/>
    <n v="0"/>
    <n v="48.666482243448399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6"/>
    <x v="1"/>
    <x v="0"/>
    <x v="0"/>
    <n v="26.990054691612499"/>
    <n v="2E+20"/>
    <n v="0"/>
    <n v="71.354087954083596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7"/>
    <x v="1"/>
    <x v="0"/>
    <x v="0"/>
    <n v="13.1011782112563"/>
    <n v="2E+20"/>
    <n v="0"/>
    <n v="44.548554227228003"/>
    <n v="47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8"/>
    <x v="1"/>
    <x v="0"/>
    <x v="0"/>
    <n v="25.6556715977982"/>
    <n v="2E+20"/>
    <n v="0"/>
    <n v="84.722265623098806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9"/>
    <x v="1"/>
    <x v="0"/>
    <x v="0"/>
    <n v="21.3806494384934"/>
    <n v="2E+20"/>
    <n v="0"/>
    <n v="55.276100389091503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0"/>
    <x v="1"/>
    <x v="0"/>
    <x v="0"/>
    <n v="27.859063741909502"/>
    <n v="2E+20"/>
    <n v="0"/>
    <n v="66.711883908811004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1"/>
    <x v="1"/>
    <x v="0"/>
    <x v="0"/>
    <n v="11.219688348633801"/>
    <n v="2E+20"/>
    <n v="0"/>
    <n v="45.983206590016302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2"/>
    <x v="1"/>
    <x v="0"/>
    <x v="0"/>
    <n v="11.9403274979743"/>
    <n v="2E+20"/>
    <n v="0"/>
    <n v="38.258135605286597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3"/>
    <x v="1"/>
    <x v="0"/>
    <x v="0"/>
    <n v="11.0930534870432"/>
    <n v="2E+20"/>
    <n v="0"/>
    <n v="37.412018677727303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4"/>
    <x v="1"/>
    <x v="0"/>
    <x v="0"/>
    <n v="2.6901521859739002"/>
    <n v="2E+20"/>
    <n v="0"/>
    <n v="18.9546558470484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5"/>
    <x v="1"/>
    <x v="0"/>
    <x v="0"/>
    <n v="15.212606329006"/>
    <n v="2E+20"/>
    <n v="0"/>
    <n v="45.253735556416203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6"/>
    <x v="1"/>
    <x v="0"/>
    <x v="0"/>
    <n v="34.958840974076899"/>
    <n v="2E+20"/>
    <n v="0"/>
    <n v="87.746133185991795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7"/>
    <x v="1"/>
    <x v="0"/>
    <x v="0"/>
    <n v="13.4980410585379"/>
    <n v="2E+20"/>
    <n v="0"/>
    <n v="55.773744701126802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8"/>
    <x v="1"/>
    <x v="0"/>
    <x v="0"/>
    <n v="30.6272498800611"/>
    <n v="2E+20"/>
    <n v="0"/>
    <n v="71.578355874335401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29"/>
    <x v="1"/>
    <x v="0"/>
    <x v="0"/>
    <n v="12.742340931377001"/>
    <n v="2E+20"/>
    <n v="0"/>
    <n v="50.841879316905803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0"/>
    <x v="1"/>
    <x v="0"/>
    <x v="0"/>
    <n v="6.5313166759118504"/>
    <n v="2E+20"/>
    <n v="0"/>
    <n v="32.175916794209499"/>
    <n v="48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1"/>
    <x v="1"/>
    <x v="0"/>
    <x v="0"/>
    <n v="4.0681433111885896"/>
    <n v="2E+20"/>
    <n v="0"/>
    <n v="31.6851216065768"/>
    <n v="47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2"/>
    <x v="1"/>
    <x v="0"/>
    <x v="0"/>
    <n v="30.492336900887199"/>
    <n v="2E+20"/>
    <n v="0"/>
    <n v="87.636698979966994"/>
    <n v="47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3"/>
    <x v="1"/>
    <x v="0"/>
    <x v="0"/>
    <n v="12.7346380434761"/>
    <n v="2E+20"/>
    <n v="0"/>
    <n v="58.271367349175598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4"/>
    <x v="1"/>
    <x v="0"/>
    <x v="0"/>
    <n v="22.706929906676201"/>
    <n v="2E+20"/>
    <n v="0"/>
    <n v="50.404682032318597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5"/>
    <x v="1"/>
    <x v="0"/>
    <x v="0"/>
    <n v="32.7819945241393"/>
    <n v="2E+20"/>
    <n v="0"/>
    <n v="83.320929602922007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6"/>
    <x v="1"/>
    <x v="0"/>
    <x v="0"/>
    <n v="21.444828067174701"/>
    <n v="2E+20"/>
    <n v="0"/>
    <n v="67.226833141496996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7"/>
    <x v="1"/>
    <x v="0"/>
    <x v="0"/>
    <n v="2.6140293503152101"/>
    <n v="2E+20"/>
    <n v="0"/>
    <n v="19.238586340938902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8"/>
    <x v="1"/>
    <x v="0"/>
    <x v="0"/>
    <n v="35.9434168681166"/>
    <n v="2E+20"/>
    <n v="0"/>
    <n v="88.4157622560774"/>
    <n v="51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39"/>
    <x v="1"/>
    <x v="0"/>
    <x v="0"/>
    <n v="6.5760753197744997"/>
    <n v="2E+20"/>
    <n v="0"/>
    <n v="32.923607627675999"/>
    <n v="50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40"/>
    <x v="1"/>
    <x v="0"/>
    <x v="0"/>
    <n v="5.5112663061631597"/>
    <n v="2E+20"/>
    <n v="0"/>
    <n v="25.061319951148299"/>
    <n v="49"/>
    <s v="Unnamed ProjectAtribui copo.QueueWaiting TimeQueue"/>
    <n v="40"/>
    <n v="18.618967862405164"/>
    <n v="10.547953014879543"/>
    <n v="0.95"/>
    <n v="3.3733990308484154"/>
    <n v="2.2923591374407501"/>
    <n v="43.617756229995699"/>
    <n v="0"/>
    <n v="99.920062845191197"/>
    <n v="49.1"/>
    <n v="3.3733990308484154"/>
    <n v="40"/>
    <n v="1"/>
  </r>
  <r>
    <x v="0"/>
    <s v="2023-12-09 10:17:21"/>
    <n v="1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"/>
    <x v="2"/>
    <x v="3"/>
    <x v="1"/>
    <n v="28.180940852220601"/>
    <n v="2E+20"/>
    <n v="0"/>
    <n v="79.773028372167303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"/>
    <x v="2"/>
    <x v="5"/>
    <x v="1"/>
    <n v="10.505384952584601"/>
    <n v="2E+20"/>
    <n v="0"/>
    <n v="20.471650595429999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"/>
    <x v="2"/>
    <x v="6"/>
    <x v="1"/>
    <n v="17.675555899635999"/>
    <n v="2E+20"/>
    <n v="0"/>
    <n v="60.174465311274801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"/>
    <x v="2"/>
    <x v="1"/>
    <x v="1"/>
    <n v="0"/>
    <n v="2E+20"/>
    <n v="0"/>
    <n v="0"/>
    <n v="65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"/>
    <x v="2"/>
    <x v="2"/>
    <x v="1"/>
    <n v="0"/>
    <n v="2E+20"/>
    <n v="0"/>
    <n v="0"/>
    <n v="65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"/>
    <x v="2"/>
    <x v="3"/>
    <x v="1"/>
    <n v="32.986334745491597"/>
    <n v="2E+20"/>
    <n v="0"/>
    <n v="100.262221510095"/>
    <n v="65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"/>
    <x v="2"/>
    <x v="4"/>
    <x v="1"/>
    <n v="0"/>
    <n v="2E+20"/>
    <n v="0"/>
    <n v="0"/>
    <n v="65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"/>
    <x v="2"/>
    <x v="5"/>
    <x v="1"/>
    <n v="10.488905831980199"/>
    <n v="2E+20"/>
    <n v="0"/>
    <n v="20.654929637471099"/>
    <n v="65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"/>
    <x v="2"/>
    <x v="6"/>
    <x v="1"/>
    <n v="22.497428913511399"/>
    <n v="2E+20"/>
    <n v="0"/>
    <n v="82.937558692211496"/>
    <n v="65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"/>
    <x v="2"/>
    <x v="1"/>
    <x v="1"/>
    <n v="0"/>
    <n v="2E+20"/>
    <n v="0"/>
    <n v="0"/>
    <n v="70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"/>
    <x v="2"/>
    <x v="2"/>
    <x v="1"/>
    <n v="0"/>
    <n v="2E+20"/>
    <n v="0"/>
    <n v="0"/>
    <n v="70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"/>
    <x v="2"/>
    <x v="3"/>
    <x v="1"/>
    <n v="35.702604073507104"/>
    <n v="2E+20"/>
    <n v="0"/>
    <n v="97.660700567730302"/>
    <n v="70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"/>
    <x v="2"/>
    <x v="4"/>
    <x v="1"/>
    <n v="0"/>
    <n v="2E+20"/>
    <n v="0"/>
    <n v="0"/>
    <n v="70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"/>
    <x v="2"/>
    <x v="5"/>
    <x v="1"/>
    <n v="10.266100062695701"/>
    <n v="2E+20"/>
    <n v="0"/>
    <n v="19.432146375255801"/>
    <n v="70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"/>
    <x v="2"/>
    <x v="6"/>
    <x v="1"/>
    <n v="25.436504010811401"/>
    <n v="2E+20"/>
    <n v="0"/>
    <n v="80.130609763978399"/>
    <n v="70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4"/>
    <x v="2"/>
    <x v="1"/>
    <x v="1"/>
    <n v="0"/>
    <n v="2E+20"/>
    <n v="0"/>
    <n v="0"/>
    <n v="65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"/>
    <x v="2"/>
    <x v="2"/>
    <x v="1"/>
    <n v="0"/>
    <n v="2E+20"/>
    <n v="0"/>
    <n v="0"/>
    <n v="65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"/>
    <x v="2"/>
    <x v="3"/>
    <x v="1"/>
    <n v="41.210795153534796"/>
    <n v="2E+20"/>
    <n v="0"/>
    <n v="110.23799681916201"/>
    <n v="65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4"/>
    <x v="2"/>
    <x v="4"/>
    <x v="1"/>
    <n v="0"/>
    <n v="2E+20"/>
    <n v="0"/>
    <n v="0"/>
    <n v="65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"/>
    <x v="2"/>
    <x v="5"/>
    <x v="1"/>
    <n v="10.5351870140329"/>
    <n v="2E+20"/>
    <n v="0"/>
    <n v="20.267733551009599"/>
    <n v="65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4"/>
    <x v="2"/>
    <x v="6"/>
    <x v="1"/>
    <n v="30.6756081395019"/>
    <n v="2E+20"/>
    <n v="0"/>
    <n v="91.524219091689503"/>
    <n v="65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5"/>
    <x v="2"/>
    <x v="1"/>
    <x v="1"/>
    <n v="0"/>
    <n v="2E+20"/>
    <n v="0"/>
    <n v="0"/>
    <n v="65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5"/>
    <x v="2"/>
    <x v="2"/>
    <x v="1"/>
    <n v="0"/>
    <n v="2E+20"/>
    <n v="0"/>
    <n v="0"/>
    <n v="65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5"/>
    <x v="2"/>
    <x v="3"/>
    <x v="1"/>
    <n v="41.428230881866199"/>
    <n v="2E+20"/>
    <n v="0"/>
    <n v="115.00194672482699"/>
    <n v="65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5"/>
    <x v="2"/>
    <x v="4"/>
    <x v="1"/>
    <n v="0"/>
    <n v="2E+20"/>
    <n v="0"/>
    <n v="0"/>
    <n v="65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5"/>
    <x v="2"/>
    <x v="5"/>
    <x v="1"/>
    <n v="10.3399646945019"/>
    <n v="2E+20"/>
    <n v="0"/>
    <n v="19.784751300827299"/>
    <n v="65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5"/>
    <x v="2"/>
    <x v="6"/>
    <x v="1"/>
    <n v="31.0882661873644"/>
    <n v="2E+20"/>
    <n v="0"/>
    <n v="96.216751154336706"/>
    <n v="65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6"/>
    <x v="2"/>
    <x v="1"/>
    <x v="1"/>
    <n v="0"/>
    <n v="2E+20"/>
    <n v="0"/>
    <n v="0"/>
    <n v="60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6"/>
    <x v="2"/>
    <x v="2"/>
    <x v="1"/>
    <n v="0"/>
    <n v="2E+20"/>
    <n v="0"/>
    <n v="0"/>
    <n v="60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6"/>
    <x v="2"/>
    <x v="3"/>
    <x v="1"/>
    <n v="54.481064037149501"/>
    <n v="2E+20"/>
    <n v="0"/>
    <n v="135.81902063368"/>
    <n v="60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6"/>
    <x v="2"/>
    <x v="4"/>
    <x v="1"/>
    <n v="0"/>
    <n v="2E+20"/>
    <n v="0"/>
    <n v="0"/>
    <n v="60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6"/>
    <x v="2"/>
    <x v="5"/>
    <x v="1"/>
    <n v="11.4763265650571"/>
    <n v="2E+20"/>
    <n v="0"/>
    <n v="20.5653789757007"/>
    <n v="60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6"/>
    <x v="2"/>
    <x v="6"/>
    <x v="1"/>
    <n v="43.004737472092501"/>
    <n v="2E+20"/>
    <n v="0"/>
    <n v="118.512212682617"/>
    <n v="60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7"/>
    <x v="2"/>
    <x v="1"/>
    <x v="1"/>
    <n v="0"/>
    <n v="2E+20"/>
    <n v="0"/>
    <n v="0"/>
    <n v="65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7"/>
    <x v="2"/>
    <x v="2"/>
    <x v="1"/>
    <n v="0"/>
    <n v="2E+20"/>
    <n v="0"/>
    <n v="0"/>
    <n v="65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7"/>
    <x v="2"/>
    <x v="3"/>
    <x v="1"/>
    <n v="26.1704265563517"/>
    <n v="2E+20"/>
    <n v="0"/>
    <n v="59.063491304776598"/>
    <n v="65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7"/>
    <x v="2"/>
    <x v="4"/>
    <x v="1"/>
    <n v="0"/>
    <n v="2E+20"/>
    <n v="0"/>
    <n v="0"/>
    <n v="65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7"/>
    <x v="2"/>
    <x v="5"/>
    <x v="1"/>
    <n v="10.582545306539"/>
    <n v="2E+20"/>
    <n v="0"/>
    <n v="20.303675602965701"/>
    <n v="65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7"/>
    <x v="2"/>
    <x v="6"/>
    <x v="1"/>
    <n v="15.5878812498127"/>
    <n v="2E+20"/>
    <n v="0"/>
    <n v="41.559130371789898"/>
    <n v="65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8"/>
    <x v="2"/>
    <x v="1"/>
    <x v="1"/>
    <n v="0"/>
    <n v="2E+20"/>
    <n v="0"/>
    <n v="0"/>
    <n v="66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8"/>
    <x v="2"/>
    <x v="2"/>
    <x v="1"/>
    <n v="0"/>
    <n v="2E+20"/>
    <n v="0"/>
    <n v="0"/>
    <n v="66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8"/>
    <x v="2"/>
    <x v="3"/>
    <x v="1"/>
    <n v="37.800503599758201"/>
    <n v="2E+20"/>
    <n v="0"/>
    <n v="107.563696873943"/>
    <n v="66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8"/>
    <x v="2"/>
    <x v="4"/>
    <x v="1"/>
    <n v="0"/>
    <n v="2E+20"/>
    <n v="0"/>
    <n v="0"/>
    <n v="66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8"/>
    <x v="2"/>
    <x v="5"/>
    <x v="1"/>
    <n v="10.544443961875301"/>
    <n v="2E+20"/>
    <n v="0"/>
    <n v="21.570142335238799"/>
    <n v="66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8"/>
    <x v="2"/>
    <x v="6"/>
    <x v="1"/>
    <n v="27.256059637882998"/>
    <n v="2E+20"/>
    <n v="0"/>
    <n v="88.166938131653694"/>
    <n v="66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9"/>
    <x v="2"/>
    <x v="1"/>
    <x v="1"/>
    <n v="0"/>
    <n v="2E+20"/>
    <n v="0"/>
    <n v="0"/>
    <n v="66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9"/>
    <x v="2"/>
    <x v="2"/>
    <x v="1"/>
    <n v="0"/>
    <n v="2E+20"/>
    <n v="0"/>
    <n v="0"/>
    <n v="66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9"/>
    <x v="2"/>
    <x v="3"/>
    <x v="1"/>
    <n v="40.1797335193707"/>
    <n v="2E+20"/>
    <n v="0"/>
    <n v="115.73835961749199"/>
    <n v="66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9"/>
    <x v="2"/>
    <x v="4"/>
    <x v="1"/>
    <n v="0"/>
    <n v="2E+20"/>
    <n v="0"/>
    <n v="0"/>
    <n v="66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9"/>
    <x v="2"/>
    <x v="5"/>
    <x v="1"/>
    <n v="9.9818298964229992"/>
    <n v="2E+20"/>
    <n v="0"/>
    <n v="20.4537003910126"/>
    <n v="66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9"/>
    <x v="2"/>
    <x v="6"/>
    <x v="1"/>
    <n v="30.197903622947699"/>
    <n v="2E+20"/>
    <n v="0"/>
    <n v="98.797908874385698"/>
    <n v="66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0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0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0"/>
    <x v="2"/>
    <x v="3"/>
    <x v="1"/>
    <n v="36.773285378593698"/>
    <n v="2E+20"/>
    <n v="0"/>
    <n v="108.699341547298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0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0"/>
    <x v="2"/>
    <x v="5"/>
    <x v="1"/>
    <n v="10.072363084664699"/>
    <n v="2E+20"/>
    <n v="0"/>
    <n v="20.3689427300909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0"/>
    <x v="2"/>
    <x v="6"/>
    <x v="1"/>
    <n v="26.700922293929001"/>
    <n v="2E+20"/>
    <n v="0"/>
    <n v="89.396166657868207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1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1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1"/>
    <x v="2"/>
    <x v="3"/>
    <x v="1"/>
    <n v="27.753395806729799"/>
    <n v="2E+20"/>
    <n v="0"/>
    <n v="79.877896565870202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1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1"/>
    <x v="2"/>
    <x v="5"/>
    <x v="1"/>
    <n v="10.062230516980099"/>
    <n v="2E+20"/>
    <n v="0"/>
    <n v="20.040588850583799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1"/>
    <x v="2"/>
    <x v="6"/>
    <x v="1"/>
    <n v="17.691165289749801"/>
    <n v="2E+20"/>
    <n v="0"/>
    <n v="63.837379523449201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2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2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2"/>
    <x v="2"/>
    <x v="3"/>
    <x v="1"/>
    <n v="36.601354602957997"/>
    <n v="2E+20"/>
    <n v="0"/>
    <n v="97.082811652923496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2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2"/>
    <x v="2"/>
    <x v="5"/>
    <x v="1"/>
    <n v="10.3189126115522"/>
    <n v="2E+20"/>
    <n v="0"/>
    <n v="20.1368143141611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2"/>
    <x v="2"/>
    <x v="6"/>
    <x v="1"/>
    <n v="26.282441991405801"/>
    <n v="2E+20"/>
    <n v="0"/>
    <n v="80.727061555206802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3"/>
    <x v="2"/>
    <x v="1"/>
    <x v="1"/>
    <n v="0"/>
    <n v="2E+20"/>
    <n v="0"/>
    <n v="0"/>
    <n v="69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3"/>
    <x v="2"/>
    <x v="2"/>
    <x v="1"/>
    <n v="0"/>
    <n v="2E+20"/>
    <n v="0"/>
    <n v="0"/>
    <n v="69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3"/>
    <x v="2"/>
    <x v="3"/>
    <x v="1"/>
    <n v="31.2085637321515"/>
    <n v="2E+20"/>
    <n v="0"/>
    <n v="84.756934975791907"/>
    <n v="69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3"/>
    <x v="2"/>
    <x v="4"/>
    <x v="1"/>
    <n v="0"/>
    <n v="2E+20"/>
    <n v="0"/>
    <n v="0"/>
    <n v="69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3"/>
    <x v="2"/>
    <x v="5"/>
    <x v="1"/>
    <n v="10.123947958888699"/>
    <n v="2E+20"/>
    <n v="0"/>
    <n v="20.605795972634301"/>
    <n v="69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3"/>
    <x v="2"/>
    <x v="6"/>
    <x v="1"/>
    <n v="21.0846157732629"/>
    <n v="2E+20"/>
    <n v="0"/>
    <n v="68.611916090765007"/>
    <n v="69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4"/>
    <x v="2"/>
    <x v="1"/>
    <x v="1"/>
    <n v="0"/>
    <n v="2E+20"/>
    <n v="0"/>
    <n v="0"/>
    <n v="69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4"/>
    <x v="2"/>
    <x v="2"/>
    <x v="1"/>
    <n v="0"/>
    <n v="2E+20"/>
    <n v="0"/>
    <n v="0"/>
    <n v="69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4"/>
    <x v="2"/>
    <x v="3"/>
    <x v="1"/>
    <n v="35.065479460065497"/>
    <n v="2E+20"/>
    <n v="0"/>
    <n v="92.026831613827994"/>
    <n v="69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4"/>
    <x v="2"/>
    <x v="4"/>
    <x v="1"/>
    <n v="0"/>
    <n v="2E+20"/>
    <n v="0"/>
    <n v="0"/>
    <n v="69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4"/>
    <x v="2"/>
    <x v="5"/>
    <x v="1"/>
    <n v="10.2683522736434"/>
    <n v="2E+20"/>
    <n v="0"/>
    <n v="19.359691511148402"/>
    <n v="69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4"/>
    <x v="2"/>
    <x v="6"/>
    <x v="1"/>
    <n v="24.797127186422099"/>
    <n v="2E+20"/>
    <n v="0"/>
    <n v="76.850851065718402"/>
    <n v="69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5"/>
    <x v="2"/>
    <x v="1"/>
    <x v="1"/>
    <n v="0"/>
    <n v="2E+20"/>
    <n v="0"/>
    <n v="0"/>
    <n v="61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5"/>
    <x v="2"/>
    <x v="2"/>
    <x v="1"/>
    <n v="0"/>
    <n v="2E+20"/>
    <n v="0"/>
    <n v="0"/>
    <n v="61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5"/>
    <x v="2"/>
    <x v="3"/>
    <x v="1"/>
    <n v="29.161319782406501"/>
    <n v="2E+20"/>
    <n v="0"/>
    <n v="80.932158090671706"/>
    <n v="61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5"/>
    <x v="2"/>
    <x v="4"/>
    <x v="1"/>
    <n v="0"/>
    <n v="2E+20"/>
    <n v="0"/>
    <n v="0"/>
    <n v="61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5"/>
    <x v="2"/>
    <x v="5"/>
    <x v="1"/>
    <n v="10.9207841750551"/>
    <n v="2E+20"/>
    <n v="0"/>
    <n v="20.074254690586301"/>
    <n v="61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5"/>
    <x v="2"/>
    <x v="6"/>
    <x v="1"/>
    <n v="18.240535607351401"/>
    <n v="2E+20"/>
    <n v="0"/>
    <n v="60.975767586540101"/>
    <n v="61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6"/>
    <x v="2"/>
    <x v="1"/>
    <x v="1"/>
    <n v="0"/>
    <n v="2E+20"/>
    <n v="0"/>
    <n v="0"/>
    <n v="6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6"/>
    <x v="2"/>
    <x v="2"/>
    <x v="1"/>
    <n v="0"/>
    <n v="2E+20"/>
    <n v="0"/>
    <n v="0"/>
    <n v="6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6"/>
    <x v="2"/>
    <x v="3"/>
    <x v="1"/>
    <n v="43.0905826066898"/>
    <n v="2E+20"/>
    <n v="0"/>
    <n v="107.864131025045"/>
    <n v="6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6"/>
    <x v="2"/>
    <x v="4"/>
    <x v="1"/>
    <n v="0"/>
    <n v="2E+20"/>
    <n v="0"/>
    <n v="0"/>
    <n v="6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6"/>
    <x v="2"/>
    <x v="5"/>
    <x v="1"/>
    <n v="10.974968812325899"/>
    <n v="2E+20"/>
    <n v="0"/>
    <n v="19.803560178161401"/>
    <n v="6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6"/>
    <x v="2"/>
    <x v="6"/>
    <x v="1"/>
    <n v="32.115613794363902"/>
    <n v="2E+20"/>
    <n v="0"/>
    <n v="90.338612314180907"/>
    <n v="6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7"/>
    <x v="2"/>
    <x v="1"/>
    <x v="1"/>
    <n v="0"/>
    <n v="2E+20"/>
    <n v="0"/>
    <n v="0"/>
    <n v="6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7"/>
    <x v="2"/>
    <x v="2"/>
    <x v="1"/>
    <n v="0"/>
    <n v="2E+20"/>
    <n v="0"/>
    <n v="0"/>
    <n v="6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7"/>
    <x v="2"/>
    <x v="3"/>
    <x v="1"/>
    <n v="31.019371645313601"/>
    <n v="2E+20"/>
    <n v="0"/>
    <n v="98.505336601742698"/>
    <n v="6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7"/>
    <x v="2"/>
    <x v="4"/>
    <x v="1"/>
    <n v="0"/>
    <n v="2E+20"/>
    <n v="0"/>
    <n v="0"/>
    <n v="6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7"/>
    <x v="2"/>
    <x v="5"/>
    <x v="1"/>
    <n v="10.215556787845999"/>
    <n v="2E+20"/>
    <n v="0"/>
    <n v="19.838055758210398"/>
    <n v="6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7"/>
    <x v="2"/>
    <x v="6"/>
    <x v="1"/>
    <n v="20.8038148574676"/>
    <n v="2E+20"/>
    <n v="0"/>
    <n v="81.304609782285496"/>
    <n v="6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8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8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8"/>
    <x v="2"/>
    <x v="3"/>
    <x v="1"/>
    <n v="35.030988920278602"/>
    <n v="2E+20"/>
    <n v="0"/>
    <n v="109.177520120198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8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8"/>
    <x v="2"/>
    <x v="5"/>
    <x v="1"/>
    <n v="10.451687941981399"/>
    <n v="2E+20"/>
    <n v="0"/>
    <n v="20.264684790934499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8"/>
    <x v="2"/>
    <x v="6"/>
    <x v="1"/>
    <n v="24.579300978297201"/>
    <n v="2E+20"/>
    <n v="0"/>
    <n v="92.121672512287404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9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9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9"/>
    <x v="2"/>
    <x v="3"/>
    <x v="1"/>
    <n v="34.419282775260498"/>
    <n v="2E+20"/>
    <n v="0"/>
    <n v="106.225251700795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19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19"/>
    <x v="2"/>
    <x v="5"/>
    <x v="1"/>
    <n v="10.2753671565379"/>
    <n v="2E+20"/>
    <n v="0"/>
    <n v="20.429792433027099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19"/>
    <x v="2"/>
    <x v="6"/>
    <x v="1"/>
    <n v="24.143915618722598"/>
    <n v="2E+20"/>
    <n v="0"/>
    <n v="90.255519834131405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0"/>
    <x v="2"/>
    <x v="1"/>
    <x v="1"/>
    <n v="0"/>
    <n v="2E+20"/>
    <n v="0"/>
    <n v="0"/>
    <n v="69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0"/>
    <x v="2"/>
    <x v="2"/>
    <x v="1"/>
    <n v="0"/>
    <n v="2E+20"/>
    <n v="0"/>
    <n v="0"/>
    <n v="69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0"/>
    <x v="2"/>
    <x v="3"/>
    <x v="1"/>
    <n v="40.221117575426597"/>
    <n v="2E+20"/>
    <n v="0"/>
    <n v="108.033736406104"/>
    <n v="69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0"/>
    <x v="2"/>
    <x v="4"/>
    <x v="1"/>
    <n v="0"/>
    <n v="2E+20"/>
    <n v="0"/>
    <n v="0"/>
    <n v="69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0"/>
    <x v="2"/>
    <x v="5"/>
    <x v="1"/>
    <n v="10.0810217440513"/>
    <n v="2E+20"/>
    <n v="0"/>
    <n v="19.485722975572301"/>
    <n v="69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0"/>
    <x v="2"/>
    <x v="6"/>
    <x v="1"/>
    <n v="30.140095831375302"/>
    <n v="2E+20"/>
    <n v="0"/>
    <n v="92.679776608213004"/>
    <n v="69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1"/>
    <x v="2"/>
    <x v="1"/>
    <x v="1"/>
    <n v="0"/>
    <n v="2E+20"/>
    <n v="0"/>
    <n v="0"/>
    <n v="70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1"/>
    <x v="2"/>
    <x v="2"/>
    <x v="1"/>
    <n v="0"/>
    <n v="2E+20"/>
    <n v="0"/>
    <n v="0"/>
    <n v="70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1"/>
    <x v="2"/>
    <x v="3"/>
    <x v="1"/>
    <n v="28.7421948692668"/>
    <n v="2E+20"/>
    <n v="0"/>
    <n v="93.107814226175293"/>
    <n v="70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1"/>
    <x v="2"/>
    <x v="4"/>
    <x v="1"/>
    <n v="0"/>
    <n v="2E+20"/>
    <n v="0"/>
    <n v="0"/>
    <n v="70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1"/>
    <x v="2"/>
    <x v="5"/>
    <x v="1"/>
    <n v="9.6216172976679495"/>
    <n v="2E+20"/>
    <n v="0"/>
    <n v="19.910484896130299"/>
    <n v="70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1"/>
    <x v="2"/>
    <x v="6"/>
    <x v="1"/>
    <n v="19.120577571598801"/>
    <n v="2E+20"/>
    <n v="0"/>
    <n v="76.240249564253006"/>
    <n v="70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2"/>
    <x v="2"/>
    <x v="1"/>
    <x v="1"/>
    <n v="0"/>
    <n v="2E+20"/>
    <n v="0"/>
    <n v="0"/>
    <n v="6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2"/>
    <x v="2"/>
    <x v="2"/>
    <x v="1"/>
    <n v="0"/>
    <n v="2E+20"/>
    <n v="0"/>
    <n v="0"/>
    <n v="6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2"/>
    <x v="2"/>
    <x v="3"/>
    <x v="1"/>
    <n v="34.333613342483503"/>
    <n v="2E+20"/>
    <n v="0"/>
    <n v="84.140553314634204"/>
    <n v="6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2"/>
    <x v="2"/>
    <x v="4"/>
    <x v="1"/>
    <n v="0"/>
    <n v="2E+20"/>
    <n v="0"/>
    <n v="0"/>
    <n v="6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2"/>
    <x v="2"/>
    <x v="5"/>
    <x v="1"/>
    <n v="10.9081193659571"/>
    <n v="2E+20"/>
    <n v="0"/>
    <n v="20.535396417308799"/>
    <n v="6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2"/>
    <x v="2"/>
    <x v="6"/>
    <x v="1"/>
    <n v="23.425493976526401"/>
    <n v="2E+20"/>
    <n v="0"/>
    <n v="65.451644332482104"/>
    <n v="6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3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3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3"/>
    <x v="2"/>
    <x v="3"/>
    <x v="1"/>
    <n v="32.525936461849"/>
    <n v="2E+20"/>
    <n v="0"/>
    <n v="81.242349225945006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3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3"/>
    <x v="2"/>
    <x v="5"/>
    <x v="1"/>
    <n v="10.048314823601199"/>
    <n v="2E+20"/>
    <n v="0"/>
    <n v="19.5718137897357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3"/>
    <x v="2"/>
    <x v="6"/>
    <x v="1"/>
    <n v="22.4776216382478"/>
    <n v="2E+20"/>
    <n v="0"/>
    <n v="64.816123120472596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4"/>
    <x v="2"/>
    <x v="1"/>
    <x v="1"/>
    <n v="0"/>
    <n v="2E+20"/>
    <n v="0"/>
    <n v="0"/>
    <n v="67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4"/>
    <x v="2"/>
    <x v="2"/>
    <x v="1"/>
    <n v="0"/>
    <n v="2E+20"/>
    <n v="0"/>
    <n v="0"/>
    <n v="67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4"/>
    <x v="2"/>
    <x v="3"/>
    <x v="1"/>
    <n v="24.230390274880399"/>
    <n v="2E+20"/>
    <n v="0"/>
    <n v="60.681641658802803"/>
    <n v="67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4"/>
    <x v="2"/>
    <x v="4"/>
    <x v="1"/>
    <n v="0"/>
    <n v="2E+20"/>
    <n v="0"/>
    <n v="0"/>
    <n v="67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4"/>
    <x v="2"/>
    <x v="5"/>
    <x v="1"/>
    <n v="10.346083992377901"/>
    <n v="2E+20"/>
    <n v="0"/>
    <n v="20.9534149299209"/>
    <n v="67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4"/>
    <x v="2"/>
    <x v="6"/>
    <x v="1"/>
    <n v="13.8843062825025"/>
    <n v="2E+20"/>
    <n v="0"/>
    <n v="41.7378511493459"/>
    <n v="67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5"/>
    <x v="2"/>
    <x v="1"/>
    <x v="1"/>
    <n v="0"/>
    <n v="2E+20"/>
    <n v="0"/>
    <n v="0"/>
    <n v="69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5"/>
    <x v="2"/>
    <x v="2"/>
    <x v="1"/>
    <n v="0"/>
    <n v="2E+20"/>
    <n v="0"/>
    <n v="0"/>
    <n v="69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5"/>
    <x v="2"/>
    <x v="3"/>
    <x v="1"/>
    <n v="32.683778610312103"/>
    <n v="2E+20"/>
    <n v="0"/>
    <n v="88.578222856232799"/>
    <n v="69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5"/>
    <x v="2"/>
    <x v="4"/>
    <x v="1"/>
    <n v="0"/>
    <n v="2E+20"/>
    <n v="0"/>
    <n v="0"/>
    <n v="69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5"/>
    <x v="2"/>
    <x v="5"/>
    <x v="1"/>
    <n v="9.7500282572351402"/>
    <n v="2E+20"/>
    <n v="0"/>
    <n v="20.567648991734099"/>
    <n v="69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5"/>
    <x v="2"/>
    <x v="6"/>
    <x v="1"/>
    <n v="22.933750353076999"/>
    <n v="2E+20"/>
    <n v="0"/>
    <n v="72.081857665303602"/>
    <n v="69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6"/>
    <x v="2"/>
    <x v="1"/>
    <x v="1"/>
    <n v="0"/>
    <n v="2E+20"/>
    <n v="0"/>
    <n v="0"/>
    <n v="6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6"/>
    <x v="2"/>
    <x v="2"/>
    <x v="1"/>
    <n v="0"/>
    <n v="2E+20"/>
    <n v="0"/>
    <n v="0"/>
    <n v="6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6"/>
    <x v="2"/>
    <x v="3"/>
    <x v="1"/>
    <n v="47.991003783639698"/>
    <n v="2E+20"/>
    <n v="0"/>
    <n v="110.390370380143"/>
    <n v="6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6"/>
    <x v="2"/>
    <x v="4"/>
    <x v="1"/>
    <n v="0"/>
    <n v="2E+20"/>
    <n v="0"/>
    <n v="0"/>
    <n v="6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6"/>
    <x v="2"/>
    <x v="5"/>
    <x v="1"/>
    <n v="11.160621873300901"/>
    <n v="2E+20"/>
    <n v="0"/>
    <n v="20.747338736960401"/>
    <n v="6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6"/>
    <x v="2"/>
    <x v="6"/>
    <x v="1"/>
    <n v="36.830381910338801"/>
    <n v="2E+20"/>
    <n v="0"/>
    <n v="94.366680386778796"/>
    <n v="6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7"/>
    <x v="2"/>
    <x v="1"/>
    <x v="1"/>
    <n v="0"/>
    <n v="2E+20"/>
    <n v="0"/>
    <n v="0"/>
    <n v="67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7"/>
    <x v="2"/>
    <x v="2"/>
    <x v="1"/>
    <n v="0"/>
    <n v="2E+20"/>
    <n v="0"/>
    <n v="0"/>
    <n v="67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7"/>
    <x v="2"/>
    <x v="3"/>
    <x v="1"/>
    <n v="29.451002373214099"/>
    <n v="2E+20"/>
    <n v="0"/>
    <n v="86.404648432775005"/>
    <n v="67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7"/>
    <x v="2"/>
    <x v="4"/>
    <x v="1"/>
    <n v="0"/>
    <n v="2E+20"/>
    <n v="0"/>
    <n v="0"/>
    <n v="67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7"/>
    <x v="2"/>
    <x v="5"/>
    <x v="1"/>
    <n v="10.3120340830611"/>
    <n v="2E+20"/>
    <n v="0"/>
    <n v="20.402864519252599"/>
    <n v="67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7"/>
    <x v="2"/>
    <x v="6"/>
    <x v="1"/>
    <n v="19.138968290152999"/>
    <n v="2E+20"/>
    <n v="0"/>
    <n v="68.680971320183502"/>
    <n v="67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8"/>
    <x v="2"/>
    <x v="1"/>
    <x v="1"/>
    <n v="0"/>
    <n v="2E+20"/>
    <n v="0"/>
    <n v="0"/>
    <n v="6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8"/>
    <x v="2"/>
    <x v="2"/>
    <x v="1"/>
    <n v="0"/>
    <n v="2E+20"/>
    <n v="0"/>
    <n v="0"/>
    <n v="6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8"/>
    <x v="2"/>
    <x v="3"/>
    <x v="1"/>
    <n v="45.36619986665"/>
    <n v="2E+20"/>
    <n v="0"/>
    <n v="115.052853227773"/>
    <n v="6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8"/>
    <x v="2"/>
    <x v="4"/>
    <x v="1"/>
    <n v="0"/>
    <n v="2E+20"/>
    <n v="0"/>
    <n v="0"/>
    <n v="6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8"/>
    <x v="2"/>
    <x v="5"/>
    <x v="1"/>
    <n v="10.7525024377326"/>
    <n v="2E+20"/>
    <n v="0"/>
    <n v="20.1334731973798"/>
    <n v="6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8"/>
    <x v="2"/>
    <x v="6"/>
    <x v="1"/>
    <n v="34.613697428917398"/>
    <n v="2E+20"/>
    <n v="0"/>
    <n v="97.6042685218668"/>
    <n v="6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29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9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9"/>
    <x v="2"/>
    <x v="3"/>
    <x v="1"/>
    <n v="30.953388577480599"/>
    <n v="2E+20"/>
    <n v="0"/>
    <n v="95.890433792587999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29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29"/>
    <x v="2"/>
    <x v="5"/>
    <x v="1"/>
    <n v="10.5837826874209"/>
    <n v="2E+20"/>
    <n v="0"/>
    <n v="20.242734680121199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29"/>
    <x v="2"/>
    <x v="6"/>
    <x v="1"/>
    <n v="20.369605890059699"/>
    <n v="2E+20"/>
    <n v="0"/>
    <n v="78.660388161575099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0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0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0"/>
    <x v="2"/>
    <x v="3"/>
    <x v="1"/>
    <n v="24.8526558659057"/>
    <n v="2E+20"/>
    <n v="0"/>
    <n v="71.597952686773993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0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0"/>
    <x v="2"/>
    <x v="5"/>
    <x v="1"/>
    <n v="10.2361552949339"/>
    <n v="2E+20"/>
    <n v="0"/>
    <n v="20.601520780412802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0"/>
    <x v="2"/>
    <x v="6"/>
    <x v="1"/>
    <n v="14.6165005709718"/>
    <n v="2E+20"/>
    <n v="0"/>
    <n v="55.858948691364603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1"/>
    <x v="2"/>
    <x v="1"/>
    <x v="1"/>
    <n v="0"/>
    <n v="2E+20"/>
    <n v="0"/>
    <n v="0"/>
    <n v="65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1"/>
    <x v="2"/>
    <x v="2"/>
    <x v="1"/>
    <n v="0"/>
    <n v="2E+20"/>
    <n v="0"/>
    <n v="0"/>
    <n v="65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1"/>
    <x v="2"/>
    <x v="3"/>
    <x v="1"/>
    <n v="22.316251643751801"/>
    <n v="2E+20"/>
    <n v="0"/>
    <n v="63.9021699443337"/>
    <n v="65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1"/>
    <x v="2"/>
    <x v="4"/>
    <x v="1"/>
    <n v="0"/>
    <n v="2E+20"/>
    <n v="0"/>
    <n v="0"/>
    <n v="65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1"/>
    <x v="2"/>
    <x v="5"/>
    <x v="1"/>
    <n v="9.8989432798258594"/>
    <n v="2E+20"/>
    <n v="0"/>
    <n v="19.296292375561801"/>
    <n v="65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1"/>
    <x v="2"/>
    <x v="6"/>
    <x v="1"/>
    <n v="12.417308363925899"/>
    <n v="2E+20"/>
    <n v="0"/>
    <n v="44.960534655411799"/>
    <n v="65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2"/>
    <x v="2"/>
    <x v="1"/>
    <x v="1"/>
    <n v="0"/>
    <n v="2E+20"/>
    <n v="0"/>
    <n v="0"/>
    <n v="62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2"/>
    <x v="2"/>
    <x v="2"/>
    <x v="1"/>
    <n v="0"/>
    <n v="2E+20"/>
    <n v="0"/>
    <n v="0"/>
    <n v="62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2"/>
    <x v="2"/>
    <x v="3"/>
    <x v="1"/>
    <n v="40.836985976882303"/>
    <n v="2E+20"/>
    <n v="0"/>
    <n v="109.416830937165"/>
    <n v="62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2"/>
    <x v="2"/>
    <x v="4"/>
    <x v="1"/>
    <n v="0"/>
    <n v="2E+20"/>
    <n v="0"/>
    <n v="0"/>
    <n v="62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2"/>
    <x v="2"/>
    <x v="5"/>
    <x v="1"/>
    <n v="10.5850469604731"/>
    <n v="2E+20"/>
    <n v="0"/>
    <n v="20.4617042806508"/>
    <n v="62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2"/>
    <x v="2"/>
    <x v="6"/>
    <x v="1"/>
    <n v="30.251939016409199"/>
    <n v="2E+20"/>
    <n v="0"/>
    <n v="91.8072323359103"/>
    <n v="62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3"/>
    <x v="2"/>
    <x v="1"/>
    <x v="1"/>
    <n v="0"/>
    <n v="2E+20"/>
    <n v="0"/>
    <n v="0"/>
    <n v="71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3"/>
    <x v="2"/>
    <x v="2"/>
    <x v="1"/>
    <n v="0"/>
    <n v="2E+20"/>
    <n v="0"/>
    <n v="0"/>
    <n v="71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3"/>
    <x v="2"/>
    <x v="3"/>
    <x v="1"/>
    <n v="31.839328629621001"/>
    <n v="2E+20"/>
    <n v="0"/>
    <n v="80.433542214369695"/>
    <n v="71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3"/>
    <x v="2"/>
    <x v="4"/>
    <x v="1"/>
    <n v="0"/>
    <n v="2E+20"/>
    <n v="0"/>
    <n v="0"/>
    <n v="71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3"/>
    <x v="2"/>
    <x v="5"/>
    <x v="1"/>
    <n v="9.8246372194390492"/>
    <n v="2E+20"/>
    <n v="0"/>
    <n v="20.647761037563601"/>
    <n v="71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3"/>
    <x v="2"/>
    <x v="6"/>
    <x v="1"/>
    <n v="22.014691410181999"/>
    <n v="2E+20"/>
    <n v="0"/>
    <n v="62.640607491498997"/>
    <n v="71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4"/>
    <x v="2"/>
    <x v="1"/>
    <x v="1"/>
    <n v="0"/>
    <n v="2E+20"/>
    <n v="0"/>
    <n v="0"/>
    <n v="67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4"/>
    <x v="2"/>
    <x v="2"/>
    <x v="1"/>
    <n v="0"/>
    <n v="2E+20"/>
    <n v="0"/>
    <n v="0"/>
    <n v="67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4"/>
    <x v="2"/>
    <x v="3"/>
    <x v="1"/>
    <n v="38.348818409612498"/>
    <n v="2E+20"/>
    <n v="0"/>
    <n v="99.671918744536598"/>
    <n v="67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4"/>
    <x v="2"/>
    <x v="4"/>
    <x v="1"/>
    <n v="0"/>
    <n v="2E+20"/>
    <n v="0"/>
    <n v="0"/>
    <n v="67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4"/>
    <x v="2"/>
    <x v="5"/>
    <x v="1"/>
    <n v="10.047062591773299"/>
    <n v="2E+20"/>
    <n v="0"/>
    <n v="20.109719211984299"/>
    <n v="67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4"/>
    <x v="2"/>
    <x v="6"/>
    <x v="1"/>
    <n v="28.301755817839201"/>
    <n v="2E+20"/>
    <n v="0"/>
    <n v="82.722977139709997"/>
    <n v="67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5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5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5"/>
    <x v="2"/>
    <x v="3"/>
    <x v="1"/>
    <n v="45.779435527026997"/>
    <n v="2E+20"/>
    <n v="0"/>
    <n v="115.679197133084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5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5"/>
    <x v="2"/>
    <x v="5"/>
    <x v="1"/>
    <n v="10.830455615008701"/>
    <n v="2E+20"/>
    <n v="0"/>
    <n v="20.153339928691899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5"/>
    <x v="2"/>
    <x v="6"/>
    <x v="1"/>
    <n v="34.948979912018302"/>
    <n v="2E+20"/>
    <n v="0"/>
    <n v="97.100931850465898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6"/>
    <x v="2"/>
    <x v="1"/>
    <x v="1"/>
    <n v="0"/>
    <n v="2E+20"/>
    <n v="0"/>
    <n v="0"/>
    <n v="70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6"/>
    <x v="2"/>
    <x v="2"/>
    <x v="1"/>
    <n v="0"/>
    <n v="2E+20"/>
    <n v="0"/>
    <n v="0"/>
    <n v="70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6"/>
    <x v="2"/>
    <x v="3"/>
    <x v="1"/>
    <n v="31.5957805537066"/>
    <n v="2E+20"/>
    <n v="0"/>
    <n v="107.10604701896"/>
    <n v="70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6"/>
    <x v="2"/>
    <x v="4"/>
    <x v="1"/>
    <n v="0"/>
    <n v="2E+20"/>
    <n v="0"/>
    <n v="0"/>
    <n v="70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6"/>
    <x v="2"/>
    <x v="5"/>
    <x v="1"/>
    <n v="10.0678855888395"/>
    <n v="2E+20"/>
    <n v="0"/>
    <n v="21.013966697744198"/>
    <n v="70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6"/>
    <x v="2"/>
    <x v="6"/>
    <x v="1"/>
    <n v="21.527894964867102"/>
    <n v="2E+20"/>
    <n v="0"/>
    <n v="87.730313339794094"/>
    <n v="70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7"/>
    <x v="2"/>
    <x v="1"/>
    <x v="1"/>
    <n v="0"/>
    <n v="2E+20"/>
    <n v="0"/>
    <n v="0"/>
    <n v="72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7"/>
    <x v="2"/>
    <x v="2"/>
    <x v="1"/>
    <n v="0"/>
    <n v="2E+20"/>
    <n v="0"/>
    <n v="0"/>
    <n v="72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7"/>
    <x v="2"/>
    <x v="3"/>
    <x v="1"/>
    <n v="26.456672766930701"/>
    <n v="2E+20"/>
    <n v="0"/>
    <n v="62.665739340753802"/>
    <n v="72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7"/>
    <x v="2"/>
    <x v="4"/>
    <x v="1"/>
    <n v="0"/>
    <n v="2E+20"/>
    <n v="0"/>
    <n v="0"/>
    <n v="72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7"/>
    <x v="2"/>
    <x v="5"/>
    <x v="1"/>
    <n v="9.6570132047802897"/>
    <n v="2E+20"/>
    <n v="0"/>
    <n v="20.905828147640399"/>
    <n v="72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7"/>
    <x v="2"/>
    <x v="6"/>
    <x v="1"/>
    <n v="16.799659562150399"/>
    <n v="2E+20"/>
    <n v="0"/>
    <n v="45.727349459622403"/>
    <n v="72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8"/>
    <x v="2"/>
    <x v="1"/>
    <x v="1"/>
    <n v="0"/>
    <n v="2E+20"/>
    <n v="0"/>
    <n v="0"/>
    <n v="73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8"/>
    <x v="2"/>
    <x v="2"/>
    <x v="1"/>
    <n v="0"/>
    <n v="2E+20"/>
    <n v="0"/>
    <n v="0"/>
    <n v="73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8"/>
    <x v="2"/>
    <x v="3"/>
    <x v="1"/>
    <n v="41.137461422763302"/>
    <n v="2E+20"/>
    <n v="0"/>
    <n v="125.813240116457"/>
    <n v="73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8"/>
    <x v="2"/>
    <x v="4"/>
    <x v="1"/>
    <n v="0"/>
    <n v="2E+20"/>
    <n v="0"/>
    <n v="0"/>
    <n v="73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8"/>
    <x v="2"/>
    <x v="5"/>
    <x v="1"/>
    <n v="9.57099242159887"/>
    <n v="2E+20"/>
    <n v="0"/>
    <n v="19.924559415414699"/>
    <n v="73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8"/>
    <x v="2"/>
    <x v="6"/>
    <x v="1"/>
    <n v="31.5664690011644"/>
    <n v="2E+20"/>
    <n v="0"/>
    <n v="107.671378402785"/>
    <n v="73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39"/>
    <x v="2"/>
    <x v="1"/>
    <x v="1"/>
    <n v="0"/>
    <n v="2E+20"/>
    <n v="0"/>
    <n v="0"/>
    <n v="68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9"/>
    <x v="2"/>
    <x v="2"/>
    <x v="1"/>
    <n v="0"/>
    <n v="2E+20"/>
    <n v="0"/>
    <n v="0"/>
    <n v="68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9"/>
    <x v="2"/>
    <x v="3"/>
    <x v="1"/>
    <n v="27.400888853199099"/>
    <n v="2E+20"/>
    <n v="0"/>
    <n v="67.043903705611399"/>
    <n v="68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39"/>
    <x v="2"/>
    <x v="4"/>
    <x v="1"/>
    <n v="0"/>
    <n v="2E+20"/>
    <n v="0"/>
    <n v="0"/>
    <n v="68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39"/>
    <x v="2"/>
    <x v="5"/>
    <x v="1"/>
    <n v="10.052893507764599"/>
    <n v="2E+20"/>
    <n v="0"/>
    <n v="19.412454752455702"/>
    <n v="68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39"/>
    <x v="2"/>
    <x v="6"/>
    <x v="1"/>
    <n v="17.347995345434502"/>
    <n v="2E+20"/>
    <n v="0"/>
    <n v="47.631448953155697"/>
    <n v="68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40"/>
    <x v="2"/>
    <x v="1"/>
    <x v="1"/>
    <n v="0"/>
    <n v="2E+20"/>
    <n v="0"/>
    <n v="0"/>
    <n v="64"/>
    <s v="Unnamed ProjectClienteNVA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0"/>
    <x v="2"/>
    <x v="2"/>
    <x v="1"/>
    <n v="0"/>
    <n v="2E+20"/>
    <n v="0"/>
    <n v="0"/>
    <n v="64"/>
    <s v="Unnamed ProjectClienteOth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0"/>
    <x v="2"/>
    <x v="3"/>
    <x v="1"/>
    <n v="30.843258453903601"/>
    <n v="2E+20"/>
    <n v="0"/>
    <n v="76.458524118467196"/>
    <n v="64"/>
    <s v="Unnamed ProjectClienteTotal TimeEntity"/>
    <n v="40"/>
    <n v="34.654260549205119"/>
    <n v="7.0836652736050665"/>
    <n v="0.95"/>
    <n v="2.2654660610570421"/>
    <n v="22.316251643751801"/>
    <n v="54.481064037149501"/>
    <n v="0"/>
    <n v="135.81902063368"/>
    <n v="66.25"/>
    <n v="2.2654660610570421"/>
    <n v="40"/>
    <n v="1"/>
  </r>
  <r>
    <x v="0"/>
    <s v="2023-12-09 10:17:21"/>
    <n v="40"/>
    <x v="2"/>
    <x v="4"/>
    <x v="1"/>
    <n v="0"/>
    <n v="2E+20"/>
    <n v="0"/>
    <n v="0"/>
    <n v="64"/>
    <s v="Unnamed ProjectClienteTransfer TimeEntity"/>
    <n v="40"/>
    <n v="0"/>
    <n v="0"/>
    <n v="0.95"/>
    <n v="0"/>
    <n v="0"/>
    <n v="0"/>
    <n v="0"/>
    <n v="0"/>
    <n v="66.25"/>
    <n v="0"/>
    <n v="40"/>
    <n v="1"/>
  </r>
  <r>
    <x v="0"/>
    <s v="2023-12-09 10:17:21"/>
    <n v="40"/>
    <x v="2"/>
    <x v="5"/>
    <x v="1"/>
    <n v="10.7653348359589"/>
    <n v="2E+20"/>
    <n v="0"/>
    <n v="20.375723782059801"/>
    <n v="64"/>
    <s v="Unnamed ProjectClienteVA TimeEntity"/>
    <n v="40"/>
    <n v="10.337635167199183"/>
    <n v="0.42613688931907767"/>
    <n v="0.95"/>
    <n v="0.13628518892811467"/>
    <n v="9.57099242159887"/>
    <n v="11.4763265650571"/>
    <n v="0"/>
    <n v="21.570142335238799"/>
    <n v="66.25"/>
    <n v="0.13628518892811467"/>
    <n v="40"/>
    <n v="1"/>
  </r>
  <r>
    <x v="0"/>
    <s v="2023-12-09 10:17:21"/>
    <n v="40"/>
    <x v="2"/>
    <x v="6"/>
    <x v="1"/>
    <n v="20.077923617944698"/>
    <n v="2E+20"/>
    <n v="0"/>
    <n v="59.738735724531502"/>
    <n v="64"/>
    <s v="Unnamed ProjectClienteWait TimeEntity"/>
    <n v="40"/>
    <n v="24.316625382005931"/>
    <n v="6.8823183028634016"/>
    <n v="0.95"/>
    <n v="2.2010721758163658"/>
    <n v="12.417308363925899"/>
    <n v="43.004737472092501"/>
    <n v="0"/>
    <n v="118.512212682617"/>
    <n v="66.25"/>
    <n v="2.2010721758163658"/>
    <n v="40"/>
    <n v="1"/>
  </r>
  <r>
    <x v="0"/>
    <s v="2023-12-09 10:17:21"/>
    <n v="1"/>
    <x v="3"/>
    <x v="0"/>
    <x v="0"/>
    <n v="12.664703901869"/>
    <n v="2E+20"/>
    <n v="0"/>
    <n v="23.348510356212199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"/>
    <x v="3"/>
    <x v="0"/>
    <x v="0"/>
    <n v="14.3448002426559"/>
    <n v="2E+20"/>
    <n v="0"/>
    <n v="21.336118830150198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"/>
    <x v="3"/>
    <x v="0"/>
    <x v="0"/>
    <n v="14.8374082189271"/>
    <n v="2E+20"/>
    <n v="0"/>
    <n v="21.995598670564402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4"/>
    <x v="3"/>
    <x v="0"/>
    <x v="0"/>
    <n v="16.290782998527799"/>
    <n v="2E+20"/>
    <n v="0"/>
    <n v="24.238396568991199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5"/>
    <x v="3"/>
    <x v="0"/>
    <x v="0"/>
    <n v="15.513157220656399"/>
    <n v="2E+20"/>
    <n v="0"/>
    <n v="22.487891886602199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6"/>
    <x v="3"/>
    <x v="0"/>
    <x v="0"/>
    <n v="15.718017852697299"/>
    <n v="2E+20"/>
    <n v="0"/>
    <n v="22.281643633841099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7"/>
    <x v="3"/>
    <x v="0"/>
    <x v="0"/>
    <n v="13.331794587277701"/>
    <n v="2E+20"/>
    <n v="0"/>
    <n v="23.08969027802950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8"/>
    <x v="3"/>
    <x v="0"/>
    <x v="0"/>
    <n v="15.3638602205758"/>
    <n v="2E+20"/>
    <n v="0"/>
    <n v="23.833093149758099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9"/>
    <x v="3"/>
    <x v="0"/>
    <x v="0"/>
    <n v="15.781342370962999"/>
    <n v="2E+20"/>
    <n v="0"/>
    <n v="24.610205718166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0"/>
    <x v="3"/>
    <x v="0"/>
    <x v="0"/>
    <n v="14.9012934872586"/>
    <n v="2E+20"/>
    <n v="0"/>
    <n v="24.211258372615902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1"/>
    <x v="3"/>
    <x v="0"/>
    <x v="0"/>
    <n v="12.6715300501256"/>
    <n v="2E+20"/>
    <n v="0"/>
    <n v="23.0406273702554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2"/>
    <x v="3"/>
    <x v="0"/>
    <x v="0"/>
    <n v="14.146082652305401"/>
    <n v="2E+20"/>
    <n v="0"/>
    <n v="21.193024504393101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3"/>
    <x v="3"/>
    <x v="0"/>
    <x v="0"/>
    <n v="15.2047450543729"/>
    <n v="2E+20"/>
    <n v="0"/>
    <n v="21.2206428086456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4"/>
    <x v="3"/>
    <x v="0"/>
    <x v="0"/>
    <n v="14.604279205600401"/>
    <n v="2E+20"/>
    <n v="0"/>
    <n v="22.2480326848987"/>
    <n v="48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5"/>
    <x v="3"/>
    <x v="0"/>
    <x v="0"/>
    <n v="13.008280310870999"/>
    <n v="2E+20"/>
    <n v="0"/>
    <n v="26.009837467326701"/>
    <n v="43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6"/>
    <x v="3"/>
    <x v="0"/>
    <x v="0"/>
    <n v="15.9754273673288"/>
    <n v="2E+20"/>
    <n v="0"/>
    <n v="23.287025363783702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7"/>
    <x v="3"/>
    <x v="0"/>
    <x v="0"/>
    <n v="13.5157130005898"/>
    <n v="2E+20"/>
    <n v="0"/>
    <n v="22.893827183806401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8"/>
    <x v="3"/>
    <x v="0"/>
    <x v="0"/>
    <n v="13.700354993575701"/>
    <n v="2E+20"/>
    <n v="0"/>
    <n v="21.548889543362499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9"/>
    <x v="3"/>
    <x v="0"/>
    <x v="0"/>
    <n v="13.0150367547622"/>
    <n v="2E+20"/>
    <n v="0"/>
    <n v="21.826168646477502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0"/>
    <x v="3"/>
    <x v="0"/>
    <x v="0"/>
    <n v="15.6257232009965"/>
    <n v="2E+20"/>
    <n v="0"/>
    <n v="23.527693684843101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1"/>
    <x v="3"/>
    <x v="0"/>
    <x v="0"/>
    <n v="14.4753042970728"/>
    <n v="2E+20"/>
    <n v="0"/>
    <n v="23.714924143002001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2"/>
    <x v="3"/>
    <x v="0"/>
    <x v="0"/>
    <n v="15.0714863111127"/>
    <n v="2E+20"/>
    <n v="0"/>
    <n v="23.65102041737910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3"/>
    <x v="3"/>
    <x v="0"/>
    <x v="0"/>
    <n v="15.4235066240705"/>
    <n v="2E+20"/>
    <n v="0"/>
    <n v="23.245470311174699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4"/>
    <x v="3"/>
    <x v="0"/>
    <x v="0"/>
    <n v="11.5427686166725"/>
    <n v="2E+20"/>
    <n v="0"/>
    <n v="21.74563312345010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5"/>
    <x v="3"/>
    <x v="0"/>
    <x v="0"/>
    <n v="14.830874286552"/>
    <n v="2E+20"/>
    <n v="0"/>
    <n v="22.9825836336361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6"/>
    <x v="3"/>
    <x v="0"/>
    <x v="0"/>
    <n v="15.9195497455771"/>
    <n v="2E+20"/>
    <n v="0"/>
    <n v="21.54090287236120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7"/>
    <x v="3"/>
    <x v="0"/>
    <x v="0"/>
    <n v="13.471740953640699"/>
    <n v="2E+20"/>
    <n v="0"/>
    <n v="23.1755988326025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8"/>
    <x v="3"/>
    <x v="0"/>
    <x v="0"/>
    <n v="15.4924723374872"/>
    <n v="2E+20"/>
    <n v="0"/>
    <n v="22.3045635404773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29"/>
    <x v="3"/>
    <x v="0"/>
    <x v="0"/>
    <n v="12.887082354781301"/>
    <n v="2E+20"/>
    <n v="0"/>
    <n v="23.143079170306901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0"/>
    <x v="3"/>
    <x v="0"/>
    <x v="0"/>
    <n v="11.4299262535996"/>
    <n v="2E+20"/>
    <n v="0"/>
    <n v="22.561776539134001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1"/>
    <x v="3"/>
    <x v="0"/>
    <x v="0"/>
    <n v="11.091251412608999"/>
    <n v="2E+20"/>
    <n v="0"/>
    <n v="21.505566788837999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2"/>
    <x v="3"/>
    <x v="0"/>
    <x v="0"/>
    <n v="15.6994828744232"/>
    <n v="2E+20"/>
    <n v="0"/>
    <n v="22.241298173114401"/>
    <n v="44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3"/>
    <x v="3"/>
    <x v="0"/>
    <x v="0"/>
    <n v="16.4814222147977"/>
    <n v="2E+20"/>
    <n v="0"/>
    <n v="25.514206362252601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4"/>
    <x v="3"/>
    <x v="0"/>
    <x v="0"/>
    <n v="15.498784583987501"/>
    <n v="2E+20"/>
    <n v="0"/>
    <n v="23.1394154327248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5"/>
    <x v="3"/>
    <x v="0"/>
    <x v="0"/>
    <n v="15.7748595649826"/>
    <n v="2E+20"/>
    <n v="0"/>
    <n v="23.219643469419498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6"/>
    <x v="3"/>
    <x v="0"/>
    <x v="0"/>
    <n v="13.118826081987599"/>
    <n v="2E+20"/>
    <n v="0"/>
    <n v="23.753905844096799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7"/>
    <x v="3"/>
    <x v="0"/>
    <x v="0"/>
    <n v="14.240748550575001"/>
    <n v="2E+20"/>
    <n v="0"/>
    <n v="22.151798528410101"/>
    <n v="47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8"/>
    <x v="3"/>
    <x v="0"/>
    <x v="0"/>
    <n v="15.1864408066269"/>
    <n v="2E+20"/>
    <n v="0"/>
    <n v="22.15532174098"/>
    <n v="48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39"/>
    <x v="3"/>
    <x v="0"/>
    <x v="0"/>
    <n v="14.218027684002999"/>
    <n v="2E+20"/>
    <n v="0"/>
    <n v="22.781009996569399"/>
    <n v="46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40"/>
    <x v="3"/>
    <x v="0"/>
    <x v="0"/>
    <n v="13.721747867518699"/>
    <n v="2E+20"/>
    <n v="0"/>
    <n v="22.871957020483102"/>
    <n v="45"/>
    <s v="Unnamed ProjectEncher.QueueWaiting TimeQueue"/>
    <n v="40"/>
    <n v="14.394765927850363"/>
    <n v="1.3868466279887646"/>
    <n v="0.95"/>
    <n v="0.44353506923979402"/>
    <n v="11.091251412608999"/>
    <n v="16.4814222147977"/>
    <n v="0"/>
    <n v="26.009837467326701"/>
    <n v="45.575000000000003"/>
    <n v="0.44353506923979402"/>
    <n v="40"/>
    <n v="1"/>
  </r>
  <r>
    <x v="0"/>
    <s v="2023-12-09 10:17:21"/>
    <n v="1"/>
    <x v="4"/>
    <x v="0"/>
    <x v="0"/>
    <n v="14.176840827577401"/>
    <n v="2E+20"/>
    <n v="0"/>
    <n v="24.627421632786302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"/>
    <x v="4"/>
    <x v="0"/>
    <x v="0"/>
    <n v="15.186929407732899"/>
    <n v="2E+20"/>
    <n v="0"/>
    <n v="22.586175915937599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"/>
    <x v="4"/>
    <x v="0"/>
    <x v="0"/>
    <n v="16.589079042109201"/>
    <n v="2E+20"/>
    <n v="1.6769763683807"/>
    <n v="23.656096507474999"/>
    <n v="42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4"/>
    <x v="4"/>
    <x v="0"/>
    <x v="0"/>
    <n v="18.159462181276101"/>
    <n v="2E+20"/>
    <n v="6.0398484570317699"/>
    <n v="23.978701137574401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5"/>
    <x v="4"/>
    <x v="0"/>
    <x v="0"/>
    <n v="17.5800882905842"/>
    <n v="2E+20"/>
    <n v="0"/>
    <n v="22.542116781349399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6"/>
    <x v="4"/>
    <x v="0"/>
    <x v="0"/>
    <n v="18.120750488302502"/>
    <n v="2E+20"/>
    <n v="0.34346220455377002"/>
    <n v="23.3916890302274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7"/>
    <x v="4"/>
    <x v="0"/>
    <x v="0"/>
    <n v="13.3649157199635"/>
    <n v="2E+20"/>
    <n v="0"/>
    <n v="23.8476630157874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8"/>
    <x v="4"/>
    <x v="0"/>
    <x v="0"/>
    <n v="15.968252544250699"/>
    <n v="2E+20"/>
    <n v="1.51154811165058"/>
    <n v="25.0477137967456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9"/>
    <x v="4"/>
    <x v="0"/>
    <x v="0"/>
    <n v="18.421796874383201"/>
    <n v="2E+20"/>
    <n v="3.9050314460031101"/>
    <n v="23.513506635318901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0"/>
    <x v="4"/>
    <x v="0"/>
    <x v="0"/>
    <n v="15.780171894238499"/>
    <n v="2E+20"/>
    <n v="0"/>
    <n v="24.5174549416129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1"/>
    <x v="4"/>
    <x v="0"/>
    <x v="0"/>
    <n v="14.428080190117599"/>
    <n v="2E+20"/>
    <n v="0"/>
    <n v="24.064259386979199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2"/>
    <x v="4"/>
    <x v="0"/>
    <x v="0"/>
    <n v="15.769521539246799"/>
    <n v="2E+20"/>
    <n v="0"/>
    <n v="23.0229208471034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3"/>
    <x v="4"/>
    <x v="0"/>
    <x v="0"/>
    <n v="16.6714265758295"/>
    <n v="2E+20"/>
    <n v="1.68200972228539"/>
    <n v="21.625096908519399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4"/>
    <x v="4"/>
    <x v="0"/>
    <x v="0"/>
    <n v="16.1231356829413"/>
    <n v="2E+20"/>
    <n v="3.1812388606528601"/>
    <n v="21.807956039305999"/>
    <n v="42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5"/>
    <x v="4"/>
    <x v="0"/>
    <x v="0"/>
    <n v="12.968945084654001"/>
    <n v="2E+20"/>
    <n v="0"/>
    <n v="23.007689993679701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6"/>
    <x v="4"/>
    <x v="0"/>
    <x v="0"/>
    <n v="18.072212114951"/>
    <n v="2E+20"/>
    <n v="2.5772195933302999"/>
    <n v="22.4859242466968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7"/>
    <x v="4"/>
    <x v="0"/>
    <x v="0"/>
    <n v="14.1151008863607"/>
    <n v="2E+20"/>
    <n v="0"/>
    <n v="23.2517028864232"/>
    <n v="38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8"/>
    <x v="4"/>
    <x v="0"/>
    <x v="0"/>
    <n v="15.476730502069"/>
    <n v="2E+20"/>
    <n v="0"/>
    <n v="22.5407268153307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19"/>
    <x v="4"/>
    <x v="0"/>
    <x v="0"/>
    <n v="14.2091307625405"/>
    <n v="2E+20"/>
    <n v="0"/>
    <n v="24.324151770771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0"/>
    <x v="4"/>
    <x v="0"/>
    <x v="0"/>
    <n v="17.191916928566901"/>
    <n v="2E+20"/>
    <n v="2.2668152986502901"/>
    <n v="24.014861687683499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1"/>
    <x v="4"/>
    <x v="0"/>
    <x v="0"/>
    <n v="15.5691403499419"/>
    <n v="2E+20"/>
    <n v="0"/>
    <n v="24.4731955149525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2"/>
    <x v="4"/>
    <x v="0"/>
    <x v="0"/>
    <n v="16.250013993321801"/>
    <n v="2E+20"/>
    <n v="0"/>
    <n v="24.8896574666966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3"/>
    <x v="4"/>
    <x v="0"/>
    <x v="0"/>
    <n v="17.363475832488"/>
    <n v="2E+20"/>
    <n v="4.6774438432405496"/>
    <n v="23.8619753691274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4"/>
    <x v="4"/>
    <x v="0"/>
    <x v="0"/>
    <n v="13.1288170310414"/>
    <n v="2E+20"/>
    <n v="0.90870527107501797"/>
    <n v="23.688874022372499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5"/>
    <x v="4"/>
    <x v="0"/>
    <x v="0"/>
    <n v="16.478046926890801"/>
    <n v="2E+20"/>
    <n v="0"/>
    <n v="24.44804026156100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6"/>
    <x v="4"/>
    <x v="0"/>
    <x v="0"/>
    <n v="18.108642196925999"/>
    <n v="2E+20"/>
    <n v="3.8683519513359199"/>
    <n v="23.034025429320302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7"/>
    <x v="4"/>
    <x v="0"/>
    <x v="0"/>
    <n v="14.6925614630707"/>
    <n v="2E+20"/>
    <n v="1.74393371021039"/>
    <n v="22.773677183035499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8"/>
    <x v="4"/>
    <x v="0"/>
    <x v="0"/>
    <n v="17.929186818726802"/>
    <n v="2E+20"/>
    <n v="5.2410695356408601"/>
    <n v="23.9240998794915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29"/>
    <x v="4"/>
    <x v="0"/>
    <x v="0"/>
    <n v="13.891634311125699"/>
    <n v="2E+20"/>
    <n v="0"/>
    <n v="22.800423976212802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0"/>
    <x v="4"/>
    <x v="0"/>
    <x v="0"/>
    <n v="12.551999561826699"/>
    <n v="2E+20"/>
    <n v="0"/>
    <n v="21.535186846688099"/>
    <n v="39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1"/>
    <x v="4"/>
    <x v="0"/>
    <x v="0"/>
    <n v="11.8245391044853"/>
    <n v="2E+20"/>
    <n v="0"/>
    <n v="21.685119939910201"/>
    <n v="38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2"/>
    <x v="4"/>
    <x v="0"/>
    <x v="0"/>
    <n v="16.943223331001501"/>
    <n v="2E+20"/>
    <n v="0"/>
    <n v="22.137337373652901"/>
    <n v="38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3"/>
    <x v="4"/>
    <x v="0"/>
    <x v="0"/>
    <n v="18.118385348782901"/>
    <n v="2E+20"/>
    <n v="13.5343163672385"/>
    <n v="24.8154535570931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4"/>
    <x v="4"/>
    <x v="0"/>
    <x v="0"/>
    <n v="17.2994788142705"/>
    <n v="2E+20"/>
    <n v="5.9099698915918699E-3"/>
    <n v="22.488722120524098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5"/>
    <x v="4"/>
    <x v="0"/>
    <x v="0"/>
    <n v="17.722423195758498"/>
    <n v="2E+20"/>
    <n v="2.2683308106526199"/>
    <n v="25.5181478307017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6"/>
    <x v="4"/>
    <x v="0"/>
    <x v="0"/>
    <n v="14.5078219331917"/>
    <n v="2E+20"/>
    <n v="0"/>
    <n v="22.486378631518601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7"/>
    <x v="4"/>
    <x v="0"/>
    <x v="0"/>
    <n v="15.4285569314673"/>
    <n v="2E+20"/>
    <n v="0"/>
    <n v="21.914556141946999"/>
    <n v="40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8"/>
    <x v="4"/>
    <x v="0"/>
    <x v="0"/>
    <n v="16.765710126383901"/>
    <n v="2E+20"/>
    <n v="0.846733091058404"/>
    <n v="22.4968885903616"/>
    <n v="42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39"/>
    <x v="4"/>
    <x v="0"/>
    <x v="0"/>
    <n v="14.552597070193301"/>
    <n v="2E+20"/>
    <n v="0.107448074441038"/>
    <n v="22.367544421835301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  <r>
    <x v="0"/>
    <s v="2023-12-09 10:17:21"/>
    <n v="40"/>
    <x v="4"/>
    <x v="0"/>
    <x v="0"/>
    <n v="14.877629959243301"/>
    <n v="2E+20"/>
    <n v="0"/>
    <n v="21.198462537623701"/>
    <n v="41"/>
    <s v="Unnamed ProjectLava copo.QueueWaiting TimeQueue"/>
    <n v="40"/>
    <n v="15.809459295945839"/>
    <n v="1.7764372586414929"/>
    <n v="0.95"/>
    <n v="0.56813219761319389"/>
    <n v="11.8245391044853"/>
    <n v="18.421796874383201"/>
    <n v="0"/>
    <n v="25.5181478307017"/>
    <n v="40.125"/>
    <n v="0.56813219761319389"/>
    <n v="4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10:17:21"/>
    <n v="1"/>
    <x v="0"/>
    <x v="0"/>
    <x v="0"/>
    <n v="142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"/>
    <x v="3"/>
    <x v="3"/>
    <x v="1"/>
    <n v="0.79960537865446901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"/>
    <x v="4"/>
    <x v="2"/>
    <x v="1"/>
    <n v="83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"/>
    <x v="5"/>
    <x v="3"/>
    <x v="1"/>
    <n v="0.9555400778744540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"/>
    <x v="0"/>
    <x v="0"/>
    <x v="0"/>
    <n v="156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"/>
    <x v="1"/>
    <x v="1"/>
    <x v="0"/>
    <n v="10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"/>
    <x v="3"/>
    <x v="3"/>
    <x v="1"/>
    <n v="0.87214382919162603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"/>
    <x v="5"/>
    <x v="3"/>
    <x v="1"/>
    <n v="0.9950085379017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"/>
    <x v="6"/>
    <x v="1"/>
    <x v="2"/>
    <n v="65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"/>
    <x v="0"/>
    <x v="0"/>
    <x v="0"/>
    <n v="173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"/>
    <x v="1"/>
    <x v="1"/>
    <x v="0"/>
    <n v="111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"/>
    <x v="2"/>
    <x v="2"/>
    <x v="1"/>
    <n v="51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"/>
    <x v="3"/>
    <x v="3"/>
    <x v="1"/>
    <n v="0.924681626008690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"/>
    <x v="4"/>
    <x v="2"/>
    <x v="1"/>
    <n v="89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"/>
    <x v="5"/>
    <x v="3"/>
    <x v="1"/>
    <n v="0.9985692282901500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"/>
    <x v="6"/>
    <x v="1"/>
    <x v="2"/>
    <n v="70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4"/>
    <x v="0"/>
    <x v="0"/>
    <x v="0"/>
    <n v="167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4"/>
    <x v="1"/>
    <x v="1"/>
    <x v="0"/>
    <n v="103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4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4"/>
    <x v="3"/>
    <x v="3"/>
    <x v="1"/>
    <n v="0.9330206808174410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4"/>
    <x v="4"/>
    <x v="2"/>
    <x v="1"/>
    <n v="83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4"/>
    <x v="5"/>
    <x v="3"/>
    <x v="1"/>
    <n v="0.977968180261926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4"/>
    <x v="6"/>
    <x v="1"/>
    <x v="2"/>
    <n v="65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5"/>
    <x v="0"/>
    <x v="0"/>
    <x v="0"/>
    <n v="166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5"/>
    <x v="1"/>
    <x v="1"/>
    <x v="0"/>
    <n v="10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5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5"/>
    <x v="3"/>
    <x v="3"/>
    <x v="1"/>
    <n v="0.9324333650861400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5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5"/>
    <x v="5"/>
    <x v="3"/>
    <x v="1"/>
    <n v="0.96772241811315096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5"/>
    <x v="6"/>
    <x v="1"/>
    <x v="2"/>
    <n v="65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6"/>
    <x v="0"/>
    <x v="0"/>
    <x v="0"/>
    <n v="181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6"/>
    <x v="1"/>
    <x v="1"/>
    <x v="0"/>
    <n v="9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6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6"/>
    <x v="3"/>
    <x v="3"/>
    <x v="1"/>
    <n v="0.94510792235917496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6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6"/>
    <x v="5"/>
    <x v="3"/>
    <x v="1"/>
    <n v="0.991313302322404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6"/>
    <x v="6"/>
    <x v="1"/>
    <x v="2"/>
    <n v="60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7"/>
    <x v="0"/>
    <x v="0"/>
    <x v="0"/>
    <n v="128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7"/>
    <x v="1"/>
    <x v="1"/>
    <x v="0"/>
    <n v="10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7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7"/>
    <x v="3"/>
    <x v="3"/>
    <x v="1"/>
    <n v="0.8156466682271420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7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7"/>
    <x v="5"/>
    <x v="3"/>
    <x v="1"/>
    <n v="0.980472219855010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7"/>
    <x v="6"/>
    <x v="1"/>
    <x v="2"/>
    <n v="65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8"/>
    <x v="0"/>
    <x v="0"/>
    <x v="0"/>
    <n v="155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8"/>
    <x v="1"/>
    <x v="1"/>
    <x v="0"/>
    <n v="105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8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8"/>
    <x v="3"/>
    <x v="3"/>
    <x v="1"/>
    <n v="0.899402536400036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8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8"/>
    <x v="5"/>
    <x v="3"/>
    <x v="1"/>
    <n v="0.9970698249769569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8"/>
    <x v="6"/>
    <x v="1"/>
    <x v="2"/>
    <n v="66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9"/>
    <x v="0"/>
    <x v="0"/>
    <x v="0"/>
    <n v="16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9"/>
    <x v="1"/>
    <x v="1"/>
    <x v="0"/>
    <n v="10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9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9"/>
    <x v="3"/>
    <x v="3"/>
    <x v="1"/>
    <n v="0.93182712882125096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9"/>
    <x v="4"/>
    <x v="2"/>
    <x v="1"/>
    <n v="84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9"/>
    <x v="5"/>
    <x v="3"/>
    <x v="1"/>
    <n v="0.96992763584812303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9"/>
    <x v="6"/>
    <x v="1"/>
    <x v="2"/>
    <n v="66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0"/>
    <x v="0"/>
    <x v="0"/>
    <x v="0"/>
    <n v="164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0"/>
    <x v="1"/>
    <x v="1"/>
    <x v="0"/>
    <n v="108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0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0"/>
    <x v="3"/>
    <x v="3"/>
    <x v="1"/>
    <n v="0.89807613924424001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0"/>
    <x v="4"/>
    <x v="2"/>
    <x v="1"/>
    <n v="88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0"/>
    <x v="5"/>
    <x v="3"/>
    <x v="1"/>
    <n v="0.9770409645845600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0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1"/>
    <x v="0"/>
    <x v="0"/>
    <x v="0"/>
    <n v="157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1"/>
    <x v="1"/>
    <x v="1"/>
    <x v="0"/>
    <n v="107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1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1"/>
    <x v="3"/>
    <x v="3"/>
    <x v="1"/>
    <n v="0.81433875939071099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1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1"/>
    <x v="5"/>
    <x v="3"/>
    <x v="1"/>
    <n v="0.975008672547789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1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2"/>
    <x v="0"/>
    <x v="0"/>
    <x v="0"/>
    <n v="142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2"/>
    <x v="1"/>
    <x v="1"/>
    <x v="0"/>
    <n v="108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2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2"/>
    <x v="3"/>
    <x v="3"/>
    <x v="1"/>
    <n v="0.8680921602948290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2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2"/>
    <x v="5"/>
    <x v="3"/>
    <x v="1"/>
    <n v="0.96612864085926897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2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3"/>
    <x v="0"/>
    <x v="0"/>
    <x v="0"/>
    <n v="149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3"/>
    <x v="1"/>
    <x v="1"/>
    <x v="0"/>
    <n v="10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3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3"/>
    <x v="3"/>
    <x v="3"/>
    <x v="1"/>
    <n v="0.927928778965915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3"/>
    <x v="4"/>
    <x v="2"/>
    <x v="1"/>
    <n v="88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3"/>
    <x v="5"/>
    <x v="3"/>
    <x v="1"/>
    <n v="0.98841331928457399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3"/>
    <x v="6"/>
    <x v="1"/>
    <x v="2"/>
    <n v="69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4"/>
    <x v="0"/>
    <x v="0"/>
    <x v="0"/>
    <n v="16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4"/>
    <x v="1"/>
    <x v="1"/>
    <x v="0"/>
    <n v="110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4"/>
    <x v="2"/>
    <x v="2"/>
    <x v="1"/>
    <n v="51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4"/>
    <x v="3"/>
    <x v="3"/>
    <x v="1"/>
    <n v="0.923452614515896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4"/>
    <x v="4"/>
    <x v="2"/>
    <x v="1"/>
    <n v="90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4"/>
    <x v="5"/>
    <x v="3"/>
    <x v="1"/>
    <n v="0.9977856597454769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4"/>
    <x v="6"/>
    <x v="1"/>
    <x v="2"/>
    <n v="69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5"/>
    <x v="0"/>
    <x v="0"/>
    <x v="0"/>
    <n v="137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5"/>
    <x v="1"/>
    <x v="1"/>
    <x v="0"/>
    <n v="9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5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5"/>
    <x v="3"/>
    <x v="3"/>
    <x v="1"/>
    <n v="0.77176902178137796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5"/>
    <x v="4"/>
    <x v="2"/>
    <x v="1"/>
    <n v="82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5"/>
    <x v="5"/>
    <x v="3"/>
    <x v="1"/>
    <n v="0.92732957491889501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5"/>
    <x v="6"/>
    <x v="1"/>
    <x v="2"/>
    <n v="61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6"/>
    <x v="0"/>
    <x v="0"/>
    <x v="0"/>
    <n v="164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6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6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6"/>
    <x v="3"/>
    <x v="3"/>
    <x v="1"/>
    <n v="0.961059106266719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6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6"/>
    <x v="5"/>
    <x v="3"/>
    <x v="1"/>
    <n v="0.99866787210596297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6"/>
    <x v="6"/>
    <x v="1"/>
    <x v="2"/>
    <n v="6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7"/>
    <x v="0"/>
    <x v="0"/>
    <x v="0"/>
    <n v="136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7"/>
    <x v="1"/>
    <x v="1"/>
    <x v="0"/>
    <n v="100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7"/>
    <x v="2"/>
    <x v="2"/>
    <x v="1"/>
    <n v="47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7"/>
    <x v="3"/>
    <x v="3"/>
    <x v="1"/>
    <n v="0.79339628671155604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7"/>
    <x v="4"/>
    <x v="2"/>
    <x v="1"/>
    <n v="82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7"/>
    <x v="5"/>
    <x v="3"/>
    <x v="1"/>
    <n v="0.92631153500444496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7"/>
    <x v="6"/>
    <x v="1"/>
    <x v="2"/>
    <n v="6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8"/>
    <x v="0"/>
    <x v="0"/>
    <x v="0"/>
    <n v="17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8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8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8"/>
    <x v="3"/>
    <x v="3"/>
    <x v="1"/>
    <n v="0.839230238033882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8"/>
    <x v="4"/>
    <x v="2"/>
    <x v="1"/>
    <n v="83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8"/>
    <x v="5"/>
    <x v="3"/>
    <x v="1"/>
    <n v="0.968492111887999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8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19"/>
    <x v="0"/>
    <x v="0"/>
    <x v="0"/>
    <n v="156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19"/>
    <x v="1"/>
    <x v="1"/>
    <x v="0"/>
    <n v="108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19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19"/>
    <x v="3"/>
    <x v="3"/>
    <x v="1"/>
    <n v="0.844147601339614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19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19"/>
    <x v="5"/>
    <x v="3"/>
    <x v="1"/>
    <n v="0.99667037070778597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19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0"/>
    <x v="0"/>
    <x v="0"/>
    <x v="0"/>
    <n v="173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0"/>
    <x v="1"/>
    <x v="1"/>
    <x v="0"/>
    <n v="10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0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0"/>
    <x v="3"/>
    <x v="3"/>
    <x v="1"/>
    <n v="0.94779658280098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0"/>
    <x v="4"/>
    <x v="2"/>
    <x v="1"/>
    <n v="88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0"/>
    <x v="5"/>
    <x v="3"/>
    <x v="1"/>
    <n v="0.99511711828987603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0"/>
    <x v="6"/>
    <x v="1"/>
    <x v="2"/>
    <n v="69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1"/>
    <x v="0"/>
    <x v="0"/>
    <x v="0"/>
    <n v="165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1"/>
    <x v="1"/>
    <x v="1"/>
    <x v="0"/>
    <n v="10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1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1"/>
    <x v="3"/>
    <x v="3"/>
    <x v="1"/>
    <n v="0.877373487933529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1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1"/>
    <x v="5"/>
    <x v="3"/>
    <x v="1"/>
    <n v="0.96721225425113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1"/>
    <x v="6"/>
    <x v="1"/>
    <x v="2"/>
    <n v="70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2"/>
    <x v="0"/>
    <x v="0"/>
    <x v="0"/>
    <n v="14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2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2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2"/>
    <x v="3"/>
    <x v="3"/>
    <x v="1"/>
    <n v="0.89377021812152901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2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2"/>
    <x v="5"/>
    <x v="3"/>
    <x v="1"/>
    <n v="0.9744222308254090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2"/>
    <x v="6"/>
    <x v="1"/>
    <x v="2"/>
    <n v="6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3"/>
    <x v="0"/>
    <x v="0"/>
    <x v="0"/>
    <n v="147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3"/>
    <x v="1"/>
    <x v="1"/>
    <x v="0"/>
    <n v="107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3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3"/>
    <x v="3"/>
    <x v="3"/>
    <x v="1"/>
    <n v="0.936791485037099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3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3"/>
    <x v="5"/>
    <x v="3"/>
    <x v="1"/>
    <n v="0.999136030415012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3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4"/>
    <x v="0"/>
    <x v="0"/>
    <x v="0"/>
    <n v="13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4"/>
    <x v="1"/>
    <x v="1"/>
    <x v="0"/>
    <n v="106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4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4"/>
    <x v="3"/>
    <x v="3"/>
    <x v="1"/>
    <n v="0.773648061826283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4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4"/>
    <x v="5"/>
    <x v="3"/>
    <x v="1"/>
    <n v="0.9864231483302470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4"/>
    <x v="6"/>
    <x v="1"/>
    <x v="2"/>
    <n v="67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5"/>
    <x v="0"/>
    <x v="0"/>
    <x v="0"/>
    <n v="144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5"/>
    <x v="1"/>
    <x v="1"/>
    <x v="0"/>
    <n v="108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5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5"/>
    <x v="3"/>
    <x v="3"/>
    <x v="1"/>
    <n v="0.897107853181111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5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5"/>
    <x v="5"/>
    <x v="3"/>
    <x v="1"/>
    <n v="0.98403171754398699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5"/>
    <x v="6"/>
    <x v="1"/>
    <x v="2"/>
    <n v="69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6"/>
    <x v="0"/>
    <x v="0"/>
    <x v="0"/>
    <n v="167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6"/>
    <x v="1"/>
    <x v="1"/>
    <x v="0"/>
    <n v="103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6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6"/>
    <x v="3"/>
    <x v="3"/>
    <x v="1"/>
    <n v="0.9390427753521779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6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6"/>
    <x v="5"/>
    <x v="3"/>
    <x v="1"/>
    <n v="0.967159985443407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6"/>
    <x v="6"/>
    <x v="1"/>
    <x v="2"/>
    <n v="6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7"/>
    <x v="0"/>
    <x v="0"/>
    <x v="0"/>
    <n v="152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7"/>
    <x v="1"/>
    <x v="1"/>
    <x v="0"/>
    <n v="106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7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7"/>
    <x v="3"/>
    <x v="3"/>
    <x v="1"/>
    <n v="0.845121550640663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7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7"/>
    <x v="5"/>
    <x v="3"/>
    <x v="1"/>
    <n v="0.99684311992927299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7"/>
    <x v="6"/>
    <x v="1"/>
    <x v="2"/>
    <n v="67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8"/>
    <x v="0"/>
    <x v="0"/>
    <x v="0"/>
    <n v="18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8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8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8"/>
    <x v="3"/>
    <x v="3"/>
    <x v="1"/>
    <n v="0.943736523663282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8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8"/>
    <x v="5"/>
    <x v="3"/>
    <x v="1"/>
    <n v="0.9786817838157140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8"/>
    <x v="6"/>
    <x v="1"/>
    <x v="2"/>
    <n v="6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29"/>
    <x v="0"/>
    <x v="0"/>
    <x v="0"/>
    <n v="143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29"/>
    <x v="1"/>
    <x v="1"/>
    <x v="0"/>
    <n v="103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29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29"/>
    <x v="3"/>
    <x v="3"/>
    <x v="1"/>
    <n v="0.82541686390305702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29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29"/>
    <x v="5"/>
    <x v="3"/>
    <x v="1"/>
    <n v="0.97760852785839103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29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0"/>
    <x v="0"/>
    <x v="0"/>
    <x v="0"/>
    <n v="142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0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0"/>
    <x v="2"/>
    <x v="2"/>
    <x v="1"/>
    <n v="48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0"/>
    <x v="3"/>
    <x v="3"/>
    <x v="1"/>
    <n v="0.7506471650991850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0"/>
    <x v="4"/>
    <x v="2"/>
    <x v="1"/>
    <n v="83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0"/>
    <x v="5"/>
    <x v="3"/>
    <x v="1"/>
    <n v="0.9431821137117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0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1"/>
    <x v="0"/>
    <x v="0"/>
    <x v="0"/>
    <n v="138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1"/>
    <x v="1"/>
    <x v="1"/>
    <x v="0"/>
    <n v="10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1"/>
    <x v="2"/>
    <x v="2"/>
    <x v="1"/>
    <n v="47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1"/>
    <x v="3"/>
    <x v="3"/>
    <x v="1"/>
    <n v="0.71791407599347101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1"/>
    <x v="4"/>
    <x v="2"/>
    <x v="1"/>
    <n v="82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1"/>
    <x v="5"/>
    <x v="3"/>
    <x v="1"/>
    <n v="0.9365531070787509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1"/>
    <x v="6"/>
    <x v="1"/>
    <x v="2"/>
    <n v="65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2"/>
    <x v="0"/>
    <x v="0"/>
    <x v="0"/>
    <n v="169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2"/>
    <x v="1"/>
    <x v="1"/>
    <x v="0"/>
    <n v="99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2"/>
    <x v="2"/>
    <x v="2"/>
    <x v="1"/>
    <n v="47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2"/>
    <x v="3"/>
    <x v="3"/>
    <x v="1"/>
    <n v="0.88373038857377595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2"/>
    <x v="4"/>
    <x v="2"/>
    <x v="1"/>
    <n v="82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2"/>
    <x v="5"/>
    <x v="3"/>
    <x v="1"/>
    <n v="0.94089492450732604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2"/>
    <x v="6"/>
    <x v="1"/>
    <x v="2"/>
    <n v="62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3"/>
    <x v="0"/>
    <x v="0"/>
    <x v="0"/>
    <n v="158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3"/>
    <x v="1"/>
    <x v="1"/>
    <x v="0"/>
    <n v="110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3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3"/>
    <x v="3"/>
    <x v="3"/>
    <x v="1"/>
    <n v="0.9597292888897309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3"/>
    <x v="4"/>
    <x v="2"/>
    <x v="1"/>
    <n v="85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3"/>
    <x v="5"/>
    <x v="3"/>
    <x v="1"/>
    <n v="0.99597963781204601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3"/>
    <x v="6"/>
    <x v="1"/>
    <x v="2"/>
    <n v="71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4"/>
    <x v="0"/>
    <x v="0"/>
    <x v="0"/>
    <n v="168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4"/>
    <x v="1"/>
    <x v="1"/>
    <x v="0"/>
    <n v="106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4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4"/>
    <x v="3"/>
    <x v="3"/>
    <x v="1"/>
    <n v="0.93820153718493604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4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4"/>
    <x v="5"/>
    <x v="3"/>
    <x v="1"/>
    <n v="0.99868085324383205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4"/>
    <x v="6"/>
    <x v="1"/>
    <x v="2"/>
    <n v="67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5"/>
    <x v="0"/>
    <x v="0"/>
    <x v="0"/>
    <n v="164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5"/>
    <x v="1"/>
    <x v="1"/>
    <x v="0"/>
    <n v="10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5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5"/>
    <x v="3"/>
    <x v="3"/>
    <x v="1"/>
    <n v="0.95217653750853104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5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5"/>
    <x v="5"/>
    <x v="3"/>
    <x v="1"/>
    <n v="0.99166360732138903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5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6"/>
    <x v="0"/>
    <x v="0"/>
    <x v="0"/>
    <n v="15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6"/>
    <x v="1"/>
    <x v="1"/>
    <x v="0"/>
    <n v="110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6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6"/>
    <x v="3"/>
    <x v="3"/>
    <x v="1"/>
    <n v="0.84435293146219603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6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6"/>
    <x v="5"/>
    <x v="3"/>
    <x v="1"/>
    <n v="0.994211710696308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6"/>
    <x v="6"/>
    <x v="1"/>
    <x v="2"/>
    <n v="70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7"/>
    <x v="0"/>
    <x v="0"/>
    <x v="0"/>
    <n v="140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7"/>
    <x v="1"/>
    <x v="1"/>
    <x v="0"/>
    <n v="112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7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7"/>
    <x v="3"/>
    <x v="3"/>
    <x v="1"/>
    <n v="0.87704138070938298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7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7"/>
    <x v="5"/>
    <x v="3"/>
    <x v="1"/>
    <n v="0.984469957753789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7"/>
    <x v="6"/>
    <x v="1"/>
    <x v="2"/>
    <n v="72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8"/>
    <x v="0"/>
    <x v="0"/>
    <x v="0"/>
    <n v="172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8"/>
    <x v="1"/>
    <x v="1"/>
    <x v="0"/>
    <n v="114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8"/>
    <x v="2"/>
    <x v="2"/>
    <x v="1"/>
    <n v="51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8"/>
    <x v="3"/>
    <x v="3"/>
    <x v="1"/>
    <n v="0.95032883585636996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8"/>
    <x v="4"/>
    <x v="2"/>
    <x v="1"/>
    <n v="90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8"/>
    <x v="5"/>
    <x v="3"/>
    <x v="1"/>
    <n v="0.99529885108462202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8"/>
    <x v="6"/>
    <x v="1"/>
    <x v="2"/>
    <n v="73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39"/>
    <x v="0"/>
    <x v="0"/>
    <x v="0"/>
    <n v="148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39"/>
    <x v="1"/>
    <x v="1"/>
    <x v="0"/>
    <n v="108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39"/>
    <x v="2"/>
    <x v="2"/>
    <x v="1"/>
    <n v="50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39"/>
    <x v="3"/>
    <x v="3"/>
    <x v="1"/>
    <n v="0.85807830584468703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39"/>
    <x v="4"/>
    <x v="2"/>
    <x v="1"/>
    <n v="87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39"/>
    <x v="5"/>
    <x v="3"/>
    <x v="1"/>
    <n v="0.96758095254889598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39"/>
    <x v="6"/>
    <x v="1"/>
    <x v="2"/>
    <n v="68"/>
    <n v="0"/>
    <s v="Unnamed ProjectSystem.NumberOutNumber OutSystem"/>
    <n v="40"/>
    <n v="66.25"/>
    <n v="3.0780446673755359"/>
    <n v="0.95"/>
    <n v="0.98440644200682814"/>
    <n v="60"/>
    <n v="73"/>
  </r>
  <r>
    <x v="0"/>
    <s v="2023-12-09 10:17:21"/>
    <n v="40"/>
    <x v="0"/>
    <x v="0"/>
    <x v="0"/>
    <n v="133"/>
    <n v="0"/>
    <s v="Unnamed ProjectCliente.NumberInNumber InEntity"/>
    <n v="40"/>
    <n v="154.65"/>
    <n v="14.193805077008156"/>
    <n v="0.95"/>
    <n v="4.5393990875088708"/>
    <n v="128"/>
    <n v="181"/>
  </r>
  <r>
    <x v="0"/>
    <s v="2023-12-09 10:17:21"/>
    <n v="40"/>
    <x v="1"/>
    <x v="1"/>
    <x v="0"/>
    <n v="103"/>
    <n v="0"/>
    <s v="Unnamed ProjectCliente.NumberOutNumber OutEntity"/>
    <n v="40"/>
    <n v="105.35"/>
    <n v="3.7794993563454127"/>
    <n v="0.95"/>
    <n v="1.2087425349546295"/>
    <n v="99"/>
    <n v="114"/>
  </r>
  <r>
    <x v="0"/>
    <s v="2023-12-09 10:17:21"/>
    <n v="40"/>
    <x v="2"/>
    <x v="2"/>
    <x v="1"/>
    <n v="49"/>
    <n v="0"/>
    <s v="Unnamed ProjectCopo.NumberSeizedTotal Number SeizedResource"/>
    <n v="40"/>
    <n v="49.1"/>
    <n v="1.0076629473115577"/>
    <n v="0.95"/>
    <n v="0.32226624493752409"/>
    <n v="47"/>
    <n v="51"/>
  </r>
  <r>
    <x v="0"/>
    <s v="2023-12-09 10:17:21"/>
    <n v="40"/>
    <x v="3"/>
    <x v="3"/>
    <x v="1"/>
    <n v="0.853046269111157"/>
    <n v="0"/>
    <s v="Unnamed ProjectCopo.ScheduledUtilizationScheduled UtilizationResource"/>
    <n v="40"/>
    <n v="0.87901029902009642"/>
    <n v="6.4041892088461561E-2"/>
    <n v="0.95"/>
    <n v="2.048159073141095E-2"/>
    <n v="0.71791407599347101"/>
    <n v="0.96105910626671998"/>
  </r>
  <r>
    <x v="0"/>
    <s v="2023-12-09 10:17:21"/>
    <n v="40"/>
    <x v="4"/>
    <x v="2"/>
    <x v="1"/>
    <n v="86"/>
    <n v="0"/>
    <s v="Unnamed ProjectGarçonete.NumberSeizedTotal Number SeizedResource"/>
    <n v="40"/>
    <n v="85.7"/>
    <n v="2.0902705014496981"/>
    <n v="0.95"/>
    <n v="0.6685009379407032"/>
    <n v="82"/>
    <n v="90"/>
  </r>
  <r>
    <x v="0"/>
    <s v="2023-12-09 10:17:21"/>
    <n v="40"/>
    <x v="5"/>
    <x v="3"/>
    <x v="1"/>
    <n v="0.97513747162922904"/>
    <n v="0"/>
    <s v="Unnamed ProjectGarçonete.ScheduledUtilizationScheduled UtilizationResource"/>
    <n v="40"/>
    <n v="0.97764323127952735"/>
    <n v="2.0318152206087455E-2"/>
    <n v="0.95"/>
    <n v="6.4980603216527278E-3"/>
    <n v="0.92631153500444496"/>
    <n v="0.99913603041501298"/>
  </r>
  <r>
    <x v="0"/>
    <s v="2023-12-09 10:17:21"/>
    <n v="40"/>
    <x v="6"/>
    <x v="1"/>
    <x v="2"/>
    <n v="64"/>
    <n v="0"/>
    <s v="Unnamed ProjectSystem.NumberOutNumber OutSystem"/>
    <n v="40"/>
    <n v="66.25"/>
    <n v="3.0780446673755359"/>
    <n v="0.95"/>
    <n v="0.98440644200682814"/>
    <n v="60"/>
    <n v="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topLeftCell="Y1" workbookViewId="0">
      <selection activeCell="E11" sqref="E11"/>
    </sheetView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63.75</v>
      </c>
      <c r="O3" t="s">
        <v>66</v>
      </c>
      <c r="P3" t="s">
        <v>70</v>
      </c>
      <c r="Q3" t="s">
        <v>84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43.25</v>
      </c>
      <c r="AF3" s="5">
        <v>0.36751142118739266</v>
      </c>
      <c r="AG3" s="5">
        <v>1.1491356841177722</v>
      </c>
      <c r="AH3" s="5">
        <v>41</v>
      </c>
      <c r="AI3" s="5">
        <v>46</v>
      </c>
      <c r="AK3" t="s">
        <v>66</v>
      </c>
      <c r="AL3" t="s">
        <v>107</v>
      </c>
      <c r="AM3" t="s">
        <v>100</v>
      </c>
      <c r="AN3" t="s">
        <v>108</v>
      </c>
      <c r="AO3" s="5">
        <v>66.25</v>
      </c>
      <c r="AP3" s="5">
        <v>0.98440644200682814</v>
      </c>
      <c r="AQ3" s="5">
        <v>3.0780446673755359</v>
      </c>
      <c r="AR3" s="5">
        <v>60</v>
      </c>
      <c r="AS3" s="5">
        <v>73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18.618967862405164</v>
      </c>
      <c r="F4" s="5">
        <v>1</v>
      </c>
      <c r="G4" s="5">
        <v>3.3733990308484154</v>
      </c>
      <c r="H4" s="5">
        <v>10.547953014879543</v>
      </c>
      <c r="I4" s="5">
        <v>2.2923591374407501</v>
      </c>
      <c r="J4" s="5">
        <v>43.617756229995699</v>
      </c>
      <c r="K4" s="5">
        <v>0</v>
      </c>
      <c r="L4" s="5">
        <v>99.920062845191197</v>
      </c>
      <c r="M4" s="5">
        <v>49.1</v>
      </c>
      <c r="P4" t="s">
        <v>73</v>
      </c>
      <c r="Q4" t="s">
        <v>84</v>
      </c>
      <c r="R4" t="s">
        <v>72</v>
      </c>
      <c r="S4" s="5">
        <v>5.862044820968829</v>
      </c>
      <c r="T4" s="5">
        <v>1.1647272989250694</v>
      </c>
      <c r="U4" s="5">
        <v>3.6418723998741918</v>
      </c>
      <c r="V4" s="5">
        <v>0.475935837419309</v>
      </c>
      <c r="W4" s="5">
        <v>14.545335118962701</v>
      </c>
      <c r="X4" s="5">
        <v>0</v>
      </c>
      <c r="Y4" s="5">
        <v>33</v>
      </c>
      <c r="AB4" t="s">
        <v>95</v>
      </c>
      <c r="AC4" t="s">
        <v>93</v>
      </c>
      <c r="AD4" t="s">
        <v>94</v>
      </c>
      <c r="AE4" s="5">
        <v>43.25</v>
      </c>
      <c r="AF4" s="5">
        <v>0.36751142118739266</v>
      </c>
      <c r="AG4" s="5">
        <v>1.1491356841177722</v>
      </c>
      <c r="AH4" s="5">
        <v>41</v>
      </c>
      <c r="AI4" s="5">
        <v>46</v>
      </c>
      <c r="AL4" t="s">
        <v>97</v>
      </c>
      <c r="AM4" t="s">
        <v>98</v>
      </c>
      <c r="AN4" t="s">
        <v>76</v>
      </c>
      <c r="AO4" s="5">
        <v>154.65</v>
      </c>
      <c r="AP4" s="5">
        <v>4.5393990875088708</v>
      </c>
      <c r="AQ4" s="5">
        <v>14.193805077008156</v>
      </c>
      <c r="AR4" s="5">
        <v>128</v>
      </c>
      <c r="AS4" s="5">
        <v>181</v>
      </c>
    </row>
    <row r="5" spans="1:52" x14ac:dyDescent="0.35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66.25</v>
      </c>
      <c r="P5" t="s">
        <v>74</v>
      </c>
      <c r="Q5" t="s">
        <v>85</v>
      </c>
      <c r="R5" t="s">
        <v>76</v>
      </c>
      <c r="S5" s="5">
        <v>29.304295622339577</v>
      </c>
      <c r="T5" s="5">
        <v>2.6199410784579222</v>
      </c>
      <c r="U5" s="5">
        <v>8.1920386958719043</v>
      </c>
      <c r="V5" s="5">
        <v>16.614335916574898</v>
      </c>
      <c r="W5" s="5">
        <v>47.992828685108996</v>
      </c>
      <c r="X5" s="5">
        <v>0</v>
      </c>
      <c r="Y5" s="5">
        <v>86</v>
      </c>
      <c r="AB5" t="s">
        <v>96</v>
      </c>
      <c r="AC5" t="s">
        <v>93</v>
      </c>
      <c r="AD5" t="s">
        <v>94</v>
      </c>
      <c r="AE5" s="5">
        <v>27.15</v>
      </c>
      <c r="AF5" s="5">
        <v>0.82750506679585156</v>
      </c>
      <c r="AG5" s="5">
        <v>2.5874450322416114</v>
      </c>
      <c r="AH5" s="5">
        <v>21</v>
      </c>
      <c r="AI5" s="5">
        <v>32</v>
      </c>
      <c r="AL5" t="s">
        <v>99</v>
      </c>
      <c r="AM5" t="s">
        <v>100</v>
      </c>
      <c r="AN5" t="s">
        <v>76</v>
      </c>
      <c r="AO5" s="5">
        <v>105.35</v>
      </c>
      <c r="AP5" s="5">
        <v>1.2087425349546295</v>
      </c>
      <c r="AQ5" s="5">
        <v>3.7794993563454127</v>
      </c>
      <c r="AR5" s="5">
        <v>99</v>
      </c>
      <c r="AS5" s="5">
        <v>114</v>
      </c>
    </row>
    <row r="6" spans="1:52" x14ac:dyDescent="0.35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66.25</v>
      </c>
      <c r="P6" t="s">
        <v>86</v>
      </c>
      <c r="Q6" t="s">
        <v>87</v>
      </c>
      <c r="R6" t="s">
        <v>88</v>
      </c>
      <c r="S6" s="5">
        <v>0.8790102990200962</v>
      </c>
      <c r="T6" s="5">
        <v>2.0481590731410954E-2</v>
      </c>
      <c r="U6" s="5">
        <v>6.4041892088461574E-2</v>
      </c>
      <c r="V6" s="5">
        <v>0.71791407599347101</v>
      </c>
      <c r="W6" s="5">
        <v>0.96105910626671998</v>
      </c>
      <c r="X6" s="5">
        <v>0</v>
      </c>
      <c r="Y6" s="5">
        <v>1</v>
      </c>
      <c r="AL6" t="s">
        <v>101</v>
      </c>
      <c r="AM6" t="s">
        <v>102</v>
      </c>
      <c r="AN6" t="s">
        <v>88</v>
      </c>
      <c r="AO6" s="5">
        <v>49.1</v>
      </c>
      <c r="AP6" s="5">
        <v>0.32226624493752409</v>
      </c>
      <c r="AQ6" s="5">
        <v>1.0076629473115577</v>
      </c>
      <c r="AR6" s="5">
        <v>47</v>
      </c>
      <c r="AS6" s="5">
        <v>51</v>
      </c>
    </row>
    <row r="7" spans="1:52" x14ac:dyDescent="0.35">
      <c r="C7" t="s">
        <v>78</v>
      </c>
      <c r="D7" t="s">
        <v>76</v>
      </c>
      <c r="E7" s="5">
        <v>34.654260549205119</v>
      </c>
      <c r="F7" s="5">
        <v>1</v>
      </c>
      <c r="G7" s="5">
        <v>2.2654660610570421</v>
      </c>
      <c r="H7" s="5">
        <v>7.0836652736050665</v>
      </c>
      <c r="I7" s="5">
        <v>22.316251643751801</v>
      </c>
      <c r="J7" s="5">
        <v>54.481064037149501</v>
      </c>
      <c r="K7" s="5">
        <v>0</v>
      </c>
      <c r="L7" s="5">
        <v>135.81902063368</v>
      </c>
      <c r="M7" s="5">
        <v>66.25</v>
      </c>
      <c r="Q7" t="s">
        <v>89</v>
      </c>
      <c r="R7" t="s">
        <v>88</v>
      </c>
      <c r="S7" s="5">
        <v>8.790102990200964</v>
      </c>
      <c r="T7" s="5">
        <v>0.20481590731410945</v>
      </c>
      <c r="U7" s="5">
        <v>0.64041892088461538</v>
      </c>
      <c r="V7" s="5">
        <v>7.1791407599347101</v>
      </c>
      <c r="W7" s="5">
        <v>9.6105910626672006</v>
      </c>
      <c r="X7" s="5">
        <v>0</v>
      </c>
      <c r="Y7" s="5">
        <v>10</v>
      </c>
      <c r="AL7" t="s">
        <v>103</v>
      </c>
      <c r="AM7" t="s">
        <v>104</v>
      </c>
      <c r="AN7" t="s">
        <v>88</v>
      </c>
      <c r="AO7" s="5">
        <v>0.87901029902009642</v>
      </c>
      <c r="AP7" s="5">
        <v>2.048159073141095E-2</v>
      </c>
      <c r="AQ7" s="5">
        <v>6.4041892088461561E-2</v>
      </c>
      <c r="AR7" s="5">
        <v>0.71791407599347101</v>
      </c>
      <c r="AS7" s="5">
        <v>0.96105910626671998</v>
      </c>
    </row>
    <row r="8" spans="1:52" x14ac:dyDescent="0.35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66.25</v>
      </c>
      <c r="Q8" t="s">
        <v>90</v>
      </c>
      <c r="R8" t="s">
        <v>88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105</v>
      </c>
      <c r="AM8" t="s">
        <v>102</v>
      </c>
      <c r="AN8" t="s">
        <v>88</v>
      </c>
      <c r="AO8" s="5">
        <v>85.7</v>
      </c>
      <c r="AP8" s="5">
        <v>0.6685009379407032</v>
      </c>
      <c r="AQ8" s="5">
        <v>2.0902705014496981</v>
      </c>
      <c r="AR8" s="5">
        <v>82</v>
      </c>
      <c r="AS8" s="5">
        <v>90</v>
      </c>
    </row>
    <row r="9" spans="1:52" x14ac:dyDescent="0.35">
      <c r="C9" t="s">
        <v>80</v>
      </c>
      <c r="D9" t="s">
        <v>76</v>
      </c>
      <c r="E9" s="5">
        <v>10.337635167199183</v>
      </c>
      <c r="F9" s="5">
        <v>1</v>
      </c>
      <c r="G9" s="5">
        <v>0.13628518892811467</v>
      </c>
      <c r="H9" s="5">
        <v>0.42613688931907767</v>
      </c>
      <c r="I9" s="5">
        <v>9.57099242159887</v>
      </c>
      <c r="J9" s="5">
        <v>11.4763265650571</v>
      </c>
      <c r="K9" s="5">
        <v>0</v>
      </c>
      <c r="L9" s="5">
        <v>21.570142335238799</v>
      </c>
      <c r="M9" s="5">
        <v>66.25</v>
      </c>
      <c r="P9" t="s">
        <v>82</v>
      </c>
      <c r="Q9" t="s">
        <v>84</v>
      </c>
      <c r="R9" t="s">
        <v>72</v>
      </c>
      <c r="S9" s="5">
        <v>2.8792341846950738</v>
      </c>
      <c r="T9" s="5">
        <v>9.1472887832627928E-2</v>
      </c>
      <c r="U9" s="5">
        <v>0.28601766769087028</v>
      </c>
      <c r="V9" s="5">
        <v>2.1426391607582</v>
      </c>
      <c r="W9" s="5">
        <v>3.27384557923344</v>
      </c>
      <c r="X9" s="5">
        <v>0</v>
      </c>
      <c r="Y9" s="5">
        <v>6</v>
      </c>
      <c r="AL9" t="s">
        <v>106</v>
      </c>
      <c r="AM9" t="s">
        <v>104</v>
      </c>
      <c r="AN9" t="s">
        <v>88</v>
      </c>
      <c r="AO9" s="5">
        <v>0.97764323127952735</v>
      </c>
      <c r="AP9" s="5">
        <v>6.4980603216527278E-3</v>
      </c>
      <c r="AQ9" s="5">
        <v>2.0318152206087455E-2</v>
      </c>
      <c r="AR9" s="5">
        <v>0.92631153500444496</v>
      </c>
      <c r="AS9" s="5">
        <v>0.99913603041501298</v>
      </c>
    </row>
    <row r="10" spans="1:52" x14ac:dyDescent="0.35">
      <c r="C10" t="s">
        <v>81</v>
      </c>
      <c r="D10" t="s">
        <v>76</v>
      </c>
      <c r="E10" s="5">
        <v>24.316625382005931</v>
      </c>
      <c r="F10" s="5">
        <v>1</v>
      </c>
      <c r="G10" s="5">
        <v>2.2010721758163658</v>
      </c>
      <c r="H10" s="5">
        <v>6.8823183028634016</v>
      </c>
      <c r="I10" s="5">
        <v>12.417308363925899</v>
      </c>
      <c r="J10" s="5">
        <v>43.004737472092501</v>
      </c>
      <c r="K10" s="5">
        <v>0</v>
      </c>
      <c r="L10" s="5">
        <v>118.512212682617</v>
      </c>
      <c r="M10" s="5">
        <v>66.25</v>
      </c>
      <c r="P10" t="s">
        <v>91</v>
      </c>
      <c r="Q10" t="s">
        <v>87</v>
      </c>
      <c r="R10" t="s">
        <v>88</v>
      </c>
      <c r="S10" s="5">
        <v>0.97764323127952735</v>
      </c>
      <c r="T10" s="5">
        <v>6.4980603216527278E-3</v>
      </c>
      <c r="U10" s="5">
        <v>2.0318152206087455E-2</v>
      </c>
      <c r="V10" s="5">
        <v>0.92631153500444496</v>
      </c>
      <c r="W10" s="5">
        <v>0.99913603041501298</v>
      </c>
      <c r="X10" s="5">
        <v>0</v>
      </c>
      <c r="Y10" s="5">
        <v>1</v>
      </c>
    </row>
    <row r="11" spans="1:52" x14ac:dyDescent="0.35">
      <c r="B11" t="s">
        <v>82</v>
      </c>
      <c r="C11" t="s">
        <v>71</v>
      </c>
      <c r="D11" t="s">
        <v>72</v>
      </c>
      <c r="E11" s="5">
        <v>14.394765927850363</v>
      </c>
      <c r="F11" s="5">
        <v>1</v>
      </c>
      <c r="G11" s="5">
        <v>0.44353506923979402</v>
      </c>
      <c r="H11" s="5">
        <v>1.3868466279887646</v>
      </c>
      <c r="I11" s="5">
        <v>11.091251412608999</v>
      </c>
      <c r="J11" s="5">
        <v>16.4814222147977</v>
      </c>
      <c r="K11" s="5">
        <v>0</v>
      </c>
      <c r="L11" s="5">
        <v>26.009837467326701</v>
      </c>
      <c r="M11" s="5">
        <v>45.575000000000003</v>
      </c>
      <c r="Q11" t="s">
        <v>89</v>
      </c>
      <c r="R11" t="s">
        <v>88</v>
      </c>
      <c r="S11" s="5">
        <v>1.9552864625590551</v>
      </c>
      <c r="T11" s="5">
        <v>1.299612064330544E-2</v>
      </c>
      <c r="U11" s="5">
        <v>4.0636304412174862E-2</v>
      </c>
      <c r="V11" s="5">
        <v>1.8526230700088899</v>
      </c>
      <c r="W11" s="5">
        <v>1.99827206083003</v>
      </c>
      <c r="X11" s="5">
        <v>0</v>
      </c>
      <c r="Y11" s="5">
        <v>2</v>
      </c>
    </row>
    <row r="12" spans="1:52" x14ac:dyDescent="0.35">
      <c r="B12" t="s">
        <v>83</v>
      </c>
      <c r="C12" t="s">
        <v>71</v>
      </c>
      <c r="D12" t="s">
        <v>72</v>
      </c>
      <c r="E12" s="5">
        <v>15.809459295945839</v>
      </c>
      <c r="F12" s="5">
        <v>1</v>
      </c>
      <c r="G12" s="5">
        <v>0.56813219761319389</v>
      </c>
      <c r="H12" s="5">
        <v>1.7764372586414929</v>
      </c>
      <c r="I12" s="5">
        <v>11.8245391044853</v>
      </c>
      <c r="J12" s="5">
        <v>18.421796874383201</v>
      </c>
      <c r="K12" s="5">
        <v>0</v>
      </c>
      <c r="L12" s="5">
        <v>25.5181478307017</v>
      </c>
      <c r="M12" s="5">
        <v>40.125</v>
      </c>
      <c r="Q12" t="s">
        <v>90</v>
      </c>
      <c r="R12" t="s">
        <v>88</v>
      </c>
      <c r="S12" s="5">
        <v>2</v>
      </c>
      <c r="T12" s="5">
        <v>0</v>
      </c>
      <c r="U12" s="5">
        <v>0</v>
      </c>
      <c r="V12" s="5">
        <v>2</v>
      </c>
      <c r="W12" s="5">
        <v>2</v>
      </c>
      <c r="X12" s="5">
        <v>2</v>
      </c>
      <c r="Y12" s="5">
        <v>2</v>
      </c>
    </row>
    <row r="13" spans="1:52" x14ac:dyDescent="0.35">
      <c r="P13" t="s">
        <v>83</v>
      </c>
      <c r="Q13" t="s">
        <v>84</v>
      </c>
      <c r="R13" t="s">
        <v>72</v>
      </c>
      <c r="S13" s="5">
        <v>2.7691259059879112</v>
      </c>
      <c r="T13" s="5">
        <v>0.10275597124787904</v>
      </c>
      <c r="U13" s="5">
        <v>0.32129764276607009</v>
      </c>
      <c r="V13" s="5">
        <v>2.0230576660756401</v>
      </c>
      <c r="W13" s="5">
        <v>3.1833377638216702</v>
      </c>
      <c r="X13" s="5">
        <v>0</v>
      </c>
      <c r="Y13" s="5">
        <v>6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3">
    <cfRule type="expression" dxfId="30" priority="13">
      <formula>T3=200000000000000000000</formula>
    </cfRule>
  </conditionalFormatting>
  <conditionalFormatting pivot="1" sqref="T3:T13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3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58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63.75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65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63.75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72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63.75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70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63.75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70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63.75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80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63.75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51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63.75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64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63.75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66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63.75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68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63.75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64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63.75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57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63.75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60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63.75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66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63.75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2E+20</v>
      </c>
      <c r="I16">
        <v>0</v>
      </c>
      <c r="J16">
        <v>0</v>
      </c>
      <c r="K16">
        <v>57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63.75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70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63.75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55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63.75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2E+20</v>
      </c>
      <c r="I19">
        <v>0</v>
      </c>
      <c r="J19">
        <v>0</v>
      </c>
      <c r="K19">
        <v>72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63.75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64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63.75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72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63.75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67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63.75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58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63.75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59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63.75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51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63.75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57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63.75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72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63.75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62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63.75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78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63.75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59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63.75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58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63.75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55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63.75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72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63.75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2E+20</v>
      </c>
      <c r="I34">
        <v>0</v>
      </c>
      <c r="J34">
        <v>0</v>
      </c>
      <c r="K34">
        <v>63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63.75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70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63.75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70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63.75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2E+20</v>
      </c>
      <c r="I37">
        <v>0</v>
      </c>
      <c r="J37">
        <v>0</v>
      </c>
      <c r="K37">
        <v>60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63.75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54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63.75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70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63.75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60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63.75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54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63.75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1</v>
      </c>
      <c r="D42" t="s">
        <v>73</v>
      </c>
      <c r="E42" t="s">
        <v>71</v>
      </c>
      <c r="F42" t="s">
        <v>72</v>
      </c>
      <c r="G42">
        <v>10.8219127185396</v>
      </c>
      <c r="H42">
        <v>2E+20</v>
      </c>
      <c r="I42">
        <v>0</v>
      </c>
      <c r="J42">
        <v>44.964149089395399</v>
      </c>
      <c r="K42">
        <v>48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18.618967862405164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10.547953014879543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2.2923591374407501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43.617756229995699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99.920062845191197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49.1</v>
      </c>
      <c r="W42">
        <f>IF((DiscreteStatsTable[[#This Row],[RepsRequested]]&gt;1),DiscreteStatsTable[[#This Row],[HalfWidth]],DiscreteStatsTable[[#This Row],[BatchMeansHalfWidth]])</f>
        <v>3.3733990308484154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2</v>
      </c>
      <c r="D43" t="s">
        <v>73</v>
      </c>
      <c r="E43" t="s">
        <v>71</v>
      </c>
      <c r="F43" t="s">
        <v>72</v>
      </c>
      <c r="G43">
        <v>17.6558098682112</v>
      </c>
      <c r="H43">
        <v>2E+20</v>
      </c>
      <c r="I43">
        <v>0</v>
      </c>
      <c r="J43">
        <v>66.288394770064102</v>
      </c>
      <c r="K43">
        <v>49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18.618967862405164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10.547953014879543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2.2923591374407501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43.617756229995699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99.920062845191197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49.1</v>
      </c>
      <c r="W43">
        <f>IF((DiscreteStatsTable[[#This Row],[RepsRequested]]&gt;1),DiscreteStatsTable[[#This Row],[HalfWidth]],DiscreteStatsTable[[#This Row],[BatchMeansHalfWidth]])</f>
        <v>3.3733990308484154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3</v>
      </c>
      <c r="D44" t="s">
        <v>73</v>
      </c>
      <c r="E44" t="s">
        <v>71</v>
      </c>
      <c r="F44" t="s">
        <v>72</v>
      </c>
      <c r="G44">
        <v>22.793276176791998</v>
      </c>
      <c r="H44">
        <v>2E+20</v>
      </c>
      <c r="I44">
        <v>0</v>
      </c>
      <c r="J44">
        <v>74.548602896488703</v>
      </c>
      <c r="K44">
        <v>51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18.618967862405164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10.547953014879543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2.2923591374407501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43.617756229995699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99.920062845191197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49.1</v>
      </c>
      <c r="W44">
        <f>IF((DiscreteStatsTable[[#This Row],[RepsRequested]]&gt;1),DiscreteStatsTable[[#This Row],[HalfWidth]],DiscreteStatsTable[[#This Row],[BatchMeansHalfWidth]])</f>
        <v>3.3733990308484154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4</v>
      </c>
      <c r="D45" t="s">
        <v>73</v>
      </c>
      <c r="E45" t="s">
        <v>71</v>
      </c>
      <c r="F45" t="s">
        <v>72</v>
      </c>
      <c r="G45">
        <v>27.043578551047101</v>
      </c>
      <c r="H45">
        <v>2E+20</v>
      </c>
      <c r="I45">
        <v>0</v>
      </c>
      <c r="J45">
        <v>70.088172631155899</v>
      </c>
      <c r="K45">
        <v>48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18.618967862405164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10.547953014879543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2.2923591374407501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43.617756229995699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99.920062845191197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49.1</v>
      </c>
      <c r="W45">
        <f>IF((DiscreteStatsTable[[#This Row],[RepsRequested]]&gt;1),DiscreteStatsTable[[#This Row],[HalfWidth]],DiscreteStatsTable[[#This Row],[BatchMeansHalfWidth]])</f>
        <v>3.3733990308484154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5</v>
      </c>
      <c r="D46" t="s">
        <v>73</v>
      </c>
      <c r="E46" t="s">
        <v>71</v>
      </c>
      <c r="F46" t="s">
        <v>72</v>
      </c>
      <c r="G46">
        <v>31.5268972691489</v>
      </c>
      <c r="H46">
        <v>2E+20</v>
      </c>
      <c r="I46">
        <v>0</v>
      </c>
      <c r="J46">
        <v>94.042954195922107</v>
      </c>
      <c r="K46">
        <v>49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18.618967862405164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10.547953014879543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2.2923591374407501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43.617756229995699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99.920062845191197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49.1</v>
      </c>
      <c r="W46">
        <f>IF((DiscreteStatsTable[[#This Row],[RepsRequested]]&gt;1),DiscreteStatsTable[[#This Row],[HalfWidth]],DiscreteStatsTable[[#This Row],[BatchMeansHalfWidth]])</f>
        <v>3.3733990308484154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6</v>
      </c>
      <c r="D47" t="s">
        <v>73</v>
      </c>
      <c r="E47" t="s">
        <v>71</v>
      </c>
      <c r="F47" t="s">
        <v>72</v>
      </c>
      <c r="G47">
        <v>43.617756229995699</v>
      </c>
      <c r="H47">
        <v>2E+20</v>
      </c>
      <c r="I47">
        <v>0</v>
      </c>
      <c r="J47">
        <v>99.920062845191197</v>
      </c>
      <c r="K47">
        <v>49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18.618967862405164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10.547953014879543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2.2923591374407501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43.617756229995699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99.920062845191197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49.1</v>
      </c>
      <c r="W47">
        <f>IF((DiscreteStatsTable[[#This Row],[RepsRequested]]&gt;1),DiscreteStatsTable[[#This Row],[HalfWidth]],DiscreteStatsTable[[#This Row],[BatchMeansHalfWidth]])</f>
        <v>3.3733990308484154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7</v>
      </c>
      <c r="D48" t="s">
        <v>73</v>
      </c>
      <c r="E48" t="s">
        <v>71</v>
      </c>
      <c r="F48" t="s">
        <v>72</v>
      </c>
      <c r="G48">
        <v>2.2923591374407501</v>
      </c>
      <c r="H48">
        <v>2E+20</v>
      </c>
      <c r="I48">
        <v>0</v>
      </c>
      <c r="J48">
        <v>17.697084761662399</v>
      </c>
      <c r="K48">
        <v>49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18.618967862405164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10.547953014879543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2.2923591374407501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43.617756229995699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99.920062845191197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49.1</v>
      </c>
      <c r="W48">
        <f>IF((DiscreteStatsTable[[#This Row],[RepsRequested]]&gt;1),DiscreteStatsTable[[#This Row],[HalfWidth]],DiscreteStatsTable[[#This Row],[BatchMeansHalfWidth]])</f>
        <v>3.3733990308484154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73</v>
      </c>
      <c r="E49" t="s">
        <v>71</v>
      </c>
      <c r="F49" t="s">
        <v>72</v>
      </c>
      <c r="G49">
        <v>22.123741588970301</v>
      </c>
      <c r="H49">
        <v>2E+20</v>
      </c>
      <c r="I49">
        <v>0</v>
      </c>
      <c r="J49">
        <v>59.278390676568797</v>
      </c>
      <c r="K49">
        <v>49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18.618967862405164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10.547953014879543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2.2923591374407501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43.617756229995699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99.920062845191197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49.1</v>
      </c>
      <c r="W49">
        <f>IF((DiscreteStatsTable[[#This Row],[RepsRequested]]&gt;1),DiscreteStatsTable[[#This Row],[HalfWidth]],DiscreteStatsTable[[#This Row],[BatchMeansHalfWidth]])</f>
        <v>3.3733990308484154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73</v>
      </c>
      <c r="E50" t="s">
        <v>71</v>
      </c>
      <c r="F50" t="s">
        <v>72</v>
      </c>
      <c r="G50">
        <v>30.281474350582702</v>
      </c>
      <c r="H50">
        <v>2E+20</v>
      </c>
      <c r="I50">
        <v>0</v>
      </c>
      <c r="J50">
        <v>88.1251952536674</v>
      </c>
      <c r="K50">
        <v>48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18.618967862405164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10.547953014879543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2.2923591374407501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43.617756229995699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99.920062845191197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49.1</v>
      </c>
      <c r="W50">
        <f>IF((DiscreteStatsTable[[#This Row],[RepsRequested]]&gt;1),DiscreteStatsTable[[#This Row],[HalfWidth]],DiscreteStatsTable[[#This Row],[BatchMeansHalfWidth]])</f>
        <v>3.3733990308484154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10</v>
      </c>
      <c r="D51" t="s">
        <v>73</v>
      </c>
      <c r="E51" t="s">
        <v>71</v>
      </c>
      <c r="F51" t="s">
        <v>72</v>
      </c>
      <c r="G51">
        <v>24.555340513997599</v>
      </c>
      <c r="H51">
        <v>2E+20</v>
      </c>
      <c r="I51">
        <v>0</v>
      </c>
      <c r="J51">
        <v>67.747676453594295</v>
      </c>
      <c r="K51">
        <v>50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18.618967862405164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10.547953014879543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2.2923591374407501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43.617756229995699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99.920062845191197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49.1</v>
      </c>
      <c r="W51">
        <f>IF((DiscreteStatsTable[[#This Row],[RepsRequested]]&gt;1),DiscreteStatsTable[[#This Row],[HalfWidth]],DiscreteStatsTable[[#This Row],[BatchMeansHalfWidth]])</f>
        <v>3.3733990308484154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11</v>
      </c>
      <c r="D52" t="s">
        <v>73</v>
      </c>
      <c r="E52" t="s">
        <v>71</v>
      </c>
      <c r="F52" t="s">
        <v>72</v>
      </c>
      <c r="G52">
        <v>10.1821260357517</v>
      </c>
      <c r="H52">
        <v>2E+20</v>
      </c>
      <c r="I52">
        <v>0</v>
      </c>
      <c r="J52">
        <v>39.709738415874902</v>
      </c>
      <c r="K52">
        <v>49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18.618967862405164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10.547953014879543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2.2923591374407501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43.617756229995699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99.920062845191197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49.1</v>
      </c>
      <c r="W52">
        <f>IF((DiscreteStatsTable[[#This Row],[RepsRequested]]&gt;1),DiscreteStatsTable[[#This Row],[HalfWidth]],DiscreteStatsTable[[#This Row],[BatchMeansHalfWidth]])</f>
        <v>3.3733990308484154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12</v>
      </c>
      <c r="D53" t="s">
        <v>73</v>
      </c>
      <c r="E53" t="s">
        <v>71</v>
      </c>
      <c r="F53" t="s">
        <v>72</v>
      </c>
      <c r="G53">
        <v>20.8569235978484</v>
      </c>
      <c r="H53">
        <v>2E+20</v>
      </c>
      <c r="I53">
        <v>0</v>
      </c>
      <c r="J53">
        <v>47.842119725842998</v>
      </c>
      <c r="K53">
        <v>50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18.618967862405164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10.547953014879543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2.2923591374407501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43.617756229995699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99.920062845191197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49.1</v>
      </c>
      <c r="W53">
        <f>IF((DiscreteStatsTable[[#This Row],[RepsRequested]]&gt;1),DiscreteStatsTable[[#This Row],[HalfWidth]],DiscreteStatsTable[[#This Row],[BatchMeansHalfWidth]])</f>
        <v>3.3733990308484154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13</v>
      </c>
      <c r="D54" t="s">
        <v>73</v>
      </c>
      <c r="E54" t="s">
        <v>71</v>
      </c>
      <c r="F54" t="s">
        <v>72</v>
      </c>
      <c r="G54">
        <v>11.356345592079199</v>
      </c>
      <c r="H54">
        <v>2E+20</v>
      </c>
      <c r="I54">
        <v>0</v>
      </c>
      <c r="J54">
        <v>48.056636702374803</v>
      </c>
      <c r="K54">
        <v>50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18.618967862405164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10.547953014879543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2.2923591374407501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43.617756229995699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99.920062845191197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49.1</v>
      </c>
      <c r="W54">
        <f>IF((DiscreteStatsTable[[#This Row],[RepsRequested]]&gt;1),DiscreteStatsTable[[#This Row],[HalfWidth]],DiscreteStatsTable[[#This Row],[BatchMeansHalfWidth]])</f>
        <v>3.3733990308484154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14</v>
      </c>
      <c r="D55" t="s">
        <v>73</v>
      </c>
      <c r="E55" t="s">
        <v>71</v>
      </c>
      <c r="F55" t="s">
        <v>72</v>
      </c>
      <c r="G55">
        <v>17.683387338165801</v>
      </c>
      <c r="H55">
        <v>2E+20</v>
      </c>
      <c r="I55">
        <v>0</v>
      </c>
      <c r="J55">
        <v>52.242154641001001</v>
      </c>
      <c r="K55">
        <v>51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18.618967862405164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10.547953014879543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2.2923591374407501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43.617756229995699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99.920062845191197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49.1</v>
      </c>
      <c r="W55">
        <f>IF((DiscreteStatsTable[[#This Row],[RepsRequested]]&gt;1),DiscreteStatsTable[[#This Row],[HalfWidth]],DiscreteStatsTable[[#This Row],[BatchMeansHalfWidth]])</f>
        <v>3.3733990308484154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15</v>
      </c>
      <c r="D56" t="s">
        <v>73</v>
      </c>
      <c r="E56" t="s">
        <v>71</v>
      </c>
      <c r="F56" t="s">
        <v>72</v>
      </c>
      <c r="G56">
        <v>11.5938918800581</v>
      </c>
      <c r="H56">
        <v>2E+20</v>
      </c>
      <c r="I56">
        <v>0</v>
      </c>
      <c r="J56">
        <v>48.666482243448399</v>
      </c>
      <c r="K56">
        <v>48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18.618967862405164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10.547953014879543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2.2923591374407501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43.617756229995699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99.920062845191197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49.1</v>
      </c>
      <c r="W56">
        <f>IF((DiscreteStatsTable[[#This Row],[RepsRequested]]&gt;1),DiscreteStatsTable[[#This Row],[HalfWidth]],DiscreteStatsTable[[#This Row],[BatchMeansHalfWidth]])</f>
        <v>3.3733990308484154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16</v>
      </c>
      <c r="D57" t="s">
        <v>73</v>
      </c>
      <c r="E57" t="s">
        <v>71</v>
      </c>
      <c r="F57" t="s">
        <v>72</v>
      </c>
      <c r="G57">
        <v>26.990054691612499</v>
      </c>
      <c r="H57">
        <v>2E+20</v>
      </c>
      <c r="I57">
        <v>0</v>
      </c>
      <c r="J57">
        <v>71.354087954083596</v>
      </c>
      <c r="K57">
        <v>49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18.618967862405164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10.547953014879543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2.2923591374407501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43.617756229995699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99.920062845191197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49.1</v>
      </c>
      <c r="W57">
        <f>IF((DiscreteStatsTable[[#This Row],[RepsRequested]]&gt;1),DiscreteStatsTable[[#This Row],[HalfWidth]],DiscreteStatsTable[[#This Row],[BatchMeansHalfWidth]])</f>
        <v>3.3733990308484154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17</v>
      </c>
      <c r="D58" t="s">
        <v>73</v>
      </c>
      <c r="E58" t="s">
        <v>71</v>
      </c>
      <c r="F58" t="s">
        <v>72</v>
      </c>
      <c r="G58">
        <v>13.1011782112563</v>
      </c>
      <c r="H58">
        <v>2E+20</v>
      </c>
      <c r="I58">
        <v>0</v>
      </c>
      <c r="J58">
        <v>44.548554227228003</v>
      </c>
      <c r="K58">
        <v>47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18.618967862405164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10.547953014879543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2.2923591374407501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43.617756229995699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99.920062845191197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49.1</v>
      </c>
      <c r="W58">
        <f>IF((DiscreteStatsTable[[#This Row],[RepsRequested]]&gt;1),DiscreteStatsTable[[#This Row],[HalfWidth]],DiscreteStatsTable[[#This Row],[BatchMeansHalfWidth]])</f>
        <v>3.3733990308484154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18</v>
      </c>
      <c r="D59" t="s">
        <v>73</v>
      </c>
      <c r="E59" t="s">
        <v>71</v>
      </c>
      <c r="F59" t="s">
        <v>72</v>
      </c>
      <c r="G59">
        <v>25.6556715977982</v>
      </c>
      <c r="H59">
        <v>2E+20</v>
      </c>
      <c r="I59">
        <v>0</v>
      </c>
      <c r="J59">
        <v>84.722265623098806</v>
      </c>
      <c r="K59">
        <v>48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18.618967862405164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10.547953014879543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2.2923591374407501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43.617756229995699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99.920062845191197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49.1</v>
      </c>
      <c r="W59">
        <f>IF((DiscreteStatsTable[[#This Row],[RepsRequested]]&gt;1),DiscreteStatsTable[[#This Row],[HalfWidth]],DiscreteStatsTable[[#This Row],[BatchMeansHalfWidth]])</f>
        <v>3.3733990308484154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19</v>
      </c>
      <c r="D60" t="s">
        <v>73</v>
      </c>
      <c r="E60" t="s">
        <v>71</v>
      </c>
      <c r="F60" t="s">
        <v>72</v>
      </c>
      <c r="G60">
        <v>21.3806494384934</v>
      </c>
      <c r="H60">
        <v>2E+20</v>
      </c>
      <c r="I60">
        <v>0</v>
      </c>
      <c r="J60">
        <v>55.276100389091503</v>
      </c>
      <c r="K60">
        <v>50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18.618967862405164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10.547953014879543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2.2923591374407501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43.617756229995699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99.920062845191197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49.1</v>
      </c>
      <c r="W60">
        <f>IF((DiscreteStatsTable[[#This Row],[RepsRequested]]&gt;1),DiscreteStatsTable[[#This Row],[HalfWidth]],DiscreteStatsTable[[#This Row],[BatchMeansHalfWidth]])</f>
        <v>3.3733990308484154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20</v>
      </c>
      <c r="D61" t="s">
        <v>73</v>
      </c>
      <c r="E61" t="s">
        <v>71</v>
      </c>
      <c r="F61" t="s">
        <v>72</v>
      </c>
      <c r="G61">
        <v>27.859063741909502</v>
      </c>
      <c r="H61">
        <v>2E+20</v>
      </c>
      <c r="I61">
        <v>0</v>
      </c>
      <c r="J61">
        <v>66.711883908811004</v>
      </c>
      <c r="K61">
        <v>50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18.618967862405164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10.547953014879543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2.2923591374407501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43.617756229995699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99.920062845191197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49.1</v>
      </c>
      <c r="W61">
        <f>IF((DiscreteStatsTable[[#This Row],[RepsRequested]]&gt;1),DiscreteStatsTable[[#This Row],[HalfWidth]],DiscreteStatsTable[[#This Row],[BatchMeansHalfWidth]])</f>
        <v>3.3733990308484154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21</v>
      </c>
      <c r="D62" t="s">
        <v>73</v>
      </c>
      <c r="E62" t="s">
        <v>71</v>
      </c>
      <c r="F62" t="s">
        <v>72</v>
      </c>
      <c r="G62">
        <v>11.219688348633801</v>
      </c>
      <c r="H62">
        <v>2E+20</v>
      </c>
      <c r="I62">
        <v>0</v>
      </c>
      <c r="J62">
        <v>45.983206590016302</v>
      </c>
      <c r="K62">
        <v>49</v>
      </c>
      <c r="L6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18.618967862405164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10.547953014879543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2.2923591374407501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43.617756229995699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99.920062845191197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49.1</v>
      </c>
      <c r="W62" s="5">
        <f>IF((DiscreteStatsTable[[#This Row],[RepsRequested]]&gt;1),DiscreteStatsTable[[#This Row],[HalfWidth]],DiscreteStatsTable[[#This Row],[BatchMeansHalfWidth]])</f>
        <v>3.3733990308484154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22</v>
      </c>
      <c r="D63" t="s">
        <v>73</v>
      </c>
      <c r="E63" t="s">
        <v>71</v>
      </c>
      <c r="F63" t="s">
        <v>72</v>
      </c>
      <c r="G63">
        <v>11.9403274979743</v>
      </c>
      <c r="H63">
        <v>2E+20</v>
      </c>
      <c r="I63">
        <v>0</v>
      </c>
      <c r="J63">
        <v>38.258135605286597</v>
      </c>
      <c r="K63">
        <v>49</v>
      </c>
      <c r="L6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18.618967862405164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10.547953014879543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2.2923591374407501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43.617756229995699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99.920062845191197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49.1</v>
      </c>
      <c r="W63" s="5">
        <f>IF((DiscreteStatsTable[[#This Row],[RepsRequested]]&gt;1),DiscreteStatsTable[[#This Row],[HalfWidth]],DiscreteStatsTable[[#This Row],[BatchMeansHalfWidth]])</f>
        <v>3.3733990308484154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23</v>
      </c>
      <c r="D64" t="s">
        <v>73</v>
      </c>
      <c r="E64" t="s">
        <v>71</v>
      </c>
      <c r="F64" t="s">
        <v>72</v>
      </c>
      <c r="G64">
        <v>11.0930534870432</v>
      </c>
      <c r="H64">
        <v>2E+20</v>
      </c>
      <c r="I64">
        <v>0</v>
      </c>
      <c r="J64">
        <v>37.412018677727303</v>
      </c>
      <c r="K64">
        <v>49</v>
      </c>
      <c r="L6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18.618967862405164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10.547953014879543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2.2923591374407501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43.617756229995699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99.920062845191197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49.1</v>
      </c>
      <c r="W64" s="5">
        <f>IF((DiscreteStatsTable[[#This Row],[RepsRequested]]&gt;1),DiscreteStatsTable[[#This Row],[HalfWidth]],DiscreteStatsTable[[#This Row],[BatchMeansHalfWidth]])</f>
        <v>3.3733990308484154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24</v>
      </c>
      <c r="D65" t="s">
        <v>73</v>
      </c>
      <c r="E65" t="s">
        <v>71</v>
      </c>
      <c r="F65" t="s">
        <v>72</v>
      </c>
      <c r="G65">
        <v>2.6901521859739002</v>
      </c>
      <c r="H65">
        <v>2E+20</v>
      </c>
      <c r="I65">
        <v>0</v>
      </c>
      <c r="J65">
        <v>18.9546558470484</v>
      </c>
      <c r="K65">
        <v>49</v>
      </c>
      <c r="L6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18.618967862405164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10.547953014879543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2.2923591374407501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43.617756229995699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99.920062845191197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49.1</v>
      </c>
      <c r="W65" s="5">
        <f>IF((DiscreteStatsTable[[#This Row],[RepsRequested]]&gt;1),DiscreteStatsTable[[#This Row],[HalfWidth]],DiscreteStatsTable[[#This Row],[BatchMeansHalfWidth]])</f>
        <v>3.3733990308484154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25</v>
      </c>
      <c r="D66" t="s">
        <v>73</v>
      </c>
      <c r="E66" t="s">
        <v>71</v>
      </c>
      <c r="F66" t="s">
        <v>72</v>
      </c>
      <c r="G66">
        <v>15.212606329006</v>
      </c>
      <c r="H66">
        <v>2E+20</v>
      </c>
      <c r="I66">
        <v>0</v>
      </c>
      <c r="J66">
        <v>45.253735556416203</v>
      </c>
      <c r="K66">
        <v>49</v>
      </c>
      <c r="L6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18.618967862405164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10.547953014879543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2.2923591374407501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43.617756229995699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99.920062845191197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49.1</v>
      </c>
      <c r="W66" s="5">
        <f>IF((DiscreteStatsTable[[#This Row],[RepsRequested]]&gt;1),DiscreteStatsTable[[#This Row],[HalfWidth]],DiscreteStatsTable[[#This Row],[BatchMeansHalfWidth]])</f>
        <v>3.3733990308484154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26</v>
      </c>
      <c r="D67" t="s">
        <v>73</v>
      </c>
      <c r="E67" t="s">
        <v>71</v>
      </c>
      <c r="F67" t="s">
        <v>72</v>
      </c>
      <c r="G67">
        <v>34.958840974076899</v>
      </c>
      <c r="H67">
        <v>2E+20</v>
      </c>
      <c r="I67">
        <v>0</v>
      </c>
      <c r="J67">
        <v>87.746133185991795</v>
      </c>
      <c r="K67">
        <v>50</v>
      </c>
      <c r="L6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18.618967862405164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10.547953014879543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2.2923591374407501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43.617756229995699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99.920062845191197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49.1</v>
      </c>
      <c r="W67" s="5">
        <f>IF((DiscreteStatsTable[[#This Row],[RepsRequested]]&gt;1),DiscreteStatsTable[[#This Row],[HalfWidth]],DiscreteStatsTable[[#This Row],[BatchMeansHalfWidth]])</f>
        <v>3.3733990308484154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27</v>
      </c>
      <c r="D68" t="s">
        <v>73</v>
      </c>
      <c r="E68" t="s">
        <v>71</v>
      </c>
      <c r="F68" t="s">
        <v>72</v>
      </c>
      <c r="G68">
        <v>13.4980410585379</v>
      </c>
      <c r="H68">
        <v>2E+20</v>
      </c>
      <c r="I68">
        <v>0</v>
      </c>
      <c r="J68">
        <v>55.773744701126802</v>
      </c>
      <c r="K68">
        <v>49</v>
      </c>
      <c r="L6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18.618967862405164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10.547953014879543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2.2923591374407501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43.617756229995699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99.920062845191197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49.1</v>
      </c>
      <c r="W68" s="5">
        <f>IF((DiscreteStatsTable[[#This Row],[RepsRequested]]&gt;1),DiscreteStatsTable[[#This Row],[HalfWidth]],DiscreteStatsTable[[#This Row],[BatchMeansHalfWidth]])</f>
        <v>3.3733990308484154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28</v>
      </c>
      <c r="D69" t="s">
        <v>73</v>
      </c>
      <c r="E69" t="s">
        <v>71</v>
      </c>
      <c r="F69" t="s">
        <v>72</v>
      </c>
      <c r="G69">
        <v>30.6272498800611</v>
      </c>
      <c r="H69">
        <v>2E+20</v>
      </c>
      <c r="I69">
        <v>0</v>
      </c>
      <c r="J69">
        <v>71.578355874335401</v>
      </c>
      <c r="K69">
        <v>49</v>
      </c>
      <c r="L6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18.618967862405164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10.547953014879543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2.2923591374407501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43.617756229995699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99.920062845191197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49.1</v>
      </c>
      <c r="W69" s="5">
        <f>IF((DiscreteStatsTable[[#This Row],[RepsRequested]]&gt;1),DiscreteStatsTable[[#This Row],[HalfWidth]],DiscreteStatsTable[[#This Row],[BatchMeansHalfWidth]])</f>
        <v>3.3733990308484154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29</v>
      </c>
      <c r="D70" t="s">
        <v>73</v>
      </c>
      <c r="E70" t="s">
        <v>71</v>
      </c>
      <c r="F70" t="s">
        <v>72</v>
      </c>
      <c r="G70">
        <v>12.742340931377001</v>
      </c>
      <c r="H70">
        <v>2E+20</v>
      </c>
      <c r="I70">
        <v>0</v>
      </c>
      <c r="J70">
        <v>50.841879316905803</v>
      </c>
      <c r="K70">
        <v>49</v>
      </c>
      <c r="L7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18.618967862405164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10.547953014879543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2.2923591374407501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43.617756229995699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99.920062845191197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49.1</v>
      </c>
      <c r="W70" s="5">
        <f>IF((DiscreteStatsTable[[#This Row],[RepsRequested]]&gt;1),DiscreteStatsTable[[#This Row],[HalfWidth]],DiscreteStatsTable[[#This Row],[BatchMeansHalfWidth]])</f>
        <v>3.3733990308484154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30</v>
      </c>
      <c r="D71" t="s">
        <v>73</v>
      </c>
      <c r="E71" t="s">
        <v>71</v>
      </c>
      <c r="F71" t="s">
        <v>72</v>
      </c>
      <c r="G71">
        <v>6.5313166759118504</v>
      </c>
      <c r="H71">
        <v>2E+20</v>
      </c>
      <c r="I71">
        <v>0</v>
      </c>
      <c r="J71">
        <v>32.175916794209499</v>
      </c>
      <c r="K71">
        <v>48</v>
      </c>
      <c r="L7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18.618967862405164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10.547953014879543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2.2923591374407501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43.617756229995699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99.920062845191197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49.1</v>
      </c>
      <c r="W71" s="5">
        <f>IF((DiscreteStatsTable[[#This Row],[RepsRequested]]&gt;1),DiscreteStatsTable[[#This Row],[HalfWidth]],DiscreteStatsTable[[#This Row],[BatchMeansHalfWidth]])</f>
        <v>3.3733990308484154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31</v>
      </c>
      <c r="D72" t="s">
        <v>73</v>
      </c>
      <c r="E72" t="s">
        <v>71</v>
      </c>
      <c r="F72" t="s">
        <v>72</v>
      </c>
      <c r="G72">
        <v>4.0681433111885896</v>
      </c>
      <c r="H72">
        <v>2E+20</v>
      </c>
      <c r="I72">
        <v>0</v>
      </c>
      <c r="J72">
        <v>31.6851216065768</v>
      </c>
      <c r="K72">
        <v>47</v>
      </c>
      <c r="L7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18.618967862405164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10.547953014879543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2.2923591374407501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43.617756229995699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99.920062845191197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49.1</v>
      </c>
      <c r="W72" s="5">
        <f>IF((DiscreteStatsTable[[#This Row],[RepsRequested]]&gt;1),DiscreteStatsTable[[#This Row],[HalfWidth]],DiscreteStatsTable[[#This Row],[BatchMeansHalfWidth]])</f>
        <v>3.3733990308484154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32</v>
      </c>
      <c r="D73" t="s">
        <v>73</v>
      </c>
      <c r="E73" t="s">
        <v>71</v>
      </c>
      <c r="F73" t="s">
        <v>72</v>
      </c>
      <c r="G73">
        <v>30.492336900887199</v>
      </c>
      <c r="H73">
        <v>2E+20</v>
      </c>
      <c r="I73">
        <v>0</v>
      </c>
      <c r="J73">
        <v>87.636698979966994</v>
      </c>
      <c r="K73">
        <v>47</v>
      </c>
      <c r="L7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18.618967862405164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10.547953014879543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2.2923591374407501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43.617756229995699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99.920062845191197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49.1</v>
      </c>
      <c r="W73" s="5">
        <f>IF((DiscreteStatsTable[[#This Row],[RepsRequested]]&gt;1),DiscreteStatsTable[[#This Row],[HalfWidth]],DiscreteStatsTable[[#This Row],[BatchMeansHalfWidth]])</f>
        <v>3.3733990308484154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33</v>
      </c>
      <c r="D74" t="s">
        <v>73</v>
      </c>
      <c r="E74" t="s">
        <v>71</v>
      </c>
      <c r="F74" t="s">
        <v>72</v>
      </c>
      <c r="G74">
        <v>12.7346380434761</v>
      </c>
      <c r="H74">
        <v>2E+20</v>
      </c>
      <c r="I74">
        <v>0</v>
      </c>
      <c r="J74">
        <v>58.271367349175598</v>
      </c>
      <c r="K74">
        <v>49</v>
      </c>
      <c r="L7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18.618967862405164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10.547953014879543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2.2923591374407501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43.617756229995699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99.920062845191197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49.1</v>
      </c>
      <c r="W74" s="5">
        <f>IF((DiscreteStatsTable[[#This Row],[RepsRequested]]&gt;1),DiscreteStatsTable[[#This Row],[HalfWidth]],DiscreteStatsTable[[#This Row],[BatchMeansHalfWidth]])</f>
        <v>3.3733990308484154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34</v>
      </c>
      <c r="D75" t="s">
        <v>73</v>
      </c>
      <c r="E75" t="s">
        <v>71</v>
      </c>
      <c r="F75" t="s">
        <v>72</v>
      </c>
      <c r="G75">
        <v>22.706929906676201</v>
      </c>
      <c r="H75">
        <v>2E+20</v>
      </c>
      <c r="I75">
        <v>0</v>
      </c>
      <c r="J75">
        <v>50.404682032318597</v>
      </c>
      <c r="K75">
        <v>49</v>
      </c>
      <c r="L7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18.618967862405164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10.547953014879543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2.2923591374407501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43.617756229995699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99.920062845191197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49.1</v>
      </c>
      <c r="W75" s="5">
        <f>IF((DiscreteStatsTable[[#This Row],[RepsRequested]]&gt;1),DiscreteStatsTable[[#This Row],[HalfWidth]],DiscreteStatsTable[[#This Row],[BatchMeansHalfWidth]])</f>
        <v>3.3733990308484154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35</v>
      </c>
      <c r="D76" t="s">
        <v>73</v>
      </c>
      <c r="E76" t="s">
        <v>71</v>
      </c>
      <c r="F76" t="s">
        <v>72</v>
      </c>
      <c r="G76">
        <v>32.7819945241393</v>
      </c>
      <c r="H76">
        <v>2E+20</v>
      </c>
      <c r="I76">
        <v>0</v>
      </c>
      <c r="J76">
        <v>83.320929602922007</v>
      </c>
      <c r="K76">
        <v>50</v>
      </c>
      <c r="L7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18.618967862405164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10.547953014879543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2.2923591374407501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43.617756229995699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99.920062845191197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49.1</v>
      </c>
      <c r="W76" s="5">
        <f>IF((DiscreteStatsTable[[#This Row],[RepsRequested]]&gt;1),DiscreteStatsTable[[#This Row],[HalfWidth]],DiscreteStatsTable[[#This Row],[BatchMeansHalfWidth]])</f>
        <v>3.3733990308484154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36</v>
      </c>
      <c r="D77" t="s">
        <v>73</v>
      </c>
      <c r="E77" t="s">
        <v>71</v>
      </c>
      <c r="F77" t="s">
        <v>72</v>
      </c>
      <c r="G77">
        <v>21.444828067174701</v>
      </c>
      <c r="H77">
        <v>2E+20</v>
      </c>
      <c r="I77">
        <v>0</v>
      </c>
      <c r="J77">
        <v>67.226833141496996</v>
      </c>
      <c r="K77">
        <v>50</v>
      </c>
      <c r="L7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18.618967862405164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10.547953014879543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2.2923591374407501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43.617756229995699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99.920062845191197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49.1</v>
      </c>
      <c r="W77" s="5">
        <f>IF((DiscreteStatsTable[[#This Row],[RepsRequested]]&gt;1),DiscreteStatsTable[[#This Row],[HalfWidth]],DiscreteStatsTable[[#This Row],[BatchMeansHalfWidth]])</f>
        <v>3.3733990308484154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37</v>
      </c>
      <c r="D78" t="s">
        <v>73</v>
      </c>
      <c r="E78" t="s">
        <v>71</v>
      </c>
      <c r="F78" t="s">
        <v>72</v>
      </c>
      <c r="G78">
        <v>2.6140293503152101</v>
      </c>
      <c r="H78">
        <v>2E+20</v>
      </c>
      <c r="I78">
        <v>0</v>
      </c>
      <c r="J78">
        <v>19.238586340938902</v>
      </c>
      <c r="K78">
        <v>50</v>
      </c>
      <c r="L7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18.618967862405164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10.547953014879543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2.2923591374407501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43.617756229995699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99.920062845191197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49.1</v>
      </c>
      <c r="W78" s="5">
        <f>IF((DiscreteStatsTable[[#This Row],[RepsRequested]]&gt;1),DiscreteStatsTable[[#This Row],[HalfWidth]],DiscreteStatsTable[[#This Row],[BatchMeansHalfWidth]])</f>
        <v>3.3733990308484154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38</v>
      </c>
      <c r="D79" t="s">
        <v>73</v>
      </c>
      <c r="E79" t="s">
        <v>71</v>
      </c>
      <c r="F79" t="s">
        <v>72</v>
      </c>
      <c r="G79">
        <v>35.9434168681166</v>
      </c>
      <c r="H79">
        <v>2E+20</v>
      </c>
      <c r="I79">
        <v>0</v>
      </c>
      <c r="J79">
        <v>88.4157622560774</v>
      </c>
      <c r="K79">
        <v>51</v>
      </c>
      <c r="L7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18.618967862405164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10.547953014879543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2.2923591374407501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43.617756229995699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99.920062845191197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49.1</v>
      </c>
      <c r="W79" s="5">
        <f>IF((DiscreteStatsTable[[#This Row],[RepsRequested]]&gt;1),DiscreteStatsTable[[#This Row],[HalfWidth]],DiscreteStatsTable[[#This Row],[BatchMeansHalfWidth]])</f>
        <v>3.3733990308484154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39</v>
      </c>
      <c r="D80" t="s">
        <v>73</v>
      </c>
      <c r="E80" t="s">
        <v>71</v>
      </c>
      <c r="F80" t="s">
        <v>72</v>
      </c>
      <c r="G80">
        <v>6.5760753197744997</v>
      </c>
      <c r="H80">
        <v>2E+20</v>
      </c>
      <c r="I80">
        <v>0</v>
      </c>
      <c r="J80">
        <v>32.923607627675999</v>
      </c>
      <c r="K80">
        <v>50</v>
      </c>
      <c r="L8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18.618967862405164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10.547953014879543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2.2923591374407501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43.617756229995699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99.920062845191197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49.1</v>
      </c>
      <c r="W80" s="5">
        <f>IF((DiscreteStatsTable[[#This Row],[RepsRequested]]&gt;1),DiscreteStatsTable[[#This Row],[HalfWidth]],DiscreteStatsTable[[#This Row],[BatchMeansHalfWidth]])</f>
        <v>3.3733990308484154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40</v>
      </c>
      <c r="D81" t="s">
        <v>73</v>
      </c>
      <c r="E81" t="s">
        <v>71</v>
      </c>
      <c r="F81" t="s">
        <v>72</v>
      </c>
      <c r="G81">
        <v>5.5112663061631597</v>
      </c>
      <c r="H81">
        <v>2E+20</v>
      </c>
      <c r="I81">
        <v>0</v>
      </c>
      <c r="J81">
        <v>25.061319951148299</v>
      </c>
      <c r="K81">
        <v>49</v>
      </c>
      <c r="L8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18.618967862405164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10.547953014879543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3.3733990308484154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2.2923591374407501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43.617756229995699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99.920062845191197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49.1</v>
      </c>
      <c r="W81" s="5">
        <f>IF((DiscreteStatsTable[[#This Row],[RepsRequested]]&gt;1),DiscreteStatsTable[[#This Row],[HalfWidth]],DiscreteStatsTable[[#This Row],[BatchMeansHalfWidth]])</f>
        <v>3.3733990308484154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64</v>
      </c>
      <c r="L8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66.25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64</v>
      </c>
      <c r="L8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66.25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</v>
      </c>
      <c r="D84" t="s">
        <v>74</v>
      </c>
      <c r="E84" t="s">
        <v>78</v>
      </c>
      <c r="F84" t="s">
        <v>76</v>
      </c>
      <c r="G84">
        <v>28.180940852220601</v>
      </c>
      <c r="H84">
        <v>2E+20</v>
      </c>
      <c r="I84">
        <v>0</v>
      </c>
      <c r="J84">
        <v>79.773028372167303</v>
      </c>
      <c r="K84">
        <v>64</v>
      </c>
      <c r="L8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34.654260549205119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7.0836652736050665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22.316251643751801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54.481064037149501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135.81902063368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66.25</v>
      </c>
      <c r="W84" s="5">
        <f>IF((DiscreteStatsTable[[#This Row],[RepsRequested]]&gt;1),DiscreteStatsTable[[#This Row],[HalfWidth]],DiscreteStatsTable[[#This Row],[BatchMeansHalfWidth]])</f>
        <v>2.2654660610570421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64</v>
      </c>
      <c r="L8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66.25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</v>
      </c>
      <c r="D86" t="s">
        <v>74</v>
      </c>
      <c r="E86" t="s">
        <v>80</v>
      </c>
      <c r="F86" t="s">
        <v>76</v>
      </c>
      <c r="G86">
        <v>10.505384952584601</v>
      </c>
      <c r="H86">
        <v>2E+20</v>
      </c>
      <c r="I86">
        <v>0</v>
      </c>
      <c r="J86">
        <v>20.471650595429999</v>
      </c>
      <c r="K86">
        <v>64</v>
      </c>
      <c r="L8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10.337635167199183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9.57099242159887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11.4763265650571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21.570142335238799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66.25</v>
      </c>
      <c r="W86" s="5">
        <f>IF((DiscreteStatsTable[[#This Row],[RepsRequested]]&gt;1),DiscreteStatsTable[[#This Row],[HalfWidth]],DiscreteStatsTable[[#This Row],[BatchMeansHalfWidth]])</f>
        <v>0.13628518892811467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</v>
      </c>
      <c r="D87" t="s">
        <v>74</v>
      </c>
      <c r="E87" t="s">
        <v>81</v>
      </c>
      <c r="F87" t="s">
        <v>76</v>
      </c>
      <c r="G87">
        <v>17.675555899635999</v>
      </c>
      <c r="H87">
        <v>2E+20</v>
      </c>
      <c r="I87">
        <v>0</v>
      </c>
      <c r="J87">
        <v>60.174465311274801</v>
      </c>
      <c r="K87">
        <v>64</v>
      </c>
      <c r="L8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24.316625382005931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6.8823183028634016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12.417308363925899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43.004737472092501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118.512212682617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66.25</v>
      </c>
      <c r="W87" s="5">
        <f>IF((DiscreteStatsTable[[#This Row],[RepsRequested]]&gt;1),DiscreteStatsTable[[#This Row],[HalfWidth]],DiscreteStatsTable[[#This Row],[BatchMeansHalfWidth]])</f>
        <v>2.2010721758163658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2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65</v>
      </c>
      <c r="L8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66.25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2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65</v>
      </c>
      <c r="L8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66.25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2</v>
      </c>
      <c r="D90" t="s">
        <v>74</v>
      </c>
      <c r="E90" t="s">
        <v>78</v>
      </c>
      <c r="F90" t="s">
        <v>76</v>
      </c>
      <c r="G90">
        <v>32.986334745491597</v>
      </c>
      <c r="H90">
        <v>2E+20</v>
      </c>
      <c r="I90">
        <v>0</v>
      </c>
      <c r="J90">
        <v>100.262221510095</v>
      </c>
      <c r="K90">
        <v>65</v>
      </c>
      <c r="L9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34.654260549205119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7.0836652736050665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22.316251643751801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54.481064037149501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135.81902063368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66.25</v>
      </c>
      <c r="W90" s="5">
        <f>IF((DiscreteStatsTable[[#This Row],[RepsRequested]]&gt;1),DiscreteStatsTable[[#This Row],[HalfWidth]],DiscreteStatsTable[[#This Row],[BatchMeansHalfWidth]])</f>
        <v>2.2654660610570421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2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65</v>
      </c>
      <c r="L9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66.25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2</v>
      </c>
      <c r="D92" t="s">
        <v>74</v>
      </c>
      <c r="E92" t="s">
        <v>80</v>
      </c>
      <c r="F92" t="s">
        <v>76</v>
      </c>
      <c r="G92">
        <v>10.488905831980199</v>
      </c>
      <c r="H92">
        <v>2E+20</v>
      </c>
      <c r="I92">
        <v>0</v>
      </c>
      <c r="J92">
        <v>20.654929637471099</v>
      </c>
      <c r="K92">
        <v>65</v>
      </c>
      <c r="L9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10.337635167199183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9.57099242159887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11.4763265650571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21.570142335238799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66.25</v>
      </c>
      <c r="W92" s="5">
        <f>IF((DiscreteStatsTable[[#This Row],[RepsRequested]]&gt;1),DiscreteStatsTable[[#This Row],[HalfWidth]],DiscreteStatsTable[[#This Row],[BatchMeansHalfWidth]])</f>
        <v>0.13628518892811467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2</v>
      </c>
      <c r="D93" t="s">
        <v>74</v>
      </c>
      <c r="E93" t="s">
        <v>81</v>
      </c>
      <c r="F93" t="s">
        <v>76</v>
      </c>
      <c r="G93">
        <v>22.497428913511399</v>
      </c>
      <c r="H93">
        <v>2E+20</v>
      </c>
      <c r="I93">
        <v>0</v>
      </c>
      <c r="J93">
        <v>82.937558692211496</v>
      </c>
      <c r="K93">
        <v>65</v>
      </c>
      <c r="L9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24.316625382005931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6.8823183028634016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12.417308363925899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43.004737472092501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118.512212682617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66.25</v>
      </c>
      <c r="W93" s="5">
        <f>IF((DiscreteStatsTable[[#This Row],[RepsRequested]]&gt;1),DiscreteStatsTable[[#This Row],[HalfWidth]],DiscreteStatsTable[[#This Row],[BatchMeansHalfWidth]])</f>
        <v>2.2010721758163658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3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70</v>
      </c>
      <c r="L9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66.25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3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70</v>
      </c>
      <c r="L9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66.25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3</v>
      </c>
      <c r="D96" t="s">
        <v>74</v>
      </c>
      <c r="E96" t="s">
        <v>78</v>
      </c>
      <c r="F96" t="s">
        <v>76</v>
      </c>
      <c r="G96">
        <v>35.702604073507104</v>
      </c>
      <c r="H96">
        <v>2E+20</v>
      </c>
      <c r="I96">
        <v>0</v>
      </c>
      <c r="J96">
        <v>97.660700567730302</v>
      </c>
      <c r="K96">
        <v>70</v>
      </c>
      <c r="L9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34.654260549205119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7.0836652736050665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22.316251643751801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54.481064037149501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135.81902063368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66.25</v>
      </c>
      <c r="W96" s="5">
        <f>IF((DiscreteStatsTable[[#This Row],[RepsRequested]]&gt;1),DiscreteStatsTable[[#This Row],[HalfWidth]],DiscreteStatsTable[[#This Row],[BatchMeansHalfWidth]])</f>
        <v>2.2654660610570421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3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70</v>
      </c>
      <c r="L9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66.25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3</v>
      </c>
      <c r="D98" t="s">
        <v>74</v>
      </c>
      <c r="E98" t="s">
        <v>80</v>
      </c>
      <c r="F98" t="s">
        <v>76</v>
      </c>
      <c r="G98">
        <v>10.266100062695701</v>
      </c>
      <c r="H98">
        <v>2E+20</v>
      </c>
      <c r="I98">
        <v>0</v>
      </c>
      <c r="J98">
        <v>19.432146375255801</v>
      </c>
      <c r="K98">
        <v>70</v>
      </c>
      <c r="L9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10.337635167199183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9.57099242159887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11.4763265650571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21.570142335238799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66.25</v>
      </c>
      <c r="W98" s="5">
        <f>IF((DiscreteStatsTable[[#This Row],[RepsRequested]]&gt;1),DiscreteStatsTable[[#This Row],[HalfWidth]],DiscreteStatsTable[[#This Row],[BatchMeansHalfWidth]])</f>
        <v>0.13628518892811467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3</v>
      </c>
      <c r="D99" t="s">
        <v>74</v>
      </c>
      <c r="E99" t="s">
        <v>81</v>
      </c>
      <c r="F99" t="s">
        <v>76</v>
      </c>
      <c r="G99">
        <v>25.436504010811401</v>
      </c>
      <c r="H99">
        <v>2E+20</v>
      </c>
      <c r="I99">
        <v>0</v>
      </c>
      <c r="J99">
        <v>80.130609763978399</v>
      </c>
      <c r="K99">
        <v>70</v>
      </c>
      <c r="L9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24.316625382005931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6.8823183028634016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12.417308363925899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43.004737472092501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118.512212682617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66.25</v>
      </c>
      <c r="W99" s="5">
        <f>IF((DiscreteStatsTable[[#This Row],[RepsRequested]]&gt;1),DiscreteStatsTable[[#This Row],[HalfWidth]],DiscreteStatsTable[[#This Row],[BatchMeansHalfWidth]])</f>
        <v>2.2010721758163658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4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65</v>
      </c>
      <c r="L10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66.25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4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65</v>
      </c>
      <c r="L10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66.25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4</v>
      </c>
      <c r="D102" t="s">
        <v>74</v>
      </c>
      <c r="E102" t="s">
        <v>78</v>
      </c>
      <c r="F102" t="s">
        <v>76</v>
      </c>
      <c r="G102">
        <v>41.210795153534796</v>
      </c>
      <c r="H102">
        <v>2E+20</v>
      </c>
      <c r="I102">
        <v>0</v>
      </c>
      <c r="J102">
        <v>110.23799681916201</v>
      </c>
      <c r="K102">
        <v>65</v>
      </c>
      <c r="L10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34.654260549205119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7.0836652736050665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22.316251643751801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54.481064037149501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135.81902063368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66.25</v>
      </c>
      <c r="W102" s="5">
        <f>IF((DiscreteStatsTable[[#This Row],[RepsRequested]]&gt;1),DiscreteStatsTable[[#This Row],[HalfWidth]],DiscreteStatsTable[[#This Row],[BatchMeansHalfWidth]])</f>
        <v>2.2654660610570421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4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65</v>
      </c>
      <c r="L10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66.25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4</v>
      </c>
      <c r="D104" t="s">
        <v>74</v>
      </c>
      <c r="E104" t="s">
        <v>80</v>
      </c>
      <c r="F104" t="s">
        <v>76</v>
      </c>
      <c r="G104">
        <v>10.5351870140329</v>
      </c>
      <c r="H104">
        <v>2E+20</v>
      </c>
      <c r="I104">
        <v>0</v>
      </c>
      <c r="J104">
        <v>20.267733551009599</v>
      </c>
      <c r="K104">
        <v>65</v>
      </c>
      <c r="L10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10.337635167199183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9.57099242159887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11.4763265650571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21.570142335238799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66.25</v>
      </c>
      <c r="W104" s="5">
        <f>IF((DiscreteStatsTable[[#This Row],[RepsRequested]]&gt;1),DiscreteStatsTable[[#This Row],[HalfWidth]],DiscreteStatsTable[[#This Row],[BatchMeansHalfWidth]])</f>
        <v>0.13628518892811467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4</v>
      </c>
      <c r="D105" t="s">
        <v>74</v>
      </c>
      <c r="E105" t="s">
        <v>81</v>
      </c>
      <c r="F105" t="s">
        <v>76</v>
      </c>
      <c r="G105">
        <v>30.6756081395019</v>
      </c>
      <c r="H105">
        <v>2E+20</v>
      </c>
      <c r="I105">
        <v>0</v>
      </c>
      <c r="J105">
        <v>91.524219091689503</v>
      </c>
      <c r="K105">
        <v>65</v>
      </c>
      <c r="L10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24.316625382005931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6.8823183028634016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12.417308363925899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43.004737472092501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118.512212682617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66.25</v>
      </c>
      <c r="W105" s="5">
        <f>IF((DiscreteStatsTable[[#This Row],[RepsRequested]]&gt;1),DiscreteStatsTable[[#This Row],[HalfWidth]],DiscreteStatsTable[[#This Row],[BatchMeansHalfWidth]])</f>
        <v>2.2010721758163658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5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65</v>
      </c>
      <c r="L10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66.25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5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65</v>
      </c>
      <c r="L10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66.25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5</v>
      </c>
      <c r="D108" t="s">
        <v>74</v>
      </c>
      <c r="E108" t="s">
        <v>78</v>
      </c>
      <c r="F108" t="s">
        <v>76</v>
      </c>
      <c r="G108">
        <v>41.428230881866199</v>
      </c>
      <c r="H108">
        <v>2E+20</v>
      </c>
      <c r="I108">
        <v>0</v>
      </c>
      <c r="J108">
        <v>115.00194672482699</v>
      </c>
      <c r="K108">
        <v>65</v>
      </c>
      <c r="L10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34.654260549205119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7.0836652736050665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22.316251643751801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54.481064037149501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135.81902063368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66.25</v>
      </c>
      <c r="W108" s="5">
        <f>IF((DiscreteStatsTable[[#This Row],[RepsRequested]]&gt;1),DiscreteStatsTable[[#This Row],[HalfWidth]],DiscreteStatsTable[[#This Row],[BatchMeansHalfWidth]])</f>
        <v>2.2654660610570421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5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65</v>
      </c>
      <c r="L10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66.25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5</v>
      </c>
      <c r="D110" t="s">
        <v>74</v>
      </c>
      <c r="E110" t="s">
        <v>80</v>
      </c>
      <c r="F110" t="s">
        <v>76</v>
      </c>
      <c r="G110">
        <v>10.3399646945019</v>
      </c>
      <c r="H110">
        <v>2E+20</v>
      </c>
      <c r="I110">
        <v>0</v>
      </c>
      <c r="J110">
        <v>19.784751300827299</v>
      </c>
      <c r="K110">
        <v>65</v>
      </c>
      <c r="L11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10.337635167199183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9.57099242159887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11.4763265650571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21.570142335238799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66.25</v>
      </c>
      <c r="W110" s="5">
        <f>IF((DiscreteStatsTable[[#This Row],[RepsRequested]]&gt;1),DiscreteStatsTable[[#This Row],[HalfWidth]],DiscreteStatsTable[[#This Row],[BatchMeansHalfWidth]])</f>
        <v>0.13628518892811467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5</v>
      </c>
      <c r="D111" t="s">
        <v>74</v>
      </c>
      <c r="E111" t="s">
        <v>81</v>
      </c>
      <c r="F111" t="s">
        <v>76</v>
      </c>
      <c r="G111">
        <v>31.0882661873644</v>
      </c>
      <c r="H111">
        <v>2E+20</v>
      </c>
      <c r="I111">
        <v>0</v>
      </c>
      <c r="J111">
        <v>96.216751154336706</v>
      </c>
      <c r="K111">
        <v>65</v>
      </c>
      <c r="L11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24.316625382005931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6.8823183028634016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12.417308363925899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43.004737472092501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118.512212682617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66.25</v>
      </c>
      <c r="W111" s="5">
        <f>IF((DiscreteStatsTable[[#This Row],[RepsRequested]]&gt;1),DiscreteStatsTable[[#This Row],[HalfWidth]],DiscreteStatsTable[[#This Row],[BatchMeansHalfWidth]])</f>
        <v>2.2010721758163658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6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60</v>
      </c>
      <c r="L11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66.25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6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60</v>
      </c>
      <c r="L11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66.25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6</v>
      </c>
      <c r="D114" t="s">
        <v>74</v>
      </c>
      <c r="E114" t="s">
        <v>78</v>
      </c>
      <c r="F114" t="s">
        <v>76</v>
      </c>
      <c r="G114">
        <v>54.481064037149501</v>
      </c>
      <c r="H114">
        <v>2E+20</v>
      </c>
      <c r="I114">
        <v>0</v>
      </c>
      <c r="J114">
        <v>135.81902063368</v>
      </c>
      <c r="K114">
        <v>60</v>
      </c>
      <c r="L11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34.654260549205119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7.0836652736050665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22.316251643751801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54.481064037149501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135.81902063368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66.25</v>
      </c>
      <c r="W114" s="5">
        <f>IF((DiscreteStatsTable[[#This Row],[RepsRequested]]&gt;1),DiscreteStatsTable[[#This Row],[HalfWidth]],DiscreteStatsTable[[#This Row],[BatchMeansHalfWidth]])</f>
        <v>2.2654660610570421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6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60</v>
      </c>
      <c r="L11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66.25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6</v>
      </c>
      <c r="D116" t="s">
        <v>74</v>
      </c>
      <c r="E116" t="s">
        <v>80</v>
      </c>
      <c r="F116" t="s">
        <v>76</v>
      </c>
      <c r="G116">
        <v>11.4763265650571</v>
      </c>
      <c r="H116">
        <v>2E+20</v>
      </c>
      <c r="I116">
        <v>0</v>
      </c>
      <c r="J116">
        <v>20.5653789757007</v>
      </c>
      <c r="K116">
        <v>60</v>
      </c>
      <c r="L11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10.337635167199183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9.57099242159887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11.4763265650571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21.570142335238799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66.25</v>
      </c>
      <c r="W116" s="5">
        <f>IF((DiscreteStatsTable[[#This Row],[RepsRequested]]&gt;1),DiscreteStatsTable[[#This Row],[HalfWidth]],DiscreteStatsTable[[#This Row],[BatchMeansHalfWidth]])</f>
        <v>0.13628518892811467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6</v>
      </c>
      <c r="D117" t="s">
        <v>74</v>
      </c>
      <c r="E117" t="s">
        <v>81</v>
      </c>
      <c r="F117" t="s">
        <v>76</v>
      </c>
      <c r="G117">
        <v>43.004737472092501</v>
      </c>
      <c r="H117">
        <v>2E+20</v>
      </c>
      <c r="I117">
        <v>0</v>
      </c>
      <c r="J117">
        <v>118.512212682617</v>
      </c>
      <c r="K117">
        <v>60</v>
      </c>
      <c r="L11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24.316625382005931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6.8823183028634016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12.417308363925899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43.004737472092501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118.512212682617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66.25</v>
      </c>
      <c r="W117" s="5">
        <f>IF((DiscreteStatsTable[[#This Row],[RepsRequested]]&gt;1),DiscreteStatsTable[[#This Row],[HalfWidth]],DiscreteStatsTable[[#This Row],[BatchMeansHalfWidth]])</f>
        <v>2.2010721758163658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7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65</v>
      </c>
      <c r="L11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66.25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7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65</v>
      </c>
      <c r="L11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66.25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7</v>
      </c>
      <c r="D120" t="s">
        <v>74</v>
      </c>
      <c r="E120" t="s">
        <v>78</v>
      </c>
      <c r="F120" t="s">
        <v>76</v>
      </c>
      <c r="G120">
        <v>26.1704265563517</v>
      </c>
      <c r="H120">
        <v>2E+20</v>
      </c>
      <c r="I120">
        <v>0</v>
      </c>
      <c r="J120">
        <v>59.063491304776598</v>
      </c>
      <c r="K120">
        <v>65</v>
      </c>
      <c r="L12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34.654260549205119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7.0836652736050665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22.316251643751801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54.481064037149501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135.81902063368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66.25</v>
      </c>
      <c r="W120" s="5">
        <f>IF((DiscreteStatsTable[[#This Row],[RepsRequested]]&gt;1),DiscreteStatsTable[[#This Row],[HalfWidth]],DiscreteStatsTable[[#This Row],[BatchMeansHalfWidth]])</f>
        <v>2.2654660610570421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7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65</v>
      </c>
      <c r="L12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66.25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7</v>
      </c>
      <c r="D122" t="s">
        <v>74</v>
      </c>
      <c r="E122" t="s">
        <v>80</v>
      </c>
      <c r="F122" t="s">
        <v>76</v>
      </c>
      <c r="G122">
        <v>10.582545306539</v>
      </c>
      <c r="H122">
        <v>2E+20</v>
      </c>
      <c r="I122">
        <v>0</v>
      </c>
      <c r="J122">
        <v>20.303675602965701</v>
      </c>
      <c r="K122">
        <v>65</v>
      </c>
      <c r="L12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10.337635167199183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9.57099242159887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11.4763265650571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21.570142335238799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66.25</v>
      </c>
      <c r="W122" s="5">
        <f>IF((DiscreteStatsTable[[#This Row],[RepsRequested]]&gt;1),DiscreteStatsTable[[#This Row],[HalfWidth]],DiscreteStatsTable[[#This Row],[BatchMeansHalfWidth]])</f>
        <v>0.13628518892811467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7</v>
      </c>
      <c r="D123" t="s">
        <v>74</v>
      </c>
      <c r="E123" t="s">
        <v>81</v>
      </c>
      <c r="F123" t="s">
        <v>76</v>
      </c>
      <c r="G123">
        <v>15.5878812498127</v>
      </c>
      <c r="H123">
        <v>2E+20</v>
      </c>
      <c r="I123">
        <v>0</v>
      </c>
      <c r="J123">
        <v>41.559130371789898</v>
      </c>
      <c r="K123">
        <v>65</v>
      </c>
      <c r="L12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24.316625382005931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6.8823183028634016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12.417308363925899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43.004737472092501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118.512212682617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66.25</v>
      </c>
      <c r="W123" s="5">
        <f>IF((DiscreteStatsTable[[#This Row],[RepsRequested]]&gt;1),DiscreteStatsTable[[#This Row],[HalfWidth]],DiscreteStatsTable[[#This Row],[BatchMeansHalfWidth]])</f>
        <v>2.2010721758163658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8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66</v>
      </c>
      <c r="L12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66.25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8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66</v>
      </c>
      <c r="L12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66.25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8</v>
      </c>
      <c r="D126" t="s">
        <v>74</v>
      </c>
      <c r="E126" t="s">
        <v>78</v>
      </c>
      <c r="F126" t="s">
        <v>76</v>
      </c>
      <c r="G126">
        <v>37.800503599758201</v>
      </c>
      <c r="H126">
        <v>2E+20</v>
      </c>
      <c r="I126">
        <v>0</v>
      </c>
      <c r="J126">
        <v>107.563696873943</v>
      </c>
      <c r="K126">
        <v>66</v>
      </c>
      <c r="L12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34.654260549205119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7.0836652736050665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22.316251643751801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54.481064037149501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135.81902063368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66.25</v>
      </c>
      <c r="W126" s="5">
        <f>IF((DiscreteStatsTable[[#This Row],[RepsRequested]]&gt;1),DiscreteStatsTable[[#This Row],[HalfWidth]],DiscreteStatsTable[[#This Row],[BatchMeansHalfWidth]])</f>
        <v>2.2654660610570421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8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66</v>
      </c>
      <c r="L12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66.25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8</v>
      </c>
      <c r="D128" t="s">
        <v>74</v>
      </c>
      <c r="E128" t="s">
        <v>80</v>
      </c>
      <c r="F128" t="s">
        <v>76</v>
      </c>
      <c r="G128">
        <v>10.544443961875301</v>
      </c>
      <c r="H128">
        <v>2E+20</v>
      </c>
      <c r="I128">
        <v>0</v>
      </c>
      <c r="J128">
        <v>21.570142335238799</v>
      </c>
      <c r="K128">
        <v>66</v>
      </c>
      <c r="L12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10.337635167199183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9.57099242159887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11.4763265650571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21.570142335238799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66.25</v>
      </c>
      <c r="W128" s="5">
        <f>IF((DiscreteStatsTable[[#This Row],[RepsRequested]]&gt;1),DiscreteStatsTable[[#This Row],[HalfWidth]],DiscreteStatsTable[[#This Row],[BatchMeansHalfWidth]])</f>
        <v>0.13628518892811467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8</v>
      </c>
      <c r="D129" t="s">
        <v>74</v>
      </c>
      <c r="E129" t="s">
        <v>81</v>
      </c>
      <c r="F129" t="s">
        <v>76</v>
      </c>
      <c r="G129">
        <v>27.256059637882998</v>
      </c>
      <c r="H129">
        <v>2E+20</v>
      </c>
      <c r="I129">
        <v>0</v>
      </c>
      <c r="J129">
        <v>88.166938131653694</v>
      </c>
      <c r="K129">
        <v>66</v>
      </c>
      <c r="L12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24.316625382005931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6.8823183028634016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12.417308363925899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43.004737472092501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118.512212682617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66.25</v>
      </c>
      <c r="W129" s="5">
        <f>IF((DiscreteStatsTable[[#This Row],[RepsRequested]]&gt;1),DiscreteStatsTable[[#This Row],[HalfWidth]],DiscreteStatsTable[[#This Row],[BatchMeansHalfWidth]])</f>
        <v>2.2010721758163658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9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66</v>
      </c>
      <c r="L13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66.25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9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66</v>
      </c>
      <c r="L13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66.25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9</v>
      </c>
      <c r="D132" t="s">
        <v>74</v>
      </c>
      <c r="E132" t="s">
        <v>78</v>
      </c>
      <c r="F132" t="s">
        <v>76</v>
      </c>
      <c r="G132">
        <v>40.1797335193707</v>
      </c>
      <c r="H132">
        <v>2E+20</v>
      </c>
      <c r="I132">
        <v>0</v>
      </c>
      <c r="J132">
        <v>115.73835961749199</v>
      </c>
      <c r="K132">
        <v>66</v>
      </c>
      <c r="L13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34.654260549205119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7.0836652736050665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22.316251643751801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54.481064037149501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135.81902063368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66.25</v>
      </c>
      <c r="W132" s="5">
        <f>IF((DiscreteStatsTable[[#This Row],[RepsRequested]]&gt;1),DiscreteStatsTable[[#This Row],[HalfWidth]],DiscreteStatsTable[[#This Row],[BatchMeansHalfWidth]])</f>
        <v>2.2654660610570421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9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66</v>
      </c>
      <c r="L13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66.25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9</v>
      </c>
      <c r="D134" t="s">
        <v>74</v>
      </c>
      <c r="E134" t="s">
        <v>80</v>
      </c>
      <c r="F134" t="s">
        <v>76</v>
      </c>
      <c r="G134">
        <v>9.9818298964229992</v>
      </c>
      <c r="H134">
        <v>2E+20</v>
      </c>
      <c r="I134">
        <v>0</v>
      </c>
      <c r="J134">
        <v>20.4537003910126</v>
      </c>
      <c r="K134">
        <v>66</v>
      </c>
      <c r="L13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10.337635167199183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9.57099242159887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11.4763265650571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21.570142335238799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66.25</v>
      </c>
      <c r="W134" s="5">
        <f>IF((DiscreteStatsTable[[#This Row],[RepsRequested]]&gt;1),DiscreteStatsTable[[#This Row],[HalfWidth]],DiscreteStatsTable[[#This Row],[BatchMeansHalfWidth]])</f>
        <v>0.13628518892811467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9</v>
      </c>
      <c r="D135" t="s">
        <v>74</v>
      </c>
      <c r="E135" t="s">
        <v>81</v>
      </c>
      <c r="F135" t="s">
        <v>76</v>
      </c>
      <c r="G135">
        <v>30.197903622947699</v>
      </c>
      <c r="H135">
        <v>2E+20</v>
      </c>
      <c r="I135">
        <v>0</v>
      </c>
      <c r="J135">
        <v>98.797908874385698</v>
      </c>
      <c r="K135">
        <v>66</v>
      </c>
      <c r="L13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24.316625382005931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6.8823183028634016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12.417308363925899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43.004737472092501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118.512212682617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66.25</v>
      </c>
      <c r="W135" s="5">
        <f>IF((DiscreteStatsTable[[#This Row],[RepsRequested]]&gt;1),DiscreteStatsTable[[#This Row],[HalfWidth]],DiscreteStatsTable[[#This Row],[BatchMeansHalfWidth]])</f>
        <v>2.2010721758163658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10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68</v>
      </c>
      <c r="L13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66.25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10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68</v>
      </c>
      <c r="L13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66.25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10</v>
      </c>
      <c r="D138" t="s">
        <v>74</v>
      </c>
      <c r="E138" t="s">
        <v>78</v>
      </c>
      <c r="F138" t="s">
        <v>76</v>
      </c>
      <c r="G138">
        <v>36.773285378593698</v>
      </c>
      <c r="H138">
        <v>2E+20</v>
      </c>
      <c r="I138">
        <v>0</v>
      </c>
      <c r="J138">
        <v>108.699341547298</v>
      </c>
      <c r="K138">
        <v>68</v>
      </c>
      <c r="L13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34.654260549205119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7.0836652736050665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22.316251643751801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54.481064037149501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135.81902063368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66.25</v>
      </c>
      <c r="W138" s="5">
        <f>IF((DiscreteStatsTable[[#This Row],[RepsRequested]]&gt;1),DiscreteStatsTable[[#This Row],[HalfWidth]],DiscreteStatsTable[[#This Row],[BatchMeansHalfWidth]])</f>
        <v>2.2654660610570421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10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68</v>
      </c>
      <c r="L13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66.25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10</v>
      </c>
      <c r="D140" t="s">
        <v>74</v>
      </c>
      <c r="E140" t="s">
        <v>80</v>
      </c>
      <c r="F140" t="s">
        <v>76</v>
      </c>
      <c r="G140">
        <v>10.072363084664699</v>
      </c>
      <c r="H140">
        <v>2E+20</v>
      </c>
      <c r="I140">
        <v>0</v>
      </c>
      <c r="J140">
        <v>20.3689427300909</v>
      </c>
      <c r="K140">
        <v>68</v>
      </c>
      <c r="L14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10.337635167199183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9.57099242159887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11.4763265650571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21.570142335238799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66.25</v>
      </c>
      <c r="W140" s="5">
        <f>IF((DiscreteStatsTable[[#This Row],[RepsRequested]]&gt;1),DiscreteStatsTable[[#This Row],[HalfWidth]],DiscreteStatsTable[[#This Row],[BatchMeansHalfWidth]])</f>
        <v>0.13628518892811467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10</v>
      </c>
      <c r="D141" t="s">
        <v>74</v>
      </c>
      <c r="E141" t="s">
        <v>81</v>
      </c>
      <c r="F141" t="s">
        <v>76</v>
      </c>
      <c r="G141">
        <v>26.700922293929001</v>
      </c>
      <c r="H141">
        <v>2E+20</v>
      </c>
      <c r="I141">
        <v>0</v>
      </c>
      <c r="J141">
        <v>89.396166657868207</v>
      </c>
      <c r="K141">
        <v>68</v>
      </c>
      <c r="L14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24.316625382005931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6.8823183028634016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12.417308363925899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43.004737472092501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118.512212682617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66.25</v>
      </c>
      <c r="W141" s="5">
        <f>IF((DiscreteStatsTable[[#This Row],[RepsRequested]]&gt;1),DiscreteStatsTable[[#This Row],[HalfWidth]],DiscreteStatsTable[[#This Row],[BatchMeansHalfWidth]])</f>
        <v>2.2010721758163658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11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68</v>
      </c>
      <c r="L14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66.25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11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68</v>
      </c>
      <c r="L14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66.25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11</v>
      </c>
      <c r="D144" t="s">
        <v>74</v>
      </c>
      <c r="E144" t="s">
        <v>78</v>
      </c>
      <c r="F144" t="s">
        <v>76</v>
      </c>
      <c r="G144">
        <v>27.753395806729799</v>
      </c>
      <c r="H144">
        <v>2E+20</v>
      </c>
      <c r="I144">
        <v>0</v>
      </c>
      <c r="J144">
        <v>79.877896565870202</v>
      </c>
      <c r="K144">
        <v>68</v>
      </c>
      <c r="L14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34.654260549205119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7.0836652736050665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22.316251643751801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54.481064037149501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135.81902063368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66.25</v>
      </c>
      <c r="W144" s="5">
        <f>IF((DiscreteStatsTable[[#This Row],[RepsRequested]]&gt;1),DiscreteStatsTable[[#This Row],[HalfWidth]],DiscreteStatsTable[[#This Row],[BatchMeansHalfWidth]])</f>
        <v>2.2654660610570421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11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68</v>
      </c>
      <c r="L14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66.25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11</v>
      </c>
      <c r="D146" t="s">
        <v>74</v>
      </c>
      <c r="E146" t="s">
        <v>80</v>
      </c>
      <c r="F146" t="s">
        <v>76</v>
      </c>
      <c r="G146">
        <v>10.062230516980099</v>
      </c>
      <c r="H146">
        <v>2E+20</v>
      </c>
      <c r="I146">
        <v>0</v>
      </c>
      <c r="J146">
        <v>20.040588850583799</v>
      </c>
      <c r="K146">
        <v>68</v>
      </c>
      <c r="L14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10.337635167199183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9.57099242159887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11.4763265650571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21.570142335238799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66.25</v>
      </c>
      <c r="W146" s="5">
        <f>IF((DiscreteStatsTable[[#This Row],[RepsRequested]]&gt;1),DiscreteStatsTable[[#This Row],[HalfWidth]],DiscreteStatsTable[[#This Row],[BatchMeansHalfWidth]])</f>
        <v>0.13628518892811467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11</v>
      </c>
      <c r="D147" t="s">
        <v>74</v>
      </c>
      <c r="E147" t="s">
        <v>81</v>
      </c>
      <c r="F147" t="s">
        <v>76</v>
      </c>
      <c r="G147">
        <v>17.691165289749801</v>
      </c>
      <c r="H147">
        <v>2E+20</v>
      </c>
      <c r="I147">
        <v>0</v>
      </c>
      <c r="J147">
        <v>63.837379523449201</v>
      </c>
      <c r="K147">
        <v>68</v>
      </c>
      <c r="L14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24.316625382005931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6.8823183028634016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12.417308363925899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43.004737472092501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118.512212682617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66.25</v>
      </c>
      <c r="W147" s="5">
        <f>IF((DiscreteStatsTable[[#This Row],[RepsRequested]]&gt;1),DiscreteStatsTable[[#This Row],[HalfWidth]],DiscreteStatsTable[[#This Row],[BatchMeansHalfWidth]])</f>
        <v>2.2010721758163658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12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68</v>
      </c>
      <c r="L14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66.25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12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68</v>
      </c>
      <c r="L14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66.25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12</v>
      </c>
      <c r="D150" t="s">
        <v>74</v>
      </c>
      <c r="E150" t="s">
        <v>78</v>
      </c>
      <c r="F150" t="s">
        <v>76</v>
      </c>
      <c r="G150">
        <v>36.601354602957997</v>
      </c>
      <c r="H150">
        <v>2E+20</v>
      </c>
      <c r="I150">
        <v>0</v>
      </c>
      <c r="J150">
        <v>97.082811652923496</v>
      </c>
      <c r="K150">
        <v>68</v>
      </c>
      <c r="L15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34.654260549205119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7.0836652736050665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22.316251643751801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54.481064037149501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135.81902063368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66.25</v>
      </c>
      <c r="W150" s="5">
        <f>IF((DiscreteStatsTable[[#This Row],[RepsRequested]]&gt;1),DiscreteStatsTable[[#This Row],[HalfWidth]],DiscreteStatsTable[[#This Row],[BatchMeansHalfWidth]])</f>
        <v>2.2654660610570421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12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68</v>
      </c>
      <c r="L15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66.25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12</v>
      </c>
      <c r="D152" t="s">
        <v>74</v>
      </c>
      <c r="E152" t="s">
        <v>80</v>
      </c>
      <c r="F152" t="s">
        <v>76</v>
      </c>
      <c r="G152">
        <v>10.3189126115522</v>
      </c>
      <c r="H152">
        <v>2E+20</v>
      </c>
      <c r="I152">
        <v>0</v>
      </c>
      <c r="J152">
        <v>20.1368143141611</v>
      </c>
      <c r="K152">
        <v>68</v>
      </c>
      <c r="L15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10.337635167199183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9.57099242159887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11.4763265650571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21.570142335238799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66.25</v>
      </c>
      <c r="W152" s="5">
        <f>IF((DiscreteStatsTable[[#This Row],[RepsRequested]]&gt;1),DiscreteStatsTable[[#This Row],[HalfWidth]],DiscreteStatsTable[[#This Row],[BatchMeansHalfWidth]])</f>
        <v>0.13628518892811467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12</v>
      </c>
      <c r="D153" t="s">
        <v>74</v>
      </c>
      <c r="E153" t="s">
        <v>81</v>
      </c>
      <c r="F153" t="s">
        <v>76</v>
      </c>
      <c r="G153">
        <v>26.282441991405801</v>
      </c>
      <c r="H153">
        <v>2E+20</v>
      </c>
      <c r="I153">
        <v>0</v>
      </c>
      <c r="J153">
        <v>80.727061555206802</v>
      </c>
      <c r="K153">
        <v>68</v>
      </c>
      <c r="L15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24.316625382005931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6.8823183028634016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12.417308363925899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43.004737472092501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118.512212682617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66.25</v>
      </c>
      <c r="W153" s="5">
        <f>IF((DiscreteStatsTable[[#This Row],[RepsRequested]]&gt;1),DiscreteStatsTable[[#This Row],[HalfWidth]],DiscreteStatsTable[[#This Row],[BatchMeansHalfWidth]])</f>
        <v>2.2010721758163658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13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69</v>
      </c>
      <c r="L15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66.25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13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69</v>
      </c>
      <c r="L15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66.25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13</v>
      </c>
      <c r="D156" t="s">
        <v>74</v>
      </c>
      <c r="E156" t="s">
        <v>78</v>
      </c>
      <c r="F156" t="s">
        <v>76</v>
      </c>
      <c r="G156">
        <v>31.2085637321515</v>
      </c>
      <c r="H156">
        <v>2E+20</v>
      </c>
      <c r="I156">
        <v>0</v>
      </c>
      <c r="J156">
        <v>84.756934975791907</v>
      </c>
      <c r="K156">
        <v>69</v>
      </c>
      <c r="L15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34.654260549205119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7.0836652736050665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22.316251643751801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54.481064037149501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135.81902063368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66.25</v>
      </c>
      <c r="W156" s="5">
        <f>IF((DiscreteStatsTable[[#This Row],[RepsRequested]]&gt;1),DiscreteStatsTable[[#This Row],[HalfWidth]],DiscreteStatsTable[[#This Row],[BatchMeansHalfWidth]])</f>
        <v>2.2654660610570421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13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69</v>
      </c>
      <c r="L15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66.25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13</v>
      </c>
      <c r="D158" t="s">
        <v>74</v>
      </c>
      <c r="E158" t="s">
        <v>80</v>
      </c>
      <c r="F158" t="s">
        <v>76</v>
      </c>
      <c r="G158">
        <v>10.123947958888699</v>
      </c>
      <c r="H158">
        <v>2E+20</v>
      </c>
      <c r="I158">
        <v>0</v>
      </c>
      <c r="J158">
        <v>20.605795972634301</v>
      </c>
      <c r="K158">
        <v>69</v>
      </c>
      <c r="L15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10.337635167199183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9.57099242159887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11.4763265650571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21.570142335238799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66.25</v>
      </c>
      <c r="W158" s="5">
        <f>IF((DiscreteStatsTable[[#This Row],[RepsRequested]]&gt;1),DiscreteStatsTable[[#This Row],[HalfWidth]],DiscreteStatsTable[[#This Row],[BatchMeansHalfWidth]])</f>
        <v>0.13628518892811467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13</v>
      </c>
      <c r="D159" t="s">
        <v>74</v>
      </c>
      <c r="E159" t="s">
        <v>81</v>
      </c>
      <c r="F159" t="s">
        <v>76</v>
      </c>
      <c r="G159">
        <v>21.0846157732629</v>
      </c>
      <c r="H159">
        <v>2E+20</v>
      </c>
      <c r="I159">
        <v>0</v>
      </c>
      <c r="J159">
        <v>68.611916090765007</v>
      </c>
      <c r="K159">
        <v>69</v>
      </c>
      <c r="L15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24.316625382005931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6.8823183028634016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12.417308363925899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43.004737472092501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118.512212682617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66.25</v>
      </c>
      <c r="W159" s="5">
        <f>IF((DiscreteStatsTable[[#This Row],[RepsRequested]]&gt;1),DiscreteStatsTable[[#This Row],[HalfWidth]],DiscreteStatsTable[[#This Row],[BatchMeansHalfWidth]])</f>
        <v>2.2010721758163658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14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69</v>
      </c>
      <c r="L16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66.25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14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69</v>
      </c>
      <c r="L16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66.25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14</v>
      </c>
      <c r="D162" t="s">
        <v>74</v>
      </c>
      <c r="E162" t="s">
        <v>78</v>
      </c>
      <c r="F162" t="s">
        <v>76</v>
      </c>
      <c r="G162">
        <v>35.065479460065497</v>
      </c>
      <c r="H162">
        <v>2E+20</v>
      </c>
      <c r="I162">
        <v>0</v>
      </c>
      <c r="J162">
        <v>92.026831613827994</v>
      </c>
      <c r="K162">
        <v>69</v>
      </c>
      <c r="L16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34.654260549205119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7.0836652736050665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22.316251643751801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54.481064037149501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135.81902063368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66.25</v>
      </c>
      <c r="W162" s="5">
        <f>IF((DiscreteStatsTable[[#This Row],[RepsRequested]]&gt;1),DiscreteStatsTable[[#This Row],[HalfWidth]],DiscreteStatsTable[[#This Row],[BatchMeansHalfWidth]])</f>
        <v>2.2654660610570421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14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69</v>
      </c>
      <c r="L16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66.25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14</v>
      </c>
      <c r="D164" t="s">
        <v>74</v>
      </c>
      <c r="E164" t="s">
        <v>80</v>
      </c>
      <c r="F164" t="s">
        <v>76</v>
      </c>
      <c r="G164">
        <v>10.2683522736434</v>
      </c>
      <c r="H164">
        <v>2E+20</v>
      </c>
      <c r="I164">
        <v>0</v>
      </c>
      <c r="J164">
        <v>19.359691511148402</v>
      </c>
      <c r="K164">
        <v>69</v>
      </c>
      <c r="L16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10.337635167199183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9.57099242159887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11.4763265650571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21.570142335238799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66.25</v>
      </c>
      <c r="W164" s="5">
        <f>IF((DiscreteStatsTable[[#This Row],[RepsRequested]]&gt;1),DiscreteStatsTable[[#This Row],[HalfWidth]],DiscreteStatsTable[[#This Row],[BatchMeansHalfWidth]])</f>
        <v>0.13628518892811467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14</v>
      </c>
      <c r="D165" t="s">
        <v>74</v>
      </c>
      <c r="E165" t="s">
        <v>81</v>
      </c>
      <c r="F165" t="s">
        <v>76</v>
      </c>
      <c r="G165">
        <v>24.797127186422099</v>
      </c>
      <c r="H165">
        <v>2E+20</v>
      </c>
      <c r="I165">
        <v>0</v>
      </c>
      <c r="J165">
        <v>76.850851065718402</v>
      </c>
      <c r="K165">
        <v>69</v>
      </c>
      <c r="L16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24.316625382005931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6.8823183028634016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12.417308363925899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43.004737472092501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118.512212682617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66.25</v>
      </c>
      <c r="W165" s="5">
        <f>IF((DiscreteStatsTable[[#This Row],[RepsRequested]]&gt;1),DiscreteStatsTable[[#This Row],[HalfWidth]],DiscreteStatsTable[[#This Row],[BatchMeansHalfWidth]])</f>
        <v>2.2010721758163658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15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61</v>
      </c>
      <c r="L16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66.25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15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61</v>
      </c>
      <c r="L16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66.25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15</v>
      </c>
      <c r="D168" t="s">
        <v>74</v>
      </c>
      <c r="E168" t="s">
        <v>78</v>
      </c>
      <c r="F168" t="s">
        <v>76</v>
      </c>
      <c r="G168">
        <v>29.161319782406501</v>
      </c>
      <c r="H168">
        <v>2E+20</v>
      </c>
      <c r="I168">
        <v>0</v>
      </c>
      <c r="J168">
        <v>80.932158090671706</v>
      </c>
      <c r="K168">
        <v>61</v>
      </c>
      <c r="L16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34.654260549205119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7.0836652736050665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22.316251643751801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54.481064037149501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135.81902063368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66.25</v>
      </c>
      <c r="W168" s="5">
        <f>IF((DiscreteStatsTable[[#This Row],[RepsRequested]]&gt;1),DiscreteStatsTable[[#This Row],[HalfWidth]],DiscreteStatsTable[[#This Row],[BatchMeansHalfWidth]])</f>
        <v>2.2654660610570421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15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61</v>
      </c>
      <c r="L16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66.25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15</v>
      </c>
      <c r="D170" t="s">
        <v>74</v>
      </c>
      <c r="E170" t="s">
        <v>80</v>
      </c>
      <c r="F170" t="s">
        <v>76</v>
      </c>
      <c r="G170">
        <v>10.9207841750551</v>
      </c>
      <c r="H170">
        <v>2E+20</v>
      </c>
      <c r="I170">
        <v>0</v>
      </c>
      <c r="J170">
        <v>20.074254690586301</v>
      </c>
      <c r="K170">
        <v>61</v>
      </c>
      <c r="L17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10.337635167199183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9.57099242159887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11.4763265650571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21.570142335238799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66.25</v>
      </c>
      <c r="W170" s="5">
        <f>IF((DiscreteStatsTable[[#This Row],[RepsRequested]]&gt;1),DiscreteStatsTable[[#This Row],[HalfWidth]],DiscreteStatsTable[[#This Row],[BatchMeansHalfWidth]])</f>
        <v>0.13628518892811467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15</v>
      </c>
      <c r="D171" t="s">
        <v>74</v>
      </c>
      <c r="E171" t="s">
        <v>81</v>
      </c>
      <c r="F171" t="s">
        <v>76</v>
      </c>
      <c r="G171">
        <v>18.240535607351401</v>
      </c>
      <c r="H171">
        <v>2E+20</v>
      </c>
      <c r="I171">
        <v>0</v>
      </c>
      <c r="J171">
        <v>60.975767586540101</v>
      </c>
      <c r="K171">
        <v>61</v>
      </c>
      <c r="L17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24.316625382005931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6.8823183028634016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12.417308363925899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43.004737472092501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118.512212682617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66.25</v>
      </c>
      <c r="W171" s="5">
        <f>IF((DiscreteStatsTable[[#This Row],[RepsRequested]]&gt;1),DiscreteStatsTable[[#This Row],[HalfWidth]],DiscreteStatsTable[[#This Row],[BatchMeansHalfWidth]])</f>
        <v>2.2010721758163658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16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63</v>
      </c>
      <c r="L17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66.25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16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63</v>
      </c>
      <c r="L17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66.25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16</v>
      </c>
      <c r="D174" t="s">
        <v>74</v>
      </c>
      <c r="E174" t="s">
        <v>78</v>
      </c>
      <c r="F174" t="s">
        <v>76</v>
      </c>
      <c r="G174">
        <v>43.0905826066898</v>
      </c>
      <c r="H174">
        <v>2E+20</v>
      </c>
      <c r="I174">
        <v>0</v>
      </c>
      <c r="J174">
        <v>107.864131025045</v>
      </c>
      <c r="K174">
        <v>63</v>
      </c>
      <c r="L17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34.654260549205119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7.0836652736050665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22.316251643751801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54.481064037149501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135.81902063368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66.25</v>
      </c>
      <c r="W174" s="5">
        <f>IF((DiscreteStatsTable[[#This Row],[RepsRequested]]&gt;1),DiscreteStatsTable[[#This Row],[HalfWidth]],DiscreteStatsTable[[#This Row],[BatchMeansHalfWidth]])</f>
        <v>2.2654660610570421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16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63</v>
      </c>
      <c r="L17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66.25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16</v>
      </c>
      <c r="D176" t="s">
        <v>74</v>
      </c>
      <c r="E176" t="s">
        <v>80</v>
      </c>
      <c r="F176" t="s">
        <v>76</v>
      </c>
      <c r="G176">
        <v>10.974968812325899</v>
      </c>
      <c r="H176">
        <v>2E+20</v>
      </c>
      <c r="I176">
        <v>0</v>
      </c>
      <c r="J176">
        <v>19.803560178161401</v>
      </c>
      <c r="K176">
        <v>63</v>
      </c>
      <c r="L17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10.337635167199183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9.57099242159887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11.4763265650571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21.570142335238799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66.25</v>
      </c>
      <c r="W176" s="5">
        <f>IF((DiscreteStatsTable[[#This Row],[RepsRequested]]&gt;1),DiscreteStatsTable[[#This Row],[HalfWidth]],DiscreteStatsTable[[#This Row],[BatchMeansHalfWidth]])</f>
        <v>0.13628518892811467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16</v>
      </c>
      <c r="D177" t="s">
        <v>74</v>
      </c>
      <c r="E177" t="s">
        <v>81</v>
      </c>
      <c r="F177" t="s">
        <v>76</v>
      </c>
      <c r="G177">
        <v>32.115613794363902</v>
      </c>
      <c r="H177">
        <v>2E+20</v>
      </c>
      <c r="I177">
        <v>0</v>
      </c>
      <c r="J177">
        <v>90.338612314180907</v>
      </c>
      <c r="K177">
        <v>63</v>
      </c>
      <c r="L17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24.316625382005931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6.8823183028634016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12.417308363925899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43.004737472092501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118.512212682617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66.25</v>
      </c>
      <c r="W177" s="5">
        <f>IF((DiscreteStatsTable[[#This Row],[RepsRequested]]&gt;1),DiscreteStatsTable[[#This Row],[HalfWidth]],DiscreteStatsTable[[#This Row],[BatchMeansHalfWidth]])</f>
        <v>2.2010721758163658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17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63</v>
      </c>
      <c r="L17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66.25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17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63</v>
      </c>
      <c r="L17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66.25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17</v>
      </c>
      <c r="D180" t="s">
        <v>74</v>
      </c>
      <c r="E180" t="s">
        <v>78</v>
      </c>
      <c r="F180" t="s">
        <v>76</v>
      </c>
      <c r="G180">
        <v>31.019371645313601</v>
      </c>
      <c r="H180">
        <v>2E+20</v>
      </c>
      <c r="I180">
        <v>0</v>
      </c>
      <c r="J180">
        <v>98.505336601742698</v>
      </c>
      <c r="K180">
        <v>63</v>
      </c>
      <c r="L18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34.654260549205119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7.0836652736050665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22.316251643751801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54.481064037149501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135.81902063368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66.25</v>
      </c>
      <c r="W180" s="5">
        <f>IF((DiscreteStatsTable[[#This Row],[RepsRequested]]&gt;1),DiscreteStatsTable[[#This Row],[HalfWidth]],DiscreteStatsTable[[#This Row],[BatchMeansHalfWidth]])</f>
        <v>2.2654660610570421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17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63</v>
      </c>
      <c r="L18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66.25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17</v>
      </c>
      <c r="D182" t="s">
        <v>74</v>
      </c>
      <c r="E182" t="s">
        <v>80</v>
      </c>
      <c r="F182" t="s">
        <v>76</v>
      </c>
      <c r="G182">
        <v>10.215556787845999</v>
      </c>
      <c r="H182">
        <v>2E+20</v>
      </c>
      <c r="I182">
        <v>0</v>
      </c>
      <c r="J182">
        <v>19.838055758210398</v>
      </c>
      <c r="K182">
        <v>63</v>
      </c>
      <c r="L18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10.337635167199183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9.57099242159887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11.4763265650571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21.570142335238799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66.25</v>
      </c>
      <c r="W182" s="5">
        <f>IF((DiscreteStatsTable[[#This Row],[RepsRequested]]&gt;1),DiscreteStatsTable[[#This Row],[HalfWidth]],DiscreteStatsTable[[#This Row],[BatchMeansHalfWidth]])</f>
        <v>0.13628518892811467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17</v>
      </c>
      <c r="D183" t="s">
        <v>74</v>
      </c>
      <c r="E183" t="s">
        <v>81</v>
      </c>
      <c r="F183" t="s">
        <v>76</v>
      </c>
      <c r="G183">
        <v>20.8038148574676</v>
      </c>
      <c r="H183">
        <v>2E+20</v>
      </c>
      <c r="I183">
        <v>0</v>
      </c>
      <c r="J183">
        <v>81.304609782285496</v>
      </c>
      <c r="K183">
        <v>63</v>
      </c>
      <c r="L18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24.316625382005931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6.8823183028634016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12.417308363925899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43.004737472092501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118.512212682617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66.25</v>
      </c>
      <c r="W183" s="5">
        <f>IF((DiscreteStatsTable[[#This Row],[RepsRequested]]&gt;1),DiscreteStatsTable[[#This Row],[HalfWidth]],DiscreteStatsTable[[#This Row],[BatchMeansHalfWidth]])</f>
        <v>2.2010721758163658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18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64</v>
      </c>
      <c r="L18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66.25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18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64</v>
      </c>
      <c r="L18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66.25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18</v>
      </c>
      <c r="D186" t="s">
        <v>74</v>
      </c>
      <c r="E186" t="s">
        <v>78</v>
      </c>
      <c r="F186" t="s">
        <v>76</v>
      </c>
      <c r="G186">
        <v>35.030988920278602</v>
      </c>
      <c r="H186">
        <v>2E+20</v>
      </c>
      <c r="I186">
        <v>0</v>
      </c>
      <c r="J186">
        <v>109.177520120198</v>
      </c>
      <c r="K186">
        <v>64</v>
      </c>
      <c r="L18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34.654260549205119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7.0836652736050665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22.316251643751801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54.481064037149501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135.81902063368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66.25</v>
      </c>
      <c r="W186" s="5">
        <f>IF((DiscreteStatsTable[[#This Row],[RepsRequested]]&gt;1),DiscreteStatsTable[[#This Row],[HalfWidth]],DiscreteStatsTable[[#This Row],[BatchMeansHalfWidth]])</f>
        <v>2.2654660610570421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18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64</v>
      </c>
      <c r="L18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66.25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18</v>
      </c>
      <c r="D188" t="s">
        <v>74</v>
      </c>
      <c r="E188" t="s">
        <v>80</v>
      </c>
      <c r="F188" t="s">
        <v>76</v>
      </c>
      <c r="G188">
        <v>10.451687941981399</v>
      </c>
      <c r="H188">
        <v>2E+20</v>
      </c>
      <c r="I188">
        <v>0</v>
      </c>
      <c r="J188">
        <v>20.264684790934499</v>
      </c>
      <c r="K188">
        <v>64</v>
      </c>
      <c r="L18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10.337635167199183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9.57099242159887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11.4763265650571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21.570142335238799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66.25</v>
      </c>
      <c r="W188" s="5">
        <f>IF((DiscreteStatsTable[[#This Row],[RepsRequested]]&gt;1),DiscreteStatsTable[[#This Row],[HalfWidth]],DiscreteStatsTable[[#This Row],[BatchMeansHalfWidth]])</f>
        <v>0.13628518892811467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18</v>
      </c>
      <c r="D189" t="s">
        <v>74</v>
      </c>
      <c r="E189" t="s">
        <v>81</v>
      </c>
      <c r="F189" t="s">
        <v>76</v>
      </c>
      <c r="G189">
        <v>24.579300978297201</v>
      </c>
      <c r="H189">
        <v>2E+20</v>
      </c>
      <c r="I189">
        <v>0</v>
      </c>
      <c r="J189">
        <v>92.121672512287404</v>
      </c>
      <c r="K189">
        <v>64</v>
      </c>
      <c r="L18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24.316625382005931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6.8823183028634016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12.417308363925899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43.004737472092501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118.512212682617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66.25</v>
      </c>
      <c r="W189" s="5">
        <f>IF((DiscreteStatsTable[[#This Row],[RepsRequested]]&gt;1),DiscreteStatsTable[[#This Row],[HalfWidth]],DiscreteStatsTable[[#This Row],[BatchMeansHalfWidth]])</f>
        <v>2.2010721758163658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19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68</v>
      </c>
      <c r="L19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66.25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19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68</v>
      </c>
      <c r="L19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66.25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19</v>
      </c>
      <c r="D192" t="s">
        <v>74</v>
      </c>
      <c r="E192" t="s">
        <v>78</v>
      </c>
      <c r="F192" t="s">
        <v>76</v>
      </c>
      <c r="G192">
        <v>34.419282775260498</v>
      </c>
      <c r="H192">
        <v>2E+20</v>
      </c>
      <c r="I192">
        <v>0</v>
      </c>
      <c r="J192">
        <v>106.225251700795</v>
      </c>
      <c r="K192">
        <v>68</v>
      </c>
      <c r="L19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34.654260549205119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7.0836652736050665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22.316251643751801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54.481064037149501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135.81902063368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66.25</v>
      </c>
      <c r="W192" s="5">
        <f>IF((DiscreteStatsTable[[#This Row],[RepsRequested]]&gt;1),DiscreteStatsTable[[#This Row],[HalfWidth]],DiscreteStatsTable[[#This Row],[BatchMeansHalfWidth]])</f>
        <v>2.2654660610570421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19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68</v>
      </c>
      <c r="L19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66.25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19</v>
      </c>
      <c r="D194" t="s">
        <v>74</v>
      </c>
      <c r="E194" t="s">
        <v>80</v>
      </c>
      <c r="F194" t="s">
        <v>76</v>
      </c>
      <c r="G194">
        <v>10.2753671565379</v>
      </c>
      <c r="H194">
        <v>2E+20</v>
      </c>
      <c r="I194">
        <v>0</v>
      </c>
      <c r="J194">
        <v>20.429792433027099</v>
      </c>
      <c r="K194">
        <v>68</v>
      </c>
      <c r="L19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10.337635167199183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9.57099242159887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11.4763265650571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21.570142335238799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66.25</v>
      </c>
      <c r="W194" s="5">
        <f>IF((DiscreteStatsTable[[#This Row],[RepsRequested]]&gt;1),DiscreteStatsTable[[#This Row],[HalfWidth]],DiscreteStatsTable[[#This Row],[BatchMeansHalfWidth]])</f>
        <v>0.13628518892811467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19</v>
      </c>
      <c r="D195" t="s">
        <v>74</v>
      </c>
      <c r="E195" t="s">
        <v>81</v>
      </c>
      <c r="F195" t="s">
        <v>76</v>
      </c>
      <c r="G195">
        <v>24.143915618722598</v>
      </c>
      <c r="H195">
        <v>2E+20</v>
      </c>
      <c r="I195">
        <v>0</v>
      </c>
      <c r="J195">
        <v>90.255519834131405</v>
      </c>
      <c r="K195">
        <v>68</v>
      </c>
      <c r="L19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24.316625382005931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6.8823183028634016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12.417308363925899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43.004737472092501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118.512212682617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66.25</v>
      </c>
      <c r="W195" s="5">
        <f>IF((DiscreteStatsTable[[#This Row],[RepsRequested]]&gt;1),DiscreteStatsTable[[#This Row],[HalfWidth]],DiscreteStatsTable[[#This Row],[BatchMeansHalfWidth]])</f>
        <v>2.2010721758163658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20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69</v>
      </c>
      <c r="L19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66.25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20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69</v>
      </c>
      <c r="L19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66.25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20</v>
      </c>
      <c r="D198" t="s">
        <v>74</v>
      </c>
      <c r="E198" t="s">
        <v>78</v>
      </c>
      <c r="F198" t="s">
        <v>76</v>
      </c>
      <c r="G198">
        <v>40.221117575426597</v>
      </c>
      <c r="H198">
        <v>2E+20</v>
      </c>
      <c r="I198">
        <v>0</v>
      </c>
      <c r="J198">
        <v>108.033736406104</v>
      </c>
      <c r="K198">
        <v>69</v>
      </c>
      <c r="L19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34.654260549205119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7.0836652736050665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22.316251643751801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54.481064037149501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135.81902063368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66.25</v>
      </c>
      <c r="W198" s="5">
        <f>IF((DiscreteStatsTable[[#This Row],[RepsRequested]]&gt;1),DiscreteStatsTable[[#This Row],[HalfWidth]],DiscreteStatsTable[[#This Row],[BatchMeansHalfWidth]])</f>
        <v>2.2654660610570421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20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69</v>
      </c>
      <c r="L19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66.25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20</v>
      </c>
      <c r="D200" t="s">
        <v>74</v>
      </c>
      <c r="E200" t="s">
        <v>80</v>
      </c>
      <c r="F200" t="s">
        <v>76</v>
      </c>
      <c r="G200">
        <v>10.0810217440513</v>
      </c>
      <c r="H200">
        <v>2E+20</v>
      </c>
      <c r="I200">
        <v>0</v>
      </c>
      <c r="J200">
        <v>19.485722975572301</v>
      </c>
      <c r="K200">
        <v>69</v>
      </c>
      <c r="L20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10.337635167199183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9.57099242159887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11.4763265650571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21.570142335238799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66.25</v>
      </c>
      <c r="W200" s="5">
        <f>IF((DiscreteStatsTable[[#This Row],[RepsRequested]]&gt;1),DiscreteStatsTable[[#This Row],[HalfWidth]],DiscreteStatsTable[[#This Row],[BatchMeansHalfWidth]])</f>
        <v>0.13628518892811467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20</v>
      </c>
      <c r="D201" t="s">
        <v>74</v>
      </c>
      <c r="E201" t="s">
        <v>81</v>
      </c>
      <c r="F201" t="s">
        <v>76</v>
      </c>
      <c r="G201">
        <v>30.140095831375302</v>
      </c>
      <c r="H201">
        <v>2E+20</v>
      </c>
      <c r="I201">
        <v>0</v>
      </c>
      <c r="J201">
        <v>92.679776608213004</v>
      </c>
      <c r="K201">
        <v>69</v>
      </c>
      <c r="L20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24.316625382005931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6.8823183028634016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12.417308363925899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43.004737472092501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118.512212682617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66.25</v>
      </c>
      <c r="W201" s="5">
        <f>IF((DiscreteStatsTable[[#This Row],[RepsRequested]]&gt;1),DiscreteStatsTable[[#This Row],[HalfWidth]],DiscreteStatsTable[[#This Row],[BatchMeansHalfWidth]])</f>
        <v>2.2010721758163658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21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70</v>
      </c>
      <c r="L20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66.25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21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70</v>
      </c>
      <c r="L20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66.25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21</v>
      </c>
      <c r="D204" t="s">
        <v>74</v>
      </c>
      <c r="E204" t="s">
        <v>78</v>
      </c>
      <c r="F204" t="s">
        <v>76</v>
      </c>
      <c r="G204">
        <v>28.7421948692668</v>
      </c>
      <c r="H204">
        <v>2E+20</v>
      </c>
      <c r="I204">
        <v>0</v>
      </c>
      <c r="J204">
        <v>93.107814226175293</v>
      </c>
      <c r="K204">
        <v>70</v>
      </c>
      <c r="L20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34.654260549205119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7.0836652736050665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22.316251643751801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54.481064037149501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135.81902063368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66.25</v>
      </c>
      <c r="W204" s="5">
        <f>IF((DiscreteStatsTable[[#This Row],[RepsRequested]]&gt;1),DiscreteStatsTable[[#This Row],[HalfWidth]],DiscreteStatsTable[[#This Row],[BatchMeansHalfWidth]])</f>
        <v>2.2654660610570421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21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70</v>
      </c>
      <c r="L20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66.25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21</v>
      </c>
      <c r="D206" t="s">
        <v>74</v>
      </c>
      <c r="E206" t="s">
        <v>80</v>
      </c>
      <c r="F206" t="s">
        <v>76</v>
      </c>
      <c r="G206">
        <v>9.6216172976679495</v>
      </c>
      <c r="H206">
        <v>2E+20</v>
      </c>
      <c r="I206">
        <v>0</v>
      </c>
      <c r="J206">
        <v>19.910484896130299</v>
      </c>
      <c r="K206">
        <v>70</v>
      </c>
      <c r="L20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10.337635167199183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9.57099242159887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11.4763265650571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21.570142335238799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66.25</v>
      </c>
      <c r="W206" s="5">
        <f>IF((DiscreteStatsTable[[#This Row],[RepsRequested]]&gt;1),DiscreteStatsTable[[#This Row],[HalfWidth]],DiscreteStatsTable[[#This Row],[BatchMeansHalfWidth]])</f>
        <v>0.13628518892811467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21</v>
      </c>
      <c r="D207" t="s">
        <v>74</v>
      </c>
      <c r="E207" t="s">
        <v>81</v>
      </c>
      <c r="F207" t="s">
        <v>76</v>
      </c>
      <c r="G207">
        <v>19.120577571598801</v>
      </c>
      <c r="H207">
        <v>2E+20</v>
      </c>
      <c r="I207">
        <v>0</v>
      </c>
      <c r="J207">
        <v>76.240249564253006</v>
      </c>
      <c r="K207">
        <v>70</v>
      </c>
      <c r="L20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24.316625382005931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6.8823183028634016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12.417308363925899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43.004737472092501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118.512212682617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66.25</v>
      </c>
      <c r="W207" s="5">
        <f>IF((DiscreteStatsTable[[#This Row],[RepsRequested]]&gt;1),DiscreteStatsTable[[#This Row],[HalfWidth]],DiscreteStatsTable[[#This Row],[BatchMeansHalfWidth]])</f>
        <v>2.2010721758163658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22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63</v>
      </c>
      <c r="L20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66.25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22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63</v>
      </c>
      <c r="L20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66.25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22</v>
      </c>
      <c r="D210" t="s">
        <v>74</v>
      </c>
      <c r="E210" t="s">
        <v>78</v>
      </c>
      <c r="F210" t="s">
        <v>76</v>
      </c>
      <c r="G210">
        <v>34.333613342483503</v>
      </c>
      <c r="H210">
        <v>2E+20</v>
      </c>
      <c r="I210">
        <v>0</v>
      </c>
      <c r="J210">
        <v>84.140553314634204</v>
      </c>
      <c r="K210">
        <v>63</v>
      </c>
      <c r="L21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34.654260549205119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7.0836652736050665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22.316251643751801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54.481064037149501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135.81902063368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66.25</v>
      </c>
      <c r="W210" s="5">
        <f>IF((DiscreteStatsTable[[#This Row],[RepsRequested]]&gt;1),DiscreteStatsTable[[#This Row],[HalfWidth]],DiscreteStatsTable[[#This Row],[BatchMeansHalfWidth]])</f>
        <v>2.2654660610570421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22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63</v>
      </c>
      <c r="L21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66.25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22</v>
      </c>
      <c r="D212" t="s">
        <v>74</v>
      </c>
      <c r="E212" t="s">
        <v>80</v>
      </c>
      <c r="F212" t="s">
        <v>76</v>
      </c>
      <c r="G212">
        <v>10.9081193659571</v>
      </c>
      <c r="H212">
        <v>2E+20</v>
      </c>
      <c r="I212">
        <v>0</v>
      </c>
      <c r="J212">
        <v>20.535396417308799</v>
      </c>
      <c r="K212">
        <v>63</v>
      </c>
      <c r="L21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10.337635167199183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9.57099242159887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11.4763265650571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21.570142335238799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66.25</v>
      </c>
      <c r="W212" s="5">
        <f>IF((DiscreteStatsTable[[#This Row],[RepsRequested]]&gt;1),DiscreteStatsTable[[#This Row],[HalfWidth]],DiscreteStatsTable[[#This Row],[BatchMeansHalfWidth]])</f>
        <v>0.13628518892811467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22</v>
      </c>
      <c r="D213" t="s">
        <v>74</v>
      </c>
      <c r="E213" t="s">
        <v>81</v>
      </c>
      <c r="F213" t="s">
        <v>76</v>
      </c>
      <c r="G213">
        <v>23.425493976526401</v>
      </c>
      <c r="H213">
        <v>2E+20</v>
      </c>
      <c r="I213">
        <v>0</v>
      </c>
      <c r="J213">
        <v>65.451644332482104</v>
      </c>
      <c r="K213">
        <v>63</v>
      </c>
      <c r="L21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24.316625382005931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6.8823183028634016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12.417308363925899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43.004737472092501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118.512212682617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66.25</v>
      </c>
      <c r="W213" s="5">
        <f>IF((DiscreteStatsTable[[#This Row],[RepsRequested]]&gt;1),DiscreteStatsTable[[#This Row],[HalfWidth]],DiscreteStatsTable[[#This Row],[BatchMeansHalfWidth]])</f>
        <v>2.2010721758163658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23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68</v>
      </c>
      <c r="L21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66.25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23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68</v>
      </c>
      <c r="L21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66.25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23</v>
      </c>
      <c r="D216" t="s">
        <v>74</v>
      </c>
      <c r="E216" t="s">
        <v>78</v>
      </c>
      <c r="F216" t="s">
        <v>76</v>
      </c>
      <c r="G216">
        <v>32.525936461849</v>
      </c>
      <c r="H216">
        <v>2E+20</v>
      </c>
      <c r="I216">
        <v>0</v>
      </c>
      <c r="J216">
        <v>81.242349225945006</v>
      </c>
      <c r="K216">
        <v>68</v>
      </c>
      <c r="L21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34.654260549205119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7.0836652736050665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22.316251643751801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54.481064037149501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135.81902063368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66.25</v>
      </c>
      <c r="W216" s="5">
        <f>IF((DiscreteStatsTable[[#This Row],[RepsRequested]]&gt;1),DiscreteStatsTable[[#This Row],[HalfWidth]],DiscreteStatsTable[[#This Row],[BatchMeansHalfWidth]])</f>
        <v>2.2654660610570421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23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68</v>
      </c>
      <c r="L21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66.25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23</v>
      </c>
      <c r="D218" t="s">
        <v>74</v>
      </c>
      <c r="E218" t="s">
        <v>80</v>
      </c>
      <c r="F218" t="s">
        <v>76</v>
      </c>
      <c r="G218">
        <v>10.048314823601199</v>
      </c>
      <c r="H218">
        <v>2E+20</v>
      </c>
      <c r="I218">
        <v>0</v>
      </c>
      <c r="J218">
        <v>19.5718137897357</v>
      </c>
      <c r="K218">
        <v>68</v>
      </c>
      <c r="L21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10.337635167199183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9.57099242159887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11.4763265650571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21.570142335238799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66.25</v>
      </c>
      <c r="W218" s="5">
        <f>IF((DiscreteStatsTable[[#This Row],[RepsRequested]]&gt;1),DiscreteStatsTable[[#This Row],[HalfWidth]],DiscreteStatsTable[[#This Row],[BatchMeansHalfWidth]])</f>
        <v>0.13628518892811467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23</v>
      </c>
      <c r="D219" t="s">
        <v>74</v>
      </c>
      <c r="E219" t="s">
        <v>81</v>
      </c>
      <c r="F219" t="s">
        <v>76</v>
      </c>
      <c r="G219">
        <v>22.4776216382478</v>
      </c>
      <c r="H219">
        <v>2E+20</v>
      </c>
      <c r="I219">
        <v>0</v>
      </c>
      <c r="J219">
        <v>64.816123120472596</v>
      </c>
      <c r="K219">
        <v>68</v>
      </c>
      <c r="L21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24.316625382005931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6.8823183028634016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12.417308363925899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43.004737472092501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118.512212682617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66.25</v>
      </c>
      <c r="W219" s="5">
        <f>IF((DiscreteStatsTable[[#This Row],[RepsRequested]]&gt;1),DiscreteStatsTable[[#This Row],[HalfWidth]],DiscreteStatsTable[[#This Row],[BatchMeansHalfWidth]])</f>
        <v>2.2010721758163658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24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67</v>
      </c>
      <c r="L22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66.25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24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67</v>
      </c>
      <c r="L22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66.25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24</v>
      </c>
      <c r="D222" t="s">
        <v>74</v>
      </c>
      <c r="E222" t="s">
        <v>78</v>
      </c>
      <c r="F222" t="s">
        <v>76</v>
      </c>
      <c r="G222">
        <v>24.230390274880399</v>
      </c>
      <c r="H222">
        <v>2E+20</v>
      </c>
      <c r="I222">
        <v>0</v>
      </c>
      <c r="J222">
        <v>60.681641658802803</v>
      </c>
      <c r="K222">
        <v>67</v>
      </c>
      <c r="L22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34.654260549205119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7.0836652736050665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22.316251643751801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54.481064037149501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135.81902063368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66.25</v>
      </c>
      <c r="W222" s="5">
        <f>IF((DiscreteStatsTable[[#This Row],[RepsRequested]]&gt;1),DiscreteStatsTable[[#This Row],[HalfWidth]],DiscreteStatsTable[[#This Row],[BatchMeansHalfWidth]])</f>
        <v>2.2654660610570421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24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67</v>
      </c>
      <c r="L22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66.25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24</v>
      </c>
      <c r="D224" t="s">
        <v>74</v>
      </c>
      <c r="E224" t="s">
        <v>80</v>
      </c>
      <c r="F224" t="s">
        <v>76</v>
      </c>
      <c r="G224">
        <v>10.346083992377901</v>
      </c>
      <c r="H224">
        <v>2E+20</v>
      </c>
      <c r="I224">
        <v>0</v>
      </c>
      <c r="J224">
        <v>20.9534149299209</v>
      </c>
      <c r="K224">
        <v>67</v>
      </c>
      <c r="L22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10.337635167199183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9.57099242159887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11.4763265650571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21.570142335238799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66.25</v>
      </c>
      <c r="W224" s="5">
        <f>IF((DiscreteStatsTable[[#This Row],[RepsRequested]]&gt;1),DiscreteStatsTable[[#This Row],[HalfWidth]],DiscreteStatsTable[[#This Row],[BatchMeansHalfWidth]])</f>
        <v>0.13628518892811467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24</v>
      </c>
      <c r="D225" t="s">
        <v>74</v>
      </c>
      <c r="E225" t="s">
        <v>81</v>
      </c>
      <c r="F225" t="s">
        <v>76</v>
      </c>
      <c r="G225">
        <v>13.8843062825025</v>
      </c>
      <c r="H225">
        <v>2E+20</v>
      </c>
      <c r="I225">
        <v>0</v>
      </c>
      <c r="J225">
        <v>41.7378511493459</v>
      </c>
      <c r="K225">
        <v>67</v>
      </c>
      <c r="L22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24.316625382005931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6.8823183028634016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12.417308363925899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43.004737472092501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118.512212682617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66.25</v>
      </c>
      <c r="W225" s="5">
        <f>IF((DiscreteStatsTable[[#This Row],[RepsRequested]]&gt;1),DiscreteStatsTable[[#This Row],[HalfWidth]],DiscreteStatsTable[[#This Row],[BatchMeansHalfWidth]])</f>
        <v>2.2010721758163658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25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69</v>
      </c>
      <c r="L22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66.25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25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69</v>
      </c>
      <c r="L22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66.25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25</v>
      </c>
      <c r="D228" t="s">
        <v>74</v>
      </c>
      <c r="E228" t="s">
        <v>78</v>
      </c>
      <c r="F228" t="s">
        <v>76</v>
      </c>
      <c r="G228">
        <v>32.683778610312103</v>
      </c>
      <c r="H228">
        <v>2E+20</v>
      </c>
      <c r="I228">
        <v>0</v>
      </c>
      <c r="J228">
        <v>88.578222856232799</v>
      </c>
      <c r="K228">
        <v>69</v>
      </c>
      <c r="L22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34.654260549205119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7.0836652736050665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22.316251643751801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54.481064037149501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135.81902063368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66.25</v>
      </c>
      <c r="W228" s="5">
        <f>IF((DiscreteStatsTable[[#This Row],[RepsRequested]]&gt;1),DiscreteStatsTable[[#This Row],[HalfWidth]],DiscreteStatsTable[[#This Row],[BatchMeansHalfWidth]])</f>
        <v>2.2654660610570421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25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69</v>
      </c>
      <c r="L22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66.25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25</v>
      </c>
      <c r="D230" t="s">
        <v>74</v>
      </c>
      <c r="E230" t="s">
        <v>80</v>
      </c>
      <c r="F230" t="s">
        <v>76</v>
      </c>
      <c r="G230">
        <v>9.7500282572351402</v>
      </c>
      <c r="H230">
        <v>2E+20</v>
      </c>
      <c r="I230">
        <v>0</v>
      </c>
      <c r="J230">
        <v>20.567648991734099</v>
      </c>
      <c r="K230">
        <v>69</v>
      </c>
      <c r="L23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10.337635167199183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9.57099242159887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11.4763265650571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21.570142335238799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66.25</v>
      </c>
      <c r="W230" s="5">
        <f>IF((DiscreteStatsTable[[#This Row],[RepsRequested]]&gt;1),DiscreteStatsTable[[#This Row],[HalfWidth]],DiscreteStatsTable[[#This Row],[BatchMeansHalfWidth]])</f>
        <v>0.13628518892811467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25</v>
      </c>
      <c r="D231" t="s">
        <v>74</v>
      </c>
      <c r="E231" t="s">
        <v>81</v>
      </c>
      <c r="F231" t="s">
        <v>76</v>
      </c>
      <c r="G231">
        <v>22.933750353076999</v>
      </c>
      <c r="H231">
        <v>2E+20</v>
      </c>
      <c r="I231">
        <v>0</v>
      </c>
      <c r="J231">
        <v>72.081857665303602</v>
      </c>
      <c r="K231">
        <v>69</v>
      </c>
      <c r="L23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24.316625382005931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6.8823183028634016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12.417308363925899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43.004737472092501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118.512212682617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66.25</v>
      </c>
      <c r="W231" s="5">
        <f>IF((DiscreteStatsTable[[#This Row],[RepsRequested]]&gt;1),DiscreteStatsTable[[#This Row],[HalfWidth]],DiscreteStatsTable[[#This Row],[BatchMeansHalfWidth]])</f>
        <v>2.2010721758163658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26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63</v>
      </c>
      <c r="L23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66.25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26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63</v>
      </c>
      <c r="L23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66.25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26</v>
      </c>
      <c r="D234" t="s">
        <v>74</v>
      </c>
      <c r="E234" t="s">
        <v>78</v>
      </c>
      <c r="F234" t="s">
        <v>76</v>
      </c>
      <c r="G234">
        <v>47.991003783639698</v>
      </c>
      <c r="H234">
        <v>2E+20</v>
      </c>
      <c r="I234">
        <v>0</v>
      </c>
      <c r="J234">
        <v>110.390370380143</v>
      </c>
      <c r="K234">
        <v>63</v>
      </c>
      <c r="L23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34.654260549205119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7.0836652736050665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22.316251643751801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54.481064037149501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135.81902063368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66.25</v>
      </c>
      <c r="W234" s="5">
        <f>IF((DiscreteStatsTable[[#This Row],[RepsRequested]]&gt;1),DiscreteStatsTable[[#This Row],[HalfWidth]],DiscreteStatsTable[[#This Row],[BatchMeansHalfWidth]])</f>
        <v>2.2654660610570421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26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63</v>
      </c>
      <c r="L23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66.25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26</v>
      </c>
      <c r="D236" t="s">
        <v>74</v>
      </c>
      <c r="E236" t="s">
        <v>80</v>
      </c>
      <c r="F236" t="s">
        <v>76</v>
      </c>
      <c r="G236">
        <v>11.160621873300901</v>
      </c>
      <c r="H236">
        <v>2E+20</v>
      </c>
      <c r="I236">
        <v>0</v>
      </c>
      <c r="J236">
        <v>20.747338736960401</v>
      </c>
      <c r="K236">
        <v>63</v>
      </c>
      <c r="L23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10.337635167199183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9.57099242159887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11.4763265650571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21.570142335238799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66.25</v>
      </c>
      <c r="W236" s="5">
        <f>IF((DiscreteStatsTable[[#This Row],[RepsRequested]]&gt;1),DiscreteStatsTable[[#This Row],[HalfWidth]],DiscreteStatsTable[[#This Row],[BatchMeansHalfWidth]])</f>
        <v>0.13628518892811467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26</v>
      </c>
      <c r="D237" t="s">
        <v>74</v>
      </c>
      <c r="E237" t="s">
        <v>81</v>
      </c>
      <c r="F237" t="s">
        <v>76</v>
      </c>
      <c r="G237">
        <v>36.830381910338801</v>
      </c>
      <c r="H237">
        <v>2E+20</v>
      </c>
      <c r="I237">
        <v>0</v>
      </c>
      <c r="J237">
        <v>94.366680386778796</v>
      </c>
      <c r="K237">
        <v>63</v>
      </c>
      <c r="L23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24.316625382005931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6.8823183028634016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12.417308363925899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43.004737472092501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118.512212682617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66.25</v>
      </c>
      <c r="W237" s="5">
        <f>IF((DiscreteStatsTable[[#This Row],[RepsRequested]]&gt;1),DiscreteStatsTable[[#This Row],[HalfWidth]],DiscreteStatsTable[[#This Row],[BatchMeansHalfWidth]])</f>
        <v>2.2010721758163658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27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67</v>
      </c>
      <c r="L23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66.25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27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67</v>
      </c>
      <c r="L23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66.25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27</v>
      </c>
      <c r="D240" t="s">
        <v>74</v>
      </c>
      <c r="E240" t="s">
        <v>78</v>
      </c>
      <c r="F240" t="s">
        <v>76</v>
      </c>
      <c r="G240">
        <v>29.451002373214099</v>
      </c>
      <c r="H240">
        <v>2E+20</v>
      </c>
      <c r="I240">
        <v>0</v>
      </c>
      <c r="J240">
        <v>86.404648432775005</v>
      </c>
      <c r="K240">
        <v>67</v>
      </c>
      <c r="L24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34.654260549205119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7.0836652736050665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22.316251643751801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54.481064037149501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135.81902063368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66.25</v>
      </c>
      <c r="W240" s="5">
        <f>IF((DiscreteStatsTable[[#This Row],[RepsRequested]]&gt;1),DiscreteStatsTable[[#This Row],[HalfWidth]],DiscreteStatsTable[[#This Row],[BatchMeansHalfWidth]])</f>
        <v>2.2654660610570421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27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67</v>
      </c>
      <c r="L24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66.25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27</v>
      </c>
      <c r="D242" t="s">
        <v>74</v>
      </c>
      <c r="E242" t="s">
        <v>80</v>
      </c>
      <c r="F242" t="s">
        <v>76</v>
      </c>
      <c r="G242">
        <v>10.3120340830611</v>
      </c>
      <c r="H242">
        <v>2E+20</v>
      </c>
      <c r="I242">
        <v>0</v>
      </c>
      <c r="J242">
        <v>20.402864519252599</v>
      </c>
      <c r="K242">
        <v>67</v>
      </c>
      <c r="L24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10.337635167199183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9.57099242159887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11.4763265650571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21.570142335238799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66.25</v>
      </c>
      <c r="W242" s="5">
        <f>IF((DiscreteStatsTable[[#This Row],[RepsRequested]]&gt;1),DiscreteStatsTable[[#This Row],[HalfWidth]],DiscreteStatsTable[[#This Row],[BatchMeansHalfWidth]])</f>
        <v>0.13628518892811467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27</v>
      </c>
      <c r="D243" t="s">
        <v>74</v>
      </c>
      <c r="E243" t="s">
        <v>81</v>
      </c>
      <c r="F243" t="s">
        <v>76</v>
      </c>
      <c r="G243">
        <v>19.138968290152999</v>
      </c>
      <c r="H243">
        <v>2E+20</v>
      </c>
      <c r="I243">
        <v>0</v>
      </c>
      <c r="J243">
        <v>68.680971320183502</v>
      </c>
      <c r="K243">
        <v>67</v>
      </c>
      <c r="L24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24.316625382005931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6.8823183028634016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12.417308363925899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43.004737472092501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118.512212682617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66.25</v>
      </c>
      <c r="W243" s="5">
        <f>IF((DiscreteStatsTable[[#This Row],[RepsRequested]]&gt;1),DiscreteStatsTable[[#This Row],[HalfWidth]],DiscreteStatsTable[[#This Row],[BatchMeansHalfWidth]])</f>
        <v>2.2010721758163658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28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63</v>
      </c>
      <c r="L24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66.25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28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63</v>
      </c>
      <c r="L24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66.25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28</v>
      </c>
      <c r="D246" t="s">
        <v>74</v>
      </c>
      <c r="E246" t="s">
        <v>78</v>
      </c>
      <c r="F246" t="s">
        <v>76</v>
      </c>
      <c r="G246">
        <v>45.36619986665</v>
      </c>
      <c r="H246">
        <v>2E+20</v>
      </c>
      <c r="I246">
        <v>0</v>
      </c>
      <c r="J246">
        <v>115.052853227773</v>
      </c>
      <c r="K246">
        <v>63</v>
      </c>
      <c r="L24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34.654260549205119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7.0836652736050665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22.316251643751801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54.481064037149501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135.81902063368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66.25</v>
      </c>
      <c r="W246" s="5">
        <f>IF((DiscreteStatsTable[[#This Row],[RepsRequested]]&gt;1),DiscreteStatsTable[[#This Row],[HalfWidth]],DiscreteStatsTable[[#This Row],[BatchMeansHalfWidth]])</f>
        <v>2.2654660610570421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28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63</v>
      </c>
      <c r="L24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66.25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28</v>
      </c>
      <c r="D248" t="s">
        <v>74</v>
      </c>
      <c r="E248" t="s">
        <v>80</v>
      </c>
      <c r="F248" t="s">
        <v>76</v>
      </c>
      <c r="G248">
        <v>10.7525024377326</v>
      </c>
      <c r="H248">
        <v>2E+20</v>
      </c>
      <c r="I248">
        <v>0</v>
      </c>
      <c r="J248">
        <v>20.1334731973798</v>
      </c>
      <c r="K248">
        <v>63</v>
      </c>
      <c r="L24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10.337635167199183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9.57099242159887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11.4763265650571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21.570142335238799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66.25</v>
      </c>
      <c r="W248" s="5">
        <f>IF((DiscreteStatsTable[[#This Row],[RepsRequested]]&gt;1),DiscreteStatsTable[[#This Row],[HalfWidth]],DiscreteStatsTable[[#This Row],[BatchMeansHalfWidth]])</f>
        <v>0.13628518892811467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28</v>
      </c>
      <c r="D249" t="s">
        <v>74</v>
      </c>
      <c r="E249" t="s">
        <v>81</v>
      </c>
      <c r="F249" t="s">
        <v>76</v>
      </c>
      <c r="G249">
        <v>34.613697428917398</v>
      </c>
      <c r="H249">
        <v>2E+20</v>
      </c>
      <c r="I249">
        <v>0</v>
      </c>
      <c r="J249">
        <v>97.6042685218668</v>
      </c>
      <c r="K249">
        <v>63</v>
      </c>
      <c r="L24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24.316625382005931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6.8823183028634016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12.417308363925899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43.004737472092501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118.512212682617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66.25</v>
      </c>
      <c r="W249" s="5">
        <f>IF((DiscreteStatsTable[[#This Row],[RepsRequested]]&gt;1),DiscreteStatsTable[[#This Row],[HalfWidth]],DiscreteStatsTable[[#This Row],[BatchMeansHalfWidth]])</f>
        <v>2.2010721758163658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29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64</v>
      </c>
      <c r="L25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66.25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29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64</v>
      </c>
      <c r="L25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66.25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29</v>
      </c>
      <c r="D252" t="s">
        <v>74</v>
      </c>
      <c r="E252" t="s">
        <v>78</v>
      </c>
      <c r="F252" t="s">
        <v>76</v>
      </c>
      <c r="G252">
        <v>30.953388577480599</v>
      </c>
      <c r="H252">
        <v>2E+20</v>
      </c>
      <c r="I252">
        <v>0</v>
      </c>
      <c r="J252">
        <v>95.890433792587999</v>
      </c>
      <c r="K252">
        <v>64</v>
      </c>
      <c r="L25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34.654260549205119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7.0836652736050665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22.316251643751801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54.481064037149501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135.81902063368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66.25</v>
      </c>
      <c r="W252" s="5">
        <f>IF((DiscreteStatsTable[[#This Row],[RepsRequested]]&gt;1),DiscreteStatsTable[[#This Row],[HalfWidth]],DiscreteStatsTable[[#This Row],[BatchMeansHalfWidth]])</f>
        <v>2.2654660610570421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29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64</v>
      </c>
      <c r="L25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66.25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29</v>
      </c>
      <c r="D254" t="s">
        <v>74</v>
      </c>
      <c r="E254" t="s">
        <v>80</v>
      </c>
      <c r="F254" t="s">
        <v>76</v>
      </c>
      <c r="G254">
        <v>10.5837826874209</v>
      </c>
      <c r="H254">
        <v>2E+20</v>
      </c>
      <c r="I254">
        <v>0</v>
      </c>
      <c r="J254">
        <v>20.242734680121199</v>
      </c>
      <c r="K254">
        <v>64</v>
      </c>
      <c r="L25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10.337635167199183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9.57099242159887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11.4763265650571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21.570142335238799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66.25</v>
      </c>
      <c r="W254" s="5">
        <f>IF((DiscreteStatsTable[[#This Row],[RepsRequested]]&gt;1),DiscreteStatsTable[[#This Row],[HalfWidth]],DiscreteStatsTable[[#This Row],[BatchMeansHalfWidth]])</f>
        <v>0.13628518892811467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29</v>
      </c>
      <c r="D255" t="s">
        <v>74</v>
      </c>
      <c r="E255" t="s">
        <v>81</v>
      </c>
      <c r="F255" t="s">
        <v>76</v>
      </c>
      <c r="G255">
        <v>20.369605890059699</v>
      </c>
      <c r="H255">
        <v>2E+20</v>
      </c>
      <c r="I255">
        <v>0</v>
      </c>
      <c r="J255">
        <v>78.660388161575099</v>
      </c>
      <c r="K255">
        <v>64</v>
      </c>
      <c r="L25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24.316625382005931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6.8823183028634016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12.417308363925899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43.004737472092501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118.512212682617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66.25</v>
      </c>
      <c r="W255" s="5">
        <f>IF((DiscreteStatsTable[[#This Row],[RepsRequested]]&gt;1),DiscreteStatsTable[[#This Row],[HalfWidth]],DiscreteStatsTable[[#This Row],[BatchMeansHalfWidth]])</f>
        <v>2.2010721758163658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30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64</v>
      </c>
      <c r="L25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66.25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30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64</v>
      </c>
      <c r="L25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66.25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30</v>
      </c>
      <c r="D258" t="s">
        <v>74</v>
      </c>
      <c r="E258" t="s">
        <v>78</v>
      </c>
      <c r="F258" t="s">
        <v>76</v>
      </c>
      <c r="G258">
        <v>24.8526558659057</v>
      </c>
      <c r="H258">
        <v>2E+20</v>
      </c>
      <c r="I258">
        <v>0</v>
      </c>
      <c r="J258">
        <v>71.597952686773993</v>
      </c>
      <c r="K258">
        <v>64</v>
      </c>
      <c r="L25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34.654260549205119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7.0836652736050665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22.316251643751801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54.481064037149501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135.81902063368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66.25</v>
      </c>
      <c r="W258" s="5">
        <f>IF((DiscreteStatsTable[[#This Row],[RepsRequested]]&gt;1),DiscreteStatsTable[[#This Row],[HalfWidth]],DiscreteStatsTable[[#This Row],[BatchMeansHalfWidth]])</f>
        <v>2.2654660610570421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30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64</v>
      </c>
      <c r="L25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66.25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30</v>
      </c>
      <c r="D260" t="s">
        <v>74</v>
      </c>
      <c r="E260" t="s">
        <v>80</v>
      </c>
      <c r="F260" t="s">
        <v>76</v>
      </c>
      <c r="G260">
        <v>10.2361552949339</v>
      </c>
      <c r="H260">
        <v>2E+20</v>
      </c>
      <c r="I260">
        <v>0</v>
      </c>
      <c r="J260">
        <v>20.601520780412802</v>
      </c>
      <c r="K260">
        <v>64</v>
      </c>
      <c r="L26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10.337635167199183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9.57099242159887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11.4763265650571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21.570142335238799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66.25</v>
      </c>
      <c r="W260" s="5">
        <f>IF((DiscreteStatsTable[[#This Row],[RepsRequested]]&gt;1),DiscreteStatsTable[[#This Row],[HalfWidth]],DiscreteStatsTable[[#This Row],[BatchMeansHalfWidth]])</f>
        <v>0.13628518892811467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30</v>
      </c>
      <c r="D261" t="s">
        <v>74</v>
      </c>
      <c r="E261" t="s">
        <v>81</v>
      </c>
      <c r="F261" t="s">
        <v>76</v>
      </c>
      <c r="G261">
        <v>14.6165005709718</v>
      </c>
      <c r="H261">
        <v>2E+20</v>
      </c>
      <c r="I261">
        <v>0</v>
      </c>
      <c r="J261">
        <v>55.858948691364603</v>
      </c>
      <c r="K261">
        <v>64</v>
      </c>
      <c r="L26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24.316625382005931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6.8823183028634016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12.417308363925899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43.004737472092501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118.512212682617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66.25</v>
      </c>
      <c r="W261" s="5">
        <f>IF((DiscreteStatsTable[[#This Row],[RepsRequested]]&gt;1),DiscreteStatsTable[[#This Row],[HalfWidth]],DiscreteStatsTable[[#This Row],[BatchMeansHalfWidth]])</f>
        <v>2.2010721758163658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31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65</v>
      </c>
      <c r="L26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66.25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31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65</v>
      </c>
      <c r="L26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66.25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31</v>
      </c>
      <c r="D264" t="s">
        <v>74</v>
      </c>
      <c r="E264" t="s">
        <v>78</v>
      </c>
      <c r="F264" t="s">
        <v>76</v>
      </c>
      <c r="G264">
        <v>22.316251643751801</v>
      </c>
      <c r="H264">
        <v>2E+20</v>
      </c>
      <c r="I264">
        <v>0</v>
      </c>
      <c r="J264">
        <v>63.9021699443337</v>
      </c>
      <c r="K264">
        <v>65</v>
      </c>
      <c r="L26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34.654260549205119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7.0836652736050665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22.316251643751801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54.481064037149501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135.81902063368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66.25</v>
      </c>
      <c r="W264" s="5">
        <f>IF((DiscreteStatsTable[[#This Row],[RepsRequested]]&gt;1),DiscreteStatsTable[[#This Row],[HalfWidth]],DiscreteStatsTable[[#This Row],[BatchMeansHalfWidth]])</f>
        <v>2.2654660610570421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31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65</v>
      </c>
      <c r="L26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66.25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31</v>
      </c>
      <c r="D266" t="s">
        <v>74</v>
      </c>
      <c r="E266" t="s">
        <v>80</v>
      </c>
      <c r="F266" t="s">
        <v>76</v>
      </c>
      <c r="G266">
        <v>9.8989432798258594</v>
      </c>
      <c r="H266">
        <v>2E+20</v>
      </c>
      <c r="I266">
        <v>0</v>
      </c>
      <c r="J266">
        <v>19.296292375561801</v>
      </c>
      <c r="K266">
        <v>65</v>
      </c>
      <c r="L26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10.337635167199183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9.57099242159887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11.4763265650571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21.570142335238799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66.25</v>
      </c>
      <c r="W266" s="5">
        <f>IF((DiscreteStatsTable[[#This Row],[RepsRequested]]&gt;1),DiscreteStatsTable[[#This Row],[HalfWidth]],DiscreteStatsTable[[#This Row],[BatchMeansHalfWidth]])</f>
        <v>0.13628518892811467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31</v>
      </c>
      <c r="D267" t="s">
        <v>74</v>
      </c>
      <c r="E267" t="s">
        <v>81</v>
      </c>
      <c r="F267" t="s">
        <v>76</v>
      </c>
      <c r="G267">
        <v>12.417308363925899</v>
      </c>
      <c r="H267">
        <v>2E+20</v>
      </c>
      <c r="I267">
        <v>0</v>
      </c>
      <c r="J267">
        <v>44.960534655411799</v>
      </c>
      <c r="K267">
        <v>65</v>
      </c>
      <c r="L26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24.316625382005931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6.8823183028634016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12.417308363925899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43.004737472092501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118.512212682617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66.25</v>
      </c>
      <c r="W267" s="5">
        <f>IF((DiscreteStatsTable[[#This Row],[RepsRequested]]&gt;1),DiscreteStatsTable[[#This Row],[HalfWidth]],DiscreteStatsTable[[#This Row],[BatchMeansHalfWidth]])</f>
        <v>2.2010721758163658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32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62</v>
      </c>
      <c r="L26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66.25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32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62</v>
      </c>
      <c r="L26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66.25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32</v>
      </c>
      <c r="D270" t="s">
        <v>74</v>
      </c>
      <c r="E270" t="s">
        <v>78</v>
      </c>
      <c r="F270" t="s">
        <v>76</v>
      </c>
      <c r="G270">
        <v>40.836985976882303</v>
      </c>
      <c r="H270">
        <v>2E+20</v>
      </c>
      <c r="I270">
        <v>0</v>
      </c>
      <c r="J270">
        <v>109.416830937165</v>
      </c>
      <c r="K270">
        <v>62</v>
      </c>
      <c r="L27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34.654260549205119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7.0836652736050665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22.316251643751801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54.481064037149501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135.81902063368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66.25</v>
      </c>
      <c r="W270" s="5">
        <f>IF((DiscreteStatsTable[[#This Row],[RepsRequested]]&gt;1),DiscreteStatsTable[[#This Row],[HalfWidth]],DiscreteStatsTable[[#This Row],[BatchMeansHalfWidth]])</f>
        <v>2.2654660610570421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32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62</v>
      </c>
      <c r="L27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66.25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32</v>
      </c>
      <c r="D272" t="s">
        <v>74</v>
      </c>
      <c r="E272" t="s">
        <v>80</v>
      </c>
      <c r="F272" t="s">
        <v>76</v>
      </c>
      <c r="G272">
        <v>10.5850469604731</v>
      </c>
      <c r="H272">
        <v>2E+20</v>
      </c>
      <c r="I272">
        <v>0</v>
      </c>
      <c r="J272">
        <v>20.4617042806508</v>
      </c>
      <c r="K272">
        <v>62</v>
      </c>
      <c r="L27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10.337635167199183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9.57099242159887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11.4763265650571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21.570142335238799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66.25</v>
      </c>
      <c r="W272" s="5">
        <f>IF((DiscreteStatsTable[[#This Row],[RepsRequested]]&gt;1),DiscreteStatsTable[[#This Row],[HalfWidth]],DiscreteStatsTable[[#This Row],[BatchMeansHalfWidth]])</f>
        <v>0.13628518892811467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32</v>
      </c>
      <c r="D273" t="s">
        <v>74</v>
      </c>
      <c r="E273" t="s">
        <v>81</v>
      </c>
      <c r="F273" t="s">
        <v>76</v>
      </c>
      <c r="G273">
        <v>30.251939016409199</v>
      </c>
      <c r="H273">
        <v>2E+20</v>
      </c>
      <c r="I273">
        <v>0</v>
      </c>
      <c r="J273">
        <v>91.8072323359103</v>
      </c>
      <c r="K273">
        <v>62</v>
      </c>
      <c r="L27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24.316625382005931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6.8823183028634016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12.417308363925899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43.004737472092501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118.512212682617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66.25</v>
      </c>
      <c r="W273" s="5">
        <f>IF((DiscreteStatsTable[[#This Row],[RepsRequested]]&gt;1),DiscreteStatsTable[[#This Row],[HalfWidth]],DiscreteStatsTable[[#This Row],[BatchMeansHalfWidth]])</f>
        <v>2.2010721758163658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33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71</v>
      </c>
      <c r="L27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66.25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33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71</v>
      </c>
      <c r="L27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66.25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33</v>
      </c>
      <c r="D276" t="s">
        <v>74</v>
      </c>
      <c r="E276" t="s">
        <v>78</v>
      </c>
      <c r="F276" t="s">
        <v>76</v>
      </c>
      <c r="G276">
        <v>31.839328629621001</v>
      </c>
      <c r="H276">
        <v>2E+20</v>
      </c>
      <c r="I276">
        <v>0</v>
      </c>
      <c r="J276">
        <v>80.433542214369695</v>
      </c>
      <c r="K276">
        <v>71</v>
      </c>
      <c r="L27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34.654260549205119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7.0836652736050665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22.316251643751801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54.481064037149501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135.81902063368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66.25</v>
      </c>
      <c r="W276" s="5">
        <f>IF((DiscreteStatsTable[[#This Row],[RepsRequested]]&gt;1),DiscreteStatsTable[[#This Row],[HalfWidth]],DiscreteStatsTable[[#This Row],[BatchMeansHalfWidth]])</f>
        <v>2.2654660610570421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33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71</v>
      </c>
      <c r="L27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66.25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33</v>
      </c>
      <c r="D278" t="s">
        <v>74</v>
      </c>
      <c r="E278" t="s">
        <v>80</v>
      </c>
      <c r="F278" t="s">
        <v>76</v>
      </c>
      <c r="G278">
        <v>9.8246372194390492</v>
      </c>
      <c r="H278">
        <v>2E+20</v>
      </c>
      <c r="I278">
        <v>0</v>
      </c>
      <c r="J278">
        <v>20.647761037563601</v>
      </c>
      <c r="K278">
        <v>71</v>
      </c>
      <c r="L27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10.337635167199183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9.57099242159887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11.4763265650571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21.570142335238799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66.25</v>
      </c>
      <c r="W278" s="5">
        <f>IF((DiscreteStatsTable[[#This Row],[RepsRequested]]&gt;1),DiscreteStatsTable[[#This Row],[HalfWidth]],DiscreteStatsTable[[#This Row],[BatchMeansHalfWidth]])</f>
        <v>0.13628518892811467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33</v>
      </c>
      <c r="D279" t="s">
        <v>74</v>
      </c>
      <c r="E279" t="s">
        <v>81</v>
      </c>
      <c r="F279" t="s">
        <v>76</v>
      </c>
      <c r="G279">
        <v>22.014691410181999</v>
      </c>
      <c r="H279">
        <v>2E+20</v>
      </c>
      <c r="I279">
        <v>0</v>
      </c>
      <c r="J279">
        <v>62.640607491498997</v>
      </c>
      <c r="K279">
        <v>71</v>
      </c>
      <c r="L27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24.316625382005931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6.8823183028634016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12.417308363925899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43.004737472092501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118.512212682617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66.25</v>
      </c>
      <c r="W279" s="5">
        <f>IF((DiscreteStatsTable[[#This Row],[RepsRequested]]&gt;1),DiscreteStatsTable[[#This Row],[HalfWidth]],DiscreteStatsTable[[#This Row],[BatchMeansHalfWidth]])</f>
        <v>2.2010721758163658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34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67</v>
      </c>
      <c r="L28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66.25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34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67</v>
      </c>
      <c r="L28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66.25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34</v>
      </c>
      <c r="D282" t="s">
        <v>74</v>
      </c>
      <c r="E282" t="s">
        <v>78</v>
      </c>
      <c r="F282" t="s">
        <v>76</v>
      </c>
      <c r="G282">
        <v>38.348818409612498</v>
      </c>
      <c r="H282">
        <v>2E+20</v>
      </c>
      <c r="I282">
        <v>0</v>
      </c>
      <c r="J282">
        <v>99.671918744536598</v>
      </c>
      <c r="K282">
        <v>67</v>
      </c>
      <c r="L28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34.654260549205119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7.0836652736050665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22.316251643751801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54.481064037149501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135.81902063368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66.25</v>
      </c>
      <c r="W282" s="5">
        <f>IF((DiscreteStatsTable[[#This Row],[RepsRequested]]&gt;1),DiscreteStatsTable[[#This Row],[HalfWidth]],DiscreteStatsTable[[#This Row],[BatchMeansHalfWidth]])</f>
        <v>2.2654660610570421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34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67</v>
      </c>
      <c r="L28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66.25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34</v>
      </c>
      <c r="D284" t="s">
        <v>74</v>
      </c>
      <c r="E284" t="s">
        <v>80</v>
      </c>
      <c r="F284" t="s">
        <v>76</v>
      </c>
      <c r="G284">
        <v>10.047062591773299</v>
      </c>
      <c r="H284">
        <v>2E+20</v>
      </c>
      <c r="I284">
        <v>0</v>
      </c>
      <c r="J284">
        <v>20.109719211984299</v>
      </c>
      <c r="K284">
        <v>67</v>
      </c>
      <c r="L28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10.337635167199183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9.57099242159887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11.4763265650571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21.570142335238799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66.25</v>
      </c>
      <c r="W284" s="5">
        <f>IF((DiscreteStatsTable[[#This Row],[RepsRequested]]&gt;1),DiscreteStatsTable[[#This Row],[HalfWidth]],DiscreteStatsTable[[#This Row],[BatchMeansHalfWidth]])</f>
        <v>0.13628518892811467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34</v>
      </c>
      <c r="D285" t="s">
        <v>74</v>
      </c>
      <c r="E285" t="s">
        <v>81</v>
      </c>
      <c r="F285" t="s">
        <v>76</v>
      </c>
      <c r="G285">
        <v>28.301755817839201</v>
      </c>
      <c r="H285">
        <v>2E+20</v>
      </c>
      <c r="I285">
        <v>0</v>
      </c>
      <c r="J285">
        <v>82.722977139709997</v>
      </c>
      <c r="K285">
        <v>67</v>
      </c>
      <c r="L28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24.316625382005931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6.8823183028634016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12.417308363925899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43.004737472092501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118.512212682617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66.25</v>
      </c>
      <c r="W285" s="5">
        <f>IF((DiscreteStatsTable[[#This Row],[RepsRequested]]&gt;1),DiscreteStatsTable[[#This Row],[HalfWidth]],DiscreteStatsTable[[#This Row],[BatchMeansHalfWidth]])</f>
        <v>2.2010721758163658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35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64</v>
      </c>
      <c r="L28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66.25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35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64</v>
      </c>
      <c r="L28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66.25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35</v>
      </c>
      <c r="D288" t="s">
        <v>74</v>
      </c>
      <c r="E288" t="s">
        <v>78</v>
      </c>
      <c r="F288" t="s">
        <v>76</v>
      </c>
      <c r="G288">
        <v>45.779435527026997</v>
      </c>
      <c r="H288">
        <v>2E+20</v>
      </c>
      <c r="I288">
        <v>0</v>
      </c>
      <c r="J288">
        <v>115.679197133084</v>
      </c>
      <c r="K288">
        <v>64</v>
      </c>
      <c r="L28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34.654260549205119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7.0836652736050665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22.316251643751801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54.481064037149501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135.81902063368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66.25</v>
      </c>
      <c r="W288" s="5">
        <f>IF((DiscreteStatsTable[[#This Row],[RepsRequested]]&gt;1),DiscreteStatsTable[[#This Row],[HalfWidth]],DiscreteStatsTable[[#This Row],[BatchMeansHalfWidth]])</f>
        <v>2.2654660610570421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35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64</v>
      </c>
      <c r="L28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66.25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35</v>
      </c>
      <c r="D290" t="s">
        <v>74</v>
      </c>
      <c r="E290" t="s">
        <v>80</v>
      </c>
      <c r="F290" t="s">
        <v>76</v>
      </c>
      <c r="G290">
        <v>10.830455615008701</v>
      </c>
      <c r="H290">
        <v>2E+20</v>
      </c>
      <c r="I290">
        <v>0</v>
      </c>
      <c r="J290">
        <v>20.153339928691899</v>
      </c>
      <c r="K290">
        <v>64</v>
      </c>
      <c r="L29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10.337635167199183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9.57099242159887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11.4763265650571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21.570142335238799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66.25</v>
      </c>
      <c r="W290" s="5">
        <f>IF((DiscreteStatsTable[[#This Row],[RepsRequested]]&gt;1),DiscreteStatsTable[[#This Row],[HalfWidth]],DiscreteStatsTable[[#This Row],[BatchMeansHalfWidth]])</f>
        <v>0.13628518892811467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35</v>
      </c>
      <c r="D291" t="s">
        <v>74</v>
      </c>
      <c r="E291" t="s">
        <v>81</v>
      </c>
      <c r="F291" t="s">
        <v>76</v>
      </c>
      <c r="G291">
        <v>34.948979912018302</v>
      </c>
      <c r="H291">
        <v>2E+20</v>
      </c>
      <c r="I291">
        <v>0</v>
      </c>
      <c r="J291">
        <v>97.100931850465898</v>
      </c>
      <c r="K291">
        <v>64</v>
      </c>
      <c r="L29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24.316625382005931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6.8823183028634016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12.417308363925899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43.004737472092501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118.512212682617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66.25</v>
      </c>
      <c r="W291" s="5">
        <f>IF((DiscreteStatsTable[[#This Row],[RepsRequested]]&gt;1),DiscreteStatsTable[[#This Row],[HalfWidth]],DiscreteStatsTable[[#This Row],[BatchMeansHalfWidth]])</f>
        <v>2.2010721758163658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36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70</v>
      </c>
      <c r="L29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66.25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36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70</v>
      </c>
      <c r="L29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66.25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36</v>
      </c>
      <c r="D294" t="s">
        <v>74</v>
      </c>
      <c r="E294" t="s">
        <v>78</v>
      </c>
      <c r="F294" t="s">
        <v>76</v>
      </c>
      <c r="G294">
        <v>31.5957805537066</v>
      </c>
      <c r="H294">
        <v>2E+20</v>
      </c>
      <c r="I294">
        <v>0</v>
      </c>
      <c r="J294">
        <v>107.10604701896</v>
      </c>
      <c r="K294">
        <v>70</v>
      </c>
      <c r="L29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34.654260549205119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7.0836652736050665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22.316251643751801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54.481064037149501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135.81902063368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66.25</v>
      </c>
      <c r="W294" s="5">
        <f>IF((DiscreteStatsTable[[#This Row],[RepsRequested]]&gt;1),DiscreteStatsTable[[#This Row],[HalfWidth]],DiscreteStatsTable[[#This Row],[BatchMeansHalfWidth]])</f>
        <v>2.2654660610570421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36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70</v>
      </c>
      <c r="L29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66.25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36</v>
      </c>
      <c r="D296" t="s">
        <v>74</v>
      </c>
      <c r="E296" t="s">
        <v>80</v>
      </c>
      <c r="F296" t="s">
        <v>76</v>
      </c>
      <c r="G296">
        <v>10.0678855888395</v>
      </c>
      <c r="H296">
        <v>2E+20</v>
      </c>
      <c r="I296">
        <v>0</v>
      </c>
      <c r="J296">
        <v>21.013966697744198</v>
      </c>
      <c r="K296">
        <v>70</v>
      </c>
      <c r="L29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10.337635167199183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0.42613688931907767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9.57099242159887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11.4763265650571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21.570142335238799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66.25</v>
      </c>
      <c r="W296" s="5">
        <f>IF((DiscreteStatsTable[[#This Row],[RepsRequested]]&gt;1),DiscreteStatsTable[[#This Row],[HalfWidth]],DiscreteStatsTable[[#This Row],[BatchMeansHalfWidth]])</f>
        <v>0.13628518892811467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36</v>
      </c>
      <c r="D297" t="s">
        <v>74</v>
      </c>
      <c r="E297" t="s">
        <v>81</v>
      </c>
      <c r="F297" t="s">
        <v>76</v>
      </c>
      <c r="G297">
        <v>21.527894964867102</v>
      </c>
      <c r="H297">
        <v>2E+20</v>
      </c>
      <c r="I297">
        <v>0</v>
      </c>
      <c r="J297">
        <v>87.730313339794094</v>
      </c>
      <c r="K297">
        <v>70</v>
      </c>
      <c r="L29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24.316625382005931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6.8823183028634016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12.417308363925899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43.004737472092501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118.512212682617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66.25</v>
      </c>
      <c r="W297" s="5">
        <f>IF((DiscreteStatsTable[[#This Row],[RepsRequested]]&gt;1),DiscreteStatsTable[[#This Row],[HalfWidth]],DiscreteStatsTable[[#This Row],[BatchMeansHalfWidth]])</f>
        <v>2.2010721758163658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37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72</v>
      </c>
      <c r="L29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66.25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37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72</v>
      </c>
      <c r="L29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66.25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37</v>
      </c>
      <c r="D300" t="s">
        <v>74</v>
      </c>
      <c r="E300" t="s">
        <v>78</v>
      </c>
      <c r="F300" t="s">
        <v>76</v>
      </c>
      <c r="G300">
        <v>26.456672766930701</v>
      </c>
      <c r="H300">
        <v>2E+20</v>
      </c>
      <c r="I300">
        <v>0</v>
      </c>
      <c r="J300">
        <v>62.665739340753802</v>
      </c>
      <c r="K300">
        <v>72</v>
      </c>
      <c r="L30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34.654260549205119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7.0836652736050665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22.316251643751801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54.481064037149501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135.81902063368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66.25</v>
      </c>
      <c r="W300" s="5">
        <f>IF((DiscreteStatsTable[[#This Row],[RepsRequested]]&gt;1),DiscreteStatsTable[[#This Row],[HalfWidth]],DiscreteStatsTable[[#This Row],[BatchMeansHalfWidth]])</f>
        <v>2.2654660610570421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37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72</v>
      </c>
      <c r="L30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66.25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37</v>
      </c>
      <c r="D302" t="s">
        <v>74</v>
      </c>
      <c r="E302" t="s">
        <v>80</v>
      </c>
      <c r="F302" t="s">
        <v>76</v>
      </c>
      <c r="G302">
        <v>9.6570132047802897</v>
      </c>
      <c r="H302">
        <v>2E+20</v>
      </c>
      <c r="I302">
        <v>0</v>
      </c>
      <c r="J302">
        <v>20.905828147640399</v>
      </c>
      <c r="K302">
        <v>72</v>
      </c>
      <c r="L30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10.337635167199183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0.42613688931907767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9.57099242159887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11.4763265650571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21.570142335238799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66.25</v>
      </c>
      <c r="W302" s="5">
        <f>IF((DiscreteStatsTable[[#This Row],[RepsRequested]]&gt;1),DiscreteStatsTable[[#This Row],[HalfWidth]],DiscreteStatsTable[[#This Row],[BatchMeansHalfWidth]])</f>
        <v>0.13628518892811467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37</v>
      </c>
      <c r="D303" t="s">
        <v>74</v>
      </c>
      <c r="E303" t="s">
        <v>81</v>
      </c>
      <c r="F303" t="s">
        <v>76</v>
      </c>
      <c r="G303">
        <v>16.799659562150399</v>
      </c>
      <c r="H303">
        <v>2E+20</v>
      </c>
      <c r="I303">
        <v>0</v>
      </c>
      <c r="J303">
        <v>45.727349459622403</v>
      </c>
      <c r="K303">
        <v>72</v>
      </c>
      <c r="L30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24.316625382005931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6.8823183028634016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12.417308363925899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43.004737472092501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118.512212682617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66.25</v>
      </c>
      <c r="W303" s="5">
        <f>IF((DiscreteStatsTable[[#This Row],[RepsRequested]]&gt;1),DiscreteStatsTable[[#This Row],[HalfWidth]],DiscreteStatsTable[[#This Row],[BatchMeansHalfWidth]])</f>
        <v>2.2010721758163658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38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73</v>
      </c>
      <c r="L30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66.25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38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73</v>
      </c>
      <c r="L30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66.25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38</v>
      </c>
      <c r="D306" t="s">
        <v>74</v>
      </c>
      <c r="E306" t="s">
        <v>78</v>
      </c>
      <c r="F306" t="s">
        <v>76</v>
      </c>
      <c r="G306">
        <v>41.137461422763302</v>
      </c>
      <c r="H306">
        <v>2E+20</v>
      </c>
      <c r="I306">
        <v>0</v>
      </c>
      <c r="J306">
        <v>125.813240116457</v>
      </c>
      <c r="K306">
        <v>73</v>
      </c>
      <c r="L30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34.654260549205119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7.0836652736050665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22.316251643751801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54.481064037149501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135.81902063368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66.25</v>
      </c>
      <c r="W306" s="5">
        <f>IF((DiscreteStatsTable[[#This Row],[RepsRequested]]&gt;1),DiscreteStatsTable[[#This Row],[HalfWidth]],DiscreteStatsTable[[#This Row],[BatchMeansHalfWidth]])</f>
        <v>2.2654660610570421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38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73</v>
      </c>
      <c r="L30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66.25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38</v>
      </c>
      <c r="D308" t="s">
        <v>74</v>
      </c>
      <c r="E308" t="s">
        <v>80</v>
      </c>
      <c r="F308" t="s">
        <v>76</v>
      </c>
      <c r="G308">
        <v>9.57099242159887</v>
      </c>
      <c r="H308">
        <v>2E+20</v>
      </c>
      <c r="I308">
        <v>0</v>
      </c>
      <c r="J308">
        <v>19.924559415414699</v>
      </c>
      <c r="K308">
        <v>73</v>
      </c>
      <c r="L30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10.337635167199183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0.42613688931907767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9.57099242159887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11.4763265650571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21.570142335238799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66.25</v>
      </c>
      <c r="W308" s="5">
        <f>IF((DiscreteStatsTable[[#This Row],[RepsRequested]]&gt;1),DiscreteStatsTable[[#This Row],[HalfWidth]],DiscreteStatsTable[[#This Row],[BatchMeansHalfWidth]])</f>
        <v>0.13628518892811467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38</v>
      </c>
      <c r="D309" t="s">
        <v>74</v>
      </c>
      <c r="E309" t="s">
        <v>81</v>
      </c>
      <c r="F309" t="s">
        <v>76</v>
      </c>
      <c r="G309">
        <v>31.5664690011644</v>
      </c>
      <c r="H309">
        <v>2E+20</v>
      </c>
      <c r="I309">
        <v>0</v>
      </c>
      <c r="J309">
        <v>107.671378402785</v>
      </c>
      <c r="K309">
        <v>73</v>
      </c>
      <c r="L30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24.316625382005931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6.8823183028634016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12.417308363925899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43.004737472092501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118.512212682617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66.25</v>
      </c>
      <c r="W309" s="5">
        <f>IF((DiscreteStatsTable[[#This Row],[RepsRequested]]&gt;1),DiscreteStatsTable[[#This Row],[HalfWidth]],DiscreteStatsTable[[#This Row],[BatchMeansHalfWidth]])</f>
        <v>2.2010721758163658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39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68</v>
      </c>
      <c r="L31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66.25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39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68</v>
      </c>
      <c r="L31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66.25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39</v>
      </c>
      <c r="D312" t="s">
        <v>74</v>
      </c>
      <c r="E312" t="s">
        <v>78</v>
      </c>
      <c r="F312" t="s">
        <v>76</v>
      </c>
      <c r="G312">
        <v>27.400888853199099</v>
      </c>
      <c r="H312">
        <v>2E+20</v>
      </c>
      <c r="I312">
        <v>0</v>
      </c>
      <c r="J312">
        <v>67.043903705611399</v>
      </c>
      <c r="K312">
        <v>68</v>
      </c>
      <c r="L31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34.654260549205119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7.0836652736050665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22.316251643751801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54.481064037149501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135.81902063368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66.25</v>
      </c>
      <c r="W312" s="5">
        <f>IF((DiscreteStatsTable[[#This Row],[RepsRequested]]&gt;1),DiscreteStatsTable[[#This Row],[HalfWidth]],DiscreteStatsTable[[#This Row],[BatchMeansHalfWidth]])</f>
        <v>2.2654660610570421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39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68</v>
      </c>
      <c r="L31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66.25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39</v>
      </c>
      <c r="D314" t="s">
        <v>74</v>
      </c>
      <c r="E314" t="s">
        <v>80</v>
      </c>
      <c r="F314" t="s">
        <v>76</v>
      </c>
      <c r="G314">
        <v>10.052893507764599</v>
      </c>
      <c r="H314">
        <v>2E+20</v>
      </c>
      <c r="I314">
        <v>0</v>
      </c>
      <c r="J314">
        <v>19.412454752455702</v>
      </c>
      <c r="K314">
        <v>68</v>
      </c>
      <c r="L31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10.337635167199183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0.42613688931907767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9.57099242159887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11.4763265650571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21.570142335238799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66.25</v>
      </c>
      <c r="W314" s="5">
        <f>IF((DiscreteStatsTable[[#This Row],[RepsRequested]]&gt;1),DiscreteStatsTable[[#This Row],[HalfWidth]],DiscreteStatsTable[[#This Row],[BatchMeansHalfWidth]])</f>
        <v>0.13628518892811467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39</v>
      </c>
      <c r="D315" t="s">
        <v>74</v>
      </c>
      <c r="E315" t="s">
        <v>81</v>
      </c>
      <c r="F315" t="s">
        <v>76</v>
      </c>
      <c r="G315">
        <v>17.347995345434502</v>
      </c>
      <c r="H315">
        <v>2E+20</v>
      </c>
      <c r="I315">
        <v>0</v>
      </c>
      <c r="J315">
        <v>47.631448953155697</v>
      </c>
      <c r="K315">
        <v>68</v>
      </c>
      <c r="L31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24.316625382005931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6.8823183028634016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12.417308363925899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43.004737472092501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118.512212682617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66.25</v>
      </c>
      <c r="W315" s="5">
        <f>IF((DiscreteStatsTable[[#This Row],[RepsRequested]]&gt;1),DiscreteStatsTable[[#This Row],[HalfWidth]],DiscreteStatsTable[[#This Row],[BatchMeansHalfWidth]])</f>
        <v>2.2010721758163658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40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64</v>
      </c>
      <c r="L31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66.25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40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64</v>
      </c>
      <c r="L31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66.25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40</v>
      </c>
      <c r="D318" t="s">
        <v>74</v>
      </c>
      <c r="E318" t="s">
        <v>78</v>
      </c>
      <c r="F318" t="s">
        <v>76</v>
      </c>
      <c r="G318">
        <v>30.843258453903601</v>
      </c>
      <c r="H318">
        <v>2E+20</v>
      </c>
      <c r="I318">
        <v>0</v>
      </c>
      <c r="J318">
        <v>76.458524118467196</v>
      </c>
      <c r="K318">
        <v>64</v>
      </c>
      <c r="L31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34.654260549205119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7.0836652736050665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2.2654660610570421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22.316251643751801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54.481064037149501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135.81902063368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66.25</v>
      </c>
      <c r="W318" s="5">
        <f>IF((DiscreteStatsTable[[#This Row],[RepsRequested]]&gt;1),DiscreteStatsTable[[#This Row],[HalfWidth]],DiscreteStatsTable[[#This Row],[BatchMeansHalfWidth]])</f>
        <v>2.2654660610570421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40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64</v>
      </c>
      <c r="L31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66.25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40</v>
      </c>
      <c r="D320" t="s">
        <v>74</v>
      </c>
      <c r="E320" t="s">
        <v>80</v>
      </c>
      <c r="F320" t="s">
        <v>76</v>
      </c>
      <c r="G320">
        <v>10.7653348359589</v>
      </c>
      <c r="H320">
        <v>2E+20</v>
      </c>
      <c r="I320">
        <v>0</v>
      </c>
      <c r="J320">
        <v>20.375723782059801</v>
      </c>
      <c r="K320">
        <v>64</v>
      </c>
      <c r="L32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10.337635167199183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0.42613688931907767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0.13628518892811467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9.57099242159887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11.4763265650571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21.570142335238799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66.25</v>
      </c>
      <c r="W320" s="5">
        <f>IF((DiscreteStatsTable[[#This Row],[RepsRequested]]&gt;1),DiscreteStatsTable[[#This Row],[HalfWidth]],DiscreteStatsTable[[#This Row],[BatchMeansHalfWidth]])</f>
        <v>0.13628518892811467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40</v>
      </c>
      <c r="D321" t="s">
        <v>74</v>
      </c>
      <c r="E321" t="s">
        <v>81</v>
      </c>
      <c r="F321" t="s">
        <v>76</v>
      </c>
      <c r="G321">
        <v>20.077923617944698</v>
      </c>
      <c r="H321">
        <v>2E+20</v>
      </c>
      <c r="I321">
        <v>0</v>
      </c>
      <c r="J321">
        <v>59.738735724531502</v>
      </c>
      <c r="K321">
        <v>64</v>
      </c>
      <c r="L32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24.316625382005931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6.8823183028634016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2.2010721758163658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12.417308363925899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43.004737472092501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118.512212682617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66.25</v>
      </c>
      <c r="W321" s="5">
        <f>IF((DiscreteStatsTable[[#This Row],[RepsRequested]]&gt;1),DiscreteStatsTable[[#This Row],[HalfWidth]],DiscreteStatsTable[[#This Row],[BatchMeansHalfWidth]])</f>
        <v>2.2010721758163658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1</v>
      </c>
      <c r="D322" t="s">
        <v>82</v>
      </c>
      <c r="E322" t="s">
        <v>71</v>
      </c>
      <c r="F322" t="s">
        <v>72</v>
      </c>
      <c r="G322">
        <v>12.664703901869</v>
      </c>
      <c r="H322">
        <v>2E+20</v>
      </c>
      <c r="I322">
        <v>0</v>
      </c>
      <c r="J322">
        <v>23.348510356212199</v>
      </c>
      <c r="K322">
        <v>44</v>
      </c>
      <c r="L32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14.394765927850363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11.091251412608999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16.4814222147977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26.009837467326701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2" s="5">
        <f>IF((DiscreteStatsTable[[#This Row],[RepsRequested]]&gt;1),DiscreteStatsTable[[#This Row],[HalfWidth]],DiscreteStatsTable[[#This Row],[BatchMeansHalfWidth]])</f>
        <v>0.44353506923979402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</v>
      </c>
      <c r="D323" t="s">
        <v>82</v>
      </c>
      <c r="E323" t="s">
        <v>71</v>
      </c>
      <c r="F323" t="s">
        <v>72</v>
      </c>
      <c r="G323">
        <v>14.3448002426559</v>
      </c>
      <c r="H323">
        <v>2E+20</v>
      </c>
      <c r="I323">
        <v>0</v>
      </c>
      <c r="J323">
        <v>21.336118830150198</v>
      </c>
      <c r="K323">
        <v>46</v>
      </c>
      <c r="L32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14.394765927850363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11.091251412608999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16.4814222147977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26.009837467326701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3" s="5">
        <f>IF((DiscreteStatsTable[[#This Row],[RepsRequested]]&gt;1),DiscreteStatsTable[[#This Row],[HalfWidth]],DiscreteStatsTable[[#This Row],[BatchMeansHalfWidth]])</f>
        <v>0.44353506923979402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3</v>
      </c>
      <c r="D324" t="s">
        <v>82</v>
      </c>
      <c r="E324" t="s">
        <v>71</v>
      </c>
      <c r="F324" t="s">
        <v>72</v>
      </c>
      <c r="G324">
        <v>14.8374082189271</v>
      </c>
      <c r="H324">
        <v>2E+20</v>
      </c>
      <c r="I324">
        <v>0</v>
      </c>
      <c r="J324">
        <v>21.995598670564402</v>
      </c>
      <c r="K324">
        <v>47</v>
      </c>
      <c r="L32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14.394765927850363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11.091251412608999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16.4814222147977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26.009837467326701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4" s="5">
        <f>IF((DiscreteStatsTable[[#This Row],[RepsRequested]]&gt;1),DiscreteStatsTable[[#This Row],[HalfWidth]],DiscreteStatsTable[[#This Row],[BatchMeansHalfWidth]])</f>
        <v>0.44353506923979402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4</v>
      </c>
      <c r="D325" t="s">
        <v>82</v>
      </c>
      <c r="E325" t="s">
        <v>71</v>
      </c>
      <c r="F325" t="s">
        <v>72</v>
      </c>
      <c r="G325">
        <v>16.290782998527799</v>
      </c>
      <c r="H325">
        <v>2E+20</v>
      </c>
      <c r="I325">
        <v>0</v>
      </c>
      <c r="J325">
        <v>24.238396568991199</v>
      </c>
      <c r="K325">
        <v>44</v>
      </c>
      <c r="L32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14.394765927850363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11.091251412608999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16.4814222147977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26.009837467326701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5" s="5">
        <f>IF((DiscreteStatsTable[[#This Row],[RepsRequested]]&gt;1),DiscreteStatsTable[[#This Row],[HalfWidth]],DiscreteStatsTable[[#This Row],[BatchMeansHalfWidth]])</f>
        <v>0.44353506923979402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5</v>
      </c>
      <c r="D326" t="s">
        <v>82</v>
      </c>
      <c r="E326" t="s">
        <v>71</v>
      </c>
      <c r="F326" t="s">
        <v>72</v>
      </c>
      <c r="G326">
        <v>15.513157220656399</v>
      </c>
      <c r="H326">
        <v>2E+20</v>
      </c>
      <c r="I326">
        <v>0</v>
      </c>
      <c r="J326">
        <v>22.487891886602199</v>
      </c>
      <c r="K326">
        <v>45</v>
      </c>
      <c r="L32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14.394765927850363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11.091251412608999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16.4814222147977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26.009837467326701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6" s="5">
        <f>IF((DiscreteStatsTable[[#This Row],[RepsRequested]]&gt;1),DiscreteStatsTable[[#This Row],[HalfWidth]],DiscreteStatsTable[[#This Row],[BatchMeansHalfWidth]])</f>
        <v>0.44353506923979402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6</v>
      </c>
      <c r="D327" t="s">
        <v>82</v>
      </c>
      <c r="E327" t="s">
        <v>71</v>
      </c>
      <c r="F327" t="s">
        <v>72</v>
      </c>
      <c r="G327">
        <v>15.718017852697299</v>
      </c>
      <c r="H327">
        <v>2E+20</v>
      </c>
      <c r="I327">
        <v>0</v>
      </c>
      <c r="J327">
        <v>22.281643633841099</v>
      </c>
      <c r="K327">
        <v>46</v>
      </c>
      <c r="L32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14.394765927850363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11.091251412608999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16.4814222147977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26.009837467326701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7" s="5">
        <f>IF((DiscreteStatsTable[[#This Row],[RepsRequested]]&gt;1),DiscreteStatsTable[[#This Row],[HalfWidth]],DiscreteStatsTable[[#This Row],[BatchMeansHalfWidth]])</f>
        <v>0.44353506923979402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7</v>
      </c>
      <c r="D328" t="s">
        <v>82</v>
      </c>
      <c r="E328" t="s">
        <v>71</v>
      </c>
      <c r="F328" t="s">
        <v>72</v>
      </c>
      <c r="G328">
        <v>13.331794587277701</v>
      </c>
      <c r="H328">
        <v>2E+20</v>
      </c>
      <c r="I328">
        <v>0</v>
      </c>
      <c r="J328">
        <v>23.089690278029501</v>
      </c>
      <c r="K328">
        <v>45</v>
      </c>
      <c r="L32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14.394765927850363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11.091251412608999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16.4814222147977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26.009837467326701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8" s="5">
        <f>IF((DiscreteStatsTable[[#This Row],[RepsRequested]]&gt;1),DiscreteStatsTable[[#This Row],[HalfWidth]],DiscreteStatsTable[[#This Row],[BatchMeansHalfWidth]])</f>
        <v>0.44353506923979402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8</v>
      </c>
      <c r="D329" t="s">
        <v>82</v>
      </c>
      <c r="E329" t="s">
        <v>71</v>
      </c>
      <c r="F329" t="s">
        <v>72</v>
      </c>
      <c r="G329">
        <v>15.3638602205758</v>
      </c>
      <c r="H329">
        <v>2E+20</v>
      </c>
      <c r="I329">
        <v>0</v>
      </c>
      <c r="J329">
        <v>23.833093149758099</v>
      </c>
      <c r="K329">
        <v>45</v>
      </c>
      <c r="L32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14.394765927850363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1.3868466279887646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11.091251412608999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16.4814222147977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26.009837467326701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29" s="5">
        <f>IF((DiscreteStatsTable[[#This Row],[RepsRequested]]&gt;1),DiscreteStatsTable[[#This Row],[HalfWidth]],DiscreteStatsTable[[#This Row],[BatchMeansHalfWidth]])</f>
        <v>0.44353506923979402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9</v>
      </c>
      <c r="D330" t="s">
        <v>82</v>
      </c>
      <c r="E330" t="s">
        <v>71</v>
      </c>
      <c r="F330" t="s">
        <v>72</v>
      </c>
      <c r="G330">
        <v>15.781342370962999</v>
      </c>
      <c r="H330">
        <v>2E+20</v>
      </c>
      <c r="I330">
        <v>0</v>
      </c>
      <c r="J330">
        <v>24.6102057181661</v>
      </c>
      <c r="K330">
        <v>45</v>
      </c>
      <c r="L33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14.394765927850363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11.091251412608999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16.4814222147977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26.009837467326701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0" s="5">
        <f>IF((DiscreteStatsTable[[#This Row],[RepsRequested]]&gt;1),DiscreteStatsTable[[#This Row],[HalfWidth]],DiscreteStatsTable[[#This Row],[BatchMeansHalfWidth]])</f>
        <v>0.44353506923979402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10</v>
      </c>
      <c r="D331" t="s">
        <v>82</v>
      </c>
      <c r="E331" t="s">
        <v>71</v>
      </c>
      <c r="F331" t="s">
        <v>72</v>
      </c>
      <c r="G331">
        <v>14.9012934872586</v>
      </c>
      <c r="H331">
        <v>2E+20</v>
      </c>
      <c r="I331">
        <v>0</v>
      </c>
      <c r="J331">
        <v>24.211258372615902</v>
      </c>
      <c r="K331">
        <v>47</v>
      </c>
      <c r="L33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14.394765927850363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11.091251412608999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16.4814222147977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26.009837467326701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1" s="5">
        <f>IF((DiscreteStatsTable[[#This Row],[RepsRequested]]&gt;1),DiscreteStatsTable[[#This Row],[HalfWidth]],DiscreteStatsTable[[#This Row],[BatchMeansHalfWidth]])</f>
        <v>0.44353506923979402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11</v>
      </c>
      <c r="D332" t="s">
        <v>82</v>
      </c>
      <c r="E332" t="s">
        <v>71</v>
      </c>
      <c r="F332" t="s">
        <v>72</v>
      </c>
      <c r="G332">
        <v>12.6715300501256</v>
      </c>
      <c r="H332">
        <v>2E+20</v>
      </c>
      <c r="I332">
        <v>0</v>
      </c>
      <c r="J332">
        <v>23.0406273702554</v>
      </c>
      <c r="K332">
        <v>45</v>
      </c>
      <c r="L33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14.394765927850363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11.091251412608999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16.4814222147977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26.009837467326701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2" s="5">
        <f>IF((DiscreteStatsTable[[#This Row],[RepsRequested]]&gt;1),DiscreteStatsTable[[#This Row],[HalfWidth]],DiscreteStatsTable[[#This Row],[BatchMeansHalfWidth]])</f>
        <v>0.44353506923979402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12</v>
      </c>
      <c r="D333" t="s">
        <v>82</v>
      </c>
      <c r="E333" t="s">
        <v>71</v>
      </c>
      <c r="F333" t="s">
        <v>72</v>
      </c>
      <c r="G333">
        <v>14.146082652305401</v>
      </c>
      <c r="H333">
        <v>2E+20</v>
      </c>
      <c r="I333">
        <v>0</v>
      </c>
      <c r="J333">
        <v>21.193024504393101</v>
      </c>
      <c r="K333">
        <v>46</v>
      </c>
      <c r="L33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14.394765927850363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11.091251412608999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16.4814222147977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26.009837467326701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3" s="5">
        <f>IF((DiscreteStatsTable[[#This Row],[RepsRequested]]&gt;1),DiscreteStatsTable[[#This Row],[HalfWidth]],DiscreteStatsTable[[#This Row],[BatchMeansHalfWidth]])</f>
        <v>0.44353506923979402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13</v>
      </c>
      <c r="D334" t="s">
        <v>82</v>
      </c>
      <c r="E334" t="s">
        <v>71</v>
      </c>
      <c r="F334" t="s">
        <v>72</v>
      </c>
      <c r="G334">
        <v>15.2047450543729</v>
      </c>
      <c r="H334">
        <v>2E+20</v>
      </c>
      <c r="I334">
        <v>0</v>
      </c>
      <c r="J334">
        <v>21.2206428086456</v>
      </c>
      <c r="K334">
        <v>47</v>
      </c>
      <c r="L33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14.394765927850363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11.091251412608999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16.4814222147977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26.009837467326701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4" s="5">
        <f>IF((DiscreteStatsTable[[#This Row],[RepsRequested]]&gt;1),DiscreteStatsTable[[#This Row],[HalfWidth]],DiscreteStatsTable[[#This Row],[BatchMeansHalfWidth]])</f>
        <v>0.44353506923979402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14</v>
      </c>
      <c r="D335" t="s">
        <v>82</v>
      </c>
      <c r="E335" t="s">
        <v>71</v>
      </c>
      <c r="F335" t="s">
        <v>72</v>
      </c>
      <c r="G335">
        <v>14.604279205600401</v>
      </c>
      <c r="H335">
        <v>2E+20</v>
      </c>
      <c r="I335">
        <v>0</v>
      </c>
      <c r="J335">
        <v>22.2480326848987</v>
      </c>
      <c r="K335">
        <v>48</v>
      </c>
      <c r="L33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14.394765927850363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11.091251412608999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16.4814222147977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26.009837467326701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5" s="5">
        <f>IF((DiscreteStatsTable[[#This Row],[RepsRequested]]&gt;1),DiscreteStatsTable[[#This Row],[HalfWidth]],DiscreteStatsTable[[#This Row],[BatchMeansHalfWidth]])</f>
        <v>0.44353506923979402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15</v>
      </c>
      <c r="D336" t="s">
        <v>82</v>
      </c>
      <c r="E336" t="s">
        <v>71</v>
      </c>
      <c r="F336" t="s">
        <v>72</v>
      </c>
      <c r="G336">
        <v>13.008280310870999</v>
      </c>
      <c r="H336">
        <v>2E+20</v>
      </c>
      <c r="I336">
        <v>0</v>
      </c>
      <c r="J336">
        <v>26.009837467326701</v>
      </c>
      <c r="K336">
        <v>43</v>
      </c>
      <c r="L33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14.394765927850363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11.091251412608999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16.4814222147977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26.009837467326701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6" s="5">
        <f>IF((DiscreteStatsTable[[#This Row],[RepsRequested]]&gt;1),DiscreteStatsTable[[#This Row],[HalfWidth]],DiscreteStatsTable[[#This Row],[BatchMeansHalfWidth]])</f>
        <v>0.44353506923979402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16</v>
      </c>
      <c r="D337" t="s">
        <v>82</v>
      </c>
      <c r="E337" t="s">
        <v>71</v>
      </c>
      <c r="F337" t="s">
        <v>72</v>
      </c>
      <c r="G337">
        <v>15.9754273673288</v>
      </c>
      <c r="H337">
        <v>2E+20</v>
      </c>
      <c r="I337">
        <v>0</v>
      </c>
      <c r="J337">
        <v>23.287025363783702</v>
      </c>
      <c r="K337">
        <v>46</v>
      </c>
      <c r="L33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14.394765927850363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11.091251412608999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16.4814222147977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26.009837467326701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7" s="5">
        <f>IF((DiscreteStatsTable[[#This Row],[RepsRequested]]&gt;1),DiscreteStatsTable[[#This Row],[HalfWidth]],DiscreteStatsTable[[#This Row],[BatchMeansHalfWidth]])</f>
        <v>0.44353506923979402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17</v>
      </c>
      <c r="D338" t="s">
        <v>82</v>
      </c>
      <c r="E338" t="s">
        <v>71</v>
      </c>
      <c r="F338" t="s">
        <v>72</v>
      </c>
      <c r="G338">
        <v>13.5157130005898</v>
      </c>
      <c r="H338">
        <v>2E+20</v>
      </c>
      <c r="I338">
        <v>0</v>
      </c>
      <c r="J338">
        <v>22.893827183806401</v>
      </c>
      <c r="K338">
        <v>44</v>
      </c>
      <c r="L33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14.394765927850363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11.091251412608999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16.4814222147977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26.009837467326701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8" s="5">
        <f>IF((DiscreteStatsTable[[#This Row],[RepsRequested]]&gt;1),DiscreteStatsTable[[#This Row],[HalfWidth]],DiscreteStatsTable[[#This Row],[BatchMeansHalfWidth]])</f>
        <v>0.44353506923979402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18</v>
      </c>
      <c r="D339" t="s">
        <v>82</v>
      </c>
      <c r="E339" t="s">
        <v>71</v>
      </c>
      <c r="F339" t="s">
        <v>72</v>
      </c>
      <c r="G339">
        <v>13.700354993575701</v>
      </c>
      <c r="H339">
        <v>2E+20</v>
      </c>
      <c r="I339">
        <v>0</v>
      </c>
      <c r="J339">
        <v>21.548889543362499</v>
      </c>
      <c r="K339">
        <v>44</v>
      </c>
      <c r="L33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14.394765927850363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1.3868466279887646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11.091251412608999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16.4814222147977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26.009837467326701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39" s="5">
        <f>IF((DiscreteStatsTable[[#This Row],[RepsRequested]]&gt;1),DiscreteStatsTable[[#This Row],[HalfWidth]],DiscreteStatsTable[[#This Row],[BatchMeansHalfWidth]])</f>
        <v>0.44353506923979402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19</v>
      </c>
      <c r="D340" t="s">
        <v>82</v>
      </c>
      <c r="E340" t="s">
        <v>71</v>
      </c>
      <c r="F340" t="s">
        <v>72</v>
      </c>
      <c r="G340">
        <v>13.0150367547622</v>
      </c>
      <c r="H340">
        <v>2E+20</v>
      </c>
      <c r="I340">
        <v>0</v>
      </c>
      <c r="J340">
        <v>21.826168646477502</v>
      </c>
      <c r="K340">
        <v>46</v>
      </c>
      <c r="L34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14.394765927850363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11.091251412608999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16.4814222147977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26.009837467326701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0" s="5">
        <f>IF((DiscreteStatsTable[[#This Row],[RepsRequested]]&gt;1),DiscreteStatsTable[[#This Row],[HalfWidth]],DiscreteStatsTable[[#This Row],[BatchMeansHalfWidth]])</f>
        <v>0.44353506923979402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20</v>
      </c>
      <c r="D341" t="s">
        <v>82</v>
      </c>
      <c r="E341" t="s">
        <v>71</v>
      </c>
      <c r="F341" t="s">
        <v>72</v>
      </c>
      <c r="G341">
        <v>15.6257232009965</v>
      </c>
      <c r="H341">
        <v>2E+20</v>
      </c>
      <c r="I341">
        <v>0</v>
      </c>
      <c r="J341">
        <v>23.527693684843101</v>
      </c>
      <c r="K341">
        <v>47</v>
      </c>
      <c r="L34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14.394765927850363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11.091251412608999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16.4814222147977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26.009837467326701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1" s="5">
        <f>IF((DiscreteStatsTable[[#This Row],[RepsRequested]]&gt;1),DiscreteStatsTable[[#This Row],[HalfWidth]],DiscreteStatsTable[[#This Row],[BatchMeansHalfWidth]])</f>
        <v>0.44353506923979402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21</v>
      </c>
      <c r="D342" t="s">
        <v>82</v>
      </c>
      <c r="E342" t="s">
        <v>71</v>
      </c>
      <c r="F342" t="s">
        <v>72</v>
      </c>
      <c r="G342">
        <v>14.4753042970728</v>
      </c>
      <c r="H342">
        <v>2E+20</v>
      </c>
      <c r="I342">
        <v>0</v>
      </c>
      <c r="J342">
        <v>23.714924143002001</v>
      </c>
      <c r="K342">
        <v>46</v>
      </c>
      <c r="L34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14.394765927850363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11.091251412608999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16.4814222147977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26.009837467326701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2" s="5">
        <f>IF((DiscreteStatsTable[[#This Row],[RepsRequested]]&gt;1),DiscreteStatsTable[[#This Row],[HalfWidth]],DiscreteStatsTable[[#This Row],[BatchMeansHalfWidth]])</f>
        <v>0.44353506923979402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22</v>
      </c>
      <c r="D343" t="s">
        <v>82</v>
      </c>
      <c r="E343" t="s">
        <v>71</v>
      </c>
      <c r="F343" t="s">
        <v>72</v>
      </c>
      <c r="G343">
        <v>15.0714863111127</v>
      </c>
      <c r="H343">
        <v>2E+20</v>
      </c>
      <c r="I343">
        <v>0</v>
      </c>
      <c r="J343">
        <v>23.651020417379101</v>
      </c>
      <c r="K343">
        <v>45</v>
      </c>
      <c r="L34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14.394765927850363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11.091251412608999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16.4814222147977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26.009837467326701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3" s="5">
        <f>IF((DiscreteStatsTable[[#This Row],[RepsRequested]]&gt;1),DiscreteStatsTable[[#This Row],[HalfWidth]],DiscreteStatsTable[[#This Row],[BatchMeansHalfWidth]])</f>
        <v>0.44353506923979402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23</v>
      </c>
      <c r="D344" t="s">
        <v>82</v>
      </c>
      <c r="E344" t="s">
        <v>71</v>
      </c>
      <c r="F344" t="s">
        <v>72</v>
      </c>
      <c r="G344">
        <v>15.4235066240705</v>
      </c>
      <c r="H344">
        <v>2E+20</v>
      </c>
      <c r="I344">
        <v>0</v>
      </c>
      <c r="J344">
        <v>23.245470311174699</v>
      </c>
      <c r="K344">
        <v>47</v>
      </c>
      <c r="L34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14.394765927850363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11.091251412608999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16.4814222147977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26.009837467326701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4" s="5">
        <f>IF((DiscreteStatsTable[[#This Row],[RepsRequested]]&gt;1),DiscreteStatsTable[[#This Row],[HalfWidth]],DiscreteStatsTable[[#This Row],[BatchMeansHalfWidth]])</f>
        <v>0.44353506923979402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24</v>
      </c>
      <c r="D345" t="s">
        <v>82</v>
      </c>
      <c r="E345" t="s">
        <v>71</v>
      </c>
      <c r="F345" t="s">
        <v>72</v>
      </c>
      <c r="G345">
        <v>11.5427686166725</v>
      </c>
      <c r="H345">
        <v>2E+20</v>
      </c>
      <c r="I345">
        <v>0</v>
      </c>
      <c r="J345">
        <v>21.745633123450101</v>
      </c>
      <c r="K345">
        <v>45</v>
      </c>
      <c r="L34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14.394765927850363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11.091251412608999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16.4814222147977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26.009837467326701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5" s="5">
        <f>IF((DiscreteStatsTable[[#This Row],[RepsRequested]]&gt;1),DiscreteStatsTable[[#This Row],[HalfWidth]],DiscreteStatsTable[[#This Row],[BatchMeansHalfWidth]])</f>
        <v>0.44353506923979402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25</v>
      </c>
      <c r="D346" t="s">
        <v>82</v>
      </c>
      <c r="E346" t="s">
        <v>71</v>
      </c>
      <c r="F346" t="s">
        <v>72</v>
      </c>
      <c r="G346">
        <v>14.830874286552</v>
      </c>
      <c r="H346">
        <v>2E+20</v>
      </c>
      <c r="I346">
        <v>0</v>
      </c>
      <c r="J346">
        <v>22.9825836336361</v>
      </c>
      <c r="K346">
        <v>46</v>
      </c>
      <c r="L34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14.394765927850363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11.091251412608999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16.4814222147977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26.009837467326701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6" s="5">
        <f>IF((DiscreteStatsTable[[#This Row],[RepsRequested]]&gt;1),DiscreteStatsTable[[#This Row],[HalfWidth]],DiscreteStatsTable[[#This Row],[BatchMeansHalfWidth]])</f>
        <v>0.44353506923979402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26</v>
      </c>
      <c r="D347" t="s">
        <v>82</v>
      </c>
      <c r="E347" t="s">
        <v>71</v>
      </c>
      <c r="F347" t="s">
        <v>72</v>
      </c>
      <c r="G347">
        <v>15.9195497455771</v>
      </c>
      <c r="H347">
        <v>2E+20</v>
      </c>
      <c r="I347">
        <v>0</v>
      </c>
      <c r="J347">
        <v>21.540902872361201</v>
      </c>
      <c r="K347">
        <v>45</v>
      </c>
      <c r="L34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14.394765927850363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11.091251412608999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16.4814222147977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26.009837467326701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7" s="5">
        <f>IF((DiscreteStatsTable[[#This Row],[RepsRequested]]&gt;1),DiscreteStatsTable[[#This Row],[HalfWidth]],DiscreteStatsTable[[#This Row],[BatchMeansHalfWidth]])</f>
        <v>0.44353506923979402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27</v>
      </c>
      <c r="D348" t="s">
        <v>82</v>
      </c>
      <c r="E348" t="s">
        <v>71</v>
      </c>
      <c r="F348" t="s">
        <v>72</v>
      </c>
      <c r="G348">
        <v>13.471740953640699</v>
      </c>
      <c r="H348">
        <v>2E+20</v>
      </c>
      <c r="I348">
        <v>0</v>
      </c>
      <c r="J348">
        <v>23.1755988326025</v>
      </c>
      <c r="K348">
        <v>45</v>
      </c>
      <c r="L34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14.394765927850363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11.091251412608999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16.4814222147977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26.009837467326701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8" s="5">
        <f>IF((DiscreteStatsTable[[#This Row],[RepsRequested]]&gt;1),DiscreteStatsTable[[#This Row],[HalfWidth]],DiscreteStatsTable[[#This Row],[BatchMeansHalfWidth]])</f>
        <v>0.44353506923979402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28</v>
      </c>
      <c r="D349" t="s">
        <v>82</v>
      </c>
      <c r="E349" t="s">
        <v>71</v>
      </c>
      <c r="F349" t="s">
        <v>72</v>
      </c>
      <c r="G349">
        <v>15.4924723374872</v>
      </c>
      <c r="H349">
        <v>2E+20</v>
      </c>
      <c r="I349">
        <v>0</v>
      </c>
      <c r="J349">
        <v>22.3045635404773</v>
      </c>
      <c r="K349">
        <v>46</v>
      </c>
      <c r="L34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14.394765927850363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1.3868466279887646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11.091251412608999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16.4814222147977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26.009837467326701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49" s="5">
        <f>IF((DiscreteStatsTable[[#This Row],[RepsRequested]]&gt;1),DiscreteStatsTable[[#This Row],[HalfWidth]],DiscreteStatsTable[[#This Row],[BatchMeansHalfWidth]])</f>
        <v>0.44353506923979402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29</v>
      </c>
      <c r="D350" t="s">
        <v>82</v>
      </c>
      <c r="E350" t="s">
        <v>71</v>
      </c>
      <c r="F350" t="s">
        <v>72</v>
      </c>
      <c r="G350">
        <v>12.887082354781301</v>
      </c>
      <c r="H350">
        <v>2E+20</v>
      </c>
      <c r="I350">
        <v>0</v>
      </c>
      <c r="J350">
        <v>23.143079170306901</v>
      </c>
      <c r="K350">
        <v>47</v>
      </c>
      <c r="L35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14.394765927850363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11.091251412608999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16.4814222147977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26.009837467326701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0" s="5">
        <f>IF((DiscreteStatsTable[[#This Row],[RepsRequested]]&gt;1),DiscreteStatsTable[[#This Row],[HalfWidth]],DiscreteStatsTable[[#This Row],[BatchMeansHalfWidth]])</f>
        <v>0.44353506923979402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30</v>
      </c>
      <c r="D351" t="s">
        <v>82</v>
      </c>
      <c r="E351" t="s">
        <v>71</v>
      </c>
      <c r="F351" t="s">
        <v>72</v>
      </c>
      <c r="G351">
        <v>11.4299262535996</v>
      </c>
      <c r="H351">
        <v>2E+20</v>
      </c>
      <c r="I351">
        <v>0</v>
      </c>
      <c r="J351">
        <v>22.561776539134001</v>
      </c>
      <c r="K351">
        <v>44</v>
      </c>
      <c r="L35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14.394765927850363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11.091251412608999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16.4814222147977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26.009837467326701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1" s="5">
        <f>IF((DiscreteStatsTable[[#This Row],[RepsRequested]]&gt;1),DiscreteStatsTable[[#This Row],[HalfWidth]],DiscreteStatsTable[[#This Row],[BatchMeansHalfWidth]])</f>
        <v>0.44353506923979402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69</v>
      </c>
      <c r="C352">
        <v>31</v>
      </c>
      <c r="D352" t="s">
        <v>82</v>
      </c>
      <c r="E352" t="s">
        <v>71</v>
      </c>
      <c r="F352" t="s">
        <v>72</v>
      </c>
      <c r="G352">
        <v>11.091251412608999</v>
      </c>
      <c r="H352">
        <v>2E+20</v>
      </c>
      <c r="I352">
        <v>0</v>
      </c>
      <c r="J352">
        <v>21.505566788837999</v>
      </c>
      <c r="K352">
        <v>44</v>
      </c>
      <c r="L35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14.394765927850363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11.091251412608999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16.4814222147977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26.009837467326701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2" s="5">
        <f>IF((DiscreteStatsTable[[#This Row],[RepsRequested]]&gt;1),DiscreteStatsTable[[#This Row],[HalfWidth]],DiscreteStatsTable[[#This Row],[BatchMeansHalfWidth]])</f>
        <v>0.44353506923979402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69</v>
      </c>
      <c r="C353">
        <v>32</v>
      </c>
      <c r="D353" t="s">
        <v>82</v>
      </c>
      <c r="E353" t="s">
        <v>71</v>
      </c>
      <c r="F353" t="s">
        <v>72</v>
      </c>
      <c r="G353">
        <v>15.6994828744232</v>
      </c>
      <c r="H353">
        <v>2E+20</v>
      </c>
      <c r="I353">
        <v>0</v>
      </c>
      <c r="J353">
        <v>22.241298173114401</v>
      </c>
      <c r="K353">
        <v>44</v>
      </c>
      <c r="L35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14.394765927850363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11.091251412608999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16.4814222147977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26.009837467326701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3" s="5">
        <f>IF((DiscreteStatsTable[[#This Row],[RepsRequested]]&gt;1),DiscreteStatsTable[[#This Row],[HalfWidth]],DiscreteStatsTable[[#This Row],[BatchMeansHalfWidth]])</f>
        <v>0.44353506923979402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69</v>
      </c>
      <c r="C354">
        <v>33</v>
      </c>
      <c r="D354" t="s">
        <v>82</v>
      </c>
      <c r="E354" t="s">
        <v>71</v>
      </c>
      <c r="F354" t="s">
        <v>72</v>
      </c>
      <c r="G354">
        <v>16.4814222147977</v>
      </c>
      <c r="H354">
        <v>2E+20</v>
      </c>
      <c r="I354">
        <v>0</v>
      </c>
      <c r="J354">
        <v>25.514206362252601</v>
      </c>
      <c r="K354">
        <v>45</v>
      </c>
      <c r="L35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14.394765927850363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11.091251412608999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16.4814222147977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26.009837467326701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4" s="5">
        <f>IF((DiscreteStatsTable[[#This Row],[RepsRequested]]&gt;1),DiscreteStatsTable[[#This Row],[HalfWidth]],DiscreteStatsTable[[#This Row],[BatchMeansHalfWidth]])</f>
        <v>0.44353506923979402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69</v>
      </c>
      <c r="C355">
        <v>34</v>
      </c>
      <c r="D355" t="s">
        <v>82</v>
      </c>
      <c r="E355" t="s">
        <v>71</v>
      </c>
      <c r="F355" t="s">
        <v>72</v>
      </c>
      <c r="G355">
        <v>15.498784583987501</v>
      </c>
      <c r="H355">
        <v>2E+20</v>
      </c>
      <c r="I355">
        <v>0</v>
      </c>
      <c r="J355">
        <v>23.1394154327248</v>
      </c>
      <c r="K355">
        <v>46</v>
      </c>
      <c r="L35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14.394765927850363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11.091251412608999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16.4814222147977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26.009837467326701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5" s="5">
        <f>IF((DiscreteStatsTable[[#This Row],[RepsRequested]]&gt;1),DiscreteStatsTable[[#This Row],[HalfWidth]],DiscreteStatsTable[[#This Row],[BatchMeansHalfWidth]])</f>
        <v>0.44353506923979402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69</v>
      </c>
      <c r="C356">
        <v>35</v>
      </c>
      <c r="D356" t="s">
        <v>82</v>
      </c>
      <c r="E356" t="s">
        <v>71</v>
      </c>
      <c r="F356" t="s">
        <v>72</v>
      </c>
      <c r="G356">
        <v>15.7748595649826</v>
      </c>
      <c r="H356">
        <v>2E+20</v>
      </c>
      <c r="I356">
        <v>0</v>
      </c>
      <c r="J356">
        <v>23.219643469419498</v>
      </c>
      <c r="K356">
        <v>46</v>
      </c>
      <c r="L35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14.394765927850363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11.091251412608999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16.4814222147977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26.009837467326701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6" s="5">
        <f>IF((DiscreteStatsTable[[#This Row],[RepsRequested]]&gt;1),DiscreteStatsTable[[#This Row],[HalfWidth]],DiscreteStatsTable[[#This Row],[BatchMeansHalfWidth]])</f>
        <v>0.44353506923979402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69</v>
      </c>
      <c r="C357">
        <v>36</v>
      </c>
      <c r="D357" t="s">
        <v>82</v>
      </c>
      <c r="E357" t="s">
        <v>71</v>
      </c>
      <c r="F357" t="s">
        <v>72</v>
      </c>
      <c r="G357">
        <v>13.118826081987599</v>
      </c>
      <c r="H357">
        <v>2E+20</v>
      </c>
      <c r="I357">
        <v>0</v>
      </c>
      <c r="J357">
        <v>23.753905844096799</v>
      </c>
      <c r="K357">
        <v>46</v>
      </c>
      <c r="L35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14.394765927850363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11.091251412608999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16.4814222147977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26.009837467326701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7" s="5">
        <f>IF((DiscreteStatsTable[[#This Row],[RepsRequested]]&gt;1),DiscreteStatsTable[[#This Row],[HalfWidth]],DiscreteStatsTable[[#This Row],[BatchMeansHalfWidth]])</f>
        <v>0.44353506923979402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69</v>
      </c>
      <c r="C358">
        <v>37</v>
      </c>
      <c r="D358" t="s">
        <v>82</v>
      </c>
      <c r="E358" t="s">
        <v>71</v>
      </c>
      <c r="F358" t="s">
        <v>72</v>
      </c>
      <c r="G358">
        <v>14.240748550575001</v>
      </c>
      <c r="H358">
        <v>2E+20</v>
      </c>
      <c r="I358">
        <v>0</v>
      </c>
      <c r="J358">
        <v>22.151798528410101</v>
      </c>
      <c r="K358">
        <v>47</v>
      </c>
      <c r="L35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14.394765927850363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11.091251412608999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16.4814222147977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26.009837467326701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8" s="5">
        <f>IF((DiscreteStatsTable[[#This Row],[RepsRequested]]&gt;1),DiscreteStatsTable[[#This Row],[HalfWidth]],DiscreteStatsTable[[#This Row],[BatchMeansHalfWidth]])</f>
        <v>0.44353506923979402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69</v>
      </c>
      <c r="C359">
        <v>38</v>
      </c>
      <c r="D359" t="s">
        <v>82</v>
      </c>
      <c r="E359" t="s">
        <v>71</v>
      </c>
      <c r="F359" t="s">
        <v>72</v>
      </c>
      <c r="G359">
        <v>15.1864408066269</v>
      </c>
      <c r="H359">
        <v>2E+20</v>
      </c>
      <c r="I359">
        <v>0</v>
      </c>
      <c r="J359">
        <v>22.15532174098</v>
      </c>
      <c r="K359">
        <v>48</v>
      </c>
      <c r="L35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14.394765927850363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1.3868466279887646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11.091251412608999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16.4814222147977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26.009837467326701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59" s="5">
        <f>IF((DiscreteStatsTable[[#This Row],[RepsRequested]]&gt;1),DiscreteStatsTable[[#This Row],[HalfWidth]],DiscreteStatsTable[[#This Row],[BatchMeansHalfWidth]])</f>
        <v>0.44353506923979402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69</v>
      </c>
      <c r="C360">
        <v>39</v>
      </c>
      <c r="D360" t="s">
        <v>82</v>
      </c>
      <c r="E360" t="s">
        <v>71</v>
      </c>
      <c r="F360" t="s">
        <v>72</v>
      </c>
      <c r="G360">
        <v>14.218027684002999</v>
      </c>
      <c r="H360">
        <v>2E+20</v>
      </c>
      <c r="I360">
        <v>0</v>
      </c>
      <c r="J360">
        <v>22.781009996569399</v>
      </c>
      <c r="K360">
        <v>46</v>
      </c>
      <c r="L36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14.394765927850363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1.3868466279887646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11.091251412608999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16.4814222147977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26.009837467326701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60" s="5">
        <f>IF((DiscreteStatsTable[[#This Row],[RepsRequested]]&gt;1),DiscreteStatsTable[[#This Row],[HalfWidth]],DiscreteStatsTable[[#This Row],[BatchMeansHalfWidth]])</f>
        <v>0.44353506923979402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69</v>
      </c>
      <c r="C361">
        <v>40</v>
      </c>
      <c r="D361" t="s">
        <v>82</v>
      </c>
      <c r="E361" t="s">
        <v>71</v>
      </c>
      <c r="F361" t="s">
        <v>72</v>
      </c>
      <c r="G361">
        <v>13.721747867518699</v>
      </c>
      <c r="H361">
        <v>2E+20</v>
      </c>
      <c r="I361">
        <v>0</v>
      </c>
      <c r="J361">
        <v>22.871957020483102</v>
      </c>
      <c r="K361">
        <v>45</v>
      </c>
      <c r="L36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14.394765927850363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1.3868466279887646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0.44353506923979402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11.091251412608999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16.4814222147977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26.009837467326701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45.575000000000003</v>
      </c>
      <c r="W361" s="5">
        <f>IF((DiscreteStatsTable[[#This Row],[RepsRequested]]&gt;1),DiscreteStatsTable[[#This Row],[HalfWidth]],DiscreteStatsTable[[#This Row],[BatchMeansHalfWidth]])</f>
        <v>0.44353506923979402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69</v>
      </c>
      <c r="C362">
        <v>1</v>
      </c>
      <c r="D362" t="s">
        <v>83</v>
      </c>
      <c r="E362" t="s">
        <v>71</v>
      </c>
      <c r="F362" t="s">
        <v>72</v>
      </c>
      <c r="G362">
        <v>14.176840827577401</v>
      </c>
      <c r="H362">
        <v>2E+20</v>
      </c>
      <c r="I362">
        <v>0</v>
      </c>
      <c r="J362">
        <v>24.627421632786302</v>
      </c>
      <c r="K362">
        <v>39</v>
      </c>
      <c r="L36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15.809459295945839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11.8245391044853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18.421796874383201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25.5181478307017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40.125</v>
      </c>
      <c r="W362" s="5">
        <f>IF((DiscreteStatsTable[[#This Row],[RepsRequested]]&gt;1),DiscreteStatsTable[[#This Row],[HalfWidth]],DiscreteStatsTable[[#This Row],[BatchMeansHalfWidth]])</f>
        <v>0.56813219761319389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69</v>
      </c>
      <c r="C363">
        <v>2</v>
      </c>
      <c r="D363" t="s">
        <v>83</v>
      </c>
      <c r="E363" t="s">
        <v>71</v>
      </c>
      <c r="F363" t="s">
        <v>72</v>
      </c>
      <c r="G363">
        <v>15.186929407732899</v>
      </c>
      <c r="H363">
        <v>2E+20</v>
      </c>
      <c r="I363">
        <v>0</v>
      </c>
      <c r="J363">
        <v>22.586175915937599</v>
      </c>
      <c r="K363">
        <v>40</v>
      </c>
      <c r="L36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15.809459295945839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11.8245391044853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18.421796874383201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25.5181478307017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40.125</v>
      </c>
      <c r="W363" s="5">
        <f>IF((DiscreteStatsTable[[#This Row],[RepsRequested]]&gt;1),DiscreteStatsTable[[#This Row],[HalfWidth]],DiscreteStatsTable[[#This Row],[BatchMeansHalfWidth]])</f>
        <v>0.56813219761319389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69</v>
      </c>
      <c r="C364">
        <v>3</v>
      </c>
      <c r="D364" t="s">
        <v>83</v>
      </c>
      <c r="E364" t="s">
        <v>71</v>
      </c>
      <c r="F364" t="s">
        <v>72</v>
      </c>
      <c r="G364">
        <v>16.589079042109201</v>
      </c>
      <c r="H364">
        <v>2E+20</v>
      </c>
      <c r="I364">
        <v>1.6769763683807</v>
      </c>
      <c r="J364">
        <v>23.656096507474999</v>
      </c>
      <c r="K364">
        <v>42</v>
      </c>
      <c r="L36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15.809459295945839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11.8245391044853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18.421796874383201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25.5181478307017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40.125</v>
      </c>
      <c r="W364" s="5">
        <f>IF((DiscreteStatsTable[[#This Row],[RepsRequested]]&gt;1),DiscreteStatsTable[[#This Row],[HalfWidth]],DiscreteStatsTable[[#This Row],[BatchMeansHalfWidth]])</f>
        <v>0.56813219761319389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69</v>
      </c>
      <c r="C365">
        <v>4</v>
      </c>
      <c r="D365" t="s">
        <v>83</v>
      </c>
      <c r="E365" t="s">
        <v>71</v>
      </c>
      <c r="F365" t="s">
        <v>72</v>
      </c>
      <c r="G365">
        <v>18.159462181276101</v>
      </c>
      <c r="H365">
        <v>2E+20</v>
      </c>
      <c r="I365">
        <v>6.0398484570317699</v>
      </c>
      <c r="J365">
        <v>23.978701137574401</v>
      </c>
      <c r="K365">
        <v>39</v>
      </c>
      <c r="L36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15.809459295945839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11.8245391044853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18.421796874383201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25.5181478307017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40.125</v>
      </c>
      <c r="W365" s="5">
        <f>IF((DiscreteStatsTable[[#This Row],[RepsRequested]]&gt;1),DiscreteStatsTable[[#This Row],[HalfWidth]],DiscreteStatsTable[[#This Row],[BatchMeansHalfWidth]])</f>
        <v>0.56813219761319389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69</v>
      </c>
      <c r="C366">
        <v>5</v>
      </c>
      <c r="D366" t="s">
        <v>83</v>
      </c>
      <c r="E366" t="s">
        <v>71</v>
      </c>
      <c r="F366" t="s">
        <v>72</v>
      </c>
      <c r="G366">
        <v>17.5800882905842</v>
      </c>
      <c r="H366">
        <v>2E+20</v>
      </c>
      <c r="I366">
        <v>0</v>
      </c>
      <c r="J366">
        <v>22.542116781349399</v>
      </c>
      <c r="K366">
        <v>41</v>
      </c>
      <c r="L36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15.809459295945839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11.8245391044853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18.421796874383201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25.5181478307017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40.125</v>
      </c>
      <c r="W366" s="5">
        <f>IF((DiscreteStatsTable[[#This Row],[RepsRequested]]&gt;1),DiscreteStatsTable[[#This Row],[HalfWidth]],DiscreteStatsTable[[#This Row],[BatchMeansHalfWidth]])</f>
        <v>0.56813219761319389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69</v>
      </c>
      <c r="C367">
        <v>6</v>
      </c>
      <c r="D367" t="s">
        <v>83</v>
      </c>
      <c r="E367" t="s">
        <v>71</v>
      </c>
      <c r="F367" t="s">
        <v>72</v>
      </c>
      <c r="G367">
        <v>18.120750488302502</v>
      </c>
      <c r="H367">
        <v>2E+20</v>
      </c>
      <c r="I367">
        <v>0.34346220455377002</v>
      </c>
      <c r="J367">
        <v>23.391689030227401</v>
      </c>
      <c r="K367">
        <v>40</v>
      </c>
      <c r="L36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15.809459295945839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11.8245391044853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18.421796874383201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25.5181478307017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40.125</v>
      </c>
      <c r="W367" s="5">
        <f>IF((DiscreteStatsTable[[#This Row],[RepsRequested]]&gt;1),DiscreteStatsTable[[#This Row],[HalfWidth]],DiscreteStatsTable[[#This Row],[BatchMeansHalfWidth]])</f>
        <v>0.56813219761319389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69</v>
      </c>
      <c r="C368">
        <v>7</v>
      </c>
      <c r="D368" t="s">
        <v>83</v>
      </c>
      <c r="E368" t="s">
        <v>71</v>
      </c>
      <c r="F368" t="s">
        <v>72</v>
      </c>
      <c r="G368">
        <v>13.3649157199635</v>
      </c>
      <c r="H368">
        <v>2E+20</v>
      </c>
      <c r="I368">
        <v>0</v>
      </c>
      <c r="J368">
        <v>23.847663015787401</v>
      </c>
      <c r="K368">
        <v>40</v>
      </c>
      <c r="L36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15.809459295945839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11.8245391044853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18.421796874383201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25.5181478307017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40.125</v>
      </c>
      <c r="W368" s="5">
        <f>IF((DiscreteStatsTable[[#This Row],[RepsRequested]]&gt;1),DiscreteStatsTable[[#This Row],[HalfWidth]],DiscreteStatsTable[[#This Row],[BatchMeansHalfWidth]])</f>
        <v>0.56813219761319389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69</v>
      </c>
      <c r="C369">
        <v>8</v>
      </c>
      <c r="D369" t="s">
        <v>83</v>
      </c>
      <c r="E369" t="s">
        <v>71</v>
      </c>
      <c r="F369" t="s">
        <v>72</v>
      </c>
      <c r="G369">
        <v>15.968252544250699</v>
      </c>
      <c r="H369">
        <v>2E+20</v>
      </c>
      <c r="I369">
        <v>1.51154811165058</v>
      </c>
      <c r="J369">
        <v>25.047713796745601</v>
      </c>
      <c r="K369">
        <v>40</v>
      </c>
      <c r="L36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15.809459295945839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1.7764372586414929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11.8245391044853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18.421796874383201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25.5181478307017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40.125</v>
      </c>
      <c r="W369" s="5">
        <f>IF((DiscreteStatsTable[[#This Row],[RepsRequested]]&gt;1),DiscreteStatsTable[[#This Row],[HalfWidth]],DiscreteStatsTable[[#This Row],[BatchMeansHalfWidth]])</f>
        <v>0.56813219761319389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69</v>
      </c>
      <c r="C370">
        <v>9</v>
      </c>
      <c r="D370" t="s">
        <v>83</v>
      </c>
      <c r="E370" t="s">
        <v>71</v>
      </c>
      <c r="F370" t="s">
        <v>72</v>
      </c>
      <c r="G370">
        <v>18.421796874383201</v>
      </c>
      <c r="H370">
        <v>2E+20</v>
      </c>
      <c r="I370">
        <v>3.9050314460031101</v>
      </c>
      <c r="J370">
        <v>23.513506635318901</v>
      </c>
      <c r="K370">
        <v>39</v>
      </c>
      <c r="L37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15.809459295945839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11.8245391044853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18.421796874383201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25.5181478307017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40.125</v>
      </c>
      <c r="W370" s="5">
        <f>IF((DiscreteStatsTable[[#This Row],[RepsRequested]]&gt;1),DiscreteStatsTable[[#This Row],[HalfWidth]],DiscreteStatsTable[[#This Row],[BatchMeansHalfWidth]])</f>
        <v>0.56813219761319389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69</v>
      </c>
      <c r="C371">
        <v>10</v>
      </c>
      <c r="D371" t="s">
        <v>83</v>
      </c>
      <c r="E371" t="s">
        <v>71</v>
      </c>
      <c r="F371" t="s">
        <v>72</v>
      </c>
      <c r="G371">
        <v>15.780171894238499</v>
      </c>
      <c r="H371">
        <v>2E+20</v>
      </c>
      <c r="I371">
        <v>0</v>
      </c>
      <c r="J371">
        <v>24.5174549416129</v>
      </c>
      <c r="K371">
        <v>41</v>
      </c>
      <c r="L37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15.809459295945839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11.8245391044853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18.421796874383201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25.5181478307017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40.125</v>
      </c>
      <c r="W371" s="5">
        <f>IF((DiscreteStatsTable[[#This Row],[RepsRequested]]&gt;1),DiscreteStatsTable[[#This Row],[HalfWidth]],DiscreteStatsTable[[#This Row],[BatchMeansHalfWidth]])</f>
        <v>0.56813219761319389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69</v>
      </c>
      <c r="C372">
        <v>11</v>
      </c>
      <c r="D372" t="s">
        <v>83</v>
      </c>
      <c r="E372" t="s">
        <v>71</v>
      </c>
      <c r="F372" t="s">
        <v>72</v>
      </c>
      <c r="G372">
        <v>14.428080190117599</v>
      </c>
      <c r="H372">
        <v>2E+20</v>
      </c>
      <c r="I372">
        <v>0</v>
      </c>
      <c r="J372">
        <v>24.064259386979199</v>
      </c>
      <c r="K372">
        <v>40</v>
      </c>
      <c r="L37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15.809459295945839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11.8245391044853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18.421796874383201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25.5181478307017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40.125</v>
      </c>
      <c r="W372" s="5">
        <f>IF((DiscreteStatsTable[[#This Row],[RepsRequested]]&gt;1),DiscreteStatsTable[[#This Row],[HalfWidth]],DiscreteStatsTable[[#This Row],[BatchMeansHalfWidth]])</f>
        <v>0.56813219761319389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69</v>
      </c>
      <c r="C373">
        <v>12</v>
      </c>
      <c r="D373" t="s">
        <v>83</v>
      </c>
      <c r="E373" t="s">
        <v>71</v>
      </c>
      <c r="F373" t="s">
        <v>72</v>
      </c>
      <c r="G373">
        <v>15.769521539246799</v>
      </c>
      <c r="H373">
        <v>2E+20</v>
      </c>
      <c r="I373">
        <v>0</v>
      </c>
      <c r="J373">
        <v>23.0229208471034</v>
      </c>
      <c r="K373">
        <v>40</v>
      </c>
      <c r="L37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15.809459295945839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11.8245391044853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18.421796874383201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25.5181478307017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40.125</v>
      </c>
      <c r="W373" s="5">
        <f>IF((DiscreteStatsTable[[#This Row],[RepsRequested]]&gt;1),DiscreteStatsTable[[#This Row],[HalfWidth]],DiscreteStatsTable[[#This Row],[BatchMeansHalfWidth]])</f>
        <v>0.56813219761319389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69</v>
      </c>
      <c r="C374">
        <v>13</v>
      </c>
      <c r="D374" t="s">
        <v>83</v>
      </c>
      <c r="E374" t="s">
        <v>71</v>
      </c>
      <c r="F374" t="s">
        <v>72</v>
      </c>
      <c r="G374">
        <v>16.6714265758295</v>
      </c>
      <c r="H374">
        <v>2E+20</v>
      </c>
      <c r="I374">
        <v>1.68200972228539</v>
      </c>
      <c r="J374">
        <v>21.625096908519399</v>
      </c>
      <c r="K374">
        <v>41</v>
      </c>
      <c r="L37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15.809459295945839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11.8245391044853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18.421796874383201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25.5181478307017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40.125</v>
      </c>
      <c r="W374" s="5">
        <f>IF((DiscreteStatsTable[[#This Row],[RepsRequested]]&gt;1),DiscreteStatsTable[[#This Row],[HalfWidth]],DiscreteStatsTable[[#This Row],[BatchMeansHalfWidth]])</f>
        <v>0.56813219761319389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69</v>
      </c>
      <c r="C375">
        <v>14</v>
      </c>
      <c r="D375" t="s">
        <v>83</v>
      </c>
      <c r="E375" t="s">
        <v>71</v>
      </c>
      <c r="F375" t="s">
        <v>72</v>
      </c>
      <c r="G375">
        <v>16.1231356829413</v>
      </c>
      <c r="H375">
        <v>2E+20</v>
      </c>
      <c r="I375">
        <v>3.1812388606528601</v>
      </c>
      <c r="J375">
        <v>21.807956039305999</v>
      </c>
      <c r="K375">
        <v>42</v>
      </c>
      <c r="L37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15.809459295945839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11.8245391044853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18.421796874383201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25.5181478307017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40.125</v>
      </c>
      <c r="W375" s="5">
        <f>IF((DiscreteStatsTable[[#This Row],[RepsRequested]]&gt;1),DiscreteStatsTable[[#This Row],[HalfWidth]],DiscreteStatsTable[[#This Row],[BatchMeansHalfWidth]])</f>
        <v>0.56813219761319389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69</v>
      </c>
      <c r="C376">
        <v>15</v>
      </c>
      <c r="D376" t="s">
        <v>83</v>
      </c>
      <c r="E376" t="s">
        <v>71</v>
      </c>
      <c r="F376" t="s">
        <v>72</v>
      </c>
      <c r="G376">
        <v>12.968945084654001</v>
      </c>
      <c r="H376">
        <v>2E+20</v>
      </c>
      <c r="I376">
        <v>0</v>
      </c>
      <c r="J376">
        <v>23.007689993679701</v>
      </c>
      <c r="K376">
        <v>39</v>
      </c>
      <c r="L37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15.809459295945839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11.8245391044853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18.421796874383201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25.5181478307017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40.125</v>
      </c>
      <c r="W376" s="5">
        <f>IF((DiscreteStatsTable[[#This Row],[RepsRequested]]&gt;1),DiscreteStatsTable[[#This Row],[HalfWidth]],DiscreteStatsTable[[#This Row],[BatchMeansHalfWidth]])</f>
        <v>0.56813219761319389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69</v>
      </c>
      <c r="C377">
        <v>16</v>
      </c>
      <c r="D377" t="s">
        <v>83</v>
      </c>
      <c r="E377" t="s">
        <v>71</v>
      </c>
      <c r="F377" t="s">
        <v>72</v>
      </c>
      <c r="G377">
        <v>18.072212114951</v>
      </c>
      <c r="H377">
        <v>2E+20</v>
      </c>
      <c r="I377">
        <v>2.5772195933302999</v>
      </c>
      <c r="J377">
        <v>22.485924246696801</v>
      </c>
      <c r="K377">
        <v>40</v>
      </c>
      <c r="L37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15.809459295945839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11.8245391044853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18.421796874383201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25.5181478307017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40.125</v>
      </c>
      <c r="W377" s="5">
        <f>IF((DiscreteStatsTable[[#This Row],[RepsRequested]]&gt;1),DiscreteStatsTable[[#This Row],[HalfWidth]],DiscreteStatsTable[[#This Row],[BatchMeansHalfWidth]])</f>
        <v>0.56813219761319389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69</v>
      </c>
      <c r="C378">
        <v>17</v>
      </c>
      <c r="D378" t="s">
        <v>83</v>
      </c>
      <c r="E378" t="s">
        <v>71</v>
      </c>
      <c r="F378" t="s">
        <v>72</v>
      </c>
      <c r="G378">
        <v>14.1151008863607</v>
      </c>
      <c r="H378">
        <v>2E+20</v>
      </c>
      <c r="I378">
        <v>0</v>
      </c>
      <c r="J378">
        <v>23.2517028864232</v>
      </c>
      <c r="K378">
        <v>38</v>
      </c>
      <c r="L37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15.809459295945839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11.8245391044853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18.421796874383201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25.5181478307017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40.125</v>
      </c>
      <c r="W378" s="5">
        <f>IF((DiscreteStatsTable[[#This Row],[RepsRequested]]&gt;1),DiscreteStatsTable[[#This Row],[HalfWidth]],DiscreteStatsTable[[#This Row],[BatchMeansHalfWidth]])</f>
        <v>0.56813219761319389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69</v>
      </c>
      <c r="C379">
        <v>18</v>
      </c>
      <c r="D379" t="s">
        <v>83</v>
      </c>
      <c r="E379" t="s">
        <v>71</v>
      </c>
      <c r="F379" t="s">
        <v>72</v>
      </c>
      <c r="G379">
        <v>15.476730502069</v>
      </c>
      <c r="H379">
        <v>2E+20</v>
      </c>
      <c r="I379">
        <v>0</v>
      </c>
      <c r="J379">
        <v>22.5407268153307</v>
      </c>
      <c r="K379">
        <v>39</v>
      </c>
      <c r="L37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15.809459295945839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1.7764372586414929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11.8245391044853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18.421796874383201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25.5181478307017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40.125</v>
      </c>
      <c r="W379" s="5">
        <f>IF((DiscreteStatsTable[[#This Row],[RepsRequested]]&gt;1),DiscreteStatsTable[[#This Row],[HalfWidth]],DiscreteStatsTable[[#This Row],[BatchMeansHalfWidth]])</f>
        <v>0.56813219761319389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69</v>
      </c>
      <c r="C380">
        <v>19</v>
      </c>
      <c r="D380" t="s">
        <v>83</v>
      </c>
      <c r="E380" t="s">
        <v>71</v>
      </c>
      <c r="F380" t="s">
        <v>72</v>
      </c>
      <c r="G380">
        <v>14.2091307625405</v>
      </c>
      <c r="H380">
        <v>2E+20</v>
      </c>
      <c r="I380">
        <v>0</v>
      </c>
      <c r="J380">
        <v>24.324151770771</v>
      </c>
      <c r="K380">
        <v>41</v>
      </c>
      <c r="L38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15.809459295945839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11.8245391044853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18.421796874383201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25.5181478307017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40.125</v>
      </c>
      <c r="W380" s="5">
        <f>IF((DiscreteStatsTable[[#This Row],[RepsRequested]]&gt;1),DiscreteStatsTable[[#This Row],[HalfWidth]],DiscreteStatsTable[[#This Row],[BatchMeansHalfWidth]])</f>
        <v>0.56813219761319389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69</v>
      </c>
      <c r="C381">
        <v>20</v>
      </c>
      <c r="D381" t="s">
        <v>83</v>
      </c>
      <c r="E381" t="s">
        <v>71</v>
      </c>
      <c r="F381" t="s">
        <v>72</v>
      </c>
      <c r="G381">
        <v>17.191916928566901</v>
      </c>
      <c r="H381">
        <v>2E+20</v>
      </c>
      <c r="I381">
        <v>2.2668152986502901</v>
      </c>
      <c r="J381">
        <v>24.014861687683499</v>
      </c>
      <c r="K381">
        <v>41</v>
      </c>
      <c r="L38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15.809459295945839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11.8245391044853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18.421796874383201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25.5181478307017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40.125</v>
      </c>
      <c r="W381" s="5">
        <f>IF((DiscreteStatsTable[[#This Row],[RepsRequested]]&gt;1),DiscreteStatsTable[[#This Row],[HalfWidth]],DiscreteStatsTable[[#This Row],[BatchMeansHalfWidth]])</f>
        <v>0.56813219761319389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69</v>
      </c>
      <c r="C382">
        <v>21</v>
      </c>
      <c r="D382" t="s">
        <v>83</v>
      </c>
      <c r="E382" t="s">
        <v>71</v>
      </c>
      <c r="F382" t="s">
        <v>72</v>
      </c>
      <c r="G382">
        <v>15.5691403499419</v>
      </c>
      <c r="H382">
        <v>2E+20</v>
      </c>
      <c r="I382">
        <v>0</v>
      </c>
      <c r="J382">
        <v>24.473195514952501</v>
      </c>
      <c r="K382">
        <v>40</v>
      </c>
      <c r="L38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15.809459295945839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11.8245391044853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18.421796874383201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25.5181478307017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40.125</v>
      </c>
      <c r="W382" s="5">
        <f>IF((DiscreteStatsTable[[#This Row],[RepsRequested]]&gt;1),DiscreteStatsTable[[#This Row],[HalfWidth]],DiscreteStatsTable[[#This Row],[BatchMeansHalfWidth]])</f>
        <v>0.56813219761319389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69</v>
      </c>
      <c r="C383">
        <v>22</v>
      </c>
      <c r="D383" t="s">
        <v>83</v>
      </c>
      <c r="E383" t="s">
        <v>71</v>
      </c>
      <c r="F383" t="s">
        <v>72</v>
      </c>
      <c r="G383">
        <v>16.250013993321801</v>
      </c>
      <c r="H383">
        <v>2E+20</v>
      </c>
      <c r="I383">
        <v>0</v>
      </c>
      <c r="J383">
        <v>24.889657466696601</v>
      </c>
      <c r="K383">
        <v>40</v>
      </c>
      <c r="L38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15.809459295945839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11.8245391044853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18.421796874383201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25.5181478307017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40.125</v>
      </c>
      <c r="W383" s="5">
        <f>IF((DiscreteStatsTable[[#This Row],[RepsRequested]]&gt;1),DiscreteStatsTable[[#This Row],[HalfWidth]],DiscreteStatsTable[[#This Row],[BatchMeansHalfWidth]])</f>
        <v>0.56813219761319389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69</v>
      </c>
      <c r="C384">
        <v>23</v>
      </c>
      <c r="D384" t="s">
        <v>83</v>
      </c>
      <c r="E384" t="s">
        <v>71</v>
      </c>
      <c r="F384" t="s">
        <v>72</v>
      </c>
      <c r="G384">
        <v>17.363475832488</v>
      </c>
      <c r="H384">
        <v>2E+20</v>
      </c>
      <c r="I384">
        <v>4.6774438432405496</v>
      </c>
      <c r="J384">
        <v>23.8619753691274</v>
      </c>
      <c r="K384">
        <v>40</v>
      </c>
      <c r="L38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15.809459295945839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11.8245391044853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18.421796874383201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25.5181478307017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40.125</v>
      </c>
      <c r="W384" s="5">
        <f>IF((DiscreteStatsTable[[#This Row],[RepsRequested]]&gt;1),DiscreteStatsTable[[#This Row],[HalfWidth]],DiscreteStatsTable[[#This Row],[BatchMeansHalfWidth]])</f>
        <v>0.56813219761319389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69</v>
      </c>
      <c r="C385">
        <v>24</v>
      </c>
      <c r="D385" t="s">
        <v>83</v>
      </c>
      <c r="E385" t="s">
        <v>71</v>
      </c>
      <c r="F385" t="s">
        <v>72</v>
      </c>
      <c r="G385">
        <v>13.1288170310414</v>
      </c>
      <c r="H385">
        <v>2E+20</v>
      </c>
      <c r="I385">
        <v>0.90870527107501797</v>
      </c>
      <c r="J385">
        <v>23.688874022372499</v>
      </c>
      <c r="K385">
        <v>40</v>
      </c>
      <c r="L38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15.809459295945839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11.8245391044853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18.421796874383201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25.5181478307017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40.125</v>
      </c>
      <c r="W385" s="5">
        <f>IF((DiscreteStatsTable[[#This Row],[RepsRequested]]&gt;1),DiscreteStatsTable[[#This Row],[HalfWidth]],DiscreteStatsTable[[#This Row],[BatchMeansHalfWidth]])</f>
        <v>0.56813219761319389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69</v>
      </c>
      <c r="C386">
        <v>25</v>
      </c>
      <c r="D386" t="s">
        <v>83</v>
      </c>
      <c r="E386" t="s">
        <v>71</v>
      </c>
      <c r="F386" t="s">
        <v>72</v>
      </c>
      <c r="G386">
        <v>16.478046926890801</v>
      </c>
      <c r="H386">
        <v>2E+20</v>
      </c>
      <c r="I386">
        <v>0</v>
      </c>
      <c r="J386">
        <v>24.448040261561001</v>
      </c>
      <c r="K386">
        <v>40</v>
      </c>
      <c r="L38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15.809459295945839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11.8245391044853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18.421796874383201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25.5181478307017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40.125</v>
      </c>
      <c r="W386" s="5">
        <f>IF((DiscreteStatsTable[[#This Row],[RepsRequested]]&gt;1),DiscreteStatsTable[[#This Row],[HalfWidth]],DiscreteStatsTable[[#This Row],[BatchMeansHalfWidth]])</f>
        <v>0.56813219761319389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69</v>
      </c>
      <c r="C387">
        <v>26</v>
      </c>
      <c r="D387" t="s">
        <v>83</v>
      </c>
      <c r="E387" t="s">
        <v>71</v>
      </c>
      <c r="F387" t="s">
        <v>72</v>
      </c>
      <c r="G387">
        <v>18.108642196925999</v>
      </c>
      <c r="H387">
        <v>2E+20</v>
      </c>
      <c r="I387">
        <v>3.8683519513359199</v>
      </c>
      <c r="J387">
        <v>23.034025429320302</v>
      </c>
      <c r="K387">
        <v>40</v>
      </c>
      <c r="L38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15.809459295945839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11.8245391044853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18.421796874383201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25.5181478307017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40.125</v>
      </c>
      <c r="W387" s="5">
        <f>IF((DiscreteStatsTable[[#This Row],[RepsRequested]]&gt;1),DiscreteStatsTable[[#This Row],[HalfWidth]],DiscreteStatsTable[[#This Row],[BatchMeansHalfWidth]])</f>
        <v>0.56813219761319389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69</v>
      </c>
      <c r="C388">
        <v>27</v>
      </c>
      <c r="D388" t="s">
        <v>83</v>
      </c>
      <c r="E388" t="s">
        <v>71</v>
      </c>
      <c r="F388" t="s">
        <v>72</v>
      </c>
      <c r="G388">
        <v>14.6925614630707</v>
      </c>
      <c r="H388">
        <v>2E+20</v>
      </c>
      <c r="I388">
        <v>1.74393371021039</v>
      </c>
      <c r="J388">
        <v>22.773677183035499</v>
      </c>
      <c r="K388">
        <v>40</v>
      </c>
      <c r="L38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15.809459295945839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11.8245391044853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18.421796874383201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25.5181478307017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40.125</v>
      </c>
      <c r="W388" s="5">
        <f>IF((DiscreteStatsTable[[#This Row],[RepsRequested]]&gt;1),DiscreteStatsTable[[#This Row],[HalfWidth]],DiscreteStatsTable[[#This Row],[BatchMeansHalfWidth]])</f>
        <v>0.56813219761319389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69</v>
      </c>
      <c r="C389">
        <v>28</v>
      </c>
      <c r="D389" t="s">
        <v>83</v>
      </c>
      <c r="E389" t="s">
        <v>71</v>
      </c>
      <c r="F389" t="s">
        <v>72</v>
      </c>
      <c r="G389">
        <v>17.929186818726802</v>
      </c>
      <c r="H389">
        <v>2E+20</v>
      </c>
      <c r="I389">
        <v>5.2410695356408601</v>
      </c>
      <c r="J389">
        <v>23.9240998794915</v>
      </c>
      <c r="K389">
        <v>41</v>
      </c>
      <c r="L38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15.809459295945839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1.7764372586414929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11.8245391044853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18.421796874383201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25.5181478307017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40.125</v>
      </c>
      <c r="W389" s="5">
        <f>IF((DiscreteStatsTable[[#This Row],[RepsRequested]]&gt;1),DiscreteStatsTable[[#This Row],[HalfWidth]],DiscreteStatsTable[[#This Row],[BatchMeansHalfWidth]])</f>
        <v>0.56813219761319389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69</v>
      </c>
      <c r="C390">
        <v>29</v>
      </c>
      <c r="D390" t="s">
        <v>83</v>
      </c>
      <c r="E390" t="s">
        <v>71</v>
      </c>
      <c r="F390" t="s">
        <v>72</v>
      </c>
      <c r="G390">
        <v>13.891634311125699</v>
      </c>
      <c r="H390">
        <v>2E+20</v>
      </c>
      <c r="I390">
        <v>0</v>
      </c>
      <c r="J390">
        <v>22.800423976212802</v>
      </c>
      <c r="K390">
        <v>40</v>
      </c>
      <c r="L39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15.809459295945839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11.8245391044853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18.421796874383201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25.5181478307017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40.125</v>
      </c>
      <c r="W390" s="5">
        <f>IF((DiscreteStatsTable[[#This Row],[RepsRequested]]&gt;1),DiscreteStatsTable[[#This Row],[HalfWidth]],DiscreteStatsTable[[#This Row],[BatchMeansHalfWidth]])</f>
        <v>0.56813219761319389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69</v>
      </c>
      <c r="C391">
        <v>30</v>
      </c>
      <c r="D391" t="s">
        <v>83</v>
      </c>
      <c r="E391" t="s">
        <v>71</v>
      </c>
      <c r="F391" t="s">
        <v>72</v>
      </c>
      <c r="G391">
        <v>12.551999561826699</v>
      </c>
      <c r="H391">
        <v>2E+20</v>
      </c>
      <c r="I391">
        <v>0</v>
      </c>
      <c r="J391">
        <v>21.535186846688099</v>
      </c>
      <c r="K391">
        <v>39</v>
      </c>
      <c r="L39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15.809459295945839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11.8245391044853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18.421796874383201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25.5181478307017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40.125</v>
      </c>
      <c r="W391" s="5">
        <f>IF((DiscreteStatsTable[[#This Row],[RepsRequested]]&gt;1),DiscreteStatsTable[[#This Row],[HalfWidth]],DiscreteStatsTable[[#This Row],[BatchMeansHalfWidth]])</f>
        <v>0.56813219761319389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69</v>
      </c>
      <c r="C392">
        <v>31</v>
      </c>
      <c r="D392" t="s">
        <v>83</v>
      </c>
      <c r="E392" t="s">
        <v>71</v>
      </c>
      <c r="F392" t="s">
        <v>72</v>
      </c>
      <c r="G392">
        <v>11.8245391044853</v>
      </c>
      <c r="H392">
        <v>2E+20</v>
      </c>
      <c r="I392">
        <v>0</v>
      </c>
      <c r="J392">
        <v>21.685119939910201</v>
      </c>
      <c r="K392">
        <v>38</v>
      </c>
      <c r="L39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15.809459295945839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11.8245391044853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18.421796874383201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25.5181478307017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40.125</v>
      </c>
      <c r="W392" s="5">
        <f>IF((DiscreteStatsTable[[#This Row],[RepsRequested]]&gt;1),DiscreteStatsTable[[#This Row],[HalfWidth]],DiscreteStatsTable[[#This Row],[BatchMeansHalfWidth]])</f>
        <v>0.56813219761319389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69</v>
      </c>
      <c r="C393">
        <v>32</v>
      </c>
      <c r="D393" t="s">
        <v>83</v>
      </c>
      <c r="E393" t="s">
        <v>71</v>
      </c>
      <c r="F393" t="s">
        <v>72</v>
      </c>
      <c r="G393">
        <v>16.943223331001501</v>
      </c>
      <c r="H393">
        <v>2E+20</v>
      </c>
      <c r="I393">
        <v>0</v>
      </c>
      <c r="J393">
        <v>22.137337373652901</v>
      </c>
      <c r="K393">
        <v>38</v>
      </c>
      <c r="L39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15.809459295945839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11.8245391044853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18.421796874383201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25.5181478307017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40.125</v>
      </c>
      <c r="W393" s="5">
        <f>IF((DiscreteStatsTable[[#This Row],[RepsRequested]]&gt;1),DiscreteStatsTable[[#This Row],[HalfWidth]],DiscreteStatsTable[[#This Row],[BatchMeansHalfWidth]])</f>
        <v>0.56813219761319389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69</v>
      </c>
      <c r="C394">
        <v>33</v>
      </c>
      <c r="D394" t="s">
        <v>83</v>
      </c>
      <c r="E394" t="s">
        <v>71</v>
      </c>
      <c r="F394" t="s">
        <v>72</v>
      </c>
      <c r="G394">
        <v>18.118385348782901</v>
      </c>
      <c r="H394">
        <v>2E+20</v>
      </c>
      <c r="I394">
        <v>13.5343163672385</v>
      </c>
      <c r="J394">
        <v>24.8154535570931</v>
      </c>
      <c r="K394">
        <v>40</v>
      </c>
      <c r="L39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15.809459295945839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11.8245391044853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18.421796874383201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25.5181478307017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40.125</v>
      </c>
      <c r="W394" s="5">
        <f>IF((DiscreteStatsTable[[#This Row],[RepsRequested]]&gt;1),DiscreteStatsTable[[#This Row],[HalfWidth]],DiscreteStatsTable[[#This Row],[BatchMeansHalfWidth]])</f>
        <v>0.56813219761319389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69</v>
      </c>
      <c r="C395">
        <v>34</v>
      </c>
      <c r="D395" t="s">
        <v>83</v>
      </c>
      <c r="E395" t="s">
        <v>71</v>
      </c>
      <c r="F395" t="s">
        <v>72</v>
      </c>
      <c r="G395">
        <v>17.2994788142705</v>
      </c>
      <c r="H395">
        <v>2E+20</v>
      </c>
      <c r="I395">
        <v>5.9099698915918699E-3</v>
      </c>
      <c r="J395">
        <v>22.488722120524098</v>
      </c>
      <c r="K395">
        <v>41</v>
      </c>
      <c r="L39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15.809459295945839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11.8245391044853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18.421796874383201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25.5181478307017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40.125</v>
      </c>
      <c r="W395" s="5">
        <f>IF((DiscreteStatsTable[[#This Row],[RepsRequested]]&gt;1),DiscreteStatsTable[[#This Row],[HalfWidth]],DiscreteStatsTable[[#This Row],[BatchMeansHalfWidth]])</f>
        <v>0.56813219761319389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69</v>
      </c>
      <c r="C396">
        <v>35</v>
      </c>
      <c r="D396" t="s">
        <v>83</v>
      </c>
      <c r="E396" t="s">
        <v>71</v>
      </c>
      <c r="F396" t="s">
        <v>72</v>
      </c>
      <c r="G396">
        <v>17.722423195758498</v>
      </c>
      <c r="H396">
        <v>2E+20</v>
      </c>
      <c r="I396">
        <v>2.2683308106526199</v>
      </c>
      <c r="J396">
        <v>25.5181478307017</v>
      </c>
      <c r="K396">
        <v>41</v>
      </c>
      <c r="L39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15.809459295945839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11.8245391044853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18.421796874383201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25.5181478307017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40.125</v>
      </c>
      <c r="W396" s="5">
        <f>IF((DiscreteStatsTable[[#This Row],[RepsRequested]]&gt;1),DiscreteStatsTable[[#This Row],[HalfWidth]],DiscreteStatsTable[[#This Row],[BatchMeansHalfWidth]])</f>
        <v>0.56813219761319389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69</v>
      </c>
      <c r="C397">
        <v>36</v>
      </c>
      <c r="D397" t="s">
        <v>83</v>
      </c>
      <c r="E397" t="s">
        <v>71</v>
      </c>
      <c r="F397" t="s">
        <v>72</v>
      </c>
      <c r="G397">
        <v>14.5078219331917</v>
      </c>
      <c r="H397">
        <v>2E+20</v>
      </c>
      <c r="I397">
        <v>0</v>
      </c>
      <c r="J397">
        <v>22.486378631518601</v>
      </c>
      <c r="K397">
        <v>41</v>
      </c>
      <c r="L39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15.809459295945839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11.8245391044853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18.421796874383201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25.5181478307017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40.125</v>
      </c>
      <c r="W397" s="5">
        <f>IF((DiscreteStatsTable[[#This Row],[RepsRequested]]&gt;1),DiscreteStatsTable[[#This Row],[HalfWidth]],DiscreteStatsTable[[#This Row],[BatchMeansHalfWidth]])</f>
        <v>0.56813219761319389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69</v>
      </c>
      <c r="C398">
        <v>37</v>
      </c>
      <c r="D398" t="s">
        <v>83</v>
      </c>
      <c r="E398" t="s">
        <v>71</v>
      </c>
      <c r="F398" t="s">
        <v>72</v>
      </c>
      <c r="G398">
        <v>15.4285569314673</v>
      </c>
      <c r="H398">
        <v>2E+20</v>
      </c>
      <c r="I398">
        <v>0</v>
      </c>
      <c r="J398">
        <v>21.914556141946999</v>
      </c>
      <c r="K398">
        <v>40</v>
      </c>
      <c r="L39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15.809459295945839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11.8245391044853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18.421796874383201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25.5181478307017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40.125</v>
      </c>
      <c r="W398" s="5">
        <f>IF((DiscreteStatsTable[[#This Row],[RepsRequested]]&gt;1),DiscreteStatsTable[[#This Row],[HalfWidth]],DiscreteStatsTable[[#This Row],[BatchMeansHalfWidth]])</f>
        <v>0.56813219761319389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69</v>
      </c>
      <c r="C399">
        <v>38</v>
      </c>
      <c r="D399" t="s">
        <v>83</v>
      </c>
      <c r="E399" t="s">
        <v>71</v>
      </c>
      <c r="F399" t="s">
        <v>72</v>
      </c>
      <c r="G399">
        <v>16.765710126383901</v>
      </c>
      <c r="H399">
        <v>2E+20</v>
      </c>
      <c r="I399">
        <v>0.846733091058404</v>
      </c>
      <c r="J399">
        <v>22.4968885903616</v>
      </c>
      <c r="K399">
        <v>42</v>
      </c>
      <c r="L39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15.809459295945839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1.7764372586414929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11.8245391044853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18.421796874383201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25.5181478307017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40.125</v>
      </c>
      <c r="W399" s="5">
        <f>IF((DiscreteStatsTable[[#This Row],[RepsRequested]]&gt;1),DiscreteStatsTable[[#This Row],[HalfWidth]],DiscreteStatsTable[[#This Row],[BatchMeansHalfWidth]])</f>
        <v>0.56813219761319389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69</v>
      </c>
      <c r="C400">
        <v>39</v>
      </c>
      <c r="D400" t="s">
        <v>83</v>
      </c>
      <c r="E400" t="s">
        <v>71</v>
      </c>
      <c r="F400" t="s">
        <v>72</v>
      </c>
      <c r="G400">
        <v>14.552597070193301</v>
      </c>
      <c r="H400">
        <v>2E+20</v>
      </c>
      <c r="I400">
        <v>0.107448074441038</v>
      </c>
      <c r="J400">
        <v>22.367544421835301</v>
      </c>
      <c r="K400">
        <v>41</v>
      </c>
      <c r="L40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15.809459295945839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1.7764372586414929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11.8245391044853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18.421796874383201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25.5181478307017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40.125</v>
      </c>
      <c r="W400" s="5">
        <f>IF((DiscreteStatsTable[[#This Row],[RepsRequested]]&gt;1),DiscreteStatsTable[[#This Row],[HalfWidth]],DiscreteStatsTable[[#This Row],[BatchMeansHalfWidth]])</f>
        <v>0.56813219761319389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69</v>
      </c>
      <c r="C401">
        <v>40</v>
      </c>
      <c r="D401" t="s">
        <v>83</v>
      </c>
      <c r="E401" t="s">
        <v>71</v>
      </c>
      <c r="F401" t="s">
        <v>72</v>
      </c>
      <c r="G401">
        <v>14.877629959243301</v>
      </c>
      <c r="H401">
        <v>2E+20</v>
      </c>
      <c r="I401">
        <v>0</v>
      </c>
      <c r="J401">
        <v>21.198462537623701</v>
      </c>
      <c r="K401">
        <v>41</v>
      </c>
      <c r="L40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15.809459295945839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1.7764372586414929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0.56813219761319389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11.8245391044853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18.421796874383201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25.5181478307017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40.125</v>
      </c>
      <c r="W401" s="5">
        <f>IF((DiscreteStatsTable[[#This Row],[RepsRequested]]&gt;1),DiscreteStatsTable[[#This Row],[HalfWidth]],DiscreteStatsTable[[#This Row],[BatchMeansHalfWidth]])</f>
        <v>0.56813219761319389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20" priority="23">
      <formula>H2=200000000000000000000</formula>
    </cfRule>
  </conditionalFormatting>
  <conditionalFormatting sqref="H2:H401">
    <cfRule type="expression" dxfId="19" priority="21">
      <formula>H2=300000000000000000000</formula>
    </cfRule>
  </conditionalFormatting>
  <conditionalFormatting sqref="L2:Y401">
    <cfRule type="expression" dxfId="18" priority="19">
      <formula>MOD(ROW(),2)=0</formula>
    </cfRule>
  </conditionalFormatting>
  <conditionalFormatting sqref="Y2:Y401">
    <cfRule type="expression" dxfId="17" priority="14">
      <formula>Y2=0</formula>
    </cfRule>
    <cfRule type="expression" dxfId="16" priority="16">
      <formula>Y2=1</formula>
    </cfRule>
  </conditionalFormatting>
  <conditionalFormatting sqref="Y3:Y401">
    <cfRule type="expression" dxfId="15" priority="15">
      <formula>Y3=1</formula>
    </cfRule>
  </conditionalFormatting>
  <conditionalFormatting sqref="W2:W4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1 W2:W4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84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84</v>
      </c>
      <c r="F3" t="s">
        <v>72</v>
      </c>
      <c r="G3">
        <v>2.8964620727800301</v>
      </c>
      <c r="H3">
        <v>2E+20</v>
      </c>
      <c r="I3">
        <v>0</v>
      </c>
      <c r="J3">
        <v>10</v>
      </c>
      <c r="K3">
        <v>10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0.475935837419309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14.545335118962701</v>
      </c>
      <c r="U3">
        <f>IF((ContinuousStatsTable[[#This Row],[RepsRequested]]&gt;1),ContinuousStatsTable[[#This Row],[HalfWidth]],ContinuousStatsTable[[#This Row],[BatchMeansHalfWidth]])</f>
        <v>1.1647272989250694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76</v>
      </c>
      <c r="G4">
        <v>21.7850317186494</v>
      </c>
      <c r="H4">
        <v>2E+20</v>
      </c>
      <c r="I4">
        <v>0</v>
      </c>
      <c r="J4">
        <v>41</v>
      </c>
      <c r="K4">
        <v>40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16.614335916574898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47.992828685108996</v>
      </c>
      <c r="U4">
        <f>IF((ContinuousStatsTable[[#This Row],[RepsRequested]]&gt;1),ContinuousStatsTable[[#This Row],[HalfWidth]],ContinuousStatsTable[[#This Row],[BatchMeansHalfWidth]])</f>
        <v>2.6199410784579222</v>
      </c>
    </row>
    <row r="5" spans="1:21" x14ac:dyDescent="0.35">
      <c r="A5" t="s">
        <v>66</v>
      </c>
      <c r="B5" t="s">
        <v>69</v>
      </c>
      <c r="C5">
        <v>1</v>
      </c>
      <c r="D5" t="s">
        <v>86</v>
      </c>
      <c r="E5" t="s">
        <v>87</v>
      </c>
      <c r="F5" t="s">
        <v>88</v>
      </c>
      <c r="G5">
        <v>0.79960537865446901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0.71791407599347101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0.96105910626671998</v>
      </c>
      <c r="U5">
        <f>IF((ContinuousStatsTable[[#This Row],[RepsRequested]]&gt;1),ContinuousStatsTable[[#This Row],[HalfWidth]],ContinuousStatsTable[[#This Row],[BatchMeansHalfWidth]])</f>
        <v>2.0481590731410954E-2</v>
      </c>
    </row>
    <row r="6" spans="1:21" x14ac:dyDescent="0.35">
      <c r="A6" t="s">
        <v>66</v>
      </c>
      <c r="B6" t="s">
        <v>69</v>
      </c>
      <c r="C6">
        <v>1</v>
      </c>
      <c r="D6" t="s">
        <v>86</v>
      </c>
      <c r="E6" t="s">
        <v>89</v>
      </c>
      <c r="F6" t="s">
        <v>88</v>
      </c>
      <c r="G6">
        <v>7.9960537865447003</v>
      </c>
      <c r="H6">
        <v>2E+20</v>
      </c>
      <c r="I6">
        <v>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7.1791407599347101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9.6105910626672006</v>
      </c>
      <c r="U6">
        <f>IF((ContinuousStatsTable[[#This Row],[RepsRequested]]&gt;1),ContinuousStatsTable[[#This Row],[HalfWidth]],ContinuousStatsTable[[#This Row],[BatchMeansHalfWidth]])</f>
        <v>0.20481590731410945</v>
      </c>
    </row>
    <row r="7" spans="1:21" x14ac:dyDescent="0.35">
      <c r="A7" t="s">
        <v>66</v>
      </c>
      <c r="B7" t="s">
        <v>69</v>
      </c>
      <c r="C7">
        <v>1</v>
      </c>
      <c r="D7" t="s">
        <v>86</v>
      </c>
      <c r="E7" t="s">
        <v>90</v>
      </c>
      <c r="F7" t="s">
        <v>88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84</v>
      </c>
      <c r="F8" t="s">
        <v>72</v>
      </c>
      <c r="G8">
        <v>2.5181364421385899</v>
      </c>
      <c r="H8">
        <v>2E+20</v>
      </c>
      <c r="I8">
        <v>0</v>
      </c>
      <c r="J8">
        <v>5</v>
      </c>
      <c r="K8">
        <v>4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2.1426391607582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3.27384557923344</v>
      </c>
      <c r="U8">
        <f>IF((ContinuousStatsTable[[#This Row],[RepsRequested]]&gt;1),ContinuousStatsTable[[#This Row],[HalfWidth]],ContinuousStatsTable[[#This Row],[BatchMeansHalfWidth]])</f>
        <v>9.1472887832627928E-2</v>
      </c>
    </row>
    <row r="9" spans="1:21" x14ac:dyDescent="0.35">
      <c r="A9" t="s">
        <v>66</v>
      </c>
      <c r="B9" t="s">
        <v>69</v>
      </c>
      <c r="C9">
        <v>1</v>
      </c>
      <c r="D9" t="s">
        <v>91</v>
      </c>
      <c r="E9" t="s">
        <v>87</v>
      </c>
      <c r="F9" t="s">
        <v>88</v>
      </c>
      <c r="G9">
        <v>0.95554007787445405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0.92631153500444496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0.99913603041501298</v>
      </c>
      <c r="U9">
        <f>IF((ContinuousStatsTable[[#This Row],[RepsRequested]]&gt;1),ContinuousStatsTable[[#This Row],[HalfWidth]],ContinuousStatsTable[[#This Row],[BatchMeansHalfWidth]])</f>
        <v>6.4980603216527278E-3</v>
      </c>
    </row>
    <row r="10" spans="1:21" x14ac:dyDescent="0.35">
      <c r="A10" t="s">
        <v>66</v>
      </c>
      <c r="B10" t="s">
        <v>69</v>
      </c>
      <c r="C10">
        <v>1</v>
      </c>
      <c r="D10" t="s">
        <v>91</v>
      </c>
      <c r="E10" t="s">
        <v>89</v>
      </c>
      <c r="F10" t="s">
        <v>88</v>
      </c>
      <c r="G10">
        <v>1.9110801557489101</v>
      </c>
      <c r="H10">
        <v>2E+20</v>
      </c>
      <c r="I10">
        <v>0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1.8526230700088899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1.99827206083003</v>
      </c>
      <c r="U10">
        <f>IF((ContinuousStatsTable[[#This Row],[RepsRequested]]&gt;1),ContinuousStatsTable[[#This Row],[HalfWidth]],ContinuousStatsTable[[#This Row],[BatchMeansHalfWidth]])</f>
        <v>1.299612064330544E-2</v>
      </c>
    </row>
    <row r="11" spans="1:21" x14ac:dyDescent="0.35">
      <c r="A11" t="s">
        <v>66</v>
      </c>
      <c r="B11" t="s">
        <v>69</v>
      </c>
      <c r="C11">
        <v>1</v>
      </c>
      <c r="D11" t="s">
        <v>91</v>
      </c>
      <c r="E11" t="s">
        <v>90</v>
      </c>
      <c r="F11" t="s">
        <v>88</v>
      </c>
      <c r="G11">
        <v>2</v>
      </c>
      <c r="H11">
        <v>2E+20</v>
      </c>
      <c r="I11">
        <v>2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1</v>
      </c>
      <c r="D12" t="s">
        <v>83</v>
      </c>
      <c r="E12" t="s">
        <v>84</v>
      </c>
      <c r="F12" t="s">
        <v>72</v>
      </c>
      <c r="G12">
        <v>2.4058217729622</v>
      </c>
      <c r="H12">
        <v>2E+20</v>
      </c>
      <c r="I12">
        <v>0</v>
      </c>
      <c r="J12">
        <v>5</v>
      </c>
      <c r="K12">
        <v>3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2.0230576660756401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3.1833377638216702</v>
      </c>
      <c r="U12" s="5">
        <f>IF((ContinuousStatsTable[[#This Row],[RepsRequested]]&gt;1),ContinuousStatsTable[[#This Row],[HalfWidth]],ContinuousStatsTable[[#This Row],[BatchMeansHalfWidth]])</f>
        <v>0.10275597124787904</v>
      </c>
    </row>
    <row r="13" spans="1:21" x14ac:dyDescent="0.35">
      <c r="A13" t="s">
        <v>66</v>
      </c>
      <c r="B13" t="s">
        <v>69</v>
      </c>
      <c r="C13">
        <v>2</v>
      </c>
      <c r="D13" t="s">
        <v>70</v>
      </c>
      <c r="E13" t="s">
        <v>84</v>
      </c>
      <c r="F13" t="s">
        <v>72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69</v>
      </c>
      <c r="C14">
        <v>2</v>
      </c>
      <c r="D14" t="s">
        <v>73</v>
      </c>
      <c r="E14" t="s">
        <v>84</v>
      </c>
      <c r="F14" t="s">
        <v>72</v>
      </c>
      <c r="G14">
        <v>6.3934661152006704</v>
      </c>
      <c r="H14">
        <v>2E+20</v>
      </c>
      <c r="I14">
        <v>0</v>
      </c>
      <c r="J14">
        <v>18</v>
      </c>
      <c r="K14">
        <v>16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0.475935837419309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14.545335118962701</v>
      </c>
      <c r="U14" s="5">
        <f>IF((ContinuousStatsTable[[#This Row],[RepsRequested]]&gt;1),ContinuousStatsTable[[#This Row],[HalfWidth]],ContinuousStatsTable[[#This Row],[BatchMeansHalfWidth]])</f>
        <v>1.1647272989250694</v>
      </c>
    </row>
    <row r="15" spans="1:21" x14ac:dyDescent="0.35">
      <c r="A15" t="s">
        <v>66</v>
      </c>
      <c r="B15" t="s">
        <v>69</v>
      </c>
      <c r="C15">
        <v>2</v>
      </c>
      <c r="D15" t="s">
        <v>74</v>
      </c>
      <c r="E15" t="s">
        <v>85</v>
      </c>
      <c r="F15" t="s">
        <v>76</v>
      </c>
      <c r="G15">
        <v>30.229808814233898</v>
      </c>
      <c r="H15">
        <v>2E+20</v>
      </c>
      <c r="I15">
        <v>0</v>
      </c>
      <c r="J15">
        <v>56</v>
      </c>
      <c r="K15">
        <v>52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16.614335916574898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47.992828685108996</v>
      </c>
      <c r="U15" s="5">
        <f>IF((ContinuousStatsTable[[#This Row],[RepsRequested]]&gt;1),ContinuousStatsTable[[#This Row],[HalfWidth]],ContinuousStatsTable[[#This Row],[BatchMeansHalfWidth]])</f>
        <v>2.6199410784579222</v>
      </c>
    </row>
    <row r="16" spans="1:21" x14ac:dyDescent="0.35">
      <c r="A16" t="s">
        <v>66</v>
      </c>
      <c r="B16" t="s">
        <v>69</v>
      </c>
      <c r="C16">
        <v>2</v>
      </c>
      <c r="D16" t="s">
        <v>86</v>
      </c>
      <c r="E16" t="s">
        <v>87</v>
      </c>
      <c r="F16" t="s">
        <v>88</v>
      </c>
      <c r="G16">
        <v>0.87214382919162603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0.71791407599347101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0.96105910626671998</v>
      </c>
      <c r="U16" s="5">
        <f>IF((ContinuousStatsTable[[#This Row],[RepsRequested]]&gt;1),ContinuousStatsTable[[#This Row],[HalfWidth]],ContinuousStatsTable[[#This Row],[BatchMeansHalfWidth]])</f>
        <v>2.0481590731410954E-2</v>
      </c>
    </row>
    <row r="17" spans="1:21" x14ac:dyDescent="0.35">
      <c r="A17" t="s">
        <v>66</v>
      </c>
      <c r="B17" t="s">
        <v>69</v>
      </c>
      <c r="C17">
        <v>2</v>
      </c>
      <c r="D17" t="s">
        <v>86</v>
      </c>
      <c r="E17" t="s">
        <v>89</v>
      </c>
      <c r="F17" t="s">
        <v>88</v>
      </c>
      <c r="G17">
        <v>8.7214382919162592</v>
      </c>
      <c r="H17">
        <v>2E+20</v>
      </c>
      <c r="I17">
        <v>0</v>
      </c>
      <c r="J17">
        <v>10</v>
      </c>
      <c r="K17">
        <v>10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7.1791407599347101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9.6105910626672006</v>
      </c>
      <c r="U17" s="5">
        <f>IF((ContinuousStatsTable[[#This Row],[RepsRequested]]&gt;1),ContinuousStatsTable[[#This Row],[HalfWidth]],ContinuousStatsTable[[#This Row],[BatchMeansHalfWidth]])</f>
        <v>0.20481590731410945</v>
      </c>
    </row>
    <row r="18" spans="1:21" x14ac:dyDescent="0.35">
      <c r="A18" t="s">
        <v>66</v>
      </c>
      <c r="B18" t="s">
        <v>69</v>
      </c>
      <c r="C18">
        <v>2</v>
      </c>
      <c r="D18" t="s">
        <v>86</v>
      </c>
      <c r="E18" t="s">
        <v>90</v>
      </c>
      <c r="F18" t="s">
        <v>88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69</v>
      </c>
      <c r="C19">
        <v>2</v>
      </c>
      <c r="D19" t="s">
        <v>82</v>
      </c>
      <c r="E19" t="s">
        <v>84</v>
      </c>
      <c r="F19" t="s">
        <v>72</v>
      </c>
      <c r="G19">
        <v>2.83796981627617</v>
      </c>
      <c r="H19">
        <v>2E+20</v>
      </c>
      <c r="I19">
        <v>0</v>
      </c>
      <c r="J19">
        <v>5</v>
      </c>
      <c r="K19">
        <v>3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2.1426391607582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3.27384557923344</v>
      </c>
      <c r="U19" s="5">
        <f>IF((ContinuousStatsTable[[#This Row],[RepsRequested]]&gt;1),ContinuousStatsTable[[#This Row],[HalfWidth]],ContinuousStatsTable[[#This Row],[BatchMeansHalfWidth]])</f>
        <v>9.1472887832627928E-2</v>
      </c>
    </row>
    <row r="20" spans="1:21" x14ac:dyDescent="0.35">
      <c r="A20" t="s">
        <v>66</v>
      </c>
      <c r="B20" t="s">
        <v>69</v>
      </c>
      <c r="C20">
        <v>2</v>
      </c>
      <c r="D20" t="s">
        <v>91</v>
      </c>
      <c r="E20" t="s">
        <v>87</v>
      </c>
      <c r="F20" t="s">
        <v>88</v>
      </c>
      <c r="G20">
        <v>0.995008537901798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0.92631153500444496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0.99913603041501298</v>
      </c>
      <c r="U20" s="5">
        <f>IF((ContinuousStatsTable[[#This Row],[RepsRequested]]&gt;1),ContinuousStatsTable[[#This Row],[HalfWidth]],ContinuousStatsTable[[#This Row],[BatchMeansHalfWidth]])</f>
        <v>6.4980603216527278E-3</v>
      </c>
    </row>
    <row r="21" spans="1:21" x14ac:dyDescent="0.35">
      <c r="A21" t="s">
        <v>66</v>
      </c>
      <c r="B21" t="s">
        <v>69</v>
      </c>
      <c r="C21">
        <v>2</v>
      </c>
      <c r="D21" t="s">
        <v>91</v>
      </c>
      <c r="E21" t="s">
        <v>89</v>
      </c>
      <c r="F21" t="s">
        <v>88</v>
      </c>
      <c r="G21">
        <v>1.9900170758036</v>
      </c>
      <c r="H21">
        <v>2E+20</v>
      </c>
      <c r="I21">
        <v>0</v>
      </c>
      <c r="J21">
        <v>2</v>
      </c>
      <c r="K21">
        <v>2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1.8526230700088899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1.99827206083003</v>
      </c>
      <c r="U21" s="5">
        <f>IF((ContinuousStatsTable[[#This Row],[RepsRequested]]&gt;1),ContinuousStatsTable[[#This Row],[HalfWidth]],ContinuousStatsTable[[#This Row],[BatchMeansHalfWidth]])</f>
        <v>1.299612064330544E-2</v>
      </c>
    </row>
    <row r="22" spans="1:21" x14ac:dyDescent="0.35">
      <c r="A22" t="s">
        <v>66</v>
      </c>
      <c r="B22" t="s">
        <v>69</v>
      </c>
      <c r="C22">
        <v>2</v>
      </c>
      <c r="D22" t="s">
        <v>91</v>
      </c>
      <c r="E22" t="s">
        <v>90</v>
      </c>
      <c r="F22" t="s">
        <v>88</v>
      </c>
      <c r="G22">
        <v>2</v>
      </c>
      <c r="H22">
        <v>2E+20</v>
      </c>
      <c r="I22">
        <v>2</v>
      </c>
      <c r="J22">
        <v>2</v>
      </c>
      <c r="K22">
        <v>2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2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69</v>
      </c>
      <c r="C23">
        <v>2</v>
      </c>
      <c r="D23" t="s">
        <v>83</v>
      </c>
      <c r="E23" t="s">
        <v>84</v>
      </c>
      <c r="F23" t="s">
        <v>72</v>
      </c>
      <c r="G23">
        <v>2.7024477597744698</v>
      </c>
      <c r="H23">
        <v>2E+20</v>
      </c>
      <c r="I23">
        <v>0</v>
      </c>
      <c r="J23">
        <v>5</v>
      </c>
      <c r="K23">
        <v>4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2.0230576660756401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3.1833377638216702</v>
      </c>
      <c r="U23" s="5">
        <f>IF((ContinuousStatsTable[[#This Row],[RepsRequested]]&gt;1),ContinuousStatsTable[[#This Row],[HalfWidth]],ContinuousStatsTable[[#This Row],[BatchMeansHalfWidth]])</f>
        <v>0.10275597124787904</v>
      </c>
    </row>
    <row r="24" spans="1:21" x14ac:dyDescent="0.35">
      <c r="A24" t="s">
        <v>66</v>
      </c>
      <c r="B24" t="s">
        <v>69</v>
      </c>
      <c r="C24">
        <v>3</v>
      </c>
      <c r="D24" t="s">
        <v>70</v>
      </c>
      <c r="E24" t="s">
        <v>84</v>
      </c>
      <c r="F24" t="s">
        <v>72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3</v>
      </c>
      <c r="D25" t="s">
        <v>73</v>
      </c>
      <c r="E25" t="s">
        <v>84</v>
      </c>
      <c r="F25" t="s">
        <v>72</v>
      </c>
      <c r="G25">
        <v>7.5080977217792997</v>
      </c>
      <c r="H25">
        <v>2E+20</v>
      </c>
      <c r="I25">
        <v>0</v>
      </c>
      <c r="J25">
        <v>21</v>
      </c>
      <c r="K25">
        <v>21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0.475935837419309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14.545335118962701</v>
      </c>
      <c r="U25" s="5">
        <f>IF((ContinuousStatsTable[[#This Row],[RepsRequested]]&gt;1),ContinuousStatsTable[[#This Row],[HalfWidth]],ContinuousStatsTable[[#This Row],[BatchMeansHalfWidth]])</f>
        <v>1.1647272989250694</v>
      </c>
    </row>
    <row r="26" spans="1:21" x14ac:dyDescent="0.35">
      <c r="A26" t="s">
        <v>66</v>
      </c>
      <c r="B26" t="s">
        <v>69</v>
      </c>
      <c r="C26">
        <v>3</v>
      </c>
      <c r="D26" t="s">
        <v>74</v>
      </c>
      <c r="E26" t="s">
        <v>85</v>
      </c>
      <c r="F26" t="s">
        <v>76</v>
      </c>
      <c r="G26">
        <v>33.509827963732398</v>
      </c>
      <c r="H26">
        <v>2E+20</v>
      </c>
      <c r="I26">
        <v>0</v>
      </c>
      <c r="J26">
        <v>62</v>
      </c>
      <c r="K26">
        <v>62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16.614335916574898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47.992828685108996</v>
      </c>
      <c r="U26" s="5">
        <f>IF((ContinuousStatsTable[[#This Row],[RepsRequested]]&gt;1),ContinuousStatsTable[[#This Row],[HalfWidth]],ContinuousStatsTable[[#This Row],[BatchMeansHalfWidth]])</f>
        <v>2.6199410784579222</v>
      </c>
    </row>
    <row r="27" spans="1:21" x14ac:dyDescent="0.35">
      <c r="A27" t="s">
        <v>66</v>
      </c>
      <c r="B27" t="s">
        <v>69</v>
      </c>
      <c r="C27">
        <v>3</v>
      </c>
      <c r="D27" t="s">
        <v>86</v>
      </c>
      <c r="E27" t="s">
        <v>87</v>
      </c>
      <c r="F27" t="s">
        <v>88</v>
      </c>
      <c r="G27">
        <v>0.92468162600869097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0.71791407599347101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0.96105910626671998</v>
      </c>
      <c r="U27" s="5">
        <f>IF((ContinuousStatsTable[[#This Row],[RepsRequested]]&gt;1),ContinuousStatsTable[[#This Row],[HalfWidth]],ContinuousStatsTable[[#This Row],[BatchMeansHalfWidth]])</f>
        <v>2.0481590731410954E-2</v>
      </c>
    </row>
    <row r="28" spans="1:21" x14ac:dyDescent="0.35">
      <c r="A28" t="s">
        <v>66</v>
      </c>
      <c r="B28" t="s">
        <v>69</v>
      </c>
      <c r="C28">
        <v>3</v>
      </c>
      <c r="D28" t="s">
        <v>86</v>
      </c>
      <c r="E28" t="s">
        <v>89</v>
      </c>
      <c r="F28" t="s">
        <v>88</v>
      </c>
      <c r="G28">
        <v>9.2468162600869093</v>
      </c>
      <c r="H28">
        <v>2E+20</v>
      </c>
      <c r="I28">
        <v>0</v>
      </c>
      <c r="J28">
        <v>10</v>
      </c>
      <c r="K28">
        <v>10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7.1791407599347101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9.6105910626672006</v>
      </c>
      <c r="U28" s="5">
        <f>IF((ContinuousStatsTable[[#This Row],[RepsRequested]]&gt;1),ContinuousStatsTable[[#This Row],[HalfWidth]],ContinuousStatsTable[[#This Row],[BatchMeansHalfWidth]])</f>
        <v>0.20481590731410945</v>
      </c>
    </row>
    <row r="29" spans="1:21" x14ac:dyDescent="0.35">
      <c r="A29" t="s">
        <v>66</v>
      </c>
      <c r="B29" t="s">
        <v>69</v>
      </c>
      <c r="C29">
        <v>3</v>
      </c>
      <c r="D29" t="s">
        <v>86</v>
      </c>
      <c r="E29" t="s">
        <v>90</v>
      </c>
      <c r="F29" t="s">
        <v>88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69</v>
      </c>
      <c r="C30">
        <v>3</v>
      </c>
      <c r="D30" t="s">
        <v>82</v>
      </c>
      <c r="E30" t="s">
        <v>84</v>
      </c>
      <c r="F30" t="s">
        <v>72</v>
      </c>
      <c r="G30">
        <v>3.0194657495410699</v>
      </c>
      <c r="H30">
        <v>2E+20</v>
      </c>
      <c r="I30">
        <v>0</v>
      </c>
      <c r="J30">
        <v>5</v>
      </c>
      <c r="K30">
        <v>4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2.1426391607582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3.27384557923344</v>
      </c>
      <c r="U30" s="5">
        <f>IF((ContinuousStatsTable[[#This Row],[RepsRequested]]&gt;1),ContinuousStatsTable[[#This Row],[HalfWidth]],ContinuousStatsTable[[#This Row],[BatchMeansHalfWidth]])</f>
        <v>9.1472887832627928E-2</v>
      </c>
    </row>
    <row r="31" spans="1:21" x14ac:dyDescent="0.35">
      <c r="A31" t="s">
        <v>66</v>
      </c>
      <c r="B31" t="s">
        <v>69</v>
      </c>
      <c r="C31">
        <v>3</v>
      </c>
      <c r="D31" t="s">
        <v>91</v>
      </c>
      <c r="E31" t="s">
        <v>87</v>
      </c>
      <c r="F31" t="s">
        <v>88</v>
      </c>
      <c r="G31">
        <v>0.99856922829015005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0.92631153500444496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0.99913603041501298</v>
      </c>
      <c r="U31" s="5">
        <f>IF((ContinuousStatsTable[[#This Row],[RepsRequested]]&gt;1),ContinuousStatsTable[[#This Row],[HalfWidth]],ContinuousStatsTable[[#This Row],[BatchMeansHalfWidth]])</f>
        <v>6.4980603216527278E-3</v>
      </c>
    </row>
    <row r="32" spans="1:21" x14ac:dyDescent="0.35">
      <c r="A32" t="s">
        <v>66</v>
      </c>
      <c r="B32" t="s">
        <v>69</v>
      </c>
      <c r="C32">
        <v>3</v>
      </c>
      <c r="D32" t="s">
        <v>91</v>
      </c>
      <c r="E32" t="s">
        <v>89</v>
      </c>
      <c r="F32" t="s">
        <v>88</v>
      </c>
      <c r="G32">
        <v>1.9971384565803001</v>
      </c>
      <c r="H32">
        <v>2E+20</v>
      </c>
      <c r="I32">
        <v>0</v>
      </c>
      <c r="J32">
        <v>2</v>
      </c>
      <c r="K32">
        <v>2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1.8526230700088899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1.99827206083003</v>
      </c>
      <c r="U32" s="5">
        <f>IF((ContinuousStatsTable[[#This Row],[RepsRequested]]&gt;1),ContinuousStatsTable[[#This Row],[HalfWidth]],ContinuousStatsTable[[#This Row],[BatchMeansHalfWidth]])</f>
        <v>1.299612064330544E-2</v>
      </c>
    </row>
    <row r="33" spans="1:21" x14ac:dyDescent="0.35">
      <c r="A33" t="s">
        <v>66</v>
      </c>
      <c r="B33" t="s">
        <v>69</v>
      </c>
      <c r="C33">
        <v>3</v>
      </c>
      <c r="D33" t="s">
        <v>91</v>
      </c>
      <c r="E33" t="s">
        <v>90</v>
      </c>
      <c r="F33" t="s">
        <v>88</v>
      </c>
      <c r="G33">
        <v>2</v>
      </c>
      <c r="H33">
        <v>2E+20</v>
      </c>
      <c r="I33">
        <v>2</v>
      </c>
      <c r="J33">
        <v>2</v>
      </c>
      <c r="K33">
        <v>2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2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2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69</v>
      </c>
      <c r="C34">
        <v>3</v>
      </c>
      <c r="D34" t="s">
        <v>83</v>
      </c>
      <c r="E34" t="s">
        <v>84</v>
      </c>
      <c r="F34" t="s">
        <v>72</v>
      </c>
      <c r="G34">
        <v>3.0038733558349802</v>
      </c>
      <c r="H34">
        <v>2E+20</v>
      </c>
      <c r="I34">
        <v>0</v>
      </c>
      <c r="J34">
        <v>5</v>
      </c>
      <c r="K34">
        <v>2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2.0230576660756401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3.1833377638216702</v>
      </c>
      <c r="U34" s="5">
        <f>IF((ContinuousStatsTable[[#This Row],[RepsRequested]]&gt;1),ContinuousStatsTable[[#This Row],[HalfWidth]],ContinuousStatsTable[[#This Row],[BatchMeansHalfWidth]])</f>
        <v>0.10275597124787904</v>
      </c>
    </row>
    <row r="35" spans="1:21" x14ac:dyDescent="0.35">
      <c r="A35" t="s">
        <v>66</v>
      </c>
      <c r="B35" t="s">
        <v>69</v>
      </c>
      <c r="C35">
        <v>4</v>
      </c>
      <c r="D35" t="s">
        <v>70</v>
      </c>
      <c r="E35" t="s">
        <v>84</v>
      </c>
      <c r="F35" t="s">
        <v>72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69</v>
      </c>
      <c r="C36">
        <v>4</v>
      </c>
      <c r="D36" t="s">
        <v>73</v>
      </c>
      <c r="E36" t="s">
        <v>84</v>
      </c>
      <c r="F36" t="s">
        <v>72</v>
      </c>
      <c r="G36">
        <v>8.8528269236472106</v>
      </c>
      <c r="H36">
        <v>2E+20</v>
      </c>
      <c r="I36">
        <v>0</v>
      </c>
      <c r="J36">
        <v>25</v>
      </c>
      <c r="K36">
        <v>22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0.475935837419309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14.545335118962701</v>
      </c>
      <c r="U36" s="5">
        <f>IF((ContinuousStatsTable[[#This Row],[RepsRequested]]&gt;1),ContinuousStatsTable[[#This Row],[HalfWidth]],ContinuousStatsTable[[#This Row],[BatchMeansHalfWidth]])</f>
        <v>1.1647272989250694</v>
      </c>
    </row>
    <row r="37" spans="1:21" x14ac:dyDescent="0.35">
      <c r="A37" t="s">
        <v>66</v>
      </c>
      <c r="B37" t="s">
        <v>69</v>
      </c>
      <c r="C37">
        <v>4</v>
      </c>
      <c r="D37" t="s">
        <v>74</v>
      </c>
      <c r="E37" t="s">
        <v>85</v>
      </c>
      <c r="F37" t="s">
        <v>76</v>
      </c>
      <c r="G37">
        <v>36.366067463643198</v>
      </c>
      <c r="H37">
        <v>2E+20</v>
      </c>
      <c r="I37">
        <v>0</v>
      </c>
      <c r="J37">
        <v>70</v>
      </c>
      <c r="K37">
        <v>64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16.614335916574898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47.992828685108996</v>
      </c>
      <c r="U37" s="5">
        <f>IF((ContinuousStatsTable[[#This Row],[RepsRequested]]&gt;1),ContinuousStatsTable[[#This Row],[HalfWidth]],ContinuousStatsTable[[#This Row],[BatchMeansHalfWidth]])</f>
        <v>2.6199410784579222</v>
      </c>
    </row>
    <row r="38" spans="1:21" x14ac:dyDescent="0.35">
      <c r="A38" t="s">
        <v>66</v>
      </c>
      <c r="B38" t="s">
        <v>69</v>
      </c>
      <c r="C38">
        <v>4</v>
      </c>
      <c r="D38" t="s">
        <v>86</v>
      </c>
      <c r="E38" t="s">
        <v>87</v>
      </c>
      <c r="F38" t="s">
        <v>88</v>
      </c>
      <c r="G38">
        <v>0.93302068081744105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0.71791407599347101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0.96105910626671998</v>
      </c>
      <c r="U38" s="5">
        <f>IF((ContinuousStatsTable[[#This Row],[RepsRequested]]&gt;1),ContinuousStatsTable[[#This Row],[HalfWidth]],ContinuousStatsTable[[#This Row],[BatchMeansHalfWidth]])</f>
        <v>2.0481590731410954E-2</v>
      </c>
    </row>
    <row r="39" spans="1:21" x14ac:dyDescent="0.35">
      <c r="A39" t="s">
        <v>66</v>
      </c>
      <c r="B39" t="s">
        <v>69</v>
      </c>
      <c r="C39">
        <v>4</v>
      </c>
      <c r="D39" t="s">
        <v>86</v>
      </c>
      <c r="E39" t="s">
        <v>89</v>
      </c>
      <c r="F39" t="s">
        <v>88</v>
      </c>
      <c r="G39">
        <v>9.3302068081744096</v>
      </c>
      <c r="H39">
        <v>2E+20</v>
      </c>
      <c r="I39">
        <v>0</v>
      </c>
      <c r="J39">
        <v>10</v>
      </c>
      <c r="K39">
        <v>10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7.1791407599347101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9.6105910626672006</v>
      </c>
      <c r="U39" s="5">
        <f>IF((ContinuousStatsTable[[#This Row],[RepsRequested]]&gt;1),ContinuousStatsTable[[#This Row],[HalfWidth]],ContinuousStatsTable[[#This Row],[BatchMeansHalfWidth]])</f>
        <v>0.20481590731410945</v>
      </c>
    </row>
    <row r="40" spans="1:21" x14ac:dyDescent="0.35">
      <c r="A40" t="s">
        <v>66</v>
      </c>
      <c r="B40" t="s">
        <v>69</v>
      </c>
      <c r="C40">
        <v>4</v>
      </c>
      <c r="D40" t="s">
        <v>86</v>
      </c>
      <c r="E40" t="s">
        <v>90</v>
      </c>
      <c r="F40" t="s">
        <v>88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69</v>
      </c>
      <c r="C41">
        <v>4</v>
      </c>
      <c r="D41" t="s">
        <v>82</v>
      </c>
      <c r="E41" t="s">
        <v>84</v>
      </c>
      <c r="F41" t="s">
        <v>72</v>
      </c>
      <c r="G41">
        <v>3.1660062759948899</v>
      </c>
      <c r="H41">
        <v>2E+20</v>
      </c>
      <c r="I41">
        <v>0</v>
      </c>
      <c r="J41">
        <v>5</v>
      </c>
      <c r="K41">
        <v>4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2.1426391607582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3.27384557923344</v>
      </c>
      <c r="U41" s="5">
        <f>IF((ContinuousStatsTable[[#This Row],[RepsRequested]]&gt;1),ContinuousStatsTable[[#This Row],[HalfWidth]],ContinuousStatsTable[[#This Row],[BatchMeansHalfWidth]])</f>
        <v>9.1472887832627928E-2</v>
      </c>
    </row>
    <row r="42" spans="1:21" x14ac:dyDescent="0.35">
      <c r="A42" t="s">
        <v>66</v>
      </c>
      <c r="B42" t="s">
        <v>69</v>
      </c>
      <c r="C42">
        <v>4</v>
      </c>
      <c r="D42" t="s">
        <v>91</v>
      </c>
      <c r="E42" t="s">
        <v>87</v>
      </c>
      <c r="F42" t="s">
        <v>88</v>
      </c>
      <c r="G42">
        <v>0.977968180261926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0.92631153500444496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0.99913603041501298</v>
      </c>
      <c r="U42" s="5">
        <f>IF((ContinuousStatsTable[[#This Row],[RepsRequested]]&gt;1),ContinuousStatsTable[[#This Row],[HalfWidth]],ContinuousStatsTable[[#This Row],[BatchMeansHalfWidth]])</f>
        <v>6.4980603216527278E-3</v>
      </c>
    </row>
    <row r="43" spans="1:21" x14ac:dyDescent="0.35">
      <c r="A43" t="s">
        <v>66</v>
      </c>
      <c r="B43" t="s">
        <v>69</v>
      </c>
      <c r="C43">
        <v>4</v>
      </c>
      <c r="D43" t="s">
        <v>91</v>
      </c>
      <c r="E43" t="s">
        <v>89</v>
      </c>
      <c r="F43" t="s">
        <v>88</v>
      </c>
      <c r="G43">
        <v>1.95593636052385</v>
      </c>
      <c r="H43">
        <v>2E+20</v>
      </c>
      <c r="I43">
        <v>0</v>
      </c>
      <c r="J43">
        <v>2</v>
      </c>
      <c r="K43">
        <v>2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1.8526230700088899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1.99827206083003</v>
      </c>
      <c r="U43" s="5">
        <f>IF((ContinuousStatsTable[[#This Row],[RepsRequested]]&gt;1),ContinuousStatsTable[[#This Row],[HalfWidth]],ContinuousStatsTable[[#This Row],[BatchMeansHalfWidth]])</f>
        <v>1.299612064330544E-2</v>
      </c>
    </row>
    <row r="44" spans="1:21" x14ac:dyDescent="0.35">
      <c r="A44" t="s">
        <v>66</v>
      </c>
      <c r="B44" t="s">
        <v>69</v>
      </c>
      <c r="C44">
        <v>4</v>
      </c>
      <c r="D44" t="s">
        <v>91</v>
      </c>
      <c r="E44" t="s">
        <v>90</v>
      </c>
      <c r="F44" t="s">
        <v>88</v>
      </c>
      <c r="G44">
        <v>2</v>
      </c>
      <c r="H44">
        <v>2E+20</v>
      </c>
      <c r="I44">
        <v>2</v>
      </c>
      <c r="J44">
        <v>2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69</v>
      </c>
      <c r="C45">
        <v>4</v>
      </c>
      <c r="D45" t="s">
        <v>83</v>
      </c>
      <c r="E45" t="s">
        <v>84</v>
      </c>
      <c r="F45" t="s">
        <v>72</v>
      </c>
      <c r="G45">
        <v>3.03928320884769</v>
      </c>
      <c r="H45">
        <v>2E+20</v>
      </c>
      <c r="I45">
        <v>0</v>
      </c>
      <c r="J45">
        <v>5</v>
      </c>
      <c r="K45">
        <v>3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2.0230576660756401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3.1833377638216702</v>
      </c>
      <c r="U45" s="5">
        <f>IF((ContinuousStatsTable[[#This Row],[RepsRequested]]&gt;1),ContinuousStatsTable[[#This Row],[HalfWidth]],ContinuousStatsTable[[#This Row],[BatchMeansHalfWidth]])</f>
        <v>0.10275597124787904</v>
      </c>
    </row>
    <row r="46" spans="1:21" x14ac:dyDescent="0.35">
      <c r="A46" t="s">
        <v>66</v>
      </c>
      <c r="B46" t="s">
        <v>69</v>
      </c>
      <c r="C46">
        <v>5</v>
      </c>
      <c r="D46" t="s">
        <v>70</v>
      </c>
      <c r="E46" t="s">
        <v>84</v>
      </c>
      <c r="F46" t="s">
        <v>72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5</v>
      </c>
      <c r="D47" t="s">
        <v>73</v>
      </c>
      <c r="E47" t="s">
        <v>84</v>
      </c>
      <c r="F47" t="s">
        <v>72</v>
      </c>
      <c r="G47">
        <v>11.768961111683801</v>
      </c>
      <c r="H47">
        <v>2E+20</v>
      </c>
      <c r="I47">
        <v>0</v>
      </c>
      <c r="J47">
        <v>24</v>
      </c>
      <c r="K47">
        <v>21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0.475935837419309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14.545335118962701</v>
      </c>
      <c r="U47" s="5">
        <f>IF((ContinuousStatsTable[[#This Row],[RepsRequested]]&gt;1),ContinuousStatsTable[[#This Row],[HalfWidth]],ContinuousStatsTable[[#This Row],[BatchMeansHalfWidth]])</f>
        <v>1.1647272989250694</v>
      </c>
    </row>
    <row r="48" spans="1:21" x14ac:dyDescent="0.35">
      <c r="A48" t="s">
        <v>66</v>
      </c>
      <c r="B48" t="s">
        <v>69</v>
      </c>
      <c r="C48">
        <v>5</v>
      </c>
      <c r="D48" t="s">
        <v>74</v>
      </c>
      <c r="E48" t="s">
        <v>85</v>
      </c>
      <c r="F48" t="s">
        <v>76</v>
      </c>
      <c r="G48">
        <v>42.186589525090398</v>
      </c>
      <c r="H48">
        <v>2E+20</v>
      </c>
      <c r="I48">
        <v>0</v>
      </c>
      <c r="J48">
        <v>68</v>
      </c>
      <c r="K48">
        <v>62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16.614335916574898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47.992828685108996</v>
      </c>
      <c r="U48" s="5">
        <f>IF((ContinuousStatsTable[[#This Row],[RepsRequested]]&gt;1),ContinuousStatsTable[[#This Row],[HalfWidth]],ContinuousStatsTable[[#This Row],[BatchMeansHalfWidth]])</f>
        <v>2.6199410784579222</v>
      </c>
    </row>
    <row r="49" spans="1:21" x14ac:dyDescent="0.35">
      <c r="A49" t="s">
        <v>66</v>
      </c>
      <c r="B49" t="s">
        <v>69</v>
      </c>
      <c r="C49">
        <v>5</v>
      </c>
      <c r="D49" t="s">
        <v>86</v>
      </c>
      <c r="E49" t="s">
        <v>87</v>
      </c>
      <c r="F49" t="s">
        <v>88</v>
      </c>
      <c r="G49">
        <v>0.93243336508614005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0.71791407599347101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0.96105910626671998</v>
      </c>
      <c r="U49" s="5">
        <f>IF((ContinuousStatsTable[[#This Row],[RepsRequested]]&gt;1),ContinuousStatsTable[[#This Row],[HalfWidth]],ContinuousStatsTable[[#This Row],[BatchMeansHalfWidth]])</f>
        <v>2.0481590731410954E-2</v>
      </c>
    </row>
    <row r="50" spans="1:21" x14ac:dyDescent="0.35">
      <c r="A50" t="s">
        <v>66</v>
      </c>
      <c r="B50" t="s">
        <v>69</v>
      </c>
      <c r="C50">
        <v>5</v>
      </c>
      <c r="D50" t="s">
        <v>86</v>
      </c>
      <c r="E50" t="s">
        <v>89</v>
      </c>
      <c r="F50" t="s">
        <v>88</v>
      </c>
      <c r="G50">
        <v>9.3243336508613996</v>
      </c>
      <c r="H50">
        <v>2E+20</v>
      </c>
      <c r="I50">
        <v>0</v>
      </c>
      <c r="J50">
        <v>10</v>
      </c>
      <c r="K50">
        <v>10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7.1791407599347101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9.6105910626672006</v>
      </c>
      <c r="U50" s="5">
        <f>IF((ContinuousStatsTable[[#This Row],[RepsRequested]]&gt;1),ContinuousStatsTable[[#This Row],[HalfWidth]],ContinuousStatsTable[[#This Row],[BatchMeansHalfWidth]])</f>
        <v>0.20481590731410945</v>
      </c>
    </row>
    <row r="51" spans="1:21" x14ac:dyDescent="0.35">
      <c r="A51" t="s">
        <v>66</v>
      </c>
      <c r="B51" t="s">
        <v>69</v>
      </c>
      <c r="C51">
        <v>5</v>
      </c>
      <c r="D51" t="s">
        <v>86</v>
      </c>
      <c r="E51" t="s">
        <v>90</v>
      </c>
      <c r="F51" t="s">
        <v>88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5</v>
      </c>
      <c r="D52" t="s">
        <v>82</v>
      </c>
      <c r="E52" t="s">
        <v>84</v>
      </c>
      <c r="F52" t="s">
        <v>72</v>
      </c>
      <c r="G52">
        <v>3.1234569825578902</v>
      </c>
      <c r="H52">
        <v>2E+20</v>
      </c>
      <c r="I52">
        <v>0</v>
      </c>
      <c r="J52">
        <v>5</v>
      </c>
      <c r="K52">
        <v>4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2.1426391607582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3.27384557923344</v>
      </c>
      <c r="U52" s="5">
        <f>IF((ContinuousStatsTable[[#This Row],[RepsRequested]]&gt;1),ContinuousStatsTable[[#This Row],[HalfWidth]],ContinuousStatsTable[[#This Row],[BatchMeansHalfWidth]])</f>
        <v>9.1472887832627928E-2</v>
      </c>
    </row>
    <row r="53" spans="1:21" x14ac:dyDescent="0.35">
      <c r="A53" t="s">
        <v>66</v>
      </c>
      <c r="B53" t="s">
        <v>69</v>
      </c>
      <c r="C53">
        <v>5</v>
      </c>
      <c r="D53" t="s">
        <v>91</v>
      </c>
      <c r="E53" t="s">
        <v>87</v>
      </c>
      <c r="F53" t="s">
        <v>88</v>
      </c>
      <c r="G53">
        <v>0.96772241811315096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0.92631153500444496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0.99913603041501298</v>
      </c>
      <c r="U53" s="5">
        <f>IF((ContinuousStatsTable[[#This Row],[RepsRequested]]&gt;1),ContinuousStatsTable[[#This Row],[HalfWidth]],ContinuousStatsTable[[#This Row],[BatchMeansHalfWidth]])</f>
        <v>6.4980603216527278E-3</v>
      </c>
    </row>
    <row r="54" spans="1:21" x14ac:dyDescent="0.35">
      <c r="A54" t="s">
        <v>66</v>
      </c>
      <c r="B54" t="s">
        <v>69</v>
      </c>
      <c r="C54">
        <v>5</v>
      </c>
      <c r="D54" t="s">
        <v>91</v>
      </c>
      <c r="E54" t="s">
        <v>89</v>
      </c>
      <c r="F54" t="s">
        <v>88</v>
      </c>
      <c r="G54">
        <v>1.9354448362262999</v>
      </c>
      <c r="H54">
        <v>2E+20</v>
      </c>
      <c r="I54">
        <v>0</v>
      </c>
      <c r="J54">
        <v>2</v>
      </c>
      <c r="K54">
        <v>2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1.8526230700088899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1.99827206083003</v>
      </c>
      <c r="U54" s="5">
        <f>IF((ContinuousStatsTable[[#This Row],[RepsRequested]]&gt;1),ContinuousStatsTable[[#This Row],[HalfWidth]],ContinuousStatsTable[[#This Row],[BatchMeansHalfWidth]])</f>
        <v>1.299612064330544E-2</v>
      </c>
    </row>
    <row r="55" spans="1:21" x14ac:dyDescent="0.35">
      <c r="A55" t="s">
        <v>66</v>
      </c>
      <c r="B55" t="s">
        <v>69</v>
      </c>
      <c r="C55">
        <v>5</v>
      </c>
      <c r="D55" t="s">
        <v>91</v>
      </c>
      <c r="E55" t="s">
        <v>90</v>
      </c>
      <c r="F55" t="s">
        <v>88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69</v>
      </c>
      <c r="C56">
        <v>5</v>
      </c>
      <c r="D56" t="s">
        <v>83</v>
      </c>
      <c r="E56" t="s">
        <v>84</v>
      </c>
      <c r="F56" t="s">
        <v>72</v>
      </c>
      <c r="G56">
        <v>3.0741379770972501</v>
      </c>
      <c r="H56">
        <v>2E+20</v>
      </c>
      <c r="I56">
        <v>0</v>
      </c>
      <c r="J56">
        <v>5</v>
      </c>
      <c r="K56">
        <v>2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2.0230576660756401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3.1833377638216702</v>
      </c>
      <c r="U56" s="5">
        <f>IF((ContinuousStatsTable[[#This Row],[RepsRequested]]&gt;1),ContinuousStatsTable[[#This Row],[HalfWidth]],ContinuousStatsTable[[#This Row],[BatchMeansHalfWidth]])</f>
        <v>0.10275597124787904</v>
      </c>
    </row>
    <row r="57" spans="1:21" x14ac:dyDescent="0.35">
      <c r="A57" t="s">
        <v>66</v>
      </c>
      <c r="B57" t="s">
        <v>69</v>
      </c>
      <c r="C57">
        <v>6</v>
      </c>
      <c r="D57" t="s">
        <v>70</v>
      </c>
      <c r="E57" t="s">
        <v>84</v>
      </c>
      <c r="F57" t="s">
        <v>72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6</v>
      </c>
      <c r="D58" t="s">
        <v>73</v>
      </c>
      <c r="E58" t="s">
        <v>84</v>
      </c>
      <c r="F58" t="s">
        <v>72</v>
      </c>
      <c r="G58">
        <v>14.545335118962701</v>
      </c>
      <c r="H58">
        <v>2E+20</v>
      </c>
      <c r="I58">
        <v>0</v>
      </c>
      <c r="J58">
        <v>33</v>
      </c>
      <c r="K58">
        <v>31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0.475935837419309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14.545335118962701</v>
      </c>
      <c r="U58" s="5">
        <f>IF((ContinuousStatsTable[[#This Row],[RepsRequested]]&gt;1),ContinuousStatsTable[[#This Row],[HalfWidth]],ContinuousStatsTable[[#This Row],[BatchMeansHalfWidth]])</f>
        <v>1.1647272989250694</v>
      </c>
    </row>
    <row r="59" spans="1:21" x14ac:dyDescent="0.35">
      <c r="A59" t="s">
        <v>66</v>
      </c>
      <c r="B59" t="s">
        <v>69</v>
      </c>
      <c r="C59">
        <v>6</v>
      </c>
      <c r="D59" t="s">
        <v>74</v>
      </c>
      <c r="E59" t="s">
        <v>85</v>
      </c>
      <c r="F59" t="s">
        <v>76</v>
      </c>
      <c r="G59">
        <v>47.992828685108996</v>
      </c>
      <c r="H59">
        <v>2E+20</v>
      </c>
      <c r="I59">
        <v>0</v>
      </c>
      <c r="J59">
        <v>86</v>
      </c>
      <c r="K59">
        <v>82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16.614335916574898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47.992828685108996</v>
      </c>
      <c r="U59" s="5">
        <f>IF((ContinuousStatsTable[[#This Row],[RepsRequested]]&gt;1),ContinuousStatsTable[[#This Row],[HalfWidth]],ContinuousStatsTable[[#This Row],[BatchMeansHalfWidth]])</f>
        <v>2.6199410784579222</v>
      </c>
    </row>
    <row r="60" spans="1:21" x14ac:dyDescent="0.35">
      <c r="A60" t="s">
        <v>66</v>
      </c>
      <c r="B60" t="s">
        <v>69</v>
      </c>
      <c r="C60">
        <v>6</v>
      </c>
      <c r="D60" t="s">
        <v>86</v>
      </c>
      <c r="E60" t="s">
        <v>87</v>
      </c>
      <c r="F60" t="s">
        <v>88</v>
      </c>
      <c r="G60">
        <v>0.94510792235917396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0.71791407599347101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0.96105910626671998</v>
      </c>
      <c r="U60" s="5">
        <f>IF((ContinuousStatsTable[[#This Row],[RepsRequested]]&gt;1),ContinuousStatsTable[[#This Row],[HalfWidth]],ContinuousStatsTable[[#This Row],[BatchMeansHalfWidth]])</f>
        <v>2.0481590731410954E-2</v>
      </c>
    </row>
    <row r="61" spans="1:21" x14ac:dyDescent="0.35">
      <c r="A61" t="s">
        <v>66</v>
      </c>
      <c r="B61" t="s">
        <v>69</v>
      </c>
      <c r="C61">
        <v>6</v>
      </c>
      <c r="D61" t="s">
        <v>86</v>
      </c>
      <c r="E61" t="s">
        <v>89</v>
      </c>
      <c r="F61" t="s">
        <v>88</v>
      </c>
      <c r="G61">
        <v>9.4510792235917496</v>
      </c>
      <c r="H61">
        <v>2E+20</v>
      </c>
      <c r="I61">
        <v>0</v>
      </c>
      <c r="J61">
        <v>10</v>
      </c>
      <c r="K61">
        <v>10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7.1791407599347101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9.6105910626672006</v>
      </c>
      <c r="U61" s="5">
        <f>IF((ContinuousStatsTable[[#This Row],[RepsRequested]]&gt;1),ContinuousStatsTable[[#This Row],[HalfWidth]],ContinuousStatsTable[[#This Row],[BatchMeansHalfWidth]])</f>
        <v>0.20481590731410945</v>
      </c>
    </row>
    <row r="62" spans="1:21" x14ac:dyDescent="0.35">
      <c r="A62" t="s">
        <v>66</v>
      </c>
      <c r="B62" t="s">
        <v>69</v>
      </c>
      <c r="C62">
        <v>6</v>
      </c>
      <c r="D62" t="s">
        <v>86</v>
      </c>
      <c r="E62" t="s">
        <v>90</v>
      </c>
      <c r="F62" t="s">
        <v>88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69</v>
      </c>
      <c r="C63">
        <v>6</v>
      </c>
      <c r="D63" t="s">
        <v>82</v>
      </c>
      <c r="E63" t="s">
        <v>84</v>
      </c>
      <c r="F63" t="s">
        <v>72</v>
      </c>
      <c r="G63">
        <v>3.0870907164728298</v>
      </c>
      <c r="H63">
        <v>2E+20</v>
      </c>
      <c r="I63">
        <v>0</v>
      </c>
      <c r="J63">
        <v>5</v>
      </c>
      <c r="K63">
        <v>3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2.1426391607582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3.27384557923344</v>
      </c>
      <c r="U63" s="5">
        <f>IF((ContinuousStatsTable[[#This Row],[RepsRequested]]&gt;1),ContinuousStatsTable[[#This Row],[HalfWidth]],ContinuousStatsTable[[#This Row],[BatchMeansHalfWidth]])</f>
        <v>9.1472887832627928E-2</v>
      </c>
    </row>
    <row r="64" spans="1:21" x14ac:dyDescent="0.35">
      <c r="A64" t="s">
        <v>66</v>
      </c>
      <c r="B64" t="s">
        <v>69</v>
      </c>
      <c r="C64">
        <v>6</v>
      </c>
      <c r="D64" t="s">
        <v>91</v>
      </c>
      <c r="E64" t="s">
        <v>87</v>
      </c>
      <c r="F64" t="s">
        <v>88</v>
      </c>
      <c r="G64">
        <v>0.991313302322404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0.92631153500444496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0.99913603041501298</v>
      </c>
      <c r="U64" s="5">
        <f>IF((ContinuousStatsTable[[#This Row],[RepsRequested]]&gt;1),ContinuousStatsTable[[#This Row],[HalfWidth]],ContinuousStatsTable[[#This Row],[BatchMeansHalfWidth]])</f>
        <v>6.4980603216527278E-3</v>
      </c>
    </row>
    <row r="65" spans="1:21" x14ac:dyDescent="0.35">
      <c r="A65" t="s">
        <v>66</v>
      </c>
      <c r="B65" t="s">
        <v>69</v>
      </c>
      <c r="C65">
        <v>6</v>
      </c>
      <c r="D65" t="s">
        <v>91</v>
      </c>
      <c r="E65" t="s">
        <v>89</v>
      </c>
      <c r="F65" t="s">
        <v>88</v>
      </c>
      <c r="G65">
        <v>1.98262660464481</v>
      </c>
      <c r="H65">
        <v>2E+20</v>
      </c>
      <c r="I65">
        <v>0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1.8526230700088899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1.99827206083003</v>
      </c>
      <c r="U65" s="5">
        <f>IF((ContinuousStatsTable[[#This Row],[RepsRequested]]&gt;1),ContinuousStatsTable[[#This Row],[HalfWidth]],ContinuousStatsTable[[#This Row],[BatchMeansHalfWidth]])</f>
        <v>1.299612064330544E-2</v>
      </c>
    </row>
    <row r="66" spans="1:21" x14ac:dyDescent="0.35">
      <c r="A66" t="s">
        <v>66</v>
      </c>
      <c r="B66" t="s">
        <v>69</v>
      </c>
      <c r="C66">
        <v>6</v>
      </c>
      <c r="D66" t="s">
        <v>91</v>
      </c>
      <c r="E66" t="s">
        <v>90</v>
      </c>
      <c r="F66" t="s">
        <v>88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6</v>
      </c>
      <c r="D67" t="s">
        <v>83</v>
      </c>
      <c r="E67" t="s">
        <v>84</v>
      </c>
      <c r="F67" t="s">
        <v>72</v>
      </c>
      <c r="G67">
        <v>3.1770392136915899</v>
      </c>
      <c r="H67">
        <v>2E+20</v>
      </c>
      <c r="I67">
        <v>0</v>
      </c>
      <c r="J67">
        <v>5</v>
      </c>
      <c r="K67">
        <v>4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2.0230576660756401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3.1833377638216702</v>
      </c>
      <c r="U67" s="5">
        <f>IF((ContinuousStatsTable[[#This Row],[RepsRequested]]&gt;1),ContinuousStatsTable[[#This Row],[HalfWidth]],ContinuousStatsTable[[#This Row],[BatchMeansHalfWidth]])</f>
        <v>0.10275597124787904</v>
      </c>
    </row>
    <row r="68" spans="1:21" x14ac:dyDescent="0.35">
      <c r="A68" t="s">
        <v>66</v>
      </c>
      <c r="B68" t="s">
        <v>69</v>
      </c>
      <c r="C68">
        <v>7</v>
      </c>
      <c r="D68" t="s">
        <v>70</v>
      </c>
      <c r="E68" t="s">
        <v>84</v>
      </c>
      <c r="F68" t="s">
        <v>72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69</v>
      </c>
      <c r="C69">
        <v>7</v>
      </c>
      <c r="D69" t="s">
        <v>73</v>
      </c>
      <c r="E69" t="s">
        <v>84</v>
      </c>
      <c r="F69" t="s">
        <v>72</v>
      </c>
      <c r="G69">
        <v>0.475935837419309</v>
      </c>
      <c r="H69">
        <v>2E+20</v>
      </c>
      <c r="I69">
        <v>0</v>
      </c>
      <c r="J69">
        <v>4</v>
      </c>
      <c r="K69">
        <v>2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0.475935837419309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14.545335118962701</v>
      </c>
      <c r="U69" s="5">
        <f>IF((ContinuousStatsTable[[#This Row],[RepsRequested]]&gt;1),ContinuousStatsTable[[#This Row],[HalfWidth]],ContinuousStatsTable[[#This Row],[BatchMeansHalfWidth]])</f>
        <v>1.1647272989250694</v>
      </c>
    </row>
    <row r="70" spans="1:21" x14ac:dyDescent="0.35">
      <c r="A70" t="s">
        <v>66</v>
      </c>
      <c r="B70" t="s">
        <v>69</v>
      </c>
      <c r="C70">
        <v>7</v>
      </c>
      <c r="D70" t="s">
        <v>74</v>
      </c>
      <c r="E70" t="s">
        <v>85</v>
      </c>
      <c r="F70" t="s">
        <v>76</v>
      </c>
      <c r="G70">
        <v>17.2648050393815</v>
      </c>
      <c r="H70">
        <v>2E+20</v>
      </c>
      <c r="I70">
        <v>0</v>
      </c>
      <c r="J70">
        <v>28</v>
      </c>
      <c r="K70">
        <v>24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16.614335916574898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47.992828685108996</v>
      </c>
      <c r="U70" s="5">
        <f>IF((ContinuousStatsTable[[#This Row],[RepsRequested]]&gt;1),ContinuousStatsTable[[#This Row],[HalfWidth]],ContinuousStatsTable[[#This Row],[BatchMeansHalfWidth]])</f>
        <v>2.6199410784579222</v>
      </c>
    </row>
    <row r="71" spans="1:21" x14ac:dyDescent="0.35">
      <c r="A71" t="s">
        <v>66</v>
      </c>
      <c r="B71" t="s">
        <v>69</v>
      </c>
      <c r="C71">
        <v>7</v>
      </c>
      <c r="D71" t="s">
        <v>86</v>
      </c>
      <c r="E71" t="s">
        <v>87</v>
      </c>
      <c r="F71" t="s">
        <v>88</v>
      </c>
      <c r="G71">
        <v>0.81564666822714205</v>
      </c>
      <c r="H71">
        <v>2E+20</v>
      </c>
      <c r="I71">
        <v>0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0.71791407599347101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0.96105910626671998</v>
      </c>
      <c r="U71" s="5">
        <f>IF((ContinuousStatsTable[[#This Row],[RepsRequested]]&gt;1),ContinuousStatsTable[[#This Row],[HalfWidth]],ContinuousStatsTable[[#This Row],[BatchMeansHalfWidth]])</f>
        <v>2.0481590731410954E-2</v>
      </c>
    </row>
    <row r="72" spans="1:21" x14ac:dyDescent="0.35">
      <c r="A72" t="s">
        <v>66</v>
      </c>
      <c r="B72" t="s">
        <v>69</v>
      </c>
      <c r="C72">
        <v>7</v>
      </c>
      <c r="D72" t="s">
        <v>86</v>
      </c>
      <c r="E72" t="s">
        <v>89</v>
      </c>
      <c r="F72" t="s">
        <v>88</v>
      </c>
      <c r="G72">
        <v>8.1564666822714198</v>
      </c>
      <c r="H72">
        <v>2E+20</v>
      </c>
      <c r="I72">
        <v>0</v>
      </c>
      <c r="J72">
        <v>10</v>
      </c>
      <c r="K72">
        <v>10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7.1791407599347101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9.6105910626672006</v>
      </c>
      <c r="U72" s="5">
        <f>IF((ContinuousStatsTable[[#This Row],[RepsRequested]]&gt;1),ContinuousStatsTable[[#This Row],[HalfWidth]],ContinuousStatsTable[[#This Row],[BatchMeansHalfWidth]])</f>
        <v>0.20481590731410945</v>
      </c>
    </row>
    <row r="73" spans="1:21" x14ac:dyDescent="0.35">
      <c r="A73" t="s">
        <v>66</v>
      </c>
      <c r="B73" t="s">
        <v>69</v>
      </c>
      <c r="C73">
        <v>7</v>
      </c>
      <c r="D73" t="s">
        <v>86</v>
      </c>
      <c r="E73" t="s">
        <v>90</v>
      </c>
      <c r="F73" t="s">
        <v>88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69</v>
      </c>
      <c r="C74">
        <v>7</v>
      </c>
      <c r="D74" t="s">
        <v>82</v>
      </c>
      <c r="E74" t="s">
        <v>84</v>
      </c>
      <c r="F74" t="s">
        <v>72</v>
      </c>
      <c r="G74">
        <v>2.6929194017010398</v>
      </c>
      <c r="H74">
        <v>2E+20</v>
      </c>
      <c r="I74">
        <v>0</v>
      </c>
      <c r="J74">
        <v>6</v>
      </c>
      <c r="K74">
        <v>4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2.1426391607582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3.27384557923344</v>
      </c>
      <c r="U74" s="5">
        <f>IF((ContinuousStatsTable[[#This Row],[RepsRequested]]&gt;1),ContinuousStatsTable[[#This Row],[HalfWidth]],ContinuousStatsTable[[#This Row],[BatchMeansHalfWidth]])</f>
        <v>9.1472887832627928E-2</v>
      </c>
    </row>
    <row r="75" spans="1:21" x14ac:dyDescent="0.35">
      <c r="A75" t="s">
        <v>66</v>
      </c>
      <c r="B75" t="s">
        <v>69</v>
      </c>
      <c r="C75">
        <v>7</v>
      </c>
      <c r="D75" t="s">
        <v>91</v>
      </c>
      <c r="E75" t="s">
        <v>87</v>
      </c>
      <c r="F75" t="s">
        <v>88</v>
      </c>
      <c r="G75">
        <v>0.98047221985501098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0.92631153500444496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0.99913603041501298</v>
      </c>
      <c r="U75" s="5">
        <f>IF((ContinuousStatsTable[[#This Row],[RepsRequested]]&gt;1),ContinuousStatsTable[[#This Row],[HalfWidth]],ContinuousStatsTable[[#This Row],[BatchMeansHalfWidth]])</f>
        <v>6.4980603216527278E-3</v>
      </c>
    </row>
    <row r="76" spans="1:21" x14ac:dyDescent="0.35">
      <c r="A76" t="s">
        <v>66</v>
      </c>
      <c r="B76" t="s">
        <v>69</v>
      </c>
      <c r="C76">
        <v>7</v>
      </c>
      <c r="D76" t="s">
        <v>91</v>
      </c>
      <c r="E76" t="s">
        <v>89</v>
      </c>
      <c r="F76" t="s">
        <v>88</v>
      </c>
      <c r="G76">
        <v>1.96094443971002</v>
      </c>
      <c r="H76">
        <v>2E+20</v>
      </c>
      <c r="I76">
        <v>0</v>
      </c>
      <c r="J76">
        <v>2</v>
      </c>
      <c r="K76">
        <v>2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1.8526230700088899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1.99827206083003</v>
      </c>
      <c r="U76" s="5">
        <f>IF((ContinuousStatsTable[[#This Row],[RepsRequested]]&gt;1),ContinuousStatsTable[[#This Row],[HalfWidth]],ContinuousStatsTable[[#This Row],[BatchMeansHalfWidth]])</f>
        <v>1.299612064330544E-2</v>
      </c>
    </row>
    <row r="77" spans="1:21" x14ac:dyDescent="0.35">
      <c r="A77" t="s">
        <v>66</v>
      </c>
      <c r="B77" t="s">
        <v>69</v>
      </c>
      <c r="C77">
        <v>7</v>
      </c>
      <c r="D77" t="s">
        <v>91</v>
      </c>
      <c r="E77" t="s">
        <v>90</v>
      </c>
      <c r="F77" t="s">
        <v>88</v>
      </c>
      <c r="G77">
        <v>2</v>
      </c>
      <c r="H77">
        <v>2E+20</v>
      </c>
      <c r="I77">
        <v>2</v>
      </c>
      <c r="J77">
        <v>2</v>
      </c>
      <c r="K77">
        <v>2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2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69</v>
      </c>
      <c r="C78">
        <v>7</v>
      </c>
      <c r="D78" t="s">
        <v>83</v>
      </c>
      <c r="E78" t="s">
        <v>84</v>
      </c>
      <c r="F78" t="s">
        <v>72</v>
      </c>
      <c r="G78">
        <v>2.31399527417372</v>
      </c>
      <c r="H78">
        <v>2E+20</v>
      </c>
      <c r="I78">
        <v>0</v>
      </c>
      <c r="J78">
        <v>5</v>
      </c>
      <c r="K78">
        <v>3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2.0230576660756401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3.1833377638216702</v>
      </c>
      <c r="U78" s="5">
        <f>IF((ContinuousStatsTable[[#This Row],[RepsRequested]]&gt;1),ContinuousStatsTable[[#This Row],[HalfWidth]],ContinuousStatsTable[[#This Row],[BatchMeansHalfWidth]])</f>
        <v>0.10275597124787904</v>
      </c>
    </row>
    <row r="79" spans="1:21" x14ac:dyDescent="0.35">
      <c r="A79" t="s">
        <v>66</v>
      </c>
      <c r="B79" t="s">
        <v>69</v>
      </c>
      <c r="C79">
        <v>8</v>
      </c>
      <c r="D79" t="s">
        <v>70</v>
      </c>
      <c r="E79" t="s">
        <v>84</v>
      </c>
      <c r="F79" t="s">
        <v>72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69</v>
      </c>
      <c r="C80">
        <v>8</v>
      </c>
      <c r="D80" t="s">
        <v>73</v>
      </c>
      <c r="E80" t="s">
        <v>84</v>
      </c>
      <c r="F80" t="s">
        <v>72</v>
      </c>
      <c r="G80">
        <v>6.1142331333953202</v>
      </c>
      <c r="H80">
        <v>2E+20</v>
      </c>
      <c r="I80">
        <v>0</v>
      </c>
      <c r="J80">
        <v>15</v>
      </c>
      <c r="K80">
        <v>15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0.475935837419309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14.545335118962701</v>
      </c>
      <c r="U80" s="5">
        <f>IF((ContinuousStatsTable[[#This Row],[RepsRequested]]&gt;1),ContinuousStatsTable[[#This Row],[HalfWidth]],ContinuousStatsTable[[#This Row],[BatchMeansHalfWidth]])</f>
        <v>1.1647272989250694</v>
      </c>
    </row>
    <row r="81" spans="1:21" x14ac:dyDescent="0.35">
      <c r="A81" t="s">
        <v>66</v>
      </c>
      <c r="B81" t="s">
        <v>69</v>
      </c>
      <c r="C81">
        <v>8</v>
      </c>
      <c r="D81" t="s">
        <v>74</v>
      </c>
      <c r="E81" t="s">
        <v>85</v>
      </c>
      <c r="F81" t="s">
        <v>76</v>
      </c>
      <c r="G81">
        <v>30.216516994791402</v>
      </c>
      <c r="H81">
        <v>2E+20</v>
      </c>
      <c r="I81">
        <v>0</v>
      </c>
      <c r="J81">
        <v>50</v>
      </c>
      <c r="K81">
        <v>50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16.614335916574898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47.992828685108996</v>
      </c>
      <c r="U81" s="5">
        <f>IF((ContinuousStatsTable[[#This Row],[RepsRequested]]&gt;1),ContinuousStatsTable[[#This Row],[HalfWidth]],ContinuousStatsTable[[#This Row],[BatchMeansHalfWidth]])</f>
        <v>2.6199410784579222</v>
      </c>
    </row>
    <row r="82" spans="1:21" x14ac:dyDescent="0.35">
      <c r="A82" t="s">
        <v>66</v>
      </c>
      <c r="B82" t="s">
        <v>69</v>
      </c>
      <c r="C82">
        <v>8</v>
      </c>
      <c r="D82" t="s">
        <v>86</v>
      </c>
      <c r="E82" t="s">
        <v>87</v>
      </c>
      <c r="F82" t="s">
        <v>88</v>
      </c>
      <c r="G82">
        <v>0.89940253640003698</v>
      </c>
      <c r="H82">
        <v>2E+20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0.71791407599347101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0.96105910626671998</v>
      </c>
      <c r="U82" s="5">
        <f>IF((ContinuousStatsTable[[#This Row],[RepsRequested]]&gt;1),ContinuousStatsTable[[#This Row],[HalfWidth]],ContinuousStatsTable[[#This Row],[BatchMeansHalfWidth]])</f>
        <v>2.0481590731410954E-2</v>
      </c>
    </row>
    <row r="83" spans="1:21" x14ac:dyDescent="0.35">
      <c r="A83" t="s">
        <v>66</v>
      </c>
      <c r="B83" t="s">
        <v>69</v>
      </c>
      <c r="C83">
        <v>8</v>
      </c>
      <c r="D83" t="s">
        <v>86</v>
      </c>
      <c r="E83" t="s">
        <v>89</v>
      </c>
      <c r="F83" t="s">
        <v>88</v>
      </c>
      <c r="G83">
        <v>8.99402536400037</v>
      </c>
      <c r="H83">
        <v>2E+20</v>
      </c>
      <c r="I83">
        <v>0</v>
      </c>
      <c r="J83">
        <v>10</v>
      </c>
      <c r="K83">
        <v>10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7.1791407599347101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9.6105910626672006</v>
      </c>
      <c r="U83" s="5">
        <f>IF((ContinuousStatsTable[[#This Row],[RepsRequested]]&gt;1),ContinuousStatsTable[[#This Row],[HalfWidth]],ContinuousStatsTable[[#This Row],[BatchMeansHalfWidth]])</f>
        <v>0.20481590731410945</v>
      </c>
    </row>
    <row r="84" spans="1:21" x14ac:dyDescent="0.35">
      <c r="A84" t="s">
        <v>66</v>
      </c>
      <c r="B84" t="s">
        <v>69</v>
      </c>
      <c r="C84">
        <v>8</v>
      </c>
      <c r="D84" t="s">
        <v>86</v>
      </c>
      <c r="E84" t="s">
        <v>90</v>
      </c>
      <c r="F84" t="s">
        <v>88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8</v>
      </c>
      <c r="D85" t="s">
        <v>82</v>
      </c>
      <c r="E85" t="s">
        <v>84</v>
      </c>
      <c r="F85" t="s">
        <v>72</v>
      </c>
      <c r="G85">
        <v>3.0610895680394101</v>
      </c>
      <c r="H85">
        <v>2E+20</v>
      </c>
      <c r="I85">
        <v>0</v>
      </c>
      <c r="J85">
        <v>5</v>
      </c>
      <c r="K85">
        <v>4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2.1426391607582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3.27384557923344</v>
      </c>
      <c r="U85" s="5">
        <f>IF((ContinuousStatsTable[[#This Row],[RepsRequested]]&gt;1),ContinuousStatsTable[[#This Row],[HalfWidth]],ContinuousStatsTable[[#This Row],[BatchMeansHalfWidth]])</f>
        <v>9.1472887832627928E-2</v>
      </c>
    </row>
    <row r="86" spans="1:21" x14ac:dyDescent="0.35">
      <c r="A86" t="s">
        <v>66</v>
      </c>
      <c r="B86" t="s">
        <v>69</v>
      </c>
      <c r="C86">
        <v>8</v>
      </c>
      <c r="D86" t="s">
        <v>91</v>
      </c>
      <c r="E86" t="s">
        <v>87</v>
      </c>
      <c r="F86" t="s">
        <v>88</v>
      </c>
      <c r="G86">
        <v>0.99706982497695695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0.92631153500444496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0.99913603041501298</v>
      </c>
      <c r="U86" s="5">
        <f>IF((ContinuousStatsTable[[#This Row],[RepsRequested]]&gt;1),ContinuousStatsTable[[#This Row],[HalfWidth]],ContinuousStatsTable[[#This Row],[BatchMeansHalfWidth]])</f>
        <v>6.4980603216527278E-3</v>
      </c>
    </row>
    <row r="87" spans="1:21" x14ac:dyDescent="0.35">
      <c r="A87" t="s">
        <v>66</v>
      </c>
      <c r="B87" t="s">
        <v>69</v>
      </c>
      <c r="C87">
        <v>8</v>
      </c>
      <c r="D87" t="s">
        <v>91</v>
      </c>
      <c r="E87" t="s">
        <v>89</v>
      </c>
      <c r="F87" t="s">
        <v>88</v>
      </c>
      <c r="G87">
        <v>1.9941396499539099</v>
      </c>
      <c r="H87">
        <v>2E+20</v>
      </c>
      <c r="I87">
        <v>0</v>
      </c>
      <c r="J87">
        <v>2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1.8526230700088899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1.99827206083003</v>
      </c>
      <c r="U87" s="5">
        <f>IF((ContinuousStatsTable[[#This Row],[RepsRequested]]&gt;1),ContinuousStatsTable[[#This Row],[HalfWidth]],ContinuousStatsTable[[#This Row],[BatchMeansHalfWidth]])</f>
        <v>1.299612064330544E-2</v>
      </c>
    </row>
    <row r="88" spans="1:21" x14ac:dyDescent="0.35">
      <c r="A88" t="s">
        <v>66</v>
      </c>
      <c r="B88" t="s">
        <v>69</v>
      </c>
      <c r="C88">
        <v>8</v>
      </c>
      <c r="D88" t="s">
        <v>91</v>
      </c>
      <c r="E88" t="s">
        <v>90</v>
      </c>
      <c r="F88" t="s">
        <v>88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69</v>
      </c>
      <c r="C89">
        <v>8</v>
      </c>
      <c r="D89" t="s">
        <v>83</v>
      </c>
      <c r="E89" t="s">
        <v>84</v>
      </c>
      <c r="F89" t="s">
        <v>72</v>
      </c>
      <c r="G89">
        <v>2.7715361752627601</v>
      </c>
      <c r="H89">
        <v>2E+20</v>
      </c>
      <c r="I89">
        <v>0</v>
      </c>
      <c r="J89">
        <v>5</v>
      </c>
      <c r="K89">
        <v>3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2.0230576660756401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3.1833377638216702</v>
      </c>
      <c r="U89" s="5">
        <f>IF((ContinuousStatsTable[[#This Row],[RepsRequested]]&gt;1),ContinuousStatsTable[[#This Row],[HalfWidth]],ContinuousStatsTable[[#This Row],[BatchMeansHalfWidth]])</f>
        <v>0.10275597124787904</v>
      </c>
    </row>
    <row r="90" spans="1:21" x14ac:dyDescent="0.35">
      <c r="A90" t="s">
        <v>66</v>
      </c>
      <c r="B90" t="s">
        <v>69</v>
      </c>
      <c r="C90">
        <v>9</v>
      </c>
      <c r="D90" t="s">
        <v>70</v>
      </c>
      <c r="E90" t="s">
        <v>84</v>
      </c>
      <c r="F90" t="s">
        <v>72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9</v>
      </c>
      <c r="D91" t="s">
        <v>73</v>
      </c>
      <c r="E91" t="s">
        <v>84</v>
      </c>
      <c r="F91" t="s">
        <v>72</v>
      </c>
      <c r="G91">
        <v>8.5393622498054995</v>
      </c>
      <c r="H91">
        <v>2E+20</v>
      </c>
      <c r="I91">
        <v>0</v>
      </c>
      <c r="J91">
        <v>18</v>
      </c>
      <c r="K91">
        <v>18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0.475935837419309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14.545335118962701</v>
      </c>
      <c r="U91" s="5">
        <f>IF((ContinuousStatsTable[[#This Row],[RepsRequested]]&gt;1),ContinuousStatsTable[[#This Row],[HalfWidth]],ContinuousStatsTable[[#This Row],[BatchMeansHalfWidth]])</f>
        <v>1.1647272989250694</v>
      </c>
    </row>
    <row r="92" spans="1:21" x14ac:dyDescent="0.35">
      <c r="A92" t="s">
        <v>66</v>
      </c>
      <c r="B92" t="s">
        <v>69</v>
      </c>
      <c r="C92">
        <v>9</v>
      </c>
      <c r="D92" t="s">
        <v>74</v>
      </c>
      <c r="E92" t="s">
        <v>85</v>
      </c>
      <c r="F92" t="s">
        <v>76</v>
      </c>
      <c r="G92">
        <v>35.715267076036</v>
      </c>
      <c r="H92">
        <v>2E+20</v>
      </c>
      <c r="I92">
        <v>0</v>
      </c>
      <c r="J92">
        <v>56</v>
      </c>
      <c r="K92">
        <v>56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16.614335916574898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47.992828685108996</v>
      </c>
      <c r="U92" s="5">
        <f>IF((ContinuousStatsTable[[#This Row],[RepsRequested]]&gt;1),ContinuousStatsTable[[#This Row],[HalfWidth]],ContinuousStatsTable[[#This Row],[BatchMeansHalfWidth]])</f>
        <v>2.6199410784579222</v>
      </c>
    </row>
    <row r="93" spans="1:21" x14ac:dyDescent="0.35">
      <c r="A93" t="s">
        <v>66</v>
      </c>
      <c r="B93" t="s">
        <v>69</v>
      </c>
      <c r="C93">
        <v>9</v>
      </c>
      <c r="D93" t="s">
        <v>86</v>
      </c>
      <c r="E93" t="s">
        <v>87</v>
      </c>
      <c r="F93" t="s">
        <v>88</v>
      </c>
      <c r="G93">
        <v>0.93182712882124996</v>
      </c>
      <c r="H93">
        <v>2E+20</v>
      </c>
      <c r="I93">
        <v>0</v>
      </c>
      <c r="J93">
        <v>1</v>
      </c>
      <c r="K93">
        <v>1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0.71791407599347101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0.96105910626671998</v>
      </c>
      <c r="U93" s="5">
        <f>IF((ContinuousStatsTable[[#This Row],[RepsRequested]]&gt;1),ContinuousStatsTable[[#This Row],[HalfWidth]],ContinuousStatsTable[[#This Row],[BatchMeansHalfWidth]])</f>
        <v>2.0481590731410954E-2</v>
      </c>
    </row>
    <row r="94" spans="1:21" x14ac:dyDescent="0.35">
      <c r="A94" t="s">
        <v>66</v>
      </c>
      <c r="B94" t="s">
        <v>69</v>
      </c>
      <c r="C94">
        <v>9</v>
      </c>
      <c r="D94" t="s">
        <v>86</v>
      </c>
      <c r="E94" t="s">
        <v>89</v>
      </c>
      <c r="F94" t="s">
        <v>88</v>
      </c>
      <c r="G94">
        <v>9.3182712882125092</v>
      </c>
      <c r="H94">
        <v>2E+20</v>
      </c>
      <c r="I94">
        <v>0</v>
      </c>
      <c r="J94">
        <v>10</v>
      </c>
      <c r="K94">
        <v>10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7.1791407599347101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9.6105910626672006</v>
      </c>
      <c r="U94" s="5">
        <f>IF((ContinuousStatsTable[[#This Row],[RepsRequested]]&gt;1),ContinuousStatsTable[[#This Row],[HalfWidth]],ContinuousStatsTable[[#This Row],[BatchMeansHalfWidth]])</f>
        <v>0.20481590731410945</v>
      </c>
    </row>
    <row r="95" spans="1:21" x14ac:dyDescent="0.35">
      <c r="A95" t="s">
        <v>66</v>
      </c>
      <c r="B95" t="s">
        <v>69</v>
      </c>
      <c r="C95">
        <v>9</v>
      </c>
      <c r="D95" t="s">
        <v>86</v>
      </c>
      <c r="E95" t="s">
        <v>90</v>
      </c>
      <c r="F95" t="s">
        <v>88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69</v>
      </c>
      <c r="C96">
        <v>9</v>
      </c>
      <c r="D96" t="s">
        <v>82</v>
      </c>
      <c r="E96" t="s">
        <v>84</v>
      </c>
      <c r="F96" t="s">
        <v>72</v>
      </c>
      <c r="G96">
        <v>3.06631990360053</v>
      </c>
      <c r="H96">
        <v>2E+20</v>
      </c>
      <c r="I96">
        <v>0</v>
      </c>
      <c r="J96">
        <v>5</v>
      </c>
      <c r="K96">
        <v>3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2.1426391607582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3.27384557923344</v>
      </c>
      <c r="U96" s="5">
        <f>IF((ContinuousStatsTable[[#This Row],[RepsRequested]]&gt;1),ContinuousStatsTable[[#This Row],[HalfWidth]],ContinuousStatsTable[[#This Row],[BatchMeansHalfWidth]])</f>
        <v>9.1472887832627928E-2</v>
      </c>
    </row>
    <row r="97" spans="1:21" x14ac:dyDescent="0.35">
      <c r="A97" t="s">
        <v>66</v>
      </c>
      <c r="B97" t="s">
        <v>69</v>
      </c>
      <c r="C97">
        <v>9</v>
      </c>
      <c r="D97" t="s">
        <v>91</v>
      </c>
      <c r="E97" t="s">
        <v>87</v>
      </c>
      <c r="F97" t="s">
        <v>88</v>
      </c>
      <c r="G97">
        <v>0.96992763584812303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0.92631153500444496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0.99913603041501298</v>
      </c>
      <c r="U97" s="5">
        <f>IF((ContinuousStatsTable[[#This Row],[RepsRequested]]&gt;1),ContinuousStatsTable[[#This Row],[HalfWidth]],ContinuousStatsTable[[#This Row],[BatchMeansHalfWidth]])</f>
        <v>6.4980603216527278E-3</v>
      </c>
    </row>
    <row r="98" spans="1:21" x14ac:dyDescent="0.35">
      <c r="A98" t="s">
        <v>66</v>
      </c>
      <c r="B98" t="s">
        <v>69</v>
      </c>
      <c r="C98">
        <v>9</v>
      </c>
      <c r="D98" t="s">
        <v>91</v>
      </c>
      <c r="E98" t="s">
        <v>89</v>
      </c>
      <c r="F98" t="s">
        <v>88</v>
      </c>
      <c r="G98">
        <v>1.93985527169625</v>
      </c>
      <c r="H98">
        <v>2E+20</v>
      </c>
      <c r="I98">
        <v>0</v>
      </c>
      <c r="J98">
        <v>2</v>
      </c>
      <c r="K98">
        <v>2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1.8526230700088899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1.99827206083003</v>
      </c>
      <c r="U98" s="5">
        <f>IF((ContinuousStatsTable[[#This Row],[RepsRequested]]&gt;1),ContinuousStatsTable[[#This Row],[HalfWidth]],ContinuousStatsTable[[#This Row],[BatchMeansHalfWidth]])</f>
        <v>1.299612064330544E-2</v>
      </c>
    </row>
    <row r="99" spans="1:21" x14ac:dyDescent="0.35">
      <c r="A99" t="s">
        <v>66</v>
      </c>
      <c r="B99" t="s">
        <v>69</v>
      </c>
      <c r="C99">
        <v>9</v>
      </c>
      <c r="D99" t="s">
        <v>91</v>
      </c>
      <c r="E99" t="s">
        <v>90</v>
      </c>
      <c r="F99" t="s">
        <v>88</v>
      </c>
      <c r="G99">
        <v>2</v>
      </c>
      <c r="H99">
        <v>2E+20</v>
      </c>
      <c r="I99">
        <v>2</v>
      </c>
      <c r="J99">
        <v>2</v>
      </c>
      <c r="K99">
        <v>2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2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2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2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9</v>
      </c>
      <c r="D100" t="s">
        <v>83</v>
      </c>
      <c r="E100" t="s">
        <v>84</v>
      </c>
      <c r="F100" t="s">
        <v>72</v>
      </c>
      <c r="G100">
        <v>3.1625959499144898</v>
      </c>
      <c r="H100">
        <v>2E+20</v>
      </c>
      <c r="I100">
        <v>0</v>
      </c>
      <c r="J100">
        <v>5</v>
      </c>
      <c r="K100">
        <v>4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2.0230576660756401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3.1833377638216702</v>
      </c>
      <c r="U100" s="5">
        <f>IF((ContinuousStatsTable[[#This Row],[RepsRequested]]&gt;1),ContinuousStatsTable[[#This Row],[HalfWidth]],ContinuousStatsTable[[#This Row],[BatchMeansHalfWidth]])</f>
        <v>0.10275597124787904</v>
      </c>
    </row>
    <row r="101" spans="1:21" x14ac:dyDescent="0.35">
      <c r="A101" t="s">
        <v>66</v>
      </c>
      <c r="B101" t="s">
        <v>69</v>
      </c>
      <c r="C101">
        <v>10</v>
      </c>
      <c r="D101" t="s">
        <v>70</v>
      </c>
      <c r="E101" t="s">
        <v>84</v>
      </c>
      <c r="F101" t="s">
        <v>72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10</v>
      </c>
      <c r="D102" t="s">
        <v>73</v>
      </c>
      <c r="E102" t="s">
        <v>84</v>
      </c>
      <c r="F102" t="s">
        <v>72</v>
      </c>
      <c r="G102">
        <v>7.4566857488067999</v>
      </c>
      <c r="H102">
        <v>2E+20</v>
      </c>
      <c r="I102">
        <v>0</v>
      </c>
      <c r="J102">
        <v>19</v>
      </c>
      <c r="K102">
        <v>18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0.475935837419309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14.545335118962701</v>
      </c>
      <c r="U102" s="5">
        <f>IF((ContinuousStatsTable[[#This Row],[RepsRequested]]&gt;1),ContinuousStatsTable[[#This Row],[HalfWidth]],ContinuousStatsTable[[#This Row],[BatchMeansHalfWidth]])</f>
        <v>1.1647272989250694</v>
      </c>
    </row>
    <row r="103" spans="1:21" x14ac:dyDescent="0.35">
      <c r="A103" t="s">
        <v>66</v>
      </c>
      <c r="B103" t="s">
        <v>69</v>
      </c>
      <c r="C103">
        <v>10</v>
      </c>
      <c r="D103" t="s">
        <v>74</v>
      </c>
      <c r="E103" t="s">
        <v>85</v>
      </c>
      <c r="F103" t="s">
        <v>76</v>
      </c>
      <c r="G103">
        <v>32.874894282498403</v>
      </c>
      <c r="H103">
        <v>2E+20</v>
      </c>
      <c r="I103">
        <v>0</v>
      </c>
      <c r="J103">
        <v>58</v>
      </c>
      <c r="K103">
        <v>56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16.614335916574898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47.992828685108996</v>
      </c>
      <c r="U103" s="5">
        <f>IF((ContinuousStatsTable[[#This Row],[RepsRequested]]&gt;1),ContinuousStatsTable[[#This Row],[HalfWidth]],ContinuousStatsTable[[#This Row],[BatchMeansHalfWidth]])</f>
        <v>2.6199410784579222</v>
      </c>
    </row>
    <row r="104" spans="1:21" x14ac:dyDescent="0.35">
      <c r="A104" t="s">
        <v>66</v>
      </c>
      <c r="B104" t="s">
        <v>69</v>
      </c>
      <c r="C104">
        <v>10</v>
      </c>
      <c r="D104" t="s">
        <v>86</v>
      </c>
      <c r="E104" t="s">
        <v>87</v>
      </c>
      <c r="F104" t="s">
        <v>88</v>
      </c>
      <c r="G104">
        <v>0.89807613924424101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0.71791407599347101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0.96105910626671998</v>
      </c>
      <c r="U104" s="5">
        <f>IF((ContinuousStatsTable[[#This Row],[RepsRequested]]&gt;1),ContinuousStatsTable[[#This Row],[HalfWidth]],ContinuousStatsTable[[#This Row],[BatchMeansHalfWidth]])</f>
        <v>2.0481590731410954E-2</v>
      </c>
    </row>
    <row r="105" spans="1:21" x14ac:dyDescent="0.35">
      <c r="A105" t="s">
        <v>66</v>
      </c>
      <c r="B105" t="s">
        <v>69</v>
      </c>
      <c r="C105">
        <v>10</v>
      </c>
      <c r="D105" t="s">
        <v>86</v>
      </c>
      <c r="E105" t="s">
        <v>89</v>
      </c>
      <c r="F105" t="s">
        <v>88</v>
      </c>
      <c r="G105">
        <v>8.9807613924424103</v>
      </c>
      <c r="H105">
        <v>2E+20</v>
      </c>
      <c r="I105">
        <v>0</v>
      </c>
      <c r="J105">
        <v>10</v>
      </c>
      <c r="K105">
        <v>10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7.1791407599347101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9.6105910626672006</v>
      </c>
      <c r="U105" s="5">
        <f>IF((ContinuousStatsTable[[#This Row],[RepsRequested]]&gt;1),ContinuousStatsTable[[#This Row],[HalfWidth]],ContinuousStatsTable[[#This Row],[BatchMeansHalfWidth]])</f>
        <v>0.20481590731410945</v>
      </c>
    </row>
    <row r="106" spans="1:21" x14ac:dyDescent="0.35">
      <c r="A106" t="s">
        <v>66</v>
      </c>
      <c r="B106" t="s">
        <v>69</v>
      </c>
      <c r="C106">
        <v>10</v>
      </c>
      <c r="D106" t="s">
        <v>86</v>
      </c>
      <c r="E106" t="s">
        <v>90</v>
      </c>
      <c r="F106" t="s">
        <v>88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10</v>
      </c>
      <c r="D107" t="s">
        <v>82</v>
      </c>
      <c r="E107" t="s">
        <v>84</v>
      </c>
      <c r="F107" t="s">
        <v>72</v>
      </c>
      <c r="G107">
        <v>2.9794934953196002</v>
      </c>
      <c r="H107">
        <v>2E+20</v>
      </c>
      <c r="I107">
        <v>0</v>
      </c>
      <c r="J107">
        <v>6</v>
      </c>
      <c r="K107">
        <v>3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2.1426391607582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3.27384557923344</v>
      </c>
      <c r="U107" s="5">
        <f>IF((ContinuousStatsTable[[#This Row],[RepsRequested]]&gt;1),ContinuousStatsTable[[#This Row],[HalfWidth]],ContinuousStatsTable[[#This Row],[BatchMeansHalfWidth]])</f>
        <v>9.1472887832627928E-2</v>
      </c>
    </row>
    <row r="108" spans="1:21" x14ac:dyDescent="0.35">
      <c r="A108" t="s">
        <v>66</v>
      </c>
      <c r="B108" t="s">
        <v>69</v>
      </c>
      <c r="C108">
        <v>10</v>
      </c>
      <c r="D108" t="s">
        <v>91</v>
      </c>
      <c r="E108" t="s">
        <v>87</v>
      </c>
      <c r="F108" t="s">
        <v>88</v>
      </c>
      <c r="G108">
        <v>0.97704096458456002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0.92631153500444496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0.99913603041501298</v>
      </c>
      <c r="U108" s="5">
        <f>IF((ContinuousStatsTable[[#This Row],[RepsRequested]]&gt;1),ContinuousStatsTable[[#This Row],[HalfWidth]],ContinuousStatsTable[[#This Row],[BatchMeansHalfWidth]])</f>
        <v>6.4980603216527278E-3</v>
      </c>
    </row>
    <row r="109" spans="1:21" x14ac:dyDescent="0.35">
      <c r="A109" t="s">
        <v>66</v>
      </c>
      <c r="B109" t="s">
        <v>69</v>
      </c>
      <c r="C109">
        <v>10</v>
      </c>
      <c r="D109" t="s">
        <v>91</v>
      </c>
      <c r="E109" t="s">
        <v>89</v>
      </c>
      <c r="F109" t="s">
        <v>88</v>
      </c>
      <c r="G109">
        <v>1.95408192916912</v>
      </c>
      <c r="H109">
        <v>2E+20</v>
      </c>
      <c r="I109">
        <v>0</v>
      </c>
      <c r="J109">
        <v>2</v>
      </c>
      <c r="K109">
        <v>2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1.8526230700088899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1.99827206083003</v>
      </c>
      <c r="U109" s="5">
        <f>IF((ContinuousStatsTable[[#This Row],[RepsRequested]]&gt;1),ContinuousStatsTable[[#This Row],[HalfWidth]],ContinuousStatsTable[[#This Row],[BatchMeansHalfWidth]])</f>
        <v>1.299612064330544E-2</v>
      </c>
    </row>
    <row r="110" spans="1:21" x14ac:dyDescent="0.35">
      <c r="A110" t="s">
        <v>66</v>
      </c>
      <c r="B110" t="s">
        <v>69</v>
      </c>
      <c r="C110">
        <v>10</v>
      </c>
      <c r="D110" t="s">
        <v>91</v>
      </c>
      <c r="E110" t="s">
        <v>90</v>
      </c>
      <c r="F110" t="s">
        <v>88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69</v>
      </c>
      <c r="C111">
        <v>10</v>
      </c>
      <c r="D111" t="s">
        <v>83</v>
      </c>
      <c r="E111" t="s">
        <v>84</v>
      </c>
      <c r="F111" t="s">
        <v>72</v>
      </c>
      <c r="G111">
        <v>2.8605589315155302</v>
      </c>
      <c r="H111">
        <v>2E+20</v>
      </c>
      <c r="I111">
        <v>0</v>
      </c>
      <c r="J111">
        <v>6</v>
      </c>
      <c r="K111">
        <v>4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2.0230576660756401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3.1833377638216702</v>
      </c>
      <c r="U111" s="5">
        <f>IF((ContinuousStatsTable[[#This Row],[RepsRequested]]&gt;1),ContinuousStatsTable[[#This Row],[HalfWidth]],ContinuousStatsTable[[#This Row],[BatchMeansHalfWidth]])</f>
        <v>0.10275597124787904</v>
      </c>
    </row>
    <row r="112" spans="1:21" x14ac:dyDescent="0.35">
      <c r="A112" t="s">
        <v>66</v>
      </c>
      <c r="B112" t="s">
        <v>69</v>
      </c>
      <c r="C112">
        <v>11</v>
      </c>
      <c r="D112" t="s">
        <v>70</v>
      </c>
      <c r="E112" t="s">
        <v>84</v>
      </c>
      <c r="F112" t="s">
        <v>72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69</v>
      </c>
      <c r="C113">
        <v>11</v>
      </c>
      <c r="D113" t="s">
        <v>73</v>
      </c>
      <c r="E113" t="s">
        <v>84</v>
      </c>
      <c r="F113" t="s">
        <v>72</v>
      </c>
      <c r="G113">
        <v>3.2611323045640499</v>
      </c>
      <c r="H113">
        <v>2E+20</v>
      </c>
      <c r="I113">
        <v>0</v>
      </c>
      <c r="J113">
        <v>16</v>
      </c>
      <c r="K113">
        <v>15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0.475935837419309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14.545335118962701</v>
      </c>
      <c r="U113" s="5">
        <f>IF((ContinuousStatsTable[[#This Row],[RepsRequested]]&gt;1),ContinuousStatsTable[[#This Row],[HalfWidth]],ContinuousStatsTable[[#This Row],[BatchMeansHalfWidth]])</f>
        <v>1.1647272989250694</v>
      </c>
    </row>
    <row r="114" spans="1:21" x14ac:dyDescent="0.35">
      <c r="A114" t="s">
        <v>66</v>
      </c>
      <c r="B114" t="s">
        <v>69</v>
      </c>
      <c r="C114">
        <v>11</v>
      </c>
      <c r="D114" t="s">
        <v>74</v>
      </c>
      <c r="E114" t="s">
        <v>85</v>
      </c>
      <c r="F114" t="s">
        <v>76</v>
      </c>
      <c r="G114">
        <v>22.809039796942301</v>
      </c>
      <c r="H114">
        <v>2E+20</v>
      </c>
      <c r="I114">
        <v>0</v>
      </c>
      <c r="J114">
        <v>52</v>
      </c>
      <c r="K114">
        <v>50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16.614335916574898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47.992828685108996</v>
      </c>
      <c r="U114" s="5">
        <f>IF((ContinuousStatsTable[[#This Row],[RepsRequested]]&gt;1),ContinuousStatsTable[[#This Row],[HalfWidth]],ContinuousStatsTable[[#This Row],[BatchMeansHalfWidth]])</f>
        <v>2.6199410784579222</v>
      </c>
    </row>
    <row r="115" spans="1:21" x14ac:dyDescent="0.35">
      <c r="A115" t="s">
        <v>66</v>
      </c>
      <c r="B115" t="s">
        <v>69</v>
      </c>
      <c r="C115">
        <v>11</v>
      </c>
      <c r="D115" t="s">
        <v>86</v>
      </c>
      <c r="E115" t="s">
        <v>87</v>
      </c>
      <c r="F115" t="s">
        <v>88</v>
      </c>
      <c r="G115">
        <v>0.81433875939071199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0.71791407599347101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0.96105910626671998</v>
      </c>
      <c r="U115" s="5">
        <f>IF((ContinuousStatsTable[[#This Row],[RepsRequested]]&gt;1),ContinuousStatsTable[[#This Row],[HalfWidth]],ContinuousStatsTable[[#This Row],[BatchMeansHalfWidth]])</f>
        <v>2.0481590731410954E-2</v>
      </c>
    </row>
    <row r="116" spans="1:21" x14ac:dyDescent="0.35">
      <c r="A116" t="s">
        <v>66</v>
      </c>
      <c r="B116" t="s">
        <v>69</v>
      </c>
      <c r="C116">
        <v>11</v>
      </c>
      <c r="D116" t="s">
        <v>86</v>
      </c>
      <c r="E116" t="s">
        <v>89</v>
      </c>
      <c r="F116" t="s">
        <v>88</v>
      </c>
      <c r="G116">
        <v>8.1433875939071108</v>
      </c>
      <c r="H116">
        <v>2E+20</v>
      </c>
      <c r="I116">
        <v>0</v>
      </c>
      <c r="J116">
        <v>10</v>
      </c>
      <c r="K116">
        <v>10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7.1791407599347101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9.6105910626672006</v>
      </c>
      <c r="U116" s="5">
        <f>IF((ContinuousStatsTable[[#This Row],[RepsRequested]]&gt;1),ContinuousStatsTable[[#This Row],[HalfWidth]],ContinuousStatsTable[[#This Row],[BatchMeansHalfWidth]])</f>
        <v>0.20481590731410945</v>
      </c>
    </row>
    <row r="117" spans="1:21" x14ac:dyDescent="0.35">
      <c r="A117" t="s">
        <v>66</v>
      </c>
      <c r="B117" t="s">
        <v>69</v>
      </c>
      <c r="C117">
        <v>11</v>
      </c>
      <c r="D117" t="s">
        <v>86</v>
      </c>
      <c r="E117" t="s">
        <v>90</v>
      </c>
      <c r="F117" t="s">
        <v>88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11</v>
      </c>
      <c r="D118" t="s">
        <v>82</v>
      </c>
      <c r="E118" t="s">
        <v>84</v>
      </c>
      <c r="F118" t="s">
        <v>72</v>
      </c>
      <c r="G118">
        <v>2.5251731955244598</v>
      </c>
      <c r="H118">
        <v>2E+20</v>
      </c>
      <c r="I118">
        <v>0</v>
      </c>
      <c r="J118">
        <v>5</v>
      </c>
      <c r="K118">
        <v>4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2.1426391607582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3.27384557923344</v>
      </c>
      <c r="U118" s="5">
        <f>IF((ContinuousStatsTable[[#This Row],[RepsRequested]]&gt;1),ContinuousStatsTable[[#This Row],[HalfWidth]],ContinuousStatsTable[[#This Row],[BatchMeansHalfWidth]])</f>
        <v>9.1472887832627928E-2</v>
      </c>
    </row>
    <row r="119" spans="1:21" x14ac:dyDescent="0.35">
      <c r="A119" t="s">
        <v>66</v>
      </c>
      <c r="B119" t="s">
        <v>69</v>
      </c>
      <c r="C119">
        <v>11</v>
      </c>
      <c r="D119" t="s">
        <v>91</v>
      </c>
      <c r="E119" t="s">
        <v>87</v>
      </c>
      <c r="F119" t="s">
        <v>88</v>
      </c>
      <c r="G119">
        <v>0.975008672547789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0.92631153500444496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0.99913603041501298</v>
      </c>
      <c r="U119" s="5">
        <f>IF((ContinuousStatsTable[[#This Row],[RepsRequested]]&gt;1),ContinuousStatsTable[[#This Row],[HalfWidth]],ContinuousStatsTable[[#This Row],[BatchMeansHalfWidth]])</f>
        <v>6.4980603216527278E-3</v>
      </c>
    </row>
    <row r="120" spans="1:21" x14ac:dyDescent="0.35">
      <c r="A120" t="s">
        <v>66</v>
      </c>
      <c r="B120" t="s">
        <v>69</v>
      </c>
      <c r="C120">
        <v>11</v>
      </c>
      <c r="D120" t="s">
        <v>91</v>
      </c>
      <c r="E120" t="s">
        <v>89</v>
      </c>
      <c r="F120" t="s">
        <v>88</v>
      </c>
      <c r="G120">
        <v>1.95001734509558</v>
      </c>
      <c r="H120">
        <v>2E+20</v>
      </c>
      <c r="I120">
        <v>0</v>
      </c>
      <c r="J120">
        <v>2</v>
      </c>
      <c r="K120">
        <v>2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1.8526230700088899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1.99827206083003</v>
      </c>
      <c r="U120" s="5">
        <f>IF((ContinuousStatsTable[[#This Row],[RepsRequested]]&gt;1),ContinuousStatsTable[[#This Row],[HalfWidth]],ContinuousStatsTable[[#This Row],[BatchMeansHalfWidth]])</f>
        <v>1.299612064330544E-2</v>
      </c>
    </row>
    <row r="121" spans="1:21" x14ac:dyDescent="0.35">
      <c r="A121" t="s">
        <v>66</v>
      </c>
      <c r="B121" t="s">
        <v>69</v>
      </c>
      <c r="C121">
        <v>11</v>
      </c>
      <c r="D121" t="s">
        <v>91</v>
      </c>
      <c r="E121" t="s">
        <v>90</v>
      </c>
      <c r="F121" t="s">
        <v>88</v>
      </c>
      <c r="G121">
        <v>2</v>
      </c>
      <c r="H121">
        <v>2E+20</v>
      </c>
      <c r="I121">
        <v>2</v>
      </c>
      <c r="J121">
        <v>2</v>
      </c>
      <c r="K121">
        <v>2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2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2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11</v>
      </c>
      <c r="D122" t="s">
        <v>83</v>
      </c>
      <c r="E122" t="s">
        <v>84</v>
      </c>
      <c r="F122" t="s">
        <v>72</v>
      </c>
      <c r="G122">
        <v>2.5113945532697399</v>
      </c>
      <c r="H122">
        <v>2E+20</v>
      </c>
      <c r="I122">
        <v>0</v>
      </c>
      <c r="J122">
        <v>6</v>
      </c>
      <c r="K122">
        <v>3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2.0230576660756401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3.1833377638216702</v>
      </c>
      <c r="U122" s="5">
        <f>IF((ContinuousStatsTable[[#This Row],[RepsRequested]]&gt;1),ContinuousStatsTable[[#This Row],[HalfWidth]],ContinuousStatsTable[[#This Row],[BatchMeansHalfWidth]])</f>
        <v>0.10275597124787904</v>
      </c>
    </row>
    <row r="123" spans="1:21" x14ac:dyDescent="0.35">
      <c r="A123" t="s">
        <v>66</v>
      </c>
      <c r="B123" t="s">
        <v>69</v>
      </c>
      <c r="C123">
        <v>12</v>
      </c>
      <c r="D123" t="s">
        <v>70</v>
      </c>
      <c r="E123" t="s">
        <v>84</v>
      </c>
      <c r="F123" t="s">
        <v>72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69</v>
      </c>
      <c r="C124">
        <v>12</v>
      </c>
      <c r="D124" t="s">
        <v>73</v>
      </c>
      <c r="E124" t="s">
        <v>84</v>
      </c>
      <c r="F124" t="s">
        <v>72</v>
      </c>
      <c r="G124">
        <v>4.9359256560579698</v>
      </c>
      <c r="H124">
        <v>2E+20</v>
      </c>
      <c r="I124">
        <v>0</v>
      </c>
      <c r="J124">
        <v>10</v>
      </c>
      <c r="K124">
        <v>7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0.475935837419309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14.545335118962701</v>
      </c>
      <c r="U124" s="5">
        <f>IF((ContinuousStatsTable[[#This Row],[RepsRequested]]&gt;1),ContinuousStatsTable[[#This Row],[HalfWidth]],ContinuousStatsTable[[#This Row],[BatchMeansHalfWidth]])</f>
        <v>1.1647272989250694</v>
      </c>
    </row>
    <row r="125" spans="1:21" x14ac:dyDescent="0.35">
      <c r="A125" t="s">
        <v>66</v>
      </c>
      <c r="B125" t="s">
        <v>69</v>
      </c>
      <c r="C125">
        <v>12</v>
      </c>
      <c r="D125" t="s">
        <v>74</v>
      </c>
      <c r="E125" t="s">
        <v>85</v>
      </c>
      <c r="F125" t="s">
        <v>76</v>
      </c>
      <c r="G125">
        <v>27.233694518012499</v>
      </c>
      <c r="H125">
        <v>2E+20</v>
      </c>
      <c r="I125">
        <v>0</v>
      </c>
      <c r="J125">
        <v>40</v>
      </c>
      <c r="K125">
        <v>34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16.614335916574898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47.992828685108996</v>
      </c>
      <c r="U125" s="5">
        <f>IF((ContinuousStatsTable[[#This Row],[RepsRequested]]&gt;1),ContinuousStatsTable[[#This Row],[HalfWidth]],ContinuousStatsTable[[#This Row],[BatchMeansHalfWidth]])</f>
        <v>2.6199410784579222</v>
      </c>
    </row>
    <row r="126" spans="1:21" x14ac:dyDescent="0.35">
      <c r="A126" t="s">
        <v>66</v>
      </c>
      <c r="B126" t="s">
        <v>69</v>
      </c>
      <c r="C126">
        <v>12</v>
      </c>
      <c r="D126" t="s">
        <v>86</v>
      </c>
      <c r="E126" t="s">
        <v>87</v>
      </c>
      <c r="F126" t="s">
        <v>88</v>
      </c>
      <c r="G126">
        <v>0.86809216029482905</v>
      </c>
      <c r="H126">
        <v>2E+20</v>
      </c>
      <c r="I126">
        <v>0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0.71791407599347101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0.96105910626671998</v>
      </c>
      <c r="U126" s="5">
        <f>IF((ContinuousStatsTable[[#This Row],[RepsRequested]]&gt;1),ContinuousStatsTable[[#This Row],[HalfWidth]],ContinuousStatsTable[[#This Row],[BatchMeansHalfWidth]])</f>
        <v>2.0481590731410954E-2</v>
      </c>
    </row>
    <row r="127" spans="1:21" x14ac:dyDescent="0.35">
      <c r="A127" t="s">
        <v>66</v>
      </c>
      <c r="B127" t="s">
        <v>69</v>
      </c>
      <c r="C127">
        <v>12</v>
      </c>
      <c r="D127" t="s">
        <v>86</v>
      </c>
      <c r="E127" t="s">
        <v>89</v>
      </c>
      <c r="F127" t="s">
        <v>88</v>
      </c>
      <c r="G127">
        <v>8.6809216029482901</v>
      </c>
      <c r="H127">
        <v>2E+20</v>
      </c>
      <c r="I127">
        <v>0</v>
      </c>
      <c r="J127">
        <v>10</v>
      </c>
      <c r="K127">
        <v>10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7.1791407599347101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9.6105910626672006</v>
      </c>
      <c r="U127" s="5">
        <f>IF((ContinuousStatsTable[[#This Row],[RepsRequested]]&gt;1),ContinuousStatsTable[[#This Row],[HalfWidth]],ContinuousStatsTable[[#This Row],[BatchMeansHalfWidth]])</f>
        <v>0.20481590731410945</v>
      </c>
    </row>
    <row r="128" spans="1:21" x14ac:dyDescent="0.35">
      <c r="A128" t="s">
        <v>66</v>
      </c>
      <c r="B128" t="s">
        <v>69</v>
      </c>
      <c r="C128">
        <v>12</v>
      </c>
      <c r="D128" t="s">
        <v>86</v>
      </c>
      <c r="E128" t="s">
        <v>90</v>
      </c>
      <c r="F128" t="s">
        <v>88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69</v>
      </c>
      <c r="C129">
        <v>12</v>
      </c>
      <c r="D129" t="s">
        <v>82</v>
      </c>
      <c r="E129" t="s">
        <v>84</v>
      </c>
      <c r="F129" t="s">
        <v>72</v>
      </c>
      <c r="G129">
        <v>2.8333123248800098</v>
      </c>
      <c r="H129">
        <v>2E+20</v>
      </c>
      <c r="I129">
        <v>0</v>
      </c>
      <c r="J129">
        <v>5</v>
      </c>
      <c r="K129">
        <v>4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2.1426391607582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3.27384557923344</v>
      </c>
      <c r="U129" s="5">
        <f>IF((ContinuousStatsTable[[#This Row],[RepsRequested]]&gt;1),ContinuousStatsTable[[#This Row],[HalfWidth]],ContinuousStatsTable[[#This Row],[BatchMeansHalfWidth]])</f>
        <v>9.1472887832627928E-2</v>
      </c>
    </row>
    <row r="130" spans="1:21" x14ac:dyDescent="0.35">
      <c r="A130" t="s">
        <v>66</v>
      </c>
      <c r="B130" t="s">
        <v>69</v>
      </c>
      <c r="C130">
        <v>12</v>
      </c>
      <c r="D130" t="s">
        <v>91</v>
      </c>
      <c r="E130" t="s">
        <v>87</v>
      </c>
      <c r="F130" t="s">
        <v>88</v>
      </c>
      <c r="G130">
        <v>0.96612864085926897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0.92631153500444496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0.99913603041501298</v>
      </c>
      <c r="U130" s="5">
        <f>IF((ContinuousStatsTable[[#This Row],[RepsRequested]]&gt;1),ContinuousStatsTable[[#This Row],[HalfWidth]],ContinuousStatsTable[[#This Row],[BatchMeansHalfWidth]])</f>
        <v>6.4980603216527278E-3</v>
      </c>
    </row>
    <row r="131" spans="1:21" x14ac:dyDescent="0.35">
      <c r="A131" t="s">
        <v>66</v>
      </c>
      <c r="B131" t="s">
        <v>69</v>
      </c>
      <c r="C131">
        <v>12</v>
      </c>
      <c r="D131" t="s">
        <v>91</v>
      </c>
      <c r="E131" t="s">
        <v>89</v>
      </c>
      <c r="F131" t="s">
        <v>88</v>
      </c>
      <c r="G131">
        <v>1.9322572817185399</v>
      </c>
      <c r="H131">
        <v>2E+20</v>
      </c>
      <c r="I131">
        <v>0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1.8526230700088899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1.99827206083003</v>
      </c>
      <c r="U131" s="5">
        <f>IF((ContinuousStatsTable[[#This Row],[RepsRequested]]&gt;1),ContinuousStatsTable[[#This Row],[HalfWidth]],ContinuousStatsTable[[#This Row],[BatchMeansHalfWidth]])</f>
        <v>1.299612064330544E-2</v>
      </c>
    </row>
    <row r="132" spans="1:21" x14ac:dyDescent="0.35">
      <c r="A132" t="s">
        <v>66</v>
      </c>
      <c r="B132" t="s">
        <v>69</v>
      </c>
      <c r="C132">
        <v>12</v>
      </c>
      <c r="D132" t="s">
        <v>91</v>
      </c>
      <c r="E132" t="s">
        <v>90</v>
      </c>
      <c r="F132" t="s">
        <v>88</v>
      </c>
      <c r="G132">
        <v>2</v>
      </c>
      <c r="H132">
        <v>2E+20</v>
      </c>
      <c r="I132">
        <v>2</v>
      </c>
      <c r="J132">
        <v>2</v>
      </c>
      <c r="K132">
        <v>2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2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2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12</v>
      </c>
      <c r="D133" t="s">
        <v>83</v>
      </c>
      <c r="E133" t="s">
        <v>84</v>
      </c>
      <c r="F133" t="s">
        <v>72</v>
      </c>
      <c r="G133">
        <v>2.7384835485770198</v>
      </c>
      <c r="H133">
        <v>2E+20</v>
      </c>
      <c r="I133">
        <v>0</v>
      </c>
      <c r="J133">
        <v>6</v>
      </c>
      <c r="K133">
        <v>2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2.0230576660756401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3.1833377638216702</v>
      </c>
      <c r="U133" s="5">
        <f>IF((ContinuousStatsTable[[#This Row],[RepsRequested]]&gt;1),ContinuousStatsTable[[#This Row],[HalfWidth]],ContinuousStatsTable[[#This Row],[BatchMeansHalfWidth]])</f>
        <v>0.10275597124787904</v>
      </c>
    </row>
    <row r="134" spans="1:21" x14ac:dyDescent="0.35">
      <c r="A134" t="s">
        <v>66</v>
      </c>
      <c r="B134" t="s">
        <v>69</v>
      </c>
      <c r="C134">
        <v>13</v>
      </c>
      <c r="D134" t="s">
        <v>70</v>
      </c>
      <c r="E134" t="s">
        <v>84</v>
      </c>
      <c r="F134" t="s">
        <v>72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69</v>
      </c>
      <c r="C135">
        <v>13</v>
      </c>
      <c r="D135" t="s">
        <v>73</v>
      </c>
      <c r="E135" t="s">
        <v>84</v>
      </c>
      <c r="F135" t="s">
        <v>72</v>
      </c>
      <c r="G135">
        <v>3.58522020877137</v>
      </c>
      <c r="H135">
        <v>2E+20</v>
      </c>
      <c r="I135">
        <v>0</v>
      </c>
      <c r="J135">
        <v>12</v>
      </c>
      <c r="K135">
        <v>10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0.475935837419309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14.545335118962701</v>
      </c>
      <c r="U135" s="5">
        <f>IF((ContinuousStatsTable[[#This Row],[RepsRequested]]&gt;1),ContinuousStatsTable[[#This Row],[HalfWidth]],ContinuousStatsTable[[#This Row],[BatchMeansHalfWidth]])</f>
        <v>1.1647272989250694</v>
      </c>
    </row>
    <row r="136" spans="1:21" x14ac:dyDescent="0.35">
      <c r="A136" t="s">
        <v>66</v>
      </c>
      <c r="B136" t="s">
        <v>69</v>
      </c>
      <c r="C136">
        <v>13</v>
      </c>
      <c r="D136" t="s">
        <v>74</v>
      </c>
      <c r="E136" t="s">
        <v>85</v>
      </c>
      <c r="F136" t="s">
        <v>76</v>
      </c>
      <c r="G136">
        <v>25.729015996861101</v>
      </c>
      <c r="H136">
        <v>2E+20</v>
      </c>
      <c r="I136">
        <v>0</v>
      </c>
      <c r="J136">
        <v>44</v>
      </c>
      <c r="K136">
        <v>40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16.614335916574898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47.992828685108996</v>
      </c>
      <c r="U136" s="5">
        <f>IF((ContinuousStatsTable[[#This Row],[RepsRequested]]&gt;1),ContinuousStatsTable[[#This Row],[HalfWidth]],ContinuousStatsTable[[#This Row],[BatchMeansHalfWidth]])</f>
        <v>2.6199410784579222</v>
      </c>
    </row>
    <row r="137" spans="1:21" x14ac:dyDescent="0.35">
      <c r="A137" t="s">
        <v>66</v>
      </c>
      <c r="B137" t="s">
        <v>69</v>
      </c>
      <c r="C137">
        <v>13</v>
      </c>
      <c r="D137" t="s">
        <v>86</v>
      </c>
      <c r="E137" t="s">
        <v>87</v>
      </c>
      <c r="F137" t="s">
        <v>88</v>
      </c>
      <c r="G137">
        <v>0.92792877896591497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0.71791407599347101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0.96105910626671998</v>
      </c>
      <c r="U137" s="5">
        <f>IF((ContinuousStatsTable[[#This Row],[RepsRequested]]&gt;1),ContinuousStatsTable[[#This Row],[HalfWidth]],ContinuousStatsTable[[#This Row],[BatchMeansHalfWidth]])</f>
        <v>2.0481590731410954E-2</v>
      </c>
    </row>
    <row r="138" spans="1:21" x14ac:dyDescent="0.35">
      <c r="A138" t="s">
        <v>66</v>
      </c>
      <c r="B138" t="s">
        <v>69</v>
      </c>
      <c r="C138">
        <v>13</v>
      </c>
      <c r="D138" t="s">
        <v>86</v>
      </c>
      <c r="E138" t="s">
        <v>89</v>
      </c>
      <c r="F138" t="s">
        <v>88</v>
      </c>
      <c r="G138">
        <v>9.2792877896591595</v>
      </c>
      <c r="H138">
        <v>2E+20</v>
      </c>
      <c r="I138">
        <v>0</v>
      </c>
      <c r="J138">
        <v>10</v>
      </c>
      <c r="K138">
        <v>10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7.1791407599347101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9.6105910626672006</v>
      </c>
      <c r="U138" s="5">
        <f>IF((ContinuousStatsTable[[#This Row],[RepsRequested]]&gt;1),ContinuousStatsTable[[#This Row],[HalfWidth]],ContinuousStatsTable[[#This Row],[BatchMeansHalfWidth]])</f>
        <v>0.20481590731410945</v>
      </c>
    </row>
    <row r="139" spans="1:21" x14ac:dyDescent="0.35">
      <c r="A139" t="s">
        <v>66</v>
      </c>
      <c r="B139" t="s">
        <v>69</v>
      </c>
      <c r="C139">
        <v>13</v>
      </c>
      <c r="D139" t="s">
        <v>86</v>
      </c>
      <c r="E139" t="s">
        <v>90</v>
      </c>
      <c r="F139" t="s">
        <v>88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69</v>
      </c>
      <c r="C140">
        <v>13</v>
      </c>
      <c r="D140" t="s">
        <v>82</v>
      </c>
      <c r="E140" t="s">
        <v>84</v>
      </c>
      <c r="F140" t="s">
        <v>72</v>
      </c>
      <c r="G140">
        <v>3.0729940756462999</v>
      </c>
      <c r="H140">
        <v>2E+20</v>
      </c>
      <c r="I140">
        <v>0</v>
      </c>
      <c r="J140">
        <v>4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2.1426391607582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3.27384557923344</v>
      </c>
      <c r="U140" s="5">
        <f>IF((ContinuousStatsTable[[#This Row],[RepsRequested]]&gt;1),ContinuousStatsTable[[#This Row],[HalfWidth]],ContinuousStatsTable[[#This Row],[BatchMeansHalfWidth]])</f>
        <v>9.1472887832627928E-2</v>
      </c>
    </row>
    <row r="141" spans="1:21" x14ac:dyDescent="0.35">
      <c r="A141" t="s">
        <v>66</v>
      </c>
      <c r="B141" t="s">
        <v>69</v>
      </c>
      <c r="C141">
        <v>13</v>
      </c>
      <c r="D141" t="s">
        <v>91</v>
      </c>
      <c r="E141" t="s">
        <v>87</v>
      </c>
      <c r="F141" t="s">
        <v>88</v>
      </c>
      <c r="G141">
        <v>0.98841331928457399</v>
      </c>
      <c r="H141">
        <v>2E+20</v>
      </c>
      <c r="I141">
        <v>0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0.92631153500444496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0.99913603041501298</v>
      </c>
      <c r="U141" s="5">
        <f>IF((ContinuousStatsTable[[#This Row],[RepsRequested]]&gt;1),ContinuousStatsTable[[#This Row],[HalfWidth]],ContinuousStatsTable[[#This Row],[BatchMeansHalfWidth]])</f>
        <v>6.4980603216527278E-3</v>
      </c>
    </row>
    <row r="142" spans="1:21" x14ac:dyDescent="0.35">
      <c r="A142" t="s">
        <v>66</v>
      </c>
      <c r="B142" t="s">
        <v>69</v>
      </c>
      <c r="C142">
        <v>13</v>
      </c>
      <c r="D142" t="s">
        <v>91</v>
      </c>
      <c r="E142" t="s">
        <v>89</v>
      </c>
      <c r="F142" t="s">
        <v>88</v>
      </c>
      <c r="G142">
        <v>1.97682663856915</v>
      </c>
      <c r="H142">
        <v>2E+20</v>
      </c>
      <c r="I142">
        <v>0</v>
      </c>
      <c r="J142">
        <v>2</v>
      </c>
      <c r="K142">
        <v>2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1.8526230700088899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1.99827206083003</v>
      </c>
      <c r="U142" s="5">
        <f>IF((ContinuousStatsTable[[#This Row],[RepsRequested]]&gt;1),ContinuousStatsTable[[#This Row],[HalfWidth]],ContinuousStatsTable[[#This Row],[BatchMeansHalfWidth]])</f>
        <v>1.299612064330544E-2</v>
      </c>
    </row>
    <row r="143" spans="1:21" x14ac:dyDescent="0.35">
      <c r="A143" t="s">
        <v>66</v>
      </c>
      <c r="B143" t="s">
        <v>69</v>
      </c>
      <c r="C143">
        <v>13</v>
      </c>
      <c r="D143" t="s">
        <v>91</v>
      </c>
      <c r="E143" t="s">
        <v>90</v>
      </c>
      <c r="F143" t="s">
        <v>88</v>
      </c>
      <c r="G143">
        <v>2</v>
      </c>
      <c r="H143">
        <v>2E+20</v>
      </c>
      <c r="I143">
        <v>2</v>
      </c>
      <c r="J143">
        <v>2</v>
      </c>
      <c r="K143">
        <v>2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2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2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69</v>
      </c>
      <c r="C144">
        <v>13</v>
      </c>
      <c r="D144" t="s">
        <v>83</v>
      </c>
      <c r="E144" t="s">
        <v>84</v>
      </c>
      <c r="F144" t="s">
        <v>72</v>
      </c>
      <c r="G144">
        <v>2.9804845784168199</v>
      </c>
      <c r="H144">
        <v>2E+20</v>
      </c>
      <c r="I144">
        <v>0</v>
      </c>
      <c r="J144">
        <v>5</v>
      </c>
      <c r="K144">
        <v>4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2.0230576660756401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3.1833377638216702</v>
      </c>
      <c r="U144" s="5">
        <f>IF((ContinuousStatsTable[[#This Row],[RepsRequested]]&gt;1),ContinuousStatsTable[[#This Row],[HalfWidth]],ContinuousStatsTable[[#This Row],[BatchMeansHalfWidth]])</f>
        <v>0.10275597124787904</v>
      </c>
    </row>
    <row r="145" spans="1:21" x14ac:dyDescent="0.35">
      <c r="A145" t="s">
        <v>66</v>
      </c>
      <c r="B145" t="s">
        <v>69</v>
      </c>
      <c r="C145">
        <v>14</v>
      </c>
      <c r="D145" t="s">
        <v>70</v>
      </c>
      <c r="E145" t="s">
        <v>84</v>
      </c>
      <c r="F145" t="s">
        <v>72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69</v>
      </c>
      <c r="C146">
        <v>14</v>
      </c>
      <c r="D146" t="s">
        <v>73</v>
      </c>
      <c r="E146" t="s">
        <v>84</v>
      </c>
      <c r="F146" t="s">
        <v>72</v>
      </c>
      <c r="G146">
        <v>5.5400452193142904</v>
      </c>
      <c r="H146">
        <v>2E+20</v>
      </c>
      <c r="I146">
        <v>0</v>
      </c>
      <c r="J146">
        <v>15</v>
      </c>
      <c r="K146">
        <v>15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0.475935837419309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14.545335118962701</v>
      </c>
      <c r="U146" s="5">
        <f>IF((ContinuousStatsTable[[#This Row],[RepsRequested]]&gt;1),ContinuousStatsTable[[#This Row],[HalfWidth]],ContinuousStatsTable[[#This Row],[BatchMeansHalfWidth]])</f>
        <v>1.1647272989250694</v>
      </c>
    </row>
    <row r="147" spans="1:21" x14ac:dyDescent="0.35">
      <c r="A147" t="s">
        <v>66</v>
      </c>
      <c r="B147" t="s">
        <v>69</v>
      </c>
      <c r="C147">
        <v>14</v>
      </c>
      <c r="D147" t="s">
        <v>74</v>
      </c>
      <c r="E147" t="s">
        <v>85</v>
      </c>
      <c r="F147" t="s">
        <v>76</v>
      </c>
      <c r="G147">
        <v>29.549142728946499</v>
      </c>
      <c r="H147">
        <v>2E+20</v>
      </c>
      <c r="I147">
        <v>0</v>
      </c>
      <c r="J147">
        <v>51</v>
      </c>
      <c r="K147">
        <v>50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16.614335916574898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47.992828685108996</v>
      </c>
      <c r="U147" s="5">
        <f>IF((ContinuousStatsTable[[#This Row],[RepsRequested]]&gt;1),ContinuousStatsTable[[#This Row],[HalfWidth]],ContinuousStatsTable[[#This Row],[BatchMeansHalfWidth]])</f>
        <v>2.6199410784579222</v>
      </c>
    </row>
    <row r="148" spans="1:21" x14ac:dyDescent="0.35">
      <c r="A148" t="s">
        <v>66</v>
      </c>
      <c r="B148" t="s">
        <v>69</v>
      </c>
      <c r="C148">
        <v>14</v>
      </c>
      <c r="D148" t="s">
        <v>86</v>
      </c>
      <c r="E148" t="s">
        <v>87</v>
      </c>
      <c r="F148" t="s">
        <v>88</v>
      </c>
      <c r="G148">
        <v>0.923452614515896</v>
      </c>
      <c r="H148">
        <v>2E+20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0.71791407599347101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0.96105910626671998</v>
      </c>
      <c r="U148" s="5">
        <f>IF((ContinuousStatsTable[[#This Row],[RepsRequested]]&gt;1),ContinuousStatsTable[[#This Row],[HalfWidth]],ContinuousStatsTable[[#This Row],[BatchMeansHalfWidth]])</f>
        <v>2.0481590731410954E-2</v>
      </c>
    </row>
    <row r="149" spans="1:21" x14ac:dyDescent="0.35">
      <c r="A149" t="s">
        <v>66</v>
      </c>
      <c r="B149" t="s">
        <v>69</v>
      </c>
      <c r="C149">
        <v>14</v>
      </c>
      <c r="D149" t="s">
        <v>86</v>
      </c>
      <c r="E149" t="s">
        <v>89</v>
      </c>
      <c r="F149" t="s">
        <v>88</v>
      </c>
      <c r="G149">
        <v>9.2345261451589593</v>
      </c>
      <c r="H149">
        <v>2E+20</v>
      </c>
      <c r="I149">
        <v>0</v>
      </c>
      <c r="J149">
        <v>10</v>
      </c>
      <c r="K149">
        <v>10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7.1791407599347101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9.6105910626672006</v>
      </c>
      <c r="U149" s="5">
        <f>IF((ContinuousStatsTable[[#This Row],[RepsRequested]]&gt;1),ContinuousStatsTable[[#This Row],[HalfWidth]],ContinuousStatsTable[[#This Row],[BatchMeansHalfWidth]])</f>
        <v>0.20481590731410945</v>
      </c>
    </row>
    <row r="150" spans="1:21" x14ac:dyDescent="0.35">
      <c r="A150" t="s">
        <v>66</v>
      </c>
      <c r="B150" t="s">
        <v>69</v>
      </c>
      <c r="C150">
        <v>14</v>
      </c>
      <c r="D150" t="s">
        <v>86</v>
      </c>
      <c r="E150" t="s">
        <v>90</v>
      </c>
      <c r="F150" t="s">
        <v>88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14</v>
      </c>
      <c r="D151" t="s">
        <v>82</v>
      </c>
      <c r="E151" t="s">
        <v>84</v>
      </c>
      <c r="F151" t="s">
        <v>72</v>
      </c>
      <c r="G151">
        <v>3.0452280183818399</v>
      </c>
      <c r="H151">
        <v>2E+20</v>
      </c>
      <c r="I151">
        <v>0</v>
      </c>
      <c r="J151">
        <v>5</v>
      </c>
      <c r="K151">
        <v>3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2.1426391607582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3.27384557923344</v>
      </c>
      <c r="U151" s="5">
        <f>IF((ContinuousStatsTable[[#This Row],[RepsRequested]]&gt;1),ContinuousStatsTable[[#This Row],[HalfWidth]],ContinuousStatsTable[[#This Row],[BatchMeansHalfWidth]])</f>
        <v>9.1472887832627928E-2</v>
      </c>
    </row>
    <row r="152" spans="1:21" x14ac:dyDescent="0.35">
      <c r="A152" t="s">
        <v>66</v>
      </c>
      <c r="B152" t="s">
        <v>69</v>
      </c>
      <c r="C152">
        <v>14</v>
      </c>
      <c r="D152" t="s">
        <v>91</v>
      </c>
      <c r="E152" t="s">
        <v>87</v>
      </c>
      <c r="F152" t="s">
        <v>88</v>
      </c>
      <c r="G152">
        <v>0.99778565974547695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0.92631153500444496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0.99913603041501298</v>
      </c>
      <c r="U152" s="5">
        <f>IF((ContinuousStatsTable[[#This Row],[RepsRequested]]&gt;1),ContinuousStatsTable[[#This Row],[HalfWidth]],ContinuousStatsTable[[#This Row],[BatchMeansHalfWidth]])</f>
        <v>6.4980603216527278E-3</v>
      </c>
    </row>
    <row r="153" spans="1:21" x14ac:dyDescent="0.35">
      <c r="A153" t="s">
        <v>66</v>
      </c>
      <c r="B153" t="s">
        <v>69</v>
      </c>
      <c r="C153">
        <v>14</v>
      </c>
      <c r="D153" t="s">
        <v>91</v>
      </c>
      <c r="E153" t="s">
        <v>89</v>
      </c>
      <c r="F153" t="s">
        <v>88</v>
      </c>
      <c r="G153">
        <v>1.9955713194909499</v>
      </c>
      <c r="H153">
        <v>2E+20</v>
      </c>
      <c r="I153">
        <v>0</v>
      </c>
      <c r="J153">
        <v>2</v>
      </c>
      <c r="K153">
        <v>2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1.8526230700088899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1.99827206083003</v>
      </c>
      <c r="U153" s="5">
        <f>IF((ContinuousStatsTable[[#This Row],[RepsRequested]]&gt;1),ContinuousStatsTable[[#This Row],[HalfWidth]],ContinuousStatsTable[[#This Row],[BatchMeansHalfWidth]])</f>
        <v>1.299612064330544E-2</v>
      </c>
    </row>
    <row r="154" spans="1:21" x14ac:dyDescent="0.35">
      <c r="A154" t="s">
        <v>66</v>
      </c>
      <c r="B154" t="s">
        <v>69</v>
      </c>
      <c r="C154">
        <v>14</v>
      </c>
      <c r="D154" t="s">
        <v>91</v>
      </c>
      <c r="E154" t="s">
        <v>90</v>
      </c>
      <c r="F154" t="s">
        <v>88</v>
      </c>
      <c r="G154">
        <v>2</v>
      </c>
      <c r="H154">
        <v>2E+20</v>
      </c>
      <c r="I154">
        <v>2</v>
      </c>
      <c r="J154">
        <v>2</v>
      </c>
      <c r="K154">
        <v>2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2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2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69</v>
      </c>
      <c r="C155">
        <v>14</v>
      </c>
      <c r="D155" t="s">
        <v>83</v>
      </c>
      <c r="E155" t="s">
        <v>84</v>
      </c>
      <c r="F155" t="s">
        <v>72</v>
      </c>
      <c r="G155">
        <v>2.9299066041157502</v>
      </c>
      <c r="H155">
        <v>2E+20</v>
      </c>
      <c r="I155">
        <v>0</v>
      </c>
      <c r="J155">
        <v>6</v>
      </c>
      <c r="K155">
        <v>4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2.0230576660756401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3.1833377638216702</v>
      </c>
      <c r="U155" s="5">
        <f>IF((ContinuousStatsTable[[#This Row],[RepsRequested]]&gt;1),ContinuousStatsTable[[#This Row],[HalfWidth]],ContinuousStatsTable[[#This Row],[BatchMeansHalfWidth]])</f>
        <v>0.10275597124787904</v>
      </c>
    </row>
    <row r="156" spans="1:21" x14ac:dyDescent="0.35">
      <c r="A156" t="s">
        <v>66</v>
      </c>
      <c r="B156" t="s">
        <v>69</v>
      </c>
      <c r="C156">
        <v>15</v>
      </c>
      <c r="D156" t="s">
        <v>70</v>
      </c>
      <c r="E156" t="s">
        <v>84</v>
      </c>
      <c r="F156" t="s">
        <v>72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15</v>
      </c>
      <c r="D157" t="s">
        <v>73</v>
      </c>
      <c r="E157" t="s">
        <v>84</v>
      </c>
      <c r="F157" t="s">
        <v>72</v>
      </c>
      <c r="G157">
        <v>3.2066048901968101</v>
      </c>
      <c r="H157">
        <v>2E+20</v>
      </c>
      <c r="I157">
        <v>0</v>
      </c>
      <c r="J157">
        <v>12</v>
      </c>
      <c r="K157">
        <v>9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0.475935837419309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14.545335118962701</v>
      </c>
      <c r="U157" s="5">
        <f>IF((ContinuousStatsTable[[#This Row],[RepsRequested]]&gt;1),ContinuousStatsTable[[#This Row],[HalfWidth]],ContinuousStatsTable[[#This Row],[BatchMeansHalfWidth]])</f>
        <v>1.1647272989250694</v>
      </c>
    </row>
    <row r="158" spans="1:21" x14ac:dyDescent="0.35">
      <c r="A158" t="s">
        <v>66</v>
      </c>
      <c r="B158" t="s">
        <v>69</v>
      </c>
      <c r="C158">
        <v>15</v>
      </c>
      <c r="D158" t="s">
        <v>74</v>
      </c>
      <c r="E158" t="s">
        <v>85</v>
      </c>
      <c r="F158" t="s">
        <v>76</v>
      </c>
      <c r="G158">
        <v>21.848590216021201</v>
      </c>
      <c r="H158">
        <v>2E+20</v>
      </c>
      <c r="I158">
        <v>0</v>
      </c>
      <c r="J158">
        <v>44</v>
      </c>
      <c r="K158">
        <v>38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16.614335916574898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47.992828685108996</v>
      </c>
      <c r="U158" s="5">
        <f>IF((ContinuousStatsTable[[#This Row],[RepsRequested]]&gt;1),ContinuousStatsTable[[#This Row],[HalfWidth]],ContinuousStatsTable[[#This Row],[BatchMeansHalfWidth]])</f>
        <v>2.6199410784579222</v>
      </c>
    </row>
    <row r="159" spans="1:21" x14ac:dyDescent="0.35">
      <c r="A159" t="s">
        <v>66</v>
      </c>
      <c r="B159" t="s">
        <v>69</v>
      </c>
      <c r="C159">
        <v>15</v>
      </c>
      <c r="D159" t="s">
        <v>86</v>
      </c>
      <c r="E159" t="s">
        <v>87</v>
      </c>
      <c r="F159" t="s">
        <v>88</v>
      </c>
      <c r="G159">
        <v>0.77176902178137796</v>
      </c>
      <c r="H159">
        <v>2E+20</v>
      </c>
      <c r="I159">
        <v>0</v>
      </c>
      <c r="J159">
        <v>1</v>
      </c>
      <c r="K159">
        <v>1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0.71791407599347101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0.96105910626671998</v>
      </c>
      <c r="U159" s="5">
        <f>IF((ContinuousStatsTable[[#This Row],[RepsRequested]]&gt;1),ContinuousStatsTable[[#This Row],[HalfWidth]],ContinuousStatsTable[[#This Row],[BatchMeansHalfWidth]])</f>
        <v>2.0481590731410954E-2</v>
      </c>
    </row>
    <row r="160" spans="1:21" x14ac:dyDescent="0.35">
      <c r="A160" t="s">
        <v>66</v>
      </c>
      <c r="B160" t="s">
        <v>69</v>
      </c>
      <c r="C160">
        <v>15</v>
      </c>
      <c r="D160" t="s">
        <v>86</v>
      </c>
      <c r="E160" t="s">
        <v>89</v>
      </c>
      <c r="F160" t="s">
        <v>88</v>
      </c>
      <c r="G160">
        <v>7.7176902178137796</v>
      </c>
      <c r="H160">
        <v>2E+20</v>
      </c>
      <c r="I160">
        <v>0</v>
      </c>
      <c r="J160">
        <v>10</v>
      </c>
      <c r="K160">
        <v>10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7.1791407599347101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9.6105910626672006</v>
      </c>
      <c r="U160" s="5">
        <f>IF((ContinuousStatsTable[[#This Row],[RepsRequested]]&gt;1),ContinuousStatsTable[[#This Row],[HalfWidth]],ContinuousStatsTable[[#This Row],[BatchMeansHalfWidth]])</f>
        <v>0.20481590731410945</v>
      </c>
    </row>
    <row r="161" spans="1:21" x14ac:dyDescent="0.35">
      <c r="A161" t="s">
        <v>66</v>
      </c>
      <c r="B161" t="s">
        <v>69</v>
      </c>
      <c r="C161">
        <v>15</v>
      </c>
      <c r="D161" t="s">
        <v>86</v>
      </c>
      <c r="E161" t="s">
        <v>90</v>
      </c>
      <c r="F161" t="s">
        <v>88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15</v>
      </c>
      <c r="D162" t="s">
        <v>82</v>
      </c>
      <c r="E162" t="s">
        <v>84</v>
      </c>
      <c r="F162" t="s">
        <v>72</v>
      </c>
      <c r="G162">
        <v>2.5792350010066798</v>
      </c>
      <c r="H162">
        <v>2E+20</v>
      </c>
      <c r="I162">
        <v>0</v>
      </c>
      <c r="J162">
        <v>6</v>
      </c>
      <c r="K162">
        <v>5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2.1426391607582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3.27384557923344</v>
      </c>
      <c r="U162" s="5">
        <f>IF((ContinuousStatsTable[[#This Row],[RepsRequested]]&gt;1),ContinuousStatsTable[[#This Row],[HalfWidth]],ContinuousStatsTable[[#This Row],[BatchMeansHalfWidth]])</f>
        <v>9.1472887832627928E-2</v>
      </c>
    </row>
    <row r="163" spans="1:21" x14ac:dyDescent="0.35">
      <c r="A163" t="s">
        <v>66</v>
      </c>
      <c r="B163" t="s">
        <v>69</v>
      </c>
      <c r="C163">
        <v>15</v>
      </c>
      <c r="D163" t="s">
        <v>91</v>
      </c>
      <c r="E163" t="s">
        <v>87</v>
      </c>
      <c r="F163" t="s">
        <v>88</v>
      </c>
      <c r="G163">
        <v>0.92732957491889501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0.92631153500444496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0.99913603041501298</v>
      </c>
      <c r="U163" s="5">
        <f>IF((ContinuousStatsTable[[#This Row],[RepsRequested]]&gt;1),ContinuousStatsTable[[#This Row],[HalfWidth]],ContinuousStatsTable[[#This Row],[BatchMeansHalfWidth]])</f>
        <v>6.4980603216527278E-3</v>
      </c>
    </row>
    <row r="164" spans="1:21" x14ac:dyDescent="0.35">
      <c r="A164" t="s">
        <v>66</v>
      </c>
      <c r="B164" t="s">
        <v>69</v>
      </c>
      <c r="C164">
        <v>15</v>
      </c>
      <c r="D164" t="s">
        <v>91</v>
      </c>
      <c r="E164" t="s">
        <v>89</v>
      </c>
      <c r="F164" t="s">
        <v>88</v>
      </c>
      <c r="G164">
        <v>1.85465914983779</v>
      </c>
      <c r="H164">
        <v>2E+20</v>
      </c>
      <c r="I164">
        <v>0</v>
      </c>
      <c r="J164">
        <v>2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1.8526230700088899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1.99827206083003</v>
      </c>
      <c r="U164" s="5">
        <f>IF((ContinuousStatsTable[[#This Row],[RepsRequested]]&gt;1),ContinuousStatsTable[[#This Row],[HalfWidth]],ContinuousStatsTable[[#This Row],[BatchMeansHalfWidth]])</f>
        <v>1.299612064330544E-2</v>
      </c>
    </row>
    <row r="165" spans="1:21" x14ac:dyDescent="0.35">
      <c r="A165" t="s">
        <v>66</v>
      </c>
      <c r="B165" t="s">
        <v>69</v>
      </c>
      <c r="C165">
        <v>15</v>
      </c>
      <c r="D165" t="s">
        <v>91</v>
      </c>
      <c r="E165" t="s">
        <v>90</v>
      </c>
      <c r="F165" t="s">
        <v>88</v>
      </c>
      <c r="G165">
        <v>2</v>
      </c>
      <c r="H165">
        <v>2E+20</v>
      </c>
      <c r="I165">
        <v>2</v>
      </c>
      <c r="J165">
        <v>2</v>
      </c>
      <c r="K165">
        <v>2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2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2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2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69</v>
      </c>
      <c r="C166">
        <v>15</v>
      </c>
      <c r="D166" t="s">
        <v>83</v>
      </c>
      <c r="E166" t="s">
        <v>84</v>
      </c>
      <c r="F166" t="s">
        <v>72</v>
      </c>
      <c r="G166">
        <v>2.1692426210793099</v>
      </c>
      <c r="H166">
        <v>2E+20</v>
      </c>
      <c r="I166">
        <v>0</v>
      </c>
      <c r="J166">
        <v>5</v>
      </c>
      <c r="K166">
        <v>2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2.0230576660756401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3.1833377638216702</v>
      </c>
      <c r="U166" s="5">
        <f>IF((ContinuousStatsTable[[#This Row],[RepsRequested]]&gt;1),ContinuousStatsTable[[#This Row],[HalfWidth]],ContinuousStatsTable[[#This Row],[BatchMeansHalfWidth]])</f>
        <v>0.10275597124787904</v>
      </c>
    </row>
    <row r="167" spans="1:21" x14ac:dyDescent="0.35">
      <c r="A167" t="s">
        <v>66</v>
      </c>
      <c r="B167" t="s">
        <v>69</v>
      </c>
      <c r="C167">
        <v>16</v>
      </c>
      <c r="D167" t="s">
        <v>70</v>
      </c>
      <c r="E167" t="s">
        <v>84</v>
      </c>
      <c r="F167" t="s">
        <v>72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69</v>
      </c>
      <c r="C168">
        <v>16</v>
      </c>
      <c r="D168" t="s">
        <v>73</v>
      </c>
      <c r="E168" t="s">
        <v>84</v>
      </c>
      <c r="F168" t="s">
        <v>72</v>
      </c>
      <c r="G168">
        <v>8.7796134444220897</v>
      </c>
      <c r="H168">
        <v>2E+20</v>
      </c>
      <c r="I168">
        <v>0</v>
      </c>
      <c r="J168">
        <v>21</v>
      </c>
      <c r="K168">
        <v>21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0.475935837419309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14.545335118962701</v>
      </c>
      <c r="U168" s="5">
        <f>IF((ContinuousStatsTable[[#This Row],[RepsRequested]]&gt;1),ContinuousStatsTable[[#This Row],[HalfWidth]],ContinuousStatsTable[[#This Row],[BatchMeansHalfWidth]])</f>
        <v>1.1647272989250694</v>
      </c>
    </row>
    <row r="169" spans="1:21" x14ac:dyDescent="0.35">
      <c r="A169" t="s">
        <v>66</v>
      </c>
      <c r="B169" t="s">
        <v>69</v>
      </c>
      <c r="C169">
        <v>16</v>
      </c>
      <c r="D169" t="s">
        <v>74</v>
      </c>
      <c r="E169" t="s">
        <v>85</v>
      </c>
      <c r="F169" t="s">
        <v>76</v>
      </c>
      <c r="G169">
        <v>36.780409014178602</v>
      </c>
      <c r="H169">
        <v>2E+20</v>
      </c>
      <c r="I169">
        <v>0</v>
      </c>
      <c r="J169">
        <v>63</v>
      </c>
      <c r="K169">
        <v>62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16.614335916574898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47.992828685108996</v>
      </c>
      <c r="U169" s="5">
        <f>IF((ContinuousStatsTable[[#This Row],[RepsRequested]]&gt;1),ContinuousStatsTable[[#This Row],[HalfWidth]],ContinuousStatsTable[[#This Row],[BatchMeansHalfWidth]])</f>
        <v>2.6199410784579222</v>
      </c>
    </row>
    <row r="170" spans="1:21" x14ac:dyDescent="0.35">
      <c r="A170" t="s">
        <v>66</v>
      </c>
      <c r="B170" t="s">
        <v>69</v>
      </c>
      <c r="C170">
        <v>16</v>
      </c>
      <c r="D170" t="s">
        <v>86</v>
      </c>
      <c r="E170" t="s">
        <v>87</v>
      </c>
      <c r="F170" t="s">
        <v>88</v>
      </c>
      <c r="G170">
        <v>0.96105910626671998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0.71791407599347101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0.96105910626671998</v>
      </c>
      <c r="U170" s="5">
        <f>IF((ContinuousStatsTable[[#This Row],[RepsRequested]]&gt;1),ContinuousStatsTable[[#This Row],[HalfWidth]],ContinuousStatsTable[[#This Row],[BatchMeansHalfWidth]])</f>
        <v>2.0481590731410954E-2</v>
      </c>
    </row>
    <row r="171" spans="1:21" x14ac:dyDescent="0.35">
      <c r="A171" t="s">
        <v>66</v>
      </c>
      <c r="B171" t="s">
        <v>69</v>
      </c>
      <c r="C171">
        <v>16</v>
      </c>
      <c r="D171" t="s">
        <v>86</v>
      </c>
      <c r="E171" t="s">
        <v>89</v>
      </c>
      <c r="F171" t="s">
        <v>88</v>
      </c>
      <c r="G171">
        <v>9.6105910626672006</v>
      </c>
      <c r="H171">
        <v>2E+20</v>
      </c>
      <c r="I171">
        <v>0</v>
      </c>
      <c r="J171">
        <v>10</v>
      </c>
      <c r="K171">
        <v>10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7.1791407599347101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9.6105910626672006</v>
      </c>
      <c r="U171" s="5">
        <f>IF((ContinuousStatsTable[[#This Row],[RepsRequested]]&gt;1),ContinuousStatsTable[[#This Row],[HalfWidth]],ContinuousStatsTable[[#This Row],[BatchMeansHalfWidth]])</f>
        <v>0.20481590731410945</v>
      </c>
    </row>
    <row r="172" spans="1:21" x14ac:dyDescent="0.35">
      <c r="A172" t="s">
        <v>66</v>
      </c>
      <c r="B172" t="s">
        <v>69</v>
      </c>
      <c r="C172">
        <v>16</v>
      </c>
      <c r="D172" t="s">
        <v>86</v>
      </c>
      <c r="E172" t="s">
        <v>90</v>
      </c>
      <c r="F172" t="s">
        <v>88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69</v>
      </c>
      <c r="C173">
        <v>16</v>
      </c>
      <c r="D173" t="s">
        <v>82</v>
      </c>
      <c r="E173" t="s">
        <v>84</v>
      </c>
      <c r="F173" t="s">
        <v>72</v>
      </c>
      <c r="G173">
        <v>3.2146629180002901</v>
      </c>
      <c r="H173">
        <v>2E+20</v>
      </c>
      <c r="I173">
        <v>0</v>
      </c>
      <c r="J173">
        <v>5</v>
      </c>
      <c r="K173">
        <v>3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2.1426391607582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3.27384557923344</v>
      </c>
      <c r="U173" s="5">
        <f>IF((ContinuousStatsTable[[#This Row],[RepsRequested]]&gt;1),ContinuousStatsTable[[#This Row],[HalfWidth]],ContinuousStatsTable[[#This Row],[BatchMeansHalfWidth]])</f>
        <v>9.1472887832627928E-2</v>
      </c>
    </row>
    <row r="174" spans="1:21" x14ac:dyDescent="0.35">
      <c r="A174" t="s">
        <v>66</v>
      </c>
      <c r="B174" t="s">
        <v>69</v>
      </c>
      <c r="C174">
        <v>16</v>
      </c>
      <c r="D174" t="s">
        <v>91</v>
      </c>
      <c r="E174" t="s">
        <v>87</v>
      </c>
      <c r="F174" t="s">
        <v>88</v>
      </c>
      <c r="G174">
        <v>0.99866787210596297</v>
      </c>
      <c r="H174">
        <v>2E+20</v>
      </c>
      <c r="I174">
        <v>0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0.92631153500444496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0.99913603041501298</v>
      </c>
      <c r="U174" s="5">
        <f>IF((ContinuousStatsTable[[#This Row],[RepsRequested]]&gt;1),ContinuousStatsTable[[#This Row],[HalfWidth]],ContinuousStatsTable[[#This Row],[BatchMeansHalfWidth]])</f>
        <v>6.4980603216527278E-3</v>
      </c>
    </row>
    <row r="175" spans="1:21" x14ac:dyDescent="0.35">
      <c r="A175" t="s">
        <v>66</v>
      </c>
      <c r="B175" t="s">
        <v>69</v>
      </c>
      <c r="C175">
        <v>16</v>
      </c>
      <c r="D175" t="s">
        <v>91</v>
      </c>
      <c r="E175" t="s">
        <v>89</v>
      </c>
      <c r="F175" t="s">
        <v>88</v>
      </c>
      <c r="G175">
        <v>1.9973357442119299</v>
      </c>
      <c r="H175">
        <v>2E+20</v>
      </c>
      <c r="I175">
        <v>0</v>
      </c>
      <c r="J175">
        <v>2</v>
      </c>
      <c r="K175">
        <v>2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1.8526230700088899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1.99827206083003</v>
      </c>
      <c r="U175" s="5">
        <f>IF((ContinuousStatsTable[[#This Row],[RepsRequested]]&gt;1),ContinuousStatsTable[[#This Row],[HalfWidth]],ContinuousStatsTable[[#This Row],[BatchMeansHalfWidth]])</f>
        <v>1.299612064330544E-2</v>
      </c>
    </row>
    <row r="176" spans="1:21" x14ac:dyDescent="0.35">
      <c r="A176" t="s">
        <v>66</v>
      </c>
      <c r="B176" t="s">
        <v>69</v>
      </c>
      <c r="C176">
        <v>16</v>
      </c>
      <c r="D176" t="s">
        <v>91</v>
      </c>
      <c r="E176" t="s">
        <v>90</v>
      </c>
      <c r="F176" t="s">
        <v>88</v>
      </c>
      <c r="G176">
        <v>2</v>
      </c>
      <c r="H176">
        <v>2E+20</v>
      </c>
      <c r="I176">
        <v>2</v>
      </c>
      <c r="J176">
        <v>2</v>
      </c>
      <c r="K176">
        <v>2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2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2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2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16</v>
      </c>
      <c r="D177" t="s">
        <v>83</v>
      </c>
      <c r="E177" t="s">
        <v>84</v>
      </c>
      <c r="F177" t="s">
        <v>72</v>
      </c>
      <c r="G177">
        <v>3.1833377638216702</v>
      </c>
      <c r="H177">
        <v>2E+20</v>
      </c>
      <c r="I177">
        <v>0</v>
      </c>
      <c r="J177">
        <v>5</v>
      </c>
      <c r="K177">
        <v>3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2.0230576660756401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3.1833377638216702</v>
      </c>
      <c r="U177" s="5">
        <f>IF((ContinuousStatsTable[[#This Row],[RepsRequested]]&gt;1),ContinuousStatsTable[[#This Row],[HalfWidth]],ContinuousStatsTable[[#This Row],[BatchMeansHalfWidth]])</f>
        <v>0.10275597124787904</v>
      </c>
    </row>
    <row r="178" spans="1:21" x14ac:dyDescent="0.35">
      <c r="A178" t="s">
        <v>66</v>
      </c>
      <c r="B178" t="s">
        <v>69</v>
      </c>
      <c r="C178">
        <v>17</v>
      </c>
      <c r="D178" t="s">
        <v>70</v>
      </c>
      <c r="E178" t="s">
        <v>84</v>
      </c>
      <c r="F178" t="s">
        <v>72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69</v>
      </c>
      <c r="C179">
        <v>17</v>
      </c>
      <c r="D179" t="s">
        <v>73</v>
      </c>
      <c r="E179" t="s">
        <v>84</v>
      </c>
      <c r="F179" t="s">
        <v>72</v>
      </c>
      <c r="G179">
        <v>3.2342920798920001</v>
      </c>
      <c r="H179">
        <v>2E+20</v>
      </c>
      <c r="I179">
        <v>0</v>
      </c>
      <c r="J179">
        <v>10</v>
      </c>
      <c r="K179">
        <v>8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0.475935837419309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14.545335118962701</v>
      </c>
      <c r="U179" s="5">
        <f>IF((ContinuousStatsTable[[#This Row],[RepsRequested]]&gt;1),ContinuousStatsTable[[#This Row],[HalfWidth]],ContinuousStatsTable[[#This Row],[BatchMeansHalfWidth]])</f>
        <v>1.1647272989250694</v>
      </c>
    </row>
    <row r="180" spans="1:21" x14ac:dyDescent="0.35">
      <c r="A180" t="s">
        <v>66</v>
      </c>
      <c r="B180" t="s">
        <v>69</v>
      </c>
      <c r="C180">
        <v>17</v>
      </c>
      <c r="D180" t="s">
        <v>74</v>
      </c>
      <c r="E180" t="s">
        <v>85</v>
      </c>
      <c r="F180" t="s">
        <v>76</v>
      </c>
      <c r="G180">
        <v>22.336509894015101</v>
      </c>
      <c r="H180">
        <v>2E+20</v>
      </c>
      <c r="I180">
        <v>0</v>
      </c>
      <c r="J180">
        <v>41</v>
      </c>
      <c r="K180">
        <v>36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16.614335916574898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47.992828685108996</v>
      </c>
      <c r="U180" s="5">
        <f>IF((ContinuousStatsTable[[#This Row],[RepsRequested]]&gt;1),ContinuousStatsTable[[#This Row],[HalfWidth]],ContinuousStatsTable[[#This Row],[BatchMeansHalfWidth]])</f>
        <v>2.6199410784579222</v>
      </c>
    </row>
    <row r="181" spans="1:21" x14ac:dyDescent="0.35">
      <c r="A181" t="s">
        <v>66</v>
      </c>
      <c r="B181" t="s">
        <v>69</v>
      </c>
      <c r="C181">
        <v>17</v>
      </c>
      <c r="D181" t="s">
        <v>86</v>
      </c>
      <c r="E181" t="s">
        <v>87</v>
      </c>
      <c r="F181" t="s">
        <v>88</v>
      </c>
      <c r="G181">
        <v>0.79339628671155604</v>
      </c>
      <c r="H181">
        <v>2E+20</v>
      </c>
      <c r="I181">
        <v>0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0.71791407599347101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0.96105910626671998</v>
      </c>
      <c r="U181" s="5">
        <f>IF((ContinuousStatsTable[[#This Row],[RepsRequested]]&gt;1),ContinuousStatsTable[[#This Row],[HalfWidth]],ContinuousStatsTable[[#This Row],[BatchMeansHalfWidth]])</f>
        <v>2.0481590731410954E-2</v>
      </c>
    </row>
    <row r="182" spans="1:21" x14ac:dyDescent="0.35">
      <c r="A182" t="s">
        <v>66</v>
      </c>
      <c r="B182" t="s">
        <v>69</v>
      </c>
      <c r="C182">
        <v>17</v>
      </c>
      <c r="D182" t="s">
        <v>86</v>
      </c>
      <c r="E182" t="s">
        <v>89</v>
      </c>
      <c r="F182" t="s">
        <v>88</v>
      </c>
      <c r="G182">
        <v>7.93396286711556</v>
      </c>
      <c r="H182">
        <v>2E+20</v>
      </c>
      <c r="I182">
        <v>0</v>
      </c>
      <c r="J182">
        <v>10</v>
      </c>
      <c r="K182">
        <v>10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7.1791407599347101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9.6105910626672006</v>
      </c>
      <c r="U182" s="5">
        <f>IF((ContinuousStatsTable[[#This Row],[RepsRequested]]&gt;1),ContinuousStatsTable[[#This Row],[HalfWidth]],ContinuousStatsTable[[#This Row],[BatchMeansHalfWidth]])</f>
        <v>0.20481590731410945</v>
      </c>
    </row>
    <row r="183" spans="1:21" x14ac:dyDescent="0.35">
      <c r="A183" t="s">
        <v>66</v>
      </c>
      <c r="B183" t="s">
        <v>69</v>
      </c>
      <c r="C183">
        <v>17</v>
      </c>
      <c r="D183" t="s">
        <v>86</v>
      </c>
      <c r="E183" t="s">
        <v>90</v>
      </c>
      <c r="F183" t="s">
        <v>88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69</v>
      </c>
      <c r="C184">
        <v>17</v>
      </c>
      <c r="D184" t="s">
        <v>82</v>
      </c>
      <c r="E184" t="s">
        <v>84</v>
      </c>
      <c r="F184" t="s">
        <v>72</v>
      </c>
      <c r="G184">
        <v>2.5383860611608799</v>
      </c>
      <c r="H184">
        <v>2E+20</v>
      </c>
      <c r="I184">
        <v>0</v>
      </c>
      <c r="J184">
        <v>5</v>
      </c>
      <c r="K184">
        <v>3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2.1426391607582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3.27384557923344</v>
      </c>
      <c r="U184" s="5">
        <f>IF((ContinuousStatsTable[[#This Row],[RepsRequested]]&gt;1),ContinuousStatsTable[[#This Row],[HalfWidth]],ContinuousStatsTable[[#This Row],[BatchMeansHalfWidth]])</f>
        <v>9.1472887832627928E-2</v>
      </c>
    </row>
    <row r="185" spans="1:21" x14ac:dyDescent="0.35">
      <c r="A185" t="s">
        <v>66</v>
      </c>
      <c r="B185" t="s">
        <v>69</v>
      </c>
      <c r="C185">
        <v>17</v>
      </c>
      <c r="D185" t="s">
        <v>91</v>
      </c>
      <c r="E185" t="s">
        <v>87</v>
      </c>
      <c r="F185" t="s">
        <v>88</v>
      </c>
      <c r="G185">
        <v>0.92631153500444496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0.92631153500444496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0.99913603041501298</v>
      </c>
      <c r="U185" s="5">
        <f>IF((ContinuousStatsTable[[#This Row],[RepsRequested]]&gt;1),ContinuousStatsTable[[#This Row],[HalfWidth]],ContinuousStatsTable[[#This Row],[BatchMeansHalfWidth]])</f>
        <v>6.4980603216527278E-3</v>
      </c>
    </row>
    <row r="186" spans="1:21" x14ac:dyDescent="0.35">
      <c r="A186" t="s">
        <v>66</v>
      </c>
      <c r="B186" t="s">
        <v>69</v>
      </c>
      <c r="C186">
        <v>17</v>
      </c>
      <c r="D186" t="s">
        <v>91</v>
      </c>
      <c r="E186" t="s">
        <v>89</v>
      </c>
      <c r="F186" t="s">
        <v>88</v>
      </c>
      <c r="G186">
        <v>1.8526230700088899</v>
      </c>
      <c r="H186">
        <v>2E+20</v>
      </c>
      <c r="I186">
        <v>0</v>
      </c>
      <c r="J186">
        <v>2</v>
      </c>
      <c r="K186">
        <v>2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1.8526230700088899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1.99827206083003</v>
      </c>
      <c r="U186" s="5">
        <f>IF((ContinuousStatsTable[[#This Row],[RepsRequested]]&gt;1),ContinuousStatsTable[[#This Row],[HalfWidth]],ContinuousStatsTable[[#This Row],[BatchMeansHalfWidth]])</f>
        <v>1.299612064330544E-2</v>
      </c>
    </row>
    <row r="187" spans="1:21" x14ac:dyDescent="0.35">
      <c r="A187" t="s">
        <v>66</v>
      </c>
      <c r="B187" t="s">
        <v>69</v>
      </c>
      <c r="C187">
        <v>17</v>
      </c>
      <c r="D187" t="s">
        <v>91</v>
      </c>
      <c r="E187" t="s">
        <v>90</v>
      </c>
      <c r="F187" t="s">
        <v>88</v>
      </c>
      <c r="G187">
        <v>2</v>
      </c>
      <c r="H187">
        <v>2E+20</v>
      </c>
      <c r="I187">
        <v>2</v>
      </c>
      <c r="J187">
        <v>2</v>
      </c>
      <c r="K187">
        <v>2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2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2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2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69</v>
      </c>
      <c r="C188">
        <v>17</v>
      </c>
      <c r="D188" t="s">
        <v>83</v>
      </c>
      <c r="E188" t="s">
        <v>84</v>
      </c>
      <c r="F188" t="s">
        <v>72</v>
      </c>
      <c r="G188">
        <v>2.39668855736338</v>
      </c>
      <c r="H188">
        <v>2E+20</v>
      </c>
      <c r="I188">
        <v>0</v>
      </c>
      <c r="J188">
        <v>6</v>
      </c>
      <c r="K188">
        <v>4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2.0230576660756401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3.1833377638216702</v>
      </c>
      <c r="U188" s="5">
        <f>IF((ContinuousStatsTable[[#This Row],[RepsRequested]]&gt;1),ContinuousStatsTable[[#This Row],[HalfWidth]],ContinuousStatsTable[[#This Row],[BatchMeansHalfWidth]])</f>
        <v>0.10275597124787904</v>
      </c>
    </row>
    <row r="189" spans="1:21" x14ac:dyDescent="0.35">
      <c r="A189" t="s">
        <v>66</v>
      </c>
      <c r="B189" t="s">
        <v>69</v>
      </c>
      <c r="C189">
        <v>18</v>
      </c>
      <c r="D189" t="s">
        <v>70</v>
      </c>
      <c r="E189" t="s">
        <v>84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69</v>
      </c>
      <c r="C190">
        <v>18</v>
      </c>
      <c r="D190" t="s">
        <v>73</v>
      </c>
      <c r="E190" t="s">
        <v>84</v>
      </c>
      <c r="F190" t="s">
        <v>72</v>
      </c>
      <c r="G190">
        <v>9.3901413750805407</v>
      </c>
      <c r="H190">
        <v>2E+20</v>
      </c>
      <c r="I190">
        <v>0</v>
      </c>
      <c r="J190">
        <v>24</v>
      </c>
      <c r="K190">
        <v>24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0.475935837419309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14.545335118962701</v>
      </c>
      <c r="U190" s="5">
        <f>IF((ContinuousStatsTable[[#This Row],[RepsRequested]]&gt;1),ContinuousStatsTable[[#This Row],[HalfWidth]],ContinuousStatsTable[[#This Row],[BatchMeansHalfWidth]])</f>
        <v>1.1647272989250694</v>
      </c>
    </row>
    <row r="191" spans="1:21" x14ac:dyDescent="0.35">
      <c r="A191" t="s">
        <v>66</v>
      </c>
      <c r="B191" t="s">
        <v>69</v>
      </c>
      <c r="C191">
        <v>18</v>
      </c>
      <c r="D191" t="s">
        <v>74</v>
      </c>
      <c r="E191" t="s">
        <v>85</v>
      </c>
      <c r="F191" t="s">
        <v>76</v>
      </c>
      <c r="G191">
        <v>35.564887510838702</v>
      </c>
      <c r="H191">
        <v>2E+20</v>
      </c>
      <c r="I191">
        <v>0</v>
      </c>
      <c r="J191">
        <v>68</v>
      </c>
      <c r="K191">
        <v>68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16.614335916574898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47.992828685108996</v>
      </c>
      <c r="U191" s="5">
        <f>IF((ContinuousStatsTable[[#This Row],[RepsRequested]]&gt;1),ContinuousStatsTable[[#This Row],[HalfWidth]],ContinuousStatsTable[[#This Row],[BatchMeansHalfWidth]])</f>
        <v>2.6199410784579222</v>
      </c>
    </row>
    <row r="192" spans="1:21" x14ac:dyDescent="0.35">
      <c r="A192" t="s">
        <v>66</v>
      </c>
      <c r="B192" t="s">
        <v>69</v>
      </c>
      <c r="C192">
        <v>18</v>
      </c>
      <c r="D192" t="s">
        <v>86</v>
      </c>
      <c r="E192" t="s">
        <v>87</v>
      </c>
      <c r="F192" t="s">
        <v>88</v>
      </c>
      <c r="G192">
        <v>0.83923023803388297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0.71791407599347101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0.96105910626671998</v>
      </c>
      <c r="U192" s="5">
        <f>IF((ContinuousStatsTable[[#This Row],[RepsRequested]]&gt;1),ContinuousStatsTable[[#This Row],[HalfWidth]],ContinuousStatsTable[[#This Row],[BatchMeansHalfWidth]])</f>
        <v>2.0481590731410954E-2</v>
      </c>
    </row>
    <row r="193" spans="1:21" x14ac:dyDescent="0.35">
      <c r="A193" t="s">
        <v>66</v>
      </c>
      <c r="B193" t="s">
        <v>69</v>
      </c>
      <c r="C193">
        <v>18</v>
      </c>
      <c r="D193" t="s">
        <v>86</v>
      </c>
      <c r="E193" t="s">
        <v>89</v>
      </c>
      <c r="F193" t="s">
        <v>88</v>
      </c>
      <c r="G193">
        <v>8.3923023803388297</v>
      </c>
      <c r="H193">
        <v>2E+20</v>
      </c>
      <c r="I193">
        <v>0</v>
      </c>
      <c r="J193">
        <v>10</v>
      </c>
      <c r="K193">
        <v>10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7.1791407599347101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9.6105910626672006</v>
      </c>
      <c r="U193" s="5">
        <f>IF((ContinuousStatsTable[[#This Row],[RepsRequested]]&gt;1),ContinuousStatsTable[[#This Row],[HalfWidth]],ContinuousStatsTable[[#This Row],[BatchMeansHalfWidth]])</f>
        <v>0.20481590731410945</v>
      </c>
    </row>
    <row r="194" spans="1:21" x14ac:dyDescent="0.35">
      <c r="A194" t="s">
        <v>66</v>
      </c>
      <c r="B194" t="s">
        <v>69</v>
      </c>
      <c r="C194">
        <v>18</v>
      </c>
      <c r="D194" t="s">
        <v>86</v>
      </c>
      <c r="E194" t="s">
        <v>90</v>
      </c>
      <c r="F194" t="s">
        <v>88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69</v>
      </c>
      <c r="C195">
        <v>18</v>
      </c>
      <c r="D195" t="s">
        <v>82</v>
      </c>
      <c r="E195" t="s">
        <v>84</v>
      </c>
      <c r="F195" t="s">
        <v>72</v>
      </c>
      <c r="G195">
        <v>2.6998610470914302</v>
      </c>
      <c r="H195">
        <v>2E+20</v>
      </c>
      <c r="I195">
        <v>0</v>
      </c>
      <c r="J195">
        <v>5</v>
      </c>
      <c r="K195">
        <v>4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2.1426391607582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3.27384557923344</v>
      </c>
      <c r="U195" s="5">
        <f>IF((ContinuousStatsTable[[#This Row],[RepsRequested]]&gt;1),ContinuousStatsTable[[#This Row],[HalfWidth]],ContinuousStatsTable[[#This Row],[BatchMeansHalfWidth]])</f>
        <v>9.1472887832627928E-2</v>
      </c>
    </row>
    <row r="196" spans="1:21" x14ac:dyDescent="0.35">
      <c r="A196" t="s">
        <v>66</v>
      </c>
      <c r="B196" t="s">
        <v>69</v>
      </c>
      <c r="C196">
        <v>18</v>
      </c>
      <c r="D196" t="s">
        <v>91</v>
      </c>
      <c r="E196" t="s">
        <v>87</v>
      </c>
      <c r="F196" t="s">
        <v>88</v>
      </c>
      <c r="G196">
        <v>0.968492111887999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0.92631153500444496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0.99913603041501298</v>
      </c>
      <c r="U196" s="5">
        <f>IF((ContinuousStatsTable[[#This Row],[RepsRequested]]&gt;1),ContinuousStatsTable[[#This Row],[HalfWidth]],ContinuousStatsTable[[#This Row],[BatchMeansHalfWidth]])</f>
        <v>6.4980603216527278E-3</v>
      </c>
    </row>
    <row r="197" spans="1:21" x14ac:dyDescent="0.35">
      <c r="A197" t="s">
        <v>66</v>
      </c>
      <c r="B197" t="s">
        <v>69</v>
      </c>
      <c r="C197">
        <v>18</v>
      </c>
      <c r="D197" t="s">
        <v>91</v>
      </c>
      <c r="E197" t="s">
        <v>89</v>
      </c>
      <c r="F197" t="s">
        <v>88</v>
      </c>
      <c r="G197">
        <v>1.936984223776</v>
      </c>
      <c r="H197">
        <v>2E+20</v>
      </c>
      <c r="I197">
        <v>0</v>
      </c>
      <c r="J197">
        <v>2</v>
      </c>
      <c r="K197">
        <v>2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1.8526230700088899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1.99827206083003</v>
      </c>
      <c r="U197" s="5">
        <f>IF((ContinuousStatsTable[[#This Row],[RepsRequested]]&gt;1),ContinuousStatsTable[[#This Row],[HalfWidth]],ContinuousStatsTable[[#This Row],[BatchMeansHalfWidth]])</f>
        <v>1.299612064330544E-2</v>
      </c>
    </row>
    <row r="198" spans="1:21" x14ac:dyDescent="0.35">
      <c r="A198" t="s">
        <v>66</v>
      </c>
      <c r="B198" t="s">
        <v>69</v>
      </c>
      <c r="C198">
        <v>18</v>
      </c>
      <c r="D198" t="s">
        <v>91</v>
      </c>
      <c r="E198" t="s">
        <v>90</v>
      </c>
      <c r="F198" t="s">
        <v>88</v>
      </c>
      <c r="G198">
        <v>2</v>
      </c>
      <c r="H198">
        <v>2E+20</v>
      </c>
      <c r="I198">
        <v>2</v>
      </c>
      <c r="J198">
        <v>2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69</v>
      </c>
      <c r="C199">
        <v>18</v>
      </c>
      <c r="D199" t="s">
        <v>83</v>
      </c>
      <c r="E199" t="s">
        <v>84</v>
      </c>
      <c r="F199" t="s">
        <v>72</v>
      </c>
      <c r="G199">
        <v>2.6206593601192099</v>
      </c>
      <c r="H199">
        <v>2E+20</v>
      </c>
      <c r="I199">
        <v>0</v>
      </c>
      <c r="J199">
        <v>5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2.0230576660756401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3.1833377638216702</v>
      </c>
      <c r="U199" s="5">
        <f>IF((ContinuousStatsTable[[#This Row],[RepsRequested]]&gt;1),ContinuousStatsTable[[#This Row],[HalfWidth]],ContinuousStatsTable[[#This Row],[BatchMeansHalfWidth]])</f>
        <v>0.10275597124787904</v>
      </c>
    </row>
    <row r="200" spans="1:21" x14ac:dyDescent="0.35">
      <c r="A200" t="s">
        <v>66</v>
      </c>
      <c r="B200" t="s">
        <v>69</v>
      </c>
      <c r="C200">
        <v>19</v>
      </c>
      <c r="D200" t="s">
        <v>70</v>
      </c>
      <c r="E200" t="s">
        <v>84</v>
      </c>
      <c r="F200" t="s">
        <v>72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69</v>
      </c>
      <c r="C201">
        <v>19</v>
      </c>
      <c r="D201" t="s">
        <v>73</v>
      </c>
      <c r="E201" t="s">
        <v>84</v>
      </c>
      <c r="F201" t="s">
        <v>72</v>
      </c>
      <c r="G201">
        <v>5.7551353987394904</v>
      </c>
      <c r="H201">
        <v>2E+20</v>
      </c>
      <c r="I201">
        <v>0</v>
      </c>
      <c r="J201">
        <v>14</v>
      </c>
      <c r="K201">
        <v>14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0.475935837419309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14.545335118962701</v>
      </c>
      <c r="U201" s="5">
        <f>IF((ContinuousStatsTable[[#This Row],[RepsRequested]]&gt;1),ContinuousStatsTable[[#This Row],[HalfWidth]],ContinuousStatsTable[[#This Row],[BatchMeansHalfWidth]])</f>
        <v>1.1647272989250694</v>
      </c>
    </row>
    <row r="202" spans="1:21" x14ac:dyDescent="0.35">
      <c r="A202" t="s">
        <v>66</v>
      </c>
      <c r="B202" t="s">
        <v>69</v>
      </c>
      <c r="C202">
        <v>19</v>
      </c>
      <c r="D202" t="s">
        <v>74</v>
      </c>
      <c r="E202" t="s">
        <v>85</v>
      </c>
      <c r="F202" t="s">
        <v>76</v>
      </c>
      <c r="G202">
        <v>28.393222824271302</v>
      </c>
      <c r="H202">
        <v>2E+20</v>
      </c>
      <c r="I202">
        <v>0</v>
      </c>
      <c r="J202">
        <v>48</v>
      </c>
      <c r="K202">
        <v>48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16.614335916574898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47.992828685108996</v>
      </c>
      <c r="U202" s="5">
        <f>IF((ContinuousStatsTable[[#This Row],[RepsRequested]]&gt;1),ContinuousStatsTable[[#This Row],[HalfWidth]],ContinuousStatsTable[[#This Row],[BatchMeansHalfWidth]])</f>
        <v>2.6199410784579222</v>
      </c>
    </row>
    <row r="203" spans="1:21" x14ac:dyDescent="0.35">
      <c r="A203" t="s">
        <v>66</v>
      </c>
      <c r="B203" t="s">
        <v>69</v>
      </c>
      <c r="C203">
        <v>19</v>
      </c>
      <c r="D203" t="s">
        <v>86</v>
      </c>
      <c r="E203" t="s">
        <v>87</v>
      </c>
      <c r="F203" t="s">
        <v>88</v>
      </c>
      <c r="G203">
        <v>0.84414760133961497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0.71791407599347101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0.96105910626671998</v>
      </c>
      <c r="U203" s="5">
        <f>IF((ContinuousStatsTable[[#This Row],[RepsRequested]]&gt;1),ContinuousStatsTable[[#This Row],[HalfWidth]],ContinuousStatsTable[[#This Row],[BatchMeansHalfWidth]])</f>
        <v>2.0481590731410954E-2</v>
      </c>
    </row>
    <row r="204" spans="1:21" x14ac:dyDescent="0.35">
      <c r="A204" t="s">
        <v>66</v>
      </c>
      <c r="B204" t="s">
        <v>69</v>
      </c>
      <c r="C204">
        <v>19</v>
      </c>
      <c r="D204" t="s">
        <v>86</v>
      </c>
      <c r="E204" t="s">
        <v>89</v>
      </c>
      <c r="F204" t="s">
        <v>88</v>
      </c>
      <c r="G204">
        <v>8.4414760133961497</v>
      </c>
      <c r="H204">
        <v>2E+20</v>
      </c>
      <c r="I204">
        <v>0</v>
      </c>
      <c r="J204">
        <v>10</v>
      </c>
      <c r="K204">
        <v>10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7.1791407599347101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9.6105910626672006</v>
      </c>
      <c r="U204" s="5">
        <f>IF((ContinuousStatsTable[[#This Row],[RepsRequested]]&gt;1),ContinuousStatsTable[[#This Row],[HalfWidth]],ContinuousStatsTable[[#This Row],[BatchMeansHalfWidth]])</f>
        <v>0.20481590731410945</v>
      </c>
    </row>
    <row r="205" spans="1:21" x14ac:dyDescent="0.35">
      <c r="A205" t="s">
        <v>66</v>
      </c>
      <c r="B205" t="s">
        <v>69</v>
      </c>
      <c r="C205">
        <v>19</v>
      </c>
      <c r="D205" t="s">
        <v>86</v>
      </c>
      <c r="E205" t="s">
        <v>90</v>
      </c>
      <c r="F205" t="s">
        <v>88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69</v>
      </c>
      <c r="C206">
        <v>19</v>
      </c>
      <c r="D206" t="s">
        <v>82</v>
      </c>
      <c r="E206" t="s">
        <v>84</v>
      </c>
      <c r="F206" t="s">
        <v>72</v>
      </c>
      <c r="G206">
        <v>2.7062152045961998</v>
      </c>
      <c r="H206">
        <v>2E+20</v>
      </c>
      <c r="I206">
        <v>0</v>
      </c>
      <c r="J206">
        <v>5</v>
      </c>
      <c r="K206">
        <v>4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2.1426391607582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3.27384557923344</v>
      </c>
      <c r="U206" s="5">
        <f>IF((ContinuousStatsTable[[#This Row],[RepsRequested]]&gt;1),ContinuousStatsTable[[#This Row],[HalfWidth]],ContinuousStatsTable[[#This Row],[BatchMeansHalfWidth]])</f>
        <v>9.1472887832627928E-2</v>
      </c>
    </row>
    <row r="207" spans="1:21" x14ac:dyDescent="0.35">
      <c r="A207" t="s">
        <v>66</v>
      </c>
      <c r="B207" t="s">
        <v>69</v>
      </c>
      <c r="C207">
        <v>19</v>
      </c>
      <c r="D207" t="s">
        <v>91</v>
      </c>
      <c r="E207" t="s">
        <v>87</v>
      </c>
      <c r="F207" t="s">
        <v>88</v>
      </c>
      <c r="G207">
        <v>0.99667037070778597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0.92631153500444496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0.99913603041501298</v>
      </c>
      <c r="U207" s="5">
        <f>IF((ContinuousStatsTable[[#This Row],[RepsRequested]]&gt;1),ContinuousStatsTable[[#This Row],[HalfWidth]],ContinuousStatsTable[[#This Row],[BatchMeansHalfWidth]])</f>
        <v>6.4980603216527278E-3</v>
      </c>
    </row>
    <row r="208" spans="1:21" x14ac:dyDescent="0.35">
      <c r="A208" t="s">
        <v>66</v>
      </c>
      <c r="B208" t="s">
        <v>69</v>
      </c>
      <c r="C208">
        <v>19</v>
      </c>
      <c r="D208" t="s">
        <v>91</v>
      </c>
      <c r="E208" t="s">
        <v>89</v>
      </c>
      <c r="F208" t="s">
        <v>88</v>
      </c>
      <c r="G208">
        <v>1.9933407414155699</v>
      </c>
      <c r="H208">
        <v>2E+20</v>
      </c>
      <c r="I208">
        <v>0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1.8526230700088899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1.99827206083003</v>
      </c>
      <c r="U208" s="5">
        <f>IF((ContinuousStatsTable[[#This Row],[RepsRequested]]&gt;1),ContinuousStatsTable[[#This Row],[HalfWidth]],ContinuousStatsTable[[#This Row],[BatchMeansHalfWidth]])</f>
        <v>1.299612064330544E-2</v>
      </c>
    </row>
    <row r="209" spans="1:21" x14ac:dyDescent="0.35">
      <c r="A209" t="s">
        <v>66</v>
      </c>
      <c r="B209" t="s">
        <v>69</v>
      </c>
      <c r="C209">
        <v>19</v>
      </c>
      <c r="D209" t="s">
        <v>91</v>
      </c>
      <c r="E209" t="s">
        <v>90</v>
      </c>
      <c r="F209" t="s">
        <v>88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69</v>
      </c>
      <c r="C210">
        <v>19</v>
      </c>
      <c r="D210" t="s">
        <v>83</v>
      </c>
      <c r="E210" t="s">
        <v>84</v>
      </c>
      <c r="F210" t="s">
        <v>72</v>
      </c>
      <c r="G210">
        <v>2.5529713807413001</v>
      </c>
      <c r="H210">
        <v>2E+20</v>
      </c>
      <c r="I210">
        <v>0</v>
      </c>
      <c r="J210">
        <v>5</v>
      </c>
      <c r="K210">
        <v>3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2.0230576660756401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3.1833377638216702</v>
      </c>
      <c r="U210" s="5">
        <f>IF((ContinuousStatsTable[[#This Row],[RepsRequested]]&gt;1),ContinuousStatsTable[[#This Row],[HalfWidth]],ContinuousStatsTable[[#This Row],[BatchMeansHalfWidth]])</f>
        <v>0.10275597124787904</v>
      </c>
    </row>
    <row r="211" spans="1:21" x14ac:dyDescent="0.35">
      <c r="A211" t="s">
        <v>66</v>
      </c>
      <c r="B211" t="s">
        <v>69</v>
      </c>
      <c r="C211">
        <v>20</v>
      </c>
      <c r="D211" t="s">
        <v>70</v>
      </c>
      <c r="E211" t="s">
        <v>84</v>
      </c>
      <c r="F211" t="s">
        <v>72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20</v>
      </c>
      <c r="D212" t="s">
        <v>73</v>
      </c>
      <c r="E212" t="s">
        <v>84</v>
      </c>
      <c r="F212" t="s">
        <v>72</v>
      </c>
      <c r="G212">
        <v>8.6089482586560795</v>
      </c>
      <c r="H212">
        <v>2E+20</v>
      </c>
      <c r="I212">
        <v>0</v>
      </c>
      <c r="J212">
        <v>23</v>
      </c>
      <c r="K212">
        <v>22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0.475935837419309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14.545335118962701</v>
      </c>
      <c r="U212" s="5">
        <f>IF((ContinuousStatsTable[[#This Row],[RepsRequested]]&gt;1),ContinuousStatsTable[[#This Row],[HalfWidth]],ContinuousStatsTable[[#This Row],[BatchMeansHalfWidth]])</f>
        <v>1.1647272989250694</v>
      </c>
    </row>
    <row r="213" spans="1:21" x14ac:dyDescent="0.35">
      <c r="A213" t="s">
        <v>66</v>
      </c>
      <c r="B213" t="s">
        <v>69</v>
      </c>
      <c r="C213">
        <v>20</v>
      </c>
      <c r="D213" t="s">
        <v>74</v>
      </c>
      <c r="E213" t="s">
        <v>85</v>
      </c>
      <c r="F213" t="s">
        <v>76</v>
      </c>
      <c r="G213">
        <v>36.173828173331898</v>
      </c>
      <c r="H213">
        <v>2E+20</v>
      </c>
      <c r="I213">
        <v>0</v>
      </c>
      <c r="J213">
        <v>66</v>
      </c>
      <c r="K213">
        <v>64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16.614335916574898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47.992828685108996</v>
      </c>
      <c r="U213" s="5">
        <f>IF((ContinuousStatsTable[[#This Row],[RepsRequested]]&gt;1),ContinuousStatsTable[[#This Row],[HalfWidth]],ContinuousStatsTable[[#This Row],[BatchMeansHalfWidth]])</f>
        <v>2.6199410784579222</v>
      </c>
    </row>
    <row r="214" spans="1:21" x14ac:dyDescent="0.35">
      <c r="A214" t="s">
        <v>66</v>
      </c>
      <c r="B214" t="s">
        <v>69</v>
      </c>
      <c r="C214">
        <v>20</v>
      </c>
      <c r="D214" t="s">
        <v>86</v>
      </c>
      <c r="E214" t="s">
        <v>87</v>
      </c>
      <c r="F214" t="s">
        <v>88</v>
      </c>
      <c r="G214">
        <v>0.947796582800988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0.71791407599347101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0.96105910626671998</v>
      </c>
      <c r="U214" s="5">
        <f>IF((ContinuousStatsTable[[#This Row],[RepsRequested]]&gt;1),ContinuousStatsTable[[#This Row],[HalfWidth]],ContinuousStatsTable[[#This Row],[BatchMeansHalfWidth]])</f>
        <v>2.0481590731410954E-2</v>
      </c>
    </row>
    <row r="215" spans="1:21" x14ac:dyDescent="0.35">
      <c r="A215" t="s">
        <v>66</v>
      </c>
      <c r="B215" t="s">
        <v>69</v>
      </c>
      <c r="C215">
        <v>20</v>
      </c>
      <c r="D215" t="s">
        <v>86</v>
      </c>
      <c r="E215" t="s">
        <v>89</v>
      </c>
      <c r="F215" t="s">
        <v>88</v>
      </c>
      <c r="G215">
        <v>9.4779658280098804</v>
      </c>
      <c r="H215">
        <v>2E+20</v>
      </c>
      <c r="I215">
        <v>0</v>
      </c>
      <c r="J215">
        <v>10</v>
      </c>
      <c r="K215">
        <v>10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7.1791407599347101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9.6105910626672006</v>
      </c>
      <c r="U215" s="5">
        <f>IF((ContinuousStatsTable[[#This Row],[RepsRequested]]&gt;1),ContinuousStatsTable[[#This Row],[HalfWidth]],ContinuousStatsTable[[#This Row],[BatchMeansHalfWidth]])</f>
        <v>0.20481590731410945</v>
      </c>
    </row>
    <row r="216" spans="1:21" x14ac:dyDescent="0.35">
      <c r="A216" t="s">
        <v>66</v>
      </c>
      <c r="B216" t="s">
        <v>69</v>
      </c>
      <c r="C216">
        <v>20</v>
      </c>
      <c r="D216" t="s">
        <v>86</v>
      </c>
      <c r="E216" t="s">
        <v>90</v>
      </c>
      <c r="F216" t="s">
        <v>88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20</v>
      </c>
      <c r="D217" t="s">
        <v>82</v>
      </c>
      <c r="E217" t="s">
        <v>84</v>
      </c>
      <c r="F217" t="s">
        <v>72</v>
      </c>
      <c r="G217">
        <v>3.1619963182377901</v>
      </c>
      <c r="H217">
        <v>2E+20</v>
      </c>
      <c r="I217">
        <v>0</v>
      </c>
      <c r="J217">
        <v>5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2.1426391607582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3.27384557923344</v>
      </c>
      <c r="U217" s="5">
        <f>IF((ContinuousStatsTable[[#This Row],[RepsRequested]]&gt;1),ContinuousStatsTable[[#This Row],[HalfWidth]],ContinuousStatsTable[[#This Row],[BatchMeansHalfWidth]])</f>
        <v>9.1472887832627928E-2</v>
      </c>
    </row>
    <row r="218" spans="1:21" x14ac:dyDescent="0.35">
      <c r="A218" t="s">
        <v>66</v>
      </c>
      <c r="B218" t="s">
        <v>69</v>
      </c>
      <c r="C218">
        <v>20</v>
      </c>
      <c r="D218" t="s">
        <v>91</v>
      </c>
      <c r="E218" t="s">
        <v>87</v>
      </c>
      <c r="F218" t="s">
        <v>88</v>
      </c>
      <c r="G218">
        <v>0.99511711828987603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0.92631153500444496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0.99913603041501298</v>
      </c>
      <c r="U218" s="5">
        <f>IF((ContinuousStatsTable[[#This Row],[RepsRequested]]&gt;1),ContinuousStatsTable[[#This Row],[HalfWidth]],ContinuousStatsTable[[#This Row],[BatchMeansHalfWidth]])</f>
        <v>6.4980603216527278E-3</v>
      </c>
    </row>
    <row r="219" spans="1:21" x14ac:dyDescent="0.35">
      <c r="A219" t="s">
        <v>66</v>
      </c>
      <c r="B219" t="s">
        <v>69</v>
      </c>
      <c r="C219">
        <v>20</v>
      </c>
      <c r="D219" t="s">
        <v>91</v>
      </c>
      <c r="E219" t="s">
        <v>89</v>
      </c>
      <c r="F219" t="s">
        <v>88</v>
      </c>
      <c r="G219">
        <v>1.9902342365797501</v>
      </c>
      <c r="H219">
        <v>2E+20</v>
      </c>
      <c r="I219">
        <v>0</v>
      </c>
      <c r="J219">
        <v>2</v>
      </c>
      <c r="K219">
        <v>2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1.8526230700088899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1.99827206083003</v>
      </c>
      <c r="U219" s="5">
        <f>IF((ContinuousStatsTable[[#This Row],[RepsRequested]]&gt;1),ContinuousStatsTable[[#This Row],[HalfWidth]],ContinuousStatsTable[[#This Row],[BatchMeansHalfWidth]])</f>
        <v>1.299612064330544E-2</v>
      </c>
    </row>
    <row r="220" spans="1:21" x14ac:dyDescent="0.35">
      <c r="A220" t="s">
        <v>66</v>
      </c>
      <c r="B220" t="s">
        <v>69</v>
      </c>
      <c r="C220">
        <v>20</v>
      </c>
      <c r="D220" t="s">
        <v>91</v>
      </c>
      <c r="E220" t="s">
        <v>90</v>
      </c>
      <c r="F220" t="s">
        <v>88</v>
      </c>
      <c r="G220">
        <v>2</v>
      </c>
      <c r="H220">
        <v>2E+20</v>
      </c>
      <c r="I220">
        <v>2</v>
      </c>
      <c r="J220">
        <v>2</v>
      </c>
      <c r="K220">
        <v>2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2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2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69</v>
      </c>
      <c r="C221">
        <v>20</v>
      </c>
      <c r="D221" t="s">
        <v>83</v>
      </c>
      <c r="E221" t="s">
        <v>84</v>
      </c>
      <c r="F221" t="s">
        <v>72</v>
      </c>
      <c r="G221">
        <v>3.1104909449294902</v>
      </c>
      <c r="H221">
        <v>2E+20</v>
      </c>
      <c r="I221">
        <v>0</v>
      </c>
      <c r="J221">
        <v>5</v>
      </c>
      <c r="K221">
        <v>4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2.0230576660756401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3.1833377638216702</v>
      </c>
      <c r="U221" s="5">
        <f>IF((ContinuousStatsTable[[#This Row],[RepsRequested]]&gt;1),ContinuousStatsTable[[#This Row],[HalfWidth]],ContinuousStatsTable[[#This Row],[BatchMeansHalfWidth]])</f>
        <v>0.10275597124787904</v>
      </c>
    </row>
    <row r="222" spans="1:21" x14ac:dyDescent="0.35">
      <c r="A222" t="s">
        <v>66</v>
      </c>
      <c r="B222" t="s">
        <v>69</v>
      </c>
      <c r="C222">
        <v>21</v>
      </c>
      <c r="D222" t="s">
        <v>70</v>
      </c>
      <c r="E222" t="s">
        <v>84</v>
      </c>
      <c r="F222" t="s">
        <v>72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69</v>
      </c>
      <c r="C223">
        <v>21</v>
      </c>
      <c r="D223" t="s">
        <v>73</v>
      </c>
      <c r="E223" t="s">
        <v>84</v>
      </c>
      <c r="F223" t="s">
        <v>72</v>
      </c>
      <c r="G223">
        <v>4.2296540594721197</v>
      </c>
      <c r="H223">
        <v>2E+20</v>
      </c>
      <c r="I223">
        <v>0</v>
      </c>
      <c r="J223">
        <v>19</v>
      </c>
      <c r="K223">
        <v>18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0.475935837419309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14.545335118962701</v>
      </c>
      <c r="U223" s="5">
        <f>IF((ContinuousStatsTable[[#This Row],[RepsRequested]]&gt;1),ContinuousStatsTable[[#This Row],[HalfWidth]],ContinuousStatsTable[[#This Row],[BatchMeansHalfWidth]])</f>
        <v>1.1647272989250694</v>
      </c>
    </row>
    <row r="224" spans="1:21" x14ac:dyDescent="0.35">
      <c r="A224" t="s">
        <v>66</v>
      </c>
      <c r="B224" t="s">
        <v>69</v>
      </c>
      <c r="C224">
        <v>21</v>
      </c>
      <c r="D224" t="s">
        <v>74</v>
      </c>
      <c r="E224" t="s">
        <v>85</v>
      </c>
      <c r="F224" t="s">
        <v>76</v>
      </c>
      <c r="G224">
        <v>26.006777877614802</v>
      </c>
      <c r="H224">
        <v>2E+20</v>
      </c>
      <c r="I224">
        <v>0</v>
      </c>
      <c r="J224">
        <v>58</v>
      </c>
      <c r="K224">
        <v>56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16.614335916574898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47.992828685108996</v>
      </c>
      <c r="U224" s="5">
        <f>IF((ContinuousStatsTable[[#This Row],[RepsRequested]]&gt;1),ContinuousStatsTable[[#This Row],[HalfWidth]],ContinuousStatsTable[[#This Row],[BatchMeansHalfWidth]])</f>
        <v>2.6199410784579222</v>
      </c>
    </row>
    <row r="225" spans="1:21" x14ac:dyDescent="0.35">
      <c r="A225" t="s">
        <v>66</v>
      </c>
      <c r="B225" t="s">
        <v>69</v>
      </c>
      <c r="C225">
        <v>21</v>
      </c>
      <c r="D225" t="s">
        <v>86</v>
      </c>
      <c r="E225" t="s">
        <v>87</v>
      </c>
      <c r="F225" t="s">
        <v>88</v>
      </c>
      <c r="G225">
        <v>0.87737348793352998</v>
      </c>
      <c r="H225">
        <v>2E+20</v>
      </c>
      <c r="I225">
        <v>0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0.71791407599347101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0.96105910626671998</v>
      </c>
      <c r="U225" s="5">
        <f>IF((ContinuousStatsTable[[#This Row],[RepsRequested]]&gt;1),ContinuousStatsTable[[#This Row],[HalfWidth]],ContinuousStatsTable[[#This Row],[BatchMeansHalfWidth]])</f>
        <v>2.0481590731410954E-2</v>
      </c>
    </row>
    <row r="226" spans="1:21" x14ac:dyDescent="0.35">
      <c r="A226" t="s">
        <v>66</v>
      </c>
      <c r="B226" t="s">
        <v>69</v>
      </c>
      <c r="C226">
        <v>21</v>
      </c>
      <c r="D226" t="s">
        <v>86</v>
      </c>
      <c r="E226" t="s">
        <v>89</v>
      </c>
      <c r="F226" t="s">
        <v>88</v>
      </c>
      <c r="G226">
        <v>8.7737348793353007</v>
      </c>
      <c r="H226">
        <v>2E+20</v>
      </c>
      <c r="I226">
        <v>0</v>
      </c>
      <c r="J226">
        <v>10</v>
      </c>
      <c r="K226">
        <v>10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7.1791407599347101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9.6105910626672006</v>
      </c>
      <c r="U226" s="5">
        <f>IF((ContinuousStatsTable[[#This Row],[RepsRequested]]&gt;1),ContinuousStatsTable[[#This Row],[HalfWidth]],ContinuousStatsTable[[#This Row],[BatchMeansHalfWidth]])</f>
        <v>0.20481590731410945</v>
      </c>
    </row>
    <row r="227" spans="1:21" x14ac:dyDescent="0.35">
      <c r="A227" t="s">
        <v>66</v>
      </c>
      <c r="B227" t="s">
        <v>69</v>
      </c>
      <c r="C227">
        <v>21</v>
      </c>
      <c r="D227" t="s">
        <v>86</v>
      </c>
      <c r="E227" t="s">
        <v>90</v>
      </c>
      <c r="F227" t="s">
        <v>88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69</v>
      </c>
      <c r="C228">
        <v>21</v>
      </c>
      <c r="D228" t="s">
        <v>82</v>
      </c>
      <c r="E228" t="s">
        <v>84</v>
      </c>
      <c r="F228" t="s">
        <v>72</v>
      </c>
      <c r="G228">
        <v>2.8945883385364999</v>
      </c>
      <c r="H228">
        <v>2E+20</v>
      </c>
      <c r="I228">
        <v>0</v>
      </c>
      <c r="J228">
        <v>5</v>
      </c>
      <c r="K228">
        <v>3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2.1426391607582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3.27384557923344</v>
      </c>
      <c r="U228" s="5">
        <f>IF((ContinuousStatsTable[[#This Row],[RepsRequested]]&gt;1),ContinuousStatsTable[[#This Row],[HalfWidth]],ContinuousStatsTable[[#This Row],[BatchMeansHalfWidth]])</f>
        <v>9.1472887832627928E-2</v>
      </c>
    </row>
    <row r="229" spans="1:21" x14ac:dyDescent="0.35">
      <c r="A229" t="s">
        <v>66</v>
      </c>
      <c r="B229" t="s">
        <v>69</v>
      </c>
      <c r="C229">
        <v>21</v>
      </c>
      <c r="D229" t="s">
        <v>91</v>
      </c>
      <c r="E229" t="s">
        <v>87</v>
      </c>
      <c r="F229" t="s">
        <v>88</v>
      </c>
      <c r="G229">
        <v>0.96721225425113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0.92631153500444496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0.99913603041501298</v>
      </c>
      <c r="U229" s="5">
        <f>IF((ContinuousStatsTable[[#This Row],[RepsRequested]]&gt;1),ContinuousStatsTable[[#This Row],[HalfWidth]],ContinuousStatsTable[[#This Row],[BatchMeansHalfWidth]])</f>
        <v>6.4980603216527278E-3</v>
      </c>
    </row>
    <row r="230" spans="1:21" x14ac:dyDescent="0.35">
      <c r="A230" t="s">
        <v>66</v>
      </c>
      <c r="B230" t="s">
        <v>69</v>
      </c>
      <c r="C230">
        <v>21</v>
      </c>
      <c r="D230" t="s">
        <v>91</v>
      </c>
      <c r="E230" t="s">
        <v>89</v>
      </c>
      <c r="F230" t="s">
        <v>88</v>
      </c>
      <c r="G230">
        <v>1.93442450850226</v>
      </c>
      <c r="H230">
        <v>2E+20</v>
      </c>
      <c r="I230">
        <v>0</v>
      </c>
      <c r="J230">
        <v>2</v>
      </c>
      <c r="K230">
        <v>2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1.8526230700088899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1.99827206083003</v>
      </c>
      <c r="U230" s="5">
        <f>IF((ContinuousStatsTable[[#This Row],[RepsRequested]]&gt;1),ContinuousStatsTable[[#This Row],[HalfWidth]],ContinuousStatsTable[[#This Row],[BatchMeansHalfWidth]])</f>
        <v>1.299612064330544E-2</v>
      </c>
    </row>
    <row r="231" spans="1:21" x14ac:dyDescent="0.35">
      <c r="A231" t="s">
        <v>66</v>
      </c>
      <c r="B231" t="s">
        <v>69</v>
      </c>
      <c r="C231">
        <v>21</v>
      </c>
      <c r="D231" t="s">
        <v>91</v>
      </c>
      <c r="E231" t="s">
        <v>90</v>
      </c>
      <c r="F231" t="s">
        <v>88</v>
      </c>
      <c r="G231">
        <v>2</v>
      </c>
      <c r="H231">
        <v>2E+20</v>
      </c>
      <c r="I231">
        <v>2</v>
      </c>
      <c r="J231">
        <v>2</v>
      </c>
      <c r="K231">
        <v>2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2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2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21</v>
      </c>
      <c r="D232" t="s">
        <v>83</v>
      </c>
      <c r="E232" t="s">
        <v>84</v>
      </c>
      <c r="F232" t="s">
        <v>72</v>
      </c>
      <c r="G232">
        <v>2.73531143515345</v>
      </c>
      <c r="H232">
        <v>2E+20</v>
      </c>
      <c r="I232">
        <v>0</v>
      </c>
      <c r="J232">
        <v>5</v>
      </c>
      <c r="K232">
        <v>3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2.0230576660756401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3.1833377638216702</v>
      </c>
      <c r="U232" s="5">
        <f>IF((ContinuousStatsTable[[#This Row],[RepsRequested]]&gt;1),ContinuousStatsTable[[#This Row],[HalfWidth]],ContinuousStatsTable[[#This Row],[BatchMeansHalfWidth]])</f>
        <v>0.10275597124787904</v>
      </c>
    </row>
    <row r="233" spans="1:21" x14ac:dyDescent="0.35">
      <c r="A233" t="s">
        <v>66</v>
      </c>
      <c r="B233" t="s">
        <v>69</v>
      </c>
      <c r="C233">
        <v>22</v>
      </c>
      <c r="D233" t="s">
        <v>70</v>
      </c>
      <c r="E233" t="s">
        <v>84</v>
      </c>
      <c r="F233" t="s">
        <v>72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69</v>
      </c>
      <c r="C234">
        <v>22</v>
      </c>
      <c r="D234" t="s">
        <v>73</v>
      </c>
      <c r="E234" t="s">
        <v>84</v>
      </c>
      <c r="F234" t="s">
        <v>72</v>
      </c>
      <c r="G234">
        <v>3.1391103560709301</v>
      </c>
      <c r="H234">
        <v>2E+20</v>
      </c>
      <c r="I234">
        <v>0</v>
      </c>
      <c r="J234">
        <v>10</v>
      </c>
      <c r="K234">
        <v>9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0.475935837419309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14.545335118962701</v>
      </c>
      <c r="U234" s="5">
        <f>IF((ContinuousStatsTable[[#This Row],[RepsRequested]]&gt;1),ContinuousStatsTable[[#This Row],[HalfWidth]],ContinuousStatsTable[[#This Row],[BatchMeansHalfWidth]])</f>
        <v>1.1647272989250694</v>
      </c>
    </row>
    <row r="235" spans="1:21" x14ac:dyDescent="0.35">
      <c r="A235" t="s">
        <v>66</v>
      </c>
      <c r="B235" t="s">
        <v>69</v>
      </c>
      <c r="C235">
        <v>22</v>
      </c>
      <c r="D235" t="s">
        <v>74</v>
      </c>
      <c r="E235" t="s">
        <v>85</v>
      </c>
      <c r="F235" t="s">
        <v>76</v>
      </c>
      <c r="G235">
        <v>24.1536250745724</v>
      </c>
      <c r="H235">
        <v>2E+20</v>
      </c>
      <c r="I235">
        <v>0</v>
      </c>
      <c r="J235">
        <v>40</v>
      </c>
      <c r="K235">
        <v>38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16.614335916574898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47.992828685108996</v>
      </c>
      <c r="U235" s="5">
        <f>IF((ContinuousStatsTable[[#This Row],[RepsRequested]]&gt;1),ContinuousStatsTable[[#This Row],[HalfWidth]],ContinuousStatsTable[[#This Row],[BatchMeansHalfWidth]])</f>
        <v>2.6199410784579222</v>
      </c>
    </row>
    <row r="236" spans="1:21" x14ac:dyDescent="0.35">
      <c r="A236" t="s">
        <v>66</v>
      </c>
      <c r="B236" t="s">
        <v>69</v>
      </c>
      <c r="C236">
        <v>22</v>
      </c>
      <c r="D236" t="s">
        <v>86</v>
      </c>
      <c r="E236" t="s">
        <v>87</v>
      </c>
      <c r="F236" t="s">
        <v>88</v>
      </c>
      <c r="G236">
        <v>0.89377021812152901</v>
      </c>
      <c r="H236">
        <v>2E+20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0.71791407599347101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0.96105910626671998</v>
      </c>
      <c r="U236" s="5">
        <f>IF((ContinuousStatsTable[[#This Row],[RepsRequested]]&gt;1),ContinuousStatsTable[[#This Row],[HalfWidth]],ContinuousStatsTable[[#This Row],[BatchMeansHalfWidth]])</f>
        <v>2.0481590731410954E-2</v>
      </c>
    </row>
    <row r="237" spans="1:21" x14ac:dyDescent="0.35">
      <c r="A237" t="s">
        <v>66</v>
      </c>
      <c r="B237" t="s">
        <v>69</v>
      </c>
      <c r="C237">
        <v>22</v>
      </c>
      <c r="D237" t="s">
        <v>86</v>
      </c>
      <c r="E237" t="s">
        <v>89</v>
      </c>
      <c r="F237" t="s">
        <v>88</v>
      </c>
      <c r="G237">
        <v>8.9377021812152897</v>
      </c>
      <c r="H237">
        <v>2E+20</v>
      </c>
      <c r="I237">
        <v>0</v>
      </c>
      <c r="J237">
        <v>10</v>
      </c>
      <c r="K237">
        <v>10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7.1791407599347101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9.6105910626672006</v>
      </c>
      <c r="U237" s="5">
        <f>IF((ContinuousStatsTable[[#This Row],[RepsRequested]]&gt;1),ContinuousStatsTable[[#This Row],[HalfWidth]],ContinuousStatsTable[[#This Row],[BatchMeansHalfWidth]])</f>
        <v>0.20481590731410945</v>
      </c>
    </row>
    <row r="238" spans="1:21" x14ac:dyDescent="0.35">
      <c r="A238" t="s">
        <v>66</v>
      </c>
      <c r="B238" t="s">
        <v>69</v>
      </c>
      <c r="C238">
        <v>22</v>
      </c>
      <c r="D238" t="s">
        <v>86</v>
      </c>
      <c r="E238" t="s">
        <v>90</v>
      </c>
      <c r="F238" t="s">
        <v>88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69</v>
      </c>
      <c r="C239">
        <v>22</v>
      </c>
      <c r="D239" t="s">
        <v>82</v>
      </c>
      <c r="E239" t="s">
        <v>84</v>
      </c>
      <c r="F239" t="s">
        <v>72</v>
      </c>
      <c r="G239">
        <v>2.9809535550642301</v>
      </c>
      <c r="H239">
        <v>2E+20</v>
      </c>
      <c r="I239">
        <v>0</v>
      </c>
      <c r="J239">
        <v>5</v>
      </c>
      <c r="K239">
        <v>4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2.1426391607582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3.27384557923344</v>
      </c>
      <c r="U239" s="5">
        <f>IF((ContinuousStatsTable[[#This Row],[RepsRequested]]&gt;1),ContinuousStatsTable[[#This Row],[HalfWidth]],ContinuousStatsTable[[#This Row],[BatchMeansHalfWidth]])</f>
        <v>9.1472887832627928E-2</v>
      </c>
    </row>
    <row r="240" spans="1:21" x14ac:dyDescent="0.35">
      <c r="A240" t="s">
        <v>66</v>
      </c>
      <c r="B240" t="s">
        <v>69</v>
      </c>
      <c r="C240">
        <v>22</v>
      </c>
      <c r="D240" t="s">
        <v>91</v>
      </c>
      <c r="E240" t="s">
        <v>87</v>
      </c>
      <c r="F240" t="s">
        <v>88</v>
      </c>
      <c r="G240">
        <v>0.97442223082540902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0.92631153500444496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0.99913603041501298</v>
      </c>
      <c r="U240" s="5">
        <f>IF((ContinuousStatsTable[[#This Row],[RepsRequested]]&gt;1),ContinuousStatsTable[[#This Row],[HalfWidth]],ContinuousStatsTable[[#This Row],[BatchMeansHalfWidth]])</f>
        <v>6.4980603216527278E-3</v>
      </c>
    </row>
    <row r="241" spans="1:21" x14ac:dyDescent="0.35">
      <c r="A241" t="s">
        <v>66</v>
      </c>
      <c r="B241" t="s">
        <v>69</v>
      </c>
      <c r="C241">
        <v>22</v>
      </c>
      <c r="D241" t="s">
        <v>91</v>
      </c>
      <c r="E241" t="s">
        <v>89</v>
      </c>
      <c r="F241" t="s">
        <v>88</v>
      </c>
      <c r="G241">
        <v>1.94884446165082</v>
      </c>
      <c r="H241">
        <v>2E+20</v>
      </c>
      <c r="I241">
        <v>0</v>
      </c>
      <c r="J241">
        <v>2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1.8526230700088899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1.99827206083003</v>
      </c>
      <c r="U241" s="5">
        <f>IF((ContinuousStatsTable[[#This Row],[RepsRequested]]&gt;1),ContinuousStatsTable[[#This Row],[HalfWidth]],ContinuousStatsTable[[#This Row],[BatchMeansHalfWidth]])</f>
        <v>1.299612064330544E-2</v>
      </c>
    </row>
    <row r="242" spans="1:21" x14ac:dyDescent="0.35">
      <c r="A242" t="s">
        <v>66</v>
      </c>
      <c r="B242" t="s">
        <v>69</v>
      </c>
      <c r="C242">
        <v>22</v>
      </c>
      <c r="D242" t="s">
        <v>91</v>
      </c>
      <c r="E242" t="s">
        <v>90</v>
      </c>
      <c r="F242" t="s">
        <v>88</v>
      </c>
      <c r="G242">
        <v>2</v>
      </c>
      <c r="H242">
        <v>2E+20</v>
      </c>
      <c r="I242">
        <v>2</v>
      </c>
      <c r="J242">
        <v>2</v>
      </c>
      <c r="K242">
        <v>2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2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2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2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69</v>
      </c>
      <c r="C243">
        <v>22</v>
      </c>
      <c r="D243" t="s">
        <v>83</v>
      </c>
      <c r="E243" t="s">
        <v>84</v>
      </c>
      <c r="F243" t="s">
        <v>72</v>
      </c>
      <c r="G243">
        <v>2.81690075696583</v>
      </c>
      <c r="H243">
        <v>2E+20</v>
      </c>
      <c r="I243">
        <v>0</v>
      </c>
      <c r="J243">
        <v>5</v>
      </c>
      <c r="K243">
        <v>3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2.0230576660756401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3.1833377638216702</v>
      </c>
      <c r="U243" s="5">
        <f>IF((ContinuousStatsTable[[#This Row],[RepsRequested]]&gt;1),ContinuousStatsTable[[#This Row],[HalfWidth]],ContinuousStatsTable[[#This Row],[BatchMeansHalfWidth]])</f>
        <v>0.10275597124787904</v>
      </c>
    </row>
    <row r="244" spans="1:21" x14ac:dyDescent="0.35">
      <c r="A244" t="s">
        <v>66</v>
      </c>
      <c r="B244" t="s">
        <v>69</v>
      </c>
      <c r="C244">
        <v>23</v>
      </c>
      <c r="D244" t="s">
        <v>70</v>
      </c>
      <c r="E244" t="s">
        <v>84</v>
      </c>
      <c r="F244" t="s">
        <v>72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69</v>
      </c>
      <c r="C245">
        <v>23</v>
      </c>
      <c r="D245" t="s">
        <v>73</v>
      </c>
      <c r="E245" t="s">
        <v>84</v>
      </c>
      <c r="F245" t="s">
        <v>72</v>
      </c>
      <c r="G245">
        <v>3.1736389337108601</v>
      </c>
      <c r="H245">
        <v>2E+20</v>
      </c>
      <c r="I245">
        <v>0</v>
      </c>
      <c r="J245">
        <v>10</v>
      </c>
      <c r="K245">
        <v>10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0.475935837419309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14.545335118962701</v>
      </c>
      <c r="U245" s="5">
        <f>IF((ContinuousStatsTable[[#This Row],[RepsRequested]]&gt;1),ContinuousStatsTable[[#This Row],[HalfWidth]],ContinuousStatsTable[[#This Row],[BatchMeansHalfWidth]])</f>
        <v>1.1647272989250694</v>
      </c>
    </row>
    <row r="246" spans="1:21" x14ac:dyDescent="0.35">
      <c r="A246" t="s">
        <v>66</v>
      </c>
      <c r="B246" t="s">
        <v>69</v>
      </c>
      <c r="C246">
        <v>23</v>
      </c>
      <c r="D246" t="s">
        <v>74</v>
      </c>
      <c r="E246" t="s">
        <v>85</v>
      </c>
      <c r="F246" t="s">
        <v>76</v>
      </c>
      <c r="G246">
        <v>25.083107568163701</v>
      </c>
      <c r="H246">
        <v>2E+20</v>
      </c>
      <c r="I246">
        <v>0</v>
      </c>
      <c r="J246">
        <v>40</v>
      </c>
      <c r="K246">
        <v>40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16.614335916574898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47.992828685108996</v>
      </c>
      <c r="U246" s="5">
        <f>IF((ContinuousStatsTable[[#This Row],[RepsRequested]]&gt;1),ContinuousStatsTable[[#This Row],[HalfWidth]],ContinuousStatsTable[[#This Row],[BatchMeansHalfWidth]])</f>
        <v>2.6199410784579222</v>
      </c>
    </row>
    <row r="247" spans="1:21" x14ac:dyDescent="0.35">
      <c r="A247" t="s">
        <v>66</v>
      </c>
      <c r="B247" t="s">
        <v>69</v>
      </c>
      <c r="C247">
        <v>23</v>
      </c>
      <c r="D247" t="s">
        <v>86</v>
      </c>
      <c r="E247" t="s">
        <v>87</v>
      </c>
      <c r="F247" t="s">
        <v>88</v>
      </c>
      <c r="G247">
        <v>0.93679148503709997</v>
      </c>
      <c r="H247">
        <v>2E+20</v>
      </c>
      <c r="I247">
        <v>0</v>
      </c>
      <c r="J247">
        <v>1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0.71791407599347101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0.96105910626671998</v>
      </c>
      <c r="U247" s="5">
        <f>IF((ContinuousStatsTable[[#This Row],[RepsRequested]]&gt;1),ContinuousStatsTable[[#This Row],[HalfWidth]],ContinuousStatsTable[[#This Row],[BatchMeansHalfWidth]])</f>
        <v>2.0481590731410954E-2</v>
      </c>
    </row>
    <row r="248" spans="1:21" x14ac:dyDescent="0.35">
      <c r="A248" t="s">
        <v>66</v>
      </c>
      <c r="B248" t="s">
        <v>69</v>
      </c>
      <c r="C248">
        <v>23</v>
      </c>
      <c r="D248" t="s">
        <v>86</v>
      </c>
      <c r="E248" t="s">
        <v>89</v>
      </c>
      <c r="F248" t="s">
        <v>88</v>
      </c>
      <c r="G248">
        <v>9.3679148503709992</v>
      </c>
      <c r="H248">
        <v>2E+20</v>
      </c>
      <c r="I248">
        <v>0</v>
      </c>
      <c r="J248">
        <v>10</v>
      </c>
      <c r="K248">
        <v>10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7.1791407599347101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9.6105910626672006</v>
      </c>
      <c r="U248" s="5">
        <f>IF((ContinuousStatsTable[[#This Row],[RepsRequested]]&gt;1),ContinuousStatsTable[[#This Row],[HalfWidth]],ContinuousStatsTable[[#This Row],[BatchMeansHalfWidth]])</f>
        <v>0.20481590731410945</v>
      </c>
    </row>
    <row r="249" spans="1:21" x14ac:dyDescent="0.35">
      <c r="A249" t="s">
        <v>66</v>
      </c>
      <c r="B249" t="s">
        <v>69</v>
      </c>
      <c r="C249">
        <v>23</v>
      </c>
      <c r="D249" t="s">
        <v>86</v>
      </c>
      <c r="E249" t="s">
        <v>90</v>
      </c>
      <c r="F249" t="s">
        <v>88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69</v>
      </c>
      <c r="C250">
        <v>23</v>
      </c>
      <c r="D250" t="s">
        <v>82</v>
      </c>
      <c r="E250" t="s">
        <v>84</v>
      </c>
      <c r="F250" t="s">
        <v>72</v>
      </c>
      <c r="G250">
        <v>3.1143983651413998</v>
      </c>
      <c r="H250">
        <v>2E+20</v>
      </c>
      <c r="I250">
        <v>0</v>
      </c>
      <c r="J250">
        <v>5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2.1426391607582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3.27384557923344</v>
      </c>
      <c r="U250" s="5">
        <f>IF((ContinuousStatsTable[[#This Row],[RepsRequested]]&gt;1),ContinuousStatsTable[[#This Row],[HalfWidth]],ContinuousStatsTable[[#This Row],[BatchMeansHalfWidth]])</f>
        <v>9.1472887832627928E-2</v>
      </c>
    </row>
    <row r="251" spans="1:21" x14ac:dyDescent="0.35">
      <c r="A251" t="s">
        <v>66</v>
      </c>
      <c r="B251" t="s">
        <v>69</v>
      </c>
      <c r="C251">
        <v>23</v>
      </c>
      <c r="D251" t="s">
        <v>91</v>
      </c>
      <c r="E251" t="s">
        <v>87</v>
      </c>
      <c r="F251" t="s">
        <v>88</v>
      </c>
      <c r="G251">
        <v>0.99913603041501298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0.92631153500444496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0.99913603041501298</v>
      </c>
      <c r="U251" s="5">
        <f>IF((ContinuousStatsTable[[#This Row],[RepsRequested]]&gt;1),ContinuousStatsTable[[#This Row],[HalfWidth]],ContinuousStatsTable[[#This Row],[BatchMeansHalfWidth]])</f>
        <v>6.4980603216527278E-3</v>
      </c>
    </row>
    <row r="252" spans="1:21" x14ac:dyDescent="0.35">
      <c r="A252" t="s">
        <v>66</v>
      </c>
      <c r="B252" t="s">
        <v>69</v>
      </c>
      <c r="C252">
        <v>23</v>
      </c>
      <c r="D252" t="s">
        <v>91</v>
      </c>
      <c r="E252" t="s">
        <v>89</v>
      </c>
      <c r="F252" t="s">
        <v>88</v>
      </c>
      <c r="G252">
        <v>1.99827206083003</v>
      </c>
      <c r="H252">
        <v>2E+20</v>
      </c>
      <c r="I252">
        <v>0</v>
      </c>
      <c r="J252">
        <v>2</v>
      </c>
      <c r="K252">
        <v>2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1.8526230700088899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1.99827206083003</v>
      </c>
      <c r="U252" s="5">
        <f>IF((ContinuousStatsTable[[#This Row],[RepsRequested]]&gt;1),ContinuousStatsTable[[#This Row],[HalfWidth]],ContinuousStatsTable[[#This Row],[BatchMeansHalfWidth]])</f>
        <v>1.299612064330544E-2</v>
      </c>
    </row>
    <row r="253" spans="1:21" x14ac:dyDescent="0.35">
      <c r="A253" t="s">
        <v>66</v>
      </c>
      <c r="B253" t="s">
        <v>69</v>
      </c>
      <c r="C253">
        <v>23</v>
      </c>
      <c r="D253" t="s">
        <v>91</v>
      </c>
      <c r="E253" t="s">
        <v>90</v>
      </c>
      <c r="F253" t="s">
        <v>88</v>
      </c>
      <c r="G253">
        <v>2</v>
      </c>
      <c r="H253">
        <v>2E+20</v>
      </c>
      <c r="I253">
        <v>2</v>
      </c>
      <c r="J253">
        <v>2</v>
      </c>
      <c r="K253">
        <v>2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2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2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69</v>
      </c>
      <c r="C254">
        <v>23</v>
      </c>
      <c r="D254" t="s">
        <v>83</v>
      </c>
      <c r="E254" t="s">
        <v>84</v>
      </c>
      <c r="F254" t="s">
        <v>72</v>
      </c>
      <c r="G254">
        <v>3.0486716415266</v>
      </c>
      <c r="H254">
        <v>2E+20</v>
      </c>
      <c r="I254">
        <v>0</v>
      </c>
      <c r="J254">
        <v>5</v>
      </c>
      <c r="K254">
        <v>3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2.0230576660756401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3.1833377638216702</v>
      </c>
      <c r="U254" s="5">
        <f>IF((ContinuousStatsTable[[#This Row],[RepsRequested]]&gt;1),ContinuousStatsTable[[#This Row],[HalfWidth]],ContinuousStatsTable[[#This Row],[BatchMeansHalfWidth]])</f>
        <v>0.10275597124787904</v>
      </c>
    </row>
    <row r="255" spans="1:21" x14ac:dyDescent="0.35">
      <c r="A255" t="s">
        <v>66</v>
      </c>
      <c r="B255" t="s">
        <v>69</v>
      </c>
      <c r="C255">
        <v>24</v>
      </c>
      <c r="D255" t="s">
        <v>70</v>
      </c>
      <c r="E255" t="s">
        <v>84</v>
      </c>
      <c r="F255" t="s">
        <v>72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69</v>
      </c>
      <c r="C256">
        <v>24</v>
      </c>
      <c r="D256" t="s">
        <v>73</v>
      </c>
      <c r="E256" t="s">
        <v>84</v>
      </c>
      <c r="F256" t="s">
        <v>72</v>
      </c>
      <c r="G256">
        <v>0.57068734002460997</v>
      </c>
      <c r="H256">
        <v>2E+20</v>
      </c>
      <c r="I256">
        <v>0</v>
      </c>
      <c r="J256">
        <v>4</v>
      </c>
      <c r="K256">
        <v>2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0.475935837419309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14.545335118962701</v>
      </c>
      <c r="U256" s="5">
        <f>IF((ContinuousStatsTable[[#This Row],[RepsRequested]]&gt;1),ContinuousStatsTable[[#This Row],[HalfWidth]],ContinuousStatsTable[[#This Row],[BatchMeansHalfWidth]])</f>
        <v>1.1647272989250694</v>
      </c>
    </row>
    <row r="257" spans="1:21" x14ac:dyDescent="0.35">
      <c r="A257" t="s">
        <v>66</v>
      </c>
      <c r="B257" t="s">
        <v>69</v>
      </c>
      <c r="C257">
        <v>24</v>
      </c>
      <c r="D257" t="s">
        <v>74</v>
      </c>
      <c r="E257" t="s">
        <v>85</v>
      </c>
      <c r="F257" t="s">
        <v>76</v>
      </c>
      <c r="G257">
        <v>16.614335916574898</v>
      </c>
      <c r="H257">
        <v>2E+20</v>
      </c>
      <c r="I257">
        <v>0</v>
      </c>
      <c r="J257">
        <v>28</v>
      </c>
      <c r="K257">
        <v>24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16.614335916574898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47.992828685108996</v>
      </c>
      <c r="U257" s="5">
        <f>IF((ContinuousStatsTable[[#This Row],[RepsRequested]]&gt;1),ContinuousStatsTable[[#This Row],[HalfWidth]],ContinuousStatsTable[[#This Row],[BatchMeansHalfWidth]])</f>
        <v>2.6199410784579222</v>
      </c>
    </row>
    <row r="258" spans="1:21" x14ac:dyDescent="0.35">
      <c r="A258" t="s">
        <v>66</v>
      </c>
      <c r="B258" t="s">
        <v>69</v>
      </c>
      <c r="C258">
        <v>24</v>
      </c>
      <c r="D258" t="s">
        <v>86</v>
      </c>
      <c r="E258" t="s">
        <v>87</v>
      </c>
      <c r="F258" t="s">
        <v>88</v>
      </c>
      <c r="G258">
        <v>0.77364806182628398</v>
      </c>
      <c r="H258">
        <v>2E+20</v>
      </c>
      <c r="I258">
        <v>0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0.71791407599347101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0.96105910626671998</v>
      </c>
      <c r="U258" s="5">
        <f>IF((ContinuousStatsTable[[#This Row],[RepsRequested]]&gt;1),ContinuousStatsTable[[#This Row],[HalfWidth]],ContinuousStatsTable[[#This Row],[BatchMeansHalfWidth]])</f>
        <v>2.0481590731410954E-2</v>
      </c>
    </row>
    <row r="259" spans="1:21" x14ac:dyDescent="0.35">
      <c r="A259" t="s">
        <v>66</v>
      </c>
      <c r="B259" t="s">
        <v>69</v>
      </c>
      <c r="C259">
        <v>24</v>
      </c>
      <c r="D259" t="s">
        <v>86</v>
      </c>
      <c r="E259" t="s">
        <v>89</v>
      </c>
      <c r="F259" t="s">
        <v>88</v>
      </c>
      <c r="G259">
        <v>7.7364806182628403</v>
      </c>
      <c r="H259">
        <v>2E+20</v>
      </c>
      <c r="I259">
        <v>0</v>
      </c>
      <c r="J259">
        <v>10</v>
      </c>
      <c r="K259">
        <v>10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7.1791407599347101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9.6105910626672006</v>
      </c>
      <c r="U259" s="5">
        <f>IF((ContinuousStatsTable[[#This Row],[RepsRequested]]&gt;1),ContinuousStatsTable[[#This Row],[HalfWidth]],ContinuousStatsTable[[#This Row],[BatchMeansHalfWidth]])</f>
        <v>0.20481590731410945</v>
      </c>
    </row>
    <row r="260" spans="1:21" x14ac:dyDescent="0.35">
      <c r="A260" t="s">
        <v>66</v>
      </c>
      <c r="B260" t="s">
        <v>69</v>
      </c>
      <c r="C260">
        <v>24</v>
      </c>
      <c r="D260" t="s">
        <v>86</v>
      </c>
      <c r="E260" t="s">
        <v>90</v>
      </c>
      <c r="F260" t="s">
        <v>88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69</v>
      </c>
      <c r="C261">
        <v>24</v>
      </c>
      <c r="D261" t="s">
        <v>82</v>
      </c>
      <c r="E261" t="s">
        <v>84</v>
      </c>
      <c r="F261" t="s">
        <v>72</v>
      </c>
      <c r="G261">
        <v>2.31546428830148</v>
      </c>
      <c r="H261">
        <v>2E+20</v>
      </c>
      <c r="I261">
        <v>0</v>
      </c>
      <c r="J261">
        <v>5</v>
      </c>
      <c r="K261">
        <v>4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2.1426391607582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3.27384557923344</v>
      </c>
      <c r="U261" s="5">
        <f>IF((ContinuousStatsTable[[#This Row],[RepsRequested]]&gt;1),ContinuousStatsTable[[#This Row],[HalfWidth]],ContinuousStatsTable[[#This Row],[BatchMeansHalfWidth]])</f>
        <v>9.1472887832627928E-2</v>
      </c>
    </row>
    <row r="262" spans="1:21" x14ac:dyDescent="0.35">
      <c r="A262" t="s">
        <v>66</v>
      </c>
      <c r="B262" t="s">
        <v>69</v>
      </c>
      <c r="C262">
        <v>24</v>
      </c>
      <c r="D262" t="s">
        <v>91</v>
      </c>
      <c r="E262" t="s">
        <v>87</v>
      </c>
      <c r="F262" t="s">
        <v>88</v>
      </c>
      <c r="G262">
        <v>0.98642314833024702</v>
      </c>
      <c r="H262">
        <v>2E+20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0.92631153500444496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0.99913603041501298</v>
      </c>
      <c r="U262" s="5">
        <f>IF((ContinuousStatsTable[[#This Row],[RepsRequested]]&gt;1),ContinuousStatsTable[[#This Row],[HalfWidth]],ContinuousStatsTable[[#This Row],[BatchMeansHalfWidth]])</f>
        <v>6.4980603216527278E-3</v>
      </c>
    </row>
    <row r="263" spans="1:21" x14ac:dyDescent="0.35">
      <c r="A263" t="s">
        <v>66</v>
      </c>
      <c r="B263" t="s">
        <v>69</v>
      </c>
      <c r="C263">
        <v>24</v>
      </c>
      <c r="D263" t="s">
        <v>91</v>
      </c>
      <c r="E263" t="s">
        <v>89</v>
      </c>
      <c r="F263" t="s">
        <v>88</v>
      </c>
      <c r="G263">
        <v>1.9728462966604901</v>
      </c>
      <c r="H263">
        <v>2E+20</v>
      </c>
      <c r="I263">
        <v>0</v>
      </c>
      <c r="J263">
        <v>2</v>
      </c>
      <c r="K263">
        <v>2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1.8526230700088899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1.99827206083003</v>
      </c>
      <c r="U263" s="5">
        <f>IF((ContinuousStatsTable[[#This Row],[RepsRequested]]&gt;1),ContinuousStatsTable[[#This Row],[HalfWidth]],ContinuousStatsTable[[#This Row],[BatchMeansHalfWidth]])</f>
        <v>1.299612064330544E-2</v>
      </c>
    </row>
    <row r="264" spans="1:21" x14ac:dyDescent="0.35">
      <c r="A264" t="s">
        <v>66</v>
      </c>
      <c r="B264" t="s">
        <v>69</v>
      </c>
      <c r="C264">
        <v>24</v>
      </c>
      <c r="D264" t="s">
        <v>91</v>
      </c>
      <c r="E264" t="s">
        <v>90</v>
      </c>
      <c r="F264" t="s">
        <v>88</v>
      </c>
      <c r="G264">
        <v>2</v>
      </c>
      <c r="H264">
        <v>2E+20</v>
      </c>
      <c r="I264">
        <v>2</v>
      </c>
      <c r="J264">
        <v>2</v>
      </c>
      <c r="K264">
        <v>2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2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69</v>
      </c>
      <c r="C265">
        <v>24</v>
      </c>
      <c r="D265" t="s">
        <v>83</v>
      </c>
      <c r="E265" t="s">
        <v>84</v>
      </c>
      <c r="F265" t="s">
        <v>72</v>
      </c>
      <c r="G265">
        <v>2.2919204074798101</v>
      </c>
      <c r="H265">
        <v>2E+20</v>
      </c>
      <c r="I265">
        <v>0</v>
      </c>
      <c r="J265">
        <v>5</v>
      </c>
      <c r="K265">
        <v>3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2.0230576660756401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3.1833377638216702</v>
      </c>
      <c r="U265" s="5">
        <f>IF((ContinuousStatsTable[[#This Row],[RepsRequested]]&gt;1),ContinuousStatsTable[[#This Row],[HalfWidth]],ContinuousStatsTable[[#This Row],[BatchMeansHalfWidth]])</f>
        <v>0.10275597124787904</v>
      </c>
    </row>
    <row r="266" spans="1:21" x14ac:dyDescent="0.35">
      <c r="A266" t="s">
        <v>66</v>
      </c>
      <c r="B266" t="s">
        <v>69</v>
      </c>
      <c r="C266">
        <v>25</v>
      </c>
      <c r="D266" t="s">
        <v>70</v>
      </c>
      <c r="E266" t="s">
        <v>84</v>
      </c>
      <c r="F266" t="s">
        <v>72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69</v>
      </c>
      <c r="C267">
        <v>25</v>
      </c>
      <c r="D267" t="s">
        <v>73</v>
      </c>
      <c r="E267" t="s">
        <v>84</v>
      </c>
      <c r="F267" t="s">
        <v>72</v>
      </c>
      <c r="G267">
        <v>3.8230948689273498</v>
      </c>
      <c r="H267">
        <v>2E+20</v>
      </c>
      <c r="I267">
        <v>0</v>
      </c>
      <c r="J267">
        <v>9</v>
      </c>
      <c r="K267">
        <v>8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0.475935837419309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14.545335118962701</v>
      </c>
      <c r="U267" s="5">
        <f>IF((ContinuousStatsTable[[#This Row],[RepsRequested]]&gt;1),ContinuousStatsTable[[#This Row],[HalfWidth]],ContinuousStatsTable[[#This Row],[BatchMeansHalfWidth]])</f>
        <v>1.1647272989250694</v>
      </c>
    </row>
    <row r="268" spans="1:21" x14ac:dyDescent="0.35">
      <c r="A268" t="s">
        <v>66</v>
      </c>
      <c r="B268" t="s">
        <v>69</v>
      </c>
      <c r="C268">
        <v>25</v>
      </c>
      <c r="D268" t="s">
        <v>74</v>
      </c>
      <c r="E268" t="s">
        <v>85</v>
      </c>
      <c r="F268" t="s">
        <v>76</v>
      </c>
      <c r="G268">
        <v>25.588346801476899</v>
      </c>
      <c r="H268">
        <v>2E+20</v>
      </c>
      <c r="I268">
        <v>0</v>
      </c>
      <c r="J268">
        <v>39</v>
      </c>
      <c r="K268">
        <v>36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16.614335916574898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47.992828685108996</v>
      </c>
      <c r="U268" s="5">
        <f>IF((ContinuousStatsTable[[#This Row],[RepsRequested]]&gt;1),ContinuousStatsTable[[#This Row],[HalfWidth]],ContinuousStatsTable[[#This Row],[BatchMeansHalfWidth]])</f>
        <v>2.6199410784579222</v>
      </c>
    </row>
    <row r="269" spans="1:21" x14ac:dyDescent="0.35">
      <c r="A269" t="s">
        <v>66</v>
      </c>
      <c r="B269" t="s">
        <v>69</v>
      </c>
      <c r="C269">
        <v>25</v>
      </c>
      <c r="D269" t="s">
        <v>86</v>
      </c>
      <c r="E269" t="s">
        <v>87</v>
      </c>
      <c r="F269" t="s">
        <v>88</v>
      </c>
      <c r="G269">
        <v>0.89710785318111197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0.71791407599347101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0.96105910626671998</v>
      </c>
      <c r="U269" s="5">
        <f>IF((ContinuousStatsTable[[#This Row],[RepsRequested]]&gt;1),ContinuousStatsTable[[#This Row],[HalfWidth]],ContinuousStatsTable[[#This Row],[BatchMeansHalfWidth]])</f>
        <v>2.0481590731410954E-2</v>
      </c>
    </row>
    <row r="270" spans="1:21" x14ac:dyDescent="0.35">
      <c r="A270" t="s">
        <v>66</v>
      </c>
      <c r="B270" t="s">
        <v>69</v>
      </c>
      <c r="C270">
        <v>25</v>
      </c>
      <c r="D270" t="s">
        <v>86</v>
      </c>
      <c r="E270" t="s">
        <v>89</v>
      </c>
      <c r="F270" t="s">
        <v>88</v>
      </c>
      <c r="G270">
        <v>8.9710785318111199</v>
      </c>
      <c r="H270">
        <v>2E+20</v>
      </c>
      <c r="I270">
        <v>0</v>
      </c>
      <c r="J270">
        <v>10</v>
      </c>
      <c r="K270">
        <v>10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7.1791407599347101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9.6105910626672006</v>
      </c>
      <c r="U270" s="5">
        <f>IF((ContinuousStatsTable[[#This Row],[RepsRequested]]&gt;1),ContinuousStatsTable[[#This Row],[HalfWidth]],ContinuousStatsTable[[#This Row],[BatchMeansHalfWidth]])</f>
        <v>0.20481590731410945</v>
      </c>
    </row>
    <row r="271" spans="1:21" x14ac:dyDescent="0.35">
      <c r="A271" t="s">
        <v>66</v>
      </c>
      <c r="B271" t="s">
        <v>69</v>
      </c>
      <c r="C271">
        <v>25</v>
      </c>
      <c r="D271" t="s">
        <v>86</v>
      </c>
      <c r="E271" t="s">
        <v>90</v>
      </c>
      <c r="F271" t="s">
        <v>88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69</v>
      </c>
      <c r="C272">
        <v>25</v>
      </c>
      <c r="D272" t="s">
        <v>82</v>
      </c>
      <c r="E272" t="s">
        <v>84</v>
      </c>
      <c r="F272" t="s">
        <v>72</v>
      </c>
      <c r="G272">
        <v>3.0015989969875601</v>
      </c>
      <c r="H272">
        <v>2E+20</v>
      </c>
      <c r="I272">
        <v>0</v>
      </c>
      <c r="J272">
        <v>5</v>
      </c>
      <c r="K272">
        <v>3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2.1426391607582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3.27384557923344</v>
      </c>
      <c r="U272" s="5">
        <f>IF((ContinuousStatsTable[[#This Row],[RepsRequested]]&gt;1),ContinuousStatsTable[[#This Row],[HalfWidth]],ContinuousStatsTable[[#This Row],[BatchMeansHalfWidth]])</f>
        <v>9.1472887832627928E-2</v>
      </c>
    </row>
    <row r="273" spans="1:21" x14ac:dyDescent="0.35">
      <c r="A273" t="s">
        <v>66</v>
      </c>
      <c r="B273" t="s">
        <v>69</v>
      </c>
      <c r="C273">
        <v>25</v>
      </c>
      <c r="D273" t="s">
        <v>91</v>
      </c>
      <c r="E273" t="s">
        <v>87</v>
      </c>
      <c r="F273" t="s">
        <v>88</v>
      </c>
      <c r="G273">
        <v>0.98403171754398699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0.92631153500444496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0.99913603041501298</v>
      </c>
      <c r="U273" s="5">
        <f>IF((ContinuousStatsTable[[#This Row],[RepsRequested]]&gt;1),ContinuousStatsTable[[#This Row],[HalfWidth]],ContinuousStatsTable[[#This Row],[BatchMeansHalfWidth]])</f>
        <v>6.4980603216527278E-3</v>
      </c>
    </row>
    <row r="274" spans="1:21" x14ac:dyDescent="0.35">
      <c r="A274" t="s">
        <v>66</v>
      </c>
      <c r="B274" t="s">
        <v>69</v>
      </c>
      <c r="C274">
        <v>25</v>
      </c>
      <c r="D274" t="s">
        <v>91</v>
      </c>
      <c r="E274" t="s">
        <v>89</v>
      </c>
      <c r="F274" t="s">
        <v>88</v>
      </c>
      <c r="G274">
        <v>1.96806343508797</v>
      </c>
      <c r="H274">
        <v>2E+20</v>
      </c>
      <c r="I274">
        <v>0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1.8526230700088899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1.99827206083003</v>
      </c>
      <c r="U274" s="5">
        <f>IF((ContinuousStatsTable[[#This Row],[RepsRequested]]&gt;1),ContinuousStatsTable[[#This Row],[HalfWidth]],ContinuousStatsTable[[#This Row],[BatchMeansHalfWidth]])</f>
        <v>1.299612064330544E-2</v>
      </c>
    </row>
    <row r="275" spans="1:21" x14ac:dyDescent="0.35">
      <c r="A275" t="s">
        <v>66</v>
      </c>
      <c r="B275" t="s">
        <v>69</v>
      </c>
      <c r="C275">
        <v>25</v>
      </c>
      <c r="D275" t="s">
        <v>91</v>
      </c>
      <c r="E275" t="s">
        <v>90</v>
      </c>
      <c r="F275" t="s">
        <v>88</v>
      </c>
      <c r="G275">
        <v>2</v>
      </c>
      <c r="H275">
        <v>2E+20</v>
      </c>
      <c r="I275">
        <v>2</v>
      </c>
      <c r="J275">
        <v>2</v>
      </c>
      <c r="K275">
        <v>2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2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2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2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69</v>
      </c>
      <c r="C276">
        <v>25</v>
      </c>
      <c r="D276" t="s">
        <v>83</v>
      </c>
      <c r="E276" t="s">
        <v>84</v>
      </c>
      <c r="F276" t="s">
        <v>72</v>
      </c>
      <c r="G276">
        <v>2.8484982851291201</v>
      </c>
      <c r="H276">
        <v>2E+20</v>
      </c>
      <c r="I276">
        <v>0</v>
      </c>
      <c r="J276">
        <v>5</v>
      </c>
      <c r="K276">
        <v>4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2.0230576660756401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3.1833377638216702</v>
      </c>
      <c r="U276" s="5">
        <f>IF((ContinuousStatsTable[[#This Row],[RepsRequested]]&gt;1),ContinuousStatsTable[[#This Row],[HalfWidth]],ContinuousStatsTable[[#This Row],[BatchMeansHalfWidth]])</f>
        <v>0.10275597124787904</v>
      </c>
    </row>
    <row r="277" spans="1:21" x14ac:dyDescent="0.35">
      <c r="A277" t="s">
        <v>66</v>
      </c>
      <c r="B277" t="s">
        <v>69</v>
      </c>
      <c r="C277">
        <v>26</v>
      </c>
      <c r="D277" t="s">
        <v>70</v>
      </c>
      <c r="E277" t="s">
        <v>84</v>
      </c>
      <c r="F277" t="s">
        <v>72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69</v>
      </c>
      <c r="C278">
        <v>26</v>
      </c>
      <c r="D278" t="s">
        <v>73</v>
      </c>
      <c r="E278" t="s">
        <v>84</v>
      </c>
      <c r="F278" t="s">
        <v>72</v>
      </c>
      <c r="G278">
        <v>11.7609607253127</v>
      </c>
      <c r="H278">
        <v>2E+20</v>
      </c>
      <c r="I278">
        <v>0</v>
      </c>
      <c r="J278">
        <v>26</v>
      </c>
      <c r="K278">
        <v>22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0.475935837419309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14.545335118962701</v>
      </c>
      <c r="U278" s="5">
        <f>IF((ContinuousStatsTable[[#This Row],[RepsRequested]]&gt;1),ContinuousStatsTable[[#This Row],[HalfWidth]],ContinuousStatsTable[[#This Row],[BatchMeansHalfWidth]])</f>
        <v>1.1647272989250694</v>
      </c>
    </row>
    <row r="279" spans="1:21" x14ac:dyDescent="0.35">
      <c r="A279" t="s">
        <v>66</v>
      </c>
      <c r="B279" t="s">
        <v>69</v>
      </c>
      <c r="C279">
        <v>26</v>
      </c>
      <c r="D279" t="s">
        <v>74</v>
      </c>
      <c r="E279" t="s">
        <v>85</v>
      </c>
      <c r="F279" t="s">
        <v>76</v>
      </c>
      <c r="G279">
        <v>42.302776957669003</v>
      </c>
      <c r="H279">
        <v>2E+20</v>
      </c>
      <c r="I279">
        <v>0</v>
      </c>
      <c r="J279">
        <v>72</v>
      </c>
      <c r="K279">
        <v>64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16.614335916574898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47.992828685108996</v>
      </c>
      <c r="U279" s="5">
        <f>IF((ContinuousStatsTable[[#This Row],[RepsRequested]]&gt;1),ContinuousStatsTable[[#This Row],[HalfWidth]],ContinuousStatsTable[[#This Row],[BatchMeansHalfWidth]])</f>
        <v>2.6199410784579222</v>
      </c>
    </row>
    <row r="280" spans="1:21" x14ac:dyDescent="0.35">
      <c r="A280" t="s">
        <v>66</v>
      </c>
      <c r="B280" t="s">
        <v>69</v>
      </c>
      <c r="C280">
        <v>26</v>
      </c>
      <c r="D280" t="s">
        <v>86</v>
      </c>
      <c r="E280" t="s">
        <v>87</v>
      </c>
      <c r="F280" t="s">
        <v>88</v>
      </c>
      <c r="G280">
        <v>0.93904277535217795</v>
      </c>
      <c r="H280">
        <v>2E+20</v>
      </c>
      <c r="I280">
        <v>0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0.71791407599347101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0.96105910626671998</v>
      </c>
      <c r="U280" s="5">
        <f>IF((ContinuousStatsTable[[#This Row],[RepsRequested]]&gt;1),ContinuousStatsTable[[#This Row],[HalfWidth]],ContinuousStatsTable[[#This Row],[BatchMeansHalfWidth]])</f>
        <v>2.0481590731410954E-2</v>
      </c>
    </row>
    <row r="281" spans="1:21" x14ac:dyDescent="0.35">
      <c r="A281" t="s">
        <v>66</v>
      </c>
      <c r="B281" t="s">
        <v>69</v>
      </c>
      <c r="C281">
        <v>26</v>
      </c>
      <c r="D281" t="s">
        <v>86</v>
      </c>
      <c r="E281" t="s">
        <v>89</v>
      </c>
      <c r="F281" t="s">
        <v>88</v>
      </c>
      <c r="G281">
        <v>9.3904277535217808</v>
      </c>
      <c r="H281">
        <v>2E+20</v>
      </c>
      <c r="I281">
        <v>0</v>
      </c>
      <c r="J281">
        <v>10</v>
      </c>
      <c r="K281">
        <v>10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7.1791407599347101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9.6105910626672006</v>
      </c>
      <c r="U281" s="5">
        <f>IF((ContinuousStatsTable[[#This Row],[RepsRequested]]&gt;1),ContinuousStatsTable[[#This Row],[HalfWidth]],ContinuousStatsTable[[#This Row],[BatchMeansHalfWidth]])</f>
        <v>0.20481590731410945</v>
      </c>
    </row>
    <row r="282" spans="1:21" x14ac:dyDescent="0.35">
      <c r="A282" t="s">
        <v>66</v>
      </c>
      <c r="B282" t="s">
        <v>69</v>
      </c>
      <c r="C282">
        <v>26</v>
      </c>
      <c r="D282" t="s">
        <v>86</v>
      </c>
      <c r="E282" t="s">
        <v>90</v>
      </c>
      <c r="F282" t="s">
        <v>88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69</v>
      </c>
      <c r="C283">
        <v>26</v>
      </c>
      <c r="D283" t="s">
        <v>82</v>
      </c>
      <c r="E283" t="s">
        <v>84</v>
      </c>
      <c r="F283" t="s">
        <v>72</v>
      </c>
      <c r="G283">
        <v>3.1675296275607798</v>
      </c>
      <c r="H283">
        <v>2E+20</v>
      </c>
      <c r="I283">
        <v>0</v>
      </c>
      <c r="J283">
        <v>5</v>
      </c>
      <c r="K283">
        <v>5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2.1426391607582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3.27384557923344</v>
      </c>
      <c r="U283" s="5">
        <f>IF((ContinuousStatsTable[[#This Row],[RepsRequested]]&gt;1),ContinuousStatsTable[[#This Row],[HalfWidth]],ContinuousStatsTable[[#This Row],[BatchMeansHalfWidth]])</f>
        <v>9.1472887832627928E-2</v>
      </c>
    </row>
    <row r="284" spans="1:21" x14ac:dyDescent="0.35">
      <c r="A284" t="s">
        <v>66</v>
      </c>
      <c r="B284" t="s">
        <v>69</v>
      </c>
      <c r="C284">
        <v>26</v>
      </c>
      <c r="D284" t="s">
        <v>91</v>
      </c>
      <c r="E284" t="s">
        <v>87</v>
      </c>
      <c r="F284" t="s">
        <v>88</v>
      </c>
      <c r="G284">
        <v>0.96715998544340798</v>
      </c>
      <c r="H284">
        <v>2E+20</v>
      </c>
      <c r="I284">
        <v>0</v>
      </c>
      <c r="J284">
        <v>1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0.92631153500444496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0.99913603041501298</v>
      </c>
      <c r="U284" s="5">
        <f>IF((ContinuousStatsTable[[#This Row],[RepsRequested]]&gt;1),ContinuousStatsTable[[#This Row],[HalfWidth]],ContinuousStatsTable[[#This Row],[BatchMeansHalfWidth]])</f>
        <v>6.4980603216527278E-3</v>
      </c>
    </row>
    <row r="285" spans="1:21" x14ac:dyDescent="0.35">
      <c r="A285" t="s">
        <v>66</v>
      </c>
      <c r="B285" t="s">
        <v>69</v>
      </c>
      <c r="C285">
        <v>26</v>
      </c>
      <c r="D285" t="s">
        <v>91</v>
      </c>
      <c r="E285" t="s">
        <v>89</v>
      </c>
      <c r="F285" t="s">
        <v>88</v>
      </c>
      <c r="G285">
        <v>1.93431997088682</v>
      </c>
      <c r="H285">
        <v>2E+20</v>
      </c>
      <c r="I285">
        <v>0</v>
      </c>
      <c r="J285">
        <v>2</v>
      </c>
      <c r="K285">
        <v>2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1.8526230700088899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1.99827206083003</v>
      </c>
      <c r="U285" s="5">
        <f>IF((ContinuousStatsTable[[#This Row],[RepsRequested]]&gt;1),ContinuousStatsTable[[#This Row],[HalfWidth]],ContinuousStatsTable[[#This Row],[BatchMeansHalfWidth]])</f>
        <v>1.299612064330544E-2</v>
      </c>
    </row>
    <row r="286" spans="1:21" x14ac:dyDescent="0.35">
      <c r="A286" t="s">
        <v>66</v>
      </c>
      <c r="B286" t="s">
        <v>69</v>
      </c>
      <c r="C286">
        <v>26</v>
      </c>
      <c r="D286" t="s">
        <v>91</v>
      </c>
      <c r="E286" t="s">
        <v>90</v>
      </c>
      <c r="F286" t="s">
        <v>88</v>
      </c>
      <c r="G286">
        <v>2</v>
      </c>
      <c r="H286">
        <v>2E+20</v>
      </c>
      <c r="I286">
        <v>2</v>
      </c>
      <c r="J286">
        <v>2</v>
      </c>
      <c r="K286">
        <v>2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2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2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2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69</v>
      </c>
      <c r="C287">
        <v>26</v>
      </c>
      <c r="D287" t="s">
        <v>83</v>
      </c>
      <c r="E287" t="s">
        <v>84</v>
      </c>
      <c r="F287" t="s">
        <v>72</v>
      </c>
      <c r="G287">
        <v>3.1166374024041099</v>
      </c>
      <c r="H287">
        <v>2E+20</v>
      </c>
      <c r="I287">
        <v>0</v>
      </c>
      <c r="J287">
        <v>6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2.0230576660756401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3.1833377638216702</v>
      </c>
      <c r="U287" s="5">
        <f>IF((ContinuousStatsTable[[#This Row],[RepsRequested]]&gt;1),ContinuousStatsTable[[#This Row],[HalfWidth]],ContinuousStatsTable[[#This Row],[BatchMeansHalfWidth]])</f>
        <v>0.10275597124787904</v>
      </c>
    </row>
    <row r="288" spans="1:21" x14ac:dyDescent="0.35">
      <c r="A288" t="s">
        <v>66</v>
      </c>
      <c r="B288" t="s">
        <v>69</v>
      </c>
      <c r="C288">
        <v>27</v>
      </c>
      <c r="D288" t="s">
        <v>70</v>
      </c>
      <c r="E288" t="s">
        <v>84</v>
      </c>
      <c r="F288" t="s">
        <v>72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69</v>
      </c>
      <c r="C289">
        <v>27</v>
      </c>
      <c r="D289" t="s">
        <v>73</v>
      </c>
      <c r="E289" t="s">
        <v>84</v>
      </c>
      <c r="F289" t="s">
        <v>72</v>
      </c>
      <c r="G289">
        <v>4.5070117592140004</v>
      </c>
      <c r="H289">
        <v>2E+20</v>
      </c>
      <c r="I289">
        <v>0</v>
      </c>
      <c r="J289">
        <v>15</v>
      </c>
      <c r="K289">
        <v>13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0.475935837419309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14.545335118962701</v>
      </c>
      <c r="U289" s="5">
        <f>IF((ContinuousStatsTable[[#This Row],[RepsRequested]]&gt;1),ContinuousStatsTable[[#This Row],[HalfWidth]],ContinuousStatsTable[[#This Row],[BatchMeansHalfWidth]])</f>
        <v>1.1647272989250694</v>
      </c>
    </row>
    <row r="290" spans="1:21" x14ac:dyDescent="0.35">
      <c r="A290" t="s">
        <v>66</v>
      </c>
      <c r="B290" t="s">
        <v>69</v>
      </c>
      <c r="C290">
        <v>27</v>
      </c>
      <c r="D290" t="s">
        <v>74</v>
      </c>
      <c r="E290" t="s">
        <v>85</v>
      </c>
      <c r="F290" t="s">
        <v>76</v>
      </c>
      <c r="G290">
        <v>25.9164545312413</v>
      </c>
      <c r="H290">
        <v>2E+20</v>
      </c>
      <c r="I290">
        <v>0</v>
      </c>
      <c r="J290">
        <v>50</v>
      </c>
      <c r="K290">
        <v>46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16.614335916574898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47.992828685108996</v>
      </c>
      <c r="U290" s="5">
        <f>IF((ContinuousStatsTable[[#This Row],[RepsRequested]]&gt;1),ContinuousStatsTable[[#This Row],[HalfWidth]],ContinuousStatsTable[[#This Row],[BatchMeansHalfWidth]])</f>
        <v>2.6199410784579222</v>
      </c>
    </row>
    <row r="291" spans="1:21" x14ac:dyDescent="0.35">
      <c r="A291" t="s">
        <v>66</v>
      </c>
      <c r="B291" t="s">
        <v>69</v>
      </c>
      <c r="C291">
        <v>27</v>
      </c>
      <c r="D291" t="s">
        <v>86</v>
      </c>
      <c r="E291" t="s">
        <v>87</v>
      </c>
      <c r="F291" t="s">
        <v>88</v>
      </c>
      <c r="G291">
        <v>0.84512155064066397</v>
      </c>
      <c r="H291">
        <v>2E+20</v>
      </c>
      <c r="I291">
        <v>0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0.71791407599347101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0.96105910626671998</v>
      </c>
      <c r="U291" s="5">
        <f>IF((ContinuousStatsTable[[#This Row],[RepsRequested]]&gt;1),ContinuousStatsTable[[#This Row],[HalfWidth]],ContinuousStatsTable[[#This Row],[BatchMeansHalfWidth]])</f>
        <v>2.0481590731410954E-2</v>
      </c>
    </row>
    <row r="292" spans="1:21" x14ac:dyDescent="0.35">
      <c r="A292" t="s">
        <v>66</v>
      </c>
      <c r="B292" t="s">
        <v>69</v>
      </c>
      <c r="C292">
        <v>27</v>
      </c>
      <c r="D292" t="s">
        <v>86</v>
      </c>
      <c r="E292" t="s">
        <v>89</v>
      </c>
      <c r="F292" t="s">
        <v>88</v>
      </c>
      <c r="G292">
        <v>8.4512155064066405</v>
      </c>
      <c r="H292">
        <v>2E+20</v>
      </c>
      <c r="I292">
        <v>0</v>
      </c>
      <c r="J292">
        <v>10</v>
      </c>
      <c r="K292">
        <v>10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7.1791407599347101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9.6105910626672006</v>
      </c>
      <c r="U292" s="5">
        <f>IF((ContinuousStatsTable[[#This Row],[RepsRequested]]&gt;1),ContinuousStatsTable[[#This Row],[HalfWidth]],ContinuousStatsTable[[#This Row],[BatchMeansHalfWidth]])</f>
        <v>0.20481590731410945</v>
      </c>
    </row>
    <row r="293" spans="1:21" x14ac:dyDescent="0.35">
      <c r="A293" t="s">
        <v>66</v>
      </c>
      <c r="B293" t="s">
        <v>69</v>
      </c>
      <c r="C293">
        <v>27</v>
      </c>
      <c r="D293" t="s">
        <v>86</v>
      </c>
      <c r="E293" t="s">
        <v>90</v>
      </c>
      <c r="F293" t="s">
        <v>88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69</v>
      </c>
      <c r="C294">
        <v>27</v>
      </c>
      <c r="D294" t="s">
        <v>82</v>
      </c>
      <c r="E294" t="s">
        <v>84</v>
      </c>
      <c r="F294" t="s">
        <v>72</v>
      </c>
      <c r="G294">
        <v>2.7199911404582999</v>
      </c>
      <c r="H294">
        <v>2E+20</v>
      </c>
      <c r="I294">
        <v>0</v>
      </c>
      <c r="J294">
        <v>5</v>
      </c>
      <c r="K294">
        <v>4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2.1426391607582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3.27384557923344</v>
      </c>
      <c r="U294" s="5">
        <f>IF((ContinuousStatsTable[[#This Row],[RepsRequested]]&gt;1),ContinuousStatsTable[[#This Row],[HalfWidth]],ContinuousStatsTable[[#This Row],[BatchMeansHalfWidth]])</f>
        <v>9.1472887832627928E-2</v>
      </c>
    </row>
    <row r="295" spans="1:21" x14ac:dyDescent="0.35">
      <c r="A295" t="s">
        <v>66</v>
      </c>
      <c r="B295" t="s">
        <v>69</v>
      </c>
      <c r="C295">
        <v>27</v>
      </c>
      <c r="D295" t="s">
        <v>91</v>
      </c>
      <c r="E295" t="s">
        <v>87</v>
      </c>
      <c r="F295" t="s">
        <v>88</v>
      </c>
      <c r="G295">
        <v>0.99684311992927299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0.92631153500444496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0.99913603041501298</v>
      </c>
      <c r="U295" s="5">
        <f>IF((ContinuousStatsTable[[#This Row],[RepsRequested]]&gt;1),ContinuousStatsTable[[#This Row],[HalfWidth]],ContinuousStatsTable[[#This Row],[BatchMeansHalfWidth]])</f>
        <v>6.4980603216527278E-3</v>
      </c>
    </row>
    <row r="296" spans="1:21" x14ac:dyDescent="0.35">
      <c r="A296" t="s">
        <v>66</v>
      </c>
      <c r="B296" t="s">
        <v>69</v>
      </c>
      <c r="C296">
        <v>27</v>
      </c>
      <c r="D296" t="s">
        <v>91</v>
      </c>
      <c r="E296" t="s">
        <v>89</v>
      </c>
      <c r="F296" t="s">
        <v>88</v>
      </c>
      <c r="G296">
        <v>1.99368623985855</v>
      </c>
      <c r="H296">
        <v>2E+20</v>
      </c>
      <c r="I296">
        <v>0</v>
      </c>
      <c r="J296">
        <v>2</v>
      </c>
      <c r="K296">
        <v>2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1.8526230700088899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1.99827206083003</v>
      </c>
      <c r="U296" s="5">
        <f>IF((ContinuousStatsTable[[#This Row],[RepsRequested]]&gt;1),ContinuousStatsTable[[#This Row],[HalfWidth]],ContinuousStatsTable[[#This Row],[BatchMeansHalfWidth]])</f>
        <v>1.299612064330544E-2</v>
      </c>
    </row>
    <row r="297" spans="1:21" x14ac:dyDescent="0.35">
      <c r="A297" t="s">
        <v>66</v>
      </c>
      <c r="B297" t="s">
        <v>69</v>
      </c>
      <c r="C297">
        <v>27</v>
      </c>
      <c r="D297" t="s">
        <v>91</v>
      </c>
      <c r="E297" t="s">
        <v>90</v>
      </c>
      <c r="F297" t="s">
        <v>88</v>
      </c>
      <c r="G297">
        <v>2</v>
      </c>
      <c r="H297">
        <v>2E+20</v>
      </c>
      <c r="I297">
        <v>2</v>
      </c>
      <c r="J297">
        <v>2</v>
      </c>
      <c r="K297">
        <v>2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2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2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69</v>
      </c>
      <c r="C298">
        <v>27</v>
      </c>
      <c r="D298" t="s">
        <v>83</v>
      </c>
      <c r="E298" t="s">
        <v>84</v>
      </c>
      <c r="F298" t="s">
        <v>72</v>
      </c>
      <c r="G298">
        <v>2.5728317558389699</v>
      </c>
      <c r="H298">
        <v>2E+20</v>
      </c>
      <c r="I298">
        <v>0</v>
      </c>
      <c r="J298">
        <v>5</v>
      </c>
      <c r="K298">
        <v>3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2.0230576660756401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3.1833377638216702</v>
      </c>
      <c r="U298" s="5">
        <f>IF((ContinuousStatsTable[[#This Row],[RepsRequested]]&gt;1),ContinuousStatsTable[[#This Row],[HalfWidth]],ContinuousStatsTable[[#This Row],[BatchMeansHalfWidth]])</f>
        <v>0.10275597124787904</v>
      </c>
    </row>
    <row r="299" spans="1:21" x14ac:dyDescent="0.35">
      <c r="A299" t="s">
        <v>66</v>
      </c>
      <c r="B299" t="s">
        <v>69</v>
      </c>
      <c r="C299">
        <v>28</v>
      </c>
      <c r="D299" t="s">
        <v>70</v>
      </c>
      <c r="E299" t="s">
        <v>84</v>
      </c>
      <c r="F299" t="s">
        <v>72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69</v>
      </c>
      <c r="C300">
        <v>28</v>
      </c>
      <c r="D300" t="s">
        <v>73</v>
      </c>
      <c r="E300" t="s">
        <v>84</v>
      </c>
      <c r="F300" t="s">
        <v>72</v>
      </c>
      <c r="G300">
        <v>10.659125357571501</v>
      </c>
      <c r="H300">
        <v>2E+20</v>
      </c>
      <c r="I300">
        <v>0</v>
      </c>
      <c r="J300">
        <v>29</v>
      </c>
      <c r="K300">
        <v>29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0.475935837419309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14.545335118962701</v>
      </c>
      <c r="U300" s="5">
        <f>IF((ContinuousStatsTable[[#This Row],[RepsRequested]]&gt;1),ContinuousStatsTable[[#This Row],[HalfWidth]],ContinuousStatsTable[[#This Row],[BatchMeansHalfWidth]])</f>
        <v>1.1647272989250694</v>
      </c>
    </row>
    <row r="301" spans="1:21" x14ac:dyDescent="0.35">
      <c r="A301" t="s">
        <v>66</v>
      </c>
      <c r="B301" t="s">
        <v>69</v>
      </c>
      <c r="C301">
        <v>28</v>
      </c>
      <c r="D301" t="s">
        <v>74</v>
      </c>
      <c r="E301" t="s">
        <v>85</v>
      </c>
      <c r="F301" t="s">
        <v>76</v>
      </c>
      <c r="G301">
        <v>40.192981188408602</v>
      </c>
      <c r="H301">
        <v>2E+20</v>
      </c>
      <c r="I301">
        <v>0</v>
      </c>
      <c r="J301">
        <v>78</v>
      </c>
      <c r="K301">
        <v>78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16.614335916574898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47.992828685108996</v>
      </c>
      <c r="U301" s="5">
        <f>IF((ContinuousStatsTable[[#This Row],[RepsRequested]]&gt;1),ContinuousStatsTable[[#This Row],[HalfWidth]],ContinuousStatsTable[[#This Row],[BatchMeansHalfWidth]])</f>
        <v>2.6199410784579222</v>
      </c>
    </row>
    <row r="302" spans="1:21" x14ac:dyDescent="0.35">
      <c r="A302" t="s">
        <v>66</v>
      </c>
      <c r="B302" t="s">
        <v>69</v>
      </c>
      <c r="C302">
        <v>28</v>
      </c>
      <c r="D302" t="s">
        <v>86</v>
      </c>
      <c r="E302" t="s">
        <v>87</v>
      </c>
      <c r="F302" t="s">
        <v>88</v>
      </c>
      <c r="G302">
        <v>0.94373652366328398</v>
      </c>
      <c r="H302">
        <v>2E+20</v>
      </c>
      <c r="I302">
        <v>0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0.71791407599347101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0.96105910626671998</v>
      </c>
      <c r="U302" s="5">
        <f>IF((ContinuousStatsTable[[#This Row],[RepsRequested]]&gt;1),ContinuousStatsTable[[#This Row],[HalfWidth]],ContinuousStatsTable[[#This Row],[BatchMeansHalfWidth]])</f>
        <v>2.0481590731410954E-2</v>
      </c>
    </row>
    <row r="303" spans="1:21" x14ac:dyDescent="0.35">
      <c r="A303" t="s">
        <v>66</v>
      </c>
      <c r="B303" t="s">
        <v>69</v>
      </c>
      <c r="C303">
        <v>28</v>
      </c>
      <c r="D303" t="s">
        <v>86</v>
      </c>
      <c r="E303" t="s">
        <v>89</v>
      </c>
      <c r="F303" t="s">
        <v>88</v>
      </c>
      <c r="G303">
        <v>9.4373652366328304</v>
      </c>
      <c r="H303">
        <v>2E+20</v>
      </c>
      <c r="I303">
        <v>0</v>
      </c>
      <c r="J303">
        <v>10</v>
      </c>
      <c r="K303">
        <v>10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7.1791407599347101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9.6105910626672006</v>
      </c>
      <c r="U303" s="5">
        <f>IF((ContinuousStatsTable[[#This Row],[RepsRequested]]&gt;1),ContinuousStatsTable[[#This Row],[HalfWidth]],ContinuousStatsTable[[#This Row],[BatchMeansHalfWidth]])</f>
        <v>0.20481590731410945</v>
      </c>
    </row>
    <row r="304" spans="1:21" x14ac:dyDescent="0.35">
      <c r="A304" t="s">
        <v>66</v>
      </c>
      <c r="B304" t="s">
        <v>69</v>
      </c>
      <c r="C304">
        <v>28</v>
      </c>
      <c r="D304" t="s">
        <v>86</v>
      </c>
      <c r="E304" t="s">
        <v>90</v>
      </c>
      <c r="F304" t="s">
        <v>88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69</v>
      </c>
      <c r="C305">
        <v>28</v>
      </c>
      <c r="D305" t="s">
        <v>82</v>
      </c>
      <c r="E305" t="s">
        <v>84</v>
      </c>
      <c r="F305" t="s">
        <v>72</v>
      </c>
      <c r="G305">
        <v>3.0920763821815198</v>
      </c>
      <c r="H305">
        <v>2E+20</v>
      </c>
      <c r="I305">
        <v>0</v>
      </c>
      <c r="J305">
        <v>5</v>
      </c>
      <c r="K305">
        <v>3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2.1426391607582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3.27384557923344</v>
      </c>
      <c r="U305" s="5">
        <f>IF((ContinuousStatsTable[[#This Row],[RepsRequested]]&gt;1),ContinuousStatsTable[[#This Row],[HalfWidth]],ContinuousStatsTable[[#This Row],[BatchMeansHalfWidth]])</f>
        <v>9.1472887832627928E-2</v>
      </c>
    </row>
    <row r="306" spans="1:21" x14ac:dyDescent="0.35">
      <c r="A306" t="s">
        <v>66</v>
      </c>
      <c r="B306" t="s">
        <v>69</v>
      </c>
      <c r="C306">
        <v>28</v>
      </c>
      <c r="D306" t="s">
        <v>91</v>
      </c>
      <c r="E306" t="s">
        <v>87</v>
      </c>
      <c r="F306" t="s">
        <v>88</v>
      </c>
      <c r="G306">
        <v>0.97868178381571402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0.92631153500444496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0.99913603041501298</v>
      </c>
      <c r="U306" s="5">
        <f>IF((ContinuousStatsTable[[#This Row],[RepsRequested]]&gt;1),ContinuousStatsTable[[#This Row],[HalfWidth]],ContinuousStatsTable[[#This Row],[BatchMeansHalfWidth]])</f>
        <v>6.4980603216527278E-3</v>
      </c>
    </row>
    <row r="307" spans="1:21" x14ac:dyDescent="0.35">
      <c r="A307" t="s">
        <v>66</v>
      </c>
      <c r="B307" t="s">
        <v>69</v>
      </c>
      <c r="C307">
        <v>28</v>
      </c>
      <c r="D307" t="s">
        <v>91</v>
      </c>
      <c r="E307" t="s">
        <v>89</v>
      </c>
      <c r="F307" t="s">
        <v>88</v>
      </c>
      <c r="G307">
        <v>1.95736356763143</v>
      </c>
      <c r="H307">
        <v>2E+20</v>
      </c>
      <c r="I307">
        <v>0</v>
      </c>
      <c r="J307">
        <v>2</v>
      </c>
      <c r="K307">
        <v>2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1.8526230700088899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1.99827206083003</v>
      </c>
      <c r="U307" s="5">
        <f>IF((ContinuousStatsTable[[#This Row],[RepsRequested]]&gt;1),ContinuousStatsTable[[#This Row],[HalfWidth]],ContinuousStatsTable[[#This Row],[BatchMeansHalfWidth]])</f>
        <v>1.299612064330544E-2</v>
      </c>
    </row>
    <row r="308" spans="1:21" x14ac:dyDescent="0.35">
      <c r="A308" t="s">
        <v>66</v>
      </c>
      <c r="B308" t="s">
        <v>69</v>
      </c>
      <c r="C308">
        <v>28</v>
      </c>
      <c r="D308" t="s">
        <v>91</v>
      </c>
      <c r="E308" t="s">
        <v>90</v>
      </c>
      <c r="F308" t="s">
        <v>88</v>
      </c>
      <c r="G308">
        <v>2</v>
      </c>
      <c r="H308">
        <v>2E+20</v>
      </c>
      <c r="I308">
        <v>2</v>
      </c>
      <c r="J308">
        <v>2</v>
      </c>
      <c r="K308">
        <v>2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2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2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69</v>
      </c>
      <c r="C309">
        <v>28</v>
      </c>
      <c r="D309" t="s">
        <v>83</v>
      </c>
      <c r="E309" t="s">
        <v>84</v>
      </c>
      <c r="F309" t="s">
        <v>72</v>
      </c>
      <c r="G309">
        <v>3.1751193396358102</v>
      </c>
      <c r="H309">
        <v>2E+20</v>
      </c>
      <c r="I309">
        <v>0</v>
      </c>
      <c r="J309">
        <v>5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2.0230576660756401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3.1833377638216702</v>
      </c>
      <c r="U309" s="5">
        <f>IF((ContinuousStatsTable[[#This Row],[RepsRequested]]&gt;1),ContinuousStatsTable[[#This Row],[HalfWidth]],ContinuousStatsTable[[#This Row],[BatchMeansHalfWidth]])</f>
        <v>0.10275597124787904</v>
      </c>
    </row>
    <row r="310" spans="1:21" x14ac:dyDescent="0.35">
      <c r="A310" t="s">
        <v>66</v>
      </c>
      <c r="B310" t="s">
        <v>69</v>
      </c>
      <c r="C310">
        <v>29</v>
      </c>
      <c r="D310" t="s">
        <v>70</v>
      </c>
      <c r="E310" t="s">
        <v>84</v>
      </c>
      <c r="F310" t="s">
        <v>72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69</v>
      </c>
      <c r="C311">
        <v>29</v>
      </c>
      <c r="D311" t="s">
        <v>73</v>
      </c>
      <c r="E311" t="s">
        <v>84</v>
      </c>
      <c r="F311" t="s">
        <v>72</v>
      </c>
      <c r="G311">
        <v>3.7777244460972401</v>
      </c>
      <c r="H311">
        <v>2E+20</v>
      </c>
      <c r="I311">
        <v>0</v>
      </c>
      <c r="J311">
        <v>12</v>
      </c>
      <c r="K311">
        <v>10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0.475935837419309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14.545335118962701</v>
      </c>
      <c r="U311" s="5">
        <f>IF((ContinuousStatsTable[[#This Row],[RepsRequested]]&gt;1),ContinuousStatsTable[[#This Row],[HalfWidth]],ContinuousStatsTable[[#This Row],[BatchMeansHalfWidth]])</f>
        <v>1.1647272989250694</v>
      </c>
    </row>
    <row r="312" spans="1:21" x14ac:dyDescent="0.35">
      <c r="A312" t="s">
        <v>66</v>
      </c>
      <c r="B312" t="s">
        <v>69</v>
      </c>
      <c r="C312">
        <v>29</v>
      </c>
      <c r="D312" t="s">
        <v>74</v>
      </c>
      <c r="E312" t="s">
        <v>85</v>
      </c>
      <c r="F312" t="s">
        <v>76</v>
      </c>
      <c r="G312">
        <v>24.0637861702556</v>
      </c>
      <c r="H312">
        <v>2E+20</v>
      </c>
      <c r="I312">
        <v>0</v>
      </c>
      <c r="J312">
        <v>44</v>
      </c>
      <c r="K312">
        <v>40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16.614335916574898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47.992828685108996</v>
      </c>
      <c r="U312" s="5">
        <f>IF((ContinuousStatsTable[[#This Row],[RepsRequested]]&gt;1),ContinuousStatsTable[[#This Row],[HalfWidth]],ContinuousStatsTable[[#This Row],[BatchMeansHalfWidth]])</f>
        <v>2.6199410784579222</v>
      </c>
    </row>
    <row r="313" spans="1:21" x14ac:dyDescent="0.35">
      <c r="A313" t="s">
        <v>66</v>
      </c>
      <c r="B313" t="s">
        <v>69</v>
      </c>
      <c r="C313">
        <v>29</v>
      </c>
      <c r="D313" t="s">
        <v>86</v>
      </c>
      <c r="E313" t="s">
        <v>87</v>
      </c>
      <c r="F313" t="s">
        <v>88</v>
      </c>
      <c r="G313">
        <v>0.82541686390305702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0.71791407599347101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0.96105910626671998</v>
      </c>
      <c r="U313" s="5">
        <f>IF((ContinuousStatsTable[[#This Row],[RepsRequested]]&gt;1),ContinuousStatsTable[[#This Row],[HalfWidth]],ContinuousStatsTable[[#This Row],[BatchMeansHalfWidth]])</f>
        <v>2.0481590731410954E-2</v>
      </c>
    </row>
    <row r="314" spans="1:21" x14ac:dyDescent="0.35">
      <c r="A314" t="s">
        <v>66</v>
      </c>
      <c r="B314" t="s">
        <v>69</v>
      </c>
      <c r="C314">
        <v>29</v>
      </c>
      <c r="D314" t="s">
        <v>86</v>
      </c>
      <c r="E314" t="s">
        <v>89</v>
      </c>
      <c r="F314" t="s">
        <v>88</v>
      </c>
      <c r="G314">
        <v>8.2541686390305706</v>
      </c>
      <c r="H314">
        <v>2E+20</v>
      </c>
      <c r="I314">
        <v>0</v>
      </c>
      <c r="J314">
        <v>10</v>
      </c>
      <c r="K314">
        <v>10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7.1791407599347101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9.6105910626672006</v>
      </c>
      <c r="U314" s="5">
        <f>IF((ContinuousStatsTable[[#This Row],[RepsRequested]]&gt;1),ContinuousStatsTable[[#This Row],[HalfWidth]],ContinuousStatsTable[[#This Row],[BatchMeansHalfWidth]])</f>
        <v>0.20481590731410945</v>
      </c>
    </row>
    <row r="315" spans="1:21" x14ac:dyDescent="0.35">
      <c r="A315" t="s">
        <v>66</v>
      </c>
      <c r="B315" t="s">
        <v>69</v>
      </c>
      <c r="C315">
        <v>29</v>
      </c>
      <c r="D315" t="s">
        <v>86</v>
      </c>
      <c r="E315" t="s">
        <v>90</v>
      </c>
      <c r="F315" t="s">
        <v>88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69</v>
      </c>
      <c r="C316">
        <v>29</v>
      </c>
      <c r="D316" t="s">
        <v>82</v>
      </c>
      <c r="E316" t="s">
        <v>84</v>
      </c>
      <c r="F316" t="s">
        <v>72</v>
      </c>
      <c r="G316">
        <v>2.5761478057877398</v>
      </c>
      <c r="H316">
        <v>2E+20</v>
      </c>
      <c r="I316">
        <v>0</v>
      </c>
      <c r="J316">
        <v>5</v>
      </c>
      <c r="K316">
        <v>2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2.1426391607582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3.27384557923344</v>
      </c>
      <c r="U316" s="5">
        <f>IF((ContinuousStatsTable[[#This Row],[RepsRequested]]&gt;1),ContinuousStatsTable[[#This Row],[HalfWidth]],ContinuousStatsTable[[#This Row],[BatchMeansHalfWidth]])</f>
        <v>9.1472887832627928E-2</v>
      </c>
    </row>
    <row r="317" spans="1:21" x14ac:dyDescent="0.35">
      <c r="A317" t="s">
        <v>66</v>
      </c>
      <c r="B317" t="s">
        <v>69</v>
      </c>
      <c r="C317">
        <v>29</v>
      </c>
      <c r="D317" t="s">
        <v>91</v>
      </c>
      <c r="E317" t="s">
        <v>87</v>
      </c>
      <c r="F317" t="s">
        <v>88</v>
      </c>
      <c r="G317">
        <v>0.97760852785839103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0.92631153500444496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0.99913603041501298</v>
      </c>
      <c r="U317" s="5">
        <f>IF((ContinuousStatsTable[[#This Row],[RepsRequested]]&gt;1),ContinuousStatsTable[[#This Row],[HalfWidth]],ContinuousStatsTable[[#This Row],[BatchMeansHalfWidth]])</f>
        <v>6.4980603216527278E-3</v>
      </c>
    </row>
    <row r="318" spans="1:21" x14ac:dyDescent="0.35">
      <c r="A318" t="s">
        <v>66</v>
      </c>
      <c r="B318" t="s">
        <v>69</v>
      </c>
      <c r="C318">
        <v>29</v>
      </c>
      <c r="D318" t="s">
        <v>91</v>
      </c>
      <c r="E318" t="s">
        <v>89</v>
      </c>
      <c r="F318" t="s">
        <v>88</v>
      </c>
      <c r="G318">
        <v>1.9552170557167801</v>
      </c>
      <c r="H318">
        <v>2E+20</v>
      </c>
      <c r="I318">
        <v>0</v>
      </c>
      <c r="J318">
        <v>2</v>
      </c>
      <c r="K318">
        <v>2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1.8526230700088899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1.99827206083003</v>
      </c>
      <c r="U318" s="5">
        <f>IF((ContinuousStatsTable[[#This Row],[RepsRequested]]&gt;1),ContinuousStatsTable[[#This Row],[HalfWidth]],ContinuousStatsTable[[#This Row],[BatchMeansHalfWidth]])</f>
        <v>1.299612064330544E-2</v>
      </c>
    </row>
    <row r="319" spans="1:21" x14ac:dyDescent="0.35">
      <c r="A319" t="s">
        <v>66</v>
      </c>
      <c r="B319" t="s">
        <v>69</v>
      </c>
      <c r="C319">
        <v>29</v>
      </c>
      <c r="D319" t="s">
        <v>91</v>
      </c>
      <c r="E319" t="s">
        <v>90</v>
      </c>
      <c r="F319" t="s">
        <v>88</v>
      </c>
      <c r="G319">
        <v>2</v>
      </c>
      <c r="H319">
        <v>2E+20</v>
      </c>
      <c r="I319">
        <v>2</v>
      </c>
      <c r="J319">
        <v>2</v>
      </c>
      <c r="K319">
        <v>2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2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2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2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69</v>
      </c>
      <c r="C320">
        <v>29</v>
      </c>
      <c r="D320" t="s">
        <v>83</v>
      </c>
      <c r="E320" t="s">
        <v>84</v>
      </c>
      <c r="F320" t="s">
        <v>72</v>
      </c>
      <c r="G320">
        <v>2.4978558953635099</v>
      </c>
      <c r="H320">
        <v>2E+20</v>
      </c>
      <c r="I320">
        <v>0</v>
      </c>
      <c r="J320">
        <v>5</v>
      </c>
      <c r="K320">
        <v>4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2.0230576660756401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3.1833377638216702</v>
      </c>
      <c r="U320" s="5">
        <f>IF((ContinuousStatsTable[[#This Row],[RepsRequested]]&gt;1),ContinuousStatsTable[[#This Row],[HalfWidth]],ContinuousStatsTable[[#This Row],[BatchMeansHalfWidth]])</f>
        <v>0.10275597124787904</v>
      </c>
    </row>
    <row r="321" spans="1:21" x14ac:dyDescent="0.35">
      <c r="A321" t="s">
        <v>66</v>
      </c>
      <c r="B321" t="s">
        <v>69</v>
      </c>
      <c r="C321">
        <v>30</v>
      </c>
      <c r="D321" t="s">
        <v>70</v>
      </c>
      <c r="E321" t="s">
        <v>84</v>
      </c>
      <c r="F321" t="s">
        <v>72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69</v>
      </c>
      <c r="C322">
        <v>30</v>
      </c>
      <c r="D322" t="s">
        <v>73</v>
      </c>
      <c r="E322" t="s">
        <v>84</v>
      </c>
      <c r="F322" t="s">
        <v>72</v>
      </c>
      <c r="G322">
        <v>2.2040363487402499</v>
      </c>
      <c r="H322">
        <v>2E+20</v>
      </c>
      <c r="I322">
        <v>0</v>
      </c>
      <c r="J322">
        <v>11</v>
      </c>
      <c r="K322">
        <v>10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0.475935837419309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14.545335118962701</v>
      </c>
      <c r="U322" s="5">
        <f>IF((ContinuousStatsTable[[#This Row],[RepsRequested]]&gt;1),ContinuousStatsTable[[#This Row],[HalfWidth]],ContinuousStatsTable[[#This Row],[BatchMeansHalfWidth]])</f>
        <v>1.1647272989250694</v>
      </c>
    </row>
    <row r="323" spans="1:21" x14ac:dyDescent="0.35">
      <c r="A323" t="s">
        <v>66</v>
      </c>
      <c r="B323" t="s">
        <v>69</v>
      </c>
      <c r="C323">
        <v>30</v>
      </c>
      <c r="D323" t="s">
        <v>74</v>
      </c>
      <c r="E323" t="s">
        <v>85</v>
      </c>
      <c r="F323" t="s">
        <v>76</v>
      </c>
      <c r="G323">
        <v>19.421015999464199</v>
      </c>
      <c r="H323">
        <v>2E+20</v>
      </c>
      <c r="I323">
        <v>0</v>
      </c>
      <c r="J323">
        <v>42</v>
      </c>
      <c r="K323">
        <v>40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16.614335916574898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47.992828685108996</v>
      </c>
      <c r="U323" s="5">
        <f>IF((ContinuousStatsTable[[#This Row],[RepsRequested]]&gt;1),ContinuousStatsTable[[#This Row],[HalfWidth]],ContinuousStatsTable[[#This Row],[BatchMeansHalfWidth]])</f>
        <v>2.6199410784579222</v>
      </c>
    </row>
    <row r="324" spans="1:21" x14ac:dyDescent="0.35">
      <c r="A324" t="s">
        <v>66</v>
      </c>
      <c r="B324" t="s">
        <v>69</v>
      </c>
      <c r="C324">
        <v>30</v>
      </c>
      <c r="D324" t="s">
        <v>86</v>
      </c>
      <c r="E324" t="s">
        <v>87</v>
      </c>
      <c r="F324" t="s">
        <v>88</v>
      </c>
      <c r="G324">
        <v>0.75064716509918505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0.71791407599347101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0.96105910626671998</v>
      </c>
      <c r="U324" s="5">
        <f>IF((ContinuousStatsTable[[#This Row],[RepsRequested]]&gt;1),ContinuousStatsTable[[#This Row],[HalfWidth]],ContinuousStatsTable[[#This Row],[BatchMeansHalfWidth]])</f>
        <v>2.0481590731410954E-2</v>
      </c>
    </row>
    <row r="325" spans="1:21" x14ac:dyDescent="0.35">
      <c r="A325" t="s">
        <v>66</v>
      </c>
      <c r="B325" t="s">
        <v>69</v>
      </c>
      <c r="C325">
        <v>30</v>
      </c>
      <c r="D325" t="s">
        <v>86</v>
      </c>
      <c r="E325" t="s">
        <v>89</v>
      </c>
      <c r="F325" t="s">
        <v>88</v>
      </c>
      <c r="G325">
        <v>7.5064716509918501</v>
      </c>
      <c r="H325">
        <v>2E+20</v>
      </c>
      <c r="I325">
        <v>0</v>
      </c>
      <c r="J325">
        <v>10</v>
      </c>
      <c r="K325">
        <v>10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7.1791407599347101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9.6105910626672006</v>
      </c>
      <c r="U325" s="5">
        <f>IF((ContinuousStatsTable[[#This Row],[RepsRequested]]&gt;1),ContinuousStatsTable[[#This Row],[HalfWidth]],ContinuousStatsTable[[#This Row],[BatchMeansHalfWidth]])</f>
        <v>0.20481590731410945</v>
      </c>
    </row>
    <row r="326" spans="1:21" x14ac:dyDescent="0.35">
      <c r="A326" t="s">
        <v>66</v>
      </c>
      <c r="B326" t="s">
        <v>69</v>
      </c>
      <c r="C326">
        <v>30</v>
      </c>
      <c r="D326" t="s">
        <v>86</v>
      </c>
      <c r="E326" t="s">
        <v>90</v>
      </c>
      <c r="F326" t="s">
        <v>88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69</v>
      </c>
      <c r="C327">
        <v>30</v>
      </c>
      <c r="D327" t="s">
        <v>82</v>
      </c>
      <c r="E327" t="s">
        <v>84</v>
      </c>
      <c r="F327" t="s">
        <v>72</v>
      </c>
      <c r="G327">
        <v>2.2880086346224</v>
      </c>
      <c r="H327">
        <v>2E+20</v>
      </c>
      <c r="I327">
        <v>0</v>
      </c>
      <c r="J327">
        <v>5</v>
      </c>
      <c r="K327">
        <v>4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2.1426391607582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3.27384557923344</v>
      </c>
      <c r="U327" s="5">
        <f>IF((ContinuousStatsTable[[#This Row],[RepsRequested]]&gt;1),ContinuousStatsTable[[#This Row],[HalfWidth]],ContinuousStatsTable[[#This Row],[BatchMeansHalfWidth]])</f>
        <v>9.1472887832627928E-2</v>
      </c>
    </row>
    <row r="328" spans="1:21" x14ac:dyDescent="0.35">
      <c r="A328" t="s">
        <v>66</v>
      </c>
      <c r="B328" t="s">
        <v>69</v>
      </c>
      <c r="C328">
        <v>30</v>
      </c>
      <c r="D328" t="s">
        <v>91</v>
      </c>
      <c r="E328" t="s">
        <v>87</v>
      </c>
      <c r="F328" t="s">
        <v>88</v>
      </c>
      <c r="G328">
        <v>0.94318211371172</v>
      </c>
      <c r="H328">
        <v>2E+20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0.92631153500444496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0.99913603041501298</v>
      </c>
      <c r="U328" s="5">
        <f>IF((ContinuousStatsTable[[#This Row],[RepsRequested]]&gt;1),ContinuousStatsTable[[#This Row],[HalfWidth]],ContinuousStatsTable[[#This Row],[BatchMeansHalfWidth]])</f>
        <v>6.4980603216527278E-3</v>
      </c>
    </row>
    <row r="329" spans="1:21" x14ac:dyDescent="0.35">
      <c r="A329" t="s">
        <v>66</v>
      </c>
      <c r="B329" t="s">
        <v>69</v>
      </c>
      <c r="C329">
        <v>30</v>
      </c>
      <c r="D329" t="s">
        <v>91</v>
      </c>
      <c r="E329" t="s">
        <v>89</v>
      </c>
      <c r="F329" t="s">
        <v>88</v>
      </c>
      <c r="G329">
        <v>1.88636422742344</v>
      </c>
      <c r="H329">
        <v>2E+20</v>
      </c>
      <c r="I329">
        <v>0</v>
      </c>
      <c r="J329">
        <v>2</v>
      </c>
      <c r="K329">
        <v>2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1.8526230700088899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1.99827206083003</v>
      </c>
      <c r="U329" s="5">
        <f>IF((ContinuousStatsTable[[#This Row],[RepsRequested]]&gt;1),ContinuousStatsTable[[#This Row],[HalfWidth]],ContinuousStatsTable[[#This Row],[BatchMeansHalfWidth]])</f>
        <v>1.299612064330544E-2</v>
      </c>
    </row>
    <row r="330" spans="1:21" x14ac:dyDescent="0.35">
      <c r="A330" t="s">
        <v>66</v>
      </c>
      <c r="B330" t="s">
        <v>69</v>
      </c>
      <c r="C330">
        <v>30</v>
      </c>
      <c r="D330" t="s">
        <v>91</v>
      </c>
      <c r="E330" t="s">
        <v>90</v>
      </c>
      <c r="F330" t="s">
        <v>88</v>
      </c>
      <c r="G330">
        <v>2</v>
      </c>
      <c r="H330">
        <v>2E+20</v>
      </c>
      <c r="I330">
        <v>2</v>
      </c>
      <c r="J330">
        <v>2</v>
      </c>
      <c r="K330">
        <v>2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2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2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2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69</v>
      </c>
      <c r="C331">
        <v>30</v>
      </c>
      <c r="D331" t="s">
        <v>83</v>
      </c>
      <c r="E331" t="s">
        <v>84</v>
      </c>
      <c r="F331" t="s">
        <v>72</v>
      </c>
      <c r="G331">
        <v>2.1749918330962799</v>
      </c>
      <c r="H331">
        <v>2E+20</v>
      </c>
      <c r="I331">
        <v>0</v>
      </c>
      <c r="J331">
        <v>5</v>
      </c>
      <c r="K331">
        <v>3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2.0230576660756401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3.1833377638216702</v>
      </c>
      <c r="U331" s="5">
        <f>IF((ContinuousStatsTable[[#This Row],[RepsRequested]]&gt;1),ContinuousStatsTable[[#This Row],[HalfWidth]],ContinuousStatsTable[[#This Row],[BatchMeansHalfWidth]])</f>
        <v>0.10275597124787904</v>
      </c>
    </row>
    <row r="332" spans="1:21" x14ac:dyDescent="0.35">
      <c r="A332" t="s">
        <v>66</v>
      </c>
      <c r="B332" t="s">
        <v>69</v>
      </c>
      <c r="C332">
        <v>31</v>
      </c>
      <c r="D332" t="s">
        <v>70</v>
      </c>
      <c r="E332" t="s">
        <v>84</v>
      </c>
      <c r="F332" t="s">
        <v>72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69</v>
      </c>
      <c r="C333">
        <v>31</v>
      </c>
      <c r="D333" t="s">
        <v>73</v>
      </c>
      <c r="E333" t="s">
        <v>84</v>
      </c>
      <c r="F333" t="s">
        <v>72</v>
      </c>
      <c r="G333">
        <v>1.1945115493077301</v>
      </c>
      <c r="H333">
        <v>2E+20</v>
      </c>
      <c r="I333">
        <v>0</v>
      </c>
      <c r="J333">
        <v>8</v>
      </c>
      <c r="K333">
        <v>8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0.475935837419309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14.545335118962701</v>
      </c>
      <c r="U333" s="5">
        <f>IF((ContinuousStatsTable[[#This Row],[RepsRequested]]&gt;1),ContinuousStatsTable[[#This Row],[HalfWidth]],ContinuousStatsTable[[#This Row],[BatchMeansHalfWidth]])</f>
        <v>1.1647272989250694</v>
      </c>
    </row>
    <row r="334" spans="1:21" x14ac:dyDescent="0.35">
      <c r="A334" t="s">
        <v>66</v>
      </c>
      <c r="B334" t="s">
        <v>69</v>
      </c>
      <c r="C334">
        <v>31</v>
      </c>
      <c r="D334" t="s">
        <v>74</v>
      </c>
      <c r="E334" t="s">
        <v>85</v>
      </c>
      <c r="F334" t="s">
        <v>76</v>
      </c>
      <c r="G334">
        <v>16.7473046184849</v>
      </c>
      <c r="H334">
        <v>2E+20</v>
      </c>
      <c r="I334">
        <v>0</v>
      </c>
      <c r="J334">
        <v>37</v>
      </c>
      <c r="K334">
        <v>36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16.614335916574898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47.992828685108996</v>
      </c>
      <c r="U334" s="5">
        <f>IF((ContinuousStatsTable[[#This Row],[RepsRequested]]&gt;1),ContinuousStatsTable[[#This Row],[HalfWidth]],ContinuousStatsTable[[#This Row],[BatchMeansHalfWidth]])</f>
        <v>2.6199410784579222</v>
      </c>
    </row>
    <row r="335" spans="1:21" x14ac:dyDescent="0.35">
      <c r="A335" t="s">
        <v>66</v>
      </c>
      <c r="B335" t="s">
        <v>69</v>
      </c>
      <c r="C335">
        <v>31</v>
      </c>
      <c r="D335" t="s">
        <v>86</v>
      </c>
      <c r="E335" t="s">
        <v>87</v>
      </c>
      <c r="F335" t="s">
        <v>88</v>
      </c>
      <c r="G335">
        <v>0.71791407599347101</v>
      </c>
      <c r="H335">
        <v>2E+20</v>
      </c>
      <c r="I335">
        <v>0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0.71791407599347101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0.96105910626671998</v>
      </c>
      <c r="U335" s="5">
        <f>IF((ContinuousStatsTable[[#This Row],[RepsRequested]]&gt;1),ContinuousStatsTable[[#This Row],[HalfWidth]],ContinuousStatsTable[[#This Row],[BatchMeansHalfWidth]])</f>
        <v>2.0481590731410954E-2</v>
      </c>
    </row>
    <row r="336" spans="1:21" x14ac:dyDescent="0.35">
      <c r="A336" t="s">
        <v>66</v>
      </c>
      <c r="B336" t="s">
        <v>69</v>
      </c>
      <c r="C336">
        <v>31</v>
      </c>
      <c r="D336" t="s">
        <v>86</v>
      </c>
      <c r="E336" t="s">
        <v>89</v>
      </c>
      <c r="F336" t="s">
        <v>88</v>
      </c>
      <c r="G336">
        <v>7.1791407599347101</v>
      </c>
      <c r="H336">
        <v>2E+20</v>
      </c>
      <c r="I336">
        <v>0</v>
      </c>
      <c r="J336">
        <v>10</v>
      </c>
      <c r="K336">
        <v>10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7.1791407599347101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9.6105910626672006</v>
      </c>
      <c r="U336" s="5">
        <f>IF((ContinuousStatsTable[[#This Row],[RepsRequested]]&gt;1),ContinuousStatsTable[[#This Row],[HalfWidth]],ContinuousStatsTable[[#This Row],[BatchMeansHalfWidth]])</f>
        <v>0.20481590731410945</v>
      </c>
    </row>
    <row r="337" spans="1:21" x14ac:dyDescent="0.35">
      <c r="A337" t="s">
        <v>66</v>
      </c>
      <c r="B337" t="s">
        <v>69</v>
      </c>
      <c r="C337">
        <v>31</v>
      </c>
      <c r="D337" t="s">
        <v>86</v>
      </c>
      <c r="E337" t="s">
        <v>90</v>
      </c>
      <c r="F337" t="s">
        <v>88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69</v>
      </c>
      <c r="C338">
        <v>31</v>
      </c>
      <c r="D338" t="s">
        <v>82</v>
      </c>
      <c r="E338" t="s">
        <v>84</v>
      </c>
      <c r="F338" t="s">
        <v>72</v>
      </c>
      <c r="G338">
        <v>2.1426391607582</v>
      </c>
      <c r="H338">
        <v>2E+20</v>
      </c>
      <c r="I338">
        <v>0</v>
      </c>
      <c r="J338">
        <v>5</v>
      </c>
      <c r="K338">
        <v>3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2.1426391607582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3.27384557923344</v>
      </c>
      <c r="U338" s="5">
        <f>IF((ContinuousStatsTable[[#This Row],[RepsRequested]]&gt;1),ContinuousStatsTable[[#This Row],[HalfWidth]],ContinuousStatsTable[[#This Row],[BatchMeansHalfWidth]])</f>
        <v>9.1472887832627928E-2</v>
      </c>
    </row>
    <row r="339" spans="1:21" x14ac:dyDescent="0.35">
      <c r="A339" t="s">
        <v>66</v>
      </c>
      <c r="B339" t="s">
        <v>69</v>
      </c>
      <c r="C339">
        <v>31</v>
      </c>
      <c r="D339" t="s">
        <v>91</v>
      </c>
      <c r="E339" t="s">
        <v>87</v>
      </c>
      <c r="F339" t="s">
        <v>88</v>
      </c>
      <c r="G339">
        <v>0.93655310707875095</v>
      </c>
      <c r="H339">
        <v>2E+20</v>
      </c>
      <c r="I339">
        <v>0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0.92631153500444496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0.99913603041501298</v>
      </c>
      <c r="U339" s="5">
        <f>IF((ContinuousStatsTable[[#This Row],[RepsRequested]]&gt;1),ContinuousStatsTable[[#This Row],[HalfWidth]],ContinuousStatsTable[[#This Row],[BatchMeansHalfWidth]])</f>
        <v>6.4980603216527278E-3</v>
      </c>
    </row>
    <row r="340" spans="1:21" x14ac:dyDescent="0.35">
      <c r="A340" t="s">
        <v>66</v>
      </c>
      <c r="B340" t="s">
        <v>69</v>
      </c>
      <c r="C340">
        <v>31</v>
      </c>
      <c r="D340" t="s">
        <v>91</v>
      </c>
      <c r="E340" t="s">
        <v>89</v>
      </c>
      <c r="F340" t="s">
        <v>88</v>
      </c>
      <c r="G340">
        <v>1.8731062141574999</v>
      </c>
      <c r="H340">
        <v>2E+20</v>
      </c>
      <c r="I340">
        <v>0</v>
      </c>
      <c r="J340">
        <v>2</v>
      </c>
      <c r="K340">
        <v>2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1.8526230700088899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1.99827206083003</v>
      </c>
      <c r="U340" s="5">
        <f>IF((ContinuousStatsTable[[#This Row],[RepsRequested]]&gt;1),ContinuousStatsTable[[#This Row],[HalfWidth]],ContinuousStatsTable[[#This Row],[BatchMeansHalfWidth]])</f>
        <v>1.299612064330544E-2</v>
      </c>
    </row>
    <row r="341" spans="1:21" x14ac:dyDescent="0.35">
      <c r="A341" t="s">
        <v>66</v>
      </c>
      <c r="B341" t="s">
        <v>69</v>
      </c>
      <c r="C341">
        <v>31</v>
      </c>
      <c r="D341" t="s">
        <v>91</v>
      </c>
      <c r="E341" t="s">
        <v>90</v>
      </c>
      <c r="F341" t="s">
        <v>88</v>
      </c>
      <c r="G341">
        <v>2</v>
      </c>
      <c r="H341">
        <v>2E+20</v>
      </c>
      <c r="I341">
        <v>2</v>
      </c>
      <c r="J341">
        <v>2</v>
      </c>
      <c r="K341">
        <v>2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2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69</v>
      </c>
      <c r="C342">
        <v>31</v>
      </c>
      <c r="D342" t="s">
        <v>83</v>
      </c>
      <c r="E342" t="s">
        <v>84</v>
      </c>
      <c r="F342" t="s">
        <v>72</v>
      </c>
      <c r="G342">
        <v>2.0230576660756401</v>
      </c>
      <c r="H342">
        <v>2E+20</v>
      </c>
      <c r="I342">
        <v>0</v>
      </c>
      <c r="J342">
        <v>5</v>
      </c>
      <c r="K342">
        <v>4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2.0230576660756401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3.1833377638216702</v>
      </c>
      <c r="U342" s="5">
        <f>IF((ContinuousStatsTable[[#This Row],[RepsRequested]]&gt;1),ContinuousStatsTable[[#This Row],[HalfWidth]],ContinuousStatsTable[[#This Row],[BatchMeansHalfWidth]])</f>
        <v>0.10275597124787904</v>
      </c>
    </row>
    <row r="343" spans="1:21" x14ac:dyDescent="0.35">
      <c r="A343" t="s">
        <v>66</v>
      </c>
      <c r="B343" t="s">
        <v>69</v>
      </c>
      <c r="C343">
        <v>32</v>
      </c>
      <c r="D343" t="s">
        <v>70</v>
      </c>
      <c r="E343" t="s">
        <v>84</v>
      </c>
      <c r="F343" t="s">
        <v>72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69</v>
      </c>
      <c r="C344">
        <v>32</v>
      </c>
      <c r="D344" t="s">
        <v>73</v>
      </c>
      <c r="E344" t="s">
        <v>84</v>
      </c>
      <c r="F344" t="s">
        <v>72</v>
      </c>
      <c r="G344">
        <v>10.829737903596101</v>
      </c>
      <c r="H344">
        <v>2E+20</v>
      </c>
      <c r="I344">
        <v>0</v>
      </c>
      <c r="J344">
        <v>26</v>
      </c>
      <c r="K344">
        <v>25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0.475935837419309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14.545335118962701</v>
      </c>
      <c r="U344" s="5">
        <f>IF((ContinuousStatsTable[[#This Row],[RepsRequested]]&gt;1),ContinuousStatsTable[[#This Row],[HalfWidth]],ContinuousStatsTable[[#This Row],[BatchMeansHalfWidth]])</f>
        <v>1.1647272989250694</v>
      </c>
    </row>
    <row r="345" spans="1:21" x14ac:dyDescent="0.35">
      <c r="A345" t="s">
        <v>66</v>
      </c>
      <c r="B345" t="s">
        <v>69</v>
      </c>
      <c r="C345">
        <v>32</v>
      </c>
      <c r="D345" t="s">
        <v>74</v>
      </c>
      <c r="E345" t="s">
        <v>85</v>
      </c>
      <c r="F345" t="s">
        <v>76</v>
      </c>
      <c r="G345">
        <v>39.334083578667702</v>
      </c>
      <c r="H345">
        <v>2E+20</v>
      </c>
      <c r="I345">
        <v>0</v>
      </c>
      <c r="J345">
        <v>73</v>
      </c>
      <c r="K345">
        <v>70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16.614335916574898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47.992828685108996</v>
      </c>
      <c r="U345" s="5">
        <f>IF((ContinuousStatsTable[[#This Row],[RepsRequested]]&gt;1),ContinuousStatsTable[[#This Row],[HalfWidth]],ContinuousStatsTable[[#This Row],[BatchMeansHalfWidth]])</f>
        <v>2.6199410784579222</v>
      </c>
    </row>
    <row r="346" spans="1:21" x14ac:dyDescent="0.35">
      <c r="A346" t="s">
        <v>66</v>
      </c>
      <c r="B346" t="s">
        <v>69</v>
      </c>
      <c r="C346">
        <v>32</v>
      </c>
      <c r="D346" t="s">
        <v>86</v>
      </c>
      <c r="E346" t="s">
        <v>87</v>
      </c>
      <c r="F346" t="s">
        <v>88</v>
      </c>
      <c r="G346">
        <v>0.88373038857377595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0.71791407599347101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0.96105910626671998</v>
      </c>
      <c r="U346" s="5">
        <f>IF((ContinuousStatsTable[[#This Row],[RepsRequested]]&gt;1),ContinuousStatsTable[[#This Row],[HalfWidth]],ContinuousStatsTable[[#This Row],[BatchMeansHalfWidth]])</f>
        <v>2.0481590731410954E-2</v>
      </c>
    </row>
    <row r="347" spans="1:21" x14ac:dyDescent="0.35">
      <c r="A347" t="s">
        <v>66</v>
      </c>
      <c r="B347" t="s">
        <v>69</v>
      </c>
      <c r="C347">
        <v>32</v>
      </c>
      <c r="D347" t="s">
        <v>86</v>
      </c>
      <c r="E347" t="s">
        <v>89</v>
      </c>
      <c r="F347" t="s">
        <v>88</v>
      </c>
      <c r="G347">
        <v>8.8373038857377608</v>
      </c>
      <c r="H347">
        <v>2E+20</v>
      </c>
      <c r="I347">
        <v>0</v>
      </c>
      <c r="J347">
        <v>10</v>
      </c>
      <c r="K347">
        <v>10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7.1791407599347101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9.6105910626672006</v>
      </c>
      <c r="U347" s="5">
        <f>IF((ContinuousStatsTable[[#This Row],[RepsRequested]]&gt;1),ContinuousStatsTable[[#This Row],[HalfWidth]],ContinuousStatsTable[[#This Row],[BatchMeansHalfWidth]])</f>
        <v>0.20481590731410945</v>
      </c>
    </row>
    <row r="348" spans="1:21" x14ac:dyDescent="0.35">
      <c r="A348" t="s">
        <v>66</v>
      </c>
      <c r="B348" t="s">
        <v>69</v>
      </c>
      <c r="C348">
        <v>32</v>
      </c>
      <c r="D348" t="s">
        <v>86</v>
      </c>
      <c r="E348" t="s">
        <v>90</v>
      </c>
      <c r="F348" t="s">
        <v>88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69</v>
      </c>
      <c r="C349">
        <v>32</v>
      </c>
      <c r="D349" t="s">
        <v>82</v>
      </c>
      <c r="E349" t="s">
        <v>84</v>
      </c>
      <c r="F349" t="s">
        <v>72</v>
      </c>
      <c r="G349">
        <v>2.9950928176137199</v>
      </c>
      <c r="H349">
        <v>2E+20</v>
      </c>
      <c r="I349">
        <v>0</v>
      </c>
      <c r="J349">
        <v>4</v>
      </c>
      <c r="K349">
        <v>3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2.1426391607582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3.27384557923344</v>
      </c>
      <c r="U349" s="5">
        <f>IF((ContinuousStatsTable[[#This Row],[RepsRequested]]&gt;1),ContinuousStatsTable[[#This Row],[HalfWidth]],ContinuousStatsTable[[#This Row],[BatchMeansHalfWidth]])</f>
        <v>9.1472887832627928E-2</v>
      </c>
    </row>
    <row r="350" spans="1:21" x14ac:dyDescent="0.35">
      <c r="A350" t="s">
        <v>66</v>
      </c>
      <c r="B350" t="s">
        <v>69</v>
      </c>
      <c r="C350">
        <v>32</v>
      </c>
      <c r="D350" t="s">
        <v>91</v>
      </c>
      <c r="E350" t="s">
        <v>87</v>
      </c>
      <c r="F350" t="s">
        <v>88</v>
      </c>
      <c r="G350">
        <v>0.94089492450732604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0.92631153500444496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0.99913603041501298</v>
      </c>
      <c r="U350" s="5">
        <f>IF((ContinuousStatsTable[[#This Row],[RepsRequested]]&gt;1),ContinuousStatsTable[[#This Row],[HalfWidth]],ContinuousStatsTable[[#This Row],[BatchMeansHalfWidth]])</f>
        <v>6.4980603216527278E-3</v>
      </c>
    </row>
    <row r="351" spans="1:21" x14ac:dyDescent="0.35">
      <c r="A351" t="s">
        <v>66</v>
      </c>
      <c r="B351" t="s">
        <v>69</v>
      </c>
      <c r="C351">
        <v>32</v>
      </c>
      <c r="D351" t="s">
        <v>91</v>
      </c>
      <c r="E351" t="s">
        <v>89</v>
      </c>
      <c r="F351" t="s">
        <v>88</v>
      </c>
      <c r="G351">
        <v>1.8817898490146501</v>
      </c>
      <c r="H351">
        <v>2E+20</v>
      </c>
      <c r="I351">
        <v>0</v>
      </c>
      <c r="J351">
        <v>2</v>
      </c>
      <c r="K351">
        <v>2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1.8526230700088899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1.99827206083003</v>
      </c>
      <c r="U351" s="5">
        <f>IF((ContinuousStatsTable[[#This Row],[RepsRequested]]&gt;1),ContinuousStatsTable[[#This Row],[HalfWidth]],ContinuousStatsTable[[#This Row],[BatchMeansHalfWidth]])</f>
        <v>1.299612064330544E-2</v>
      </c>
    </row>
    <row r="352" spans="1:21" x14ac:dyDescent="0.35">
      <c r="A352" t="s">
        <v>66</v>
      </c>
      <c r="B352" t="s">
        <v>69</v>
      </c>
      <c r="C352">
        <v>32</v>
      </c>
      <c r="D352" t="s">
        <v>91</v>
      </c>
      <c r="E352" t="s">
        <v>90</v>
      </c>
      <c r="F352" t="s">
        <v>88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69</v>
      </c>
      <c r="C353">
        <v>32</v>
      </c>
      <c r="D353" t="s">
        <v>83</v>
      </c>
      <c r="E353" t="s">
        <v>84</v>
      </c>
      <c r="F353" t="s">
        <v>72</v>
      </c>
      <c r="G353">
        <v>2.81798290893494</v>
      </c>
      <c r="H353">
        <v>2E+20</v>
      </c>
      <c r="I353">
        <v>0</v>
      </c>
      <c r="J353">
        <v>5</v>
      </c>
      <c r="K353">
        <v>3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2.0230576660756401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3.1833377638216702</v>
      </c>
      <c r="U353" s="5">
        <f>IF((ContinuousStatsTable[[#This Row],[RepsRequested]]&gt;1),ContinuousStatsTable[[#This Row],[HalfWidth]],ContinuousStatsTable[[#This Row],[BatchMeansHalfWidth]])</f>
        <v>0.10275597124787904</v>
      </c>
    </row>
    <row r="354" spans="1:21" x14ac:dyDescent="0.35">
      <c r="A354" t="s">
        <v>66</v>
      </c>
      <c r="B354" t="s">
        <v>69</v>
      </c>
      <c r="C354">
        <v>33</v>
      </c>
      <c r="D354" t="s">
        <v>70</v>
      </c>
      <c r="E354" t="s">
        <v>84</v>
      </c>
      <c r="F354" t="s">
        <v>72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69</v>
      </c>
      <c r="C355">
        <v>33</v>
      </c>
      <c r="D355" t="s">
        <v>73</v>
      </c>
      <c r="E355" t="s">
        <v>84</v>
      </c>
      <c r="F355" t="s">
        <v>72</v>
      </c>
      <c r="G355">
        <v>4.53064197917928</v>
      </c>
      <c r="H355">
        <v>2E+20</v>
      </c>
      <c r="I355">
        <v>0</v>
      </c>
      <c r="J355">
        <v>15</v>
      </c>
      <c r="K355">
        <v>14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0.475935837419309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14.545335118962701</v>
      </c>
      <c r="U355" s="5">
        <f>IF((ContinuousStatsTable[[#This Row],[RepsRequested]]&gt;1),ContinuousStatsTable[[#This Row],[HalfWidth]],ContinuousStatsTable[[#This Row],[BatchMeansHalfWidth]])</f>
        <v>1.1647272989250694</v>
      </c>
    </row>
    <row r="356" spans="1:21" x14ac:dyDescent="0.35">
      <c r="A356" t="s">
        <v>66</v>
      </c>
      <c r="B356" t="s">
        <v>69</v>
      </c>
      <c r="C356">
        <v>33</v>
      </c>
      <c r="D356" t="s">
        <v>74</v>
      </c>
      <c r="E356" t="s">
        <v>85</v>
      </c>
      <c r="F356" t="s">
        <v>76</v>
      </c>
      <c r="G356">
        <v>28.255869736153201</v>
      </c>
      <c r="H356">
        <v>2E+20</v>
      </c>
      <c r="I356">
        <v>0</v>
      </c>
      <c r="J356">
        <v>50</v>
      </c>
      <c r="K356">
        <v>48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16.614335916574898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47.992828685108996</v>
      </c>
      <c r="U356" s="5">
        <f>IF((ContinuousStatsTable[[#This Row],[RepsRequested]]&gt;1),ContinuousStatsTable[[#This Row],[HalfWidth]],ContinuousStatsTable[[#This Row],[BatchMeansHalfWidth]])</f>
        <v>2.6199410784579222</v>
      </c>
    </row>
    <row r="357" spans="1:21" x14ac:dyDescent="0.35">
      <c r="A357" t="s">
        <v>66</v>
      </c>
      <c r="B357" t="s">
        <v>69</v>
      </c>
      <c r="C357">
        <v>33</v>
      </c>
      <c r="D357" t="s">
        <v>86</v>
      </c>
      <c r="E357" t="s">
        <v>87</v>
      </c>
      <c r="F357" t="s">
        <v>88</v>
      </c>
      <c r="G357">
        <v>0.95972928888973097</v>
      </c>
      <c r="H357">
        <v>2E+20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0.71791407599347101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0.96105910626671998</v>
      </c>
      <c r="U357" s="5">
        <f>IF((ContinuousStatsTable[[#This Row],[RepsRequested]]&gt;1),ContinuousStatsTable[[#This Row],[HalfWidth]],ContinuousStatsTable[[#This Row],[BatchMeansHalfWidth]])</f>
        <v>2.0481590731410954E-2</v>
      </c>
    </row>
    <row r="358" spans="1:21" x14ac:dyDescent="0.35">
      <c r="A358" t="s">
        <v>66</v>
      </c>
      <c r="B358" t="s">
        <v>69</v>
      </c>
      <c r="C358">
        <v>33</v>
      </c>
      <c r="D358" t="s">
        <v>86</v>
      </c>
      <c r="E358" t="s">
        <v>89</v>
      </c>
      <c r="F358" t="s">
        <v>88</v>
      </c>
      <c r="G358">
        <v>9.5972928888973108</v>
      </c>
      <c r="H358">
        <v>2E+20</v>
      </c>
      <c r="I358">
        <v>0</v>
      </c>
      <c r="J358">
        <v>10</v>
      </c>
      <c r="K358">
        <v>10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7.1791407599347101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9.6105910626672006</v>
      </c>
      <c r="U358" s="5">
        <f>IF((ContinuousStatsTable[[#This Row],[RepsRequested]]&gt;1),ContinuousStatsTable[[#This Row],[HalfWidth]],ContinuousStatsTable[[#This Row],[BatchMeansHalfWidth]])</f>
        <v>0.20481590731410945</v>
      </c>
    </row>
    <row r="359" spans="1:21" x14ac:dyDescent="0.35">
      <c r="A359" t="s">
        <v>66</v>
      </c>
      <c r="B359" t="s">
        <v>69</v>
      </c>
      <c r="C359">
        <v>33</v>
      </c>
      <c r="D359" t="s">
        <v>86</v>
      </c>
      <c r="E359" t="s">
        <v>90</v>
      </c>
      <c r="F359" t="s">
        <v>88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69</v>
      </c>
      <c r="C360">
        <v>33</v>
      </c>
      <c r="D360" t="s">
        <v>82</v>
      </c>
      <c r="E360" t="s">
        <v>84</v>
      </c>
      <c r="F360" t="s">
        <v>72</v>
      </c>
      <c r="G360">
        <v>3.27384557923344</v>
      </c>
      <c r="H360">
        <v>2E+20</v>
      </c>
      <c r="I360">
        <v>0</v>
      </c>
      <c r="J360">
        <v>6</v>
      </c>
      <c r="K360">
        <v>4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2.1426391607582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3.27384557923344</v>
      </c>
      <c r="U360" s="5">
        <f>IF((ContinuousStatsTable[[#This Row],[RepsRequested]]&gt;1),ContinuousStatsTable[[#This Row],[HalfWidth]],ContinuousStatsTable[[#This Row],[BatchMeansHalfWidth]])</f>
        <v>9.1472887832627928E-2</v>
      </c>
    </row>
    <row r="361" spans="1:21" x14ac:dyDescent="0.35">
      <c r="A361" t="s">
        <v>66</v>
      </c>
      <c r="B361" t="s">
        <v>69</v>
      </c>
      <c r="C361">
        <v>33</v>
      </c>
      <c r="D361" t="s">
        <v>91</v>
      </c>
      <c r="E361" t="s">
        <v>87</v>
      </c>
      <c r="F361" t="s">
        <v>88</v>
      </c>
      <c r="G361">
        <v>0.99597963781204601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0.92631153500444496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0.99913603041501298</v>
      </c>
      <c r="U361" s="5">
        <f>IF((ContinuousStatsTable[[#This Row],[RepsRequested]]&gt;1),ContinuousStatsTable[[#This Row],[HalfWidth]],ContinuousStatsTable[[#This Row],[BatchMeansHalfWidth]])</f>
        <v>6.4980603216527278E-3</v>
      </c>
    </row>
    <row r="362" spans="1:21" x14ac:dyDescent="0.35">
      <c r="A362" t="s">
        <v>66</v>
      </c>
      <c r="B362" t="s">
        <v>69</v>
      </c>
      <c r="C362">
        <v>33</v>
      </c>
      <c r="D362" t="s">
        <v>91</v>
      </c>
      <c r="E362" t="s">
        <v>89</v>
      </c>
      <c r="F362" t="s">
        <v>88</v>
      </c>
      <c r="G362">
        <v>1.99195927562409</v>
      </c>
      <c r="H362">
        <v>2E+20</v>
      </c>
      <c r="I362">
        <v>0</v>
      </c>
      <c r="J362">
        <v>2</v>
      </c>
      <c r="K362">
        <v>2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1.8526230700088899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1.99827206083003</v>
      </c>
      <c r="U362" s="5">
        <f>IF((ContinuousStatsTable[[#This Row],[RepsRequested]]&gt;1),ContinuousStatsTable[[#This Row],[HalfWidth]],ContinuousStatsTable[[#This Row],[BatchMeansHalfWidth]])</f>
        <v>1.299612064330544E-2</v>
      </c>
    </row>
    <row r="363" spans="1:21" x14ac:dyDescent="0.35">
      <c r="A363" t="s">
        <v>66</v>
      </c>
      <c r="B363" t="s">
        <v>69</v>
      </c>
      <c r="C363">
        <v>33</v>
      </c>
      <c r="D363" t="s">
        <v>91</v>
      </c>
      <c r="E363" t="s">
        <v>90</v>
      </c>
      <c r="F363" t="s">
        <v>88</v>
      </c>
      <c r="G363">
        <v>2</v>
      </c>
      <c r="H363">
        <v>2E+20</v>
      </c>
      <c r="I363">
        <v>2</v>
      </c>
      <c r="J363">
        <v>2</v>
      </c>
      <c r="K363">
        <v>2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2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2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2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69</v>
      </c>
      <c r="C364">
        <v>33</v>
      </c>
      <c r="D364" t="s">
        <v>83</v>
      </c>
      <c r="E364" t="s">
        <v>84</v>
      </c>
      <c r="F364" t="s">
        <v>72</v>
      </c>
      <c r="G364">
        <v>3.1321826707254301</v>
      </c>
      <c r="H364">
        <v>2E+20</v>
      </c>
      <c r="I364">
        <v>0</v>
      </c>
      <c r="J364">
        <v>6</v>
      </c>
      <c r="K364">
        <v>3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2.0230576660756401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3.1833377638216702</v>
      </c>
      <c r="U364" s="5">
        <f>IF((ContinuousStatsTable[[#This Row],[RepsRequested]]&gt;1),ContinuousStatsTable[[#This Row],[HalfWidth]],ContinuousStatsTable[[#This Row],[BatchMeansHalfWidth]])</f>
        <v>0.10275597124787904</v>
      </c>
    </row>
    <row r="365" spans="1:21" x14ac:dyDescent="0.35">
      <c r="A365" t="s">
        <v>66</v>
      </c>
      <c r="B365" t="s">
        <v>69</v>
      </c>
      <c r="C365">
        <v>34</v>
      </c>
      <c r="D365" t="s">
        <v>70</v>
      </c>
      <c r="E365" t="s">
        <v>84</v>
      </c>
      <c r="F365" t="s">
        <v>72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69</v>
      </c>
      <c r="C366">
        <v>34</v>
      </c>
      <c r="D366" t="s">
        <v>73</v>
      </c>
      <c r="E366" t="s">
        <v>84</v>
      </c>
      <c r="F366" t="s">
        <v>72</v>
      </c>
      <c r="G366">
        <v>7.2089656935250899</v>
      </c>
      <c r="H366">
        <v>2E+20</v>
      </c>
      <c r="I366">
        <v>0</v>
      </c>
      <c r="J366">
        <v>21</v>
      </c>
      <c r="K366">
        <v>21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0.475935837419309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14.545335118962701</v>
      </c>
      <c r="U366" s="5">
        <f>IF((ContinuousStatsTable[[#This Row],[RepsRequested]]&gt;1),ContinuousStatsTable[[#This Row],[HalfWidth]],ContinuousStatsTable[[#This Row],[BatchMeansHalfWidth]])</f>
        <v>1.1647272989250694</v>
      </c>
    </row>
    <row r="367" spans="1:21" x14ac:dyDescent="0.35">
      <c r="A367" t="s">
        <v>66</v>
      </c>
      <c r="B367" t="s">
        <v>69</v>
      </c>
      <c r="C367">
        <v>34</v>
      </c>
      <c r="D367" t="s">
        <v>74</v>
      </c>
      <c r="E367" t="s">
        <v>85</v>
      </c>
      <c r="F367" t="s">
        <v>76</v>
      </c>
      <c r="G367">
        <v>33.1819621307489</v>
      </c>
      <c r="H367">
        <v>2E+20</v>
      </c>
      <c r="I367">
        <v>0</v>
      </c>
      <c r="J367">
        <v>62</v>
      </c>
      <c r="K367">
        <v>62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16.614335916574898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47.992828685108996</v>
      </c>
      <c r="U367" s="5">
        <f>IF((ContinuousStatsTable[[#This Row],[RepsRequested]]&gt;1),ContinuousStatsTable[[#This Row],[HalfWidth]],ContinuousStatsTable[[#This Row],[BatchMeansHalfWidth]])</f>
        <v>2.6199410784579222</v>
      </c>
    </row>
    <row r="368" spans="1:21" x14ac:dyDescent="0.35">
      <c r="A368" t="s">
        <v>66</v>
      </c>
      <c r="B368" t="s">
        <v>69</v>
      </c>
      <c r="C368">
        <v>34</v>
      </c>
      <c r="D368" t="s">
        <v>86</v>
      </c>
      <c r="E368" t="s">
        <v>87</v>
      </c>
      <c r="F368" t="s">
        <v>88</v>
      </c>
      <c r="G368">
        <v>0.93820153718493604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0.71791407599347101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0.96105910626671998</v>
      </c>
      <c r="U368" s="5">
        <f>IF((ContinuousStatsTable[[#This Row],[RepsRequested]]&gt;1),ContinuousStatsTable[[#This Row],[HalfWidth]],ContinuousStatsTable[[#This Row],[BatchMeansHalfWidth]])</f>
        <v>2.0481590731410954E-2</v>
      </c>
    </row>
    <row r="369" spans="1:21" x14ac:dyDescent="0.35">
      <c r="A369" t="s">
        <v>66</v>
      </c>
      <c r="B369" t="s">
        <v>69</v>
      </c>
      <c r="C369">
        <v>34</v>
      </c>
      <c r="D369" t="s">
        <v>86</v>
      </c>
      <c r="E369" t="s">
        <v>89</v>
      </c>
      <c r="F369" t="s">
        <v>88</v>
      </c>
      <c r="G369">
        <v>9.3820153718493593</v>
      </c>
      <c r="H369">
        <v>2E+20</v>
      </c>
      <c r="I369">
        <v>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7.1791407599347101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9.6105910626672006</v>
      </c>
      <c r="U369" s="5">
        <f>IF((ContinuousStatsTable[[#This Row],[RepsRequested]]&gt;1),ContinuousStatsTable[[#This Row],[HalfWidth]],ContinuousStatsTable[[#This Row],[BatchMeansHalfWidth]])</f>
        <v>0.20481590731410945</v>
      </c>
    </row>
    <row r="370" spans="1:21" x14ac:dyDescent="0.35">
      <c r="A370" t="s">
        <v>66</v>
      </c>
      <c r="B370" t="s">
        <v>69</v>
      </c>
      <c r="C370">
        <v>34</v>
      </c>
      <c r="D370" t="s">
        <v>86</v>
      </c>
      <c r="E370" t="s">
        <v>90</v>
      </c>
      <c r="F370" t="s">
        <v>88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69</v>
      </c>
      <c r="C371">
        <v>34</v>
      </c>
      <c r="D371" t="s">
        <v>82</v>
      </c>
      <c r="E371" t="s">
        <v>84</v>
      </c>
      <c r="F371" t="s">
        <v>72</v>
      </c>
      <c r="G371">
        <v>3.1540079989522898</v>
      </c>
      <c r="H371">
        <v>2E+20</v>
      </c>
      <c r="I371">
        <v>0</v>
      </c>
      <c r="J371">
        <v>5</v>
      </c>
      <c r="K371">
        <v>3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2.1426391607582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3.27384557923344</v>
      </c>
      <c r="U371" s="5">
        <f>IF((ContinuousStatsTable[[#This Row],[RepsRequested]]&gt;1),ContinuousStatsTable[[#This Row],[HalfWidth]],ContinuousStatsTable[[#This Row],[BatchMeansHalfWidth]])</f>
        <v>9.1472887832627928E-2</v>
      </c>
    </row>
    <row r="372" spans="1:21" x14ac:dyDescent="0.35">
      <c r="A372" t="s">
        <v>66</v>
      </c>
      <c r="B372" t="s">
        <v>69</v>
      </c>
      <c r="C372">
        <v>34</v>
      </c>
      <c r="D372" t="s">
        <v>91</v>
      </c>
      <c r="E372" t="s">
        <v>87</v>
      </c>
      <c r="F372" t="s">
        <v>88</v>
      </c>
      <c r="G372">
        <v>0.99868085324383205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0.92631153500444496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0.99913603041501298</v>
      </c>
      <c r="U372" s="5">
        <f>IF((ContinuousStatsTable[[#This Row],[RepsRequested]]&gt;1),ContinuousStatsTable[[#This Row],[HalfWidth]],ContinuousStatsTable[[#This Row],[BatchMeansHalfWidth]])</f>
        <v>6.4980603216527278E-3</v>
      </c>
    </row>
    <row r="373" spans="1:21" x14ac:dyDescent="0.35">
      <c r="A373" t="s">
        <v>66</v>
      </c>
      <c r="B373" t="s">
        <v>69</v>
      </c>
      <c r="C373">
        <v>34</v>
      </c>
      <c r="D373" t="s">
        <v>91</v>
      </c>
      <c r="E373" t="s">
        <v>89</v>
      </c>
      <c r="F373" t="s">
        <v>88</v>
      </c>
      <c r="G373">
        <v>1.9973617064876601</v>
      </c>
      <c r="H373">
        <v>2E+20</v>
      </c>
      <c r="I373">
        <v>0</v>
      </c>
      <c r="J373">
        <v>2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1.8526230700088899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1.99827206083003</v>
      </c>
      <c r="U373" s="5">
        <f>IF((ContinuousStatsTable[[#This Row],[RepsRequested]]&gt;1),ContinuousStatsTable[[#This Row],[HalfWidth]],ContinuousStatsTable[[#This Row],[BatchMeansHalfWidth]])</f>
        <v>1.299612064330544E-2</v>
      </c>
    </row>
    <row r="374" spans="1:21" x14ac:dyDescent="0.35">
      <c r="A374" t="s">
        <v>66</v>
      </c>
      <c r="B374" t="s">
        <v>69</v>
      </c>
      <c r="C374">
        <v>34</v>
      </c>
      <c r="D374" t="s">
        <v>91</v>
      </c>
      <c r="E374" t="s">
        <v>90</v>
      </c>
      <c r="F374" t="s">
        <v>88</v>
      </c>
      <c r="G374">
        <v>2</v>
      </c>
      <c r="H374">
        <v>2E+20</v>
      </c>
      <c r="I374">
        <v>2</v>
      </c>
      <c r="J374">
        <v>2</v>
      </c>
      <c r="K374">
        <v>2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2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2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69</v>
      </c>
      <c r="C375">
        <v>34</v>
      </c>
      <c r="D375" t="s">
        <v>83</v>
      </c>
      <c r="E375" t="s">
        <v>84</v>
      </c>
      <c r="F375" t="s">
        <v>72</v>
      </c>
      <c r="G375">
        <v>3.05614320679225</v>
      </c>
      <c r="H375">
        <v>2E+20</v>
      </c>
      <c r="I375">
        <v>0</v>
      </c>
      <c r="J375">
        <v>5</v>
      </c>
      <c r="K375">
        <v>3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2.0230576660756401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3.1833377638216702</v>
      </c>
      <c r="U375" s="5">
        <f>IF((ContinuousStatsTable[[#This Row],[RepsRequested]]&gt;1),ContinuousStatsTable[[#This Row],[HalfWidth]],ContinuousStatsTable[[#This Row],[BatchMeansHalfWidth]])</f>
        <v>0.10275597124787904</v>
      </c>
    </row>
    <row r="376" spans="1:21" x14ac:dyDescent="0.35">
      <c r="A376" t="s">
        <v>66</v>
      </c>
      <c r="B376" t="s">
        <v>69</v>
      </c>
      <c r="C376">
        <v>35</v>
      </c>
      <c r="D376" t="s">
        <v>70</v>
      </c>
      <c r="E376" t="s">
        <v>84</v>
      </c>
      <c r="F376" t="s">
        <v>72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69</v>
      </c>
      <c r="C377">
        <v>35</v>
      </c>
      <c r="D377" t="s">
        <v>73</v>
      </c>
      <c r="E377" t="s">
        <v>84</v>
      </c>
      <c r="F377" t="s">
        <v>72</v>
      </c>
      <c r="G377">
        <v>10.4729492447093</v>
      </c>
      <c r="H377">
        <v>2E+20</v>
      </c>
      <c r="I377">
        <v>0</v>
      </c>
      <c r="J377">
        <v>21</v>
      </c>
      <c r="K377">
        <v>20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0.475935837419309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14.545335118962701</v>
      </c>
      <c r="U377" s="5">
        <f>IF((ContinuousStatsTable[[#This Row],[RepsRequested]]&gt;1),ContinuousStatsTable[[#This Row],[HalfWidth]],ContinuousStatsTable[[#This Row],[BatchMeansHalfWidth]])</f>
        <v>1.1647272989250694</v>
      </c>
    </row>
    <row r="378" spans="1:21" x14ac:dyDescent="0.35">
      <c r="A378" t="s">
        <v>66</v>
      </c>
      <c r="B378" t="s">
        <v>69</v>
      </c>
      <c r="C378">
        <v>35</v>
      </c>
      <c r="D378" t="s">
        <v>74</v>
      </c>
      <c r="E378" t="s">
        <v>85</v>
      </c>
      <c r="F378" t="s">
        <v>76</v>
      </c>
      <c r="G378">
        <v>39.9894292395891</v>
      </c>
      <c r="H378">
        <v>2E+20</v>
      </c>
      <c r="I378">
        <v>0</v>
      </c>
      <c r="J378">
        <v>63</v>
      </c>
      <c r="K378">
        <v>60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16.614335916574898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47.992828685108996</v>
      </c>
      <c r="U378" s="5">
        <f>IF((ContinuousStatsTable[[#This Row],[RepsRequested]]&gt;1),ContinuousStatsTable[[#This Row],[HalfWidth]],ContinuousStatsTable[[#This Row],[BatchMeansHalfWidth]])</f>
        <v>2.6199410784579222</v>
      </c>
    </row>
    <row r="379" spans="1:21" x14ac:dyDescent="0.35">
      <c r="A379" t="s">
        <v>66</v>
      </c>
      <c r="B379" t="s">
        <v>69</v>
      </c>
      <c r="C379">
        <v>35</v>
      </c>
      <c r="D379" t="s">
        <v>86</v>
      </c>
      <c r="E379" t="s">
        <v>87</v>
      </c>
      <c r="F379" t="s">
        <v>88</v>
      </c>
      <c r="G379">
        <v>0.95217653750853204</v>
      </c>
      <c r="H379">
        <v>2E+20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0.71791407599347101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0.96105910626671998</v>
      </c>
      <c r="U379" s="5">
        <f>IF((ContinuousStatsTable[[#This Row],[RepsRequested]]&gt;1),ContinuousStatsTable[[#This Row],[HalfWidth]],ContinuousStatsTable[[#This Row],[BatchMeansHalfWidth]])</f>
        <v>2.0481590731410954E-2</v>
      </c>
    </row>
    <row r="380" spans="1:21" x14ac:dyDescent="0.35">
      <c r="A380" t="s">
        <v>66</v>
      </c>
      <c r="B380" t="s">
        <v>69</v>
      </c>
      <c r="C380">
        <v>35</v>
      </c>
      <c r="D380" t="s">
        <v>86</v>
      </c>
      <c r="E380" t="s">
        <v>89</v>
      </c>
      <c r="F380" t="s">
        <v>88</v>
      </c>
      <c r="G380">
        <v>9.5217653750853106</v>
      </c>
      <c r="H380">
        <v>2E+20</v>
      </c>
      <c r="I380">
        <v>0</v>
      </c>
      <c r="J380">
        <v>10</v>
      </c>
      <c r="K380">
        <v>10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7.1791407599347101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9.6105910626672006</v>
      </c>
      <c r="U380" s="5">
        <f>IF((ContinuousStatsTable[[#This Row],[RepsRequested]]&gt;1),ContinuousStatsTable[[#This Row],[HalfWidth]],ContinuousStatsTable[[#This Row],[BatchMeansHalfWidth]])</f>
        <v>0.20481590731410945</v>
      </c>
    </row>
    <row r="381" spans="1:21" x14ac:dyDescent="0.35">
      <c r="A381" t="s">
        <v>66</v>
      </c>
      <c r="B381" t="s">
        <v>69</v>
      </c>
      <c r="C381">
        <v>35</v>
      </c>
      <c r="D381" t="s">
        <v>86</v>
      </c>
      <c r="E381" t="s">
        <v>90</v>
      </c>
      <c r="F381" t="s">
        <v>88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69</v>
      </c>
      <c r="C382">
        <v>35</v>
      </c>
      <c r="D382" t="s">
        <v>82</v>
      </c>
      <c r="E382" t="s">
        <v>84</v>
      </c>
      <c r="F382" t="s">
        <v>72</v>
      </c>
      <c r="G382">
        <v>3.1896660504685599</v>
      </c>
      <c r="H382">
        <v>2E+20</v>
      </c>
      <c r="I382">
        <v>0</v>
      </c>
      <c r="J382">
        <v>5</v>
      </c>
      <c r="K382">
        <v>4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2.1426391607582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3.27384557923344</v>
      </c>
      <c r="U382" s="5">
        <f>IF((ContinuousStatsTable[[#This Row],[RepsRequested]]&gt;1),ContinuousStatsTable[[#This Row],[HalfWidth]],ContinuousStatsTable[[#This Row],[BatchMeansHalfWidth]])</f>
        <v>9.1472887832627928E-2</v>
      </c>
    </row>
    <row r="383" spans="1:21" x14ac:dyDescent="0.35">
      <c r="A383" t="s">
        <v>66</v>
      </c>
      <c r="B383" t="s">
        <v>69</v>
      </c>
      <c r="C383">
        <v>35</v>
      </c>
      <c r="D383" t="s">
        <v>91</v>
      </c>
      <c r="E383" t="s">
        <v>87</v>
      </c>
      <c r="F383" t="s">
        <v>88</v>
      </c>
      <c r="G383">
        <v>0.99166360732138903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0.92631153500444496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0.99913603041501298</v>
      </c>
      <c r="U383" s="5">
        <f>IF((ContinuousStatsTable[[#This Row],[RepsRequested]]&gt;1),ContinuousStatsTable[[#This Row],[HalfWidth]],ContinuousStatsTable[[#This Row],[BatchMeansHalfWidth]])</f>
        <v>6.4980603216527278E-3</v>
      </c>
    </row>
    <row r="384" spans="1:21" x14ac:dyDescent="0.35">
      <c r="A384" t="s">
        <v>66</v>
      </c>
      <c r="B384" t="s">
        <v>69</v>
      </c>
      <c r="C384">
        <v>35</v>
      </c>
      <c r="D384" t="s">
        <v>91</v>
      </c>
      <c r="E384" t="s">
        <v>89</v>
      </c>
      <c r="F384" t="s">
        <v>88</v>
      </c>
      <c r="G384">
        <v>1.9833272146427801</v>
      </c>
      <c r="H384">
        <v>2E+20</v>
      </c>
      <c r="I384">
        <v>0</v>
      </c>
      <c r="J384">
        <v>2</v>
      </c>
      <c r="K384">
        <v>2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1.8526230700088899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1.99827206083003</v>
      </c>
      <c r="U384" s="5">
        <f>IF((ContinuousStatsTable[[#This Row],[RepsRequested]]&gt;1),ContinuousStatsTable[[#This Row],[HalfWidth]],ContinuousStatsTable[[#This Row],[BatchMeansHalfWidth]])</f>
        <v>1.299612064330544E-2</v>
      </c>
    </row>
    <row r="385" spans="1:21" x14ac:dyDescent="0.35">
      <c r="A385" t="s">
        <v>66</v>
      </c>
      <c r="B385" t="s">
        <v>69</v>
      </c>
      <c r="C385">
        <v>35</v>
      </c>
      <c r="D385" t="s">
        <v>91</v>
      </c>
      <c r="E385" t="s">
        <v>90</v>
      </c>
      <c r="F385" t="s">
        <v>88</v>
      </c>
      <c r="G385">
        <v>2</v>
      </c>
      <c r="H385">
        <v>2E+20</v>
      </c>
      <c r="I385">
        <v>2</v>
      </c>
      <c r="J385">
        <v>2</v>
      </c>
      <c r="K385">
        <v>2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2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2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2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69</v>
      </c>
      <c r="C386">
        <v>35</v>
      </c>
      <c r="D386" t="s">
        <v>83</v>
      </c>
      <c r="E386" t="s">
        <v>84</v>
      </c>
      <c r="F386" t="s">
        <v>72</v>
      </c>
      <c r="G386">
        <v>3.1492882883768001</v>
      </c>
      <c r="H386">
        <v>2E+20</v>
      </c>
      <c r="I386">
        <v>0</v>
      </c>
      <c r="J386">
        <v>5</v>
      </c>
      <c r="K386">
        <v>2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2.0230576660756401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3.1833377638216702</v>
      </c>
      <c r="U386" s="5">
        <f>IF((ContinuousStatsTable[[#This Row],[RepsRequested]]&gt;1),ContinuousStatsTable[[#This Row],[HalfWidth]],ContinuousStatsTable[[#This Row],[BatchMeansHalfWidth]])</f>
        <v>0.10275597124787904</v>
      </c>
    </row>
    <row r="387" spans="1:21" x14ac:dyDescent="0.35">
      <c r="A387" t="s">
        <v>66</v>
      </c>
      <c r="B387" t="s">
        <v>69</v>
      </c>
      <c r="C387">
        <v>36</v>
      </c>
      <c r="D387" t="s">
        <v>70</v>
      </c>
      <c r="E387" t="s">
        <v>84</v>
      </c>
      <c r="F387" t="s">
        <v>72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69</v>
      </c>
      <c r="C388">
        <v>36</v>
      </c>
      <c r="D388" t="s">
        <v>73</v>
      </c>
      <c r="E388" t="s">
        <v>84</v>
      </c>
      <c r="F388" t="s">
        <v>72</v>
      </c>
      <c r="G388">
        <v>5.7715326074705402</v>
      </c>
      <c r="H388">
        <v>2E+20</v>
      </c>
      <c r="I388">
        <v>0</v>
      </c>
      <c r="J388">
        <v>13</v>
      </c>
      <c r="K388">
        <v>10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0.475935837419309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14.545335118962701</v>
      </c>
      <c r="U388" s="5">
        <f>IF((ContinuousStatsTable[[#This Row],[RepsRequested]]&gt;1),ContinuousStatsTable[[#This Row],[HalfWidth]],ContinuousStatsTable[[#This Row],[BatchMeansHalfWidth]])</f>
        <v>1.1647272989250694</v>
      </c>
    </row>
    <row r="389" spans="1:21" x14ac:dyDescent="0.35">
      <c r="A389" t="s">
        <v>66</v>
      </c>
      <c r="B389" t="s">
        <v>69</v>
      </c>
      <c r="C389">
        <v>36</v>
      </c>
      <c r="D389" t="s">
        <v>74</v>
      </c>
      <c r="E389" t="s">
        <v>85</v>
      </c>
      <c r="F389" t="s">
        <v>76</v>
      </c>
      <c r="G389">
        <v>28.430123844185001</v>
      </c>
      <c r="H389">
        <v>2E+20</v>
      </c>
      <c r="I389">
        <v>0</v>
      </c>
      <c r="J389">
        <v>47</v>
      </c>
      <c r="K389">
        <v>40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16.614335916574898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47.992828685108996</v>
      </c>
      <c r="U389" s="5">
        <f>IF((ContinuousStatsTable[[#This Row],[RepsRequested]]&gt;1),ContinuousStatsTable[[#This Row],[HalfWidth]],ContinuousStatsTable[[#This Row],[BatchMeansHalfWidth]])</f>
        <v>2.6199410784579222</v>
      </c>
    </row>
    <row r="390" spans="1:21" x14ac:dyDescent="0.35">
      <c r="A390" t="s">
        <v>66</v>
      </c>
      <c r="B390" t="s">
        <v>69</v>
      </c>
      <c r="C390">
        <v>36</v>
      </c>
      <c r="D390" t="s">
        <v>86</v>
      </c>
      <c r="E390" t="s">
        <v>87</v>
      </c>
      <c r="F390" t="s">
        <v>88</v>
      </c>
      <c r="G390">
        <v>0.84435293146219603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0.71791407599347101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0.96105910626671998</v>
      </c>
      <c r="U390" s="5">
        <f>IF((ContinuousStatsTable[[#This Row],[RepsRequested]]&gt;1),ContinuousStatsTable[[#This Row],[HalfWidth]],ContinuousStatsTable[[#This Row],[BatchMeansHalfWidth]])</f>
        <v>2.0481590731410954E-2</v>
      </c>
    </row>
    <row r="391" spans="1:21" x14ac:dyDescent="0.35">
      <c r="A391" t="s">
        <v>66</v>
      </c>
      <c r="B391" t="s">
        <v>69</v>
      </c>
      <c r="C391">
        <v>36</v>
      </c>
      <c r="D391" t="s">
        <v>86</v>
      </c>
      <c r="E391" t="s">
        <v>89</v>
      </c>
      <c r="F391" t="s">
        <v>88</v>
      </c>
      <c r="G391">
        <v>8.4435293146219603</v>
      </c>
      <c r="H391">
        <v>2E+20</v>
      </c>
      <c r="I391">
        <v>0</v>
      </c>
      <c r="J391">
        <v>10</v>
      </c>
      <c r="K391">
        <v>10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7.1791407599347101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9.6105910626672006</v>
      </c>
      <c r="U391" s="5">
        <f>IF((ContinuousStatsTable[[#This Row],[RepsRequested]]&gt;1),ContinuousStatsTable[[#This Row],[HalfWidth]],ContinuousStatsTable[[#This Row],[BatchMeansHalfWidth]])</f>
        <v>0.20481590731410945</v>
      </c>
    </row>
    <row r="392" spans="1:21" x14ac:dyDescent="0.35">
      <c r="A392" t="s">
        <v>66</v>
      </c>
      <c r="B392" t="s">
        <v>69</v>
      </c>
      <c r="C392">
        <v>36</v>
      </c>
      <c r="D392" t="s">
        <v>86</v>
      </c>
      <c r="E392" t="s">
        <v>90</v>
      </c>
      <c r="F392" t="s">
        <v>88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69</v>
      </c>
      <c r="C393">
        <v>36</v>
      </c>
      <c r="D393" t="s">
        <v>82</v>
      </c>
      <c r="E393" t="s">
        <v>84</v>
      </c>
      <c r="F393" t="s">
        <v>72</v>
      </c>
      <c r="G393">
        <v>2.6244273675277401</v>
      </c>
      <c r="H393">
        <v>2E+20</v>
      </c>
      <c r="I393">
        <v>0</v>
      </c>
      <c r="J393">
        <v>5</v>
      </c>
      <c r="K393">
        <v>4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2.1426391607582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3.27384557923344</v>
      </c>
      <c r="U393" s="5">
        <f>IF((ContinuousStatsTable[[#This Row],[RepsRequested]]&gt;1),ContinuousStatsTable[[#This Row],[HalfWidth]],ContinuousStatsTable[[#This Row],[BatchMeansHalfWidth]])</f>
        <v>9.1472887832627928E-2</v>
      </c>
    </row>
    <row r="394" spans="1:21" x14ac:dyDescent="0.35">
      <c r="A394" t="s">
        <v>66</v>
      </c>
      <c r="B394" t="s">
        <v>69</v>
      </c>
      <c r="C394">
        <v>36</v>
      </c>
      <c r="D394" t="s">
        <v>91</v>
      </c>
      <c r="E394" t="s">
        <v>87</v>
      </c>
      <c r="F394" t="s">
        <v>88</v>
      </c>
      <c r="G394">
        <v>0.99421171069630898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0.92631153500444496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0.99913603041501298</v>
      </c>
      <c r="U394" s="5">
        <f>IF((ContinuousStatsTable[[#This Row],[RepsRequested]]&gt;1),ContinuousStatsTable[[#This Row],[HalfWidth]],ContinuousStatsTable[[#This Row],[BatchMeansHalfWidth]])</f>
        <v>6.4980603216527278E-3</v>
      </c>
    </row>
    <row r="395" spans="1:21" x14ac:dyDescent="0.35">
      <c r="A395" t="s">
        <v>66</v>
      </c>
      <c r="B395" t="s">
        <v>69</v>
      </c>
      <c r="C395">
        <v>36</v>
      </c>
      <c r="D395" t="s">
        <v>91</v>
      </c>
      <c r="E395" t="s">
        <v>89</v>
      </c>
      <c r="F395" t="s">
        <v>88</v>
      </c>
      <c r="G395">
        <v>1.98842342139262</v>
      </c>
      <c r="H395">
        <v>2E+20</v>
      </c>
      <c r="I395">
        <v>0</v>
      </c>
      <c r="J395">
        <v>2</v>
      </c>
      <c r="K395">
        <v>2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1.8526230700088899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1.99827206083003</v>
      </c>
      <c r="U395" s="5">
        <f>IF((ContinuousStatsTable[[#This Row],[RepsRequested]]&gt;1),ContinuousStatsTable[[#This Row],[HalfWidth]],ContinuousStatsTable[[#This Row],[BatchMeansHalfWidth]])</f>
        <v>1.299612064330544E-2</v>
      </c>
    </row>
    <row r="396" spans="1:21" x14ac:dyDescent="0.35">
      <c r="A396" t="s">
        <v>66</v>
      </c>
      <c r="B396" t="s">
        <v>69</v>
      </c>
      <c r="C396">
        <v>36</v>
      </c>
      <c r="D396" t="s">
        <v>91</v>
      </c>
      <c r="E396" t="s">
        <v>90</v>
      </c>
      <c r="F396" t="s">
        <v>88</v>
      </c>
      <c r="G396">
        <v>2</v>
      </c>
      <c r="H396">
        <v>2E+20</v>
      </c>
      <c r="I396">
        <v>2</v>
      </c>
      <c r="J396">
        <v>2</v>
      </c>
      <c r="K396">
        <v>2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2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2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2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69</v>
      </c>
      <c r="C397">
        <v>36</v>
      </c>
      <c r="D397" t="s">
        <v>83</v>
      </c>
      <c r="E397" t="s">
        <v>84</v>
      </c>
      <c r="F397" t="s">
        <v>72</v>
      </c>
      <c r="G397">
        <v>2.6122236575503801</v>
      </c>
      <c r="H397">
        <v>2E+20</v>
      </c>
      <c r="I397">
        <v>0</v>
      </c>
      <c r="J397">
        <v>5</v>
      </c>
      <c r="K397">
        <v>4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2.0230576660756401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3.1833377638216702</v>
      </c>
      <c r="U397" s="5">
        <f>IF((ContinuousStatsTable[[#This Row],[RepsRequested]]&gt;1),ContinuousStatsTable[[#This Row],[HalfWidth]],ContinuousStatsTable[[#This Row],[BatchMeansHalfWidth]])</f>
        <v>0.10275597124787904</v>
      </c>
    </row>
    <row r="398" spans="1:21" x14ac:dyDescent="0.35">
      <c r="A398" t="s">
        <v>66</v>
      </c>
      <c r="B398" t="s">
        <v>69</v>
      </c>
      <c r="C398">
        <v>37</v>
      </c>
      <c r="D398" t="s">
        <v>70</v>
      </c>
      <c r="E398" t="s">
        <v>84</v>
      </c>
      <c r="F398" t="s">
        <v>72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69</v>
      </c>
      <c r="C399">
        <v>37</v>
      </c>
      <c r="D399" t="s">
        <v>73</v>
      </c>
      <c r="E399" t="s">
        <v>84</v>
      </c>
      <c r="F399" t="s">
        <v>72</v>
      </c>
      <c r="G399">
        <v>0.69280905200452503</v>
      </c>
      <c r="H399">
        <v>2E+20</v>
      </c>
      <c r="I399">
        <v>0</v>
      </c>
      <c r="J399">
        <v>5</v>
      </c>
      <c r="K399">
        <v>4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0.475935837419309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14.545335118962701</v>
      </c>
      <c r="U399" s="5">
        <f>IF((ContinuousStatsTable[[#This Row],[RepsRequested]]&gt;1),ContinuousStatsTable[[#This Row],[HalfWidth]],ContinuousStatsTable[[#This Row],[BatchMeansHalfWidth]])</f>
        <v>1.1647272989250694</v>
      </c>
    </row>
    <row r="400" spans="1:21" x14ac:dyDescent="0.35">
      <c r="A400" t="s">
        <v>66</v>
      </c>
      <c r="B400" t="s">
        <v>69</v>
      </c>
      <c r="C400">
        <v>37</v>
      </c>
      <c r="D400" t="s">
        <v>74</v>
      </c>
      <c r="E400" t="s">
        <v>85</v>
      </c>
      <c r="F400" t="s">
        <v>76</v>
      </c>
      <c r="G400">
        <v>18.9264457181967</v>
      </c>
      <c r="H400">
        <v>2E+20</v>
      </c>
      <c r="I400">
        <v>0</v>
      </c>
      <c r="J400">
        <v>30</v>
      </c>
      <c r="K400">
        <v>28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16.614335916574898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47.992828685108996</v>
      </c>
      <c r="U400" s="5">
        <f>IF((ContinuousStatsTable[[#This Row],[RepsRequested]]&gt;1),ContinuousStatsTable[[#This Row],[HalfWidth]],ContinuousStatsTable[[#This Row],[BatchMeansHalfWidth]])</f>
        <v>2.6199410784579222</v>
      </c>
    </row>
    <row r="401" spans="1:21" x14ac:dyDescent="0.35">
      <c r="A401" t="s">
        <v>66</v>
      </c>
      <c r="B401" t="s">
        <v>69</v>
      </c>
      <c r="C401">
        <v>37</v>
      </c>
      <c r="D401" t="s">
        <v>86</v>
      </c>
      <c r="E401" t="s">
        <v>87</v>
      </c>
      <c r="F401" t="s">
        <v>88</v>
      </c>
      <c r="G401">
        <v>0.87704138070938198</v>
      </c>
      <c r="H401">
        <v>2E+20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0.71791407599347101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0.96105910626671998</v>
      </c>
      <c r="U401" s="5">
        <f>IF((ContinuousStatsTable[[#This Row],[RepsRequested]]&gt;1),ContinuousStatsTable[[#This Row],[HalfWidth]],ContinuousStatsTable[[#This Row],[BatchMeansHalfWidth]])</f>
        <v>2.0481590731410954E-2</v>
      </c>
    </row>
    <row r="402" spans="1:21" x14ac:dyDescent="0.35">
      <c r="A402" t="s">
        <v>66</v>
      </c>
      <c r="B402" t="s">
        <v>69</v>
      </c>
      <c r="C402">
        <v>37</v>
      </c>
      <c r="D402" t="s">
        <v>86</v>
      </c>
      <c r="E402" t="s">
        <v>89</v>
      </c>
      <c r="F402" t="s">
        <v>88</v>
      </c>
      <c r="G402">
        <v>8.7704138070938296</v>
      </c>
      <c r="H402">
        <v>2E+20</v>
      </c>
      <c r="I402">
        <v>0</v>
      </c>
      <c r="J402">
        <v>10</v>
      </c>
      <c r="K402">
        <v>10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7.1791407599347101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9.6105910626672006</v>
      </c>
      <c r="U402" s="5">
        <f>IF((ContinuousStatsTable[[#This Row],[RepsRequested]]&gt;1),ContinuousStatsTable[[#This Row],[HalfWidth]],ContinuousStatsTable[[#This Row],[BatchMeansHalfWidth]])</f>
        <v>0.20481590731410945</v>
      </c>
    </row>
    <row r="403" spans="1:21" x14ac:dyDescent="0.35">
      <c r="A403" t="s">
        <v>66</v>
      </c>
      <c r="B403" t="s">
        <v>69</v>
      </c>
      <c r="C403">
        <v>37</v>
      </c>
      <c r="D403" t="s">
        <v>86</v>
      </c>
      <c r="E403" t="s">
        <v>90</v>
      </c>
      <c r="F403" t="s">
        <v>88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69</v>
      </c>
      <c r="C404">
        <v>37</v>
      </c>
      <c r="D404" t="s">
        <v>82</v>
      </c>
      <c r="E404" t="s">
        <v>84</v>
      </c>
      <c r="F404" t="s">
        <v>72</v>
      </c>
      <c r="G404">
        <v>2.8825303258687098</v>
      </c>
      <c r="H404">
        <v>2E+20</v>
      </c>
      <c r="I404">
        <v>0</v>
      </c>
      <c r="J404">
        <v>5</v>
      </c>
      <c r="K404">
        <v>3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2.1426391607582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3.27384557923344</v>
      </c>
      <c r="U404" s="5">
        <f>IF((ContinuousStatsTable[[#This Row],[RepsRequested]]&gt;1),ContinuousStatsTable[[#This Row],[HalfWidth]],ContinuousStatsTable[[#This Row],[BatchMeansHalfWidth]])</f>
        <v>9.1472887832627928E-2</v>
      </c>
    </row>
    <row r="405" spans="1:21" x14ac:dyDescent="0.35">
      <c r="A405" t="s">
        <v>66</v>
      </c>
      <c r="B405" t="s">
        <v>69</v>
      </c>
      <c r="C405">
        <v>37</v>
      </c>
      <c r="D405" t="s">
        <v>91</v>
      </c>
      <c r="E405" t="s">
        <v>87</v>
      </c>
      <c r="F405" t="s">
        <v>88</v>
      </c>
      <c r="G405">
        <v>0.98446995775378998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0.92631153500444496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0.99913603041501298</v>
      </c>
      <c r="U405" s="5">
        <f>IF((ContinuousStatsTable[[#This Row],[RepsRequested]]&gt;1),ContinuousStatsTable[[#This Row],[HalfWidth]],ContinuousStatsTable[[#This Row],[BatchMeansHalfWidth]])</f>
        <v>6.4980603216527278E-3</v>
      </c>
    </row>
    <row r="406" spans="1:21" x14ac:dyDescent="0.35">
      <c r="A406" t="s">
        <v>66</v>
      </c>
      <c r="B406" t="s">
        <v>69</v>
      </c>
      <c r="C406">
        <v>37</v>
      </c>
      <c r="D406" t="s">
        <v>91</v>
      </c>
      <c r="E406" t="s">
        <v>89</v>
      </c>
      <c r="F406" t="s">
        <v>88</v>
      </c>
      <c r="G406">
        <v>1.96893991550758</v>
      </c>
      <c r="H406">
        <v>2E+20</v>
      </c>
      <c r="I406">
        <v>0</v>
      </c>
      <c r="J406">
        <v>2</v>
      </c>
      <c r="K406">
        <v>2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1.8526230700088899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1.99827206083003</v>
      </c>
      <c r="U406" s="5">
        <f>IF((ContinuousStatsTable[[#This Row],[RepsRequested]]&gt;1),ContinuousStatsTable[[#This Row],[HalfWidth]],ContinuousStatsTable[[#This Row],[BatchMeansHalfWidth]])</f>
        <v>1.299612064330544E-2</v>
      </c>
    </row>
    <row r="407" spans="1:21" x14ac:dyDescent="0.35">
      <c r="A407" t="s">
        <v>66</v>
      </c>
      <c r="B407" t="s">
        <v>69</v>
      </c>
      <c r="C407">
        <v>37</v>
      </c>
      <c r="D407" t="s">
        <v>91</v>
      </c>
      <c r="E407" t="s">
        <v>90</v>
      </c>
      <c r="F407" t="s">
        <v>88</v>
      </c>
      <c r="G407">
        <v>2</v>
      </c>
      <c r="H407">
        <v>2E+20</v>
      </c>
      <c r="I407">
        <v>2</v>
      </c>
      <c r="J407">
        <v>2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2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2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69</v>
      </c>
      <c r="C408">
        <v>37</v>
      </c>
      <c r="D408" t="s">
        <v>83</v>
      </c>
      <c r="E408" t="s">
        <v>84</v>
      </c>
      <c r="F408" t="s">
        <v>72</v>
      </c>
      <c r="G408">
        <v>2.7308339595436801</v>
      </c>
      <c r="H408">
        <v>2E+20</v>
      </c>
      <c r="I408">
        <v>0</v>
      </c>
      <c r="J408">
        <v>5</v>
      </c>
      <c r="K408">
        <v>3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2.0230576660756401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3.1833377638216702</v>
      </c>
      <c r="U408" s="5">
        <f>IF((ContinuousStatsTable[[#This Row],[RepsRequested]]&gt;1),ContinuousStatsTable[[#This Row],[HalfWidth]],ContinuousStatsTable[[#This Row],[BatchMeansHalfWidth]])</f>
        <v>0.10275597124787904</v>
      </c>
    </row>
    <row r="409" spans="1:21" x14ac:dyDescent="0.35">
      <c r="A409" t="s">
        <v>66</v>
      </c>
      <c r="B409" t="s">
        <v>69</v>
      </c>
      <c r="C409">
        <v>38</v>
      </c>
      <c r="D409" t="s">
        <v>70</v>
      </c>
      <c r="E409" t="s">
        <v>84</v>
      </c>
      <c r="F409" t="s">
        <v>72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69</v>
      </c>
      <c r="C410">
        <v>38</v>
      </c>
      <c r="D410" t="s">
        <v>73</v>
      </c>
      <c r="E410" t="s">
        <v>84</v>
      </c>
      <c r="F410" t="s">
        <v>72</v>
      </c>
      <c r="G410">
        <v>11.6027533745215</v>
      </c>
      <c r="H410">
        <v>2E+20</v>
      </c>
      <c r="I410">
        <v>0</v>
      </c>
      <c r="J410">
        <v>21</v>
      </c>
      <c r="K410">
        <v>19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0.475935837419309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14.545335118962701</v>
      </c>
      <c r="U410" s="5">
        <f>IF((ContinuousStatsTable[[#This Row],[RepsRequested]]&gt;1),ContinuousStatsTable[[#This Row],[HalfWidth]],ContinuousStatsTable[[#This Row],[BatchMeansHalfWidth]])</f>
        <v>1.1647272989250694</v>
      </c>
    </row>
    <row r="411" spans="1:21" x14ac:dyDescent="0.35">
      <c r="A411" t="s">
        <v>66</v>
      </c>
      <c r="B411" t="s">
        <v>69</v>
      </c>
      <c r="C411">
        <v>38</v>
      </c>
      <c r="D411" t="s">
        <v>74</v>
      </c>
      <c r="E411" t="s">
        <v>85</v>
      </c>
      <c r="F411" t="s">
        <v>76</v>
      </c>
      <c r="G411">
        <v>42.212083466170498</v>
      </c>
      <c r="H411">
        <v>2E+20</v>
      </c>
      <c r="I411">
        <v>0</v>
      </c>
      <c r="J411">
        <v>62</v>
      </c>
      <c r="K411">
        <v>58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16.614335916574898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47.992828685108996</v>
      </c>
      <c r="U411" s="5">
        <f>IF((ContinuousStatsTable[[#This Row],[RepsRequested]]&gt;1),ContinuousStatsTable[[#This Row],[HalfWidth]],ContinuousStatsTable[[#This Row],[BatchMeansHalfWidth]])</f>
        <v>2.6199410784579222</v>
      </c>
    </row>
    <row r="412" spans="1:21" x14ac:dyDescent="0.35">
      <c r="A412" t="s">
        <v>66</v>
      </c>
      <c r="B412" t="s">
        <v>69</v>
      </c>
      <c r="C412">
        <v>38</v>
      </c>
      <c r="D412" t="s">
        <v>86</v>
      </c>
      <c r="E412" t="s">
        <v>87</v>
      </c>
      <c r="F412" t="s">
        <v>88</v>
      </c>
      <c r="G412">
        <v>0.95032883585637096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0.71791407599347101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0.96105910626671998</v>
      </c>
      <c r="U412" s="5">
        <f>IF((ContinuousStatsTable[[#This Row],[RepsRequested]]&gt;1),ContinuousStatsTable[[#This Row],[HalfWidth]],ContinuousStatsTable[[#This Row],[BatchMeansHalfWidth]])</f>
        <v>2.0481590731410954E-2</v>
      </c>
    </row>
    <row r="413" spans="1:21" x14ac:dyDescent="0.35">
      <c r="A413" t="s">
        <v>66</v>
      </c>
      <c r="B413" t="s">
        <v>69</v>
      </c>
      <c r="C413">
        <v>38</v>
      </c>
      <c r="D413" t="s">
        <v>86</v>
      </c>
      <c r="E413" t="s">
        <v>89</v>
      </c>
      <c r="F413" t="s">
        <v>88</v>
      </c>
      <c r="G413">
        <v>9.5032883585636991</v>
      </c>
      <c r="H413">
        <v>2E+20</v>
      </c>
      <c r="I413">
        <v>0</v>
      </c>
      <c r="J413">
        <v>10</v>
      </c>
      <c r="K413">
        <v>10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7.1791407599347101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9.6105910626672006</v>
      </c>
      <c r="U413" s="5">
        <f>IF((ContinuousStatsTable[[#This Row],[RepsRequested]]&gt;1),ContinuousStatsTable[[#This Row],[HalfWidth]],ContinuousStatsTable[[#This Row],[BatchMeansHalfWidth]])</f>
        <v>0.20481590731410945</v>
      </c>
    </row>
    <row r="414" spans="1:21" x14ac:dyDescent="0.35">
      <c r="A414" t="s">
        <v>66</v>
      </c>
      <c r="B414" t="s">
        <v>69</v>
      </c>
      <c r="C414">
        <v>38</v>
      </c>
      <c r="D414" t="s">
        <v>86</v>
      </c>
      <c r="E414" t="s">
        <v>90</v>
      </c>
      <c r="F414" t="s">
        <v>88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69</v>
      </c>
      <c r="C415">
        <v>38</v>
      </c>
      <c r="D415" t="s">
        <v>82</v>
      </c>
      <c r="E415" t="s">
        <v>84</v>
      </c>
      <c r="F415" t="s">
        <v>72</v>
      </c>
      <c r="G415">
        <v>3.2225033422177098</v>
      </c>
      <c r="H415">
        <v>2E+20</v>
      </c>
      <c r="I415">
        <v>0</v>
      </c>
      <c r="J415">
        <v>5</v>
      </c>
      <c r="K415">
        <v>3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2.1426391607582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3.27384557923344</v>
      </c>
      <c r="U415" s="5">
        <f>IF((ContinuousStatsTable[[#This Row],[RepsRequested]]&gt;1),ContinuousStatsTable[[#This Row],[HalfWidth]],ContinuousStatsTable[[#This Row],[BatchMeansHalfWidth]])</f>
        <v>9.1472887832627928E-2</v>
      </c>
    </row>
    <row r="416" spans="1:21" x14ac:dyDescent="0.35">
      <c r="A416" t="s">
        <v>66</v>
      </c>
      <c r="B416" t="s">
        <v>69</v>
      </c>
      <c r="C416">
        <v>38</v>
      </c>
      <c r="D416" t="s">
        <v>91</v>
      </c>
      <c r="E416" t="s">
        <v>87</v>
      </c>
      <c r="F416" t="s">
        <v>88</v>
      </c>
      <c r="G416">
        <v>0.99529885108462202</v>
      </c>
      <c r="H416">
        <v>2E+20</v>
      </c>
      <c r="I416">
        <v>0</v>
      </c>
      <c r="J416">
        <v>1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0.92631153500444496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0.99913603041501298</v>
      </c>
      <c r="U416" s="5">
        <f>IF((ContinuousStatsTable[[#This Row],[RepsRequested]]&gt;1),ContinuousStatsTable[[#This Row],[HalfWidth]],ContinuousStatsTable[[#This Row],[BatchMeansHalfWidth]])</f>
        <v>6.4980603216527278E-3</v>
      </c>
    </row>
    <row r="417" spans="1:21" x14ac:dyDescent="0.35">
      <c r="A417" t="s">
        <v>66</v>
      </c>
      <c r="B417" t="s">
        <v>69</v>
      </c>
      <c r="C417">
        <v>38</v>
      </c>
      <c r="D417" t="s">
        <v>91</v>
      </c>
      <c r="E417" t="s">
        <v>89</v>
      </c>
      <c r="F417" t="s">
        <v>88</v>
      </c>
      <c r="G417">
        <v>1.99059770216924</v>
      </c>
      <c r="H417">
        <v>2E+20</v>
      </c>
      <c r="I417">
        <v>0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1.8526230700088899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1.99827206083003</v>
      </c>
      <c r="U417" s="5">
        <f>IF((ContinuousStatsTable[[#This Row],[RepsRequested]]&gt;1),ContinuousStatsTable[[#This Row],[HalfWidth]],ContinuousStatsTable[[#This Row],[BatchMeansHalfWidth]])</f>
        <v>1.299612064330544E-2</v>
      </c>
    </row>
    <row r="418" spans="1:21" x14ac:dyDescent="0.35">
      <c r="A418" t="s">
        <v>66</v>
      </c>
      <c r="B418" t="s">
        <v>69</v>
      </c>
      <c r="C418">
        <v>38</v>
      </c>
      <c r="D418" t="s">
        <v>91</v>
      </c>
      <c r="E418" t="s">
        <v>90</v>
      </c>
      <c r="F418" t="s">
        <v>88</v>
      </c>
      <c r="G418">
        <v>2</v>
      </c>
      <c r="H418">
        <v>2E+20</v>
      </c>
      <c r="I418">
        <v>2</v>
      </c>
      <c r="J418">
        <v>2</v>
      </c>
      <c r="K418">
        <v>2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2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2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69</v>
      </c>
      <c r="C419">
        <v>38</v>
      </c>
      <c r="D419" t="s">
        <v>83</v>
      </c>
      <c r="E419" t="s">
        <v>84</v>
      </c>
      <c r="F419" t="s">
        <v>72</v>
      </c>
      <c r="G419">
        <v>3.0427323488099498</v>
      </c>
      <c r="H419">
        <v>2E+20</v>
      </c>
      <c r="I419">
        <v>0</v>
      </c>
      <c r="J419">
        <v>5</v>
      </c>
      <c r="K419">
        <v>3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2.0230576660756401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3.1833377638216702</v>
      </c>
      <c r="U419" s="5">
        <f>IF((ContinuousStatsTable[[#This Row],[RepsRequested]]&gt;1),ContinuousStatsTable[[#This Row],[HalfWidth]],ContinuousStatsTable[[#This Row],[BatchMeansHalfWidth]])</f>
        <v>0.10275597124787904</v>
      </c>
    </row>
    <row r="420" spans="1:21" x14ac:dyDescent="0.35">
      <c r="A420" t="s">
        <v>66</v>
      </c>
      <c r="B420" t="s">
        <v>69</v>
      </c>
      <c r="C420">
        <v>39</v>
      </c>
      <c r="D420" t="s">
        <v>70</v>
      </c>
      <c r="E420" t="s">
        <v>84</v>
      </c>
      <c r="F420" t="s">
        <v>72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69</v>
      </c>
      <c r="C421">
        <v>39</v>
      </c>
      <c r="D421" t="s">
        <v>73</v>
      </c>
      <c r="E421" t="s">
        <v>84</v>
      </c>
      <c r="F421" t="s">
        <v>72</v>
      </c>
      <c r="G421">
        <v>2.1299258305192401</v>
      </c>
      <c r="H421">
        <v>2E+20</v>
      </c>
      <c r="I421">
        <v>0</v>
      </c>
      <c r="J421">
        <v>11</v>
      </c>
      <c r="K421">
        <v>10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0.475935837419309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14.545335118962701</v>
      </c>
      <c r="U421" s="5">
        <f>IF((ContinuousStatsTable[[#This Row],[RepsRequested]]&gt;1),ContinuousStatsTable[[#This Row],[HalfWidth]],ContinuousStatsTable[[#This Row],[BatchMeansHalfWidth]])</f>
        <v>1.1647272989250694</v>
      </c>
    </row>
    <row r="422" spans="1:21" x14ac:dyDescent="0.35">
      <c r="A422" t="s">
        <v>66</v>
      </c>
      <c r="B422" t="s">
        <v>69</v>
      </c>
      <c r="C422">
        <v>39</v>
      </c>
      <c r="D422" t="s">
        <v>74</v>
      </c>
      <c r="E422" t="s">
        <v>85</v>
      </c>
      <c r="F422" t="s">
        <v>76</v>
      </c>
      <c r="G422">
        <v>21.421417777932199</v>
      </c>
      <c r="H422">
        <v>2E+20</v>
      </c>
      <c r="I422">
        <v>0</v>
      </c>
      <c r="J422">
        <v>42</v>
      </c>
      <c r="K422">
        <v>40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16.614335916574898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47.992828685108996</v>
      </c>
      <c r="U422" s="5">
        <f>IF((ContinuousStatsTable[[#This Row],[RepsRequested]]&gt;1),ContinuousStatsTable[[#This Row],[HalfWidth]],ContinuousStatsTable[[#This Row],[BatchMeansHalfWidth]])</f>
        <v>2.6199410784579222</v>
      </c>
    </row>
    <row r="423" spans="1:21" x14ac:dyDescent="0.35">
      <c r="A423" t="s">
        <v>66</v>
      </c>
      <c r="B423" t="s">
        <v>69</v>
      </c>
      <c r="C423">
        <v>39</v>
      </c>
      <c r="D423" t="s">
        <v>86</v>
      </c>
      <c r="E423" t="s">
        <v>87</v>
      </c>
      <c r="F423" t="s">
        <v>88</v>
      </c>
      <c r="G423">
        <v>0.85807830584468703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0.71791407599347101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0.96105910626671998</v>
      </c>
      <c r="U423" s="5">
        <f>IF((ContinuousStatsTable[[#This Row],[RepsRequested]]&gt;1),ContinuousStatsTable[[#This Row],[HalfWidth]],ContinuousStatsTable[[#This Row],[BatchMeansHalfWidth]])</f>
        <v>2.0481590731410954E-2</v>
      </c>
    </row>
    <row r="424" spans="1:21" x14ac:dyDescent="0.35">
      <c r="A424" t="s">
        <v>66</v>
      </c>
      <c r="B424" t="s">
        <v>69</v>
      </c>
      <c r="C424">
        <v>39</v>
      </c>
      <c r="D424" t="s">
        <v>86</v>
      </c>
      <c r="E424" t="s">
        <v>89</v>
      </c>
      <c r="F424" t="s">
        <v>88</v>
      </c>
      <c r="G424">
        <v>8.5807830584468707</v>
      </c>
      <c r="H424">
        <v>2E+20</v>
      </c>
      <c r="I424">
        <v>0</v>
      </c>
      <c r="J424">
        <v>10</v>
      </c>
      <c r="K424">
        <v>10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7.1791407599347101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9.6105910626672006</v>
      </c>
      <c r="U424" s="5">
        <f>IF((ContinuousStatsTable[[#This Row],[RepsRequested]]&gt;1),ContinuousStatsTable[[#This Row],[HalfWidth]],ContinuousStatsTable[[#This Row],[BatchMeansHalfWidth]])</f>
        <v>0.20481590731410945</v>
      </c>
    </row>
    <row r="425" spans="1:21" x14ac:dyDescent="0.35">
      <c r="A425" t="s">
        <v>66</v>
      </c>
      <c r="B425" t="s">
        <v>69</v>
      </c>
      <c r="C425">
        <v>39</v>
      </c>
      <c r="D425" t="s">
        <v>86</v>
      </c>
      <c r="E425" t="s">
        <v>90</v>
      </c>
      <c r="F425" t="s">
        <v>88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69</v>
      </c>
      <c r="C426">
        <v>39</v>
      </c>
      <c r="D426" t="s">
        <v>82</v>
      </c>
      <c r="E426" t="s">
        <v>84</v>
      </c>
      <c r="F426" t="s">
        <v>72</v>
      </c>
      <c r="G426">
        <v>2.89022073388539</v>
      </c>
      <c r="H426">
        <v>2E+20</v>
      </c>
      <c r="I426">
        <v>0</v>
      </c>
      <c r="J426">
        <v>5</v>
      </c>
      <c r="K426">
        <v>4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2.1426391607582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3.27384557923344</v>
      </c>
      <c r="U426" s="5">
        <f>IF((ContinuousStatsTable[[#This Row],[RepsRequested]]&gt;1),ContinuousStatsTable[[#This Row],[HalfWidth]],ContinuousStatsTable[[#This Row],[BatchMeansHalfWidth]])</f>
        <v>9.1472887832627928E-2</v>
      </c>
    </row>
    <row r="427" spans="1:21" x14ac:dyDescent="0.35">
      <c r="A427" t="s">
        <v>66</v>
      </c>
      <c r="B427" t="s">
        <v>69</v>
      </c>
      <c r="C427">
        <v>39</v>
      </c>
      <c r="D427" t="s">
        <v>91</v>
      </c>
      <c r="E427" t="s">
        <v>87</v>
      </c>
      <c r="F427" t="s">
        <v>88</v>
      </c>
      <c r="G427">
        <v>0.96758095254889598</v>
      </c>
      <c r="H427">
        <v>2E+20</v>
      </c>
      <c r="I427">
        <v>0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0.92631153500444496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0.99913603041501298</v>
      </c>
      <c r="U427" s="5">
        <f>IF((ContinuousStatsTable[[#This Row],[RepsRequested]]&gt;1),ContinuousStatsTable[[#This Row],[HalfWidth]],ContinuousStatsTable[[#This Row],[BatchMeansHalfWidth]])</f>
        <v>6.4980603216527278E-3</v>
      </c>
    </row>
    <row r="428" spans="1:21" x14ac:dyDescent="0.35">
      <c r="A428" t="s">
        <v>66</v>
      </c>
      <c r="B428" t="s">
        <v>69</v>
      </c>
      <c r="C428">
        <v>39</v>
      </c>
      <c r="D428" t="s">
        <v>91</v>
      </c>
      <c r="E428" t="s">
        <v>89</v>
      </c>
      <c r="F428" t="s">
        <v>88</v>
      </c>
      <c r="G428">
        <v>1.93516190509779</v>
      </c>
      <c r="H428">
        <v>2E+20</v>
      </c>
      <c r="I428">
        <v>0</v>
      </c>
      <c r="J428">
        <v>2</v>
      </c>
      <c r="K428">
        <v>2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1.8526230700088899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1.99827206083003</v>
      </c>
      <c r="U428" s="5">
        <f>IF((ContinuousStatsTable[[#This Row],[RepsRequested]]&gt;1),ContinuousStatsTable[[#This Row],[HalfWidth]],ContinuousStatsTable[[#This Row],[BatchMeansHalfWidth]])</f>
        <v>1.299612064330544E-2</v>
      </c>
    </row>
    <row r="429" spans="1:21" x14ac:dyDescent="0.35">
      <c r="A429" t="s">
        <v>66</v>
      </c>
      <c r="B429" t="s">
        <v>69</v>
      </c>
      <c r="C429">
        <v>39</v>
      </c>
      <c r="D429" t="s">
        <v>91</v>
      </c>
      <c r="E429" t="s">
        <v>90</v>
      </c>
      <c r="F429" t="s">
        <v>88</v>
      </c>
      <c r="G429">
        <v>2</v>
      </c>
      <c r="H429">
        <v>2E+20</v>
      </c>
      <c r="I429">
        <v>2</v>
      </c>
      <c r="J429">
        <v>2</v>
      </c>
      <c r="K429">
        <v>2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2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2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2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69</v>
      </c>
      <c r="C430">
        <v>39</v>
      </c>
      <c r="D430" t="s">
        <v>83</v>
      </c>
      <c r="E430" t="s">
        <v>84</v>
      </c>
      <c r="F430" t="s">
        <v>72</v>
      </c>
      <c r="G430">
        <v>2.5780424395062398</v>
      </c>
      <c r="H430">
        <v>2E+20</v>
      </c>
      <c r="I430">
        <v>0</v>
      </c>
      <c r="J430">
        <v>5</v>
      </c>
      <c r="K430">
        <v>3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2.0230576660756401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3.1833377638216702</v>
      </c>
      <c r="U430" s="5">
        <f>IF((ContinuousStatsTable[[#This Row],[RepsRequested]]&gt;1),ContinuousStatsTable[[#This Row],[HalfWidth]],ContinuousStatsTable[[#This Row],[BatchMeansHalfWidth]])</f>
        <v>0.10275597124787904</v>
      </c>
    </row>
    <row r="431" spans="1:21" x14ac:dyDescent="0.35">
      <c r="A431" t="s">
        <v>66</v>
      </c>
      <c r="B431" t="s">
        <v>69</v>
      </c>
      <c r="C431">
        <v>40</v>
      </c>
      <c r="D431" t="s">
        <v>70</v>
      </c>
      <c r="E431" t="s">
        <v>84</v>
      </c>
      <c r="F431" t="s">
        <v>72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69</v>
      </c>
      <c r="C432">
        <v>40</v>
      </c>
      <c r="D432" t="s">
        <v>73</v>
      </c>
      <c r="E432" t="s">
        <v>84</v>
      </c>
      <c r="F432" t="s">
        <v>72</v>
      </c>
      <c r="G432">
        <v>1.3544965396028801</v>
      </c>
      <c r="H432">
        <v>2E+20</v>
      </c>
      <c r="I432">
        <v>0</v>
      </c>
      <c r="J432">
        <v>6</v>
      </c>
      <c r="K432">
        <v>5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5.862044820968829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3.6418723998741918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1.1647272989250694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0.475935837419309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14.545335118962701</v>
      </c>
      <c r="U432" s="5">
        <f>IF((ContinuousStatsTable[[#This Row],[RepsRequested]]&gt;1),ContinuousStatsTable[[#This Row],[HalfWidth]],ContinuousStatsTable[[#This Row],[BatchMeansHalfWidth]])</f>
        <v>1.1647272989250694</v>
      </c>
    </row>
    <row r="433" spans="1:21" x14ac:dyDescent="0.35">
      <c r="A433" t="s">
        <v>66</v>
      </c>
      <c r="B433" t="s">
        <v>69</v>
      </c>
      <c r="C433">
        <v>40</v>
      </c>
      <c r="D433" t="s">
        <v>74</v>
      </c>
      <c r="E433" t="s">
        <v>85</v>
      </c>
      <c r="F433" t="s">
        <v>76</v>
      </c>
      <c r="G433">
        <v>19.769918461428901</v>
      </c>
      <c r="H433">
        <v>2E+20</v>
      </c>
      <c r="I433">
        <v>0</v>
      </c>
      <c r="J433">
        <v>32</v>
      </c>
      <c r="K433">
        <v>30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29.304295622339577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8.1920386958719043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2.6199410784579222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16.614335916574898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47.992828685108996</v>
      </c>
      <c r="U433" s="5">
        <f>IF((ContinuousStatsTable[[#This Row],[RepsRequested]]&gt;1),ContinuousStatsTable[[#This Row],[HalfWidth]],ContinuousStatsTable[[#This Row],[BatchMeansHalfWidth]])</f>
        <v>2.6199410784579222</v>
      </c>
    </row>
    <row r="434" spans="1:21" x14ac:dyDescent="0.35">
      <c r="A434" t="s">
        <v>66</v>
      </c>
      <c r="B434" t="s">
        <v>69</v>
      </c>
      <c r="C434">
        <v>40</v>
      </c>
      <c r="D434" t="s">
        <v>86</v>
      </c>
      <c r="E434" t="s">
        <v>87</v>
      </c>
      <c r="F434" t="s">
        <v>88</v>
      </c>
      <c r="G434">
        <v>0.853046269111157</v>
      </c>
      <c r="H434">
        <v>2E+20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0.8790102990200962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6.4041892088461574E-2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2.0481590731410954E-2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0.71791407599347101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0.96105910626671998</v>
      </c>
      <c r="U434" s="5">
        <f>IF((ContinuousStatsTable[[#This Row],[RepsRequested]]&gt;1),ContinuousStatsTable[[#This Row],[HalfWidth]],ContinuousStatsTable[[#This Row],[BatchMeansHalfWidth]])</f>
        <v>2.0481590731410954E-2</v>
      </c>
    </row>
    <row r="435" spans="1:21" x14ac:dyDescent="0.35">
      <c r="A435" t="s">
        <v>66</v>
      </c>
      <c r="B435" t="s">
        <v>69</v>
      </c>
      <c r="C435">
        <v>40</v>
      </c>
      <c r="D435" t="s">
        <v>86</v>
      </c>
      <c r="E435" t="s">
        <v>89</v>
      </c>
      <c r="F435" t="s">
        <v>88</v>
      </c>
      <c r="G435">
        <v>8.5304626911115697</v>
      </c>
      <c r="H435">
        <v>2E+20</v>
      </c>
      <c r="I435">
        <v>0</v>
      </c>
      <c r="J435">
        <v>10</v>
      </c>
      <c r="K435">
        <v>10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8.790102990200964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0.64041892088461538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0.20481590731410945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7.1791407599347101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9.6105910626672006</v>
      </c>
      <c r="U435" s="5">
        <f>IF((ContinuousStatsTable[[#This Row],[RepsRequested]]&gt;1),ContinuousStatsTable[[#This Row],[HalfWidth]],ContinuousStatsTable[[#This Row],[BatchMeansHalfWidth]])</f>
        <v>0.20481590731410945</v>
      </c>
    </row>
    <row r="436" spans="1:21" x14ac:dyDescent="0.35">
      <c r="A436" t="s">
        <v>66</v>
      </c>
      <c r="B436" t="s">
        <v>69</v>
      </c>
      <c r="C436">
        <v>40</v>
      </c>
      <c r="D436" t="s">
        <v>86</v>
      </c>
      <c r="E436" t="s">
        <v>90</v>
      </c>
      <c r="F436" t="s">
        <v>88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69</v>
      </c>
      <c r="C437">
        <v>40</v>
      </c>
      <c r="D437" t="s">
        <v>82</v>
      </c>
      <c r="E437" t="s">
        <v>84</v>
      </c>
      <c r="F437" t="s">
        <v>72</v>
      </c>
      <c r="G437">
        <v>2.7146643604673701</v>
      </c>
      <c r="H437">
        <v>2E+20</v>
      </c>
      <c r="I437">
        <v>0</v>
      </c>
      <c r="J437">
        <v>6</v>
      </c>
      <c r="K437">
        <v>4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2.8792341846950738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0.28601766769087028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9.1472887832627928E-2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2.1426391607582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3.27384557923344</v>
      </c>
      <c r="U437" s="5">
        <f>IF((ContinuousStatsTable[[#This Row],[RepsRequested]]&gt;1),ContinuousStatsTable[[#This Row],[HalfWidth]],ContinuousStatsTable[[#This Row],[BatchMeansHalfWidth]])</f>
        <v>9.1472887832627928E-2</v>
      </c>
    </row>
    <row r="438" spans="1:21" x14ac:dyDescent="0.35">
      <c r="A438" t="s">
        <v>66</v>
      </c>
      <c r="B438" t="s">
        <v>69</v>
      </c>
      <c r="C438">
        <v>40</v>
      </c>
      <c r="D438" t="s">
        <v>91</v>
      </c>
      <c r="E438" t="s">
        <v>87</v>
      </c>
      <c r="F438" t="s">
        <v>88</v>
      </c>
      <c r="G438">
        <v>0.97513747162922904</v>
      </c>
      <c r="H438">
        <v>2E+20</v>
      </c>
      <c r="I438">
        <v>0</v>
      </c>
      <c r="J438">
        <v>1</v>
      </c>
      <c r="K438">
        <v>1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0.97764323127952735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2.0318152206087455E-2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6.4980603216527278E-3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0.92631153500444496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0.99913603041501298</v>
      </c>
      <c r="U438" s="5">
        <f>IF((ContinuousStatsTable[[#This Row],[RepsRequested]]&gt;1),ContinuousStatsTable[[#This Row],[HalfWidth]],ContinuousStatsTable[[#This Row],[BatchMeansHalfWidth]])</f>
        <v>6.4980603216527278E-3</v>
      </c>
    </row>
    <row r="439" spans="1:21" x14ac:dyDescent="0.35">
      <c r="A439" t="s">
        <v>66</v>
      </c>
      <c r="B439" t="s">
        <v>69</v>
      </c>
      <c r="C439">
        <v>40</v>
      </c>
      <c r="D439" t="s">
        <v>91</v>
      </c>
      <c r="E439" t="s">
        <v>89</v>
      </c>
      <c r="F439" t="s">
        <v>88</v>
      </c>
      <c r="G439">
        <v>1.9502749432584601</v>
      </c>
      <c r="H439">
        <v>2E+20</v>
      </c>
      <c r="I439">
        <v>0</v>
      </c>
      <c r="J439">
        <v>2</v>
      </c>
      <c r="K439">
        <v>2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1.9552864625590551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4.0636304412174862E-2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1.299612064330544E-2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1.8526230700088899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1.99827206083003</v>
      </c>
      <c r="U439" s="5">
        <f>IF((ContinuousStatsTable[[#This Row],[RepsRequested]]&gt;1),ContinuousStatsTable[[#This Row],[HalfWidth]],ContinuousStatsTable[[#This Row],[BatchMeansHalfWidth]])</f>
        <v>1.299612064330544E-2</v>
      </c>
    </row>
    <row r="440" spans="1:21" x14ac:dyDescent="0.35">
      <c r="A440" t="s">
        <v>66</v>
      </c>
      <c r="B440" t="s">
        <v>69</v>
      </c>
      <c r="C440">
        <v>40</v>
      </c>
      <c r="D440" t="s">
        <v>91</v>
      </c>
      <c r="E440" t="s">
        <v>90</v>
      </c>
      <c r="F440" t="s">
        <v>88</v>
      </c>
      <c r="G440">
        <v>2</v>
      </c>
      <c r="H440">
        <v>2E+20</v>
      </c>
      <c r="I440">
        <v>2</v>
      </c>
      <c r="J440">
        <v>2</v>
      </c>
      <c r="K440">
        <v>2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2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2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2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69</v>
      </c>
      <c r="C441">
        <v>40</v>
      </c>
      <c r="D441" t="s">
        <v>83</v>
      </c>
      <c r="E441" t="s">
        <v>84</v>
      </c>
      <c r="F441" t="s">
        <v>72</v>
      </c>
      <c r="G441">
        <v>2.63886080909927</v>
      </c>
      <c r="H441">
        <v>2E+20</v>
      </c>
      <c r="I441">
        <v>0</v>
      </c>
      <c r="J441">
        <v>6</v>
      </c>
      <c r="K441">
        <v>2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2.7691259059879112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0.32129764276607009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0.10275597124787904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2.0230576660756401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3.1833377638216702</v>
      </c>
      <c r="U441" s="5">
        <f>IF((ContinuousStatsTable[[#This Row],[RepsRequested]]&gt;1),ContinuousStatsTable[[#This Row],[HalfWidth]],ContinuousStatsTable[[#This Row],[BatchMeansHalfWidth]])</f>
        <v>0.10275597124787904</v>
      </c>
    </row>
  </sheetData>
  <phoneticPr fontId="2" type="noConversion"/>
  <conditionalFormatting sqref="H2:H441">
    <cfRule type="expression" dxfId="11" priority="9">
      <formula>H2=200000000000000000000</formula>
    </cfRule>
  </conditionalFormatting>
  <conditionalFormatting sqref="H2:H441">
    <cfRule type="expression" dxfId="10" priority="7">
      <formula>H2=300000000000000000000</formula>
    </cfRule>
  </conditionalFormatting>
  <conditionalFormatting sqref="M2:U441">
    <cfRule type="expression" dxfId="9" priority="5">
      <formula>MOD(ROW(),2)=0</formula>
    </cfRule>
  </conditionalFormatting>
  <conditionalFormatting sqref="U2:U44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41 U2:U44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94</v>
      </c>
      <c r="G2">
        <v>42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43.25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1.1491356841177722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" cm="1">
        <f t="array" ref="N2">MIN(IF((CountersTable[GroupByKey]=CountersTable[[#This Row],[GroupByKey]]),(CountersTable[GroupByKey]=CountersTable[[#This Row],[GroupByKey]])*CountersTable[RecordedValue]))</f>
        <v>41</v>
      </c>
      <c r="O2" cm="1">
        <f t="array" ref="O2">MAX(IF((CountersTable[GroupByKey]=CountersTable[[#This Row],[GroupByKey]]),(CountersTable[GroupByKey]=CountersTable[[#This Row],[GroupByKey]])*CountersTable[RecordedValue]))</f>
        <v>46</v>
      </c>
    </row>
    <row r="3" spans="1:15" x14ac:dyDescent="0.35">
      <c r="A3" t="s">
        <v>66</v>
      </c>
      <c r="B3" t="s">
        <v>69</v>
      </c>
      <c r="C3">
        <v>1</v>
      </c>
      <c r="D3" t="s">
        <v>95</v>
      </c>
      <c r="E3" t="s">
        <v>93</v>
      </c>
      <c r="F3" t="s">
        <v>94</v>
      </c>
      <c r="G3">
        <v>42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43.25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1.1491356841177722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" cm="1">
        <f t="array" ref="N3">MIN(IF((CountersTable[GroupByKey]=CountersTable[[#This Row],[GroupByKey]]),(CountersTable[GroupByKey]=CountersTable[[#This Row],[GroupByKey]])*CountersTable[RecordedValue]))</f>
        <v>41</v>
      </c>
      <c r="O3" cm="1">
        <f t="array" ref="O3">MAX(IF((CountersTable[GroupByKey]=CountersTable[[#This Row],[GroupByKey]]),(CountersTable[GroupByKey]=CountersTable[[#This Row],[GroupByKey]])*CountersTable[RecordedValue]))</f>
        <v>46</v>
      </c>
    </row>
    <row r="4" spans="1:15" x14ac:dyDescent="0.35">
      <c r="A4" t="s">
        <v>66</v>
      </c>
      <c r="B4" t="s">
        <v>69</v>
      </c>
      <c r="C4">
        <v>1</v>
      </c>
      <c r="D4" t="s">
        <v>96</v>
      </c>
      <c r="E4" t="s">
        <v>93</v>
      </c>
      <c r="F4" t="s">
        <v>94</v>
      </c>
      <c r="G4">
        <v>26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27.15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2.5874450322416114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4" cm="1">
        <f t="array" ref="N4">MIN(IF((CountersTable[GroupByKey]=CountersTable[[#This Row],[GroupByKey]]),(CountersTable[GroupByKey]=CountersTable[[#This Row],[GroupByKey]])*CountersTable[RecordedValue]))</f>
        <v>21</v>
      </c>
      <c r="O4" cm="1">
        <f t="array" ref="O4">MAX(IF((CountersTable[GroupByKey]=CountersTable[[#This Row],[GroupByKey]]),(CountersTable[GroupByKey]=CountersTable[[#This Row],[GroupByKey]])*CountersTable[RecordedValue]))</f>
        <v>32</v>
      </c>
    </row>
    <row r="5" spans="1:15" x14ac:dyDescent="0.35">
      <c r="A5" t="s">
        <v>66</v>
      </c>
      <c r="B5" t="s">
        <v>69</v>
      </c>
      <c r="C5">
        <v>2</v>
      </c>
      <c r="D5" t="s">
        <v>92</v>
      </c>
      <c r="E5" t="s">
        <v>93</v>
      </c>
      <c r="F5" t="s">
        <v>94</v>
      </c>
      <c r="G5">
        <v>44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43.25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1.1491356841177722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" cm="1">
        <f t="array" ref="N5">MIN(IF((CountersTable[GroupByKey]=CountersTable[[#This Row],[GroupByKey]]),(CountersTable[GroupByKey]=CountersTable[[#This Row],[GroupByKey]])*CountersTable[RecordedValue]))</f>
        <v>41</v>
      </c>
      <c r="O5" cm="1">
        <f t="array" ref="O5">MAX(IF((CountersTable[GroupByKey]=CountersTable[[#This Row],[GroupByKey]]),(CountersTable[GroupByKey]=CountersTable[[#This Row],[GroupByKey]])*CountersTable[RecordedValue]))</f>
        <v>46</v>
      </c>
    </row>
    <row r="6" spans="1:15" x14ac:dyDescent="0.35">
      <c r="A6" t="s">
        <v>66</v>
      </c>
      <c r="B6" t="s">
        <v>69</v>
      </c>
      <c r="C6">
        <v>2</v>
      </c>
      <c r="D6" t="s">
        <v>95</v>
      </c>
      <c r="E6" t="s">
        <v>93</v>
      </c>
      <c r="F6" t="s">
        <v>94</v>
      </c>
      <c r="G6">
        <v>44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43.25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1.1491356841177722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" cm="1">
        <f t="array" ref="N6">MIN(IF((CountersTable[GroupByKey]=CountersTable[[#This Row],[GroupByKey]]),(CountersTable[GroupByKey]=CountersTable[[#This Row],[GroupByKey]])*CountersTable[RecordedValue]))</f>
        <v>41</v>
      </c>
      <c r="O6" cm="1">
        <f t="array" ref="O6">MAX(IF((CountersTable[GroupByKey]=CountersTable[[#This Row],[GroupByKey]]),(CountersTable[GroupByKey]=CountersTable[[#This Row],[GroupByKey]])*CountersTable[RecordedValue]))</f>
        <v>46</v>
      </c>
    </row>
    <row r="7" spans="1:15" x14ac:dyDescent="0.35">
      <c r="A7" t="s">
        <v>66</v>
      </c>
      <c r="B7" t="s">
        <v>69</v>
      </c>
      <c r="C7">
        <v>2</v>
      </c>
      <c r="D7" t="s">
        <v>96</v>
      </c>
      <c r="E7" t="s">
        <v>93</v>
      </c>
      <c r="F7" t="s">
        <v>94</v>
      </c>
      <c r="G7">
        <v>26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27.15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2.5874450322416114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7" cm="1">
        <f t="array" ref="N7">MIN(IF((CountersTable[GroupByKey]=CountersTable[[#This Row],[GroupByKey]]),(CountersTable[GroupByKey]=CountersTable[[#This Row],[GroupByKey]])*CountersTable[RecordedValue]))</f>
        <v>21</v>
      </c>
      <c r="O7" cm="1">
        <f t="array" ref="O7">MAX(IF((CountersTable[GroupByKey]=CountersTable[[#This Row],[GroupByKey]]),(CountersTable[GroupByKey]=CountersTable[[#This Row],[GroupByKey]])*CountersTable[RecordedValue]))</f>
        <v>32</v>
      </c>
    </row>
    <row r="8" spans="1:15" x14ac:dyDescent="0.35">
      <c r="A8" t="s">
        <v>66</v>
      </c>
      <c r="B8" t="s">
        <v>69</v>
      </c>
      <c r="C8">
        <v>3</v>
      </c>
      <c r="D8" t="s">
        <v>92</v>
      </c>
      <c r="E8" t="s">
        <v>93</v>
      </c>
      <c r="F8" t="s">
        <v>94</v>
      </c>
      <c r="G8">
        <v>44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43.25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1.1491356841177722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" cm="1">
        <f t="array" ref="N8">MIN(IF((CountersTable[GroupByKey]=CountersTable[[#This Row],[GroupByKey]]),(CountersTable[GroupByKey]=CountersTable[[#This Row],[GroupByKey]])*CountersTable[RecordedValue]))</f>
        <v>41</v>
      </c>
      <c r="O8" cm="1">
        <f t="array" ref="O8">MAX(IF((CountersTable[GroupByKey]=CountersTable[[#This Row],[GroupByKey]]),(CountersTable[GroupByKey]=CountersTable[[#This Row],[GroupByKey]])*CountersTable[RecordedValue]))</f>
        <v>46</v>
      </c>
    </row>
    <row r="9" spans="1:15" x14ac:dyDescent="0.35">
      <c r="A9" t="s">
        <v>66</v>
      </c>
      <c r="B9" t="s">
        <v>69</v>
      </c>
      <c r="C9">
        <v>3</v>
      </c>
      <c r="D9" t="s">
        <v>95</v>
      </c>
      <c r="E9" t="s">
        <v>93</v>
      </c>
      <c r="F9" t="s">
        <v>94</v>
      </c>
      <c r="G9">
        <v>44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43.25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1.1491356841177722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" cm="1">
        <f t="array" ref="N9">MIN(IF((CountersTable[GroupByKey]=CountersTable[[#This Row],[GroupByKey]]),(CountersTable[GroupByKey]=CountersTable[[#This Row],[GroupByKey]])*CountersTable[RecordedValue]))</f>
        <v>41</v>
      </c>
      <c r="O9" cm="1">
        <f t="array" ref="O9">MAX(IF((CountersTable[GroupByKey]=CountersTable[[#This Row],[GroupByKey]]),(CountersTable[GroupByKey]=CountersTable[[#This Row],[GroupByKey]])*CountersTable[RecordedValue]))</f>
        <v>46</v>
      </c>
    </row>
    <row r="10" spans="1:15" x14ac:dyDescent="0.35">
      <c r="A10" t="s">
        <v>66</v>
      </c>
      <c r="B10" t="s">
        <v>69</v>
      </c>
      <c r="C10">
        <v>3</v>
      </c>
      <c r="D10" t="s">
        <v>96</v>
      </c>
      <c r="E10" t="s">
        <v>93</v>
      </c>
      <c r="F10" t="s">
        <v>94</v>
      </c>
      <c r="G10">
        <v>29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27.15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2.5874450322416114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0" cm="1">
        <f t="array" ref="N10">MIN(IF((CountersTable[GroupByKey]=CountersTable[[#This Row],[GroupByKey]]),(CountersTable[GroupByKey]=CountersTable[[#This Row],[GroupByKey]])*CountersTable[RecordedValue]))</f>
        <v>21</v>
      </c>
      <c r="O10" cm="1">
        <f t="array" ref="O10">MAX(IF((CountersTable[GroupByKey]=CountersTable[[#This Row],[GroupByKey]]),(CountersTable[GroupByKey]=CountersTable[[#This Row],[GroupByKey]])*CountersTable[RecordedValue]))</f>
        <v>32</v>
      </c>
    </row>
    <row r="11" spans="1:15" x14ac:dyDescent="0.35">
      <c r="A11" t="s">
        <v>66</v>
      </c>
      <c r="B11" t="s">
        <v>69</v>
      </c>
      <c r="C11">
        <v>4</v>
      </c>
      <c r="D11" t="s">
        <v>92</v>
      </c>
      <c r="E11" t="s">
        <v>93</v>
      </c>
      <c r="F11" t="s">
        <v>94</v>
      </c>
      <c r="G11">
        <v>42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43.25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1.1491356841177722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" cm="1">
        <f t="array" ref="N11">MIN(IF((CountersTable[GroupByKey]=CountersTable[[#This Row],[GroupByKey]]),(CountersTable[GroupByKey]=CountersTable[[#This Row],[GroupByKey]])*CountersTable[RecordedValue]))</f>
        <v>41</v>
      </c>
      <c r="O11" cm="1">
        <f t="array" ref="O11">MAX(IF((CountersTable[GroupByKey]=CountersTable[[#This Row],[GroupByKey]]),(CountersTable[GroupByKey]=CountersTable[[#This Row],[GroupByKey]])*CountersTable[RecordedValue]))</f>
        <v>46</v>
      </c>
    </row>
    <row r="12" spans="1:15" x14ac:dyDescent="0.35">
      <c r="A12" t="s">
        <v>66</v>
      </c>
      <c r="B12" t="s">
        <v>69</v>
      </c>
      <c r="C12">
        <v>4</v>
      </c>
      <c r="D12" t="s">
        <v>95</v>
      </c>
      <c r="E12" t="s">
        <v>93</v>
      </c>
      <c r="F12" t="s">
        <v>94</v>
      </c>
      <c r="G12">
        <v>42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43.25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1.1491356841177722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2" cm="1">
        <f t="array" ref="N12">MIN(IF((CountersTable[GroupByKey]=CountersTable[[#This Row],[GroupByKey]]),(CountersTable[GroupByKey]=CountersTable[[#This Row],[GroupByKey]])*CountersTable[RecordedValue]))</f>
        <v>41</v>
      </c>
      <c r="O12" cm="1">
        <f t="array" ref="O12">MAX(IF((CountersTable[GroupByKey]=CountersTable[[#This Row],[GroupByKey]]),(CountersTable[GroupByKey]=CountersTable[[#This Row],[GroupByKey]])*CountersTable[RecordedValue]))</f>
        <v>46</v>
      </c>
    </row>
    <row r="13" spans="1:15" x14ac:dyDescent="0.35">
      <c r="A13" t="s">
        <v>66</v>
      </c>
      <c r="B13" t="s">
        <v>69</v>
      </c>
      <c r="C13">
        <v>4</v>
      </c>
      <c r="D13" t="s">
        <v>96</v>
      </c>
      <c r="E13" t="s">
        <v>93</v>
      </c>
      <c r="F13" t="s">
        <v>94</v>
      </c>
      <c r="G13">
        <v>27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27.15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2.5874450322416114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3" cm="1">
        <f t="array" ref="N13">MIN(IF((CountersTable[GroupByKey]=CountersTable[[#This Row],[GroupByKey]]),(CountersTable[GroupByKey]=CountersTable[[#This Row],[GroupByKey]])*CountersTable[RecordedValue]))</f>
        <v>21</v>
      </c>
      <c r="O13" cm="1">
        <f t="array" ref="O13">MAX(IF((CountersTable[GroupByKey]=CountersTable[[#This Row],[GroupByKey]]),(CountersTable[GroupByKey]=CountersTable[[#This Row],[GroupByKey]])*CountersTable[RecordedValue]))</f>
        <v>32</v>
      </c>
    </row>
    <row r="14" spans="1:15" x14ac:dyDescent="0.35">
      <c r="A14" t="s">
        <v>66</v>
      </c>
      <c r="B14" t="s">
        <v>69</v>
      </c>
      <c r="C14">
        <v>5</v>
      </c>
      <c r="D14" t="s">
        <v>92</v>
      </c>
      <c r="E14" t="s">
        <v>93</v>
      </c>
      <c r="F14" t="s">
        <v>94</v>
      </c>
      <c r="G14">
        <v>43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43.25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1.1491356841177722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4" cm="1">
        <f t="array" ref="N14">MIN(IF((CountersTable[GroupByKey]=CountersTable[[#This Row],[GroupByKey]]),(CountersTable[GroupByKey]=CountersTable[[#This Row],[GroupByKey]])*CountersTable[RecordedValue]))</f>
        <v>41</v>
      </c>
      <c r="O14" cm="1">
        <f t="array" ref="O14">MAX(IF((CountersTable[GroupByKey]=CountersTable[[#This Row],[GroupByKey]]),(CountersTable[GroupByKey]=CountersTable[[#This Row],[GroupByKey]])*CountersTable[RecordedValue]))</f>
        <v>46</v>
      </c>
    </row>
    <row r="15" spans="1:15" x14ac:dyDescent="0.35">
      <c r="A15" t="s">
        <v>66</v>
      </c>
      <c r="B15" t="s">
        <v>69</v>
      </c>
      <c r="C15">
        <v>5</v>
      </c>
      <c r="D15" t="s">
        <v>95</v>
      </c>
      <c r="E15" t="s">
        <v>93</v>
      </c>
      <c r="F15" t="s">
        <v>94</v>
      </c>
      <c r="G15">
        <v>43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43.25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1.1491356841177722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5" cm="1">
        <f t="array" ref="N15">MIN(IF((CountersTable[GroupByKey]=CountersTable[[#This Row],[GroupByKey]]),(CountersTable[GroupByKey]=CountersTable[[#This Row],[GroupByKey]])*CountersTable[RecordedValue]))</f>
        <v>41</v>
      </c>
      <c r="O15" cm="1">
        <f t="array" ref="O15">MAX(IF((CountersTable[GroupByKey]=CountersTable[[#This Row],[GroupByKey]]),(CountersTable[GroupByKey]=CountersTable[[#This Row],[GroupByKey]])*CountersTable[RecordedValue]))</f>
        <v>46</v>
      </c>
    </row>
    <row r="16" spans="1:15" x14ac:dyDescent="0.35">
      <c r="A16" t="s">
        <v>66</v>
      </c>
      <c r="B16" t="s">
        <v>69</v>
      </c>
      <c r="C16">
        <v>5</v>
      </c>
      <c r="D16" t="s">
        <v>96</v>
      </c>
      <c r="E16" t="s">
        <v>93</v>
      </c>
      <c r="F16" t="s">
        <v>94</v>
      </c>
      <c r="G16">
        <v>26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27.15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2.5874450322416114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6" cm="1">
        <f t="array" ref="N16">MIN(IF((CountersTable[GroupByKey]=CountersTable[[#This Row],[GroupByKey]]),(CountersTable[GroupByKey]=CountersTable[[#This Row],[GroupByKey]])*CountersTable[RecordedValue]))</f>
        <v>21</v>
      </c>
      <c r="O16" cm="1">
        <f t="array" ref="O16">MAX(IF((CountersTable[GroupByKey]=CountersTable[[#This Row],[GroupByKey]]),(CountersTable[GroupByKey]=CountersTable[[#This Row],[GroupByKey]])*CountersTable[RecordedValue]))</f>
        <v>32</v>
      </c>
    </row>
    <row r="17" spans="1:15" x14ac:dyDescent="0.35">
      <c r="A17" t="s">
        <v>66</v>
      </c>
      <c r="B17" t="s">
        <v>69</v>
      </c>
      <c r="C17">
        <v>6</v>
      </c>
      <c r="D17" t="s">
        <v>92</v>
      </c>
      <c r="E17" t="s">
        <v>93</v>
      </c>
      <c r="F17" t="s">
        <v>94</v>
      </c>
      <c r="G17">
        <v>44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43.25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1.1491356841177722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7" cm="1">
        <f t="array" ref="N17">MIN(IF((CountersTable[GroupByKey]=CountersTable[[#This Row],[GroupByKey]]),(CountersTable[GroupByKey]=CountersTable[[#This Row],[GroupByKey]])*CountersTable[RecordedValue]))</f>
        <v>41</v>
      </c>
      <c r="O17" cm="1">
        <f t="array" ref="O17">MAX(IF((CountersTable[GroupByKey]=CountersTable[[#This Row],[GroupByKey]]),(CountersTable[GroupByKey]=CountersTable[[#This Row],[GroupByKey]])*CountersTable[RecordedValue]))</f>
        <v>46</v>
      </c>
    </row>
    <row r="18" spans="1:15" x14ac:dyDescent="0.35">
      <c r="A18" t="s">
        <v>66</v>
      </c>
      <c r="B18" t="s">
        <v>69</v>
      </c>
      <c r="C18">
        <v>6</v>
      </c>
      <c r="D18" t="s">
        <v>95</v>
      </c>
      <c r="E18" t="s">
        <v>93</v>
      </c>
      <c r="F18" t="s">
        <v>94</v>
      </c>
      <c r="G18">
        <v>44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43.25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1.1491356841177722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8" cm="1">
        <f t="array" ref="N18">MIN(IF((CountersTable[GroupByKey]=CountersTable[[#This Row],[GroupByKey]]),(CountersTable[GroupByKey]=CountersTable[[#This Row],[GroupByKey]])*CountersTable[RecordedValue]))</f>
        <v>41</v>
      </c>
      <c r="O18" cm="1">
        <f t="array" ref="O18">MAX(IF((CountersTable[GroupByKey]=CountersTable[[#This Row],[GroupByKey]]),(CountersTable[GroupByKey]=CountersTable[[#This Row],[GroupByKey]])*CountersTable[RecordedValue]))</f>
        <v>46</v>
      </c>
    </row>
    <row r="19" spans="1:15" x14ac:dyDescent="0.35">
      <c r="A19" t="s">
        <v>66</v>
      </c>
      <c r="B19" t="s">
        <v>69</v>
      </c>
      <c r="C19">
        <v>6</v>
      </c>
      <c r="D19" t="s">
        <v>96</v>
      </c>
      <c r="E19" t="s">
        <v>93</v>
      </c>
      <c r="F19" t="s">
        <v>94</v>
      </c>
      <c r="G19">
        <v>21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27.15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2.5874450322416114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9" cm="1">
        <f t="array" ref="N19">MIN(IF((CountersTable[GroupByKey]=CountersTable[[#This Row],[GroupByKey]]),(CountersTable[GroupByKey]=CountersTable[[#This Row],[GroupByKey]])*CountersTable[RecordedValue]))</f>
        <v>21</v>
      </c>
      <c r="O19" cm="1">
        <f t="array" ref="O19">MAX(IF((CountersTable[GroupByKey]=CountersTable[[#This Row],[GroupByKey]]),(CountersTable[GroupByKey]=CountersTable[[#This Row],[GroupByKey]])*CountersTable[RecordedValue]))</f>
        <v>32</v>
      </c>
    </row>
    <row r="20" spans="1:15" x14ac:dyDescent="0.35">
      <c r="A20" t="s">
        <v>66</v>
      </c>
      <c r="B20" t="s">
        <v>69</v>
      </c>
      <c r="C20">
        <v>7</v>
      </c>
      <c r="D20" t="s">
        <v>92</v>
      </c>
      <c r="E20" t="s">
        <v>93</v>
      </c>
      <c r="F20" t="s">
        <v>94</v>
      </c>
      <c r="G20">
        <v>43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43.25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1.1491356841177722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0" cm="1">
        <f t="array" ref="N20">MIN(IF((CountersTable[GroupByKey]=CountersTable[[#This Row],[GroupByKey]]),(CountersTable[GroupByKey]=CountersTable[[#This Row],[GroupByKey]])*CountersTable[RecordedValue]))</f>
        <v>41</v>
      </c>
      <c r="O20" cm="1">
        <f t="array" ref="O20">MAX(IF((CountersTable[GroupByKey]=CountersTable[[#This Row],[GroupByKey]]),(CountersTable[GroupByKey]=CountersTable[[#This Row],[GroupByKey]])*CountersTable[RecordedValue]))</f>
        <v>46</v>
      </c>
    </row>
    <row r="21" spans="1:15" x14ac:dyDescent="0.35">
      <c r="A21" t="s">
        <v>66</v>
      </c>
      <c r="B21" t="s">
        <v>69</v>
      </c>
      <c r="C21">
        <v>7</v>
      </c>
      <c r="D21" t="s">
        <v>95</v>
      </c>
      <c r="E21" t="s">
        <v>93</v>
      </c>
      <c r="F21" t="s">
        <v>94</v>
      </c>
      <c r="G21">
        <v>43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43.25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1.1491356841177722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1" cm="1">
        <f t="array" ref="N21">MIN(IF((CountersTable[GroupByKey]=CountersTable[[#This Row],[GroupByKey]]),(CountersTable[GroupByKey]=CountersTable[[#This Row],[GroupByKey]])*CountersTable[RecordedValue]))</f>
        <v>41</v>
      </c>
      <c r="O21" cm="1">
        <f t="array" ref="O21">MAX(IF((CountersTable[GroupByKey]=CountersTable[[#This Row],[GroupByKey]]),(CountersTable[GroupByKey]=CountersTable[[#This Row],[GroupByKey]])*CountersTable[RecordedValue]))</f>
        <v>46</v>
      </c>
    </row>
    <row r="22" spans="1:15" x14ac:dyDescent="0.35">
      <c r="A22" t="s">
        <v>66</v>
      </c>
      <c r="B22" t="s">
        <v>69</v>
      </c>
      <c r="C22">
        <v>7</v>
      </c>
      <c r="D22" t="s">
        <v>96</v>
      </c>
      <c r="E22" t="s">
        <v>93</v>
      </c>
      <c r="F22" t="s">
        <v>94</v>
      </c>
      <c r="G22">
        <v>26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27.15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2.5874450322416114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22" cm="1">
        <f t="array" ref="N22">MIN(IF((CountersTable[GroupByKey]=CountersTable[[#This Row],[GroupByKey]]),(CountersTable[GroupByKey]=CountersTable[[#This Row],[GroupByKey]])*CountersTable[RecordedValue]))</f>
        <v>21</v>
      </c>
      <c r="O22" cm="1">
        <f t="array" ref="O22">MAX(IF((CountersTable[GroupByKey]=CountersTable[[#This Row],[GroupByKey]]),(CountersTable[GroupByKey]=CountersTable[[#This Row],[GroupByKey]])*CountersTable[RecordedValue]))</f>
        <v>32</v>
      </c>
    </row>
    <row r="23" spans="1:15" x14ac:dyDescent="0.35">
      <c r="A23" t="s">
        <v>66</v>
      </c>
      <c r="B23" t="s">
        <v>69</v>
      </c>
      <c r="C23">
        <v>8</v>
      </c>
      <c r="D23" t="s">
        <v>92</v>
      </c>
      <c r="E23" t="s">
        <v>93</v>
      </c>
      <c r="F23" t="s">
        <v>94</v>
      </c>
      <c r="G23">
        <v>43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43.25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1.1491356841177722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3" cm="1">
        <f t="array" ref="N23">MIN(IF((CountersTable[GroupByKey]=CountersTable[[#This Row],[GroupByKey]]),(CountersTable[GroupByKey]=CountersTable[[#This Row],[GroupByKey]])*CountersTable[RecordedValue]))</f>
        <v>41</v>
      </c>
      <c r="O23" cm="1">
        <f t="array" ref="O23">MAX(IF((CountersTable[GroupByKey]=CountersTable[[#This Row],[GroupByKey]]),(CountersTable[GroupByKey]=CountersTable[[#This Row],[GroupByKey]])*CountersTable[RecordedValue]))</f>
        <v>46</v>
      </c>
    </row>
    <row r="24" spans="1:15" x14ac:dyDescent="0.35">
      <c r="A24" t="s">
        <v>66</v>
      </c>
      <c r="B24" t="s">
        <v>69</v>
      </c>
      <c r="C24">
        <v>8</v>
      </c>
      <c r="D24" t="s">
        <v>95</v>
      </c>
      <c r="E24" t="s">
        <v>93</v>
      </c>
      <c r="F24" t="s">
        <v>94</v>
      </c>
      <c r="G24">
        <v>43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43.25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1.1491356841177722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4" cm="1">
        <f t="array" ref="N24">MIN(IF((CountersTable[GroupByKey]=CountersTable[[#This Row],[GroupByKey]]),(CountersTable[GroupByKey]=CountersTable[[#This Row],[GroupByKey]])*CountersTable[RecordedValue]))</f>
        <v>41</v>
      </c>
      <c r="O24" cm="1">
        <f t="array" ref="O24">MAX(IF((CountersTable[GroupByKey]=CountersTable[[#This Row],[GroupByKey]]),(CountersTable[GroupByKey]=CountersTable[[#This Row],[GroupByKey]])*CountersTable[RecordedValue]))</f>
        <v>46</v>
      </c>
    </row>
    <row r="25" spans="1:15" x14ac:dyDescent="0.35">
      <c r="A25" t="s">
        <v>66</v>
      </c>
      <c r="B25" t="s">
        <v>69</v>
      </c>
      <c r="C25">
        <v>8</v>
      </c>
      <c r="D25" t="s">
        <v>96</v>
      </c>
      <c r="E25" t="s">
        <v>93</v>
      </c>
      <c r="F25" t="s">
        <v>94</v>
      </c>
      <c r="G25">
        <v>27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27.15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2.5874450322416114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25" cm="1">
        <f t="array" ref="N25">MIN(IF((CountersTable[GroupByKey]=CountersTable[[#This Row],[GroupByKey]]),(CountersTable[GroupByKey]=CountersTable[[#This Row],[GroupByKey]])*CountersTable[RecordedValue]))</f>
        <v>21</v>
      </c>
      <c r="O25" cm="1">
        <f t="array" ref="O25">MAX(IF((CountersTable[GroupByKey]=CountersTable[[#This Row],[GroupByKey]]),(CountersTable[GroupByKey]=CountersTable[[#This Row],[GroupByKey]])*CountersTable[RecordedValue]))</f>
        <v>32</v>
      </c>
    </row>
    <row r="26" spans="1:15" x14ac:dyDescent="0.35">
      <c r="A26" t="s">
        <v>66</v>
      </c>
      <c r="B26" t="s">
        <v>69</v>
      </c>
      <c r="C26">
        <v>9</v>
      </c>
      <c r="D26" t="s">
        <v>92</v>
      </c>
      <c r="E26" t="s">
        <v>93</v>
      </c>
      <c r="F26" t="s">
        <v>94</v>
      </c>
      <c r="G26">
        <v>43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43.25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1.1491356841177722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6" cm="1">
        <f t="array" ref="N26">MIN(IF((CountersTable[GroupByKey]=CountersTable[[#This Row],[GroupByKey]]),(CountersTable[GroupByKey]=CountersTable[[#This Row],[GroupByKey]])*CountersTable[RecordedValue]))</f>
        <v>41</v>
      </c>
      <c r="O26" cm="1">
        <f t="array" ref="O26">MAX(IF((CountersTable[GroupByKey]=CountersTable[[#This Row],[GroupByKey]]),(CountersTable[GroupByKey]=CountersTable[[#This Row],[GroupByKey]])*CountersTable[RecordedValue]))</f>
        <v>46</v>
      </c>
    </row>
    <row r="27" spans="1:15" x14ac:dyDescent="0.35">
      <c r="A27" t="s">
        <v>66</v>
      </c>
      <c r="B27" t="s">
        <v>69</v>
      </c>
      <c r="C27">
        <v>9</v>
      </c>
      <c r="D27" t="s">
        <v>95</v>
      </c>
      <c r="E27" t="s">
        <v>93</v>
      </c>
      <c r="F27" t="s">
        <v>94</v>
      </c>
      <c r="G27">
        <v>43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43.25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1.1491356841177722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7" cm="1">
        <f t="array" ref="N27">MIN(IF((CountersTable[GroupByKey]=CountersTable[[#This Row],[GroupByKey]]),(CountersTable[GroupByKey]=CountersTable[[#This Row],[GroupByKey]])*CountersTable[RecordedValue]))</f>
        <v>41</v>
      </c>
      <c r="O27" cm="1">
        <f t="array" ref="O27">MAX(IF((CountersTable[GroupByKey]=CountersTable[[#This Row],[GroupByKey]]),(CountersTable[GroupByKey]=CountersTable[[#This Row],[GroupByKey]])*CountersTable[RecordedValue]))</f>
        <v>46</v>
      </c>
    </row>
    <row r="28" spans="1:15" x14ac:dyDescent="0.35">
      <c r="A28" t="s">
        <v>66</v>
      </c>
      <c r="B28" t="s">
        <v>69</v>
      </c>
      <c r="C28">
        <v>9</v>
      </c>
      <c r="D28" t="s">
        <v>96</v>
      </c>
      <c r="E28" t="s">
        <v>93</v>
      </c>
      <c r="F28" t="s">
        <v>94</v>
      </c>
      <c r="G28">
        <v>28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27.15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2.5874450322416114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28" cm="1">
        <f t="array" ref="N28">MIN(IF((CountersTable[GroupByKey]=CountersTable[[#This Row],[GroupByKey]]),(CountersTable[GroupByKey]=CountersTable[[#This Row],[GroupByKey]])*CountersTable[RecordedValue]))</f>
        <v>21</v>
      </c>
      <c r="O28" cm="1">
        <f t="array" ref="O28">MAX(IF((CountersTable[GroupByKey]=CountersTable[[#This Row],[GroupByKey]]),(CountersTable[GroupByKey]=CountersTable[[#This Row],[GroupByKey]])*CountersTable[RecordedValue]))</f>
        <v>32</v>
      </c>
    </row>
    <row r="29" spans="1:15" x14ac:dyDescent="0.35">
      <c r="A29" t="s">
        <v>66</v>
      </c>
      <c r="B29" t="s">
        <v>69</v>
      </c>
      <c r="C29">
        <v>10</v>
      </c>
      <c r="D29" t="s">
        <v>92</v>
      </c>
      <c r="E29" t="s">
        <v>93</v>
      </c>
      <c r="F29" t="s">
        <v>94</v>
      </c>
      <c r="G29">
        <v>45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43.25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1.1491356841177722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29" cm="1">
        <f t="array" ref="N29">MIN(IF((CountersTable[GroupByKey]=CountersTable[[#This Row],[GroupByKey]]),(CountersTable[GroupByKey]=CountersTable[[#This Row],[GroupByKey]])*CountersTable[RecordedValue]))</f>
        <v>41</v>
      </c>
      <c r="O29" cm="1">
        <f t="array" ref="O29">MAX(IF((CountersTable[GroupByKey]=CountersTable[[#This Row],[GroupByKey]]),(CountersTable[GroupByKey]=CountersTable[[#This Row],[GroupByKey]])*CountersTable[RecordedValue]))</f>
        <v>46</v>
      </c>
    </row>
    <row r="30" spans="1:15" x14ac:dyDescent="0.35">
      <c r="A30" t="s">
        <v>66</v>
      </c>
      <c r="B30" t="s">
        <v>69</v>
      </c>
      <c r="C30">
        <v>10</v>
      </c>
      <c r="D30" t="s">
        <v>95</v>
      </c>
      <c r="E30" t="s">
        <v>93</v>
      </c>
      <c r="F30" t="s">
        <v>94</v>
      </c>
      <c r="G30">
        <v>45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43.25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1.1491356841177722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0" cm="1">
        <f t="array" ref="N30">MIN(IF((CountersTable[GroupByKey]=CountersTable[[#This Row],[GroupByKey]]),(CountersTable[GroupByKey]=CountersTable[[#This Row],[GroupByKey]])*CountersTable[RecordedValue]))</f>
        <v>41</v>
      </c>
      <c r="O30" cm="1">
        <f t="array" ref="O30">MAX(IF((CountersTable[GroupByKey]=CountersTable[[#This Row],[GroupByKey]]),(CountersTable[GroupByKey]=CountersTable[[#This Row],[GroupByKey]])*CountersTable[RecordedValue]))</f>
        <v>46</v>
      </c>
    </row>
    <row r="31" spans="1:15" x14ac:dyDescent="0.35">
      <c r="A31" t="s">
        <v>66</v>
      </c>
      <c r="B31" t="s">
        <v>69</v>
      </c>
      <c r="C31">
        <v>10</v>
      </c>
      <c r="D31" t="s">
        <v>96</v>
      </c>
      <c r="E31" t="s">
        <v>93</v>
      </c>
      <c r="F31" t="s">
        <v>94</v>
      </c>
      <c r="G31">
        <v>28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27.15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2.5874450322416114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31" cm="1">
        <f t="array" ref="N31">MIN(IF((CountersTable[GroupByKey]=CountersTable[[#This Row],[GroupByKey]]),(CountersTable[GroupByKey]=CountersTable[[#This Row],[GroupByKey]])*CountersTable[RecordedValue]))</f>
        <v>21</v>
      </c>
      <c r="O31" cm="1">
        <f t="array" ref="O31">MAX(IF((CountersTable[GroupByKey]=CountersTable[[#This Row],[GroupByKey]]),(CountersTable[GroupByKey]=CountersTable[[#This Row],[GroupByKey]])*CountersTable[RecordedValue]))</f>
        <v>32</v>
      </c>
    </row>
    <row r="32" spans="1:15" x14ac:dyDescent="0.35">
      <c r="A32" t="s">
        <v>66</v>
      </c>
      <c r="B32" t="s">
        <v>69</v>
      </c>
      <c r="C32">
        <v>11</v>
      </c>
      <c r="D32" t="s">
        <v>92</v>
      </c>
      <c r="E32" t="s">
        <v>93</v>
      </c>
      <c r="F32" t="s">
        <v>94</v>
      </c>
      <c r="G32">
        <v>43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43.25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1.1491356841177722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2" cm="1">
        <f t="array" ref="N32">MIN(IF((CountersTable[GroupByKey]=CountersTable[[#This Row],[GroupByKey]]),(CountersTable[GroupByKey]=CountersTable[[#This Row],[GroupByKey]])*CountersTable[RecordedValue]))</f>
        <v>41</v>
      </c>
      <c r="O32" cm="1">
        <f t="array" ref="O32">MAX(IF((CountersTable[GroupByKey]=CountersTable[[#This Row],[GroupByKey]]),(CountersTable[GroupByKey]=CountersTable[[#This Row],[GroupByKey]])*CountersTable[RecordedValue]))</f>
        <v>46</v>
      </c>
    </row>
    <row r="33" spans="1:15" x14ac:dyDescent="0.35">
      <c r="A33" t="s">
        <v>66</v>
      </c>
      <c r="B33" t="s">
        <v>69</v>
      </c>
      <c r="C33">
        <v>11</v>
      </c>
      <c r="D33" t="s">
        <v>95</v>
      </c>
      <c r="E33" t="s">
        <v>93</v>
      </c>
      <c r="F33" t="s">
        <v>94</v>
      </c>
      <c r="G33">
        <v>43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43.25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1.1491356841177722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3" cm="1">
        <f t="array" ref="N33">MIN(IF((CountersTable[GroupByKey]=CountersTable[[#This Row],[GroupByKey]]),(CountersTable[GroupByKey]=CountersTable[[#This Row],[GroupByKey]])*CountersTable[RecordedValue]))</f>
        <v>41</v>
      </c>
      <c r="O33" cm="1">
        <f t="array" ref="O33">MAX(IF((CountersTable[GroupByKey]=CountersTable[[#This Row],[GroupByKey]]),(CountersTable[GroupByKey]=CountersTable[[#This Row],[GroupByKey]])*CountersTable[RecordedValue]))</f>
        <v>46</v>
      </c>
    </row>
    <row r="34" spans="1:15" x14ac:dyDescent="0.35">
      <c r="A34" t="s">
        <v>66</v>
      </c>
      <c r="B34" t="s">
        <v>69</v>
      </c>
      <c r="C34">
        <v>11</v>
      </c>
      <c r="D34" t="s">
        <v>96</v>
      </c>
      <c r="E34" t="s">
        <v>93</v>
      </c>
      <c r="F34" t="s">
        <v>94</v>
      </c>
      <c r="G34">
        <v>29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27.15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2.5874450322416114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34" cm="1">
        <f t="array" ref="N34">MIN(IF((CountersTable[GroupByKey]=CountersTable[[#This Row],[GroupByKey]]),(CountersTable[GroupByKey]=CountersTable[[#This Row],[GroupByKey]])*CountersTable[RecordedValue]))</f>
        <v>21</v>
      </c>
      <c r="O34" cm="1">
        <f t="array" ref="O34">MAX(IF((CountersTable[GroupByKey]=CountersTable[[#This Row],[GroupByKey]]),(CountersTable[GroupByKey]=CountersTable[[#This Row],[GroupByKey]])*CountersTable[RecordedValue]))</f>
        <v>32</v>
      </c>
    </row>
    <row r="35" spans="1:15" x14ac:dyDescent="0.35">
      <c r="A35" t="s">
        <v>66</v>
      </c>
      <c r="B35" t="s">
        <v>69</v>
      </c>
      <c r="C35">
        <v>12</v>
      </c>
      <c r="D35" t="s">
        <v>92</v>
      </c>
      <c r="E35" t="s">
        <v>93</v>
      </c>
      <c r="F35" t="s">
        <v>94</v>
      </c>
      <c r="G35">
        <v>42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43.25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1.1491356841177722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5" cm="1">
        <f t="array" ref="N35">MIN(IF((CountersTable[GroupByKey]=CountersTable[[#This Row],[GroupByKey]]),(CountersTable[GroupByKey]=CountersTable[[#This Row],[GroupByKey]])*CountersTable[RecordedValue]))</f>
        <v>41</v>
      </c>
      <c r="O35" cm="1">
        <f t="array" ref="O35">MAX(IF((CountersTable[GroupByKey]=CountersTable[[#This Row],[GroupByKey]]),(CountersTable[GroupByKey]=CountersTable[[#This Row],[GroupByKey]])*CountersTable[RecordedValue]))</f>
        <v>46</v>
      </c>
    </row>
    <row r="36" spans="1:15" x14ac:dyDescent="0.35">
      <c r="A36" t="s">
        <v>66</v>
      </c>
      <c r="B36" t="s">
        <v>69</v>
      </c>
      <c r="C36">
        <v>12</v>
      </c>
      <c r="D36" t="s">
        <v>95</v>
      </c>
      <c r="E36" t="s">
        <v>93</v>
      </c>
      <c r="F36" t="s">
        <v>94</v>
      </c>
      <c r="G36">
        <v>42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43.25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1.1491356841177722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6" cm="1">
        <f t="array" ref="N36">MIN(IF((CountersTable[GroupByKey]=CountersTable[[#This Row],[GroupByKey]]),(CountersTable[GroupByKey]=CountersTable[[#This Row],[GroupByKey]])*CountersTable[RecordedValue]))</f>
        <v>41</v>
      </c>
      <c r="O36" cm="1">
        <f t="array" ref="O36">MAX(IF((CountersTable[GroupByKey]=CountersTable[[#This Row],[GroupByKey]]),(CountersTable[GroupByKey]=CountersTable[[#This Row],[GroupByKey]])*CountersTable[RecordedValue]))</f>
        <v>46</v>
      </c>
    </row>
    <row r="37" spans="1:15" x14ac:dyDescent="0.35">
      <c r="A37" t="s">
        <v>66</v>
      </c>
      <c r="B37" t="s">
        <v>69</v>
      </c>
      <c r="C37">
        <v>12</v>
      </c>
      <c r="D37" t="s">
        <v>96</v>
      </c>
      <c r="E37" t="s">
        <v>93</v>
      </c>
      <c r="F37" t="s">
        <v>94</v>
      </c>
      <c r="G37">
        <v>28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27.15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2.5874450322416114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37" cm="1">
        <f t="array" ref="N37">MIN(IF((CountersTable[GroupByKey]=CountersTable[[#This Row],[GroupByKey]]),(CountersTable[GroupByKey]=CountersTable[[#This Row],[GroupByKey]])*CountersTable[RecordedValue]))</f>
        <v>21</v>
      </c>
      <c r="O37" cm="1">
        <f t="array" ref="O37">MAX(IF((CountersTable[GroupByKey]=CountersTable[[#This Row],[GroupByKey]]),(CountersTable[GroupByKey]=CountersTable[[#This Row],[GroupByKey]])*CountersTable[RecordedValue]))</f>
        <v>32</v>
      </c>
    </row>
    <row r="38" spans="1:15" x14ac:dyDescent="0.35">
      <c r="A38" t="s">
        <v>66</v>
      </c>
      <c r="B38" t="s">
        <v>69</v>
      </c>
      <c r="C38">
        <v>13</v>
      </c>
      <c r="D38" t="s">
        <v>92</v>
      </c>
      <c r="E38" t="s">
        <v>93</v>
      </c>
      <c r="F38" t="s">
        <v>94</v>
      </c>
      <c r="G38">
        <v>45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43.25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1.1491356841177722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8" cm="1">
        <f t="array" ref="N38">MIN(IF((CountersTable[GroupByKey]=CountersTable[[#This Row],[GroupByKey]]),(CountersTable[GroupByKey]=CountersTable[[#This Row],[GroupByKey]])*CountersTable[RecordedValue]))</f>
        <v>41</v>
      </c>
      <c r="O38" cm="1">
        <f t="array" ref="O38">MAX(IF((CountersTable[GroupByKey]=CountersTable[[#This Row],[GroupByKey]]),(CountersTable[GroupByKey]=CountersTable[[#This Row],[GroupByKey]])*CountersTable[RecordedValue]))</f>
        <v>46</v>
      </c>
    </row>
    <row r="39" spans="1:15" x14ac:dyDescent="0.35">
      <c r="A39" t="s">
        <v>66</v>
      </c>
      <c r="B39" t="s">
        <v>69</v>
      </c>
      <c r="C39">
        <v>13</v>
      </c>
      <c r="D39" t="s">
        <v>95</v>
      </c>
      <c r="E39" t="s">
        <v>93</v>
      </c>
      <c r="F39" t="s">
        <v>94</v>
      </c>
      <c r="G39">
        <v>45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43.25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1.1491356841177722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39" cm="1">
        <f t="array" ref="N39">MIN(IF((CountersTable[GroupByKey]=CountersTable[[#This Row],[GroupByKey]]),(CountersTable[GroupByKey]=CountersTable[[#This Row],[GroupByKey]])*CountersTable[RecordedValue]))</f>
        <v>41</v>
      </c>
      <c r="O39" cm="1">
        <f t="array" ref="O39">MAX(IF((CountersTable[GroupByKey]=CountersTable[[#This Row],[GroupByKey]]),(CountersTable[GroupByKey]=CountersTable[[#This Row],[GroupByKey]])*CountersTable[RecordedValue]))</f>
        <v>46</v>
      </c>
    </row>
    <row r="40" spans="1:15" x14ac:dyDescent="0.35">
      <c r="A40" t="s">
        <v>66</v>
      </c>
      <c r="B40" t="s">
        <v>69</v>
      </c>
      <c r="C40">
        <v>13</v>
      </c>
      <c r="D40" t="s">
        <v>96</v>
      </c>
      <c r="E40" t="s">
        <v>93</v>
      </c>
      <c r="F40" t="s">
        <v>94</v>
      </c>
      <c r="G40">
        <v>29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27.15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2.5874450322416114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40" cm="1">
        <f t="array" ref="N40">MIN(IF((CountersTable[GroupByKey]=CountersTable[[#This Row],[GroupByKey]]),(CountersTable[GroupByKey]=CountersTable[[#This Row],[GroupByKey]])*CountersTable[RecordedValue]))</f>
        <v>21</v>
      </c>
      <c r="O40" cm="1">
        <f t="array" ref="O40">MAX(IF((CountersTable[GroupByKey]=CountersTable[[#This Row],[GroupByKey]]),(CountersTable[GroupByKey]=CountersTable[[#This Row],[GroupByKey]])*CountersTable[RecordedValue]))</f>
        <v>32</v>
      </c>
    </row>
    <row r="41" spans="1:15" x14ac:dyDescent="0.35">
      <c r="A41" t="s">
        <v>66</v>
      </c>
      <c r="B41" t="s">
        <v>69</v>
      </c>
      <c r="C41">
        <v>14</v>
      </c>
      <c r="D41" t="s">
        <v>92</v>
      </c>
      <c r="E41" t="s">
        <v>93</v>
      </c>
      <c r="F41" t="s">
        <v>94</v>
      </c>
      <c r="G41">
        <v>46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43.25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1.1491356841177722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1" cm="1">
        <f t="array" ref="N41">MIN(IF((CountersTable[GroupByKey]=CountersTable[[#This Row],[GroupByKey]]),(CountersTable[GroupByKey]=CountersTable[[#This Row],[GroupByKey]])*CountersTable[RecordedValue]))</f>
        <v>41</v>
      </c>
      <c r="O41" cm="1">
        <f t="array" ref="O41">MAX(IF((CountersTable[GroupByKey]=CountersTable[[#This Row],[GroupByKey]]),(CountersTable[GroupByKey]=CountersTable[[#This Row],[GroupByKey]])*CountersTable[RecordedValue]))</f>
        <v>46</v>
      </c>
    </row>
    <row r="42" spans="1:15" x14ac:dyDescent="0.35">
      <c r="A42" t="s">
        <v>66</v>
      </c>
      <c r="B42" t="s">
        <v>69</v>
      </c>
      <c r="C42">
        <v>14</v>
      </c>
      <c r="D42" t="s">
        <v>95</v>
      </c>
      <c r="E42" t="s">
        <v>93</v>
      </c>
      <c r="F42" t="s">
        <v>94</v>
      </c>
      <c r="G42">
        <v>46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43.25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1.1491356841177722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2" cm="1">
        <f t="array" ref="N42">MIN(IF((CountersTable[GroupByKey]=CountersTable[[#This Row],[GroupByKey]]),(CountersTable[GroupByKey]=CountersTable[[#This Row],[GroupByKey]])*CountersTable[RecordedValue]))</f>
        <v>41</v>
      </c>
      <c r="O42" cm="1">
        <f t="array" ref="O42">MAX(IF((CountersTable[GroupByKey]=CountersTable[[#This Row],[GroupByKey]]),(CountersTable[GroupByKey]=CountersTable[[#This Row],[GroupByKey]])*CountersTable[RecordedValue]))</f>
        <v>46</v>
      </c>
    </row>
    <row r="43" spans="1:15" x14ac:dyDescent="0.35">
      <c r="A43" t="s">
        <v>66</v>
      </c>
      <c r="B43" t="s">
        <v>69</v>
      </c>
      <c r="C43">
        <v>14</v>
      </c>
      <c r="D43" t="s">
        <v>96</v>
      </c>
      <c r="E43" t="s">
        <v>93</v>
      </c>
      <c r="F43" t="s">
        <v>94</v>
      </c>
      <c r="G43">
        <v>28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27.15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2.5874450322416114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43" cm="1">
        <f t="array" ref="N43">MIN(IF((CountersTable[GroupByKey]=CountersTable[[#This Row],[GroupByKey]]),(CountersTable[GroupByKey]=CountersTable[[#This Row],[GroupByKey]])*CountersTable[RecordedValue]))</f>
        <v>21</v>
      </c>
      <c r="O43" cm="1">
        <f t="array" ref="O43">MAX(IF((CountersTable[GroupByKey]=CountersTable[[#This Row],[GroupByKey]]),(CountersTable[GroupByKey]=CountersTable[[#This Row],[GroupByKey]])*CountersTable[RecordedValue]))</f>
        <v>32</v>
      </c>
    </row>
    <row r="44" spans="1:15" x14ac:dyDescent="0.35">
      <c r="A44" t="s">
        <v>66</v>
      </c>
      <c r="B44" t="s">
        <v>69</v>
      </c>
      <c r="C44">
        <v>15</v>
      </c>
      <c r="D44" t="s">
        <v>92</v>
      </c>
      <c r="E44" t="s">
        <v>93</v>
      </c>
      <c r="F44" t="s">
        <v>94</v>
      </c>
      <c r="G44">
        <v>41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43.25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1.1491356841177722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4" cm="1">
        <f t="array" ref="N44">MIN(IF((CountersTable[GroupByKey]=CountersTable[[#This Row],[GroupByKey]]),(CountersTable[GroupByKey]=CountersTable[[#This Row],[GroupByKey]])*CountersTable[RecordedValue]))</f>
        <v>41</v>
      </c>
      <c r="O44" cm="1">
        <f t="array" ref="O44">MAX(IF((CountersTable[GroupByKey]=CountersTable[[#This Row],[GroupByKey]]),(CountersTable[GroupByKey]=CountersTable[[#This Row],[GroupByKey]])*CountersTable[RecordedValue]))</f>
        <v>46</v>
      </c>
    </row>
    <row r="45" spans="1:15" x14ac:dyDescent="0.35">
      <c r="A45" t="s">
        <v>66</v>
      </c>
      <c r="B45" t="s">
        <v>69</v>
      </c>
      <c r="C45">
        <v>15</v>
      </c>
      <c r="D45" t="s">
        <v>95</v>
      </c>
      <c r="E45" t="s">
        <v>93</v>
      </c>
      <c r="F45" t="s">
        <v>94</v>
      </c>
      <c r="G45">
        <v>41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43.25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1.1491356841177722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5" cm="1">
        <f t="array" ref="N45">MIN(IF((CountersTable[GroupByKey]=CountersTable[[#This Row],[GroupByKey]]),(CountersTable[GroupByKey]=CountersTable[[#This Row],[GroupByKey]])*CountersTable[RecordedValue]))</f>
        <v>41</v>
      </c>
      <c r="O45" cm="1">
        <f t="array" ref="O45">MAX(IF((CountersTable[GroupByKey]=CountersTable[[#This Row],[GroupByKey]]),(CountersTable[GroupByKey]=CountersTable[[#This Row],[GroupByKey]])*CountersTable[RecordedValue]))</f>
        <v>46</v>
      </c>
    </row>
    <row r="46" spans="1:15" x14ac:dyDescent="0.35">
      <c r="A46" t="s">
        <v>66</v>
      </c>
      <c r="B46" t="s">
        <v>69</v>
      </c>
      <c r="C46">
        <v>15</v>
      </c>
      <c r="D46" t="s">
        <v>96</v>
      </c>
      <c r="E46" t="s">
        <v>93</v>
      </c>
      <c r="F46" t="s">
        <v>94</v>
      </c>
      <c r="G46">
        <v>23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27.15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2.5874450322416114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46" cm="1">
        <f t="array" ref="N46">MIN(IF((CountersTable[GroupByKey]=CountersTable[[#This Row],[GroupByKey]]),(CountersTable[GroupByKey]=CountersTable[[#This Row],[GroupByKey]])*CountersTable[RecordedValue]))</f>
        <v>21</v>
      </c>
      <c r="O46" cm="1">
        <f t="array" ref="O46">MAX(IF((CountersTable[GroupByKey]=CountersTable[[#This Row],[GroupByKey]]),(CountersTable[GroupByKey]=CountersTable[[#This Row],[GroupByKey]])*CountersTable[RecordedValue]))</f>
        <v>32</v>
      </c>
    </row>
    <row r="47" spans="1:15" x14ac:dyDescent="0.35">
      <c r="A47" t="s">
        <v>66</v>
      </c>
      <c r="B47" t="s">
        <v>69</v>
      </c>
      <c r="C47">
        <v>16</v>
      </c>
      <c r="D47" t="s">
        <v>92</v>
      </c>
      <c r="E47" t="s">
        <v>93</v>
      </c>
      <c r="F47" t="s">
        <v>94</v>
      </c>
      <c r="G47">
        <v>43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43.25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1.1491356841177722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7" cm="1">
        <f t="array" ref="N47">MIN(IF((CountersTable[GroupByKey]=CountersTable[[#This Row],[GroupByKey]]),(CountersTable[GroupByKey]=CountersTable[[#This Row],[GroupByKey]])*CountersTable[RecordedValue]))</f>
        <v>41</v>
      </c>
      <c r="O47" cm="1">
        <f t="array" ref="O47">MAX(IF((CountersTable[GroupByKey]=CountersTable[[#This Row],[GroupByKey]]),(CountersTable[GroupByKey]=CountersTable[[#This Row],[GroupByKey]])*CountersTable[RecordedValue]))</f>
        <v>46</v>
      </c>
    </row>
    <row r="48" spans="1:15" x14ac:dyDescent="0.35">
      <c r="A48" t="s">
        <v>66</v>
      </c>
      <c r="B48" t="s">
        <v>69</v>
      </c>
      <c r="C48">
        <v>16</v>
      </c>
      <c r="D48" t="s">
        <v>95</v>
      </c>
      <c r="E48" t="s">
        <v>93</v>
      </c>
      <c r="F48" t="s">
        <v>94</v>
      </c>
      <c r="G48">
        <v>43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43.25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1.1491356841177722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48" cm="1">
        <f t="array" ref="N48">MIN(IF((CountersTable[GroupByKey]=CountersTable[[#This Row],[GroupByKey]]),(CountersTable[GroupByKey]=CountersTable[[#This Row],[GroupByKey]])*CountersTable[RecordedValue]))</f>
        <v>41</v>
      </c>
      <c r="O48" cm="1">
        <f t="array" ref="O48">MAX(IF((CountersTable[GroupByKey]=CountersTable[[#This Row],[GroupByKey]]),(CountersTable[GroupByKey]=CountersTable[[#This Row],[GroupByKey]])*CountersTable[RecordedValue]))</f>
        <v>46</v>
      </c>
    </row>
    <row r="49" spans="1:15" x14ac:dyDescent="0.35">
      <c r="A49" t="s">
        <v>66</v>
      </c>
      <c r="B49" t="s">
        <v>69</v>
      </c>
      <c r="C49">
        <v>16</v>
      </c>
      <c r="D49" t="s">
        <v>96</v>
      </c>
      <c r="E49" t="s">
        <v>93</v>
      </c>
      <c r="F49" t="s">
        <v>94</v>
      </c>
      <c r="G49">
        <v>24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27.15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2.5874450322416114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49" cm="1">
        <f t="array" ref="N49">MIN(IF((CountersTable[GroupByKey]=CountersTable[[#This Row],[GroupByKey]]),(CountersTable[GroupByKey]=CountersTable[[#This Row],[GroupByKey]])*CountersTable[RecordedValue]))</f>
        <v>21</v>
      </c>
      <c r="O49" cm="1">
        <f t="array" ref="O49">MAX(IF((CountersTable[GroupByKey]=CountersTable[[#This Row],[GroupByKey]]),(CountersTable[GroupByKey]=CountersTable[[#This Row],[GroupByKey]])*CountersTable[RecordedValue]))</f>
        <v>32</v>
      </c>
    </row>
    <row r="50" spans="1:15" x14ac:dyDescent="0.35">
      <c r="A50" t="s">
        <v>66</v>
      </c>
      <c r="B50" t="s">
        <v>69</v>
      </c>
      <c r="C50">
        <v>17</v>
      </c>
      <c r="D50" t="s">
        <v>92</v>
      </c>
      <c r="E50" t="s">
        <v>93</v>
      </c>
      <c r="F50" t="s">
        <v>94</v>
      </c>
      <c r="G50">
        <v>42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43.25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1.1491356841177722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0" cm="1">
        <f t="array" ref="N50">MIN(IF((CountersTable[GroupByKey]=CountersTable[[#This Row],[GroupByKey]]),(CountersTable[GroupByKey]=CountersTable[[#This Row],[GroupByKey]])*CountersTable[RecordedValue]))</f>
        <v>41</v>
      </c>
      <c r="O50" cm="1">
        <f t="array" ref="O50">MAX(IF((CountersTable[GroupByKey]=CountersTable[[#This Row],[GroupByKey]]),(CountersTable[GroupByKey]=CountersTable[[#This Row],[GroupByKey]])*CountersTable[RecordedValue]))</f>
        <v>46</v>
      </c>
    </row>
    <row r="51" spans="1:15" x14ac:dyDescent="0.35">
      <c r="A51" t="s">
        <v>66</v>
      </c>
      <c r="B51" t="s">
        <v>69</v>
      </c>
      <c r="C51">
        <v>17</v>
      </c>
      <c r="D51" t="s">
        <v>95</v>
      </c>
      <c r="E51" t="s">
        <v>93</v>
      </c>
      <c r="F51" t="s">
        <v>94</v>
      </c>
      <c r="G51">
        <v>42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43.25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1.1491356841177722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1" cm="1">
        <f t="array" ref="N51">MIN(IF((CountersTable[GroupByKey]=CountersTable[[#This Row],[GroupByKey]]),(CountersTable[GroupByKey]=CountersTable[[#This Row],[GroupByKey]])*CountersTable[RecordedValue]))</f>
        <v>41</v>
      </c>
      <c r="O51" cm="1">
        <f t="array" ref="O51">MAX(IF((CountersTable[GroupByKey]=CountersTable[[#This Row],[GroupByKey]]),(CountersTable[GroupByKey]=CountersTable[[#This Row],[GroupByKey]])*CountersTable[RecordedValue]))</f>
        <v>46</v>
      </c>
    </row>
    <row r="52" spans="1:15" x14ac:dyDescent="0.35">
      <c r="A52" t="s">
        <v>66</v>
      </c>
      <c r="B52" t="s">
        <v>69</v>
      </c>
      <c r="C52">
        <v>17</v>
      </c>
      <c r="D52" t="s">
        <v>96</v>
      </c>
      <c r="E52" t="s">
        <v>93</v>
      </c>
      <c r="F52" t="s">
        <v>94</v>
      </c>
      <c r="G52">
        <v>26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27.15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2.5874450322416114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52" cm="1">
        <f t="array" ref="N52">MIN(IF((CountersTable[GroupByKey]=CountersTable[[#This Row],[GroupByKey]]),(CountersTable[GroupByKey]=CountersTable[[#This Row],[GroupByKey]])*CountersTable[RecordedValue]))</f>
        <v>21</v>
      </c>
      <c r="O52" cm="1">
        <f t="array" ref="O52">MAX(IF((CountersTable[GroupByKey]=CountersTable[[#This Row],[GroupByKey]]),(CountersTable[GroupByKey]=CountersTable[[#This Row],[GroupByKey]])*CountersTable[RecordedValue]))</f>
        <v>32</v>
      </c>
    </row>
    <row r="53" spans="1:15" x14ac:dyDescent="0.35">
      <c r="A53" t="s">
        <v>66</v>
      </c>
      <c r="B53" t="s">
        <v>69</v>
      </c>
      <c r="C53">
        <v>18</v>
      </c>
      <c r="D53" t="s">
        <v>92</v>
      </c>
      <c r="E53" t="s">
        <v>93</v>
      </c>
      <c r="F53" t="s">
        <v>94</v>
      </c>
      <c r="G53">
        <v>42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43.25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1.1491356841177722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3" cm="1">
        <f t="array" ref="N53">MIN(IF((CountersTable[GroupByKey]=CountersTable[[#This Row],[GroupByKey]]),(CountersTable[GroupByKey]=CountersTable[[#This Row],[GroupByKey]])*CountersTable[RecordedValue]))</f>
        <v>41</v>
      </c>
      <c r="O53" cm="1">
        <f t="array" ref="O53">MAX(IF((CountersTable[GroupByKey]=CountersTable[[#This Row],[GroupByKey]]),(CountersTable[GroupByKey]=CountersTable[[#This Row],[GroupByKey]])*CountersTable[RecordedValue]))</f>
        <v>46</v>
      </c>
    </row>
    <row r="54" spans="1:15" x14ac:dyDescent="0.35">
      <c r="A54" t="s">
        <v>66</v>
      </c>
      <c r="B54" t="s">
        <v>69</v>
      </c>
      <c r="C54">
        <v>18</v>
      </c>
      <c r="D54" t="s">
        <v>95</v>
      </c>
      <c r="E54" t="s">
        <v>93</v>
      </c>
      <c r="F54" t="s">
        <v>94</v>
      </c>
      <c r="G54">
        <v>42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43.25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1.1491356841177722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4" cm="1">
        <f t="array" ref="N54">MIN(IF((CountersTable[GroupByKey]=CountersTable[[#This Row],[GroupByKey]]),(CountersTable[GroupByKey]=CountersTable[[#This Row],[GroupByKey]])*CountersTable[RecordedValue]))</f>
        <v>41</v>
      </c>
      <c r="O54" cm="1">
        <f t="array" ref="O54">MAX(IF((CountersTable[GroupByKey]=CountersTable[[#This Row],[GroupByKey]]),(CountersTable[GroupByKey]=CountersTable[[#This Row],[GroupByKey]])*CountersTable[RecordedValue]))</f>
        <v>46</v>
      </c>
    </row>
    <row r="55" spans="1:15" x14ac:dyDescent="0.35">
      <c r="A55" t="s">
        <v>66</v>
      </c>
      <c r="B55" t="s">
        <v>69</v>
      </c>
      <c r="C55">
        <v>18</v>
      </c>
      <c r="D55" t="s">
        <v>96</v>
      </c>
      <c r="E55" t="s">
        <v>93</v>
      </c>
      <c r="F55" t="s">
        <v>94</v>
      </c>
      <c r="G55">
        <v>26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27.15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2.5874450322416114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55" cm="1">
        <f t="array" ref="N55">MIN(IF((CountersTable[GroupByKey]=CountersTable[[#This Row],[GroupByKey]]),(CountersTable[GroupByKey]=CountersTable[[#This Row],[GroupByKey]])*CountersTable[RecordedValue]))</f>
        <v>21</v>
      </c>
      <c r="O55" cm="1">
        <f t="array" ref="O55">MAX(IF((CountersTable[GroupByKey]=CountersTable[[#This Row],[GroupByKey]]),(CountersTable[GroupByKey]=CountersTable[[#This Row],[GroupByKey]])*CountersTable[RecordedValue]))</f>
        <v>32</v>
      </c>
    </row>
    <row r="56" spans="1:15" x14ac:dyDescent="0.35">
      <c r="A56" t="s">
        <v>66</v>
      </c>
      <c r="B56" t="s">
        <v>69</v>
      </c>
      <c r="C56">
        <v>19</v>
      </c>
      <c r="D56" t="s">
        <v>92</v>
      </c>
      <c r="E56" t="s">
        <v>93</v>
      </c>
      <c r="F56" t="s">
        <v>94</v>
      </c>
      <c r="G56">
        <v>44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43.25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1.1491356841177722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6" cm="1">
        <f t="array" ref="N56">MIN(IF((CountersTable[GroupByKey]=CountersTable[[#This Row],[GroupByKey]]),(CountersTable[GroupByKey]=CountersTable[[#This Row],[GroupByKey]])*CountersTable[RecordedValue]))</f>
        <v>41</v>
      </c>
      <c r="O56" cm="1">
        <f t="array" ref="O56">MAX(IF((CountersTable[GroupByKey]=CountersTable[[#This Row],[GroupByKey]]),(CountersTable[GroupByKey]=CountersTable[[#This Row],[GroupByKey]])*CountersTable[RecordedValue]))</f>
        <v>46</v>
      </c>
    </row>
    <row r="57" spans="1:15" x14ac:dyDescent="0.35">
      <c r="A57" t="s">
        <v>66</v>
      </c>
      <c r="B57" t="s">
        <v>69</v>
      </c>
      <c r="C57">
        <v>19</v>
      </c>
      <c r="D57" t="s">
        <v>95</v>
      </c>
      <c r="E57" t="s">
        <v>93</v>
      </c>
      <c r="F57" t="s">
        <v>94</v>
      </c>
      <c r="G57">
        <v>44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43.25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1.1491356841177722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7" cm="1">
        <f t="array" ref="N57">MIN(IF((CountersTable[GroupByKey]=CountersTable[[#This Row],[GroupByKey]]),(CountersTable[GroupByKey]=CountersTable[[#This Row],[GroupByKey]])*CountersTable[RecordedValue]))</f>
        <v>41</v>
      </c>
      <c r="O57" cm="1">
        <f t="array" ref="O57">MAX(IF((CountersTable[GroupByKey]=CountersTable[[#This Row],[GroupByKey]]),(CountersTable[GroupByKey]=CountersTable[[#This Row],[GroupByKey]])*CountersTable[RecordedValue]))</f>
        <v>46</v>
      </c>
    </row>
    <row r="58" spans="1:15" x14ac:dyDescent="0.35">
      <c r="A58" t="s">
        <v>66</v>
      </c>
      <c r="B58" t="s">
        <v>69</v>
      </c>
      <c r="C58">
        <v>19</v>
      </c>
      <c r="D58" t="s">
        <v>96</v>
      </c>
      <c r="E58" t="s">
        <v>93</v>
      </c>
      <c r="F58" t="s">
        <v>94</v>
      </c>
      <c r="G58">
        <v>28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27.15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2.5874450322416114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58" cm="1">
        <f t="array" ref="N58">MIN(IF((CountersTable[GroupByKey]=CountersTable[[#This Row],[GroupByKey]]),(CountersTable[GroupByKey]=CountersTable[[#This Row],[GroupByKey]])*CountersTable[RecordedValue]))</f>
        <v>21</v>
      </c>
      <c r="O58" cm="1">
        <f t="array" ref="O58">MAX(IF((CountersTable[GroupByKey]=CountersTable[[#This Row],[GroupByKey]]),(CountersTable[GroupByKey]=CountersTable[[#This Row],[GroupByKey]])*CountersTable[RecordedValue]))</f>
        <v>32</v>
      </c>
    </row>
    <row r="59" spans="1:15" x14ac:dyDescent="0.35">
      <c r="A59" t="s">
        <v>66</v>
      </c>
      <c r="B59" t="s">
        <v>69</v>
      </c>
      <c r="C59">
        <v>20</v>
      </c>
      <c r="D59" t="s">
        <v>92</v>
      </c>
      <c r="E59" t="s">
        <v>93</v>
      </c>
      <c r="F59" t="s">
        <v>94</v>
      </c>
      <c r="G59">
        <v>45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43.25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1.1491356841177722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59" cm="1">
        <f t="array" ref="N59">MIN(IF((CountersTable[GroupByKey]=CountersTable[[#This Row],[GroupByKey]]),(CountersTable[GroupByKey]=CountersTable[[#This Row],[GroupByKey]])*CountersTable[RecordedValue]))</f>
        <v>41</v>
      </c>
      <c r="O59" cm="1">
        <f t="array" ref="O59">MAX(IF((CountersTable[GroupByKey]=CountersTable[[#This Row],[GroupByKey]]),(CountersTable[GroupByKey]=CountersTable[[#This Row],[GroupByKey]])*CountersTable[RecordedValue]))</f>
        <v>46</v>
      </c>
    </row>
    <row r="60" spans="1:15" x14ac:dyDescent="0.35">
      <c r="A60" t="s">
        <v>66</v>
      </c>
      <c r="B60" t="s">
        <v>69</v>
      </c>
      <c r="C60">
        <v>20</v>
      </c>
      <c r="D60" t="s">
        <v>95</v>
      </c>
      <c r="E60" t="s">
        <v>93</v>
      </c>
      <c r="F60" t="s">
        <v>94</v>
      </c>
      <c r="G60">
        <v>45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43.25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1.1491356841177722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0" cm="1">
        <f t="array" ref="N60">MIN(IF((CountersTable[GroupByKey]=CountersTable[[#This Row],[GroupByKey]]),(CountersTable[GroupByKey]=CountersTable[[#This Row],[GroupByKey]])*CountersTable[RecordedValue]))</f>
        <v>41</v>
      </c>
      <c r="O60" cm="1">
        <f t="array" ref="O60">MAX(IF((CountersTable[GroupByKey]=CountersTable[[#This Row],[GroupByKey]]),(CountersTable[GroupByKey]=CountersTable[[#This Row],[GroupByKey]])*CountersTable[RecordedValue]))</f>
        <v>46</v>
      </c>
    </row>
    <row r="61" spans="1:15" x14ac:dyDescent="0.35">
      <c r="A61" t="s">
        <v>66</v>
      </c>
      <c r="B61" t="s">
        <v>69</v>
      </c>
      <c r="C61">
        <v>20</v>
      </c>
      <c r="D61" t="s">
        <v>96</v>
      </c>
      <c r="E61" t="s">
        <v>93</v>
      </c>
      <c r="F61" t="s">
        <v>94</v>
      </c>
      <c r="G61">
        <v>29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27.15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2.5874450322416114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61" cm="1">
        <f t="array" ref="N61">MIN(IF((CountersTable[GroupByKey]=CountersTable[[#This Row],[GroupByKey]]),(CountersTable[GroupByKey]=CountersTable[[#This Row],[GroupByKey]])*CountersTable[RecordedValue]))</f>
        <v>21</v>
      </c>
      <c r="O61" cm="1">
        <f t="array" ref="O61">MAX(IF((CountersTable[GroupByKey]=CountersTable[[#This Row],[GroupByKey]]),(CountersTable[GroupByKey]=CountersTable[[#This Row],[GroupByKey]])*CountersTable[RecordedValue]))</f>
        <v>32</v>
      </c>
    </row>
    <row r="62" spans="1:15" x14ac:dyDescent="0.35">
      <c r="A62" t="s">
        <v>66</v>
      </c>
      <c r="B62" t="s">
        <v>69</v>
      </c>
      <c r="C62">
        <v>21</v>
      </c>
      <c r="D62" t="s">
        <v>92</v>
      </c>
      <c r="E62" t="s">
        <v>93</v>
      </c>
      <c r="F62" t="s">
        <v>94</v>
      </c>
      <c r="G62">
        <v>43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43.25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1.1491356841177722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2" cm="1">
        <f t="array" ref="N62">MIN(IF((CountersTable[GroupByKey]=CountersTable[[#This Row],[GroupByKey]]),(CountersTable[GroupByKey]=CountersTable[[#This Row],[GroupByKey]])*CountersTable[RecordedValue]))</f>
        <v>41</v>
      </c>
      <c r="O62" cm="1">
        <f t="array" ref="O62">MAX(IF((CountersTable[GroupByKey]=CountersTable[[#This Row],[GroupByKey]]),(CountersTable[GroupByKey]=CountersTable[[#This Row],[GroupByKey]])*CountersTable[RecordedValue]))</f>
        <v>46</v>
      </c>
    </row>
    <row r="63" spans="1:15" x14ac:dyDescent="0.35">
      <c r="A63" t="s">
        <v>66</v>
      </c>
      <c r="B63" t="s">
        <v>69</v>
      </c>
      <c r="C63">
        <v>21</v>
      </c>
      <c r="D63" t="s">
        <v>95</v>
      </c>
      <c r="E63" t="s">
        <v>93</v>
      </c>
      <c r="F63" t="s">
        <v>94</v>
      </c>
      <c r="G63">
        <v>43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43.25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1.1491356841177722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3" cm="1">
        <f t="array" ref="N63">MIN(IF((CountersTable[GroupByKey]=CountersTable[[#This Row],[GroupByKey]]),(CountersTable[GroupByKey]=CountersTable[[#This Row],[GroupByKey]])*CountersTable[RecordedValue]))</f>
        <v>41</v>
      </c>
      <c r="O63" cm="1">
        <f t="array" ref="O63">MAX(IF((CountersTable[GroupByKey]=CountersTable[[#This Row],[GroupByKey]]),(CountersTable[GroupByKey]=CountersTable[[#This Row],[GroupByKey]])*CountersTable[RecordedValue]))</f>
        <v>46</v>
      </c>
    </row>
    <row r="64" spans="1:15" x14ac:dyDescent="0.35">
      <c r="A64" t="s">
        <v>66</v>
      </c>
      <c r="B64" t="s">
        <v>69</v>
      </c>
      <c r="C64">
        <v>21</v>
      </c>
      <c r="D64" t="s">
        <v>96</v>
      </c>
      <c r="E64" t="s">
        <v>93</v>
      </c>
      <c r="F64" t="s">
        <v>94</v>
      </c>
      <c r="G64">
        <v>31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27.15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2.5874450322416114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64" cm="1">
        <f t="array" ref="N64">MIN(IF((CountersTable[GroupByKey]=CountersTable[[#This Row],[GroupByKey]]),(CountersTable[GroupByKey]=CountersTable[[#This Row],[GroupByKey]])*CountersTable[RecordedValue]))</f>
        <v>21</v>
      </c>
      <c r="O64" cm="1">
        <f t="array" ref="O64">MAX(IF((CountersTable[GroupByKey]=CountersTable[[#This Row],[GroupByKey]]),(CountersTable[GroupByKey]=CountersTable[[#This Row],[GroupByKey]])*CountersTable[RecordedValue]))</f>
        <v>32</v>
      </c>
    </row>
    <row r="65" spans="1:15" x14ac:dyDescent="0.35">
      <c r="A65" t="s">
        <v>66</v>
      </c>
      <c r="B65" t="s">
        <v>69</v>
      </c>
      <c r="C65">
        <v>22</v>
      </c>
      <c r="D65" t="s">
        <v>92</v>
      </c>
      <c r="E65" t="s">
        <v>93</v>
      </c>
      <c r="F65" t="s">
        <v>94</v>
      </c>
      <c r="G65">
        <v>43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43.25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1.1491356841177722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5" cm="1">
        <f t="array" ref="N65">MIN(IF((CountersTable[GroupByKey]=CountersTable[[#This Row],[GroupByKey]]),(CountersTable[GroupByKey]=CountersTable[[#This Row],[GroupByKey]])*CountersTable[RecordedValue]))</f>
        <v>41</v>
      </c>
      <c r="O65" cm="1">
        <f t="array" ref="O65">MAX(IF((CountersTable[GroupByKey]=CountersTable[[#This Row],[GroupByKey]]),(CountersTable[GroupByKey]=CountersTable[[#This Row],[GroupByKey]])*CountersTable[RecordedValue]))</f>
        <v>46</v>
      </c>
    </row>
    <row r="66" spans="1:15" x14ac:dyDescent="0.35">
      <c r="A66" t="s">
        <v>66</v>
      </c>
      <c r="B66" t="s">
        <v>69</v>
      </c>
      <c r="C66">
        <v>22</v>
      </c>
      <c r="D66" t="s">
        <v>95</v>
      </c>
      <c r="E66" t="s">
        <v>93</v>
      </c>
      <c r="F66" t="s">
        <v>94</v>
      </c>
      <c r="G66">
        <v>43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43.25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1.1491356841177722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6" cm="1">
        <f t="array" ref="N66">MIN(IF((CountersTable[GroupByKey]=CountersTable[[#This Row],[GroupByKey]]),(CountersTable[GroupByKey]=CountersTable[[#This Row],[GroupByKey]])*CountersTable[RecordedValue]))</f>
        <v>41</v>
      </c>
      <c r="O66" cm="1">
        <f t="array" ref="O66">MAX(IF((CountersTable[GroupByKey]=CountersTable[[#This Row],[GroupByKey]]),(CountersTable[GroupByKey]=CountersTable[[#This Row],[GroupByKey]])*CountersTable[RecordedValue]))</f>
        <v>46</v>
      </c>
    </row>
    <row r="67" spans="1:15" x14ac:dyDescent="0.35">
      <c r="A67" t="s">
        <v>66</v>
      </c>
      <c r="B67" t="s">
        <v>69</v>
      </c>
      <c r="C67">
        <v>22</v>
      </c>
      <c r="D67" t="s">
        <v>96</v>
      </c>
      <c r="E67" t="s">
        <v>93</v>
      </c>
      <c r="F67" t="s">
        <v>94</v>
      </c>
      <c r="G67">
        <v>24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27.15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2.5874450322416114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67" cm="1">
        <f t="array" ref="N67">MIN(IF((CountersTable[GroupByKey]=CountersTable[[#This Row],[GroupByKey]]),(CountersTable[GroupByKey]=CountersTable[[#This Row],[GroupByKey]])*CountersTable[RecordedValue]))</f>
        <v>21</v>
      </c>
      <c r="O67" cm="1">
        <f t="array" ref="O67">MAX(IF((CountersTable[GroupByKey]=CountersTable[[#This Row],[GroupByKey]]),(CountersTable[GroupByKey]=CountersTable[[#This Row],[GroupByKey]])*CountersTable[RecordedValue]))</f>
        <v>32</v>
      </c>
    </row>
    <row r="68" spans="1:15" x14ac:dyDescent="0.35">
      <c r="A68" t="s">
        <v>66</v>
      </c>
      <c r="B68" t="s">
        <v>69</v>
      </c>
      <c r="C68">
        <v>23</v>
      </c>
      <c r="D68" t="s">
        <v>92</v>
      </c>
      <c r="E68" t="s">
        <v>93</v>
      </c>
      <c r="F68" t="s">
        <v>94</v>
      </c>
      <c r="G68">
        <v>43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43.25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1.1491356841177722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8" cm="1">
        <f t="array" ref="N68">MIN(IF((CountersTable[GroupByKey]=CountersTable[[#This Row],[GroupByKey]]),(CountersTable[GroupByKey]=CountersTable[[#This Row],[GroupByKey]])*CountersTable[RecordedValue]))</f>
        <v>41</v>
      </c>
      <c r="O68" cm="1">
        <f t="array" ref="O68">MAX(IF((CountersTable[GroupByKey]=CountersTable[[#This Row],[GroupByKey]]),(CountersTable[GroupByKey]=CountersTable[[#This Row],[GroupByKey]])*CountersTable[RecordedValue]))</f>
        <v>46</v>
      </c>
    </row>
    <row r="69" spans="1:15" x14ac:dyDescent="0.35">
      <c r="A69" t="s">
        <v>66</v>
      </c>
      <c r="B69" t="s">
        <v>69</v>
      </c>
      <c r="C69">
        <v>23</v>
      </c>
      <c r="D69" t="s">
        <v>95</v>
      </c>
      <c r="E69" t="s">
        <v>93</v>
      </c>
      <c r="F69" t="s">
        <v>94</v>
      </c>
      <c r="G69">
        <v>43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43.25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1.1491356841177722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69" cm="1">
        <f t="array" ref="N69">MIN(IF((CountersTable[GroupByKey]=CountersTable[[#This Row],[GroupByKey]]),(CountersTable[GroupByKey]=CountersTable[[#This Row],[GroupByKey]])*CountersTable[RecordedValue]))</f>
        <v>41</v>
      </c>
      <c r="O69" cm="1">
        <f t="array" ref="O69">MAX(IF((CountersTable[GroupByKey]=CountersTable[[#This Row],[GroupByKey]]),(CountersTable[GroupByKey]=CountersTable[[#This Row],[GroupByKey]])*CountersTable[RecordedValue]))</f>
        <v>46</v>
      </c>
    </row>
    <row r="70" spans="1:15" x14ac:dyDescent="0.35">
      <c r="A70" t="s">
        <v>66</v>
      </c>
      <c r="B70" t="s">
        <v>69</v>
      </c>
      <c r="C70">
        <v>23</v>
      </c>
      <c r="D70" t="s">
        <v>96</v>
      </c>
      <c r="E70" t="s">
        <v>93</v>
      </c>
      <c r="F70" t="s">
        <v>94</v>
      </c>
      <c r="G70">
        <v>29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27.15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2.5874450322416114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70" cm="1">
        <f t="array" ref="N70">MIN(IF((CountersTable[GroupByKey]=CountersTable[[#This Row],[GroupByKey]]),(CountersTable[GroupByKey]=CountersTable[[#This Row],[GroupByKey]])*CountersTable[RecordedValue]))</f>
        <v>21</v>
      </c>
      <c r="O70" cm="1">
        <f t="array" ref="O70">MAX(IF((CountersTable[GroupByKey]=CountersTable[[#This Row],[GroupByKey]]),(CountersTable[GroupByKey]=CountersTable[[#This Row],[GroupByKey]])*CountersTable[RecordedValue]))</f>
        <v>32</v>
      </c>
    </row>
    <row r="71" spans="1:15" x14ac:dyDescent="0.35">
      <c r="A71" t="s">
        <v>66</v>
      </c>
      <c r="B71" t="s">
        <v>69</v>
      </c>
      <c r="C71">
        <v>24</v>
      </c>
      <c r="D71" t="s">
        <v>92</v>
      </c>
      <c r="E71" t="s">
        <v>93</v>
      </c>
      <c r="F71" t="s">
        <v>94</v>
      </c>
      <c r="G71">
        <v>43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43.25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1.1491356841177722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1" cm="1">
        <f t="array" ref="N71">MIN(IF((CountersTable[GroupByKey]=CountersTable[[#This Row],[GroupByKey]]),(CountersTable[GroupByKey]=CountersTable[[#This Row],[GroupByKey]])*CountersTable[RecordedValue]))</f>
        <v>41</v>
      </c>
      <c r="O71" cm="1">
        <f t="array" ref="O71">MAX(IF((CountersTable[GroupByKey]=CountersTable[[#This Row],[GroupByKey]]),(CountersTable[GroupByKey]=CountersTable[[#This Row],[GroupByKey]])*CountersTable[RecordedValue]))</f>
        <v>46</v>
      </c>
    </row>
    <row r="72" spans="1:15" x14ac:dyDescent="0.35">
      <c r="A72" t="s">
        <v>66</v>
      </c>
      <c r="B72" t="s">
        <v>69</v>
      </c>
      <c r="C72">
        <v>24</v>
      </c>
      <c r="D72" t="s">
        <v>95</v>
      </c>
      <c r="E72" t="s">
        <v>93</v>
      </c>
      <c r="F72" t="s">
        <v>94</v>
      </c>
      <c r="G72">
        <v>43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43.25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1.1491356841177722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2" cm="1">
        <f t="array" ref="N72">MIN(IF((CountersTable[GroupByKey]=CountersTable[[#This Row],[GroupByKey]]),(CountersTable[GroupByKey]=CountersTable[[#This Row],[GroupByKey]])*CountersTable[RecordedValue]))</f>
        <v>41</v>
      </c>
      <c r="O72" cm="1">
        <f t="array" ref="O72">MAX(IF((CountersTable[GroupByKey]=CountersTable[[#This Row],[GroupByKey]]),(CountersTable[GroupByKey]=CountersTable[[#This Row],[GroupByKey]])*CountersTable[RecordedValue]))</f>
        <v>46</v>
      </c>
    </row>
    <row r="73" spans="1:15" x14ac:dyDescent="0.35">
      <c r="A73" t="s">
        <v>66</v>
      </c>
      <c r="B73" t="s">
        <v>69</v>
      </c>
      <c r="C73">
        <v>24</v>
      </c>
      <c r="D73" t="s">
        <v>96</v>
      </c>
      <c r="E73" t="s">
        <v>93</v>
      </c>
      <c r="F73" t="s">
        <v>94</v>
      </c>
      <c r="G73">
        <v>28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27.15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2.5874450322416114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73" cm="1">
        <f t="array" ref="N73">MIN(IF((CountersTable[GroupByKey]=CountersTable[[#This Row],[GroupByKey]]),(CountersTable[GroupByKey]=CountersTable[[#This Row],[GroupByKey]])*CountersTable[RecordedValue]))</f>
        <v>21</v>
      </c>
      <c r="O73" cm="1">
        <f t="array" ref="O73">MAX(IF((CountersTable[GroupByKey]=CountersTable[[#This Row],[GroupByKey]]),(CountersTable[GroupByKey]=CountersTable[[#This Row],[GroupByKey]])*CountersTable[RecordedValue]))</f>
        <v>32</v>
      </c>
    </row>
    <row r="74" spans="1:15" x14ac:dyDescent="0.35">
      <c r="A74" t="s">
        <v>66</v>
      </c>
      <c r="B74" t="s">
        <v>69</v>
      </c>
      <c r="C74">
        <v>25</v>
      </c>
      <c r="D74" t="s">
        <v>92</v>
      </c>
      <c r="E74" t="s">
        <v>93</v>
      </c>
      <c r="F74" t="s">
        <v>94</v>
      </c>
      <c r="G74">
        <v>44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43.25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1.1491356841177722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4" cm="1">
        <f t="array" ref="N74">MIN(IF((CountersTable[GroupByKey]=CountersTable[[#This Row],[GroupByKey]]),(CountersTable[GroupByKey]=CountersTable[[#This Row],[GroupByKey]])*CountersTable[RecordedValue]))</f>
        <v>41</v>
      </c>
      <c r="O74" cm="1">
        <f t="array" ref="O74">MAX(IF((CountersTable[GroupByKey]=CountersTable[[#This Row],[GroupByKey]]),(CountersTable[GroupByKey]=CountersTable[[#This Row],[GroupByKey]])*CountersTable[RecordedValue]))</f>
        <v>46</v>
      </c>
    </row>
    <row r="75" spans="1:15" x14ac:dyDescent="0.35">
      <c r="A75" t="s">
        <v>66</v>
      </c>
      <c r="B75" t="s">
        <v>69</v>
      </c>
      <c r="C75">
        <v>25</v>
      </c>
      <c r="D75" t="s">
        <v>95</v>
      </c>
      <c r="E75" t="s">
        <v>93</v>
      </c>
      <c r="F75" t="s">
        <v>94</v>
      </c>
      <c r="G75">
        <v>44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43.25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1.1491356841177722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5" cm="1">
        <f t="array" ref="N75">MIN(IF((CountersTable[GroupByKey]=CountersTable[[#This Row],[GroupByKey]]),(CountersTable[GroupByKey]=CountersTable[[#This Row],[GroupByKey]])*CountersTable[RecordedValue]))</f>
        <v>41</v>
      </c>
      <c r="O75" cm="1">
        <f t="array" ref="O75">MAX(IF((CountersTable[GroupByKey]=CountersTable[[#This Row],[GroupByKey]]),(CountersTable[GroupByKey]=CountersTable[[#This Row],[GroupByKey]])*CountersTable[RecordedValue]))</f>
        <v>46</v>
      </c>
    </row>
    <row r="76" spans="1:15" x14ac:dyDescent="0.35">
      <c r="A76" t="s">
        <v>66</v>
      </c>
      <c r="B76" t="s">
        <v>69</v>
      </c>
      <c r="C76">
        <v>25</v>
      </c>
      <c r="D76" t="s">
        <v>96</v>
      </c>
      <c r="E76" t="s">
        <v>93</v>
      </c>
      <c r="F76" t="s">
        <v>94</v>
      </c>
      <c r="G76">
        <v>30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27.15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2.5874450322416114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76" cm="1">
        <f t="array" ref="N76">MIN(IF((CountersTable[GroupByKey]=CountersTable[[#This Row],[GroupByKey]]),(CountersTable[GroupByKey]=CountersTable[[#This Row],[GroupByKey]])*CountersTable[RecordedValue]))</f>
        <v>21</v>
      </c>
      <c r="O76" cm="1">
        <f t="array" ref="O76">MAX(IF((CountersTable[GroupByKey]=CountersTable[[#This Row],[GroupByKey]]),(CountersTable[GroupByKey]=CountersTable[[#This Row],[GroupByKey]])*CountersTable[RecordedValue]))</f>
        <v>32</v>
      </c>
    </row>
    <row r="77" spans="1:15" x14ac:dyDescent="0.35">
      <c r="A77" t="s">
        <v>66</v>
      </c>
      <c r="B77" t="s">
        <v>69</v>
      </c>
      <c r="C77">
        <v>26</v>
      </c>
      <c r="D77" t="s">
        <v>92</v>
      </c>
      <c r="E77" t="s">
        <v>93</v>
      </c>
      <c r="F77" t="s">
        <v>94</v>
      </c>
      <c r="G77">
        <v>42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43.25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1.1491356841177722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7" cm="1">
        <f t="array" ref="N77">MIN(IF((CountersTable[GroupByKey]=CountersTable[[#This Row],[GroupByKey]]),(CountersTable[GroupByKey]=CountersTable[[#This Row],[GroupByKey]])*CountersTable[RecordedValue]))</f>
        <v>41</v>
      </c>
      <c r="O77" cm="1">
        <f t="array" ref="O77">MAX(IF((CountersTable[GroupByKey]=CountersTable[[#This Row],[GroupByKey]]),(CountersTable[GroupByKey]=CountersTable[[#This Row],[GroupByKey]])*CountersTable[RecordedValue]))</f>
        <v>46</v>
      </c>
    </row>
    <row r="78" spans="1:15" x14ac:dyDescent="0.35">
      <c r="A78" t="s">
        <v>66</v>
      </c>
      <c r="B78" t="s">
        <v>69</v>
      </c>
      <c r="C78">
        <v>26</v>
      </c>
      <c r="D78" t="s">
        <v>95</v>
      </c>
      <c r="E78" t="s">
        <v>93</v>
      </c>
      <c r="F78" t="s">
        <v>94</v>
      </c>
      <c r="G78">
        <v>42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43.25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1.1491356841177722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78" cm="1">
        <f t="array" ref="N78">MIN(IF((CountersTable[GroupByKey]=CountersTable[[#This Row],[GroupByKey]]),(CountersTable[GroupByKey]=CountersTable[[#This Row],[GroupByKey]])*CountersTable[RecordedValue]))</f>
        <v>41</v>
      </c>
      <c r="O78" cm="1">
        <f t="array" ref="O78">MAX(IF((CountersTable[GroupByKey]=CountersTable[[#This Row],[GroupByKey]]),(CountersTable[GroupByKey]=CountersTable[[#This Row],[GroupByKey]])*CountersTable[RecordedValue]))</f>
        <v>46</v>
      </c>
    </row>
    <row r="79" spans="1:15" x14ac:dyDescent="0.35">
      <c r="A79" t="s">
        <v>66</v>
      </c>
      <c r="B79" t="s">
        <v>69</v>
      </c>
      <c r="C79">
        <v>26</v>
      </c>
      <c r="D79" t="s">
        <v>96</v>
      </c>
      <c r="E79" t="s">
        <v>93</v>
      </c>
      <c r="F79" t="s">
        <v>94</v>
      </c>
      <c r="G79">
        <v>23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27.15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2.5874450322416114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79" cm="1">
        <f t="array" ref="N79">MIN(IF((CountersTable[GroupByKey]=CountersTable[[#This Row],[GroupByKey]]),(CountersTable[GroupByKey]=CountersTable[[#This Row],[GroupByKey]])*CountersTable[RecordedValue]))</f>
        <v>21</v>
      </c>
      <c r="O79" cm="1">
        <f t="array" ref="O79">MAX(IF((CountersTable[GroupByKey]=CountersTable[[#This Row],[GroupByKey]]),(CountersTable[GroupByKey]=CountersTable[[#This Row],[GroupByKey]])*CountersTable[RecordedValue]))</f>
        <v>32</v>
      </c>
    </row>
    <row r="80" spans="1:15" x14ac:dyDescent="0.35">
      <c r="A80" t="s">
        <v>66</v>
      </c>
      <c r="B80" t="s">
        <v>69</v>
      </c>
      <c r="C80">
        <v>27</v>
      </c>
      <c r="D80" t="s">
        <v>92</v>
      </c>
      <c r="E80" t="s">
        <v>93</v>
      </c>
      <c r="F80" t="s">
        <v>94</v>
      </c>
      <c r="G80">
        <v>43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43.25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1.1491356841177722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0" cm="1">
        <f t="array" ref="N80">MIN(IF((CountersTable[GroupByKey]=CountersTable[[#This Row],[GroupByKey]]),(CountersTable[GroupByKey]=CountersTable[[#This Row],[GroupByKey]])*CountersTable[RecordedValue]))</f>
        <v>41</v>
      </c>
      <c r="O80" cm="1">
        <f t="array" ref="O80">MAX(IF((CountersTable[GroupByKey]=CountersTable[[#This Row],[GroupByKey]]),(CountersTable[GroupByKey]=CountersTable[[#This Row],[GroupByKey]])*CountersTable[RecordedValue]))</f>
        <v>46</v>
      </c>
    </row>
    <row r="81" spans="1:15" x14ac:dyDescent="0.35">
      <c r="A81" t="s">
        <v>66</v>
      </c>
      <c r="B81" t="s">
        <v>69</v>
      </c>
      <c r="C81">
        <v>27</v>
      </c>
      <c r="D81" t="s">
        <v>95</v>
      </c>
      <c r="E81" t="s">
        <v>93</v>
      </c>
      <c r="F81" t="s">
        <v>94</v>
      </c>
      <c r="G81">
        <v>43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43.25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1.1491356841177722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1" cm="1">
        <f t="array" ref="N81">MIN(IF((CountersTable[GroupByKey]=CountersTable[[#This Row],[GroupByKey]]),(CountersTable[GroupByKey]=CountersTable[[#This Row],[GroupByKey]])*CountersTable[RecordedValue]))</f>
        <v>41</v>
      </c>
      <c r="O81" cm="1">
        <f t="array" ref="O81">MAX(IF((CountersTable[GroupByKey]=CountersTable[[#This Row],[GroupByKey]]),(CountersTable[GroupByKey]=CountersTable[[#This Row],[GroupByKey]])*CountersTable[RecordedValue]))</f>
        <v>46</v>
      </c>
    </row>
    <row r="82" spans="1:15" x14ac:dyDescent="0.35">
      <c r="A82" t="s">
        <v>66</v>
      </c>
      <c r="B82" t="s">
        <v>69</v>
      </c>
      <c r="C82">
        <v>27</v>
      </c>
      <c r="D82" t="s">
        <v>96</v>
      </c>
      <c r="E82" t="s">
        <v>93</v>
      </c>
      <c r="F82" t="s">
        <v>94</v>
      </c>
      <c r="G82">
        <v>28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27.15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2.5874450322416114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82" cm="1">
        <f t="array" ref="N82">MIN(IF((CountersTable[GroupByKey]=CountersTable[[#This Row],[GroupByKey]]),(CountersTable[GroupByKey]=CountersTable[[#This Row],[GroupByKey]])*CountersTable[RecordedValue]))</f>
        <v>21</v>
      </c>
      <c r="O82" cm="1">
        <f t="array" ref="O82">MAX(IF((CountersTable[GroupByKey]=CountersTable[[#This Row],[GroupByKey]]),(CountersTable[GroupByKey]=CountersTable[[#This Row],[GroupByKey]])*CountersTable[RecordedValue]))</f>
        <v>32</v>
      </c>
    </row>
    <row r="83" spans="1:15" x14ac:dyDescent="0.35">
      <c r="A83" t="s">
        <v>66</v>
      </c>
      <c r="B83" t="s">
        <v>69</v>
      </c>
      <c r="C83">
        <v>28</v>
      </c>
      <c r="D83" t="s">
        <v>92</v>
      </c>
      <c r="E83" t="s">
        <v>93</v>
      </c>
      <c r="F83" t="s">
        <v>94</v>
      </c>
      <c r="G83">
        <v>44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43.25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1.1491356841177722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3" cm="1">
        <f t="array" ref="N83">MIN(IF((CountersTable[GroupByKey]=CountersTable[[#This Row],[GroupByKey]]),(CountersTable[GroupByKey]=CountersTable[[#This Row],[GroupByKey]])*CountersTable[RecordedValue]))</f>
        <v>41</v>
      </c>
      <c r="O83" cm="1">
        <f t="array" ref="O83">MAX(IF((CountersTable[GroupByKey]=CountersTable[[#This Row],[GroupByKey]]),(CountersTable[GroupByKey]=CountersTable[[#This Row],[GroupByKey]])*CountersTable[RecordedValue]))</f>
        <v>46</v>
      </c>
    </row>
    <row r="84" spans="1:15" x14ac:dyDescent="0.35">
      <c r="A84" t="s">
        <v>66</v>
      </c>
      <c r="B84" t="s">
        <v>69</v>
      </c>
      <c r="C84">
        <v>28</v>
      </c>
      <c r="D84" t="s">
        <v>95</v>
      </c>
      <c r="E84" t="s">
        <v>93</v>
      </c>
      <c r="F84" t="s">
        <v>94</v>
      </c>
      <c r="G84">
        <v>44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43.25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1.1491356841177722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4" cm="1">
        <f t="array" ref="N84">MIN(IF((CountersTable[GroupByKey]=CountersTable[[#This Row],[GroupByKey]]),(CountersTable[GroupByKey]=CountersTable[[#This Row],[GroupByKey]])*CountersTable[RecordedValue]))</f>
        <v>41</v>
      </c>
      <c r="O84" cm="1">
        <f t="array" ref="O84">MAX(IF((CountersTable[GroupByKey]=CountersTable[[#This Row],[GroupByKey]]),(CountersTable[GroupByKey]=CountersTable[[#This Row],[GroupByKey]])*CountersTable[RecordedValue]))</f>
        <v>46</v>
      </c>
    </row>
    <row r="85" spans="1:15" x14ac:dyDescent="0.35">
      <c r="A85" t="s">
        <v>66</v>
      </c>
      <c r="B85" t="s">
        <v>69</v>
      </c>
      <c r="C85">
        <v>28</v>
      </c>
      <c r="D85" t="s">
        <v>96</v>
      </c>
      <c r="E85" t="s">
        <v>93</v>
      </c>
      <c r="F85" t="s">
        <v>94</v>
      </c>
      <c r="G85">
        <v>24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27.15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2.5874450322416114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85" cm="1">
        <f t="array" ref="N85">MIN(IF((CountersTable[GroupByKey]=CountersTable[[#This Row],[GroupByKey]]),(CountersTable[GroupByKey]=CountersTable[[#This Row],[GroupByKey]])*CountersTable[RecordedValue]))</f>
        <v>21</v>
      </c>
      <c r="O85" cm="1">
        <f t="array" ref="O85">MAX(IF((CountersTable[GroupByKey]=CountersTable[[#This Row],[GroupByKey]]),(CountersTable[GroupByKey]=CountersTable[[#This Row],[GroupByKey]])*CountersTable[RecordedValue]))</f>
        <v>32</v>
      </c>
    </row>
    <row r="86" spans="1:15" x14ac:dyDescent="0.35">
      <c r="A86" t="s">
        <v>66</v>
      </c>
      <c r="B86" t="s">
        <v>69</v>
      </c>
      <c r="C86">
        <v>29</v>
      </c>
      <c r="D86" t="s">
        <v>92</v>
      </c>
      <c r="E86" t="s">
        <v>93</v>
      </c>
      <c r="F86" t="s">
        <v>94</v>
      </c>
      <c r="G86">
        <v>44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43.25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1.1491356841177722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6" cm="1">
        <f t="array" ref="N86">MIN(IF((CountersTable[GroupByKey]=CountersTable[[#This Row],[GroupByKey]]),(CountersTable[GroupByKey]=CountersTable[[#This Row],[GroupByKey]])*CountersTable[RecordedValue]))</f>
        <v>41</v>
      </c>
      <c r="O86" cm="1">
        <f t="array" ref="O86">MAX(IF((CountersTable[GroupByKey]=CountersTable[[#This Row],[GroupByKey]]),(CountersTable[GroupByKey]=CountersTable[[#This Row],[GroupByKey]])*CountersTable[RecordedValue]))</f>
        <v>46</v>
      </c>
    </row>
    <row r="87" spans="1:15" x14ac:dyDescent="0.35">
      <c r="A87" t="s">
        <v>66</v>
      </c>
      <c r="B87" t="s">
        <v>69</v>
      </c>
      <c r="C87">
        <v>29</v>
      </c>
      <c r="D87" t="s">
        <v>95</v>
      </c>
      <c r="E87" t="s">
        <v>93</v>
      </c>
      <c r="F87" t="s">
        <v>94</v>
      </c>
      <c r="G87">
        <v>44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43.25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1.1491356841177722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7" cm="1">
        <f t="array" ref="N87">MIN(IF((CountersTable[GroupByKey]=CountersTable[[#This Row],[GroupByKey]]),(CountersTable[GroupByKey]=CountersTable[[#This Row],[GroupByKey]])*CountersTable[RecordedValue]))</f>
        <v>41</v>
      </c>
      <c r="O87" cm="1">
        <f t="array" ref="O87">MAX(IF((CountersTable[GroupByKey]=CountersTable[[#This Row],[GroupByKey]]),(CountersTable[GroupByKey]=CountersTable[[#This Row],[GroupByKey]])*CountersTable[RecordedValue]))</f>
        <v>46</v>
      </c>
    </row>
    <row r="88" spans="1:15" x14ac:dyDescent="0.35">
      <c r="A88" t="s">
        <v>66</v>
      </c>
      <c r="B88" t="s">
        <v>69</v>
      </c>
      <c r="C88">
        <v>29</v>
      </c>
      <c r="D88" t="s">
        <v>96</v>
      </c>
      <c r="E88" t="s">
        <v>93</v>
      </c>
      <c r="F88" t="s">
        <v>94</v>
      </c>
      <c r="G88">
        <v>25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27.15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2.5874450322416114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88" cm="1">
        <f t="array" ref="N88">MIN(IF((CountersTable[GroupByKey]=CountersTable[[#This Row],[GroupByKey]]),(CountersTable[GroupByKey]=CountersTable[[#This Row],[GroupByKey]])*CountersTable[RecordedValue]))</f>
        <v>21</v>
      </c>
      <c r="O88" cm="1">
        <f t="array" ref="O88">MAX(IF((CountersTable[GroupByKey]=CountersTable[[#This Row],[GroupByKey]]),(CountersTable[GroupByKey]=CountersTable[[#This Row],[GroupByKey]])*CountersTable[RecordedValue]))</f>
        <v>32</v>
      </c>
    </row>
    <row r="89" spans="1:15" x14ac:dyDescent="0.35">
      <c r="A89" t="s">
        <v>66</v>
      </c>
      <c r="B89" t="s">
        <v>69</v>
      </c>
      <c r="C89">
        <v>30</v>
      </c>
      <c r="D89" t="s">
        <v>92</v>
      </c>
      <c r="E89" t="s">
        <v>93</v>
      </c>
      <c r="F89" t="s">
        <v>94</v>
      </c>
      <c r="G89">
        <v>42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43.25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1.1491356841177722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89" cm="1">
        <f t="array" ref="N89">MIN(IF((CountersTable[GroupByKey]=CountersTable[[#This Row],[GroupByKey]]),(CountersTable[GroupByKey]=CountersTable[[#This Row],[GroupByKey]])*CountersTable[RecordedValue]))</f>
        <v>41</v>
      </c>
      <c r="O89" cm="1">
        <f t="array" ref="O89">MAX(IF((CountersTable[GroupByKey]=CountersTable[[#This Row],[GroupByKey]]),(CountersTable[GroupByKey]=CountersTable[[#This Row],[GroupByKey]])*CountersTable[RecordedValue]))</f>
        <v>46</v>
      </c>
    </row>
    <row r="90" spans="1:15" x14ac:dyDescent="0.35">
      <c r="A90" t="s">
        <v>66</v>
      </c>
      <c r="B90" t="s">
        <v>69</v>
      </c>
      <c r="C90">
        <v>30</v>
      </c>
      <c r="D90" t="s">
        <v>95</v>
      </c>
      <c r="E90" t="s">
        <v>93</v>
      </c>
      <c r="F90" t="s">
        <v>94</v>
      </c>
      <c r="G90">
        <v>42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43.25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1.1491356841177722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0" cm="1">
        <f t="array" ref="N90">MIN(IF((CountersTable[GroupByKey]=CountersTable[[#This Row],[GroupByKey]]),(CountersTable[GroupByKey]=CountersTable[[#This Row],[GroupByKey]])*CountersTable[RecordedValue]))</f>
        <v>41</v>
      </c>
      <c r="O90" cm="1">
        <f t="array" ref="O90">MAX(IF((CountersTable[GroupByKey]=CountersTable[[#This Row],[GroupByKey]]),(CountersTable[GroupByKey]=CountersTable[[#This Row],[GroupByKey]])*CountersTable[RecordedValue]))</f>
        <v>46</v>
      </c>
    </row>
    <row r="91" spans="1:15" x14ac:dyDescent="0.35">
      <c r="A91" t="s">
        <v>66</v>
      </c>
      <c r="B91" t="s">
        <v>69</v>
      </c>
      <c r="C91">
        <v>30</v>
      </c>
      <c r="D91" t="s">
        <v>96</v>
      </c>
      <c r="E91" t="s">
        <v>93</v>
      </c>
      <c r="F91" t="s">
        <v>94</v>
      </c>
      <c r="G91">
        <v>26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27.15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2.5874450322416114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91" cm="1">
        <f t="array" ref="N91">MIN(IF((CountersTable[GroupByKey]=CountersTable[[#This Row],[GroupByKey]]),(CountersTable[GroupByKey]=CountersTable[[#This Row],[GroupByKey]])*CountersTable[RecordedValue]))</f>
        <v>21</v>
      </c>
      <c r="O91" cm="1">
        <f t="array" ref="O91">MAX(IF((CountersTable[GroupByKey]=CountersTable[[#This Row],[GroupByKey]]),(CountersTable[GroupByKey]=CountersTable[[#This Row],[GroupByKey]])*CountersTable[RecordedValue]))</f>
        <v>32</v>
      </c>
    </row>
    <row r="92" spans="1:15" x14ac:dyDescent="0.35">
      <c r="A92" t="s">
        <v>66</v>
      </c>
      <c r="B92" t="s">
        <v>69</v>
      </c>
      <c r="C92">
        <v>31</v>
      </c>
      <c r="D92" t="s">
        <v>92</v>
      </c>
      <c r="E92" t="s">
        <v>93</v>
      </c>
      <c r="F92" t="s">
        <v>94</v>
      </c>
      <c r="G92">
        <v>42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43.25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1.1491356841177722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2" cm="1">
        <f t="array" ref="N92">MIN(IF((CountersTable[GroupByKey]=CountersTable[[#This Row],[GroupByKey]]),(CountersTable[GroupByKey]=CountersTable[[#This Row],[GroupByKey]])*CountersTable[RecordedValue]))</f>
        <v>41</v>
      </c>
      <c r="O92" cm="1">
        <f t="array" ref="O92">MAX(IF((CountersTable[GroupByKey]=CountersTable[[#This Row],[GroupByKey]]),(CountersTable[GroupByKey]=CountersTable[[#This Row],[GroupByKey]])*CountersTable[RecordedValue]))</f>
        <v>46</v>
      </c>
    </row>
    <row r="93" spans="1:15" x14ac:dyDescent="0.35">
      <c r="A93" t="s">
        <v>66</v>
      </c>
      <c r="B93" t="s">
        <v>69</v>
      </c>
      <c r="C93">
        <v>31</v>
      </c>
      <c r="D93" t="s">
        <v>95</v>
      </c>
      <c r="E93" t="s">
        <v>93</v>
      </c>
      <c r="F93" t="s">
        <v>94</v>
      </c>
      <c r="G93">
        <v>42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43.25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1.1491356841177722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3" cm="1">
        <f t="array" ref="N93">MIN(IF((CountersTable[GroupByKey]=CountersTable[[#This Row],[GroupByKey]]),(CountersTable[GroupByKey]=CountersTable[[#This Row],[GroupByKey]])*CountersTable[RecordedValue]))</f>
        <v>41</v>
      </c>
      <c r="O93" cm="1">
        <f t="array" ref="O93">MAX(IF((CountersTable[GroupByKey]=CountersTable[[#This Row],[GroupByKey]]),(CountersTable[GroupByKey]=CountersTable[[#This Row],[GroupByKey]])*CountersTable[RecordedValue]))</f>
        <v>46</v>
      </c>
    </row>
    <row r="94" spans="1:15" x14ac:dyDescent="0.35">
      <c r="A94" t="s">
        <v>66</v>
      </c>
      <c r="B94" t="s">
        <v>69</v>
      </c>
      <c r="C94">
        <v>31</v>
      </c>
      <c r="D94" t="s">
        <v>96</v>
      </c>
      <c r="E94" t="s">
        <v>93</v>
      </c>
      <c r="F94" t="s">
        <v>94</v>
      </c>
      <c r="G94">
        <v>28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27.15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2.5874450322416114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94" cm="1">
        <f t="array" ref="N94">MIN(IF((CountersTable[GroupByKey]=CountersTable[[#This Row],[GroupByKey]]),(CountersTable[GroupByKey]=CountersTable[[#This Row],[GroupByKey]])*CountersTable[RecordedValue]))</f>
        <v>21</v>
      </c>
      <c r="O94" cm="1">
        <f t="array" ref="O94">MAX(IF((CountersTable[GroupByKey]=CountersTable[[#This Row],[GroupByKey]]),(CountersTable[GroupByKey]=CountersTable[[#This Row],[GroupByKey]])*CountersTable[RecordedValue]))</f>
        <v>32</v>
      </c>
    </row>
    <row r="95" spans="1:15" x14ac:dyDescent="0.35">
      <c r="A95" t="s">
        <v>66</v>
      </c>
      <c r="B95" t="s">
        <v>69</v>
      </c>
      <c r="C95">
        <v>32</v>
      </c>
      <c r="D95" t="s">
        <v>92</v>
      </c>
      <c r="E95" t="s">
        <v>93</v>
      </c>
      <c r="F95" t="s">
        <v>94</v>
      </c>
      <c r="G95">
        <v>41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43.25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1.1491356841177722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5" cm="1">
        <f t="array" ref="N95">MIN(IF((CountersTable[GroupByKey]=CountersTable[[#This Row],[GroupByKey]]),(CountersTable[GroupByKey]=CountersTable[[#This Row],[GroupByKey]])*CountersTable[RecordedValue]))</f>
        <v>41</v>
      </c>
      <c r="O95" cm="1">
        <f t="array" ref="O95">MAX(IF((CountersTable[GroupByKey]=CountersTable[[#This Row],[GroupByKey]]),(CountersTable[GroupByKey]=CountersTable[[#This Row],[GroupByKey]])*CountersTable[RecordedValue]))</f>
        <v>46</v>
      </c>
    </row>
    <row r="96" spans="1:15" x14ac:dyDescent="0.35">
      <c r="A96" t="s">
        <v>66</v>
      </c>
      <c r="B96" t="s">
        <v>69</v>
      </c>
      <c r="C96">
        <v>32</v>
      </c>
      <c r="D96" t="s">
        <v>95</v>
      </c>
      <c r="E96" t="s">
        <v>93</v>
      </c>
      <c r="F96" t="s">
        <v>94</v>
      </c>
      <c r="G96">
        <v>41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43.25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1.1491356841177722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6" cm="1">
        <f t="array" ref="N96">MIN(IF((CountersTable[GroupByKey]=CountersTable[[#This Row],[GroupByKey]]),(CountersTable[GroupByKey]=CountersTable[[#This Row],[GroupByKey]])*CountersTable[RecordedValue]))</f>
        <v>41</v>
      </c>
      <c r="O96" cm="1">
        <f t="array" ref="O96">MAX(IF((CountersTable[GroupByKey]=CountersTable[[#This Row],[GroupByKey]]),(CountersTable[GroupByKey]=CountersTable[[#This Row],[GroupByKey]])*CountersTable[RecordedValue]))</f>
        <v>46</v>
      </c>
    </row>
    <row r="97" spans="1:15" x14ac:dyDescent="0.35">
      <c r="A97" t="s">
        <v>66</v>
      </c>
      <c r="B97" t="s">
        <v>69</v>
      </c>
      <c r="C97">
        <v>32</v>
      </c>
      <c r="D97" t="s">
        <v>96</v>
      </c>
      <c r="E97" t="s">
        <v>93</v>
      </c>
      <c r="F97" t="s">
        <v>94</v>
      </c>
      <c r="G97">
        <v>25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27.15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2.5874450322416114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97" cm="1">
        <f t="array" ref="N97">MIN(IF((CountersTable[GroupByKey]=CountersTable[[#This Row],[GroupByKey]]),(CountersTable[GroupByKey]=CountersTable[[#This Row],[GroupByKey]])*CountersTable[RecordedValue]))</f>
        <v>21</v>
      </c>
      <c r="O97" cm="1">
        <f t="array" ref="O97">MAX(IF((CountersTable[GroupByKey]=CountersTable[[#This Row],[GroupByKey]]),(CountersTable[GroupByKey]=CountersTable[[#This Row],[GroupByKey]])*CountersTable[RecordedValue]))</f>
        <v>32</v>
      </c>
    </row>
    <row r="98" spans="1:15" x14ac:dyDescent="0.35">
      <c r="A98" t="s">
        <v>66</v>
      </c>
      <c r="B98" t="s">
        <v>69</v>
      </c>
      <c r="C98">
        <v>33</v>
      </c>
      <c r="D98" t="s">
        <v>92</v>
      </c>
      <c r="E98" t="s">
        <v>93</v>
      </c>
      <c r="F98" t="s">
        <v>94</v>
      </c>
      <c r="G98">
        <v>43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43.25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1.1491356841177722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8" cm="1">
        <f t="array" ref="N98">MIN(IF((CountersTable[GroupByKey]=CountersTable[[#This Row],[GroupByKey]]),(CountersTable[GroupByKey]=CountersTable[[#This Row],[GroupByKey]])*CountersTable[RecordedValue]))</f>
        <v>41</v>
      </c>
      <c r="O98" cm="1">
        <f t="array" ref="O98">MAX(IF((CountersTable[GroupByKey]=CountersTable[[#This Row],[GroupByKey]]),(CountersTable[GroupByKey]=CountersTable[[#This Row],[GroupByKey]])*CountersTable[RecordedValue]))</f>
        <v>46</v>
      </c>
    </row>
    <row r="99" spans="1:15" x14ac:dyDescent="0.35">
      <c r="A99" t="s">
        <v>66</v>
      </c>
      <c r="B99" t="s">
        <v>69</v>
      </c>
      <c r="C99">
        <v>33</v>
      </c>
      <c r="D99" t="s">
        <v>95</v>
      </c>
      <c r="E99" t="s">
        <v>93</v>
      </c>
      <c r="F99" t="s">
        <v>94</v>
      </c>
      <c r="G99">
        <v>43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43.25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1.1491356841177722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99" cm="1">
        <f t="array" ref="N99">MIN(IF((CountersTable[GroupByKey]=CountersTable[[#This Row],[GroupByKey]]),(CountersTable[GroupByKey]=CountersTable[[#This Row],[GroupByKey]])*CountersTable[RecordedValue]))</f>
        <v>41</v>
      </c>
      <c r="O99" cm="1">
        <f t="array" ref="O99">MAX(IF((CountersTable[GroupByKey]=CountersTable[[#This Row],[GroupByKey]]),(CountersTable[GroupByKey]=CountersTable[[#This Row],[GroupByKey]])*CountersTable[RecordedValue]))</f>
        <v>46</v>
      </c>
    </row>
    <row r="100" spans="1:15" x14ac:dyDescent="0.35">
      <c r="A100" t="s">
        <v>66</v>
      </c>
      <c r="B100" t="s">
        <v>69</v>
      </c>
      <c r="C100">
        <v>33</v>
      </c>
      <c r="D100" t="s">
        <v>96</v>
      </c>
      <c r="E100" t="s">
        <v>93</v>
      </c>
      <c r="F100" t="s">
        <v>94</v>
      </c>
      <c r="G100">
        <v>32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27.15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2.5874450322416114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00" cm="1">
        <f t="array" ref="N100">MIN(IF((CountersTable[GroupByKey]=CountersTable[[#This Row],[GroupByKey]]),(CountersTable[GroupByKey]=CountersTable[[#This Row],[GroupByKey]])*CountersTable[RecordedValue]))</f>
        <v>21</v>
      </c>
      <c r="O100" cm="1">
        <f t="array" ref="O100">MAX(IF((CountersTable[GroupByKey]=CountersTable[[#This Row],[GroupByKey]]),(CountersTable[GroupByKey]=CountersTable[[#This Row],[GroupByKey]])*CountersTable[RecordedValue]))</f>
        <v>32</v>
      </c>
    </row>
    <row r="101" spans="1:15" x14ac:dyDescent="0.35">
      <c r="A101" t="s">
        <v>66</v>
      </c>
      <c r="B101" t="s">
        <v>69</v>
      </c>
      <c r="C101">
        <v>34</v>
      </c>
      <c r="D101" t="s">
        <v>92</v>
      </c>
      <c r="E101" t="s">
        <v>93</v>
      </c>
      <c r="F101" t="s">
        <v>94</v>
      </c>
      <c r="G101">
        <v>44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43.25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1.1491356841177722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1" cm="1">
        <f t="array" ref="N101">MIN(IF((CountersTable[GroupByKey]=CountersTable[[#This Row],[GroupByKey]]),(CountersTable[GroupByKey]=CountersTable[[#This Row],[GroupByKey]])*CountersTable[RecordedValue]))</f>
        <v>41</v>
      </c>
      <c r="O101" cm="1">
        <f t="array" ref="O101">MAX(IF((CountersTable[GroupByKey]=CountersTable[[#This Row],[GroupByKey]]),(CountersTable[GroupByKey]=CountersTable[[#This Row],[GroupByKey]])*CountersTable[RecordedValue]))</f>
        <v>46</v>
      </c>
    </row>
    <row r="102" spans="1:15" x14ac:dyDescent="0.35">
      <c r="A102" t="s">
        <v>66</v>
      </c>
      <c r="B102" t="s">
        <v>69</v>
      </c>
      <c r="C102">
        <v>34</v>
      </c>
      <c r="D102" t="s">
        <v>95</v>
      </c>
      <c r="E102" t="s">
        <v>93</v>
      </c>
      <c r="F102" t="s">
        <v>94</v>
      </c>
      <c r="G102">
        <v>44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43.25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1.1491356841177722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2" cm="1">
        <f t="array" ref="N102">MIN(IF((CountersTable[GroupByKey]=CountersTable[[#This Row],[GroupByKey]]),(CountersTable[GroupByKey]=CountersTable[[#This Row],[GroupByKey]])*CountersTable[RecordedValue]))</f>
        <v>41</v>
      </c>
      <c r="O102" cm="1">
        <f t="array" ref="O102">MAX(IF((CountersTable[GroupByKey]=CountersTable[[#This Row],[GroupByKey]]),(CountersTable[GroupByKey]=CountersTable[[#This Row],[GroupByKey]])*CountersTable[RecordedValue]))</f>
        <v>46</v>
      </c>
    </row>
    <row r="103" spans="1:15" x14ac:dyDescent="0.35">
      <c r="A103" t="s">
        <v>66</v>
      </c>
      <c r="B103" t="s">
        <v>69</v>
      </c>
      <c r="C103">
        <v>34</v>
      </c>
      <c r="D103" t="s">
        <v>96</v>
      </c>
      <c r="E103" t="s">
        <v>93</v>
      </c>
      <c r="F103" t="s">
        <v>94</v>
      </c>
      <c r="G103">
        <v>28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27.15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2.5874450322416114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03" cm="1">
        <f t="array" ref="N103">MIN(IF((CountersTable[GroupByKey]=CountersTable[[#This Row],[GroupByKey]]),(CountersTable[GroupByKey]=CountersTable[[#This Row],[GroupByKey]])*CountersTable[RecordedValue]))</f>
        <v>21</v>
      </c>
      <c r="O103" cm="1">
        <f t="array" ref="O103">MAX(IF((CountersTable[GroupByKey]=CountersTable[[#This Row],[GroupByKey]]),(CountersTable[GroupByKey]=CountersTable[[#This Row],[GroupByKey]])*CountersTable[RecordedValue]))</f>
        <v>32</v>
      </c>
    </row>
    <row r="104" spans="1:15" x14ac:dyDescent="0.35">
      <c r="A104" t="s">
        <v>66</v>
      </c>
      <c r="B104" t="s">
        <v>69</v>
      </c>
      <c r="C104">
        <v>35</v>
      </c>
      <c r="D104" t="s">
        <v>92</v>
      </c>
      <c r="E104" t="s">
        <v>93</v>
      </c>
      <c r="F104" t="s">
        <v>94</v>
      </c>
      <c r="G104">
        <v>43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43.25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1.1491356841177722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4" cm="1">
        <f t="array" ref="N104">MIN(IF((CountersTable[GroupByKey]=CountersTable[[#This Row],[GroupByKey]]),(CountersTable[GroupByKey]=CountersTable[[#This Row],[GroupByKey]])*CountersTable[RecordedValue]))</f>
        <v>41</v>
      </c>
      <c r="O104" cm="1">
        <f t="array" ref="O104">MAX(IF((CountersTable[GroupByKey]=CountersTable[[#This Row],[GroupByKey]]),(CountersTable[GroupByKey]=CountersTable[[#This Row],[GroupByKey]])*CountersTable[RecordedValue]))</f>
        <v>46</v>
      </c>
    </row>
    <row r="105" spans="1:15" x14ac:dyDescent="0.35">
      <c r="A105" t="s">
        <v>66</v>
      </c>
      <c r="B105" t="s">
        <v>69</v>
      </c>
      <c r="C105">
        <v>35</v>
      </c>
      <c r="D105" t="s">
        <v>95</v>
      </c>
      <c r="E105" t="s">
        <v>93</v>
      </c>
      <c r="F105" t="s">
        <v>94</v>
      </c>
      <c r="G105">
        <v>43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43.25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1.1491356841177722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5" cm="1">
        <f t="array" ref="N105">MIN(IF((CountersTable[GroupByKey]=CountersTable[[#This Row],[GroupByKey]]),(CountersTable[GroupByKey]=CountersTable[[#This Row],[GroupByKey]])*CountersTable[RecordedValue]))</f>
        <v>41</v>
      </c>
      <c r="O105" cm="1">
        <f t="array" ref="O105">MAX(IF((CountersTable[GroupByKey]=CountersTable[[#This Row],[GroupByKey]]),(CountersTable[GroupByKey]=CountersTable[[#This Row],[GroupByKey]])*CountersTable[RecordedValue]))</f>
        <v>46</v>
      </c>
    </row>
    <row r="106" spans="1:15" x14ac:dyDescent="0.35">
      <c r="A106" t="s">
        <v>66</v>
      </c>
      <c r="B106" t="s">
        <v>69</v>
      </c>
      <c r="C106">
        <v>35</v>
      </c>
      <c r="D106" t="s">
        <v>96</v>
      </c>
      <c r="E106" t="s">
        <v>93</v>
      </c>
      <c r="F106" t="s">
        <v>94</v>
      </c>
      <c r="G106">
        <v>24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27.15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2.5874450322416114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06" cm="1">
        <f t="array" ref="N106">MIN(IF((CountersTable[GroupByKey]=CountersTable[[#This Row],[GroupByKey]]),(CountersTable[GroupByKey]=CountersTable[[#This Row],[GroupByKey]])*CountersTable[RecordedValue]))</f>
        <v>21</v>
      </c>
      <c r="O106" cm="1">
        <f t="array" ref="O106">MAX(IF((CountersTable[GroupByKey]=CountersTable[[#This Row],[GroupByKey]]),(CountersTable[GroupByKey]=CountersTable[[#This Row],[GroupByKey]])*CountersTable[RecordedValue]))</f>
        <v>32</v>
      </c>
    </row>
    <row r="107" spans="1:15" x14ac:dyDescent="0.35">
      <c r="A107" t="s">
        <v>66</v>
      </c>
      <c r="B107" t="s">
        <v>69</v>
      </c>
      <c r="C107">
        <v>36</v>
      </c>
      <c r="D107" t="s">
        <v>92</v>
      </c>
      <c r="E107" t="s">
        <v>93</v>
      </c>
      <c r="F107" t="s">
        <v>94</v>
      </c>
      <c r="G107">
        <v>45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43.25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1.1491356841177722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7" cm="1">
        <f t="array" ref="N107">MIN(IF((CountersTable[GroupByKey]=CountersTable[[#This Row],[GroupByKey]]),(CountersTable[GroupByKey]=CountersTable[[#This Row],[GroupByKey]])*CountersTable[RecordedValue]))</f>
        <v>41</v>
      </c>
      <c r="O107" cm="1">
        <f t="array" ref="O107">MAX(IF((CountersTable[GroupByKey]=CountersTable[[#This Row],[GroupByKey]]),(CountersTable[GroupByKey]=CountersTable[[#This Row],[GroupByKey]])*CountersTable[RecordedValue]))</f>
        <v>46</v>
      </c>
    </row>
    <row r="108" spans="1:15" x14ac:dyDescent="0.35">
      <c r="A108" t="s">
        <v>66</v>
      </c>
      <c r="B108" t="s">
        <v>69</v>
      </c>
      <c r="C108">
        <v>36</v>
      </c>
      <c r="D108" t="s">
        <v>95</v>
      </c>
      <c r="E108" t="s">
        <v>93</v>
      </c>
      <c r="F108" t="s">
        <v>94</v>
      </c>
      <c r="G108">
        <v>45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43.25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1.1491356841177722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08" cm="1">
        <f t="array" ref="N108">MIN(IF((CountersTable[GroupByKey]=CountersTable[[#This Row],[GroupByKey]]),(CountersTable[GroupByKey]=CountersTable[[#This Row],[GroupByKey]])*CountersTable[RecordedValue]))</f>
        <v>41</v>
      </c>
      <c r="O108" cm="1">
        <f t="array" ref="O108">MAX(IF((CountersTable[GroupByKey]=CountersTable[[#This Row],[GroupByKey]]),(CountersTable[GroupByKey]=CountersTable[[#This Row],[GroupByKey]])*CountersTable[RecordedValue]))</f>
        <v>46</v>
      </c>
    </row>
    <row r="109" spans="1:15" x14ac:dyDescent="0.35">
      <c r="A109" t="s">
        <v>66</v>
      </c>
      <c r="B109" t="s">
        <v>69</v>
      </c>
      <c r="C109">
        <v>36</v>
      </c>
      <c r="D109" t="s">
        <v>96</v>
      </c>
      <c r="E109" t="s">
        <v>93</v>
      </c>
      <c r="F109" t="s">
        <v>94</v>
      </c>
      <c r="G109">
        <v>30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27.15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2.5874450322416114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09" cm="1">
        <f t="array" ref="N109">MIN(IF((CountersTable[GroupByKey]=CountersTable[[#This Row],[GroupByKey]]),(CountersTable[GroupByKey]=CountersTable[[#This Row],[GroupByKey]])*CountersTable[RecordedValue]))</f>
        <v>21</v>
      </c>
      <c r="O109" cm="1">
        <f t="array" ref="O109">MAX(IF((CountersTable[GroupByKey]=CountersTable[[#This Row],[GroupByKey]]),(CountersTable[GroupByKey]=CountersTable[[#This Row],[GroupByKey]])*CountersTable[RecordedValue]))</f>
        <v>32</v>
      </c>
    </row>
    <row r="110" spans="1:15" x14ac:dyDescent="0.35">
      <c r="A110" t="s">
        <v>66</v>
      </c>
      <c r="B110" t="s">
        <v>69</v>
      </c>
      <c r="C110">
        <v>37</v>
      </c>
      <c r="D110" t="s">
        <v>92</v>
      </c>
      <c r="E110" t="s">
        <v>93</v>
      </c>
      <c r="F110" t="s">
        <v>94</v>
      </c>
      <c r="G110">
        <v>43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43.25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1.1491356841177722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0" cm="1">
        <f t="array" ref="N110">MIN(IF((CountersTable[GroupByKey]=CountersTable[[#This Row],[GroupByKey]]),(CountersTable[GroupByKey]=CountersTable[[#This Row],[GroupByKey]])*CountersTable[RecordedValue]))</f>
        <v>41</v>
      </c>
      <c r="O110" cm="1">
        <f t="array" ref="O110">MAX(IF((CountersTable[GroupByKey]=CountersTable[[#This Row],[GroupByKey]]),(CountersTable[GroupByKey]=CountersTable[[#This Row],[GroupByKey]])*CountersTable[RecordedValue]))</f>
        <v>46</v>
      </c>
    </row>
    <row r="111" spans="1:15" x14ac:dyDescent="0.35">
      <c r="A111" t="s">
        <v>66</v>
      </c>
      <c r="B111" t="s">
        <v>69</v>
      </c>
      <c r="C111">
        <v>37</v>
      </c>
      <c r="D111" t="s">
        <v>95</v>
      </c>
      <c r="E111" t="s">
        <v>93</v>
      </c>
      <c r="F111" t="s">
        <v>94</v>
      </c>
      <c r="G111">
        <v>43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43.25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1.1491356841177722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1" cm="1">
        <f t="array" ref="N111">MIN(IF((CountersTable[GroupByKey]=CountersTable[[#This Row],[GroupByKey]]),(CountersTable[GroupByKey]=CountersTable[[#This Row],[GroupByKey]])*CountersTable[RecordedValue]))</f>
        <v>41</v>
      </c>
      <c r="O111" cm="1">
        <f t="array" ref="O111">MAX(IF((CountersTable[GroupByKey]=CountersTable[[#This Row],[GroupByKey]]),(CountersTable[GroupByKey]=CountersTable[[#This Row],[GroupByKey]])*CountersTable[RecordedValue]))</f>
        <v>46</v>
      </c>
    </row>
    <row r="112" spans="1:15" x14ac:dyDescent="0.35">
      <c r="A112" t="s">
        <v>66</v>
      </c>
      <c r="B112" t="s">
        <v>69</v>
      </c>
      <c r="C112">
        <v>37</v>
      </c>
      <c r="D112" t="s">
        <v>96</v>
      </c>
      <c r="E112" t="s">
        <v>93</v>
      </c>
      <c r="F112" t="s">
        <v>94</v>
      </c>
      <c r="G112">
        <v>32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27.15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2.5874450322416114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12" cm="1">
        <f t="array" ref="N112">MIN(IF((CountersTable[GroupByKey]=CountersTable[[#This Row],[GroupByKey]]),(CountersTable[GroupByKey]=CountersTable[[#This Row],[GroupByKey]])*CountersTable[RecordedValue]))</f>
        <v>21</v>
      </c>
      <c r="O112" cm="1">
        <f t="array" ref="O112">MAX(IF((CountersTable[GroupByKey]=CountersTable[[#This Row],[GroupByKey]]),(CountersTable[GroupByKey]=CountersTable[[#This Row],[GroupByKey]])*CountersTable[RecordedValue]))</f>
        <v>32</v>
      </c>
    </row>
    <row r="113" spans="1:15" x14ac:dyDescent="0.35">
      <c r="A113" t="s">
        <v>66</v>
      </c>
      <c r="B113" t="s">
        <v>69</v>
      </c>
      <c r="C113">
        <v>38</v>
      </c>
      <c r="D113" t="s">
        <v>92</v>
      </c>
      <c r="E113" t="s">
        <v>93</v>
      </c>
      <c r="F113" t="s">
        <v>94</v>
      </c>
      <c r="G113">
        <v>45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43.25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1.1491356841177722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3" cm="1">
        <f t="array" ref="N113">MIN(IF((CountersTable[GroupByKey]=CountersTable[[#This Row],[GroupByKey]]),(CountersTable[GroupByKey]=CountersTable[[#This Row],[GroupByKey]])*CountersTable[RecordedValue]))</f>
        <v>41</v>
      </c>
      <c r="O113" cm="1">
        <f t="array" ref="O113">MAX(IF((CountersTable[GroupByKey]=CountersTable[[#This Row],[GroupByKey]]),(CountersTable[GroupByKey]=CountersTable[[#This Row],[GroupByKey]])*CountersTable[RecordedValue]))</f>
        <v>46</v>
      </c>
    </row>
    <row r="114" spans="1:15" x14ac:dyDescent="0.35">
      <c r="A114" t="s">
        <v>66</v>
      </c>
      <c r="B114" t="s">
        <v>69</v>
      </c>
      <c r="C114">
        <v>38</v>
      </c>
      <c r="D114" t="s">
        <v>95</v>
      </c>
      <c r="E114" t="s">
        <v>93</v>
      </c>
      <c r="F114" t="s">
        <v>94</v>
      </c>
      <c r="G114">
        <v>45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43.25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1.1491356841177722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4" cm="1">
        <f t="array" ref="N114">MIN(IF((CountersTable[GroupByKey]=CountersTable[[#This Row],[GroupByKey]]),(CountersTable[GroupByKey]=CountersTable[[#This Row],[GroupByKey]])*CountersTable[RecordedValue]))</f>
        <v>41</v>
      </c>
      <c r="O114" cm="1">
        <f t="array" ref="O114">MAX(IF((CountersTable[GroupByKey]=CountersTable[[#This Row],[GroupByKey]]),(CountersTable[GroupByKey]=CountersTable[[#This Row],[GroupByKey]])*CountersTable[RecordedValue]))</f>
        <v>46</v>
      </c>
    </row>
    <row r="115" spans="1:15" x14ac:dyDescent="0.35">
      <c r="A115" t="s">
        <v>66</v>
      </c>
      <c r="B115" t="s">
        <v>69</v>
      </c>
      <c r="C115">
        <v>38</v>
      </c>
      <c r="D115" t="s">
        <v>96</v>
      </c>
      <c r="E115" t="s">
        <v>93</v>
      </c>
      <c r="F115" t="s">
        <v>94</v>
      </c>
      <c r="G115">
        <v>32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27.15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2.5874450322416114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15" cm="1">
        <f t="array" ref="N115">MIN(IF((CountersTable[GroupByKey]=CountersTable[[#This Row],[GroupByKey]]),(CountersTable[GroupByKey]=CountersTable[[#This Row],[GroupByKey]])*CountersTable[RecordedValue]))</f>
        <v>21</v>
      </c>
      <c r="O115" cm="1">
        <f t="array" ref="O115">MAX(IF((CountersTable[GroupByKey]=CountersTable[[#This Row],[GroupByKey]]),(CountersTable[GroupByKey]=CountersTable[[#This Row],[GroupByKey]])*CountersTable[RecordedValue]))</f>
        <v>32</v>
      </c>
    </row>
    <row r="116" spans="1:15" x14ac:dyDescent="0.35">
      <c r="A116" t="s">
        <v>66</v>
      </c>
      <c r="B116" t="s">
        <v>69</v>
      </c>
      <c r="C116">
        <v>39</v>
      </c>
      <c r="D116" t="s">
        <v>92</v>
      </c>
      <c r="E116" t="s">
        <v>93</v>
      </c>
      <c r="F116" t="s">
        <v>94</v>
      </c>
      <c r="G116">
        <v>44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43.25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1.1491356841177722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6" cm="1">
        <f t="array" ref="N116">MIN(IF((CountersTable[GroupByKey]=CountersTable[[#This Row],[GroupByKey]]),(CountersTable[GroupByKey]=CountersTable[[#This Row],[GroupByKey]])*CountersTable[RecordedValue]))</f>
        <v>41</v>
      </c>
      <c r="O116" cm="1">
        <f t="array" ref="O116">MAX(IF((CountersTable[GroupByKey]=CountersTable[[#This Row],[GroupByKey]]),(CountersTable[GroupByKey]=CountersTable[[#This Row],[GroupByKey]])*CountersTable[RecordedValue]))</f>
        <v>46</v>
      </c>
    </row>
    <row r="117" spans="1:15" x14ac:dyDescent="0.35">
      <c r="A117" t="s">
        <v>66</v>
      </c>
      <c r="B117" t="s">
        <v>69</v>
      </c>
      <c r="C117">
        <v>39</v>
      </c>
      <c r="D117" t="s">
        <v>95</v>
      </c>
      <c r="E117" t="s">
        <v>93</v>
      </c>
      <c r="F117" t="s">
        <v>94</v>
      </c>
      <c r="G117">
        <v>44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43.25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1.1491356841177722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7" cm="1">
        <f t="array" ref="N117">MIN(IF((CountersTable[GroupByKey]=CountersTable[[#This Row],[GroupByKey]]),(CountersTable[GroupByKey]=CountersTable[[#This Row],[GroupByKey]])*CountersTable[RecordedValue]))</f>
        <v>41</v>
      </c>
      <c r="O117" cm="1">
        <f t="array" ref="O117">MAX(IF((CountersTable[GroupByKey]=CountersTable[[#This Row],[GroupByKey]]),(CountersTable[GroupByKey]=CountersTable[[#This Row],[GroupByKey]])*CountersTable[RecordedValue]))</f>
        <v>46</v>
      </c>
    </row>
    <row r="118" spans="1:15" x14ac:dyDescent="0.35">
      <c r="A118" t="s">
        <v>66</v>
      </c>
      <c r="B118" t="s">
        <v>69</v>
      </c>
      <c r="C118">
        <v>39</v>
      </c>
      <c r="D118" t="s">
        <v>96</v>
      </c>
      <c r="E118" t="s">
        <v>93</v>
      </c>
      <c r="F118" t="s">
        <v>94</v>
      </c>
      <c r="G118">
        <v>28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27.15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2.5874450322416114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18" cm="1">
        <f t="array" ref="N118">MIN(IF((CountersTable[GroupByKey]=CountersTable[[#This Row],[GroupByKey]]),(CountersTable[GroupByKey]=CountersTable[[#This Row],[GroupByKey]])*CountersTable[RecordedValue]))</f>
        <v>21</v>
      </c>
      <c r="O118" cm="1">
        <f t="array" ref="O118">MAX(IF((CountersTable[GroupByKey]=CountersTable[[#This Row],[GroupByKey]]),(CountersTable[GroupByKey]=CountersTable[[#This Row],[GroupByKey]])*CountersTable[RecordedValue]))</f>
        <v>32</v>
      </c>
    </row>
    <row r="119" spans="1:15" x14ac:dyDescent="0.35">
      <c r="A119" t="s">
        <v>66</v>
      </c>
      <c r="B119" t="s">
        <v>69</v>
      </c>
      <c r="C119">
        <v>40</v>
      </c>
      <c r="D119" t="s">
        <v>92</v>
      </c>
      <c r="E119" t="s">
        <v>93</v>
      </c>
      <c r="F119" t="s">
        <v>94</v>
      </c>
      <c r="G119">
        <v>43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43.25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1.1491356841177722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19" cm="1">
        <f t="array" ref="N119">MIN(IF((CountersTable[GroupByKey]=CountersTable[[#This Row],[GroupByKey]]),(CountersTable[GroupByKey]=CountersTable[[#This Row],[GroupByKey]])*CountersTable[RecordedValue]))</f>
        <v>41</v>
      </c>
      <c r="O119" cm="1">
        <f t="array" ref="O119">MAX(IF((CountersTable[GroupByKey]=CountersTable[[#This Row],[GroupByKey]]),(CountersTable[GroupByKey]=CountersTable[[#This Row],[GroupByKey]])*CountersTable[RecordedValue]))</f>
        <v>46</v>
      </c>
    </row>
    <row r="120" spans="1:15" x14ac:dyDescent="0.35">
      <c r="A120" t="s">
        <v>66</v>
      </c>
      <c r="B120" t="s">
        <v>69</v>
      </c>
      <c r="C120">
        <v>40</v>
      </c>
      <c r="D120" t="s">
        <v>95</v>
      </c>
      <c r="E120" t="s">
        <v>93</v>
      </c>
      <c r="F120" t="s">
        <v>94</v>
      </c>
      <c r="G120">
        <v>43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43.25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1.1491356841177722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0.36751142118739266</v>
      </c>
      <c r="N120" cm="1">
        <f t="array" ref="N120">MIN(IF((CountersTable[GroupByKey]=CountersTable[[#This Row],[GroupByKey]]),(CountersTable[GroupByKey]=CountersTable[[#This Row],[GroupByKey]])*CountersTable[RecordedValue]))</f>
        <v>41</v>
      </c>
      <c r="O120" cm="1">
        <f t="array" ref="O120">MAX(IF((CountersTable[GroupByKey]=CountersTable[[#This Row],[GroupByKey]]),(CountersTable[GroupByKey]=CountersTable[[#This Row],[GroupByKey]])*CountersTable[RecordedValue]))</f>
        <v>46</v>
      </c>
    </row>
    <row r="121" spans="1:15" x14ac:dyDescent="0.35">
      <c r="A121" t="s">
        <v>66</v>
      </c>
      <c r="B121" t="s">
        <v>69</v>
      </c>
      <c r="C121">
        <v>40</v>
      </c>
      <c r="D121" t="s">
        <v>96</v>
      </c>
      <c r="E121" t="s">
        <v>93</v>
      </c>
      <c r="F121" t="s">
        <v>94</v>
      </c>
      <c r="G121">
        <v>25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27.15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2.5874450322416114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0.82750506679585156</v>
      </c>
      <c r="N121" cm="1">
        <f t="array" ref="N121">MIN(IF((CountersTable[GroupByKey]=CountersTable[[#This Row],[GroupByKey]]),(CountersTable[GroupByKey]=CountersTable[[#This Row],[GroupByKey]])*CountersTable[RecordedValue]))</f>
        <v>21</v>
      </c>
      <c r="O121" cm="1">
        <f t="array" ref="O121">MAX(IF((CountersTable[GroupByKey]=CountersTable[[#This Row],[GroupByKey]]),(CountersTable[GroupByKey]=CountersTable[[#This Row],[GroupByKey]])*CountersTable[RecordedValue]))</f>
        <v>32</v>
      </c>
    </row>
  </sheetData>
  <phoneticPr fontId="2" type="noConversion"/>
  <conditionalFormatting sqref="H2:O121">
    <cfRule type="expression" dxfId="5" priority="2">
      <formula>MOD(ROW(),2)=0</formula>
    </cfRule>
  </conditionalFormatting>
  <conditionalFormatting sqref="M2:M1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97</v>
      </c>
      <c r="E2" t="s">
        <v>98</v>
      </c>
      <c r="F2" t="s">
        <v>76</v>
      </c>
      <c r="G2">
        <v>142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154.65</v>
      </c>
      <c r="L2" cm="1">
        <f t="array" ref="L2">IFERROR(_xlfn.STDEV.S(IF((OutputTable[GroupByKey]=OutputTable[[#This Row],[GroupByKey]]),(OutputTable[GroupByKey]=OutputTable[[#This Row],[GroupByKey]])*OutputTable[RecordedValue])),0)</f>
        <v>14.193805077008156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" cm="1">
        <f t="array" ref="O2">MIN(IF((OutputTable[GroupByKey]=OutputTable[[#This Row],[GroupByKey]]),(OutputTable[GroupByKey]=OutputTable[[#This Row],[GroupByKey]])*OutputTable[RecordedValue]))</f>
        <v>128</v>
      </c>
      <c r="P2" cm="1">
        <f t="array" ref="P2">MAX(IF((OutputTable[GroupByKey]=OutputTable[[#This Row],[GroupByKey]]),(OutputTable[GroupByKey]=OutputTable[[#This Row],[GroupByKey]])*OutputTable[RecordedValue]))</f>
        <v>181</v>
      </c>
    </row>
    <row r="3" spans="1:16" x14ac:dyDescent="0.35">
      <c r="A3" t="s">
        <v>66</v>
      </c>
      <c r="B3" t="s">
        <v>69</v>
      </c>
      <c r="C3">
        <v>1</v>
      </c>
      <c r="D3" t="s">
        <v>99</v>
      </c>
      <c r="E3" t="s">
        <v>100</v>
      </c>
      <c r="F3" t="s">
        <v>76</v>
      </c>
      <c r="G3">
        <v>102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105.35</v>
      </c>
      <c r="L3" cm="1">
        <f t="array" ref="L3">IFERROR(_xlfn.STDEV.S(IF((OutputTable[GroupByKey]=OutputTable[[#This Row],[GroupByKey]]),(OutputTable[GroupByKey]=OutputTable[[#This Row],[GroupByKey]])*OutputTable[RecordedValue])),0)</f>
        <v>3.7794993563454127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3" cm="1">
        <f t="array" ref="O3">MIN(IF((OutputTable[GroupByKey]=OutputTable[[#This Row],[GroupByKey]]),(OutputTable[GroupByKey]=OutputTable[[#This Row],[GroupByKey]])*OutputTable[RecordedValue]))</f>
        <v>99</v>
      </c>
      <c r="P3" cm="1">
        <f t="array" ref="P3">MAX(IF((OutputTable[GroupByKey]=OutputTable[[#This Row],[GroupByKey]]),(OutputTable[GroupByKey]=OutputTable[[#This Row],[GroupByKey]])*OutputTable[RecordedValue]))</f>
        <v>114</v>
      </c>
    </row>
    <row r="4" spans="1:16" x14ac:dyDescent="0.35">
      <c r="A4" t="s">
        <v>66</v>
      </c>
      <c r="B4" t="s">
        <v>69</v>
      </c>
      <c r="C4">
        <v>1</v>
      </c>
      <c r="D4" t="s">
        <v>101</v>
      </c>
      <c r="E4" t="s">
        <v>102</v>
      </c>
      <c r="F4" t="s">
        <v>88</v>
      </c>
      <c r="G4">
        <v>48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49.1</v>
      </c>
      <c r="L4" cm="1">
        <f t="array" ref="L4">IFERROR(_xlfn.STDEV.S(IF((OutputTable[GroupByKey]=OutputTable[[#This Row],[GroupByKey]]),(OutputTable[GroupByKey]=OutputTable[[#This Row],[GroupByKey]])*OutputTable[RecordedValue])),0)</f>
        <v>1.0076629473115577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4" cm="1">
        <f t="array" ref="O4">MIN(IF((OutputTable[GroupByKey]=OutputTable[[#This Row],[GroupByKey]]),(OutputTable[GroupByKey]=OutputTable[[#This Row],[GroupByKey]])*OutputTable[RecordedValue]))</f>
        <v>47</v>
      </c>
      <c r="P4" cm="1">
        <f t="array" ref="P4">MAX(IF((OutputTable[GroupByKey]=OutputTable[[#This Row],[GroupByKey]]),(OutputTable[GroupByKey]=OutputTable[[#This Row],[GroupByKey]])*OutputTable[RecordedValue]))</f>
        <v>51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104</v>
      </c>
      <c r="F5" t="s">
        <v>88</v>
      </c>
      <c r="G5">
        <v>0.79960537865446901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0.87901029902009642</v>
      </c>
      <c r="L5" cm="1">
        <f t="array" ref="L5">IFERROR(_xlfn.STDEV.S(IF((OutputTable[GroupByKey]=OutputTable[[#This Row],[GroupByKey]]),(OutputTable[GroupByKey]=OutputTable[[#This Row],[GroupByKey]])*OutputTable[RecordedValue])),0)</f>
        <v>6.4041892088461561E-2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5" cm="1">
        <f t="array" ref="O5">MIN(IF((OutputTable[GroupByKey]=OutputTable[[#This Row],[GroupByKey]]),(OutputTable[GroupByKey]=OutputTable[[#This Row],[GroupByKey]])*OutputTable[RecordedValue]))</f>
        <v>0.71791407599347101</v>
      </c>
      <c r="P5" cm="1">
        <f t="array" ref="P5">MAX(IF((OutputTable[GroupByKey]=OutputTable[[#This Row],[GroupByKey]]),(OutputTable[GroupByKey]=OutputTable[[#This Row],[GroupByKey]])*OutputTable[RecordedValue]))</f>
        <v>0.96105910626671998</v>
      </c>
    </row>
    <row r="6" spans="1:16" x14ac:dyDescent="0.35">
      <c r="A6" t="s">
        <v>66</v>
      </c>
      <c r="B6" t="s">
        <v>69</v>
      </c>
      <c r="C6">
        <v>1</v>
      </c>
      <c r="D6" t="s">
        <v>105</v>
      </c>
      <c r="E6" t="s">
        <v>102</v>
      </c>
      <c r="F6" t="s">
        <v>88</v>
      </c>
      <c r="G6">
        <v>83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85.7</v>
      </c>
      <c r="L6" cm="1">
        <f t="array" ref="L6">IFERROR(_xlfn.STDEV.S(IF((OutputTable[GroupByKey]=OutputTable[[#This Row],[GroupByKey]]),(OutputTable[GroupByKey]=OutputTable[[#This Row],[GroupByKey]])*OutputTable[RecordedValue])),0)</f>
        <v>2.0902705014496981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6" cm="1">
        <f t="array" ref="O6">MIN(IF((OutputTable[GroupByKey]=OutputTable[[#This Row],[GroupByKey]]),(OutputTable[GroupByKey]=OutputTable[[#This Row],[GroupByKey]])*OutputTable[RecordedValue]))</f>
        <v>82</v>
      </c>
      <c r="P6" cm="1">
        <f t="array" ref="P6">MAX(IF((OutputTable[GroupByKey]=OutputTable[[#This Row],[GroupByKey]]),(OutputTable[GroupByKey]=OutputTable[[#This Row],[GroupByKey]])*OutputTable[RecordedValue]))</f>
        <v>90</v>
      </c>
    </row>
    <row r="7" spans="1:16" x14ac:dyDescent="0.35">
      <c r="A7" t="s">
        <v>66</v>
      </c>
      <c r="B7" t="s">
        <v>69</v>
      </c>
      <c r="C7">
        <v>1</v>
      </c>
      <c r="D7" t="s">
        <v>106</v>
      </c>
      <c r="E7" t="s">
        <v>104</v>
      </c>
      <c r="F7" t="s">
        <v>88</v>
      </c>
      <c r="G7">
        <v>0.95554007787445405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0.97764323127952735</v>
      </c>
      <c r="L7" cm="1">
        <f t="array" ref="L7">IFERROR(_xlfn.STDEV.S(IF((OutputTable[GroupByKey]=OutputTable[[#This Row],[GroupByKey]]),(OutputTable[GroupByKey]=OutputTable[[#This Row],[GroupByKey]])*OutputTable[RecordedValue])),0)</f>
        <v>2.0318152206087455E-2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7" cm="1">
        <f t="array" ref="O7">MIN(IF((OutputTable[GroupByKey]=OutputTable[[#This Row],[GroupByKey]]),(OutputTable[GroupByKey]=OutputTable[[#This Row],[GroupByKey]])*OutputTable[RecordedValue]))</f>
        <v>0.92631153500444496</v>
      </c>
      <c r="P7" cm="1">
        <f t="array" ref="P7">MAX(IF((OutputTable[GroupByKey]=OutputTable[[#This Row],[GroupByKey]]),(OutputTable[GroupByKey]=OutputTable[[#This Row],[GroupByKey]])*OutputTable[RecordedValue]))</f>
        <v>0.99913603041501298</v>
      </c>
    </row>
    <row r="8" spans="1:16" x14ac:dyDescent="0.35">
      <c r="A8" t="s">
        <v>66</v>
      </c>
      <c r="B8" t="s">
        <v>69</v>
      </c>
      <c r="C8">
        <v>1</v>
      </c>
      <c r="D8" t="s">
        <v>107</v>
      </c>
      <c r="E8" t="s">
        <v>100</v>
      </c>
      <c r="F8" t="s">
        <v>108</v>
      </c>
      <c r="G8">
        <v>64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66.25</v>
      </c>
      <c r="L8" cm="1">
        <f t="array" ref="L8">IFERROR(_xlfn.STDEV.S(IF((OutputTable[GroupByKey]=OutputTable[[#This Row],[GroupByKey]]),(OutputTable[GroupByKey]=OutputTable[[#This Row],[GroupByKey]])*OutputTable[RecordedValue])),0)</f>
        <v>3.0780446673755359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8" cm="1">
        <f t="array" ref="O8">MIN(IF((OutputTable[GroupByKey]=OutputTable[[#This Row],[GroupByKey]]),(OutputTable[GroupByKey]=OutputTable[[#This Row],[GroupByKey]])*OutputTable[RecordedValue]))</f>
        <v>60</v>
      </c>
      <c r="P8" cm="1">
        <f t="array" ref="P8">MAX(IF((OutputTable[GroupByKey]=OutputTable[[#This Row],[GroupByKey]]),(OutputTable[GroupByKey]=OutputTable[[#This Row],[GroupByKey]])*OutputTable[RecordedValue]))</f>
        <v>73</v>
      </c>
    </row>
    <row r="9" spans="1:16" x14ac:dyDescent="0.35">
      <c r="A9" t="s">
        <v>66</v>
      </c>
      <c r="B9" t="s">
        <v>69</v>
      </c>
      <c r="C9">
        <v>2</v>
      </c>
      <c r="D9" t="s">
        <v>97</v>
      </c>
      <c r="E9" t="s">
        <v>98</v>
      </c>
      <c r="F9" t="s">
        <v>76</v>
      </c>
      <c r="G9">
        <v>156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154.65</v>
      </c>
      <c r="L9" cm="1">
        <f t="array" ref="L9">IFERROR(_xlfn.STDEV.S(IF((OutputTable[GroupByKey]=OutputTable[[#This Row],[GroupByKey]]),(OutputTable[GroupByKey]=OutputTable[[#This Row],[GroupByKey]])*OutputTable[RecordedValue])),0)</f>
        <v>14.193805077008156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9" cm="1">
        <f t="array" ref="O9">MIN(IF((OutputTable[GroupByKey]=OutputTable[[#This Row],[GroupByKey]]),(OutputTable[GroupByKey]=OutputTable[[#This Row],[GroupByKey]])*OutputTable[RecordedValue]))</f>
        <v>128</v>
      </c>
      <c r="P9" cm="1">
        <f t="array" ref="P9">MAX(IF((OutputTable[GroupByKey]=OutputTable[[#This Row],[GroupByKey]]),(OutputTable[GroupByKey]=OutputTable[[#This Row],[GroupByKey]])*OutputTable[RecordedValue]))</f>
        <v>181</v>
      </c>
    </row>
    <row r="10" spans="1:16" x14ac:dyDescent="0.35">
      <c r="A10" t="s">
        <v>66</v>
      </c>
      <c r="B10" t="s">
        <v>69</v>
      </c>
      <c r="C10">
        <v>2</v>
      </c>
      <c r="D10" t="s">
        <v>99</v>
      </c>
      <c r="E10" t="s">
        <v>100</v>
      </c>
      <c r="F10" t="s">
        <v>76</v>
      </c>
      <c r="G10">
        <v>104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105.35</v>
      </c>
      <c r="L10" cm="1">
        <f t="array" ref="L10">IFERROR(_xlfn.STDEV.S(IF((OutputTable[GroupByKey]=OutputTable[[#This Row],[GroupByKey]]),(OutputTable[GroupByKey]=OutputTable[[#This Row],[GroupByKey]])*OutputTable[RecordedValue])),0)</f>
        <v>3.7794993563454127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0" cm="1">
        <f t="array" ref="O10">MIN(IF((OutputTable[GroupByKey]=OutputTable[[#This Row],[GroupByKey]]),(OutputTable[GroupByKey]=OutputTable[[#This Row],[GroupByKey]])*OutputTable[RecordedValue]))</f>
        <v>99</v>
      </c>
      <c r="P10" cm="1">
        <f t="array" ref="P10">MAX(IF((OutputTable[GroupByKey]=OutputTable[[#This Row],[GroupByKey]]),(OutputTable[GroupByKey]=OutputTable[[#This Row],[GroupByKey]])*OutputTable[RecordedValue]))</f>
        <v>114</v>
      </c>
    </row>
    <row r="11" spans="1:16" x14ac:dyDescent="0.35">
      <c r="A11" t="s">
        <v>66</v>
      </c>
      <c r="B11" t="s">
        <v>69</v>
      </c>
      <c r="C11">
        <v>2</v>
      </c>
      <c r="D11" t="s">
        <v>101</v>
      </c>
      <c r="E11" t="s">
        <v>102</v>
      </c>
      <c r="F11" t="s">
        <v>88</v>
      </c>
      <c r="G11">
        <v>49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49.1</v>
      </c>
      <c r="L11" cm="1">
        <f t="array" ref="L11">IFERROR(_xlfn.STDEV.S(IF((OutputTable[GroupByKey]=OutputTable[[#This Row],[GroupByKey]]),(OutputTable[GroupByKey]=OutputTable[[#This Row],[GroupByKey]])*OutputTable[RecordedValue])),0)</f>
        <v>1.0076629473115577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1" cm="1">
        <f t="array" ref="O11">MIN(IF((OutputTable[GroupByKey]=OutputTable[[#This Row],[GroupByKey]]),(OutputTable[GroupByKey]=OutputTable[[#This Row],[GroupByKey]])*OutputTable[RecordedValue]))</f>
        <v>47</v>
      </c>
      <c r="P11" cm="1">
        <f t="array" ref="P11">MAX(IF((OutputTable[GroupByKey]=OutputTable[[#This Row],[GroupByKey]]),(OutputTable[GroupByKey]=OutputTable[[#This Row],[GroupByKey]])*OutputTable[RecordedValue]))</f>
        <v>51</v>
      </c>
    </row>
    <row r="12" spans="1:16" x14ac:dyDescent="0.35">
      <c r="A12" t="s">
        <v>66</v>
      </c>
      <c r="B12" t="s">
        <v>69</v>
      </c>
      <c r="C12">
        <v>2</v>
      </c>
      <c r="D12" t="s">
        <v>103</v>
      </c>
      <c r="E12" t="s">
        <v>104</v>
      </c>
      <c r="F12" t="s">
        <v>88</v>
      </c>
      <c r="G12">
        <v>0.87214382919162603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0.87901029902009642</v>
      </c>
      <c r="L12" cm="1">
        <f t="array" ref="L12">IFERROR(_xlfn.STDEV.S(IF((OutputTable[GroupByKey]=OutputTable[[#This Row],[GroupByKey]]),(OutputTable[GroupByKey]=OutputTable[[#This Row],[GroupByKey]])*OutputTable[RecordedValue])),0)</f>
        <v>6.4041892088461561E-2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2" cm="1">
        <f t="array" ref="O12">MIN(IF((OutputTable[GroupByKey]=OutputTable[[#This Row],[GroupByKey]]),(OutputTable[GroupByKey]=OutputTable[[#This Row],[GroupByKey]])*OutputTable[RecordedValue]))</f>
        <v>0.71791407599347101</v>
      </c>
      <c r="P12" cm="1">
        <f t="array" ref="P12">MAX(IF((OutputTable[GroupByKey]=OutputTable[[#This Row],[GroupByKey]]),(OutputTable[GroupByKey]=OutputTable[[#This Row],[GroupByKey]])*OutputTable[RecordedValue]))</f>
        <v>0.96105910626671998</v>
      </c>
    </row>
    <row r="13" spans="1:16" x14ac:dyDescent="0.35">
      <c r="A13" t="s">
        <v>66</v>
      </c>
      <c r="B13" t="s">
        <v>69</v>
      </c>
      <c r="C13">
        <v>2</v>
      </c>
      <c r="D13" t="s">
        <v>105</v>
      </c>
      <c r="E13" t="s">
        <v>102</v>
      </c>
      <c r="F13" t="s">
        <v>88</v>
      </c>
      <c r="G13">
        <v>86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85.7</v>
      </c>
      <c r="L13" cm="1">
        <f t="array" ref="L13">IFERROR(_xlfn.STDEV.S(IF((OutputTable[GroupByKey]=OutputTable[[#This Row],[GroupByKey]]),(OutputTable[GroupByKey]=OutputTable[[#This Row],[GroupByKey]])*OutputTable[RecordedValue])),0)</f>
        <v>2.0902705014496981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3" cm="1">
        <f t="array" ref="O13">MIN(IF((OutputTable[GroupByKey]=OutputTable[[#This Row],[GroupByKey]]),(OutputTable[GroupByKey]=OutputTable[[#This Row],[GroupByKey]])*OutputTable[RecordedValue]))</f>
        <v>82</v>
      </c>
      <c r="P13" cm="1">
        <f t="array" ref="P13">MAX(IF((OutputTable[GroupByKey]=OutputTable[[#This Row],[GroupByKey]]),(OutputTable[GroupByKey]=OutputTable[[#This Row],[GroupByKey]])*OutputTable[RecordedValue]))</f>
        <v>90</v>
      </c>
    </row>
    <row r="14" spans="1:16" x14ac:dyDescent="0.35">
      <c r="A14" t="s">
        <v>66</v>
      </c>
      <c r="B14" t="s">
        <v>69</v>
      </c>
      <c r="C14">
        <v>2</v>
      </c>
      <c r="D14" t="s">
        <v>106</v>
      </c>
      <c r="E14" t="s">
        <v>104</v>
      </c>
      <c r="F14" t="s">
        <v>88</v>
      </c>
      <c r="G14">
        <v>0.995008537901798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0.97764323127952735</v>
      </c>
      <c r="L14" cm="1">
        <f t="array" ref="L14">IFERROR(_xlfn.STDEV.S(IF((OutputTable[GroupByKey]=OutputTable[[#This Row],[GroupByKey]]),(OutputTable[GroupByKey]=OutputTable[[#This Row],[GroupByKey]])*OutputTable[RecordedValue])),0)</f>
        <v>2.0318152206087455E-2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4" cm="1">
        <f t="array" ref="O14">MIN(IF((OutputTable[GroupByKey]=OutputTable[[#This Row],[GroupByKey]]),(OutputTable[GroupByKey]=OutputTable[[#This Row],[GroupByKey]])*OutputTable[RecordedValue]))</f>
        <v>0.92631153500444496</v>
      </c>
      <c r="P14" cm="1">
        <f t="array" ref="P14">MAX(IF((OutputTable[GroupByKey]=OutputTable[[#This Row],[GroupByKey]]),(OutputTable[GroupByKey]=OutputTable[[#This Row],[GroupByKey]])*OutputTable[RecordedValue]))</f>
        <v>0.99913603041501298</v>
      </c>
    </row>
    <row r="15" spans="1:16" x14ac:dyDescent="0.35">
      <c r="A15" t="s">
        <v>66</v>
      </c>
      <c r="B15" t="s">
        <v>69</v>
      </c>
      <c r="C15">
        <v>2</v>
      </c>
      <c r="D15" t="s">
        <v>107</v>
      </c>
      <c r="E15" t="s">
        <v>100</v>
      </c>
      <c r="F15" t="s">
        <v>108</v>
      </c>
      <c r="G15">
        <v>65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66.25</v>
      </c>
      <c r="L15" cm="1">
        <f t="array" ref="L15">IFERROR(_xlfn.STDEV.S(IF((OutputTable[GroupByKey]=OutputTable[[#This Row],[GroupByKey]]),(OutputTable[GroupByKey]=OutputTable[[#This Row],[GroupByKey]])*OutputTable[RecordedValue])),0)</f>
        <v>3.0780446673755359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5" cm="1">
        <f t="array" ref="O15">MIN(IF((OutputTable[GroupByKey]=OutputTable[[#This Row],[GroupByKey]]),(OutputTable[GroupByKey]=OutputTable[[#This Row],[GroupByKey]])*OutputTable[RecordedValue]))</f>
        <v>60</v>
      </c>
      <c r="P15" cm="1">
        <f t="array" ref="P15">MAX(IF((OutputTable[GroupByKey]=OutputTable[[#This Row],[GroupByKey]]),(OutputTable[GroupByKey]=OutputTable[[#This Row],[GroupByKey]])*OutputTable[RecordedValue]))</f>
        <v>73</v>
      </c>
    </row>
    <row r="16" spans="1:16" x14ac:dyDescent="0.35">
      <c r="A16" t="s">
        <v>66</v>
      </c>
      <c r="B16" t="s">
        <v>69</v>
      </c>
      <c r="C16">
        <v>3</v>
      </c>
      <c r="D16" t="s">
        <v>97</v>
      </c>
      <c r="E16" t="s">
        <v>98</v>
      </c>
      <c r="F16" t="s">
        <v>76</v>
      </c>
      <c r="G16">
        <v>173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154.65</v>
      </c>
      <c r="L16" cm="1">
        <f t="array" ref="L16">IFERROR(_xlfn.STDEV.S(IF((OutputTable[GroupByKey]=OutputTable[[#This Row],[GroupByKey]]),(OutputTable[GroupByKey]=OutputTable[[#This Row],[GroupByKey]])*OutputTable[RecordedValue])),0)</f>
        <v>14.193805077008156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6" cm="1">
        <f t="array" ref="O16">MIN(IF((OutputTable[GroupByKey]=OutputTable[[#This Row],[GroupByKey]]),(OutputTable[GroupByKey]=OutputTable[[#This Row],[GroupByKey]])*OutputTable[RecordedValue]))</f>
        <v>128</v>
      </c>
      <c r="P16" cm="1">
        <f t="array" ref="P16">MAX(IF((OutputTable[GroupByKey]=OutputTable[[#This Row],[GroupByKey]]),(OutputTable[GroupByKey]=OutputTable[[#This Row],[GroupByKey]])*OutputTable[RecordedValue]))</f>
        <v>181</v>
      </c>
    </row>
    <row r="17" spans="1:16" x14ac:dyDescent="0.35">
      <c r="A17" t="s">
        <v>66</v>
      </c>
      <c r="B17" t="s">
        <v>69</v>
      </c>
      <c r="C17">
        <v>3</v>
      </c>
      <c r="D17" t="s">
        <v>99</v>
      </c>
      <c r="E17" t="s">
        <v>100</v>
      </c>
      <c r="F17" t="s">
        <v>76</v>
      </c>
      <c r="G17">
        <v>111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105.35</v>
      </c>
      <c r="L17" cm="1">
        <f t="array" ref="L17">IFERROR(_xlfn.STDEV.S(IF((OutputTable[GroupByKey]=OutputTable[[#This Row],[GroupByKey]]),(OutputTable[GroupByKey]=OutputTable[[#This Row],[GroupByKey]])*OutputTable[RecordedValue])),0)</f>
        <v>3.7794993563454127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7" cm="1">
        <f t="array" ref="O17">MIN(IF((OutputTable[GroupByKey]=OutputTable[[#This Row],[GroupByKey]]),(OutputTable[GroupByKey]=OutputTable[[#This Row],[GroupByKey]])*OutputTable[RecordedValue]))</f>
        <v>99</v>
      </c>
      <c r="P17" cm="1">
        <f t="array" ref="P17">MAX(IF((OutputTable[GroupByKey]=OutputTable[[#This Row],[GroupByKey]]),(OutputTable[GroupByKey]=OutputTable[[#This Row],[GroupByKey]])*OutputTable[RecordedValue]))</f>
        <v>114</v>
      </c>
    </row>
    <row r="18" spans="1:16" x14ac:dyDescent="0.35">
      <c r="A18" t="s">
        <v>66</v>
      </c>
      <c r="B18" t="s">
        <v>69</v>
      </c>
      <c r="C18">
        <v>3</v>
      </c>
      <c r="D18" t="s">
        <v>101</v>
      </c>
      <c r="E18" t="s">
        <v>102</v>
      </c>
      <c r="F18" t="s">
        <v>88</v>
      </c>
      <c r="G18">
        <v>51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49.1</v>
      </c>
      <c r="L18" cm="1">
        <f t="array" ref="L18">IFERROR(_xlfn.STDEV.S(IF((OutputTable[GroupByKey]=OutputTable[[#This Row],[GroupByKey]]),(OutputTable[GroupByKey]=OutputTable[[#This Row],[GroupByKey]])*OutputTable[RecordedValue])),0)</f>
        <v>1.0076629473115577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8" cm="1">
        <f t="array" ref="O18">MIN(IF((OutputTable[GroupByKey]=OutputTable[[#This Row],[GroupByKey]]),(OutputTable[GroupByKey]=OutputTable[[#This Row],[GroupByKey]])*OutputTable[RecordedValue]))</f>
        <v>47</v>
      </c>
      <c r="P18" cm="1">
        <f t="array" ref="P18">MAX(IF((OutputTable[GroupByKey]=OutputTable[[#This Row],[GroupByKey]]),(OutputTable[GroupByKey]=OutputTable[[#This Row],[GroupByKey]])*OutputTable[RecordedValue]))</f>
        <v>51</v>
      </c>
    </row>
    <row r="19" spans="1:16" x14ac:dyDescent="0.35">
      <c r="A19" t="s">
        <v>66</v>
      </c>
      <c r="B19" t="s">
        <v>69</v>
      </c>
      <c r="C19">
        <v>3</v>
      </c>
      <c r="D19" t="s">
        <v>103</v>
      </c>
      <c r="E19" t="s">
        <v>104</v>
      </c>
      <c r="F19" t="s">
        <v>88</v>
      </c>
      <c r="G19">
        <v>0.92468162600869097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0.87901029902009642</v>
      </c>
      <c r="L19" cm="1">
        <f t="array" ref="L19">IFERROR(_xlfn.STDEV.S(IF((OutputTable[GroupByKey]=OutputTable[[#This Row],[GroupByKey]]),(OutputTable[GroupByKey]=OutputTable[[#This Row],[GroupByKey]])*OutputTable[RecordedValue])),0)</f>
        <v>6.4041892088461561E-2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9" cm="1">
        <f t="array" ref="O19">MIN(IF((OutputTable[GroupByKey]=OutputTable[[#This Row],[GroupByKey]]),(OutputTable[GroupByKey]=OutputTable[[#This Row],[GroupByKey]])*OutputTable[RecordedValue]))</f>
        <v>0.71791407599347101</v>
      </c>
      <c r="P19" cm="1">
        <f t="array" ref="P19">MAX(IF((OutputTable[GroupByKey]=OutputTable[[#This Row],[GroupByKey]]),(OutputTable[GroupByKey]=OutputTable[[#This Row],[GroupByKey]])*OutputTable[RecordedValue]))</f>
        <v>0.96105910626671998</v>
      </c>
    </row>
    <row r="20" spans="1:16" x14ac:dyDescent="0.35">
      <c r="A20" t="s">
        <v>66</v>
      </c>
      <c r="B20" t="s">
        <v>69</v>
      </c>
      <c r="C20">
        <v>3</v>
      </c>
      <c r="D20" t="s">
        <v>105</v>
      </c>
      <c r="E20" t="s">
        <v>102</v>
      </c>
      <c r="F20" t="s">
        <v>88</v>
      </c>
      <c r="G20">
        <v>89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85.7</v>
      </c>
      <c r="L20" cm="1">
        <f t="array" ref="L20">IFERROR(_xlfn.STDEV.S(IF((OutputTable[GroupByKey]=OutputTable[[#This Row],[GroupByKey]]),(OutputTable[GroupByKey]=OutputTable[[#This Row],[GroupByKey]])*OutputTable[RecordedValue])),0)</f>
        <v>2.0902705014496981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0" cm="1">
        <f t="array" ref="O20">MIN(IF((OutputTable[GroupByKey]=OutputTable[[#This Row],[GroupByKey]]),(OutputTable[GroupByKey]=OutputTable[[#This Row],[GroupByKey]])*OutputTable[RecordedValue]))</f>
        <v>82</v>
      </c>
      <c r="P20" cm="1">
        <f t="array" ref="P20">MAX(IF((OutputTable[GroupByKey]=OutputTable[[#This Row],[GroupByKey]]),(OutputTable[GroupByKey]=OutputTable[[#This Row],[GroupByKey]])*OutputTable[RecordedValue]))</f>
        <v>90</v>
      </c>
    </row>
    <row r="21" spans="1:16" x14ac:dyDescent="0.35">
      <c r="A21" t="s">
        <v>66</v>
      </c>
      <c r="B21" t="s">
        <v>69</v>
      </c>
      <c r="C21">
        <v>3</v>
      </c>
      <c r="D21" t="s">
        <v>106</v>
      </c>
      <c r="E21" t="s">
        <v>104</v>
      </c>
      <c r="F21" t="s">
        <v>88</v>
      </c>
      <c r="G21">
        <v>0.99856922829015005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0.97764323127952735</v>
      </c>
      <c r="L21" cm="1">
        <f t="array" ref="L21">IFERROR(_xlfn.STDEV.S(IF((OutputTable[GroupByKey]=OutputTable[[#This Row],[GroupByKey]]),(OutputTable[GroupByKey]=OutputTable[[#This Row],[GroupByKey]])*OutputTable[RecordedValue])),0)</f>
        <v>2.0318152206087455E-2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1" cm="1">
        <f t="array" ref="O21">MIN(IF((OutputTable[GroupByKey]=OutputTable[[#This Row],[GroupByKey]]),(OutputTable[GroupByKey]=OutputTable[[#This Row],[GroupByKey]])*OutputTable[RecordedValue]))</f>
        <v>0.92631153500444496</v>
      </c>
      <c r="P21" cm="1">
        <f t="array" ref="P21">MAX(IF((OutputTable[GroupByKey]=OutputTable[[#This Row],[GroupByKey]]),(OutputTable[GroupByKey]=OutputTable[[#This Row],[GroupByKey]])*OutputTable[RecordedValue]))</f>
        <v>0.99913603041501298</v>
      </c>
    </row>
    <row r="22" spans="1:16" x14ac:dyDescent="0.35">
      <c r="A22" t="s">
        <v>66</v>
      </c>
      <c r="B22" t="s">
        <v>69</v>
      </c>
      <c r="C22">
        <v>3</v>
      </c>
      <c r="D22" t="s">
        <v>107</v>
      </c>
      <c r="E22" t="s">
        <v>100</v>
      </c>
      <c r="F22" t="s">
        <v>108</v>
      </c>
      <c r="G22">
        <v>70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66.25</v>
      </c>
      <c r="L22" cm="1">
        <f t="array" ref="L22">IFERROR(_xlfn.STDEV.S(IF((OutputTable[GroupByKey]=OutputTable[[#This Row],[GroupByKey]]),(OutputTable[GroupByKey]=OutputTable[[#This Row],[GroupByKey]])*OutputTable[RecordedValue])),0)</f>
        <v>3.0780446673755359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2" cm="1">
        <f t="array" ref="O22">MIN(IF((OutputTable[GroupByKey]=OutputTable[[#This Row],[GroupByKey]]),(OutputTable[GroupByKey]=OutputTable[[#This Row],[GroupByKey]])*OutputTable[RecordedValue]))</f>
        <v>60</v>
      </c>
      <c r="P22" cm="1">
        <f t="array" ref="P22">MAX(IF((OutputTable[GroupByKey]=OutputTable[[#This Row],[GroupByKey]]),(OutputTable[GroupByKey]=OutputTable[[#This Row],[GroupByKey]])*OutputTable[RecordedValue]))</f>
        <v>73</v>
      </c>
    </row>
    <row r="23" spans="1:16" x14ac:dyDescent="0.35">
      <c r="A23" t="s">
        <v>66</v>
      </c>
      <c r="B23" t="s">
        <v>69</v>
      </c>
      <c r="C23">
        <v>4</v>
      </c>
      <c r="D23" t="s">
        <v>97</v>
      </c>
      <c r="E23" t="s">
        <v>98</v>
      </c>
      <c r="F23" t="s">
        <v>76</v>
      </c>
      <c r="G23">
        <v>167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154.65</v>
      </c>
      <c r="L23" cm="1">
        <f t="array" ref="L23">IFERROR(_xlfn.STDEV.S(IF((OutputTable[GroupByKey]=OutputTable[[#This Row],[GroupByKey]]),(OutputTable[GroupByKey]=OutputTable[[#This Row],[GroupByKey]])*OutputTable[RecordedValue])),0)</f>
        <v>14.193805077008156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3" cm="1">
        <f t="array" ref="O23">MIN(IF((OutputTable[GroupByKey]=OutputTable[[#This Row],[GroupByKey]]),(OutputTable[GroupByKey]=OutputTable[[#This Row],[GroupByKey]])*OutputTable[RecordedValue]))</f>
        <v>128</v>
      </c>
      <c r="P23" cm="1">
        <f t="array" ref="P23">MAX(IF((OutputTable[GroupByKey]=OutputTable[[#This Row],[GroupByKey]]),(OutputTable[GroupByKey]=OutputTable[[#This Row],[GroupByKey]])*OutputTable[RecordedValue]))</f>
        <v>181</v>
      </c>
    </row>
    <row r="24" spans="1:16" x14ac:dyDescent="0.35">
      <c r="A24" t="s">
        <v>66</v>
      </c>
      <c r="B24" t="s">
        <v>69</v>
      </c>
      <c r="C24">
        <v>4</v>
      </c>
      <c r="D24" t="s">
        <v>99</v>
      </c>
      <c r="E24" t="s">
        <v>100</v>
      </c>
      <c r="F24" t="s">
        <v>76</v>
      </c>
      <c r="G24">
        <v>103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105.35</v>
      </c>
      <c r="L24" cm="1">
        <f t="array" ref="L24">IFERROR(_xlfn.STDEV.S(IF((OutputTable[GroupByKey]=OutputTable[[#This Row],[GroupByKey]]),(OutputTable[GroupByKey]=OutputTable[[#This Row],[GroupByKey]])*OutputTable[RecordedValue])),0)</f>
        <v>3.7794993563454127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4" cm="1">
        <f t="array" ref="O24">MIN(IF((OutputTable[GroupByKey]=OutputTable[[#This Row],[GroupByKey]]),(OutputTable[GroupByKey]=OutputTable[[#This Row],[GroupByKey]])*OutputTable[RecordedValue]))</f>
        <v>99</v>
      </c>
      <c r="P24" cm="1">
        <f t="array" ref="P24">MAX(IF((OutputTable[GroupByKey]=OutputTable[[#This Row],[GroupByKey]]),(OutputTable[GroupByKey]=OutputTable[[#This Row],[GroupByKey]])*OutputTable[RecordedValue]))</f>
        <v>114</v>
      </c>
    </row>
    <row r="25" spans="1:16" x14ac:dyDescent="0.35">
      <c r="A25" t="s">
        <v>66</v>
      </c>
      <c r="B25" t="s">
        <v>69</v>
      </c>
      <c r="C25">
        <v>4</v>
      </c>
      <c r="D25" t="s">
        <v>101</v>
      </c>
      <c r="E25" t="s">
        <v>102</v>
      </c>
      <c r="F25" t="s">
        <v>88</v>
      </c>
      <c r="G25">
        <v>48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49.1</v>
      </c>
      <c r="L25" cm="1">
        <f t="array" ref="L25">IFERROR(_xlfn.STDEV.S(IF((OutputTable[GroupByKey]=OutputTable[[#This Row],[GroupByKey]]),(OutputTable[GroupByKey]=OutputTable[[#This Row],[GroupByKey]])*OutputTable[RecordedValue])),0)</f>
        <v>1.0076629473115577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5" cm="1">
        <f t="array" ref="O25">MIN(IF((OutputTable[GroupByKey]=OutputTable[[#This Row],[GroupByKey]]),(OutputTable[GroupByKey]=OutputTable[[#This Row],[GroupByKey]])*OutputTable[RecordedValue]))</f>
        <v>47</v>
      </c>
      <c r="P25" cm="1">
        <f t="array" ref="P25">MAX(IF((OutputTable[GroupByKey]=OutputTable[[#This Row],[GroupByKey]]),(OutputTable[GroupByKey]=OutputTable[[#This Row],[GroupByKey]])*OutputTable[RecordedValue]))</f>
        <v>51</v>
      </c>
    </row>
    <row r="26" spans="1:16" x14ac:dyDescent="0.35">
      <c r="A26" t="s">
        <v>66</v>
      </c>
      <c r="B26" t="s">
        <v>69</v>
      </c>
      <c r="C26">
        <v>4</v>
      </c>
      <c r="D26" t="s">
        <v>103</v>
      </c>
      <c r="E26" t="s">
        <v>104</v>
      </c>
      <c r="F26" t="s">
        <v>88</v>
      </c>
      <c r="G26">
        <v>0.93302068081744105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0.87901029902009642</v>
      </c>
      <c r="L26" cm="1">
        <f t="array" ref="L26">IFERROR(_xlfn.STDEV.S(IF((OutputTable[GroupByKey]=OutputTable[[#This Row],[GroupByKey]]),(OutputTable[GroupByKey]=OutputTable[[#This Row],[GroupByKey]])*OutputTable[RecordedValue])),0)</f>
        <v>6.4041892088461561E-2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6" cm="1">
        <f t="array" ref="O26">MIN(IF((OutputTable[GroupByKey]=OutputTable[[#This Row],[GroupByKey]]),(OutputTable[GroupByKey]=OutputTable[[#This Row],[GroupByKey]])*OutputTable[RecordedValue]))</f>
        <v>0.71791407599347101</v>
      </c>
      <c r="P26" cm="1">
        <f t="array" ref="P26">MAX(IF((OutputTable[GroupByKey]=OutputTable[[#This Row],[GroupByKey]]),(OutputTable[GroupByKey]=OutputTable[[#This Row],[GroupByKey]])*OutputTable[RecordedValue]))</f>
        <v>0.96105910626671998</v>
      </c>
    </row>
    <row r="27" spans="1:16" x14ac:dyDescent="0.35">
      <c r="A27" t="s">
        <v>66</v>
      </c>
      <c r="B27" t="s">
        <v>69</v>
      </c>
      <c r="C27">
        <v>4</v>
      </c>
      <c r="D27" t="s">
        <v>105</v>
      </c>
      <c r="E27" t="s">
        <v>102</v>
      </c>
      <c r="F27" t="s">
        <v>88</v>
      </c>
      <c r="G27">
        <v>83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85.7</v>
      </c>
      <c r="L27" cm="1">
        <f t="array" ref="L27">IFERROR(_xlfn.STDEV.S(IF((OutputTable[GroupByKey]=OutputTable[[#This Row],[GroupByKey]]),(OutputTable[GroupByKey]=OutputTable[[#This Row],[GroupByKey]])*OutputTable[RecordedValue])),0)</f>
        <v>2.0902705014496981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7" cm="1">
        <f t="array" ref="O27">MIN(IF((OutputTable[GroupByKey]=OutputTable[[#This Row],[GroupByKey]]),(OutputTable[GroupByKey]=OutputTable[[#This Row],[GroupByKey]])*OutputTable[RecordedValue]))</f>
        <v>82</v>
      </c>
      <c r="P27" cm="1">
        <f t="array" ref="P27">MAX(IF((OutputTable[GroupByKey]=OutputTable[[#This Row],[GroupByKey]]),(OutputTable[GroupByKey]=OutputTable[[#This Row],[GroupByKey]])*OutputTable[RecordedValue]))</f>
        <v>90</v>
      </c>
    </row>
    <row r="28" spans="1:16" x14ac:dyDescent="0.35">
      <c r="A28" t="s">
        <v>66</v>
      </c>
      <c r="B28" t="s">
        <v>69</v>
      </c>
      <c r="C28">
        <v>4</v>
      </c>
      <c r="D28" t="s">
        <v>106</v>
      </c>
      <c r="E28" t="s">
        <v>104</v>
      </c>
      <c r="F28" t="s">
        <v>88</v>
      </c>
      <c r="G28">
        <v>0.977968180261926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0.97764323127952735</v>
      </c>
      <c r="L28" cm="1">
        <f t="array" ref="L28">IFERROR(_xlfn.STDEV.S(IF((OutputTable[GroupByKey]=OutputTable[[#This Row],[GroupByKey]]),(OutputTable[GroupByKey]=OutputTable[[#This Row],[GroupByKey]])*OutputTable[RecordedValue])),0)</f>
        <v>2.0318152206087455E-2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8" cm="1">
        <f t="array" ref="O28">MIN(IF((OutputTable[GroupByKey]=OutputTable[[#This Row],[GroupByKey]]),(OutputTable[GroupByKey]=OutputTable[[#This Row],[GroupByKey]])*OutputTable[RecordedValue]))</f>
        <v>0.92631153500444496</v>
      </c>
      <c r="P28" cm="1">
        <f t="array" ref="P28">MAX(IF((OutputTable[GroupByKey]=OutputTable[[#This Row],[GroupByKey]]),(OutputTable[GroupByKey]=OutputTable[[#This Row],[GroupByKey]])*OutputTable[RecordedValue]))</f>
        <v>0.99913603041501298</v>
      </c>
    </row>
    <row r="29" spans="1:16" x14ac:dyDescent="0.35">
      <c r="A29" t="s">
        <v>66</v>
      </c>
      <c r="B29" t="s">
        <v>69</v>
      </c>
      <c r="C29">
        <v>4</v>
      </c>
      <c r="D29" t="s">
        <v>107</v>
      </c>
      <c r="E29" t="s">
        <v>100</v>
      </c>
      <c r="F29" t="s">
        <v>108</v>
      </c>
      <c r="G29">
        <v>65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66.25</v>
      </c>
      <c r="L29" cm="1">
        <f t="array" ref="L29">IFERROR(_xlfn.STDEV.S(IF((OutputTable[GroupByKey]=OutputTable[[#This Row],[GroupByKey]]),(OutputTable[GroupByKey]=OutputTable[[#This Row],[GroupByKey]])*OutputTable[RecordedValue])),0)</f>
        <v>3.0780446673755359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9" cm="1">
        <f t="array" ref="O29">MIN(IF((OutputTable[GroupByKey]=OutputTable[[#This Row],[GroupByKey]]),(OutputTable[GroupByKey]=OutputTable[[#This Row],[GroupByKey]])*OutputTable[RecordedValue]))</f>
        <v>60</v>
      </c>
      <c r="P29" cm="1">
        <f t="array" ref="P29">MAX(IF((OutputTable[GroupByKey]=OutputTable[[#This Row],[GroupByKey]]),(OutputTable[GroupByKey]=OutputTable[[#This Row],[GroupByKey]])*OutputTable[RecordedValue]))</f>
        <v>73</v>
      </c>
    </row>
    <row r="30" spans="1:16" x14ac:dyDescent="0.35">
      <c r="A30" t="s">
        <v>66</v>
      </c>
      <c r="B30" t="s">
        <v>69</v>
      </c>
      <c r="C30">
        <v>5</v>
      </c>
      <c r="D30" t="s">
        <v>97</v>
      </c>
      <c r="E30" t="s">
        <v>98</v>
      </c>
      <c r="F30" t="s">
        <v>76</v>
      </c>
      <c r="G30">
        <v>166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154.65</v>
      </c>
      <c r="L30" cm="1">
        <f t="array" ref="L30">IFERROR(_xlfn.STDEV.S(IF((OutputTable[GroupByKey]=OutputTable[[#This Row],[GroupByKey]]),(OutputTable[GroupByKey]=OutputTable[[#This Row],[GroupByKey]])*OutputTable[RecordedValue])),0)</f>
        <v>14.193805077008156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30" cm="1">
        <f t="array" ref="O30">MIN(IF((OutputTable[GroupByKey]=OutputTable[[#This Row],[GroupByKey]]),(OutputTable[GroupByKey]=OutputTable[[#This Row],[GroupByKey]])*OutputTable[RecordedValue]))</f>
        <v>128</v>
      </c>
      <c r="P30" cm="1">
        <f t="array" ref="P30">MAX(IF((OutputTable[GroupByKey]=OutputTable[[#This Row],[GroupByKey]]),(OutputTable[GroupByKey]=OutputTable[[#This Row],[GroupByKey]])*OutputTable[RecordedValue]))</f>
        <v>181</v>
      </c>
    </row>
    <row r="31" spans="1:16" x14ac:dyDescent="0.35">
      <c r="A31" t="s">
        <v>66</v>
      </c>
      <c r="B31" t="s">
        <v>69</v>
      </c>
      <c r="C31">
        <v>5</v>
      </c>
      <c r="D31" t="s">
        <v>99</v>
      </c>
      <c r="E31" t="s">
        <v>100</v>
      </c>
      <c r="F31" t="s">
        <v>76</v>
      </c>
      <c r="G31">
        <v>104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105.35</v>
      </c>
      <c r="L31" cm="1">
        <f t="array" ref="L31">IFERROR(_xlfn.STDEV.S(IF((OutputTable[GroupByKey]=OutputTable[[#This Row],[GroupByKey]]),(OutputTable[GroupByKey]=OutputTable[[#This Row],[GroupByKey]])*OutputTable[RecordedValue])),0)</f>
        <v>3.7794993563454127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31" cm="1">
        <f t="array" ref="O31">MIN(IF((OutputTable[GroupByKey]=OutputTable[[#This Row],[GroupByKey]]),(OutputTable[GroupByKey]=OutputTable[[#This Row],[GroupByKey]])*OutputTable[RecordedValue]))</f>
        <v>99</v>
      </c>
      <c r="P31" cm="1">
        <f t="array" ref="P31">MAX(IF((OutputTable[GroupByKey]=OutputTable[[#This Row],[GroupByKey]]),(OutputTable[GroupByKey]=OutputTable[[#This Row],[GroupByKey]])*OutputTable[RecordedValue]))</f>
        <v>114</v>
      </c>
    </row>
    <row r="32" spans="1:16" x14ac:dyDescent="0.35">
      <c r="A32" t="s">
        <v>66</v>
      </c>
      <c r="B32" t="s">
        <v>69</v>
      </c>
      <c r="C32">
        <v>5</v>
      </c>
      <c r="D32" t="s">
        <v>101</v>
      </c>
      <c r="E32" t="s">
        <v>102</v>
      </c>
      <c r="F32" t="s">
        <v>88</v>
      </c>
      <c r="G32">
        <v>49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49.1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1.0076629473115577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32" s="5" cm="1">
        <f t="array" ref="O32">MIN(IF((OutputTable[GroupByKey]=OutputTable[[#This Row],[GroupByKey]]),(OutputTable[GroupByKey]=OutputTable[[#This Row],[GroupByKey]])*OutputTable[RecordedValue]))</f>
        <v>47</v>
      </c>
      <c r="P32" s="5" cm="1">
        <f t="array" ref="P32">MAX(IF((OutputTable[GroupByKey]=OutputTable[[#This Row],[GroupByKey]]),(OutputTable[GroupByKey]=OutputTable[[#This Row],[GroupByKey]])*OutputTable[RecordedValue]))</f>
        <v>51</v>
      </c>
    </row>
    <row r="33" spans="1:16" x14ac:dyDescent="0.35">
      <c r="A33" t="s">
        <v>66</v>
      </c>
      <c r="B33" t="s">
        <v>69</v>
      </c>
      <c r="C33">
        <v>5</v>
      </c>
      <c r="D33" t="s">
        <v>103</v>
      </c>
      <c r="E33" t="s">
        <v>104</v>
      </c>
      <c r="F33" t="s">
        <v>88</v>
      </c>
      <c r="G33">
        <v>0.93243336508614005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0.87901029902009642</v>
      </c>
      <c r="L33" s="5" cm="1">
        <f t="array" ref="L33">IFERROR(_xlfn.STDEV.S(IF((OutputTable[GroupByKey]=OutputTable[[#This Row],[GroupByKey]]),(OutputTable[GroupByKey]=OutputTable[[#This Row],[GroupByKey]])*OutputTable[RecordedValue])),0)</f>
        <v>6.4041892088461561E-2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33" s="5" cm="1">
        <f t="array" ref="O33">MIN(IF((OutputTable[GroupByKey]=OutputTable[[#This Row],[GroupByKey]]),(OutputTable[GroupByKey]=OutputTable[[#This Row],[GroupByKey]])*OutputTable[RecordedValue]))</f>
        <v>0.71791407599347101</v>
      </c>
      <c r="P33" s="5" cm="1">
        <f t="array" ref="P33">MAX(IF((OutputTable[GroupByKey]=OutputTable[[#This Row],[GroupByKey]]),(OutputTable[GroupByKey]=OutputTable[[#This Row],[GroupByKey]])*OutputTable[RecordedValue]))</f>
        <v>0.96105910626671998</v>
      </c>
    </row>
    <row r="34" spans="1:16" x14ac:dyDescent="0.35">
      <c r="A34" t="s">
        <v>66</v>
      </c>
      <c r="B34" t="s">
        <v>69</v>
      </c>
      <c r="C34">
        <v>5</v>
      </c>
      <c r="D34" t="s">
        <v>105</v>
      </c>
      <c r="E34" t="s">
        <v>102</v>
      </c>
      <c r="F34" t="s">
        <v>88</v>
      </c>
      <c r="G34">
        <v>86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85.7</v>
      </c>
      <c r="L34" s="5" cm="1">
        <f t="array" ref="L34">IFERROR(_xlfn.STDEV.S(IF((OutputTable[GroupByKey]=OutputTable[[#This Row],[GroupByKey]]),(OutputTable[GroupByKey]=OutputTable[[#This Row],[GroupByKey]])*OutputTable[RecordedValue])),0)</f>
        <v>2.0902705014496981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34" s="5" cm="1">
        <f t="array" ref="O34">MIN(IF((OutputTable[GroupByKey]=OutputTable[[#This Row],[GroupByKey]]),(OutputTable[GroupByKey]=OutputTable[[#This Row],[GroupByKey]])*OutputTable[RecordedValue]))</f>
        <v>82</v>
      </c>
      <c r="P34" s="5" cm="1">
        <f t="array" ref="P34">MAX(IF((OutputTable[GroupByKey]=OutputTable[[#This Row],[GroupByKey]]),(OutputTable[GroupByKey]=OutputTable[[#This Row],[GroupByKey]])*OutputTable[RecordedValue]))</f>
        <v>90</v>
      </c>
    </row>
    <row r="35" spans="1:16" x14ac:dyDescent="0.35">
      <c r="A35" t="s">
        <v>66</v>
      </c>
      <c r="B35" t="s">
        <v>69</v>
      </c>
      <c r="C35">
        <v>5</v>
      </c>
      <c r="D35" t="s">
        <v>106</v>
      </c>
      <c r="E35" t="s">
        <v>104</v>
      </c>
      <c r="F35" t="s">
        <v>88</v>
      </c>
      <c r="G35">
        <v>0.96772241811315096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0.97764323127952735</v>
      </c>
      <c r="L35" s="5" cm="1">
        <f t="array" ref="L35">IFERROR(_xlfn.STDEV.S(IF((OutputTable[GroupByKey]=OutputTable[[#This Row],[GroupByKey]]),(OutputTable[GroupByKey]=OutputTable[[#This Row],[GroupByKey]])*OutputTable[RecordedValue])),0)</f>
        <v>2.0318152206087455E-2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35" s="5" cm="1">
        <f t="array" ref="O35">MIN(IF((OutputTable[GroupByKey]=OutputTable[[#This Row],[GroupByKey]]),(OutputTable[GroupByKey]=OutputTable[[#This Row],[GroupByKey]])*OutputTable[RecordedValue]))</f>
        <v>0.92631153500444496</v>
      </c>
      <c r="P35" s="5" cm="1">
        <f t="array" ref="P35">MAX(IF((OutputTable[GroupByKey]=OutputTable[[#This Row],[GroupByKey]]),(OutputTable[GroupByKey]=OutputTable[[#This Row],[GroupByKey]])*OutputTable[RecordedValue]))</f>
        <v>0.99913603041501298</v>
      </c>
    </row>
    <row r="36" spans="1:16" x14ac:dyDescent="0.35">
      <c r="A36" t="s">
        <v>66</v>
      </c>
      <c r="B36" t="s">
        <v>69</v>
      </c>
      <c r="C36">
        <v>5</v>
      </c>
      <c r="D36" t="s">
        <v>107</v>
      </c>
      <c r="E36" t="s">
        <v>100</v>
      </c>
      <c r="F36" t="s">
        <v>108</v>
      </c>
      <c r="G36">
        <v>65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66.25</v>
      </c>
      <c r="L36" s="5" cm="1">
        <f t="array" ref="L36">IFERROR(_xlfn.STDEV.S(IF((OutputTable[GroupByKey]=OutputTable[[#This Row],[GroupByKey]]),(OutputTable[GroupByKey]=OutputTable[[#This Row],[GroupByKey]])*OutputTable[RecordedValue])),0)</f>
        <v>3.0780446673755359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36" s="5" cm="1">
        <f t="array" ref="O36">MIN(IF((OutputTable[GroupByKey]=OutputTable[[#This Row],[GroupByKey]]),(OutputTable[GroupByKey]=OutputTable[[#This Row],[GroupByKey]])*OutputTable[RecordedValue]))</f>
        <v>60</v>
      </c>
      <c r="P36" s="5" cm="1">
        <f t="array" ref="P36">MAX(IF((OutputTable[GroupByKey]=OutputTable[[#This Row],[GroupByKey]]),(OutputTable[GroupByKey]=OutputTable[[#This Row],[GroupByKey]])*OutputTable[RecordedValue]))</f>
        <v>73</v>
      </c>
    </row>
    <row r="37" spans="1:16" x14ac:dyDescent="0.35">
      <c r="A37" t="s">
        <v>66</v>
      </c>
      <c r="B37" t="s">
        <v>69</v>
      </c>
      <c r="C37">
        <v>6</v>
      </c>
      <c r="D37" t="s">
        <v>97</v>
      </c>
      <c r="E37" t="s">
        <v>98</v>
      </c>
      <c r="F37" t="s">
        <v>76</v>
      </c>
      <c r="G37">
        <v>181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ProjectCliente.NumberInNumber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154.65</v>
      </c>
      <c r="L37" s="5" cm="1">
        <f t="array" ref="L37">IFERROR(_xlfn.STDEV.S(IF((OutputTable[GroupByKey]=OutputTable[[#This Row],[GroupByKey]]),(OutputTable[GroupByKey]=OutputTable[[#This Row],[GroupByKey]])*OutputTable[RecordedValue])),0)</f>
        <v>14.193805077008156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37" s="5" cm="1">
        <f t="array" ref="O37">MIN(IF((OutputTable[GroupByKey]=OutputTable[[#This Row],[GroupByKey]]),(OutputTable[GroupByKey]=OutputTable[[#This Row],[GroupByKey]])*OutputTable[RecordedValue]))</f>
        <v>128</v>
      </c>
      <c r="P37" s="5" cm="1">
        <f t="array" ref="P37">MAX(IF((OutputTable[GroupByKey]=OutputTable[[#This Row],[GroupByKey]]),(OutputTable[GroupByKey]=OutputTable[[#This Row],[GroupByKey]])*OutputTable[RecordedValue]))</f>
        <v>181</v>
      </c>
    </row>
    <row r="38" spans="1:16" x14ac:dyDescent="0.35">
      <c r="A38" t="s">
        <v>66</v>
      </c>
      <c r="B38" t="s">
        <v>69</v>
      </c>
      <c r="C38">
        <v>6</v>
      </c>
      <c r="D38" t="s">
        <v>99</v>
      </c>
      <c r="E38" t="s">
        <v>100</v>
      </c>
      <c r="F38" t="s">
        <v>76</v>
      </c>
      <c r="G38">
        <v>99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ProjectCliente.NumberOutNumber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105.35</v>
      </c>
      <c r="L38" s="5" cm="1">
        <f t="array" ref="L38">IFERROR(_xlfn.STDEV.S(IF((OutputTable[GroupByKey]=OutputTable[[#This Row],[GroupByKey]]),(OutputTable[GroupByKey]=OutputTable[[#This Row],[GroupByKey]])*OutputTable[RecordedValue])),0)</f>
        <v>3.7794993563454127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38" s="5" cm="1">
        <f t="array" ref="O38">MIN(IF((OutputTable[GroupByKey]=OutputTable[[#This Row],[GroupByKey]]),(OutputTable[GroupByKey]=OutputTable[[#This Row],[GroupByKey]])*OutputTable[RecordedValue]))</f>
        <v>99</v>
      </c>
      <c r="P38" s="5" cm="1">
        <f t="array" ref="P38">MAX(IF((OutputTable[GroupByKey]=OutputTable[[#This Row],[GroupByKey]]),(OutputTable[GroupByKey]=OutputTable[[#This Row],[GroupByKey]])*OutputTable[RecordedValue]))</f>
        <v>114</v>
      </c>
    </row>
    <row r="39" spans="1:16" x14ac:dyDescent="0.35">
      <c r="A39" t="s">
        <v>66</v>
      </c>
      <c r="B39" t="s">
        <v>69</v>
      </c>
      <c r="C39">
        <v>6</v>
      </c>
      <c r="D39" t="s">
        <v>101</v>
      </c>
      <c r="E39" t="s">
        <v>102</v>
      </c>
      <c r="F39" t="s">
        <v>88</v>
      </c>
      <c r="G39">
        <v>49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49.1</v>
      </c>
      <c r="L39" s="5" cm="1">
        <f t="array" ref="L39">IFERROR(_xlfn.STDEV.S(IF((OutputTable[GroupByKey]=OutputTable[[#This Row],[GroupByKey]]),(OutputTable[GroupByKey]=OutputTable[[#This Row],[GroupByKey]])*OutputTable[RecordedValue])),0)</f>
        <v>1.0076629473115577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39" s="5" cm="1">
        <f t="array" ref="O39">MIN(IF((OutputTable[GroupByKey]=OutputTable[[#This Row],[GroupByKey]]),(OutputTable[GroupByKey]=OutputTable[[#This Row],[GroupByKey]])*OutputTable[RecordedValue]))</f>
        <v>47</v>
      </c>
      <c r="P39" s="5" cm="1">
        <f t="array" ref="P39">MAX(IF((OutputTable[GroupByKey]=OutputTable[[#This Row],[GroupByKey]]),(OutputTable[GroupByKey]=OutputTable[[#This Row],[GroupByKey]])*OutputTable[RecordedValue]))</f>
        <v>51</v>
      </c>
    </row>
    <row r="40" spans="1:16" x14ac:dyDescent="0.35">
      <c r="A40" t="s">
        <v>66</v>
      </c>
      <c r="B40" t="s">
        <v>69</v>
      </c>
      <c r="C40">
        <v>6</v>
      </c>
      <c r="D40" t="s">
        <v>103</v>
      </c>
      <c r="E40" t="s">
        <v>104</v>
      </c>
      <c r="F40" t="s">
        <v>88</v>
      </c>
      <c r="G40">
        <v>0.94510792235917496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0.87901029902009642</v>
      </c>
      <c r="L40" s="5" cm="1">
        <f t="array" ref="L40">IFERROR(_xlfn.STDEV.S(IF((OutputTable[GroupByKey]=OutputTable[[#This Row],[GroupByKey]]),(OutputTable[GroupByKey]=OutputTable[[#This Row],[GroupByKey]])*OutputTable[RecordedValue])),0)</f>
        <v>6.4041892088461561E-2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40" s="5" cm="1">
        <f t="array" ref="O40">MIN(IF((OutputTable[GroupByKey]=OutputTable[[#This Row],[GroupByKey]]),(OutputTable[GroupByKey]=OutputTable[[#This Row],[GroupByKey]])*OutputTable[RecordedValue]))</f>
        <v>0.71791407599347101</v>
      </c>
      <c r="P40" s="5" cm="1">
        <f t="array" ref="P40">MAX(IF((OutputTable[GroupByKey]=OutputTable[[#This Row],[GroupByKey]]),(OutputTable[GroupByKey]=OutputTable[[#This Row],[GroupByKey]])*OutputTable[RecordedValue]))</f>
        <v>0.96105910626671998</v>
      </c>
    </row>
    <row r="41" spans="1:16" x14ac:dyDescent="0.35">
      <c r="A41" t="s">
        <v>66</v>
      </c>
      <c r="B41" t="s">
        <v>69</v>
      </c>
      <c r="C41">
        <v>6</v>
      </c>
      <c r="D41" t="s">
        <v>105</v>
      </c>
      <c r="E41" t="s">
        <v>102</v>
      </c>
      <c r="F41" t="s">
        <v>88</v>
      </c>
      <c r="G41">
        <v>86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85.7</v>
      </c>
      <c r="L41" s="5" cm="1">
        <f t="array" ref="L41">IFERROR(_xlfn.STDEV.S(IF((OutputTable[GroupByKey]=OutputTable[[#This Row],[GroupByKey]]),(OutputTable[GroupByKey]=OutputTable[[#This Row],[GroupByKey]])*OutputTable[RecordedValue])),0)</f>
        <v>2.0902705014496981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41" s="5" cm="1">
        <f t="array" ref="O41">MIN(IF((OutputTable[GroupByKey]=OutputTable[[#This Row],[GroupByKey]]),(OutputTable[GroupByKey]=OutputTable[[#This Row],[GroupByKey]])*OutputTable[RecordedValue]))</f>
        <v>82</v>
      </c>
      <c r="P41" s="5" cm="1">
        <f t="array" ref="P41">MAX(IF((OutputTable[GroupByKey]=OutputTable[[#This Row],[GroupByKey]]),(OutputTable[GroupByKey]=OutputTable[[#This Row],[GroupByKey]])*OutputTable[RecordedValue]))</f>
        <v>90</v>
      </c>
    </row>
    <row r="42" spans="1:16" x14ac:dyDescent="0.35">
      <c r="A42" t="s">
        <v>66</v>
      </c>
      <c r="B42" t="s">
        <v>69</v>
      </c>
      <c r="C42">
        <v>6</v>
      </c>
      <c r="D42" t="s">
        <v>106</v>
      </c>
      <c r="E42" t="s">
        <v>104</v>
      </c>
      <c r="F42" t="s">
        <v>88</v>
      </c>
      <c r="G42">
        <v>0.991313302322404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0.97764323127952735</v>
      </c>
      <c r="L42" s="5" cm="1">
        <f t="array" ref="L42">IFERROR(_xlfn.STDEV.S(IF((OutputTable[GroupByKey]=OutputTable[[#This Row],[GroupByKey]]),(OutputTable[GroupByKey]=OutputTable[[#This Row],[GroupByKey]])*OutputTable[RecordedValue])),0)</f>
        <v>2.0318152206087455E-2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42" s="5" cm="1">
        <f t="array" ref="O42">MIN(IF((OutputTable[GroupByKey]=OutputTable[[#This Row],[GroupByKey]]),(OutputTable[GroupByKey]=OutputTable[[#This Row],[GroupByKey]])*OutputTable[RecordedValue]))</f>
        <v>0.92631153500444496</v>
      </c>
      <c r="P42" s="5" cm="1">
        <f t="array" ref="P42">MAX(IF((OutputTable[GroupByKey]=OutputTable[[#This Row],[GroupByKey]]),(OutputTable[GroupByKey]=OutputTable[[#This Row],[GroupByKey]])*OutputTable[RecordedValue]))</f>
        <v>0.99913603041501298</v>
      </c>
    </row>
    <row r="43" spans="1:16" x14ac:dyDescent="0.35">
      <c r="A43" t="s">
        <v>66</v>
      </c>
      <c r="B43" t="s">
        <v>69</v>
      </c>
      <c r="C43">
        <v>6</v>
      </c>
      <c r="D43" t="s">
        <v>107</v>
      </c>
      <c r="E43" t="s">
        <v>100</v>
      </c>
      <c r="F43" t="s">
        <v>108</v>
      </c>
      <c r="G43">
        <v>60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66.25</v>
      </c>
      <c r="L43" s="5" cm="1">
        <f t="array" ref="L43">IFERROR(_xlfn.STDEV.S(IF((OutputTable[GroupByKey]=OutputTable[[#This Row],[GroupByKey]]),(OutputTable[GroupByKey]=OutputTable[[#This Row],[GroupByKey]])*OutputTable[RecordedValue])),0)</f>
        <v>3.0780446673755359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43" s="5" cm="1">
        <f t="array" ref="O43">MIN(IF((OutputTable[GroupByKey]=OutputTable[[#This Row],[GroupByKey]]),(OutputTable[GroupByKey]=OutputTable[[#This Row],[GroupByKey]])*OutputTable[RecordedValue]))</f>
        <v>60</v>
      </c>
      <c r="P43" s="5" cm="1">
        <f t="array" ref="P43">MAX(IF((OutputTable[GroupByKey]=OutputTable[[#This Row],[GroupByKey]]),(OutputTable[GroupByKey]=OutputTable[[#This Row],[GroupByKey]])*OutputTable[RecordedValue]))</f>
        <v>73</v>
      </c>
    </row>
    <row r="44" spans="1:16" x14ac:dyDescent="0.35">
      <c r="A44" t="s">
        <v>66</v>
      </c>
      <c r="B44" t="s">
        <v>69</v>
      </c>
      <c r="C44">
        <v>7</v>
      </c>
      <c r="D44" t="s">
        <v>97</v>
      </c>
      <c r="E44" t="s">
        <v>98</v>
      </c>
      <c r="F44" t="s">
        <v>76</v>
      </c>
      <c r="G44">
        <v>128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154.65</v>
      </c>
      <c r="L44" s="5" cm="1">
        <f t="array" ref="L44">IFERROR(_xlfn.STDEV.S(IF((OutputTable[GroupByKey]=OutputTable[[#This Row],[GroupByKey]]),(OutputTable[GroupByKey]=OutputTable[[#This Row],[GroupByKey]])*OutputTable[RecordedValue])),0)</f>
        <v>14.193805077008156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44" s="5" cm="1">
        <f t="array" ref="O44">MIN(IF((OutputTable[GroupByKey]=OutputTable[[#This Row],[GroupByKey]]),(OutputTable[GroupByKey]=OutputTable[[#This Row],[GroupByKey]])*OutputTable[RecordedValue]))</f>
        <v>128</v>
      </c>
      <c r="P44" s="5" cm="1">
        <f t="array" ref="P44">MAX(IF((OutputTable[GroupByKey]=OutputTable[[#This Row],[GroupByKey]]),(OutputTable[GroupByKey]=OutputTable[[#This Row],[GroupByKey]])*OutputTable[RecordedValue]))</f>
        <v>181</v>
      </c>
    </row>
    <row r="45" spans="1:16" x14ac:dyDescent="0.35">
      <c r="A45" t="s">
        <v>66</v>
      </c>
      <c r="B45" t="s">
        <v>69</v>
      </c>
      <c r="C45">
        <v>7</v>
      </c>
      <c r="D45" t="s">
        <v>99</v>
      </c>
      <c r="E45" t="s">
        <v>100</v>
      </c>
      <c r="F45" t="s">
        <v>76</v>
      </c>
      <c r="G45">
        <v>104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105.35</v>
      </c>
      <c r="L45" s="5" cm="1">
        <f t="array" ref="L45">IFERROR(_xlfn.STDEV.S(IF((OutputTable[GroupByKey]=OutputTable[[#This Row],[GroupByKey]]),(OutputTable[GroupByKey]=OutputTable[[#This Row],[GroupByKey]])*OutputTable[RecordedValue])),0)</f>
        <v>3.7794993563454127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45" s="5" cm="1">
        <f t="array" ref="O45">MIN(IF((OutputTable[GroupByKey]=OutputTable[[#This Row],[GroupByKey]]),(OutputTable[GroupByKey]=OutputTable[[#This Row],[GroupByKey]])*OutputTable[RecordedValue]))</f>
        <v>99</v>
      </c>
      <c r="P45" s="5" cm="1">
        <f t="array" ref="P45">MAX(IF((OutputTable[GroupByKey]=OutputTable[[#This Row],[GroupByKey]]),(OutputTable[GroupByKey]=OutputTable[[#This Row],[GroupByKey]])*OutputTable[RecordedValue]))</f>
        <v>114</v>
      </c>
    </row>
    <row r="46" spans="1:16" x14ac:dyDescent="0.35">
      <c r="A46" t="s">
        <v>66</v>
      </c>
      <c r="B46" t="s">
        <v>69</v>
      </c>
      <c r="C46">
        <v>7</v>
      </c>
      <c r="D46" t="s">
        <v>101</v>
      </c>
      <c r="E46" t="s">
        <v>102</v>
      </c>
      <c r="F46" t="s">
        <v>88</v>
      </c>
      <c r="G46">
        <v>49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49.1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1.0076629473115577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46" s="5" cm="1">
        <f t="array" ref="O46">MIN(IF((OutputTable[GroupByKey]=OutputTable[[#This Row],[GroupByKey]]),(OutputTable[GroupByKey]=OutputTable[[#This Row],[GroupByKey]])*OutputTable[RecordedValue]))</f>
        <v>47</v>
      </c>
      <c r="P46" s="5" cm="1">
        <f t="array" ref="P46">MAX(IF((OutputTable[GroupByKey]=OutputTable[[#This Row],[GroupByKey]]),(OutputTable[GroupByKey]=OutputTable[[#This Row],[GroupByKey]])*OutputTable[RecordedValue]))</f>
        <v>51</v>
      </c>
    </row>
    <row r="47" spans="1:16" x14ac:dyDescent="0.35">
      <c r="A47" t="s">
        <v>66</v>
      </c>
      <c r="B47" t="s">
        <v>69</v>
      </c>
      <c r="C47">
        <v>7</v>
      </c>
      <c r="D47" t="s">
        <v>103</v>
      </c>
      <c r="E47" t="s">
        <v>104</v>
      </c>
      <c r="F47" t="s">
        <v>88</v>
      </c>
      <c r="G47">
        <v>0.81564666822714205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0.87901029902009642</v>
      </c>
      <c r="L47" s="5" cm="1">
        <f t="array" ref="L47">IFERROR(_xlfn.STDEV.S(IF((OutputTable[GroupByKey]=OutputTable[[#This Row],[GroupByKey]]),(OutputTable[GroupByKey]=OutputTable[[#This Row],[GroupByKey]])*OutputTable[RecordedValue])),0)</f>
        <v>6.4041892088461561E-2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47" s="5" cm="1">
        <f t="array" ref="O47">MIN(IF((OutputTable[GroupByKey]=OutputTable[[#This Row],[GroupByKey]]),(OutputTable[GroupByKey]=OutputTable[[#This Row],[GroupByKey]])*OutputTable[RecordedValue]))</f>
        <v>0.71791407599347101</v>
      </c>
      <c r="P47" s="5" cm="1">
        <f t="array" ref="P47">MAX(IF((OutputTable[GroupByKey]=OutputTable[[#This Row],[GroupByKey]]),(OutputTable[GroupByKey]=OutputTable[[#This Row],[GroupByKey]])*OutputTable[RecordedValue]))</f>
        <v>0.96105910626671998</v>
      </c>
    </row>
    <row r="48" spans="1:16" x14ac:dyDescent="0.35">
      <c r="A48" t="s">
        <v>66</v>
      </c>
      <c r="B48" t="s">
        <v>69</v>
      </c>
      <c r="C48">
        <v>7</v>
      </c>
      <c r="D48" t="s">
        <v>105</v>
      </c>
      <c r="E48" t="s">
        <v>102</v>
      </c>
      <c r="F48" t="s">
        <v>88</v>
      </c>
      <c r="G48">
        <v>85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85.7</v>
      </c>
      <c r="L48" s="5" cm="1">
        <f t="array" ref="L48">IFERROR(_xlfn.STDEV.S(IF((OutputTable[GroupByKey]=OutputTable[[#This Row],[GroupByKey]]),(OutputTable[GroupByKey]=OutputTable[[#This Row],[GroupByKey]])*OutputTable[RecordedValue])),0)</f>
        <v>2.0902705014496981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48" s="5" cm="1">
        <f t="array" ref="O48">MIN(IF((OutputTable[GroupByKey]=OutputTable[[#This Row],[GroupByKey]]),(OutputTable[GroupByKey]=OutputTable[[#This Row],[GroupByKey]])*OutputTable[RecordedValue]))</f>
        <v>82</v>
      </c>
      <c r="P48" s="5" cm="1">
        <f t="array" ref="P48">MAX(IF((OutputTable[GroupByKey]=OutputTable[[#This Row],[GroupByKey]]),(OutputTable[GroupByKey]=OutputTable[[#This Row],[GroupByKey]])*OutputTable[RecordedValue]))</f>
        <v>90</v>
      </c>
    </row>
    <row r="49" spans="1:16" x14ac:dyDescent="0.35">
      <c r="A49" t="s">
        <v>66</v>
      </c>
      <c r="B49" t="s">
        <v>69</v>
      </c>
      <c r="C49">
        <v>7</v>
      </c>
      <c r="D49" t="s">
        <v>106</v>
      </c>
      <c r="E49" t="s">
        <v>104</v>
      </c>
      <c r="F49" t="s">
        <v>88</v>
      </c>
      <c r="G49">
        <v>0.98047221985501098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0.97764323127952735</v>
      </c>
      <c r="L49" s="5" cm="1">
        <f t="array" ref="L49">IFERROR(_xlfn.STDEV.S(IF((OutputTable[GroupByKey]=OutputTable[[#This Row],[GroupByKey]]),(OutputTable[GroupByKey]=OutputTable[[#This Row],[GroupByKey]])*OutputTable[RecordedValue])),0)</f>
        <v>2.0318152206087455E-2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49" s="5" cm="1">
        <f t="array" ref="O49">MIN(IF((OutputTable[GroupByKey]=OutputTable[[#This Row],[GroupByKey]]),(OutputTable[GroupByKey]=OutputTable[[#This Row],[GroupByKey]])*OutputTable[RecordedValue]))</f>
        <v>0.92631153500444496</v>
      </c>
      <c r="P49" s="5" cm="1">
        <f t="array" ref="P49">MAX(IF((OutputTable[GroupByKey]=OutputTable[[#This Row],[GroupByKey]]),(OutputTable[GroupByKey]=OutputTable[[#This Row],[GroupByKey]])*OutputTable[RecordedValue]))</f>
        <v>0.99913603041501298</v>
      </c>
    </row>
    <row r="50" spans="1:16" x14ac:dyDescent="0.35">
      <c r="A50" t="s">
        <v>66</v>
      </c>
      <c r="B50" t="s">
        <v>69</v>
      </c>
      <c r="C50">
        <v>7</v>
      </c>
      <c r="D50" t="s">
        <v>107</v>
      </c>
      <c r="E50" t="s">
        <v>100</v>
      </c>
      <c r="F50" t="s">
        <v>108</v>
      </c>
      <c r="G50">
        <v>65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66.25</v>
      </c>
      <c r="L50" s="5" cm="1">
        <f t="array" ref="L50">IFERROR(_xlfn.STDEV.S(IF((OutputTable[GroupByKey]=OutputTable[[#This Row],[GroupByKey]]),(OutputTable[GroupByKey]=OutputTable[[#This Row],[GroupByKey]])*OutputTable[RecordedValue])),0)</f>
        <v>3.0780446673755359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50" s="5" cm="1">
        <f t="array" ref="O50">MIN(IF((OutputTable[GroupByKey]=OutputTable[[#This Row],[GroupByKey]]),(OutputTable[GroupByKey]=OutputTable[[#This Row],[GroupByKey]])*OutputTable[RecordedValue]))</f>
        <v>60</v>
      </c>
      <c r="P50" s="5" cm="1">
        <f t="array" ref="P50">MAX(IF((OutputTable[GroupByKey]=OutputTable[[#This Row],[GroupByKey]]),(OutputTable[GroupByKey]=OutputTable[[#This Row],[GroupByKey]])*OutputTable[RecordedValue]))</f>
        <v>73</v>
      </c>
    </row>
    <row r="51" spans="1:16" x14ac:dyDescent="0.35">
      <c r="A51" t="s">
        <v>66</v>
      </c>
      <c r="B51" t="s">
        <v>69</v>
      </c>
      <c r="C51">
        <v>8</v>
      </c>
      <c r="D51" t="s">
        <v>97</v>
      </c>
      <c r="E51" t="s">
        <v>98</v>
      </c>
      <c r="F51" t="s">
        <v>76</v>
      </c>
      <c r="G51">
        <v>155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ProjectCliente.NumberInNumber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154.65</v>
      </c>
      <c r="L51" s="5" cm="1">
        <f t="array" ref="L51">IFERROR(_xlfn.STDEV.S(IF((OutputTable[GroupByKey]=OutputTable[[#This Row],[GroupByKey]]),(OutputTable[GroupByKey]=OutputTable[[#This Row],[GroupByKey]])*OutputTable[RecordedValue])),0)</f>
        <v>14.193805077008156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51" s="5" cm="1">
        <f t="array" ref="O51">MIN(IF((OutputTable[GroupByKey]=OutputTable[[#This Row],[GroupByKey]]),(OutputTable[GroupByKey]=OutputTable[[#This Row],[GroupByKey]])*OutputTable[RecordedValue]))</f>
        <v>128</v>
      </c>
      <c r="P51" s="5" cm="1">
        <f t="array" ref="P51">MAX(IF((OutputTable[GroupByKey]=OutputTable[[#This Row],[GroupByKey]]),(OutputTable[GroupByKey]=OutputTable[[#This Row],[GroupByKey]])*OutputTable[RecordedValue]))</f>
        <v>181</v>
      </c>
    </row>
    <row r="52" spans="1:16" x14ac:dyDescent="0.35">
      <c r="A52" t="s">
        <v>66</v>
      </c>
      <c r="B52" t="s">
        <v>69</v>
      </c>
      <c r="C52">
        <v>8</v>
      </c>
      <c r="D52" t="s">
        <v>99</v>
      </c>
      <c r="E52" t="s">
        <v>100</v>
      </c>
      <c r="F52" t="s">
        <v>76</v>
      </c>
      <c r="G52">
        <v>105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ProjectCliente.NumberOutNumber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105.35</v>
      </c>
      <c r="L52" s="5" cm="1">
        <f t="array" ref="L52">IFERROR(_xlfn.STDEV.S(IF((OutputTable[GroupByKey]=OutputTable[[#This Row],[GroupByKey]]),(OutputTable[GroupByKey]=OutputTable[[#This Row],[GroupByKey]])*OutputTable[RecordedValue])),0)</f>
        <v>3.7794993563454127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52" s="5" cm="1">
        <f t="array" ref="O52">MIN(IF((OutputTable[GroupByKey]=OutputTable[[#This Row],[GroupByKey]]),(OutputTable[GroupByKey]=OutputTable[[#This Row],[GroupByKey]])*OutputTable[RecordedValue]))</f>
        <v>99</v>
      </c>
      <c r="P52" s="5" cm="1">
        <f t="array" ref="P52">MAX(IF((OutputTable[GroupByKey]=OutputTable[[#This Row],[GroupByKey]]),(OutputTable[GroupByKey]=OutputTable[[#This Row],[GroupByKey]])*OutputTable[RecordedValue]))</f>
        <v>114</v>
      </c>
    </row>
    <row r="53" spans="1:16" x14ac:dyDescent="0.35">
      <c r="A53" t="s">
        <v>66</v>
      </c>
      <c r="B53" t="s">
        <v>69</v>
      </c>
      <c r="C53">
        <v>8</v>
      </c>
      <c r="D53" t="s">
        <v>101</v>
      </c>
      <c r="E53" t="s">
        <v>102</v>
      </c>
      <c r="F53" t="s">
        <v>88</v>
      </c>
      <c r="G53">
        <v>49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49.1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1.0076629473115577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53" s="5" cm="1">
        <f t="array" ref="O53">MIN(IF((OutputTable[GroupByKey]=OutputTable[[#This Row],[GroupByKey]]),(OutputTable[GroupByKey]=OutputTable[[#This Row],[GroupByKey]])*OutputTable[RecordedValue]))</f>
        <v>47</v>
      </c>
      <c r="P53" s="5" cm="1">
        <f t="array" ref="P53">MAX(IF((OutputTable[GroupByKey]=OutputTable[[#This Row],[GroupByKey]]),(OutputTable[GroupByKey]=OutputTable[[#This Row],[GroupByKey]])*OutputTable[RecordedValue]))</f>
        <v>51</v>
      </c>
    </row>
    <row r="54" spans="1:16" x14ac:dyDescent="0.35">
      <c r="A54" t="s">
        <v>66</v>
      </c>
      <c r="B54" t="s">
        <v>69</v>
      </c>
      <c r="C54">
        <v>8</v>
      </c>
      <c r="D54" t="s">
        <v>103</v>
      </c>
      <c r="E54" t="s">
        <v>104</v>
      </c>
      <c r="F54" t="s">
        <v>88</v>
      </c>
      <c r="G54">
        <v>0.89940253640003698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0.87901029902009642</v>
      </c>
      <c r="L54" s="5" cm="1">
        <f t="array" ref="L54">IFERROR(_xlfn.STDEV.S(IF((OutputTable[GroupByKey]=OutputTable[[#This Row],[GroupByKey]]),(OutputTable[GroupByKey]=OutputTable[[#This Row],[GroupByKey]])*OutputTable[RecordedValue])),0)</f>
        <v>6.4041892088461561E-2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54" s="5" cm="1">
        <f t="array" ref="O54">MIN(IF((OutputTable[GroupByKey]=OutputTable[[#This Row],[GroupByKey]]),(OutputTable[GroupByKey]=OutputTable[[#This Row],[GroupByKey]])*OutputTable[RecordedValue]))</f>
        <v>0.71791407599347101</v>
      </c>
      <c r="P54" s="5" cm="1">
        <f t="array" ref="P54">MAX(IF((OutputTable[GroupByKey]=OutputTable[[#This Row],[GroupByKey]]),(OutputTable[GroupByKey]=OutputTable[[#This Row],[GroupByKey]])*OutputTable[RecordedValue]))</f>
        <v>0.96105910626671998</v>
      </c>
    </row>
    <row r="55" spans="1:16" x14ac:dyDescent="0.35">
      <c r="A55" t="s">
        <v>66</v>
      </c>
      <c r="B55" t="s">
        <v>69</v>
      </c>
      <c r="C55">
        <v>8</v>
      </c>
      <c r="D55" t="s">
        <v>105</v>
      </c>
      <c r="E55" t="s">
        <v>102</v>
      </c>
      <c r="F55" t="s">
        <v>88</v>
      </c>
      <c r="G55">
        <v>85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85.7</v>
      </c>
      <c r="L55" s="5" cm="1">
        <f t="array" ref="L55">IFERROR(_xlfn.STDEV.S(IF((OutputTable[GroupByKey]=OutputTable[[#This Row],[GroupByKey]]),(OutputTable[GroupByKey]=OutputTable[[#This Row],[GroupByKey]])*OutputTable[RecordedValue])),0)</f>
        <v>2.0902705014496981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55" s="5" cm="1">
        <f t="array" ref="O55">MIN(IF((OutputTable[GroupByKey]=OutputTable[[#This Row],[GroupByKey]]),(OutputTable[GroupByKey]=OutputTable[[#This Row],[GroupByKey]])*OutputTable[RecordedValue]))</f>
        <v>82</v>
      </c>
      <c r="P55" s="5" cm="1">
        <f t="array" ref="P55">MAX(IF((OutputTable[GroupByKey]=OutputTable[[#This Row],[GroupByKey]]),(OutputTable[GroupByKey]=OutputTable[[#This Row],[GroupByKey]])*OutputTable[RecordedValue]))</f>
        <v>90</v>
      </c>
    </row>
    <row r="56" spans="1:16" x14ac:dyDescent="0.35">
      <c r="A56" t="s">
        <v>66</v>
      </c>
      <c r="B56" t="s">
        <v>69</v>
      </c>
      <c r="C56">
        <v>8</v>
      </c>
      <c r="D56" t="s">
        <v>106</v>
      </c>
      <c r="E56" t="s">
        <v>104</v>
      </c>
      <c r="F56" t="s">
        <v>88</v>
      </c>
      <c r="G56">
        <v>0.99706982497695695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0.97764323127952735</v>
      </c>
      <c r="L56" s="5" cm="1">
        <f t="array" ref="L56">IFERROR(_xlfn.STDEV.S(IF((OutputTable[GroupByKey]=OutputTable[[#This Row],[GroupByKey]]),(OutputTable[GroupByKey]=OutputTable[[#This Row],[GroupByKey]])*OutputTable[RecordedValue])),0)</f>
        <v>2.0318152206087455E-2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56" s="5" cm="1">
        <f t="array" ref="O56">MIN(IF((OutputTable[GroupByKey]=OutputTable[[#This Row],[GroupByKey]]),(OutputTable[GroupByKey]=OutputTable[[#This Row],[GroupByKey]])*OutputTable[RecordedValue]))</f>
        <v>0.92631153500444496</v>
      </c>
      <c r="P56" s="5" cm="1">
        <f t="array" ref="P56">MAX(IF((OutputTable[GroupByKey]=OutputTable[[#This Row],[GroupByKey]]),(OutputTable[GroupByKey]=OutputTable[[#This Row],[GroupByKey]])*OutputTable[RecordedValue]))</f>
        <v>0.99913603041501298</v>
      </c>
    </row>
    <row r="57" spans="1:16" x14ac:dyDescent="0.35">
      <c r="A57" t="s">
        <v>66</v>
      </c>
      <c r="B57" t="s">
        <v>69</v>
      </c>
      <c r="C57">
        <v>8</v>
      </c>
      <c r="D57" t="s">
        <v>107</v>
      </c>
      <c r="E57" t="s">
        <v>100</v>
      </c>
      <c r="F57" t="s">
        <v>108</v>
      </c>
      <c r="G57">
        <v>66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66.25</v>
      </c>
      <c r="L57" s="5" cm="1">
        <f t="array" ref="L57">IFERROR(_xlfn.STDEV.S(IF((OutputTable[GroupByKey]=OutputTable[[#This Row],[GroupByKey]]),(OutputTable[GroupByKey]=OutputTable[[#This Row],[GroupByKey]])*OutputTable[RecordedValue])),0)</f>
        <v>3.0780446673755359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57" s="5" cm="1">
        <f t="array" ref="O57">MIN(IF((OutputTable[GroupByKey]=OutputTable[[#This Row],[GroupByKey]]),(OutputTable[GroupByKey]=OutputTable[[#This Row],[GroupByKey]])*OutputTable[RecordedValue]))</f>
        <v>60</v>
      </c>
      <c r="P57" s="5" cm="1">
        <f t="array" ref="P57">MAX(IF((OutputTable[GroupByKey]=OutputTable[[#This Row],[GroupByKey]]),(OutputTable[GroupByKey]=OutputTable[[#This Row],[GroupByKey]])*OutputTable[RecordedValue]))</f>
        <v>73</v>
      </c>
    </row>
    <row r="58" spans="1:16" x14ac:dyDescent="0.35">
      <c r="A58" t="s">
        <v>66</v>
      </c>
      <c r="B58" t="s">
        <v>69</v>
      </c>
      <c r="C58">
        <v>9</v>
      </c>
      <c r="D58" t="s">
        <v>97</v>
      </c>
      <c r="E58" t="s">
        <v>98</v>
      </c>
      <c r="F58" t="s">
        <v>76</v>
      </c>
      <c r="G58">
        <v>160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ProjectCliente.NumberInNumber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154.65</v>
      </c>
      <c r="L58" s="5" cm="1">
        <f t="array" ref="L58">IFERROR(_xlfn.STDEV.S(IF((OutputTable[GroupByKey]=OutputTable[[#This Row],[GroupByKey]]),(OutputTable[GroupByKey]=OutputTable[[#This Row],[GroupByKey]])*OutputTable[RecordedValue])),0)</f>
        <v>14.193805077008156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58" s="5" cm="1">
        <f t="array" ref="O58">MIN(IF((OutputTable[GroupByKey]=OutputTable[[#This Row],[GroupByKey]]),(OutputTable[GroupByKey]=OutputTable[[#This Row],[GroupByKey]])*OutputTable[RecordedValue]))</f>
        <v>128</v>
      </c>
      <c r="P58" s="5" cm="1">
        <f t="array" ref="P58">MAX(IF((OutputTable[GroupByKey]=OutputTable[[#This Row],[GroupByKey]]),(OutputTable[GroupByKey]=OutputTable[[#This Row],[GroupByKey]])*OutputTable[RecordedValue]))</f>
        <v>181</v>
      </c>
    </row>
    <row r="59" spans="1:16" x14ac:dyDescent="0.35">
      <c r="A59" t="s">
        <v>66</v>
      </c>
      <c r="B59" t="s">
        <v>69</v>
      </c>
      <c r="C59">
        <v>9</v>
      </c>
      <c r="D59" t="s">
        <v>99</v>
      </c>
      <c r="E59" t="s">
        <v>100</v>
      </c>
      <c r="F59" t="s">
        <v>76</v>
      </c>
      <c r="G59">
        <v>104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ProjectCliente.NumberOutNumber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105.35</v>
      </c>
      <c r="L59" s="5" cm="1">
        <f t="array" ref="L59">IFERROR(_xlfn.STDEV.S(IF((OutputTable[GroupByKey]=OutputTable[[#This Row],[GroupByKey]]),(OutputTable[GroupByKey]=OutputTable[[#This Row],[GroupByKey]])*OutputTable[RecordedValue])),0)</f>
        <v>3.7794993563454127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59" s="5" cm="1">
        <f t="array" ref="O59">MIN(IF((OutputTable[GroupByKey]=OutputTable[[#This Row],[GroupByKey]]),(OutputTable[GroupByKey]=OutputTable[[#This Row],[GroupByKey]])*OutputTable[RecordedValue]))</f>
        <v>99</v>
      </c>
      <c r="P59" s="5" cm="1">
        <f t="array" ref="P59">MAX(IF((OutputTable[GroupByKey]=OutputTable[[#This Row],[GroupByKey]]),(OutputTable[GroupByKey]=OutputTable[[#This Row],[GroupByKey]])*OutputTable[RecordedValue]))</f>
        <v>114</v>
      </c>
    </row>
    <row r="60" spans="1:16" x14ac:dyDescent="0.35">
      <c r="A60" t="s">
        <v>66</v>
      </c>
      <c r="B60" t="s">
        <v>69</v>
      </c>
      <c r="C60">
        <v>9</v>
      </c>
      <c r="D60" t="s">
        <v>101</v>
      </c>
      <c r="E60" t="s">
        <v>102</v>
      </c>
      <c r="F60" t="s">
        <v>88</v>
      </c>
      <c r="G60">
        <v>48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49.1</v>
      </c>
      <c r="L60" s="5" cm="1">
        <f t="array" ref="L60">IFERROR(_xlfn.STDEV.S(IF((OutputTable[GroupByKey]=OutputTable[[#This Row],[GroupByKey]]),(OutputTable[GroupByKey]=OutputTable[[#This Row],[GroupByKey]])*OutputTable[RecordedValue])),0)</f>
        <v>1.0076629473115577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60" s="5" cm="1">
        <f t="array" ref="O60">MIN(IF((OutputTable[GroupByKey]=OutputTable[[#This Row],[GroupByKey]]),(OutputTable[GroupByKey]=OutputTable[[#This Row],[GroupByKey]])*OutputTable[RecordedValue]))</f>
        <v>47</v>
      </c>
      <c r="P60" s="5" cm="1">
        <f t="array" ref="P60">MAX(IF((OutputTable[GroupByKey]=OutputTable[[#This Row],[GroupByKey]]),(OutputTable[GroupByKey]=OutputTable[[#This Row],[GroupByKey]])*OutputTable[RecordedValue]))</f>
        <v>51</v>
      </c>
    </row>
    <row r="61" spans="1:16" x14ac:dyDescent="0.35">
      <c r="A61" t="s">
        <v>66</v>
      </c>
      <c r="B61" t="s">
        <v>69</v>
      </c>
      <c r="C61">
        <v>9</v>
      </c>
      <c r="D61" t="s">
        <v>103</v>
      </c>
      <c r="E61" t="s">
        <v>104</v>
      </c>
      <c r="F61" t="s">
        <v>88</v>
      </c>
      <c r="G61">
        <v>0.93182712882125096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0.87901029902009642</v>
      </c>
      <c r="L61" s="5" cm="1">
        <f t="array" ref="L61">IFERROR(_xlfn.STDEV.S(IF((OutputTable[GroupByKey]=OutputTable[[#This Row],[GroupByKey]]),(OutputTable[GroupByKey]=OutputTable[[#This Row],[GroupByKey]])*OutputTable[RecordedValue])),0)</f>
        <v>6.4041892088461561E-2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61" s="5" cm="1">
        <f t="array" ref="O61">MIN(IF((OutputTable[GroupByKey]=OutputTable[[#This Row],[GroupByKey]]),(OutputTable[GroupByKey]=OutputTable[[#This Row],[GroupByKey]])*OutputTable[RecordedValue]))</f>
        <v>0.71791407599347101</v>
      </c>
      <c r="P61" s="5" cm="1">
        <f t="array" ref="P61">MAX(IF((OutputTable[GroupByKey]=OutputTable[[#This Row],[GroupByKey]]),(OutputTable[GroupByKey]=OutputTable[[#This Row],[GroupByKey]])*OutputTable[RecordedValue]))</f>
        <v>0.96105910626671998</v>
      </c>
    </row>
    <row r="62" spans="1:16" x14ac:dyDescent="0.35">
      <c r="A62" t="s">
        <v>66</v>
      </c>
      <c r="B62" t="s">
        <v>69</v>
      </c>
      <c r="C62">
        <v>9</v>
      </c>
      <c r="D62" t="s">
        <v>105</v>
      </c>
      <c r="E62" t="s">
        <v>102</v>
      </c>
      <c r="F62" t="s">
        <v>88</v>
      </c>
      <c r="G62">
        <v>84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85.7</v>
      </c>
      <c r="L62" s="5" cm="1">
        <f t="array" ref="L62">IFERROR(_xlfn.STDEV.S(IF((OutputTable[GroupByKey]=OutputTable[[#This Row],[GroupByKey]]),(OutputTable[GroupByKey]=OutputTable[[#This Row],[GroupByKey]])*OutputTable[RecordedValue])),0)</f>
        <v>2.0902705014496981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62" s="5" cm="1">
        <f t="array" ref="O62">MIN(IF((OutputTable[GroupByKey]=OutputTable[[#This Row],[GroupByKey]]),(OutputTable[GroupByKey]=OutputTable[[#This Row],[GroupByKey]])*OutputTable[RecordedValue]))</f>
        <v>82</v>
      </c>
      <c r="P62" s="5" cm="1">
        <f t="array" ref="P62">MAX(IF((OutputTable[GroupByKey]=OutputTable[[#This Row],[GroupByKey]]),(OutputTable[GroupByKey]=OutputTable[[#This Row],[GroupByKey]])*OutputTable[RecordedValue]))</f>
        <v>90</v>
      </c>
    </row>
    <row r="63" spans="1:16" x14ac:dyDescent="0.35">
      <c r="A63" t="s">
        <v>66</v>
      </c>
      <c r="B63" t="s">
        <v>69</v>
      </c>
      <c r="C63">
        <v>9</v>
      </c>
      <c r="D63" t="s">
        <v>106</v>
      </c>
      <c r="E63" t="s">
        <v>104</v>
      </c>
      <c r="F63" t="s">
        <v>88</v>
      </c>
      <c r="G63">
        <v>0.96992763584812303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0.97764323127952735</v>
      </c>
      <c r="L63" s="5" cm="1">
        <f t="array" ref="L63">IFERROR(_xlfn.STDEV.S(IF((OutputTable[GroupByKey]=OutputTable[[#This Row],[GroupByKey]]),(OutputTable[GroupByKey]=OutputTable[[#This Row],[GroupByKey]])*OutputTable[RecordedValue])),0)</f>
        <v>2.0318152206087455E-2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63" s="5" cm="1">
        <f t="array" ref="O63">MIN(IF((OutputTable[GroupByKey]=OutputTable[[#This Row],[GroupByKey]]),(OutputTable[GroupByKey]=OutputTable[[#This Row],[GroupByKey]])*OutputTable[RecordedValue]))</f>
        <v>0.92631153500444496</v>
      </c>
      <c r="P63" s="5" cm="1">
        <f t="array" ref="P63">MAX(IF((OutputTable[GroupByKey]=OutputTable[[#This Row],[GroupByKey]]),(OutputTable[GroupByKey]=OutputTable[[#This Row],[GroupByKey]])*OutputTable[RecordedValue]))</f>
        <v>0.99913603041501298</v>
      </c>
    </row>
    <row r="64" spans="1:16" x14ac:dyDescent="0.35">
      <c r="A64" t="s">
        <v>66</v>
      </c>
      <c r="B64" t="s">
        <v>69</v>
      </c>
      <c r="C64">
        <v>9</v>
      </c>
      <c r="D64" t="s">
        <v>107</v>
      </c>
      <c r="E64" t="s">
        <v>100</v>
      </c>
      <c r="F64" t="s">
        <v>108</v>
      </c>
      <c r="G64">
        <v>66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66.25</v>
      </c>
      <c r="L64" s="5" cm="1">
        <f t="array" ref="L64">IFERROR(_xlfn.STDEV.S(IF((OutputTable[GroupByKey]=OutputTable[[#This Row],[GroupByKey]]),(OutputTable[GroupByKey]=OutputTable[[#This Row],[GroupByKey]])*OutputTable[RecordedValue])),0)</f>
        <v>3.0780446673755359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64" s="5" cm="1">
        <f t="array" ref="O64">MIN(IF((OutputTable[GroupByKey]=OutputTable[[#This Row],[GroupByKey]]),(OutputTable[GroupByKey]=OutputTable[[#This Row],[GroupByKey]])*OutputTable[RecordedValue]))</f>
        <v>60</v>
      </c>
      <c r="P64" s="5" cm="1">
        <f t="array" ref="P64">MAX(IF((OutputTable[GroupByKey]=OutputTable[[#This Row],[GroupByKey]]),(OutputTable[GroupByKey]=OutputTable[[#This Row],[GroupByKey]])*OutputTable[RecordedValue]))</f>
        <v>73</v>
      </c>
    </row>
    <row r="65" spans="1:16" x14ac:dyDescent="0.35">
      <c r="A65" t="s">
        <v>66</v>
      </c>
      <c r="B65" t="s">
        <v>69</v>
      </c>
      <c r="C65">
        <v>10</v>
      </c>
      <c r="D65" t="s">
        <v>97</v>
      </c>
      <c r="E65" t="s">
        <v>98</v>
      </c>
      <c r="F65" t="s">
        <v>76</v>
      </c>
      <c r="G65">
        <v>164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154.65</v>
      </c>
      <c r="L65" s="5" cm="1">
        <f t="array" ref="L65">IFERROR(_xlfn.STDEV.S(IF((OutputTable[GroupByKey]=OutputTable[[#This Row],[GroupByKey]]),(OutputTable[GroupByKey]=OutputTable[[#This Row],[GroupByKey]])*OutputTable[RecordedValue])),0)</f>
        <v>14.193805077008156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65" s="5" cm="1">
        <f t="array" ref="O65">MIN(IF((OutputTable[GroupByKey]=OutputTable[[#This Row],[GroupByKey]]),(OutputTable[GroupByKey]=OutputTable[[#This Row],[GroupByKey]])*OutputTable[RecordedValue]))</f>
        <v>128</v>
      </c>
      <c r="P65" s="5" cm="1">
        <f t="array" ref="P65">MAX(IF((OutputTable[GroupByKey]=OutputTable[[#This Row],[GroupByKey]]),(OutputTable[GroupByKey]=OutputTable[[#This Row],[GroupByKey]])*OutputTable[RecordedValue]))</f>
        <v>181</v>
      </c>
    </row>
    <row r="66" spans="1:16" x14ac:dyDescent="0.35">
      <c r="A66" t="s">
        <v>66</v>
      </c>
      <c r="B66" t="s">
        <v>69</v>
      </c>
      <c r="C66">
        <v>10</v>
      </c>
      <c r="D66" t="s">
        <v>99</v>
      </c>
      <c r="E66" t="s">
        <v>100</v>
      </c>
      <c r="F66" t="s">
        <v>76</v>
      </c>
      <c r="G66">
        <v>108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105.35</v>
      </c>
      <c r="L66" s="5" cm="1">
        <f t="array" ref="L66">IFERROR(_xlfn.STDEV.S(IF((OutputTable[GroupByKey]=OutputTable[[#This Row],[GroupByKey]]),(OutputTable[GroupByKey]=OutputTable[[#This Row],[GroupByKey]])*OutputTable[RecordedValue])),0)</f>
        <v>3.7794993563454127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66" s="5" cm="1">
        <f t="array" ref="O66">MIN(IF((OutputTable[GroupByKey]=OutputTable[[#This Row],[GroupByKey]]),(OutputTable[GroupByKey]=OutputTable[[#This Row],[GroupByKey]])*OutputTable[RecordedValue]))</f>
        <v>99</v>
      </c>
      <c r="P66" s="5" cm="1">
        <f t="array" ref="P66">MAX(IF((OutputTable[GroupByKey]=OutputTable[[#This Row],[GroupByKey]]),(OutputTable[GroupByKey]=OutputTable[[#This Row],[GroupByKey]])*OutputTable[RecordedValue]))</f>
        <v>114</v>
      </c>
    </row>
    <row r="67" spans="1:16" x14ac:dyDescent="0.35">
      <c r="A67" t="s">
        <v>66</v>
      </c>
      <c r="B67" t="s">
        <v>69</v>
      </c>
      <c r="C67">
        <v>10</v>
      </c>
      <c r="D67" t="s">
        <v>101</v>
      </c>
      <c r="E67" t="s">
        <v>102</v>
      </c>
      <c r="F67" t="s">
        <v>88</v>
      </c>
      <c r="G67">
        <v>50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49.1</v>
      </c>
      <c r="L67" s="5" cm="1">
        <f t="array" ref="L67">IFERROR(_xlfn.STDEV.S(IF((OutputTable[GroupByKey]=OutputTable[[#This Row],[GroupByKey]]),(OutputTable[GroupByKey]=OutputTable[[#This Row],[GroupByKey]])*OutputTable[RecordedValue])),0)</f>
        <v>1.0076629473115577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67" s="5" cm="1">
        <f t="array" ref="O67">MIN(IF((OutputTable[GroupByKey]=OutputTable[[#This Row],[GroupByKey]]),(OutputTable[GroupByKey]=OutputTable[[#This Row],[GroupByKey]])*OutputTable[RecordedValue]))</f>
        <v>47</v>
      </c>
      <c r="P67" s="5" cm="1">
        <f t="array" ref="P67">MAX(IF((OutputTable[GroupByKey]=OutputTable[[#This Row],[GroupByKey]]),(OutputTable[GroupByKey]=OutputTable[[#This Row],[GroupByKey]])*OutputTable[RecordedValue]))</f>
        <v>51</v>
      </c>
    </row>
    <row r="68" spans="1:16" x14ac:dyDescent="0.35">
      <c r="A68" t="s">
        <v>66</v>
      </c>
      <c r="B68" t="s">
        <v>69</v>
      </c>
      <c r="C68">
        <v>10</v>
      </c>
      <c r="D68" t="s">
        <v>103</v>
      </c>
      <c r="E68" t="s">
        <v>104</v>
      </c>
      <c r="F68" t="s">
        <v>88</v>
      </c>
      <c r="G68">
        <v>0.89807613924424001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0.87901029902009642</v>
      </c>
      <c r="L68" s="5" cm="1">
        <f t="array" ref="L68">IFERROR(_xlfn.STDEV.S(IF((OutputTable[GroupByKey]=OutputTable[[#This Row],[GroupByKey]]),(OutputTable[GroupByKey]=OutputTable[[#This Row],[GroupByKey]])*OutputTable[RecordedValue])),0)</f>
        <v>6.4041892088461561E-2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68" s="5" cm="1">
        <f t="array" ref="O68">MIN(IF((OutputTable[GroupByKey]=OutputTable[[#This Row],[GroupByKey]]),(OutputTable[GroupByKey]=OutputTable[[#This Row],[GroupByKey]])*OutputTable[RecordedValue]))</f>
        <v>0.71791407599347101</v>
      </c>
      <c r="P68" s="5" cm="1">
        <f t="array" ref="P68">MAX(IF((OutputTable[GroupByKey]=OutputTable[[#This Row],[GroupByKey]]),(OutputTable[GroupByKey]=OutputTable[[#This Row],[GroupByKey]])*OutputTable[RecordedValue]))</f>
        <v>0.96105910626671998</v>
      </c>
    </row>
    <row r="69" spans="1:16" x14ac:dyDescent="0.35">
      <c r="A69" t="s">
        <v>66</v>
      </c>
      <c r="B69" t="s">
        <v>69</v>
      </c>
      <c r="C69">
        <v>10</v>
      </c>
      <c r="D69" t="s">
        <v>105</v>
      </c>
      <c r="E69" t="s">
        <v>102</v>
      </c>
      <c r="F69" t="s">
        <v>88</v>
      </c>
      <c r="G69">
        <v>88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85.7</v>
      </c>
      <c r="L69" s="5" cm="1">
        <f t="array" ref="L69">IFERROR(_xlfn.STDEV.S(IF((OutputTable[GroupByKey]=OutputTable[[#This Row],[GroupByKey]]),(OutputTable[GroupByKey]=OutputTable[[#This Row],[GroupByKey]])*OutputTable[RecordedValue])),0)</f>
        <v>2.0902705014496981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69" s="5" cm="1">
        <f t="array" ref="O69">MIN(IF((OutputTable[GroupByKey]=OutputTable[[#This Row],[GroupByKey]]),(OutputTable[GroupByKey]=OutputTable[[#This Row],[GroupByKey]])*OutputTable[RecordedValue]))</f>
        <v>82</v>
      </c>
      <c r="P69" s="5" cm="1">
        <f t="array" ref="P69">MAX(IF((OutputTable[GroupByKey]=OutputTable[[#This Row],[GroupByKey]]),(OutputTable[GroupByKey]=OutputTable[[#This Row],[GroupByKey]])*OutputTable[RecordedValue]))</f>
        <v>90</v>
      </c>
    </row>
    <row r="70" spans="1:16" x14ac:dyDescent="0.35">
      <c r="A70" t="s">
        <v>66</v>
      </c>
      <c r="B70" t="s">
        <v>69</v>
      </c>
      <c r="C70">
        <v>10</v>
      </c>
      <c r="D70" t="s">
        <v>106</v>
      </c>
      <c r="E70" t="s">
        <v>104</v>
      </c>
      <c r="F70" t="s">
        <v>88</v>
      </c>
      <c r="G70">
        <v>0.97704096458456002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0.97764323127952735</v>
      </c>
      <c r="L70" s="5" cm="1">
        <f t="array" ref="L70">IFERROR(_xlfn.STDEV.S(IF((OutputTable[GroupByKey]=OutputTable[[#This Row],[GroupByKey]]),(OutputTable[GroupByKey]=OutputTable[[#This Row],[GroupByKey]])*OutputTable[RecordedValue])),0)</f>
        <v>2.0318152206087455E-2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70" s="5" cm="1">
        <f t="array" ref="O70">MIN(IF((OutputTable[GroupByKey]=OutputTable[[#This Row],[GroupByKey]]),(OutputTable[GroupByKey]=OutputTable[[#This Row],[GroupByKey]])*OutputTable[RecordedValue]))</f>
        <v>0.92631153500444496</v>
      </c>
      <c r="P70" s="5" cm="1">
        <f t="array" ref="P70">MAX(IF((OutputTable[GroupByKey]=OutputTable[[#This Row],[GroupByKey]]),(OutputTable[GroupByKey]=OutputTable[[#This Row],[GroupByKey]])*OutputTable[RecordedValue]))</f>
        <v>0.99913603041501298</v>
      </c>
    </row>
    <row r="71" spans="1:16" x14ac:dyDescent="0.35">
      <c r="A71" t="s">
        <v>66</v>
      </c>
      <c r="B71" t="s">
        <v>69</v>
      </c>
      <c r="C71">
        <v>10</v>
      </c>
      <c r="D71" t="s">
        <v>107</v>
      </c>
      <c r="E71" t="s">
        <v>100</v>
      </c>
      <c r="F71" t="s">
        <v>108</v>
      </c>
      <c r="G71">
        <v>68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66.25</v>
      </c>
      <c r="L71" s="5" cm="1">
        <f t="array" ref="L71">IFERROR(_xlfn.STDEV.S(IF((OutputTable[GroupByKey]=OutputTable[[#This Row],[GroupByKey]]),(OutputTable[GroupByKey]=OutputTable[[#This Row],[GroupByKey]])*OutputTable[RecordedValue])),0)</f>
        <v>3.0780446673755359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71" s="5" cm="1">
        <f t="array" ref="O71">MIN(IF((OutputTable[GroupByKey]=OutputTable[[#This Row],[GroupByKey]]),(OutputTable[GroupByKey]=OutputTable[[#This Row],[GroupByKey]])*OutputTable[RecordedValue]))</f>
        <v>60</v>
      </c>
      <c r="P71" s="5" cm="1">
        <f t="array" ref="P71">MAX(IF((OutputTable[GroupByKey]=OutputTable[[#This Row],[GroupByKey]]),(OutputTable[GroupByKey]=OutputTable[[#This Row],[GroupByKey]])*OutputTable[RecordedValue]))</f>
        <v>73</v>
      </c>
    </row>
    <row r="72" spans="1:16" x14ac:dyDescent="0.35">
      <c r="A72" t="s">
        <v>66</v>
      </c>
      <c r="B72" t="s">
        <v>69</v>
      </c>
      <c r="C72">
        <v>11</v>
      </c>
      <c r="D72" t="s">
        <v>97</v>
      </c>
      <c r="E72" t="s">
        <v>98</v>
      </c>
      <c r="F72" t="s">
        <v>76</v>
      </c>
      <c r="G72">
        <v>157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ProjectCliente.NumberInNumber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154.65</v>
      </c>
      <c r="L72" s="5" cm="1">
        <f t="array" ref="L72">IFERROR(_xlfn.STDEV.S(IF((OutputTable[GroupByKey]=OutputTable[[#This Row],[GroupByKey]]),(OutputTable[GroupByKey]=OutputTable[[#This Row],[GroupByKey]])*OutputTable[RecordedValue])),0)</f>
        <v>14.193805077008156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72" s="5" cm="1">
        <f t="array" ref="O72">MIN(IF((OutputTable[GroupByKey]=OutputTable[[#This Row],[GroupByKey]]),(OutputTable[GroupByKey]=OutputTable[[#This Row],[GroupByKey]])*OutputTable[RecordedValue]))</f>
        <v>128</v>
      </c>
      <c r="P72" s="5" cm="1">
        <f t="array" ref="P72">MAX(IF((OutputTable[GroupByKey]=OutputTable[[#This Row],[GroupByKey]]),(OutputTable[GroupByKey]=OutputTable[[#This Row],[GroupByKey]])*OutputTable[RecordedValue]))</f>
        <v>181</v>
      </c>
    </row>
    <row r="73" spans="1:16" x14ac:dyDescent="0.35">
      <c r="A73" t="s">
        <v>66</v>
      </c>
      <c r="B73" t="s">
        <v>69</v>
      </c>
      <c r="C73">
        <v>11</v>
      </c>
      <c r="D73" t="s">
        <v>99</v>
      </c>
      <c r="E73" t="s">
        <v>100</v>
      </c>
      <c r="F73" t="s">
        <v>76</v>
      </c>
      <c r="G73">
        <v>107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ProjectCliente.NumberOutNumber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105.35</v>
      </c>
      <c r="L73" s="5" cm="1">
        <f t="array" ref="L73">IFERROR(_xlfn.STDEV.S(IF((OutputTable[GroupByKey]=OutputTable[[#This Row],[GroupByKey]]),(OutputTable[GroupByKey]=OutputTable[[#This Row],[GroupByKey]])*OutputTable[RecordedValue])),0)</f>
        <v>3.7794993563454127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73" s="5" cm="1">
        <f t="array" ref="O73">MIN(IF((OutputTable[GroupByKey]=OutputTable[[#This Row],[GroupByKey]]),(OutputTable[GroupByKey]=OutputTable[[#This Row],[GroupByKey]])*OutputTable[RecordedValue]))</f>
        <v>99</v>
      </c>
      <c r="P73" s="5" cm="1">
        <f t="array" ref="P73">MAX(IF((OutputTable[GroupByKey]=OutputTable[[#This Row],[GroupByKey]]),(OutputTable[GroupByKey]=OutputTable[[#This Row],[GroupByKey]])*OutputTable[RecordedValue]))</f>
        <v>114</v>
      </c>
    </row>
    <row r="74" spans="1:16" x14ac:dyDescent="0.35">
      <c r="A74" t="s">
        <v>66</v>
      </c>
      <c r="B74" t="s">
        <v>69</v>
      </c>
      <c r="C74">
        <v>11</v>
      </c>
      <c r="D74" t="s">
        <v>101</v>
      </c>
      <c r="E74" t="s">
        <v>102</v>
      </c>
      <c r="F74" t="s">
        <v>88</v>
      </c>
      <c r="G74">
        <v>49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49.1</v>
      </c>
      <c r="L74" s="5" cm="1">
        <f t="array" ref="L74">IFERROR(_xlfn.STDEV.S(IF((OutputTable[GroupByKey]=OutputTable[[#This Row],[GroupByKey]]),(OutputTable[GroupByKey]=OutputTable[[#This Row],[GroupByKey]])*OutputTable[RecordedValue])),0)</f>
        <v>1.0076629473115577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74" s="5" cm="1">
        <f t="array" ref="O74">MIN(IF((OutputTable[GroupByKey]=OutputTable[[#This Row],[GroupByKey]]),(OutputTable[GroupByKey]=OutputTable[[#This Row],[GroupByKey]])*OutputTable[RecordedValue]))</f>
        <v>47</v>
      </c>
      <c r="P74" s="5" cm="1">
        <f t="array" ref="P74">MAX(IF((OutputTable[GroupByKey]=OutputTable[[#This Row],[GroupByKey]]),(OutputTable[GroupByKey]=OutputTable[[#This Row],[GroupByKey]])*OutputTable[RecordedValue]))</f>
        <v>51</v>
      </c>
    </row>
    <row r="75" spans="1:16" x14ac:dyDescent="0.35">
      <c r="A75" t="s">
        <v>66</v>
      </c>
      <c r="B75" t="s">
        <v>69</v>
      </c>
      <c r="C75">
        <v>11</v>
      </c>
      <c r="D75" t="s">
        <v>103</v>
      </c>
      <c r="E75" t="s">
        <v>104</v>
      </c>
      <c r="F75" t="s">
        <v>88</v>
      </c>
      <c r="G75">
        <v>0.81433875939071099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0.87901029902009642</v>
      </c>
      <c r="L75" s="5" cm="1">
        <f t="array" ref="L75">IFERROR(_xlfn.STDEV.S(IF((OutputTable[GroupByKey]=OutputTable[[#This Row],[GroupByKey]]),(OutputTable[GroupByKey]=OutputTable[[#This Row],[GroupByKey]])*OutputTable[RecordedValue])),0)</f>
        <v>6.4041892088461561E-2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75" s="5" cm="1">
        <f t="array" ref="O75">MIN(IF((OutputTable[GroupByKey]=OutputTable[[#This Row],[GroupByKey]]),(OutputTable[GroupByKey]=OutputTable[[#This Row],[GroupByKey]])*OutputTable[RecordedValue]))</f>
        <v>0.71791407599347101</v>
      </c>
      <c r="P75" s="5" cm="1">
        <f t="array" ref="P75">MAX(IF((OutputTable[GroupByKey]=OutputTable[[#This Row],[GroupByKey]]),(OutputTable[GroupByKey]=OutputTable[[#This Row],[GroupByKey]])*OutputTable[RecordedValue]))</f>
        <v>0.96105910626671998</v>
      </c>
    </row>
    <row r="76" spans="1:16" x14ac:dyDescent="0.35">
      <c r="A76" t="s">
        <v>66</v>
      </c>
      <c r="B76" t="s">
        <v>69</v>
      </c>
      <c r="C76">
        <v>11</v>
      </c>
      <c r="D76" t="s">
        <v>105</v>
      </c>
      <c r="E76" t="s">
        <v>102</v>
      </c>
      <c r="F76" t="s">
        <v>88</v>
      </c>
      <c r="G76">
        <v>85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85.7</v>
      </c>
      <c r="L76" s="5" cm="1">
        <f t="array" ref="L76">IFERROR(_xlfn.STDEV.S(IF((OutputTable[GroupByKey]=OutputTable[[#This Row],[GroupByKey]]),(OutputTable[GroupByKey]=OutputTable[[#This Row],[GroupByKey]])*OutputTable[RecordedValue])),0)</f>
        <v>2.0902705014496981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76" s="5" cm="1">
        <f t="array" ref="O76">MIN(IF((OutputTable[GroupByKey]=OutputTable[[#This Row],[GroupByKey]]),(OutputTable[GroupByKey]=OutputTable[[#This Row],[GroupByKey]])*OutputTable[RecordedValue]))</f>
        <v>82</v>
      </c>
      <c r="P76" s="5" cm="1">
        <f t="array" ref="P76">MAX(IF((OutputTable[GroupByKey]=OutputTable[[#This Row],[GroupByKey]]),(OutputTable[GroupByKey]=OutputTable[[#This Row],[GroupByKey]])*OutputTable[RecordedValue]))</f>
        <v>90</v>
      </c>
    </row>
    <row r="77" spans="1:16" x14ac:dyDescent="0.35">
      <c r="A77" t="s">
        <v>66</v>
      </c>
      <c r="B77" t="s">
        <v>69</v>
      </c>
      <c r="C77">
        <v>11</v>
      </c>
      <c r="D77" t="s">
        <v>106</v>
      </c>
      <c r="E77" t="s">
        <v>104</v>
      </c>
      <c r="F77" t="s">
        <v>88</v>
      </c>
      <c r="G77">
        <v>0.975008672547789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0.97764323127952735</v>
      </c>
      <c r="L77" s="5" cm="1">
        <f t="array" ref="L77">IFERROR(_xlfn.STDEV.S(IF((OutputTable[GroupByKey]=OutputTable[[#This Row],[GroupByKey]]),(OutputTable[GroupByKey]=OutputTable[[#This Row],[GroupByKey]])*OutputTable[RecordedValue])),0)</f>
        <v>2.0318152206087455E-2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77" s="5" cm="1">
        <f t="array" ref="O77">MIN(IF((OutputTable[GroupByKey]=OutputTable[[#This Row],[GroupByKey]]),(OutputTable[GroupByKey]=OutputTable[[#This Row],[GroupByKey]])*OutputTable[RecordedValue]))</f>
        <v>0.92631153500444496</v>
      </c>
      <c r="P77" s="5" cm="1">
        <f t="array" ref="P77">MAX(IF((OutputTable[GroupByKey]=OutputTable[[#This Row],[GroupByKey]]),(OutputTable[GroupByKey]=OutputTable[[#This Row],[GroupByKey]])*OutputTable[RecordedValue]))</f>
        <v>0.99913603041501298</v>
      </c>
    </row>
    <row r="78" spans="1:16" x14ac:dyDescent="0.35">
      <c r="A78" t="s">
        <v>66</v>
      </c>
      <c r="B78" t="s">
        <v>69</v>
      </c>
      <c r="C78">
        <v>11</v>
      </c>
      <c r="D78" t="s">
        <v>107</v>
      </c>
      <c r="E78" t="s">
        <v>100</v>
      </c>
      <c r="F78" t="s">
        <v>108</v>
      </c>
      <c r="G78">
        <v>68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66.25</v>
      </c>
      <c r="L78" s="5" cm="1">
        <f t="array" ref="L78">IFERROR(_xlfn.STDEV.S(IF((OutputTable[GroupByKey]=OutputTable[[#This Row],[GroupByKey]]),(OutputTable[GroupByKey]=OutputTable[[#This Row],[GroupByKey]])*OutputTable[RecordedValue])),0)</f>
        <v>3.0780446673755359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78" s="5" cm="1">
        <f t="array" ref="O78">MIN(IF((OutputTable[GroupByKey]=OutputTable[[#This Row],[GroupByKey]]),(OutputTable[GroupByKey]=OutputTable[[#This Row],[GroupByKey]])*OutputTable[RecordedValue]))</f>
        <v>60</v>
      </c>
      <c r="P78" s="5" cm="1">
        <f t="array" ref="P78">MAX(IF((OutputTable[GroupByKey]=OutputTable[[#This Row],[GroupByKey]]),(OutputTable[GroupByKey]=OutputTable[[#This Row],[GroupByKey]])*OutputTable[RecordedValue]))</f>
        <v>73</v>
      </c>
    </row>
    <row r="79" spans="1:16" x14ac:dyDescent="0.35">
      <c r="A79" t="s">
        <v>66</v>
      </c>
      <c r="B79" t="s">
        <v>69</v>
      </c>
      <c r="C79">
        <v>12</v>
      </c>
      <c r="D79" t="s">
        <v>97</v>
      </c>
      <c r="E79" t="s">
        <v>98</v>
      </c>
      <c r="F79" t="s">
        <v>76</v>
      </c>
      <c r="G79">
        <v>142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ProjectCliente.NumberInNumber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154.65</v>
      </c>
      <c r="L79" s="5" cm="1">
        <f t="array" ref="L79">IFERROR(_xlfn.STDEV.S(IF((OutputTable[GroupByKey]=OutputTable[[#This Row],[GroupByKey]]),(OutputTable[GroupByKey]=OutputTable[[#This Row],[GroupByKey]])*OutputTable[RecordedValue])),0)</f>
        <v>14.193805077008156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79" s="5" cm="1">
        <f t="array" ref="O79">MIN(IF((OutputTable[GroupByKey]=OutputTable[[#This Row],[GroupByKey]]),(OutputTable[GroupByKey]=OutputTable[[#This Row],[GroupByKey]])*OutputTable[RecordedValue]))</f>
        <v>128</v>
      </c>
      <c r="P79" s="5" cm="1">
        <f t="array" ref="P79">MAX(IF((OutputTable[GroupByKey]=OutputTable[[#This Row],[GroupByKey]]),(OutputTable[GroupByKey]=OutputTable[[#This Row],[GroupByKey]])*OutputTable[RecordedValue]))</f>
        <v>181</v>
      </c>
    </row>
    <row r="80" spans="1:16" x14ac:dyDescent="0.35">
      <c r="A80" t="s">
        <v>66</v>
      </c>
      <c r="B80" t="s">
        <v>69</v>
      </c>
      <c r="C80">
        <v>12</v>
      </c>
      <c r="D80" t="s">
        <v>99</v>
      </c>
      <c r="E80" t="s">
        <v>100</v>
      </c>
      <c r="F80" t="s">
        <v>76</v>
      </c>
      <c r="G80">
        <v>108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ProjectCliente.NumberOutNumber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105.35</v>
      </c>
      <c r="L80" s="5" cm="1">
        <f t="array" ref="L80">IFERROR(_xlfn.STDEV.S(IF((OutputTable[GroupByKey]=OutputTable[[#This Row],[GroupByKey]]),(OutputTable[GroupByKey]=OutputTable[[#This Row],[GroupByKey]])*OutputTable[RecordedValue])),0)</f>
        <v>3.7794993563454127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80" s="5" cm="1">
        <f t="array" ref="O80">MIN(IF((OutputTable[GroupByKey]=OutputTable[[#This Row],[GroupByKey]]),(OutputTable[GroupByKey]=OutputTable[[#This Row],[GroupByKey]])*OutputTable[RecordedValue]))</f>
        <v>99</v>
      </c>
      <c r="P80" s="5" cm="1">
        <f t="array" ref="P80">MAX(IF((OutputTable[GroupByKey]=OutputTable[[#This Row],[GroupByKey]]),(OutputTable[GroupByKey]=OutputTable[[#This Row],[GroupByKey]])*OutputTable[RecordedValue]))</f>
        <v>114</v>
      </c>
    </row>
    <row r="81" spans="1:16" x14ac:dyDescent="0.35">
      <c r="A81" t="s">
        <v>66</v>
      </c>
      <c r="B81" t="s">
        <v>69</v>
      </c>
      <c r="C81">
        <v>12</v>
      </c>
      <c r="D81" t="s">
        <v>101</v>
      </c>
      <c r="E81" t="s">
        <v>102</v>
      </c>
      <c r="F81" t="s">
        <v>88</v>
      </c>
      <c r="G81">
        <v>50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49.1</v>
      </c>
      <c r="L81" s="5" cm="1">
        <f t="array" ref="L81">IFERROR(_xlfn.STDEV.S(IF((OutputTable[GroupByKey]=OutputTable[[#This Row],[GroupByKey]]),(OutputTable[GroupByKey]=OutputTable[[#This Row],[GroupByKey]])*OutputTable[RecordedValue])),0)</f>
        <v>1.0076629473115577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81" s="5" cm="1">
        <f t="array" ref="O81">MIN(IF((OutputTable[GroupByKey]=OutputTable[[#This Row],[GroupByKey]]),(OutputTable[GroupByKey]=OutputTable[[#This Row],[GroupByKey]])*OutputTable[RecordedValue]))</f>
        <v>47</v>
      </c>
      <c r="P81" s="5" cm="1">
        <f t="array" ref="P81">MAX(IF((OutputTable[GroupByKey]=OutputTable[[#This Row],[GroupByKey]]),(OutputTable[GroupByKey]=OutputTable[[#This Row],[GroupByKey]])*OutputTable[RecordedValue]))</f>
        <v>51</v>
      </c>
    </row>
    <row r="82" spans="1:16" x14ac:dyDescent="0.35">
      <c r="A82" t="s">
        <v>66</v>
      </c>
      <c r="B82" t="s">
        <v>69</v>
      </c>
      <c r="C82">
        <v>12</v>
      </c>
      <c r="D82" t="s">
        <v>103</v>
      </c>
      <c r="E82" t="s">
        <v>104</v>
      </c>
      <c r="F82" t="s">
        <v>88</v>
      </c>
      <c r="G82">
        <v>0.86809216029482905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0.87901029902009642</v>
      </c>
      <c r="L82" s="5" cm="1">
        <f t="array" ref="L82">IFERROR(_xlfn.STDEV.S(IF((OutputTable[GroupByKey]=OutputTable[[#This Row],[GroupByKey]]),(OutputTable[GroupByKey]=OutputTable[[#This Row],[GroupByKey]])*OutputTable[RecordedValue])),0)</f>
        <v>6.4041892088461561E-2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82" s="5" cm="1">
        <f t="array" ref="O82">MIN(IF((OutputTable[GroupByKey]=OutputTable[[#This Row],[GroupByKey]]),(OutputTable[GroupByKey]=OutputTable[[#This Row],[GroupByKey]])*OutputTable[RecordedValue]))</f>
        <v>0.71791407599347101</v>
      </c>
      <c r="P82" s="5" cm="1">
        <f t="array" ref="P82">MAX(IF((OutputTable[GroupByKey]=OutputTable[[#This Row],[GroupByKey]]),(OutputTable[GroupByKey]=OutputTable[[#This Row],[GroupByKey]])*OutputTable[RecordedValue]))</f>
        <v>0.96105910626671998</v>
      </c>
    </row>
    <row r="83" spans="1:16" x14ac:dyDescent="0.35">
      <c r="A83" t="s">
        <v>66</v>
      </c>
      <c r="B83" t="s">
        <v>69</v>
      </c>
      <c r="C83">
        <v>12</v>
      </c>
      <c r="D83" t="s">
        <v>105</v>
      </c>
      <c r="E83" t="s">
        <v>102</v>
      </c>
      <c r="F83" t="s">
        <v>88</v>
      </c>
      <c r="G83">
        <v>86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85.7</v>
      </c>
      <c r="L83" s="5" cm="1">
        <f t="array" ref="L83">IFERROR(_xlfn.STDEV.S(IF((OutputTable[GroupByKey]=OutputTable[[#This Row],[GroupByKey]]),(OutputTable[GroupByKey]=OutputTable[[#This Row],[GroupByKey]])*OutputTable[RecordedValue])),0)</f>
        <v>2.0902705014496981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83" s="5" cm="1">
        <f t="array" ref="O83">MIN(IF((OutputTable[GroupByKey]=OutputTable[[#This Row],[GroupByKey]]),(OutputTable[GroupByKey]=OutputTable[[#This Row],[GroupByKey]])*OutputTable[RecordedValue]))</f>
        <v>82</v>
      </c>
      <c r="P83" s="5" cm="1">
        <f t="array" ref="P83">MAX(IF((OutputTable[GroupByKey]=OutputTable[[#This Row],[GroupByKey]]),(OutputTable[GroupByKey]=OutputTable[[#This Row],[GroupByKey]])*OutputTable[RecordedValue]))</f>
        <v>90</v>
      </c>
    </row>
    <row r="84" spans="1:16" x14ac:dyDescent="0.35">
      <c r="A84" t="s">
        <v>66</v>
      </c>
      <c r="B84" t="s">
        <v>69</v>
      </c>
      <c r="C84">
        <v>12</v>
      </c>
      <c r="D84" t="s">
        <v>106</v>
      </c>
      <c r="E84" t="s">
        <v>104</v>
      </c>
      <c r="F84" t="s">
        <v>88</v>
      </c>
      <c r="G84">
        <v>0.96612864085926897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0.97764323127952735</v>
      </c>
      <c r="L84" s="5" cm="1">
        <f t="array" ref="L84">IFERROR(_xlfn.STDEV.S(IF((OutputTable[GroupByKey]=OutputTable[[#This Row],[GroupByKey]]),(OutputTable[GroupByKey]=OutputTable[[#This Row],[GroupByKey]])*OutputTable[RecordedValue])),0)</f>
        <v>2.0318152206087455E-2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84" s="5" cm="1">
        <f t="array" ref="O84">MIN(IF((OutputTable[GroupByKey]=OutputTable[[#This Row],[GroupByKey]]),(OutputTable[GroupByKey]=OutputTable[[#This Row],[GroupByKey]])*OutputTable[RecordedValue]))</f>
        <v>0.92631153500444496</v>
      </c>
      <c r="P84" s="5" cm="1">
        <f t="array" ref="P84">MAX(IF((OutputTable[GroupByKey]=OutputTable[[#This Row],[GroupByKey]]),(OutputTable[GroupByKey]=OutputTable[[#This Row],[GroupByKey]])*OutputTable[RecordedValue]))</f>
        <v>0.99913603041501298</v>
      </c>
    </row>
    <row r="85" spans="1:16" x14ac:dyDescent="0.35">
      <c r="A85" t="s">
        <v>66</v>
      </c>
      <c r="B85" t="s">
        <v>69</v>
      </c>
      <c r="C85">
        <v>12</v>
      </c>
      <c r="D85" t="s">
        <v>107</v>
      </c>
      <c r="E85" t="s">
        <v>100</v>
      </c>
      <c r="F85" t="s">
        <v>108</v>
      </c>
      <c r="G85">
        <v>68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66.25</v>
      </c>
      <c r="L85" s="5" cm="1">
        <f t="array" ref="L85">IFERROR(_xlfn.STDEV.S(IF((OutputTable[GroupByKey]=OutputTable[[#This Row],[GroupByKey]]),(OutputTable[GroupByKey]=OutputTable[[#This Row],[GroupByKey]])*OutputTable[RecordedValue])),0)</f>
        <v>3.0780446673755359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85" s="5" cm="1">
        <f t="array" ref="O85">MIN(IF((OutputTable[GroupByKey]=OutputTable[[#This Row],[GroupByKey]]),(OutputTable[GroupByKey]=OutputTable[[#This Row],[GroupByKey]])*OutputTable[RecordedValue]))</f>
        <v>60</v>
      </c>
      <c r="P85" s="5" cm="1">
        <f t="array" ref="P85">MAX(IF((OutputTable[GroupByKey]=OutputTable[[#This Row],[GroupByKey]]),(OutputTable[GroupByKey]=OutputTable[[#This Row],[GroupByKey]])*OutputTable[RecordedValue]))</f>
        <v>73</v>
      </c>
    </row>
    <row r="86" spans="1:16" x14ac:dyDescent="0.35">
      <c r="A86" t="s">
        <v>66</v>
      </c>
      <c r="B86" t="s">
        <v>69</v>
      </c>
      <c r="C86">
        <v>13</v>
      </c>
      <c r="D86" t="s">
        <v>97</v>
      </c>
      <c r="E86" t="s">
        <v>98</v>
      </c>
      <c r="F86" t="s">
        <v>76</v>
      </c>
      <c r="G86">
        <v>149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154.65</v>
      </c>
      <c r="L86" s="5" cm="1">
        <f t="array" ref="L86">IFERROR(_xlfn.STDEV.S(IF((OutputTable[GroupByKey]=OutputTable[[#This Row],[GroupByKey]]),(OutputTable[GroupByKey]=OutputTable[[#This Row],[GroupByKey]])*OutputTable[RecordedValue])),0)</f>
        <v>14.193805077008156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86" s="5" cm="1">
        <f t="array" ref="O86">MIN(IF((OutputTable[GroupByKey]=OutputTable[[#This Row],[GroupByKey]]),(OutputTable[GroupByKey]=OutputTable[[#This Row],[GroupByKey]])*OutputTable[RecordedValue]))</f>
        <v>128</v>
      </c>
      <c r="P86" s="5" cm="1">
        <f t="array" ref="P86">MAX(IF((OutputTable[GroupByKey]=OutputTable[[#This Row],[GroupByKey]]),(OutputTable[GroupByKey]=OutputTable[[#This Row],[GroupByKey]])*OutputTable[RecordedValue]))</f>
        <v>181</v>
      </c>
    </row>
    <row r="87" spans="1:16" x14ac:dyDescent="0.35">
      <c r="A87" t="s">
        <v>66</v>
      </c>
      <c r="B87" t="s">
        <v>69</v>
      </c>
      <c r="C87">
        <v>13</v>
      </c>
      <c r="D87" t="s">
        <v>99</v>
      </c>
      <c r="E87" t="s">
        <v>100</v>
      </c>
      <c r="F87" t="s">
        <v>76</v>
      </c>
      <c r="G87">
        <v>109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105.35</v>
      </c>
      <c r="L87" s="5" cm="1">
        <f t="array" ref="L87">IFERROR(_xlfn.STDEV.S(IF((OutputTable[GroupByKey]=OutputTable[[#This Row],[GroupByKey]]),(OutputTable[GroupByKey]=OutputTable[[#This Row],[GroupByKey]])*OutputTable[RecordedValue])),0)</f>
        <v>3.7794993563454127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87" s="5" cm="1">
        <f t="array" ref="O87">MIN(IF((OutputTable[GroupByKey]=OutputTable[[#This Row],[GroupByKey]]),(OutputTable[GroupByKey]=OutputTable[[#This Row],[GroupByKey]])*OutputTable[RecordedValue]))</f>
        <v>99</v>
      </c>
      <c r="P87" s="5" cm="1">
        <f t="array" ref="P87">MAX(IF((OutputTable[GroupByKey]=OutputTable[[#This Row],[GroupByKey]]),(OutputTable[GroupByKey]=OutputTable[[#This Row],[GroupByKey]])*OutputTable[RecordedValue]))</f>
        <v>114</v>
      </c>
    </row>
    <row r="88" spans="1:16" x14ac:dyDescent="0.35">
      <c r="A88" t="s">
        <v>66</v>
      </c>
      <c r="B88" t="s">
        <v>69</v>
      </c>
      <c r="C88">
        <v>13</v>
      </c>
      <c r="D88" t="s">
        <v>101</v>
      </c>
      <c r="E88" t="s">
        <v>102</v>
      </c>
      <c r="F88" t="s">
        <v>88</v>
      </c>
      <c r="G88">
        <v>50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49.1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1.0076629473115577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88" s="5" cm="1">
        <f t="array" ref="O88">MIN(IF((OutputTable[GroupByKey]=OutputTable[[#This Row],[GroupByKey]]),(OutputTable[GroupByKey]=OutputTable[[#This Row],[GroupByKey]])*OutputTable[RecordedValue]))</f>
        <v>47</v>
      </c>
      <c r="P88" s="5" cm="1">
        <f t="array" ref="P88">MAX(IF((OutputTable[GroupByKey]=OutputTable[[#This Row],[GroupByKey]]),(OutputTable[GroupByKey]=OutputTable[[#This Row],[GroupByKey]])*OutputTable[RecordedValue]))</f>
        <v>51</v>
      </c>
    </row>
    <row r="89" spans="1:16" x14ac:dyDescent="0.35">
      <c r="A89" t="s">
        <v>66</v>
      </c>
      <c r="B89" t="s">
        <v>69</v>
      </c>
      <c r="C89">
        <v>13</v>
      </c>
      <c r="D89" t="s">
        <v>103</v>
      </c>
      <c r="E89" t="s">
        <v>104</v>
      </c>
      <c r="F89" t="s">
        <v>88</v>
      </c>
      <c r="G89">
        <v>0.92792877896591597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0.87901029902009642</v>
      </c>
      <c r="L89" s="5" cm="1">
        <f t="array" ref="L89">IFERROR(_xlfn.STDEV.S(IF((OutputTable[GroupByKey]=OutputTable[[#This Row],[GroupByKey]]),(OutputTable[GroupByKey]=OutputTable[[#This Row],[GroupByKey]])*OutputTable[RecordedValue])),0)</f>
        <v>6.4041892088461561E-2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89" s="5" cm="1">
        <f t="array" ref="O89">MIN(IF((OutputTable[GroupByKey]=OutputTable[[#This Row],[GroupByKey]]),(OutputTable[GroupByKey]=OutputTable[[#This Row],[GroupByKey]])*OutputTable[RecordedValue]))</f>
        <v>0.71791407599347101</v>
      </c>
      <c r="P89" s="5" cm="1">
        <f t="array" ref="P89">MAX(IF((OutputTable[GroupByKey]=OutputTable[[#This Row],[GroupByKey]]),(OutputTable[GroupByKey]=OutputTable[[#This Row],[GroupByKey]])*OutputTable[RecordedValue]))</f>
        <v>0.96105910626671998</v>
      </c>
    </row>
    <row r="90" spans="1:16" x14ac:dyDescent="0.35">
      <c r="A90" t="s">
        <v>66</v>
      </c>
      <c r="B90" t="s">
        <v>69</v>
      </c>
      <c r="C90">
        <v>13</v>
      </c>
      <c r="D90" t="s">
        <v>105</v>
      </c>
      <c r="E90" t="s">
        <v>102</v>
      </c>
      <c r="F90" t="s">
        <v>88</v>
      </c>
      <c r="G90">
        <v>88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85.7</v>
      </c>
      <c r="L90" s="5" cm="1">
        <f t="array" ref="L90">IFERROR(_xlfn.STDEV.S(IF((OutputTable[GroupByKey]=OutputTable[[#This Row],[GroupByKey]]),(OutputTable[GroupByKey]=OutputTable[[#This Row],[GroupByKey]])*OutputTable[RecordedValue])),0)</f>
        <v>2.0902705014496981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90" s="5" cm="1">
        <f t="array" ref="O90">MIN(IF((OutputTable[GroupByKey]=OutputTable[[#This Row],[GroupByKey]]),(OutputTable[GroupByKey]=OutputTable[[#This Row],[GroupByKey]])*OutputTable[RecordedValue]))</f>
        <v>82</v>
      </c>
      <c r="P90" s="5" cm="1">
        <f t="array" ref="P90">MAX(IF((OutputTable[GroupByKey]=OutputTable[[#This Row],[GroupByKey]]),(OutputTable[GroupByKey]=OutputTable[[#This Row],[GroupByKey]])*OutputTable[RecordedValue]))</f>
        <v>90</v>
      </c>
    </row>
    <row r="91" spans="1:16" x14ac:dyDescent="0.35">
      <c r="A91" t="s">
        <v>66</v>
      </c>
      <c r="B91" t="s">
        <v>69</v>
      </c>
      <c r="C91">
        <v>13</v>
      </c>
      <c r="D91" t="s">
        <v>106</v>
      </c>
      <c r="E91" t="s">
        <v>104</v>
      </c>
      <c r="F91" t="s">
        <v>88</v>
      </c>
      <c r="G91">
        <v>0.98841331928457399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0.97764323127952735</v>
      </c>
      <c r="L91" s="5" cm="1">
        <f t="array" ref="L91">IFERROR(_xlfn.STDEV.S(IF((OutputTable[GroupByKey]=OutputTable[[#This Row],[GroupByKey]]),(OutputTable[GroupByKey]=OutputTable[[#This Row],[GroupByKey]])*OutputTable[RecordedValue])),0)</f>
        <v>2.0318152206087455E-2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91" s="5" cm="1">
        <f t="array" ref="O91">MIN(IF((OutputTable[GroupByKey]=OutputTable[[#This Row],[GroupByKey]]),(OutputTable[GroupByKey]=OutputTable[[#This Row],[GroupByKey]])*OutputTable[RecordedValue]))</f>
        <v>0.92631153500444496</v>
      </c>
      <c r="P91" s="5" cm="1">
        <f t="array" ref="P91">MAX(IF((OutputTable[GroupByKey]=OutputTable[[#This Row],[GroupByKey]]),(OutputTable[GroupByKey]=OutputTable[[#This Row],[GroupByKey]])*OutputTable[RecordedValue]))</f>
        <v>0.99913603041501298</v>
      </c>
    </row>
    <row r="92" spans="1:16" x14ac:dyDescent="0.35">
      <c r="A92" t="s">
        <v>66</v>
      </c>
      <c r="B92" t="s">
        <v>69</v>
      </c>
      <c r="C92">
        <v>13</v>
      </c>
      <c r="D92" t="s">
        <v>107</v>
      </c>
      <c r="E92" t="s">
        <v>100</v>
      </c>
      <c r="F92" t="s">
        <v>108</v>
      </c>
      <c r="G92">
        <v>69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66.25</v>
      </c>
      <c r="L92" s="5" cm="1">
        <f t="array" ref="L92">IFERROR(_xlfn.STDEV.S(IF((OutputTable[GroupByKey]=OutputTable[[#This Row],[GroupByKey]]),(OutputTable[GroupByKey]=OutputTable[[#This Row],[GroupByKey]])*OutputTable[RecordedValue])),0)</f>
        <v>3.0780446673755359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92" s="5" cm="1">
        <f t="array" ref="O92">MIN(IF((OutputTable[GroupByKey]=OutputTable[[#This Row],[GroupByKey]]),(OutputTable[GroupByKey]=OutputTable[[#This Row],[GroupByKey]])*OutputTable[RecordedValue]))</f>
        <v>60</v>
      </c>
      <c r="P92" s="5" cm="1">
        <f t="array" ref="P92">MAX(IF((OutputTable[GroupByKey]=OutputTable[[#This Row],[GroupByKey]]),(OutputTable[GroupByKey]=OutputTable[[#This Row],[GroupByKey]])*OutputTable[RecordedValue]))</f>
        <v>73</v>
      </c>
    </row>
    <row r="93" spans="1:16" x14ac:dyDescent="0.35">
      <c r="A93" t="s">
        <v>66</v>
      </c>
      <c r="B93" t="s">
        <v>69</v>
      </c>
      <c r="C93">
        <v>14</v>
      </c>
      <c r="D93" t="s">
        <v>97</v>
      </c>
      <c r="E93" t="s">
        <v>98</v>
      </c>
      <c r="F93" t="s">
        <v>76</v>
      </c>
      <c r="G93">
        <v>160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ProjectCliente.NumberInNumber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154.65</v>
      </c>
      <c r="L93" s="5" cm="1">
        <f t="array" ref="L93">IFERROR(_xlfn.STDEV.S(IF((OutputTable[GroupByKey]=OutputTable[[#This Row],[GroupByKey]]),(OutputTable[GroupByKey]=OutputTable[[#This Row],[GroupByKey]])*OutputTable[RecordedValue])),0)</f>
        <v>14.193805077008156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93" s="5" cm="1">
        <f t="array" ref="O93">MIN(IF((OutputTable[GroupByKey]=OutputTable[[#This Row],[GroupByKey]]),(OutputTable[GroupByKey]=OutputTable[[#This Row],[GroupByKey]])*OutputTable[RecordedValue]))</f>
        <v>128</v>
      </c>
      <c r="P93" s="5" cm="1">
        <f t="array" ref="P93">MAX(IF((OutputTable[GroupByKey]=OutputTable[[#This Row],[GroupByKey]]),(OutputTable[GroupByKey]=OutputTable[[#This Row],[GroupByKey]])*OutputTable[RecordedValue]))</f>
        <v>181</v>
      </c>
    </row>
    <row r="94" spans="1:16" x14ac:dyDescent="0.35">
      <c r="A94" t="s">
        <v>66</v>
      </c>
      <c r="B94" t="s">
        <v>69</v>
      </c>
      <c r="C94">
        <v>14</v>
      </c>
      <c r="D94" t="s">
        <v>99</v>
      </c>
      <c r="E94" t="s">
        <v>100</v>
      </c>
      <c r="F94" t="s">
        <v>76</v>
      </c>
      <c r="G94">
        <v>110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ProjectCliente.NumberOutNumber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105.35</v>
      </c>
      <c r="L94" s="5" cm="1">
        <f t="array" ref="L94">IFERROR(_xlfn.STDEV.S(IF((OutputTable[GroupByKey]=OutputTable[[#This Row],[GroupByKey]]),(OutputTable[GroupByKey]=OutputTable[[#This Row],[GroupByKey]])*OutputTable[RecordedValue])),0)</f>
        <v>3.7794993563454127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94" s="5" cm="1">
        <f t="array" ref="O94">MIN(IF((OutputTable[GroupByKey]=OutputTable[[#This Row],[GroupByKey]]),(OutputTable[GroupByKey]=OutputTable[[#This Row],[GroupByKey]])*OutputTable[RecordedValue]))</f>
        <v>99</v>
      </c>
      <c r="P94" s="5" cm="1">
        <f t="array" ref="P94">MAX(IF((OutputTable[GroupByKey]=OutputTable[[#This Row],[GroupByKey]]),(OutputTable[GroupByKey]=OutputTable[[#This Row],[GroupByKey]])*OutputTable[RecordedValue]))</f>
        <v>114</v>
      </c>
    </row>
    <row r="95" spans="1:16" x14ac:dyDescent="0.35">
      <c r="A95" t="s">
        <v>66</v>
      </c>
      <c r="B95" t="s">
        <v>69</v>
      </c>
      <c r="C95">
        <v>14</v>
      </c>
      <c r="D95" t="s">
        <v>101</v>
      </c>
      <c r="E95" t="s">
        <v>102</v>
      </c>
      <c r="F95" t="s">
        <v>88</v>
      </c>
      <c r="G95">
        <v>51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49.1</v>
      </c>
      <c r="L95" s="5" cm="1">
        <f t="array" ref="L95">IFERROR(_xlfn.STDEV.S(IF((OutputTable[GroupByKey]=OutputTable[[#This Row],[GroupByKey]]),(OutputTable[GroupByKey]=OutputTable[[#This Row],[GroupByKey]])*OutputTable[RecordedValue])),0)</f>
        <v>1.0076629473115577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95" s="5" cm="1">
        <f t="array" ref="O95">MIN(IF((OutputTable[GroupByKey]=OutputTable[[#This Row],[GroupByKey]]),(OutputTable[GroupByKey]=OutputTable[[#This Row],[GroupByKey]])*OutputTable[RecordedValue]))</f>
        <v>47</v>
      </c>
      <c r="P95" s="5" cm="1">
        <f t="array" ref="P95">MAX(IF((OutputTable[GroupByKey]=OutputTable[[#This Row],[GroupByKey]]),(OutputTable[GroupByKey]=OutputTable[[#This Row],[GroupByKey]])*OutputTable[RecordedValue]))</f>
        <v>51</v>
      </c>
    </row>
    <row r="96" spans="1:16" x14ac:dyDescent="0.35">
      <c r="A96" t="s">
        <v>66</v>
      </c>
      <c r="B96" t="s">
        <v>69</v>
      </c>
      <c r="C96">
        <v>14</v>
      </c>
      <c r="D96" t="s">
        <v>103</v>
      </c>
      <c r="E96" t="s">
        <v>104</v>
      </c>
      <c r="F96" t="s">
        <v>88</v>
      </c>
      <c r="G96">
        <v>0.923452614515896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0.87901029902009642</v>
      </c>
      <c r="L96" s="5" cm="1">
        <f t="array" ref="L96">IFERROR(_xlfn.STDEV.S(IF((OutputTable[GroupByKey]=OutputTable[[#This Row],[GroupByKey]]),(OutputTable[GroupByKey]=OutputTable[[#This Row],[GroupByKey]])*OutputTable[RecordedValue])),0)</f>
        <v>6.4041892088461561E-2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96" s="5" cm="1">
        <f t="array" ref="O96">MIN(IF((OutputTable[GroupByKey]=OutputTable[[#This Row],[GroupByKey]]),(OutputTable[GroupByKey]=OutputTable[[#This Row],[GroupByKey]])*OutputTable[RecordedValue]))</f>
        <v>0.71791407599347101</v>
      </c>
      <c r="P96" s="5" cm="1">
        <f t="array" ref="P96">MAX(IF((OutputTable[GroupByKey]=OutputTable[[#This Row],[GroupByKey]]),(OutputTable[GroupByKey]=OutputTable[[#This Row],[GroupByKey]])*OutputTable[RecordedValue]))</f>
        <v>0.96105910626671998</v>
      </c>
    </row>
    <row r="97" spans="1:16" x14ac:dyDescent="0.35">
      <c r="A97" t="s">
        <v>66</v>
      </c>
      <c r="B97" t="s">
        <v>69</v>
      </c>
      <c r="C97">
        <v>14</v>
      </c>
      <c r="D97" t="s">
        <v>105</v>
      </c>
      <c r="E97" t="s">
        <v>102</v>
      </c>
      <c r="F97" t="s">
        <v>88</v>
      </c>
      <c r="G97">
        <v>90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85.7</v>
      </c>
      <c r="L97" s="5" cm="1">
        <f t="array" ref="L97">IFERROR(_xlfn.STDEV.S(IF((OutputTable[GroupByKey]=OutputTable[[#This Row],[GroupByKey]]),(OutputTable[GroupByKey]=OutputTable[[#This Row],[GroupByKey]])*OutputTable[RecordedValue])),0)</f>
        <v>2.0902705014496981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97" s="5" cm="1">
        <f t="array" ref="O97">MIN(IF((OutputTable[GroupByKey]=OutputTable[[#This Row],[GroupByKey]]),(OutputTable[GroupByKey]=OutputTable[[#This Row],[GroupByKey]])*OutputTable[RecordedValue]))</f>
        <v>82</v>
      </c>
      <c r="P97" s="5" cm="1">
        <f t="array" ref="P97">MAX(IF((OutputTable[GroupByKey]=OutputTable[[#This Row],[GroupByKey]]),(OutputTable[GroupByKey]=OutputTable[[#This Row],[GroupByKey]])*OutputTable[RecordedValue]))</f>
        <v>90</v>
      </c>
    </row>
    <row r="98" spans="1:16" x14ac:dyDescent="0.35">
      <c r="A98" t="s">
        <v>66</v>
      </c>
      <c r="B98" t="s">
        <v>69</v>
      </c>
      <c r="C98">
        <v>14</v>
      </c>
      <c r="D98" t="s">
        <v>106</v>
      </c>
      <c r="E98" t="s">
        <v>104</v>
      </c>
      <c r="F98" t="s">
        <v>88</v>
      </c>
      <c r="G98">
        <v>0.99778565974547695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0.97764323127952735</v>
      </c>
      <c r="L98" s="5" cm="1">
        <f t="array" ref="L98">IFERROR(_xlfn.STDEV.S(IF((OutputTable[GroupByKey]=OutputTable[[#This Row],[GroupByKey]]),(OutputTable[GroupByKey]=OutputTable[[#This Row],[GroupByKey]])*OutputTable[RecordedValue])),0)</f>
        <v>2.0318152206087455E-2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98" s="5" cm="1">
        <f t="array" ref="O98">MIN(IF((OutputTable[GroupByKey]=OutputTable[[#This Row],[GroupByKey]]),(OutputTable[GroupByKey]=OutputTable[[#This Row],[GroupByKey]])*OutputTable[RecordedValue]))</f>
        <v>0.92631153500444496</v>
      </c>
      <c r="P98" s="5" cm="1">
        <f t="array" ref="P98">MAX(IF((OutputTable[GroupByKey]=OutputTable[[#This Row],[GroupByKey]]),(OutputTable[GroupByKey]=OutputTable[[#This Row],[GroupByKey]])*OutputTable[RecordedValue]))</f>
        <v>0.99913603041501298</v>
      </c>
    </row>
    <row r="99" spans="1:16" x14ac:dyDescent="0.35">
      <c r="A99" t="s">
        <v>66</v>
      </c>
      <c r="B99" t="s">
        <v>69</v>
      </c>
      <c r="C99">
        <v>14</v>
      </c>
      <c r="D99" t="s">
        <v>107</v>
      </c>
      <c r="E99" t="s">
        <v>100</v>
      </c>
      <c r="F99" t="s">
        <v>108</v>
      </c>
      <c r="G99">
        <v>69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66.25</v>
      </c>
      <c r="L99" s="5" cm="1">
        <f t="array" ref="L99">IFERROR(_xlfn.STDEV.S(IF((OutputTable[GroupByKey]=OutputTable[[#This Row],[GroupByKey]]),(OutputTable[GroupByKey]=OutputTable[[#This Row],[GroupByKey]])*OutputTable[RecordedValue])),0)</f>
        <v>3.0780446673755359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99" s="5" cm="1">
        <f t="array" ref="O99">MIN(IF((OutputTable[GroupByKey]=OutputTable[[#This Row],[GroupByKey]]),(OutputTable[GroupByKey]=OutputTable[[#This Row],[GroupByKey]])*OutputTable[RecordedValue]))</f>
        <v>60</v>
      </c>
      <c r="P99" s="5" cm="1">
        <f t="array" ref="P99">MAX(IF((OutputTable[GroupByKey]=OutputTable[[#This Row],[GroupByKey]]),(OutputTable[GroupByKey]=OutputTable[[#This Row],[GroupByKey]])*OutputTable[RecordedValue]))</f>
        <v>73</v>
      </c>
    </row>
    <row r="100" spans="1:16" x14ac:dyDescent="0.35">
      <c r="A100" t="s">
        <v>66</v>
      </c>
      <c r="B100" t="s">
        <v>69</v>
      </c>
      <c r="C100">
        <v>15</v>
      </c>
      <c r="D100" t="s">
        <v>97</v>
      </c>
      <c r="E100" t="s">
        <v>98</v>
      </c>
      <c r="F100" t="s">
        <v>76</v>
      </c>
      <c r="G100">
        <v>137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ProjectCliente.NumberInNumber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154.65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14.193805077008156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00" s="5" cm="1">
        <f t="array" ref="O100">MIN(IF((OutputTable[GroupByKey]=OutputTable[[#This Row],[GroupByKey]]),(OutputTable[GroupByKey]=OutputTable[[#This Row],[GroupByKey]])*OutputTable[RecordedValue]))</f>
        <v>128</v>
      </c>
      <c r="P100" s="5" cm="1">
        <f t="array" ref="P100">MAX(IF((OutputTable[GroupByKey]=OutputTable[[#This Row],[GroupByKey]]),(OutputTable[GroupByKey]=OutputTable[[#This Row],[GroupByKey]])*OutputTable[RecordedValue]))</f>
        <v>181</v>
      </c>
    </row>
    <row r="101" spans="1:16" x14ac:dyDescent="0.35">
      <c r="A101" t="s">
        <v>66</v>
      </c>
      <c r="B101" t="s">
        <v>69</v>
      </c>
      <c r="C101">
        <v>15</v>
      </c>
      <c r="D101" t="s">
        <v>99</v>
      </c>
      <c r="E101" t="s">
        <v>100</v>
      </c>
      <c r="F101" t="s">
        <v>76</v>
      </c>
      <c r="G101">
        <v>99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ProjectCliente.NumberOutNumber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105.35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3.7794993563454127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01" s="5" cm="1">
        <f t="array" ref="O101">MIN(IF((OutputTable[GroupByKey]=OutputTable[[#This Row],[GroupByKey]]),(OutputTable[GroupByKey]=OutputTable[[#This Row],[GroupByKey]])*OutputTable[RecordedValue]))</f>
        <v>99</v>
      </c>
      <c r="P101" s="5" cm="1">
        <f t="array" ref="P101">MAX(IF((OutputTable[GroupByKey]=OutputTable[[#This Row],[GroupByKey]]),(OutputTable[GroupByKey]=OutputTable[[#This Row],[GroupByKey]])*OutputTable[RecordedValue]))</f>
        <v>114</v>
      </c>
    </row>
    <row r="102" spans="1:16" x14ac:dyDescent="0.35">
      <c r="A102" t="s">
        <v>66</v>
      </c>
      <c r="B102" t="s">
        <v>69</v>
      </c>
      <c r="C102">
        <v>15</v>
      </c>
      <c r="D102" t="s">
        <v>101</v>
      </c>
      <c r="E102" t="s">
        <v>102</v>
      </c>
      <c r="F102" t="s">
        <v>88</v>
      </c>
      <c r="G102">
        <v>48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49.1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1.0076629473115577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02" s="5" cm="1">
        <f t="array" ref="O102">MIN(IF((OutputTable[GroupByKey]=OutputTable[[#This Row],[GroupByKey]]),(OutputTable[GroupByKey]=OutputTable[[#This Row],[GroupByKey]])*OutputTable[RecordedValue]))</f>
        <v>47</v>
      </c>
      <c r="P102" s="5" cm="1">
        <f t="array" ref="P102">MAX(IF((OutputTable[GroupByKey]=OutputTable[[#This Row],[GroupByKey]]),(OutputTable[GroupByKey]=OutputTable[[#This Row],[GroupByKey]])*OutputTable[RecordedValue]))</f>
        <v>51</v>
      </c>
    </row>
    <row r="103" spans="1:16" x14ac:dyDescent="0.35">
      <c r="A103" t="s">
        <v>66</v>
      </c>
      <c r="B103" t="s">
        <v>69</v>
      </c>
      <c r="C103">
        <v>15</v>
      </c>
      <c r="D103" t="s">
        <v>103</v>
      </c>
      <c r="E103" t="s">
        <v>104</v>
      </c>
      <c r="F103" t="s">
        <v>88</v>
      </c>
      <c r="G103">
        <v>0.77176902178137796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0.87901029902009642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6.4041892088461561E-2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03" s="5" cm="1">
        <f t="array" ref="O103">MIN(IF((OutputTable[GroupByKey]=OutputTable[[#This Row],[GroupByKey]]),(OutputTable[GroupByKey]=OutputTable[[#This Row],[GroupByKey]])*OutputTable[RecordedValue]))</f>
        <v>0.71791407599347101</v>
      </c>
      <c r="P103" s="5" cm="1">
        <f t="array" ref="P103">MAX(IF((OutputTable[GroupByKey]=OutputTable[[#This Row],[GroupByKey]]),(OutputTable[GroupByKey]=OutputTable[[#This Row],[GroupByKey]])*OutputTable[RecordedValue]))</f>
        <v>0.96105910626671998</v>
      </c>
    </row>
    <row r="104" spans="1:16" x14ac:dyDescent="0.35">
      <c r="A104" t="s">
        <v>66</v>
      </c>
      <c r="B104" t="s">
        <v>69</v>
      </c>
      <c r="C104">
        <v>15</v>
      </c>
      <c r="D104" t="s">
        <v>105</v>
      </c>
      <c r="E104" t="s">
        <v>102</v>
      </c>
      <c r="F104" t="s">
        <v>88</v>
      </c>
      <c r="G104">
        <v>82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85.7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2.0902705014496981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04" s="5" cm="1">
        <f t="array" ref="O104">MIN(IF((OutputTable[GroupByKey]=OutputTable[[#This Row],[GroupByKey]]),(OutputTable[GroupByKey]=OutputTable[[#This Row],[GroupByKey]])*OutputTable[RecordedValue]))</f>
        <v>82</v>
      </c>
      <c r="P104" s="5" cm="1">
        <f t="array" ref="P104">MAX(IF((OutputTable[GroupByKey]=OutputTable[[#This Row],[GroupByKey]]),(OutputTable[GroupByKey]=OutputTable[[#This Row],[GroupByKey]])*OutputTable[RecordedValue]))</f>
        <v>90</v>
      </c>
    </row>
    <row r="105" spans="1:16" x14ac:dyDescent="0.35">
      <c r="A105" t="s">
        <v>66</v>
      </c>
      <c r="B105" t="s">
        <v>69</v>
      </c>
      <c r="C105">
        <v>15</v>
      </c>
      <c r="D105" t="s">
        <v>106</v>
      </c>
      <c r="E105" t="s">
        <v>104</v>
      </c>
      <c r="F105" t="s">
        <v>88</v>
      </c>
      <c r="G105">
        <v>0.92732957491889501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0.97764323127952735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2.0318152206087455E-2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05" s="5" cm="1">
        <f t="array" ref="O105">MIN(IF((OutputTable[GroupByKey]=OutputTable[[#This Row],[GroupByKey]]),(OutputTable[GroupByKey]=OutputTable[[#This Row],[GroupByKey]])*OutputTable[RecordedValue]))</f>
        <v>0.92631153500444496</v>
      </c>
      <c r="P105" s="5" cm="1">
        <f t="array" ref="P105">MAX(IF((OutputTable[GroupByKey]=OutputTable[[#This Row],[GroupByKey]]),(OutputTable[GroupByKey]=OutputTable[[#This Row],[GroupByKey]])*OutputTable[RecordedValue]))</f>
        <v>0.99913603041501298</v>
      </c>
    </row>
    <row r="106" spans="1:16" x14ac:dyDescent="0.35">
      <c r="A106" t="s">
        <v>66</v>
      </c>
      <c r="B106" t="s">
        <v>69</v>
      </c>
      <c r="C106">
        <v>15</v>
      </c>
      <c r="D106" t="s">
        <v>107</v>
      </c>
      <c r="E106" t="s">
        <v>100</v>
      </c>
      <c r="F106" t="s">
        <v>108</v>
      </c>
      <c r="G106">
        <v>61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66.25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3.0780446673755359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06" s="5" cm="1">
        <f t="array" ref="O106">MIN(IF((OutputTable[GroupByKey]=OutputTable[[#This Row],[GroupByKey]]),(OutputTable[GroupByKey]=OutputTable[[#This Row],[GroupByKey]])*OutputTable[RecordedValue]))</f>
        <v>60</v>
      </c>
      <c r="P106" s="5" cm="1">
        <f t="array" ref="P106">MAX(IF((OutputTable[GroupByKey]=OutputTable[[#This Row],[GroupByKey]]),(OutputTable[GroupByKey]=OutputTable[[#This Row],[GroupByKey]])*OutputTable[RecordedValue]))</f>
        <v>73</v>
      </c>
    </row>
    <row r="107" spans="1:16" x14ac:dyDescent="0.35">
      <c r="A107" t="s">
        <v>66</v>
      </c>
      <c r="B107" t="s">
        <v>69</v>
      </c>
      <c r="C107">
        <v>16</v>
      </c>
      <c r="D107" t="s">
        <v>97</v>
      </c>
      <c r="E107" t="s">
        <v>98</v>
      </c>
      <c r="F107" t="s">
        <v>76</v>
      </c>
      <c r="G107">
        <v>164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154.65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14.193805077008156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07" s="5" cm="1">
        <f t="array" ref="O107">MIN(IF((OutputTable[GroupByKey]=OutputTable[[#This Row],[GroupByKey]]),(OutputTable[GroupByKey]=OutputTable[[#This Row],[GroupByKey]])*OutputTable[RecordedValue]))</f>
        <v>128</v>
      </c>
      <c r="P107" s="5" cm="1">
        <f t="array" ref="P107">MAX(IF((OutputTable[GroupByKey]=OutputTable[[#This Row],[GroupByKey]]),(OutputTable[GroupByKey]=OutputTable[[#This Row],[GroupByKey]])*OutputTable[RecordedValue]))</f>
        <v>181</v>
      </c>
    </row>
    <row r="108" spans="1:16" x14ac:dyDescent="0.35">
      <c r="A108" t="s">
        <v>66</v>
      </c>
      <c r="B108" t="s">
        <v>69</v>
      </c>
      <c r="C108">
        <v>16</v>
      </c>
      <c r="D108" t="s">
        <v>99</v>
      </c>
      <c r="E108" t="s">
        <v>100</v>
      </c>
      <c r="F108" t="s">
        <v>76</v>
      </c>
      <c r="G108">
        <v>102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105.35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3.7794993563454127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08" s="5" cm="1">
        <f t="array" ref="O108">MIN(IF((OutputTable[GroupByKey]=OutputTable[[#This Row],[GroupByKey]]),(OutputTable[GroupByKey]=OutputTable[[#This Row],[GroupByKey]])*OutputTable[RecordedValue]))</f>
        <v>99</v>
      </c>
      <c r="P108" s="5" cm="1">
        <f t="array" ref="P108">MAX(IF((OutputTable[GroupByKey]=OutputTable[[#This Row],[GroupByKey]]),(OutputTable[GroupByKey]=OutputTable[[#This Row],[GroupByKey]])*OutputTable[RecordedValue]))</f>
        <v>114</v>
      </c>
    </row>
    <row r="109" spans="1:16" x14ac:dyDescent="0.35">
      <c r="A109" t="s">
        <v>66</v>
      </c>
      <c r="B109" t="s">
        <v>69</v>
      </c>
      <c r="C109">
        <v>16</v>
      </c>
      <c r="D109" t="s">
        <v>101</v>
      </c>
      <c r="E109" t="s">
        <v>102</v>
      </c>
      <c r="F109" t="s">
        <v>88</v>
      </c>
      <c r="G109">
        <v>49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49.1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1.0076629473115577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09" s="5" cm="1">
        <f t="array" ref="O109">MIN(IF((OutputTable[GroupByKey]=OutputTable[[#This Row],[GroupByKey]]),(OutputTable[GroupByKey]=OutputTable[[#This Row],[GroupByKey]])*OutputTable[RecordedValue]))</f>
        <v>47</v>
      </c>
      <c r="P109" s="5" cm="1">
        <f t="array" ref="P109">MAX(IF((OutputTable[GroupByKey]=OutputTable[[#This Row],[GroupByKey]]),(OutputTable[GroupByKey]=OutputTable[[#This Row],[GroupByKey]])*OutputTable[RecordedValue]))</f>
        <v>51</v>
      </c>
    </row>
    <row r="110" spans="1:16" x14ac:dyDescent="0.35">
      <c r="A110" t="s">
        <v>66</v>
      </c>
      <c r="B110" t="s">
        <v>69</v>
      </c>
      <c r="C110">
        <v>16</v>
      </c>
      <c r="D110" t="s">
        <v>103</v>
      </c>
      <c r="E110" t="s">
        <v>104</v>
      </c>
      <c r="F110" t="s">
        <v>88</v>
      </c>
      <c r="G110">
        <v>0.96105910626671998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0.87901029902009642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6.4041892088461561E-2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10" s="5" cm="1">
        <f t="array" ref="O110">MIN(IF((OutputTable[GroupByKey]=OutputTable[[#This Row],[GroupByKey]]),(OutputTable[GroupByKey]=OutputTable[[#This Row],[GroupByKey]])*OutputTable[RecordedValue]))</f>
        <v>0.71791407599347101</v>
      </c>
      <c r="P110" s="5" cm="1">
        <f t="array" ref="P110">MAX(IF((OutputTable[GroupByKey]=OutputTable[[#This Row],[GroupByKey]]),(OutputTable[GroupByKey]=OutputTable[[#This Row],[GroupByKey]])*OutputTable[RecordedValue]))</f>
        <v>0.96105910626671998</v>
      </c>
    </row>
    <row r="111" spans="1:16" x14ac:dyDescent="0.35">
      <c r="A111" t="s">
        <v>66</v>
      </c>
      <c r="B111" t="s">
        <v>69</v>
      </c>
      <c r="C111">
        <v>16</v>
      </c>
      <c r="D111" t="s">
        <v>105</v>
      </c>
      <c r="E111" t="s">
        <v>102</v>
      </c>
      <c r="F111" t="s">
        <v>88</v>
      </c>
      <c r="G111">
        <v>86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85.7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2.0902705014496981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11" s="5" cm="1">
        <f t="array" ref="O111">MIN(IF((OutputTable[GroupByKey]=OutputTable[[#This Row],[GroupByKey]]),(OutputTable[GroupByKey]=OutputTable[[#This Row],[GroupByKey]])*OutputTable[RecordedValue]))</f>
        <v>82</v>
      </c>
      <c r="P111" s="5" cm="1">
        <f t="array" ref="P111">MAX(IF((OutputTable[GroupByKey]=OutputTable[[#This Row],[GroupByKey]]),(OutputTable[GroupByKey]=OutputTable[[#This Row],[GroupByKey]])*OutputTable[RecordedValue]))</f>
        <v>90</v>
      </c>
    </row>
    <row r="112" spans="1:16" x14ac:dyDescent="0.35">
      <c r="A112" t="s">
        <v>66</v>
      </c>
      <c r="B112" t="s">
        <v>69</v>
      </c>
      <c r="C112">
        <v>16</v>
      </c>
      <c r="D112" t="s">
        <v>106</v>
      </c>
      <c r="E112" t="s">
        <v>104</v>
      </c>
      <c r="F112" t="s">
        <v>88</v>
      </c>
      <c r="G112">
        <v>0.99866787210596297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0.97764323127952735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2.0318152206087455E-2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12" s="5" cm="1">
        <f t="array" ref="O112">MIN(IF((OutputTable[GroupByKey]=OutputTable[[#This Row],[GroupByKey]]),(OutputTable[GroupByKey]=OutputTable[[#This Row],[GroupByKey]])*OutputTable[RecordedValue]))</f>
        <v>0.92631153500444496</v>
      </c>
      <c r="P112" s="5" cm="1">
        <f t="array" ref="P112">MAX(IF((OutputTable[GroupByKey]=OutputTable[[#This Row],[GroupByKey]]),(OutputTable[GroupByKey]=OutputTable[[#This Row],[GroupByKey]])*OutputTable[RecordedValue]))</f>
        <v>0.99913603041501298</v>
      </c>
    </row>
    <row r="113" spans="1:16" x14ac:dyDescent="0.35">
      <c r="A113" t="s">
        <v>66</v>
      </c>
      <c r="B113" t="s">
        <v>69</v>
      </c>
      <c r="C113">
        <v>16</v>
      </c>
      <c r="D113" t="s">
        <v>107</v>
      </c>
      <c r="E113" t="s">
        <v>100</v>
      </c>
      <c r="F113" t="s">
        <v>108</v>
      </c>
      <c r="G113">
        <v>63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66.25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3.0780446673755359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13" s="5" cm="1">
        <f t="array" ref="O113">MIN(IF((OutputTable[GroupByKey]=OutputTable[[#This Row],[GroupByKey]]),(OutputTable[GroupByKey]=OutputTable[[#This Row],[GroupByKey]])*OutputTable[RecordedValue]))</f>
        <v>60</v>
      </c>
      <c r="P113" s="5" cm="1">
        <f t="array" ref="P113">MAX(IF((OutputTable[GroupByKey]=OutputTable[[#This Row],[GroupByKey]]),(OutputTable[GroupByKey]=OutputTable[[#This Row],[GroupByKey]])*OutputTable[RecordedValue]))</f>
        <v>73</v>
      </c>
    </row>
    <row r="114" spans="1:16" x14ac:dyDescent="0.35">
      <c r="A114" t="s">
        <v>66</v>
      </c>
      <c r="B114" t="s">
        <v>69</v>
      </c>
      <c r="C114">
        <v>17</v>
      </c>
      <c r="D114" t="s">
        <v>97</v>
      </c>
      <c r="E114" t="s">
        <v>98</v>
      </c>
      <c r="F114" t="s">
        <v>76</v>
      </c>
      <c r="G114">
        <v>136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ProjectCliente.NumberInNumber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154.65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14.193805077008156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14" s="5" cm="1">
        <f t="array" ref="O114">MIN(IF((OutputTable[GroupByKey]=OutputTable[[#This Row],[GroupByKey]]),(OutputTable[GroupByKey]=OutputTable[[#This Row],[GroupByKey]])*OutputTable[RecordedValue]))</f>
        <v>128</v>
      </c>
      <c r="P114" s="5" cm="1">
        <f t="array" ref="P114">MAX(IF((OutputTable[GroupByKey]=OutputTable[[#This Row],[GroupByKey]]),(OutputTable[GroupByKey]=OutputTable[[#This Row],[GroupByKey]])*OutputTable[RecordedValue]))</f>
        <v>181</v>
      </c>
    </row>
    <row r="115" spans="1:16" x14ac:dyDescent="0.35">
      <c r="A115" t="s">
        <v>66</v>
      </c>
      <c r="B115" t="s">
        <v>69</v>
      </c>
      <c r="C115">
        <v>17</v>
      </c>
      <c r="D115" t="s">
        <v>99</v>
      </c>
      <c r="E115" t="s">
        <v>100</v>
      </c>
      <c r="F115" t="s">
        <v>76</v>
      </c>
      <c r="G115">
        <v>100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ProjectCliente.NumberOutNumber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105.35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3.7794993563454127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15" s="5" cm="1">
        <f t="array" ref="O115">MIN(IF((OutputTable[GroupByKey]=OutputTable[[#This Row],[GroupByKey]]),(OutputTable[GroupByKey]=OutputTable[[#This Row],[GroupByKey]])*OutputTable[RecordedValue]))</f>
        <v>99</v>
      </c>
      <c r="P115" s="5" cm="1">
        <f t="array" ref="P115">MAX(IF((OutputTable[GroupByKey]=OutputTable[[#This Row],[GroupByKey]]),(OutputTable[GroupByKey]=OutputTable[[#This Row],[GroupByKey]])*OutputTable[RecordedValue]))</f>
        <v>114</v>
      </c>
    </row>
    <row r="116" spans="1:16" x14ac:dyDescent="0.35">
      <c r="A116" t="s">
        <v>66</v>
      </c>
      <c r="B116" t="s">
        <v>69</v>
      </c>
      <c r="C116">
        <v>17</v>
      </c>
      <c r="D116" t="s">
        <v>101</v>
      </c>
      <c r="E116" t="s">
        <v>102</v>
      </c>
      <c r="F116" t="s">
        <v>88</v>
      </c>
      <c r="G116">
        <v>47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49.1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1.0076629473115577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16" s="5" cm="1">
        <f t="array" ref="O116">MIN(IF((OutputTable[GroupByKey]=OutputTable[[#This Row],[GroupByKey]]),(OutputTable[GroupByKey]=OutputTable[[#This Row],[GroupByKey]])*OutputTable[RecordedValue]))</f>
        <v>47</v>
      </c>
      <c r="P116" s="5" cm="1">
        <f t="array" ref="P116">MAX(IF((OutputTable[GroupByKey]=OutputTable[[#This Row],[GroupByKey]]),(OutputTable[GroupByKey]=OutputTable[[#This Row],[GroupByKey]])*OutputTable[RecordedValue]))</f>
        <v>51</v>
      </c>
    </row>
    <row r="117" spans="1:16" x14ac:dyDescent="0.35">
      <c r="A117" t="s">
        <v>66</v>
      </c>
      <c r="B117" t="s">
        <v>69</v>
      </c>
      <c r="C117">
        <v>17</v>
      </c>
      <c r="D117" t="s">
        <v>103</v>
      </c>
      <c r="E117" t="s">
        <v>104</v>
      </c>
      <c r="F117" t="s">
        <v>88</v>
      </c>
      <c r="G117">
        <v>0.79339628671155604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0.87901029902009642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6.4041892088461561E-2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17" s="5" cm="1">
        <f t="array" ref="O117">MIN(IF((OutputTable[GroupByKey]=OutputTable[[#This Row],[GroupByKey]]),(OutputTable[GroupByKey]=OutputTable[[#This Row],[GroupByKey]])*OutputTable[RecordedValue]))</f>
        <v>0.71791407599347101</v>
      </c>
      <c r="P117" s="5" cm="1">
        <f t="array" ref="P117">MAX(IF((OutputTable[GroupByKey]=OutputTable[[#This Row],[GroupByKey]]),(OutputTable[GroupByKey]=OutputTable[[#This Row],[GroupByKey]])*OutputTable[RecordedValue]))</f>
        <v>0.96105910626671998</v>
      </c>
    </row>
    <row r="118" spans="1:16" x14ac:dyDescent="0.35">
      <c r="A118" t="s">
        <v>66</v>
      </c>
      <c r="B118" t="s">
        <v>69</v>
      </c>
      <c r="C118">
        <v>17</v>
      </c>
      <c r="D118" t="s">
        <v>105</v>
      </c>
      <c r="E118" t="s">
        <v>102</v>
      </c>
      <c r="F118" t="s">
        <v>88</v>
      </c>
      <c r="G118">
        <v>82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85.7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2.0902705014496981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18" s="5" cm="1">
        <f t="array" ref="O118">MIN(IF((OutputTable[GroupByKey]=OutputTable[[#This Row],[GroupByKey]]),(OutputTable[GroupByKey]=OutputTable[[#This Row],[GroupByKey]])*OutputTable[RecordedValue]))</f>
        <v>82</v>
      </c>
      <c r="P118" s="5" cm="1">
        <f t="array" ref="P118">MAX(IF((OutputTable[GroupByKey]=OutputTable[[#This Row],[GroupByKey]]),(OutputTable[GroupByKey]=OutputTable[[#This Row],[GroupByKey]])*OutputTable[RecordedValue]))</f>
        <v>90</v>
      </c>
    </row>
    <row r="119" spans="1:16" x14ac:dyDescent="0.35">
      <c r="A119" t="s">
        <v>66</v>
      </c>
      <c r="B119" t="s">
        <v>69</v>
      </c>
      <c r="C119">
        <v>17</v>
      </c>
      <c r="D119" t="s">
        <v>106</v>
      </c>
      <c r="E119" t="s">
        <v>104</v>
      </c>
      <c r="F119" t="s">
        <v>88</v>
      </c>
      <c r="G119">
        <v>0.92631153500444496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0.97764323127952735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2.0318152206087455E-2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19" s="5" cm="1">
        <f t="array" ref="O119">MIN(IF((OutputTable[GroupByKey]=OutputTable[[#This Row],[GroupByKey]]),(OutputTable[GroupByKey]=OutputTable[[#This Row],[GroupByKey]])*OutputTable[RecordedValue]))</f>
        <v>0.92631153500444496</v>
      </c>
      <c r="P119" s="5" cm="1">
        <f t="array" ref="P119">MAX(IF((OutputTable[GroupByKey]=OutputTable[[#This Row],[GroupByKey]]),(OutputTable[GroupByKey]=OutputTable[[#This Row],[GroupByKey]])*OutputTable[RecordedValue]))</f>
        <v>0.99913603041501298</v>
      </c>
    </row>
    <row r="120" spans="1:16" x14ac:dyDescent="0.35">
      <c r="A120" t="s">
        <v>66</v>
      </c>
      <c r="B120" t="s">
        <v>69</v>
      </c>
      <c r="C120">
        <v>17</v>
      </c>
      <c r="D120" t="s">
        <v>107</v>
      </c>
      <c r="E120" t="s">
        <v>100</v>
      </c>
      <c r="F120" t="s">
        <v>108</v>
      </c>
      <c r="G120">
        <v>63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66.25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3.0780446673755359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20" s="5" cm="1">
        <f t="array" ref="O120">MIN(IF((OutputTable[GroupByKey]=OutputTable[[#This Row],[GroupByKey]]),(OutputTable[GroupByKey]=OutputTable[[#This Row],[GroupByKey]])*OutputTable[RecordedValue]))</f>
        <v>60</v>
      </c>
      <c r="P120" s="5" cm="1">
        <f t="array" ref="P120">MAX(IF((OutputTable[GroupByKey]=OutputTable[[#This Row],[GroupByKey]]),(OutputTable[GroupByKey]=OutputTable[[#This Row],[GroupByKey]])*OutputTable[RecordedValue]))</f>
        <v>73</v>
      </c>
    </row>
    <row r="121" spans="1:16" x14ac:dyDescent="0.35">
      <c r="A121" t="s">
        <v>66</v>
      </c>
      <c r="B121" t="s">
        <v>69</v>
      </c>
      <c r="C121">
        <v>18</v>
      </c>
      <c r="D121" t="s">
        <v>97</v>
      </c>
      <c r="E121" t="s">
        <v>98</v>
      </c>
      <c r="F121" t="s">
        <v>76</v>
      </c>
      <c r="G121">
        <v>170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ProjectCliente.NumberInNumber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154.65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14.193805077008156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21" s="5" cm="1">
        <f t="array" ref="O121">MIN(IF((OutputTable[GroupByKey]=OutputTable[[#This Row],[GroupByKey]]),(OutputTable[GroupByKey]=OutputTable[[#This Row],[GroupByKey]])*OutputTable[RecordedValue]))</f>
        <v>128</v>
      </c>
      <c r="P121" s="5" cm="1">
        <f t="array" ref="P121">MAX(IF((OutputTable[GroupByKey]=OutputTable[[#This Row],[GroupByKey]]),(OutputTable[GroupByKey]=OutputTable[[#This Row],[GroupByKey]])*OutputTable[RecordedValue]))</f>
        <v>181</v>
      </c>
    </row>
    <row r="122" spans="1:16" x14ac:dyDescent="0.35">
      <c r="A122" t="s">
        <v>66</v>
      </c>
      <c r="B122" t="s">
        <v>69</v>
      </c>
      <c r="C122">
        <v>18</v>
      </c>
      <c r="D122" t="s">
        <v>99</v>
      </c>
      <c r="E122" t="s">
        <v>100</v>
      </c>
      <c r="F122" t="s">
        <v>76</v>
      </c>
      <c r="G122">
        <v>102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ProjectCliente.NumberOutNumber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105.35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3.7794993563454127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22" s="5" cm="1">
        <f t="array" ref="O122">MIN(IF((OutputTable[GroupByKey]=OutputTable[[#This Row],[GroupByKey]]),(OutputTable[GroupByKey]=OutputTable[[#This Row],[GroupByKey]])*OutputTable[RecordedValue]))</f>
        <v>99</v>
      </c>
      <c r="P122" s="5" cm="1">
        <f t="array" ref="P122">MAX(IF((OutputTable[GroupByKey]=OutputTable[[#This Row],[GroupByKey]]),(OutputTable[GroupByKey]=OutputTable[[#This Row],[GroupByKey]])*OutputTable[RecordedValue]))</f>
        <v>114</v>
      </c>
    </row>
    <row r="123" spans="1:16" x14ac:dyDescent="0.35">
      <c r="A123" t="s">
        <v>66</v>
      </c>
      <c r="B123" t="s">
        <v>69</v>
      </c>
      <c r="C123">
        <v>18</v>
      </c>
      <c r="D123" t="s">
        <v>101</v>
      </c>
      <c r="E123" t="s">
        <v>102</v>
      </c>
      <c r="F123" t="s">
        <v>88</v>
      </c>
      <c r="G123">
        <v>48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49.1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1.0076629473115577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23" s="5" cm="1">
        <f t="array" ref="O123">MIN(IF((OutputTable[GroupByKey]=OutputTable[[#This Row],[GroupByKey]]),(OutputTable[GroupByKey]=OutputTable[[#This Row],[GroupByKey]])*OutputTable[RecordedValue]))</f>
        <v>47</v>
      </c>
      <c r="P123" s="5" cm="1">
        <f t="array" ref="P123">MAX(IF((OutputTable[GroupByKey]=OutputTable[[#This Row],[GroupByKey]]),(OutputTable[GroupByKey]=OutputTable[[#This Row],[GroupByKey]])*OutputTable[RecordedValue]))</f>
        <v>51</v>
      </c>
    </row>
    <row r="124" spans="1:16" x14ac:dyDescent="0.35">
      <c r="A124" t="s">
        <v>66</v>
      </c>
      <c r="B124" t="s">
        <v>69</v>
      </c>
      <c r="C124">
        <v>18</v>
      </c>
      <c r="D124" t="s">
        <v>103</v>
      </c>
      <c r="E124" t="s">
        <v>104</v>
      </c>
      <c r="F124" t="s">
        <v>88</v>
      </c>
      <c r="G124">
        <v>0.83923023803388297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0.87901029902009642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6.4041892088461561E-2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24" s="5" cm="1">
        <f t="array" ref="O124">MIN(IF((OutputTable[GroupByKey]=OutputTable[[#This Row],[GroupByKey]]),(OutputTable[GroupByKey]=OutputTable[[#This Row],[GroupByKey]])*OutputTable[RecordedValue]))</f>
        <v>0.71791407599347101</v>
      </c>
      <c r="P124" s="5" cm="1">
        <f t="array" ref="P124">MAX(IF((OutputTable[GroupByKey]=OutputTable[[#This Row],[GroupByKey]]),(OutputTable[GroupByKey]=OutputTable[[#This Row],[GroupByKey]])*OutputTable[RecordedValue]))</f>
        <v>0.96105910626671998</v>
      </c>
    </row>
    <row r="125" spans="1:16" x14ac:dyDescent="0.35">
      <c r="A125" t="s">
        <v>66</v>
      </c>
      <c r="B125" t="s">
        <v>69</v>
      </c>
      <c r="C125">
        <v>18</v>
      </c>
      <c r="D125" t="s">
        <v>105</v>
      </c>
      <c r="E125" t="s">
        <v>102</v>
      </c>
      <c r="F125" t="s">
        <v>88</v>
      </c>
      <c r="G125">
        <v>83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85.7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2.0902705014496981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25" s="5" cm="1">
        <f t="array" ref="O125">MIN(IF((OutputTable[GroupByKey]=OutputTable[[#This Row],[GroupByKey]]),(OutputTable[GroupByKey]=OutputTable[[#This Row],[GroupByKey]])*OutputTable[RecordedValue]))</f>
        <v>82</v>
      </c>
      <c r="P125" s="5" cm="1">
        <f t="array" ref="P125">MAX(IF((OutputTable[GroupByKey]=OutputTable[[#This Row],[GroupByKey]]),(OutputTable[GroupByKey]=OutputTable[[#This Row],[GroupByKey]])*OutputTable[RecordedValue]))</f>
        <v>90</v>
      </c>
    </row>
    <row r="126" spans="1:16" x14ac:dyDescent="0.35">
      <c r="A126" t="s">
        <v>66</v>
      </c>
      <c r="B126" t="s">
        <v>69</v>
      </c>
      <c r="C126">
        <v>18</v>
      </c>
      <c r="D126" t="s">
        <v>106</v>
      </c>
      <c r="E126" t="s">
        <v>104</v>
      </c>
      <c r="F126" t="s">
        <v>88</v>
      </c>
      <c r="G126">
        <v>0.968492111887999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0.97764323127952735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2.0318152206087455E-2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26" s="5" cm="1">
        <f t="array" ref="O126">MIN(IF((OutputTable[GroupByKey]=OutputTable[[#This Row],[GroupByKey]]),(OutputTable[GroupByKey]=OutputTable[[#This Row],[GroupByKey]])*OutputTable[RecordedValue]))</f>
        <v>0.92631153500444496</v>
      </c>
      <c r="P126" s="5" cm="1">
        <f t="array" ref="P126">MAX(IF((OutputTable[GroupByKey]=OutputTable[[#This Row],[GroupByKey]]),(OutputTable[GroupByKey]=OutputTable[[#This Row],[GroupByKey]])*OutputTable[RecordedValue]))</f>
        <v>0.99913603041501298</v>
      </c>
    </row>
    <row r="127" spans="1:16" x14ac:dyDescent="0.35">
      <c r="A127" t="s">
        <v>66</v>
      </c>
      <c r="B127" t="s">
        <v>69</v>
      </c>
      <c r="C127">
        <v>18</v>
      </c>
      <c r="D127" t="s">
        <v>107</v>
      </c>
      <c r="E127" t="s">
        <v>100</v>
      </c>
      <c r="F127" t="s">
        <v>108</v>
      </c>
      <c r="G127">
        <v>64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66.25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3.0780446673755359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27" s="5" cm="1">
        <f t="array" ref="O127">MIN(IF((OutputTable[GroupByKey]=OutputTable[[#This Row],[GroupByKey]]),(OutputTable[GroupByKey]=OutputTable[[#This Row],[GroupByKey]])*OutputTable[RecordedValue]))</f>
        <v>60</v>
      </c>
      <c r="P127" s="5" cm="1">
        <f t="array" ref="P127">MAX(IF((OutputTable[GroupByKey]=OutputTable[[#This Row],[GroupByKey]]),(OutputTable[GroupByKey]=OutputTable[[#This Row],[GroupByKey]])*OutputTable[RecordedValue]))</f>
        <v>73</v>
      </c>
    </row>
    <row r="128" spans="1:16" x14ac:dyDescent="0.35">
      <c r="A128" t="s">
        <v>66</v>
      </c>
      <c r="B128" t="s">
        <v>69</v>
      </c>
      <c r="C128">
        <v>19</v>
      </c>
      <c r="D128" t="s">
        <v>97</v>
      </c>
      <c r="E128" t="s">
        <v>98</v>
      </c>
      <c r="F128" t="s">
        <v>76</v>
      </c>
      <c r="G128">
        <v>156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154.65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14.193805077008156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28" s="5" cm="1">
        <f t="array" ref="O128">MIN(IF((OutputTable[GroupByKey]=OutputTable[[#This Row],[GroupByKey]]),(OutputTable[GroupByKey]=OutputTable[[#This Row],[GroupByKey]])*OutputTable[RecordedValue]))</f>
        <v>128</v>
      </c>
      <c r="P128" s="5" cm="1">
        <f t="array" ref="P128">MAX(IF((OutputTable[GroupByKey]=OutputTable[[#This Row],[GroupByKey]]),(OutputTable[GroupByKey]=OutputTable[[#This Row],[GroupByKey]])*OutputTable[RecordedValue]))</f>
        <v>181</v>
      </c>
    </row>
    <row r="129" spans="1:16" x14ac:dyDescent="0.35">
      <c r="A129" t="s">
        <v>66</v>
      </c>
      <c r="B129" t="s">
        <v>69</v>
      </c>
      <c r="C129">
        <v>19</v>
      </c>
      <c r="D129" t="s">
        <v>99</v>
      </c>
      <c r="E129" t="s">
        <v>100</v>
      </c>
      <c r="F129" t="s">
        <v>76</v>
      </c>
      <c r="G129">
        <v>108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105.35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3.7794993563454127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29" s="5" cm="1">
        <f t="array" ref="O129">MIN(IF((OutputTable[GroupByKey]=OutputTable[[#This Row],[GroupByKey]]),(OutputTable[GroupByKey]=OutputTable[[#This Row],[GroupByKey]])*OutputTable[RecordedValue]))</f>
        <v>99</v>
      </c>
      <c r="P129" s="5" cm="1">
        <f t="array" ref="P129">MAX(IF((OutputTable[GroupByKey]=OutputTable[[#This Row],[GroupByKey]]),(OutputTable[GroupByKey]=OutputTable[[#This Row],[GroupByKey]])*OutputTable[RecordedValue]))</f>
        <v>114</v>
      </c>
    </row>
    <row r="130" spans="1:16" x14ac:dyDescent="0.35">
      <c r="A130" t="s">
        <v>66</v>
      </c>
      <c r="B130" t="s">
        <v>69</v>
      </c>
      <c r="C130">
        <v>19</v>
      </c>
      <c r="D130" t="s">
        <v>101</v>
      </c>
      <c r="E130" t="s">
        <v>102</v>
      </c>
      <c r="F130" t="s">
        <v>88</v>
      </c>
      <c r="G130">
        <v>50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49.1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1.0076629473115577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30" s="5" cm="1">
        <f t="array" ref="O130">MIN(IF((OutputTable[GroupByKey]=OutputTable[[#This Row],[GroupByKey]]),(OutputTable[GroupByKey]=OutputTable[[#This Row],[GroupByKey]])*OutputTable[RecordedValue]))</f>
        <v>47</v>
      </c>
      <c r="P130" s="5" cm="1">
        <f t="array" ref="P130">MAX(IF((OutputTable[GroupByKey]=OutputTable[[#This Row],[GroupByKey]]),(OutputTable[GroupByKey]=OutputTable[[#This Row],[GroupByKey]])*OutputTable[RecordedValue]))</f>
        <v>51</v>
      </c>
    </row>
    <row r="131" spans="1:16" x14ac:dyDescent="0.35">
      <c r="A131" t="s">
        <v>66</v>
      </c>
      <c r="B131" t="s">
        <v>69</v>
      </c>
      <c r="C131">
        <v>19</v>
      </c>
      <c r="D131" t="s">
        <v>103</v>
      </c>
      <c r="E131" t="s">
        <v>104</v>
      </c>
      <c r="F131" t="s">
        <v>88</v>
      </c>
      <c r="G131">
        <v>0.84414760133961497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0.87901029902009642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6.4041892088461561E-2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31" s="5" cm="1">
        <f t="array" ref="O131">MIN(IF((OutputTable[GroupByKey]=OutputTable[[#This Row],[GroupByKey]]),(OutputTable[GroupByKey]=OutputTable[[#This Row],[GroupByKey]])*OutputTable[RecordedValue]))</f>
        <v>0.71791407599347101</v>
      </c>
      <c r="P131" s="5" cm="1">
        <f t="array" ref="P131">MAX(IF((OutputTable[GroupByKey]=OutputTable[[#This Row],[GroupByKey]]),(OutputTable[GroupByKey]=OutputTable[[#This Row],[GroupByKey]])*OutputTable[RecordedValue]))</f>
        <v>0.96105910626671998</v>
      </c>
    </row>
    <row r="132" spans="1:16" x14ac:dyDescent="0.35">
      <c r="A132" t="s">
        <v>66</v>
      </c>
      <c r="B132" t="s">
        <v>69</v>
      </c>
      <c r="C132">
        <v>19</v>
      </c>
      <c r="D132" t="s">
        <v>105</v>
      </c>
      <c r="E132" t="s">
        <v>102</v>
      </c>
      <c r="F132" t="s">
        <v>88</v>
      </c>
      <c r="G132">
        <v>87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85.7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2.0902705014496981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32" s="5" cm="1">
        <f t="array" ref="O132">MIN(IF((OutputTable[GroupByKey]=OutputTable[[#This Row],[GroupByKey]]),(OutputTable[GroupByKey]=OutputTable[[#This Row],[GroupByKey]])*OutputTable[RecordedValue]))</f>
        <v>82</v>
      </c>
      <c r="P132" s="5" cm="1">
        <f t="array" ref="P132">MAX(IF((OutputTable[GroupByKey]=OutputTable[[#This Row],[GroupByKey]]),(OutputTable[GroupByKey]=OutputTable[[#This Row],[GroupByKey]])*OutputTable[RecordedValue]))</f>
        <v>90</v>
      </c>
    </row>
    <row r="133" spans="1:16" x14ac:dyDescent="0.35">
      <c r="A133" t="s">
        <v>66</v>
      </c>
      <c r="B133" t="s">
        <v>69</v>
      </c>
      <c r="C133">
        <v>19</v>
      </c>
      <c r="D133" t="s">
        <v>106</v>
      </c>
      <c r="E133" t="s">
        <v>104</v>
      </c>
      <c r="F133" t="s">
        <v>88</v>
      </c>
      <c r="G133">
        <v>0.99667037070778597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0.97764323127952735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2.0318152206087455E-2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33" s="5" cm="1">
        <f t="array" ref="O133">MIN(IF((OutputTable[GroupByKey]=OutputTable[[#This Row],[GroupByKey]]),(OutputTable[GroupByKey]=OutputTable[[#This Row],[GroupByKey]])*OutputTable[RecordedValue]))</f>
        <v>0.92631153500444496</v>
      </c>
      <c r="P133" s="5" cm="1">
        <f t="array" ref="P133">MAX(IF((OutputTable[GroupByKey]=OutputTable[[#This Row],[GroupByKey]]),(OutputTable[GroupByKey]=OutputTable[[#This Row],[GroupByKey]])*OutputTable[RecordedValue]))</f>
        <v>0.99913603041501298</v>
      </c>
    </row>
    <row r="134" spans="1:16" x14ac:dyDescent="0.35">
      <c r="A134" t="s">
        <v>66</v>
      </c>
      <c r="B134" t="s">
        <v>69</v>
      </c>
      <c r="C134">
        <v>19</v>
      </c>
      <c r="D134" t="s">
        <v>107</v>
      </c>
      <c r="E134" t="s">
        <v>100</v>
      </c>
      <c r="F134" t="s">
        <v>108</v>
      </c>
      <c r="G134">
        <v>68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66.25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3.0780446673755359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34" s="5" cm="1">
        <f t="array" ref="O134">MIN(IF((OutputTable[GroupByKey]=OutputTable[[#This Row],[GroupByKey]]),(OutputTable[GroupByKey]=OutputTable[[#This Row],[GroupByKey]])*OutputTable[RecordedValue]))</f>
        <v>60</v>
      </c>
      <c r="P134" s="5" cm="1">
        <f t="array" ref="P134">MAX(IF((OutputTable[GroupByKey]=OutputTable[[#This Row],[GroupByKey]]),(OutputTable[GroupByKey]=OutputTable[[#This Row],[GroupByKey]])*OutputTable[RecordedValue]))</f>
        <v>73</v>
      </c>
    </row>
    <row r="135" spans="1:16" x14ac:dyDescent="0.35">
      <c r="A135" t="s">
        <v>66</v>
      </c>
      <c r="B135" t="s">
        <v>69</v>
      </c>
      <c r="C135">
        <v>20</v>
      </c>
      <c r="D135" t="s">
        <v>97</v>
      </c>
      <c r="E135" t="s">
        <v>98</v>
      </c>
      <c r="F135" t="s">
        <v>76</v>
      </c>
      <c r="G135">
        <v>173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ProjectCliente.NumberInNumber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154.65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14.193805077008156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35" s="5" cm="1">
        <f t="array" ref="O135">MIN(IF((OutputTable[GroupByKey]=OutputTable[[#This Row],[GroupByKey]]),(OutputTable[GroupByKey]=OutputTable[[#This Row],[GroupByKey]])*OutputTable[RecordedValue]))</f>
        <v>128</v>
      </c>
      <c r="P135" s="5" cm="1">
        <f t="array" ref="P135">MAX(IF((OutputTable[GroupByKey]=OutputTable[[#This Row],[GroupByKey]]),(OutputTable[GroupByKey]=OutputTable[[#This Row],[GroupByKey]])*OutputTable[RecordedValue]))</f>
        <v>181</v>
      </c>
    </row>
    <row r="136" spans="1:16" x14ac:dyDescent="0.35">
      <c r="A136" t="s">
        <v>66</v>
      </c>
      <c r="B136" t="s">
        <v>69</v>
      </c>
      <c r="C136">
        <v>20</v>
      </c>
      <c r="D136" t="s">
        <v>99</v>
      </c>
      <c r="E136" t="s">
        <v>100</v>
      </c>
      <c r="F136" t="s">
        <v>76</v>
      </c>
      <c r="G136">
        <v>109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ProjectCliente.NumberOutNumber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105.35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3.7794993563454127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36" s="5" cm="1">
        <f t="array" ref="O136">MIN(IF((OutputTable[GroupByKey]=OutputTable[[#This Row],[GroupByKey]]),(OutputTable[GroupByKey]=OutputTable[[#This Row],[GroupByKey]])*OutputTable[RecordedValue]))</f>
        <v>99</v>
      </c>
      <c r="P136" s="5" cm="1">
        <f t="array" ref="P136">MAX(IF((OutputTable[GroupByKey]=OutputTable[[#This Row],[GroupByKey]]),(OutputTable[GroupByKey]=OutputTable[[#This Row],[GroupByKey]])*OutputTable[RecordedValue]))</f>
        <v>114</v>
      </c>
    </row>
    <row r="137" spans="1:16" x14ac:dyDescent="0.35">
      <c r="A137" t="s">
        <v>66</v>
      </c>
      <c r="B137" t="s">
        <v>69</v>
      </c>
      <c r="C137">
        <v>20</v>
      </c>
      <c r="D137" t="s">
        <v>101</v>
      </c>
      <c r="E137" t="s">
        <v>102</v>
      </c>
      <c r="F137" t="s">
        <v>88</v>
      </c>
      <c r="G137">
        <v>50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49.1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1.0076629473115577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37" s="5" cm="1">
        <f t="array" ref="O137">MIN(IF((OutputTable[GroupByKey]=OutputTable[[#This Row],[GroupByKey]]),(OutputTable[GroupByKey]=OutputTable[[#This Row],[GroupByKey]])*OutputTable[RecordedValue]))</f>
        <v>47</v>
      </c>
      <c r="P137" s="5" cm="1">
        <f t="array" ref="P137">MAX(IF((OutputTable[GroupByKey]=OutputTable[[#This Row],[GroupByKey]]),(OutputTable[GroupByKey]=OutputTable[[#This Row],[GroupByKey]])*OutputTable[RecordedValue]))</f>
        <v>51</v>
      </c>
    </row>
    <row r="138" spans="1:16" x14ac:dyDescent="0.35">
      <c r="A138" t="s">
        <v>66</v>
      </c>
      <c r="B138" t="s">
        <v>69</v>
      </c>
      <c r="C138">
        <v>20</v>
      </c>
      <c r="D138" t="s">
        <v>103</v>
      </c>
      <c r="E138" t="s">
        <v>104</v>
      </c>
      <c r="F138" t="s">
        <v>88</v>
      </c>
      <c r="G138">
        <v>0.947796582800988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0.87901029902009642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6.4041892088461561E-2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38" s="5" cm="1">
        <f t="array" ref="O138">MIN(IF((OutputTable[GroupByKey]=OutputTable[[#This Row],[GroupByKey]]),(OutputTable[GroupByKey]=OutputTable[[#This Row],[GroupByKey]])*OutputTable[RecordedValue]))</f>
        <v>0.71791407599347101</v>
      </c>
      <c r="P138" s="5" cm="1">
        <f t="array" ref="P138">MAX(IF((OutputTable[GroupByKey]=OutputTable[[#This Row],[GroupByKey]]),(OutputTable[GroupByKey]=OutputTable[[#This Row],[GroupByKey]])*OutputTable[RecordedValue]))</f>
        <v>0.96105910626671998</v>
      </c>
    </row>
    <row r="139" spans="1:16" x14ac:dyDescent="0.35">
      <c r="A139" t="s">
        <v>66</v>
      </c>
      <c r="B139" t="s">
        <v>69</v>
      </c>
      <c r="C139">
        <v>20</v>
      </c>
      <c r="D139" t="s">
        <v>105</v>
      </c>
      <c r="E139" t="s">
        <v>102</v>
      </c>
      <c r="F139" t="s">
        <v>88</v>
      </c>
      <c r="G139">
        <v>88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85.7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2.0902705014496981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39" s="5" cm="1">
        <f t="array" ref="O139">MIN(IF((OutputTable[GroupByKey]=OutputTable[[#This Row],[GroupByKey]]),(OutputTable[GroupByKey]=OutputTable[[#This Row],[GroupByKey]])*OutputTable[RecordedValue]))</f>
        <v>82</v>
      </c>
      <c r="P139" s="5" cm="1">
        <f t="array" ref="P139">MAX(IF((OutputTable[GroupByKey]=OutputTable[[#This Row],[GroupByKey]]),(OutputTable[GroupByKey]=OutputTable[[#This Row],[GroupByKey]])*OutputTable[RecordedValue]))</f>
        <v>90</v>
      </c>
    </row>
    <row r="140" spans="1:16" x14ac:dyDescent="0.35">
      <c r="A140" t="s">
        <v>66</v>
      </c>
      <c r="B140" t="s">
        <v>69</v>
      </c>
      <c r="C140">
        <v>20</v>
      </c>
      <c r="D140" t="s">
        <v>106</v>
      </c>
      <c r="E140" t="s">
        <v>104</v>
      </c>
      <c r="F140" t="s">
        <v>88</v>
      </c>
      <c r="G140">
        <v>0.99511711828987603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0.97764323127952735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2.0318152206087455E-2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40" s="5" cm="1">
        <f t="array" ref="O140">MIN(IF((OutputTable[GroupByKey]=OutputTable[[#This Row],[GroupByKey]]),(OutputTable[GroupByKey]=OutputTable[[#This Row],[GroupByKey]])*OutputTable[RecordedValue]))</f>
        <v>0.92631153500444496</v>
      </c>
      <c r="P140" s="5" cm="1">
        <f t="array" ref="P140">MAX(IF((OutputTable[GroupByKey]=OutputTable[[#This Row],[GroupByKey]]),(OutputTable[GroupByKey]=OutputTable[[#This Row],[GroupByKey]])*OutputTable[RecordedValue]))</f>
        <v>0.99913603041501298</v>
      </c>
    </row>
    <row r="141" spans="1:16" x14ac:dyDescent="0.35">
      <c r="A141" t="s">
        <v>66</v>
      </c>
      <c r="B141" t="s">
        <v>69</v>
      </c>
      <c r="C141">
        <v>20</v>
      </c>
      <c r="D141" t="s">
        <v>107</v>
      </c>
      <c r="E141" t="s">
        <v>100</v>
      </c>
      <c r="F141" t="s">
        <v>108</v>
      </c>
      <c r="G141">
        <v>69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66.25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3.0780446673755359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41" s="5" cm="1">
        <f t="array" ref="O141">MIN(IF((OutputTable[GroupByKey]=OutputTable[[#This Row],[GroupByKey]]),(OutputTable[GroupByKey]=OutputTable[[#This Row],[GroupByKey]])*OutputTable[RecordedValue]))</f>
        <v>60</v>
      </c>
      <c r="P141" s="5" cm="1">
        <f t="array" ref="P141">MAX(IF((OutputTable[GroupByKey]=OutputTable[[#This Row],[GroupByKey]]),(OutputTable[GroupByKey]=OutputTable[[#This Row],[GroupByKey]])*OutputTable[RecordedValue]))</f>
        <v>73</v>
      </c>
    </row>
    <row r="142" spans="1:16" x14ac:dyDescent="0.35">
      <c r="A142" t="s">
        <v>66</v>
      </c>
      <c r="B142" t="s">
        <v>69</v>
      </c>
      <c r="C142">
        <v>21</v>
      </c>
      <c r="D142" t="s">
        <v>97</v>
      </c>
      <c r="E142" t="s">
        <v>98</v>
      </c>
      <c r="F142" t="s">
        <v>76</v>
      </c>
      <c r="G142">
        <v>165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ProjectCliente.NumberInNumber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154.65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14.193805077008156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42" s="5" cm="1">
        <f t="array" ref="O142">MIN(IF((OutputTable[GroupByKey]=OutputTable[[#This Row],[GroupByKey]]),(OutputTable[GroupByKey]=OutputTable[[#This Row],[GroupByKey]])*OutputTable[RecordedValue]))</f>
        <v>128</v>
      </c>
      <c r="P142" s="5" cm="1">
        <f t="array" ref="P142">MAX(IF((OutputTable[GroupByKey]=OutputTable[[#This Row],[GroupByKey]]),(OutputTable[GroupByKey]=OutputTable[[#This Row],[GroupByKey]])*OutputTable[RecordedValue]))</f>
        <v>181</v>
      </c>
    </row>
    <row r="143" spans="1:16" x14ac:dyDescent="0.35">
      <c r="A143" t="s">
        <v>66</v>
      </c>
      <c r="B143" t="s">
        <v>69</v>
      </c>
      <c r="C143">
        <v>21</v>
      </c>
      <c r="D143" t="s">
        <v>99</v>
      </c>
      <c r="E143" t="s">
        <v>100</v>
      </c>
      <c r="F143" t="s">
        <v>76</v>
      </c>
      <c r="G143">
        <v>109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ProjectCliente.NumberOutNumber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105.35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3.7794993563454127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43" s="5" cm="1">
        <f t="array" ref="O143">MIN(IF((OutputTable[GroupByKey]=OutputTable[[#This Row],[GroupByKey]]),(OutputTable[GroupByKey]=OutputTable[[#This Row],[GroupByKey]])*OutputTable[RecordedValue]))</f>
        <v>99</v>
      </c>
      <c r="P143" s="5" cm="1">
        <f t="array" ref="P143">MAX(IF((OutputTable[GroupByKey]=OutputTable[[#This Row],[GroupByKey]]),(OutputTable[GroupByKey]=OutputTable[[#This Row],[GroupByKey]])*OutputTable[RecordedValue]))</f>
        <v>114</v>
      </c>
    </row>
    <row r="144" spans="1:16" x14ac:dyDescent="0.35">
      <c r="A144" t="s">
        <v>66</v>
      </c>
      <c r="B144" t="s">
        <v>69</v>
      </c>
      <c r="C144">
        <v>21</v>
      </c>
      <c r="D144" t="s">
        <v>101</v>
      </c>
      <c r="E144" t="s">
        <v>102</v>
      </c>
      <c r="F144" t="s">
        <v>88</v>
      </c>
      <c r="G144">
        <v>49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49.1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1.0076629473115577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44" s="5" cm="1">
        <f t="array" ref="O144">MIN(IF((OutputTable[GroupByKey]=OutputTable[[#This Row],[GroupByKey]]),(OutputTable[GroupByKey]=OutputTable[[#This Row],[GroupByKey]])*OutputTable[RecordedValue]))</f>
        <v>47</v>
      </c>
      <c r="P144" s="5" cm="1">
        <f t="array" ref="P144">MAX(IF((OutputTable[GroupByKey]=OutputTable[[#This Row],[GroupByKey]]),(OutputTable[GroupByKey]=OutputTable[[#This Row],[GroupByKey]])*OutputTable[RecordedValue]))</f>
        <v>51</v>
      </c>
    </row>
    <row r="145" spans="1:16" x14ac:dyDescent="0.35">
      <c r="A145" t="s">
        <v>66</v>
      </c>
      <c r="B145" t="s">
        <v>69</v>
      </c>
      <c r="C145">
        <v>21</v>
      </c>
      <c r="D145" t="s">
        <v>103</v>
      </c>
      <c r="E145" t="s">
        <v>104</v>
      </c>
      <c r="F145" t="s">
        <v>88</v>
      </c>
      <c r="G145">
        <v>0.87737348793352998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0.87901029902009642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6.4041892088461561E-2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45" s="5" cm="1">
        <f t="array" ref="O145">MIN(IF((OutputTable[GroupByKey]=OutputTable[[#This Row],[GroupByKey]]),(OutputTable[GroupByKey]=OutputTable[[#This Row],[GroupByKey]])*OutputTable[RecordedValue]))</f>
        <v>0.71791407599347101</v>
      </c>
      <c r="P145" s="5" cm="1">
        <f t="array" ref="P145">MAX(IF((OutputTable[GroupByKey]=OutputTable[[#This Row],[GroupByKey]]),(OutputTable[GroupByKey]=OutputTable[[#This Row],[GroupByKey]])*OutputTable[RecordedValue]))</f>
        <v>0.96105910626671998</v>
      </c>
    </row>
    <row r="146" spans="1:16" x14ac:dyDescent="0.35">
      <c r="A146" t="s">
        <v>66</v>
      </c>
      <c r="B146" t="s">
        <v>69</v>
      </c>
      <c r="C146">
        <v>21</v>
      </c>
      <c r="D146" t="s">
        <v>105</v>
      </c>
      <c r="E146" t="s">
        <v>102</v>
      </c>
      <c r="F146" t="s">
        <v>88</v>
      </c>
      <c r="G146">
        <v>86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85.7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2.0902705014496981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46" s="5" cm="1">
        <f t="array" ref="O146">MIN(IF((OutputTable[GroupByKey]=OutputTable[[#This Row],[GroupByKey]]),(OutputTable[GroupByKey]=OutputTable[[#This Row],[GroupByKey]])*OutputTable[RecordedValue]))</f>
        <v>82</v>
      </c>
      <c r="P146" s="5" cm="1">
        <f t="array" ref="P146">MAX(IF((OutputTable[GroupByKey]=OutputTable[[#This Row],[GroupByKey]]),(OutputTable[GroupByKey]=OutputTable[[#This Row],[GroupByKey]])*OutputTable[RecordedValue]))</f>
        <v>90</v>
      </c>
    </row>
    <row r="147" spans="1:16" x14ac:dyDescent="0.35">
      <c r="A147" t="s">
        <v>66</v>
      </c>
      <c r="B147" t="s">
        <v>69</v>
      </c>
      <c r="C147">
        <v>21</v>
      </c>
      <c r="D147" t="s">
        <v>106</v>
      </c>
      <c r="E147" t="s">
        <v>104</v>
      </c>
      <c r="F147" t="s">
        <v>88</v>
      </c>
      <c r="G147">
        <v>0.96721225425113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0.97764323127952735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2.0318152206087455E-2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47" s="5" cm="1">
        <f t="array" ref="O147">MIN(IF((OutputTable[GroupByKey]=OutputTable[[#This Row],[GroupByKey]]),(OutputTable[GroupByKey]=OutputTable[[#This Row],[GroupByKey]])*OutputTable[RecordedValue]))</f>
        <v>0.92631153500444496</v>
      </c>
      <c r="P147" s="5" cm="1">
        <f t="array" ref="P147">MAX(IF((OutputTable[GroupByKey]=OutputTable[[#This Row],[GroupByKey]]),(OutputTable[GroupByKey]=OutputTable[[#This Row],[GroupByKey]])*OutputTable[RecordedValue]))</f>
        <v>0.99913603041501298</v>
      </c>
    </row>
    <row r="148" spans="1:16" x14ac:dyDescent="0.35">
      <c r="A148" t="s">
        <v>66</v>
      </c>
      <c r="B148" t="s">
        <v>69</v>
      </c>
      <c r="C148">
        <v>21</v>
      </c>
      <c r="D148" t="s">
        <v>107</v>
      </c>
      <c r="E148" t="s">
        <v>100</v>
      </c>
      <c r="F148" t="s">
        <v>108</v>
      </c>
      <c r="G148">
        <v>70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66.25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3.0780446673755359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48" s="5" cm="1">
        <f t="array" ref="O148">MIN(IF((OutputTable[GroupByKey]=OutputTable[[#This Row],[GroupByKey]]),(OutputTable[GroupByKey]=OutputTable[[#This Row],[GroupByKey]])*OutputTable[RecordedValue]))</f>
        <v>60</v>
      </c>
      <c r="P148" s="5" cm="1">
        <f t="array" ref="P148">MAX(IF((OutputTable[GroupByKey]=OutputTable[[#This Row],[GroupByKey]]),(OutputTable[GroupByKey]=OutputTable[[#This Row],[GroupByKey]])*OutputTable[RecordedValue]))</f>
        <v>73</v>
      </c>
    </row>
    <row r="149" spans="1:16" x14ac:dyDescent="0.35">
      <c r="A149" t="s">
        <v>66</v>
      </c>
      <c r="B149" t="s">
        <v>69</v>
      </c>
      <c r="C149">
        <v>22</v>
      </c>
      <c r="D149" t="s">
        <v>97</v>
      </c>
      <c r="E149" t="s">
        <v>98</v>
      </c>
      <c r="F149" t="s">
        <v>76</v>
      </c>
      <c r="G149">
        <v>140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154.65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14.193805077008156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49" s="5" cm="1">
        <f t="array" ref="O149">MIN(IF((OutputTable[GroupByKey]=OutputTable[[#This Row],[GroupByKey]]),(OutputTable[GroupByKey]=OutputTable[[#This Row],[GroupByKey]])*OutputTable[RecordedValue]))</f>
        <v>128</v>
      </c>
      <c r="P149" s="5" cm="1">
        <f t="array" ref="P149">MAX(IF((OutputTable[GroupByKey]=OutputTable[[#This Row],[GroupByKey]]),(OutputTable[GroupByKey]=OutputTable[[#This Row],[GroupByKey]])*OutputTable[RecordedValue]))</f>
        <v>181</v>
      </c>
    </row>
    <row r="150" spans="1:16" x14ac:dyDescent="0.35">
      <c r="A150" t="s">
        <v>66</v>
      </c>
      <c r="B150" t="s">
        <v>69</v>
      </c>
      <c r="C150">
        <v>22</v>
      </c>
      <c r="D150" t="s">
        <v>99</v>
      </c>
      <c r="E150" t="s">
        <v>100</v>
      </c>
      <c r="F150" t="s">
        <v>76</v>
      </c>
      <c r="G150">
        <v>102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105.35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3.7794993563454127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50" s="5" cm="1">
        <f t="array" ref="O150">MIN(IF((OutputTable[GroupByKey]=OutputTable[[#This Row],[GroupByKey]]),(OutputTable[GroupByKey]=OutputTable[[#This Row],[GroupByKey]])*OutputTable[RecordedValue]))</f>
        <v>99</v>
      </c>
      <c r="P150" s="5" cm="1">
        <f t="array" ref="P150">MAX(IF((OutputTable[GroupByKey]=OutputTable[[#This Row],[GroupByKey]]),(OutputTable[GroupByKey]=OutputTable[[#This Row],[GroupByKey]])*OutputTable[RecordedValue]))</f>
        <v>114</v>
      </c>
    </row>
    <row r="151" spans="1:16" x14ac:dyDescent="0.35">
      <c r="A151" t="s">
        <v>66</v>
      </c>
      <c r="B151" t="s">
        <v>69</v>
      </c>
      <c r="C151">
        <v>22</v>
      </c>
      <c r="D151" t="s">
        <v>101</v>
      </c>
      <c r="E151" t="s">
        <v>102</v>
      </c>
      <c r="F151" t="s">
        <v>88</v>
      </c>
      <c r="G151">
        <v>49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49.1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1.0076629473115577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51" s="5" cm="1">
        <f t="array" ref="O151">MIN(IF((OutputTable[GroupByKey]=OutputTable[[#This Row],[GroupByKey]]),(OutputTable[GroupByKey]=OutputTable[[#This Row],[GroupByKey]])*OutputTable[RecordedValue]))</f>
        <v>47</v>
      </c>
      <c r="P151" s="5" cm="1">
        <f t="array" ref="P151">MAX(IF((OutputTable[GroupByKey]=OutputTable[[#This Row],[GroupByKey]]),(OutputTable[GroupByKey]=OutputTable[[#This Row],[GroupByKey]])*OutputTable[RecordedValue]))</f>
        <v>51</v>
      </c>
    </row>
    <row r="152" spans="1:16" x14ac:dyDescent="0.35">
      <c r="A152" t="s">
        <v>66</v>
      </c>
      <c r="B152" t="s">
        <v>69</v>
      </c>
      <c r="C152">
        <v>22</v>
      </c>
      <c r="D152" t="s">
        <v>103</v>
      </c>
      <c r="E152" t="s">
        <v>104</v>
      </c>
      <c r="F152" t="s">
        <v>88</v>
      </c>
      <c r="G152">
        <v>0.89377021812152901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0.87901029902009642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6.4041892088461561E-2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52" s="5" cm="1">
        <f t="array" ref="O152">MIN(IF((OutputTable[GroupByKey]=OutputTable[[#This Row],[GroupByKey]]),(OutputTable[GroupByKey]=OutputTable[[#This Row],[GroupByKey]])*OutputTable[RecordedValue]))</f>
        <v>0.71791407599347101</v>
      </c>
      <c r="P152" s="5" cm="1">
        <f t="array" ref="P152">MAX(IF((OutputTable[GroupByKey]=OutputTable[[#This Row],[GroupByKey]]),(OutputTable[GroupByKey]=OutputTable[[#This Row],[GroupByKey]])*OutputTable[RecordedValue]))</f>
        <v>0.96105910626671998</v>
      </c>
    </row>
    <row r="153" spans="1:16" x14ac:dyDescent="0.35">
      <c r="A153" t="s">
        <v>66</v>
      </c>
      <c r="B153" t="s">
        <v>69</v>
      </c>
      <c r="C153">
        <v>22</v>
      </c>
      <c r="D153" t="s">
        <v>105</v>
      </c>
      <c r="E153" t="s">
        <v>102</v>
      </c>
      <c r="F153" t="s">
        <v>88</v>
      </c>
      <c r="G153">
        <v>85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85.7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2.0902705014496981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53" s="5" cm="1">
        <f t="array" ref="O153">MIN(IF((OutputTable[GroupByKey]=OutputTable[[#This Row],[GroupByKey]]),(OutputTable[GroupByKey]=OutputTable[[#This Row],[GroupByKey]])*OutputTable[RecordedValue]))</f>
        <v>82</v>
      </c>
      <c r="P153" s="5" cm="1">
        <f t="array" ref="P153">MAX(IF((OutputTable[GroupByKey]=OutputTable[[#This Row],[GroupByKey]]),(OutputTable[GroupByKey]=OutputTable[[#This Row],[GroupByKey]])*OutputTable[RecordedValue]))</f>
        <v>90</v>
      </c>
    </row>
    <row r="154" spans="1:16" x14ac:dyDescent="0.35">
      <c r="A154" t="s">
        <v>66</v>
      </c>
      <c r="B154" t="s">
        <v>69</v>
      </c>
      <c r="C154">
        <v>22</v>
      </c>
      <c r="D154" t="s">
        <v>106</v>
      </c>
      <c r="E154" t="s">
        <v>104</v>
      </c>
      <c r="F154" t="s">
        <v>88</v>
      </c>
      <c r="G154">
        <v>0.97442223082540902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0.97764323127952735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2.0318152206087455E-2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54" s="5" cm="1">
        <f t="array" ref="O154">MIN(IF((OutputTable[GroupByKey]=OutputTable[[#This Row],[GroupByKey]]),(OutputTable[GroupByKey]=OutputTable[[#This Row],[GroupByKey]])*OutputTable[RecordedValue]))</f>
        <v>0.92631153500444496</v>
      </c>
      <c r="P154" s="5" cm="1">
        <f t="array" ref="P154">MAX(IF((OutputTable[GroupByKey]=OutputTable[[#This Row],[GroupByKey]]),(OutputTable[GroupByKey]=OutputTable[[#This Row],[GroupByKey]])*OutputTable[RecordedValue]))</f>
        <v>0.99913603041501298</v>
      </c>
    </row>
    <row r="155" spans="1:16" x14ac:dyDescent="0.35">
      <c r="A155" t="s">
        <v>66</v>
      </c>
      <c r="B155" t="s">
        <v>69</v>
      </c>
      <c r="C155">
        <v>22</v>
      </c>
      <c r="D155" t="s">
        <v>107</v>
      </c>
      <c r="E155" t="s">
        <v>100</v>
      </c>
      <c r="F155" t="s">
        <v>108</v>
      </c>
      <c r="G155">
        <v>63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66.25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3.0780446673755359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55" s="5" cm="1">
        <f t="array" ref="O155">MIN(IF((OutputTable[GroupByKey]=OutputTable[[#This Row],[GroupByKey]]),(OutputTable[GroupByKey]=OutputTable[[#This Row],[GroupByKey]])*OutputTable[RecordedValue]))</f>
        <v>60</v>
      </c>
      <c r="P155" s="5" cm="1">
        <f t="array" ref="P155">MAX(IF((OutputTable[GroupByKey]=OutputTable[[#This Row],[GroupByKey]]),(OutputTable[GroupByKey]=OutputTable[[#This Row],[GroupByKey]])*OutputTable[RecordedValue]))</f>
        <v>73</v>
      </c>
    </row>
    <row r="156" spans="1:16" x14ac:dyDescent="0.35">
      <c r="A156" t="s">
        <v>66</v>
      </c>
      <c r="B156" t="s">
        <v>69</v>
      </c>
      <c r="C156">
        <v>23</v>
      </c>
      <c r="D156" t="s">
        <v>97</v>
      </c>
      <c r="E156" t="s">
        <v>98</v>
      </c>
      <c r="F156" t="s">
        <v>76</v>
      </c>
      <c r="G156">
        <v>147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ProjectCliente.NumberInNumber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154.65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14.193805077008156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56" s="5" cm="1">
        <f t="array" ref="O156">MIN(IF((OutputTable[GroupByKey]=OutputTable[[#This Row],[GroupByKey]]),(OutputTable[GroupByKey]=OutputTable[[#This Row],[GroupByKey]])*OutputTable[RecordedValue]))</f>
        <v>128</v>
      </c>
      <c r="P156" s="5" cm="1">
        <f t="array" ref="P156">MAX(IF((OutputTable[GroupByKey]=OutputTable[[#This Row],[GroupByKey]]),(OutputTable[GroupByKey]=OutputTable[[#This Row],[GroupByKey]])*OutputTable[RecordedValue]))</f>
        <v>181</v>
      </c>
    </row>
    <row r="157" spans="1:16" x14ac:dyDescent="0.35">
      <c r="A157" t="s">
        <v>66</v>
      </c>
      <c r="B157" t="s">
        <v>69</v>
      </c>
      <c r="C157">
        <v>23</v>
      </c>
      <c r="D157" t="s">
        <v>99</v>
      </c>
      <c r="E157" t="s">
        <v>100</v>
      </c>
      <c r="F157" t="s">
        <v>76</v>
      </c>
      <c r="G157">
        <v>107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ProjectCliente.NumberOutNumber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105.35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3.7794993563454127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57" s="5" cm="1">
        <f t="array" ref="O157">MIN(IF((OutputTable[GroupByKey]=OutputTable[[#This Row],[GroupByKey]]),(OutputTable[GroupByKey]=OutputTable[[#This Row],[GroupByKey]])*OutputTable[RecordedValue]))</f>
        <v>99</v>
      </c>
      <c r="P157" s="5" cm="1">
        <f t="array" ref="P157">MAX(IF((OutputTable[GroupByKey]=OutputTable[[#This Row],[GroupByKey]]),(OutputTable[GroupByKey]=OutputTable[[#This Row],[GroupByKey]])*OutputTable[RecordedValue]))</f>
        <v>114</v>
      </c>
    </row>
    <row r="158" spans="1:16" x14ac:dyDescent="0.35">
      <c r="A158" t="s">
        <v>66</v>
      </c>
      <c r="B158" t="s">
        <v>69</v>
      </c>
      <c r="C158">
        <v>23</v>
      </c>
      <c r="D158" t="s">
        <v>101</v>
      </c>
      <c r="E158" t="s">
        <v>102</v>
      </c>
      <c r="F158" t="s">
        <v>88</v>
      </c>
      <c r="G158">
        <v>49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49.1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1.0076629473115577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58" s="5" cm="1">
        <f t="array" ref="O158">MIN(IF((OutputTable[GroupByKey]=OutputTable[[#This Row],[GroupByKey]]),(OutputTable[GroupByKey]=OutputTable[[#This Row],[GroupByKey]])*OutputTable[RecordedValue]))</f>
        <v>47</v>
      </c>
      <c r="P158" s="5" cm="1">
        <f t="array" ref="P158">MAX(IF((OutputTable[GroupByKey]=OutputTable[[#This Row],[GroupByKey]]),(OutputTable[GroupByKey]=OutputTable[[#This Row],[GroupByKey]])*OutputTable[RecordedValue]))</f>
        <v>51</v>
      </c>
    </row>
    <row r="159" spans="1:16" x14ac:dyDescent="0.35">
      <c r="A159" t="s">
        <v>66</v>
      </c>
      <c r="B159" t="s">
        <v>69</v>
      </c>
      <c r="C159">
        <v>23</v>
      </c>
      <c r="D159" t="s">
        <v>103</v>
      </c>
      <c r="E159" t="s">
        <v>104</v>
      </c>
      <c r="F159" t="s">
        <v>88</v>
      </c>
      <c r="G159">
        <v>0.93679148503709997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0.87901029902009642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6.4041892088461561E-2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59" s="5" cm="1">
        <f t="array" ref="O159">MIN(IF((OutputTable[GroupByKey]=OutputTable[[#This Row],[GroupByKey]]),(OutputTable[GroupByKey]=OutputTable[[#This Row],[GroupByKey]])*OutputTable[RecordedValue]))</f>
        <v>0.71791407599347101</v>
      </c>
      <c r="P159" s="5" cm="1">
        <f t="array" ref="P159">MAX(IF((OutputTable[GroupByKey]=OutputTable[[#This Row],[GroupByKey]]),(OutputTable[GroupByKey]=OutputTable[[#This Row],[GroupByKey]])*OutputTable[RecordedValue]))</f>
        <v>0.96105910626671998</v>
      </c>
    </row>
    <row r="160" spans="1:16" x14ac:dyDescent="0.35">
      <c r="A160" t="s">
        <v>66</v>
      </c>
      <c r="B160" t="s">
        <v>69</v>
      </c>
      <c r="C160">
        <v>23</v>
      </c>
      <c r="D160" t="s">
        <v>105</v>
      </c>
      <c r="E160" t="s">
        <v>102</v>
      </c>
      <c r="F160" t="s">
        <v>88</v>
      </c>
      <c r="G160">
        <v>87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85.7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2.0902705014496981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60" s="5" cm="1">
        <f t="array" ref="O160">MIN(IF((OutputTable[GroupByKey]=OutputTable[[#This Row],[GroupByKey]]),(OutputTable[GroupByKey]=OutputTable[[#This Row],[GroupByKey]])*OutputTable[RecordedValue]))</f>
        <v>82</v>
      </c>
      <c r="P160" s="5" cm="1">
        <f t="array" ref="P160">MAX(IF((OutputTable[GroupByKey]=OutputTable[[#This Row],[GroupByKey]]),(OutputTable[GroupByKey]=OutputTable[[#This Row],[GroupByKey]])*OutputTable[RecordedValue]))</f>
        <v>90</v>
      </c>
    </row>
    <row r="161" spans="1:16" x14ac:dyDescent="0.35">
      <c r="A161" t="s">
        <v>66</v>
      </c>
      <c r="B161" t="s">
        <v>69</v>
      </c>
      <c r="C161">
        <v>23</v>
      </c>
      <c r="D161" t="s">
        <v>106</v>
      </c>
      <c r="E161" t="s">
        <v>104</v>
      </c>
      <c r="F161" t="s">
        <v>88</v>
      </c>
      <c r="G161">
        <v>0.99913603041501298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0.97764323127952735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2.0318152206087455E-2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61" s="5" cm="1">
        <f t="array" ref="O161">MIN(IF((OutputTable[GroupByKey]=OutputTable[[#This Row],[GroupByKey]]),(OutputTable[GroupByKey]=OutputTable[[#This Row],[GroupByKey]])*OutputTable[RecordedValue]))</f>
        <v>0.92631153500444496</v>
      </c>
      <c r="P161" s="5" cm="1">
        <f t="array" ref="P161">MAX(IF((OutputTable[GroupByKey]=OutputTable[[#This Row],[GroupByKey]]),(OutputTable[GroupByKey]=OutputTable[[#This Row],[GroupByKey]])*OutputTable[RecordedValue]))</f>
        <v>0.99913603041501298</v>
      </c>
    </row>
    <row r="162" spans="1:16" x14ac:dyDescent="0.35">
      <c r="A162" t="s">
        <v>66</v>
      </c>
      <c r="B162" t="s">
        <v>69</v>
      </c>
      <c r="C162">
        <v>23</v>
      </c>
      <c r="D162" t="s">
        <v>107</v>
      </c>
      <c r="E162" t="s">
        <v>100</v>
      </c>
      <c r="F162" t="s">
        <v>108</v>
      </c>
      <c r="G162">
        <v>68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66.25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3.0780446673755359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62" s="5" cm="1">
        <f t="array" ref="O162">MIN(IF((OutputTable[GroupByKey]=OutputTable[[#This Row],[GroupByKey]]),(OutputTable[GroupByKey]=OutputTable[[#This Row],[GroupByKey]])*OutputTable[RecordedValue]))</f>
        <v>60</v>
      </c>
      <c r="P162" s="5" cm="1">
        <f t="array" ref="P162">MAX(IF((OutputTable[GroupByKey]=OutputTable[[#This Row],[GroupByKey]]),(OutputTable[GroupByKey]=OutputTable[[#This Row],[GroupByKey]])*OutputTable[RecordedValue]))</f>
        <v>73</v>
      </c>
    </row>
    <row r="163" spans="1:16" x14ac:dyDescent="0.35">
      <c r="A163" t="s">
        <v>66</v>
      </c>
      <c r="B163" t="s">
        <v>69</v>
      </c>
      <c r="C163">
        <v>24</v>
      </c>
      <c r="D163" t="s">
        <v>97</v>
      </c>
      <c r="E163" t="s">
        <v>98</v>
      </c>
      <c r="F163" t="s">
        <v>76</v>
      </c>
      <c r="G163">
        <v>130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ProjectCliente.NumberInNumber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154.65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14.193805077008156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63" s="5" cm="1">
        <f t="array" ref="O163">MIN(IF((OutputTable[GroupByKey]=OutputTable[[#This Row],[GroupByKey]]),(OutputTable[GroupByKey]=OutputTable[[#This Row],[GroupByKey]])*OutputTable[RecordedValue]))</f>
        <v>128</v>
      </c>
      <c r="P163" s="5" cm="1">
        <f t="array" ref="P163">MAX(IF((OutputTable[GroupByKey]=OutputTable[[#This Row],[GroupByKey]]),(OutputTable[GroupByKey]=OutputTable[[#This Row],[GroupByKey]])*OutputTable[RecordedValue]))</f>
        <v>181</v>
      </c>
    </row>
    <row r="164" spans="1:16" x14ac:dyDescent="0.35">
      <c r="A164" t="s">
        <v>66</v>
      </c>
      <c r="B164" t="s">
        <v>69</v>
      </c>
      <c r="C164">
        <v>24</v>
      </c>
      <c r="D164" t="s">
        <v>99</v>
      </c>
      <c r="E164" t="s">
        <v>100</v>
      </c>
      <c r="F164" t="s">
        <v>76</v>
      </c>
      <c r="G164">
        <v>106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ProjectCliente.NumberOutNumber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105.35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3.7794993563454127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64" s="5" cm="1">
        <f t="array" ref="O164">MIN(IF((OutputTable[GroupByKey]=OutputTable[[#This Row],[GroupByKey]]),(OutputTable[GroupByKey]=OutputTable[[#This Row],[GroupByKey]])*OutputTable[RecordedValue]))</f>
        <v>99</v>
      </c>
      <c r="P164" s="5" cm="1">
        <f t="array" ref="P164">MAX(IF((OutputTable[GroupByKey]=OutputTable[[#This Row],[GroupByKey]]),(OutputTable[GroupByKey]=OutputTable[[#This Row],[GroupByKey]])*OutputTable[RecordedValue]))</f>
        <v>114</v>
      </c>
    </row>
    <row r="165" spans="1:16" x14ac:dyDescent="0.35">
      <c r="A165" t="s">
        <v>66</v>
      </c>
      <c r="B165" t="s">
        <v>69</v>
      </c>
      <c r="C165">
        <v>24</v>
      </c>
      <c r="D165" t="s">
        <v>101</v>
      </c>
      <c r="E165" t="s">
        <v>102</v>
      </c>
      <c r="F165" t="s">
        <v>88</v>
      </c>
      <c r="G165">
        <v>49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49.1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1.0076629473115577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65" s="5" cm="1">
        <f t="array" ref="O165">MIN(IF((OutputTable[GroupByKey]=OutputTable[[#This Row],[GroupByKey]]),(OutputTable[GroupByKey]=OutputTable[[#This Row],[GroupByKey]])*OutputTable[RecordedValue]))</f>
        <v>47</v>
      </c>
      <c r="P165" s="5" cm="1">
        <f t="array" ref="P165">MAX(IF((OutputTable[GroupByKey]=OutputTable[[#This Row],[GroupByKey]]),(OutputTable[GroupByKey]=OutputTable[[#This Row],[GroupByKey]])*OutputTable[RecordedValue]))</f>
        <v>51</v>
      </c>
    </row>
    <row r="166" spans="1:16" x14ac:dyDescent="0.35">
      <c r="A166" t="s">
        <v>66</v>
      </c>
      <c r="B166" t="s">
        <v>69</v>
      </c>
      <c r="C166">
        <v>24</v>
      </c>
      <c r="D166" t="s">
        <v>103</v>
      </c>
      <c r="E166" t="s">
        <v>104</v>
      </c>
      <c r="F166" t="s">
        <v>88</v>
      </c>
      <c r="G166">
        <v>0.77364806182628398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0.87901029902009642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6.4041892088461561E-2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66" s="5" cm="1">
        <f t="array" ref="O166">MIN(IF((OutputTable[GroupByKey]=OutputTable[[#This Row],[GroupByKey]]),(OutputTable[GroupByKey]=OutputTable[[#This Row],[GroupByKey]])*OutputTable[RecordedValue]))</f>
        <v>0.71791407599347101</v>
      </c>
      <c r="P166" s="5" cm="1">
        <f t="array" ref="P166">MAX(IF((OutputTable[GroupByKey]=OutputTable[[#This Row],[GroupByKey]]),(OutputTable[GroupByKey]=OutputTable[[#This Row],[GroupByKey]])*OutputTable[RecordedValue]))</f>
        <v>0.96105910626671998</v>
      </c>
    </row>
    <row r="167" spans="1:16" x14ac:dyDescent="0.35">
      <c r="A167" t="s">
        <v>66</v>
      </c>
      <c r="B167" t="s">
        <v>69</v>
      </c>
      <c r="C167">
        <v>24</v>
      </c>
      <c r="D167" t="s">
        <v>105</v>
      </c>
      <c r="E167" t="s">
        <v>102</v>
      </c>
      <c r="F167" t="s">
        <v>88</v>
      </c>
      <c r="G167">
        <v>85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85.7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2.0902705014496981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67" s="5" cm="1">
        <f t="array" ref="O167">MIN(IF((OutputTable[GroupByKey]=OutputTable[[#This Row],[GroupByKey]]),(OutputTable[GroupByKey]=OutputTable[[#This Row],[GroupByKey]])*OutputTable[RecordedValue]))</f>
        <v>82</v>
      </c>
      <c r="P167" s="5" cm="1">
        <f t="array" ref="P167">MAX(IF((OutputTable[GroupByKey]=OutputTable[[#This Row],[GroupByKey]]),(OutputTable[GroupByKey]=OutputTable[[#This Row],[GroupByKey]])*OutputTable[RecordedValue]))</f>
        <v>90</v>
      </c>
    </row>
    <row r="168" spans="1:16" x14ac:dyDescent="0.35">
      <c r="A168" t="s">
        <v>66</v>
      </c>
      <c r="B168" t="s">
        <v>69</v>
      </c>
      <c r="C168">
        <v>24</v>
      </c>
      <c r="D168" t="s">
        <v>106</v>
      </c>
      <c r="E168" t="s">
        <v>104</v>
      </c>
      <c r="F168" t="s">
        <v>88</v>
      </c>
      <c r="G168">
        <v>0.98642314833024702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0.97764323127952735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2.0318152206087455E-2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68" s="5" cm="1">
        <f t="array" ref="O168">MIN(IF((OutputTable[GroupByKey]=OutputTable[[#This Row],[GroupByKey]]),(OutputTable[GroupByKey]=OutputTable[[#This Row],[GroupByKey]])*OutputTable[RecordedValue]))</f>
        <v>0.92631153500444496</v>
      </c>
      <c r="P168" s="5" cm="1">
        <f t="array" ref="P168">MAX(IF((OutputTable[GroupByKey]=OutputTable[[#This Row],[GroupByKey]]),(OutputTable[GroupByKey]=OutputTable[[#This Row],[GroupByKey]])*OutputTable[RecordedValue]))</f>
        <v>0.99913603041501298</v>
      </c>
    </row>
    <row r="169" spans="1:16" x14ac:dyDescent="0.35">
      <c r="A169" t="s">
        <v>66</v>
      </c>
      <c r="B169" t="s">
        <v>69</v>
      </c>
      <c r="C169">
        <v>24</v>
      </c>
      <c r="D169" t="s">
        <v>107</v>
      </c>
      <c r="E169" t="s">
        <v>100</v>
      </c>
      <c r="F169" t="s">
        <v>108</v>
      </c>
      <c r="G169">
        <v>67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66.25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3.0780446673755359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69" s="5" cm="1">
        <f t="array" ref="O169">MIN(IF((OutputTable[GroupByKey]=OutputTable[[#This Row],[GroupByKey]]),(OutputTable[GroupByKey]=OutputTable[[#This Row],[GroupByKey]])*OutputTable[RecordedValue]))</f>
        <v>60</v>
      </c>
      <c r="P169" s="5" cm="1">
        <f t="array" ref="P169">MAX(IF((OutputTable[GroupByKey]=OutputTable[[#This Row],[GroupByKey]]),(OutputTable[GroupByKey]=OutputTable[[#This Row],[GroupByKey]])*OutputTable[RecordedValue]))</f>
        <v>73</v>
      </c>
    </row>
    <row r="170" spans="1:16" x14ac:dyDescent="0.35">
      <c r="A170" t="s">
        <v>66</v>
      </c>
      <c r="B170" t="s">
        <v>69</v>
      </c>
      <c r="C170">
        <v>25</v>
      </c>
      <c r="D170" t="s">
        <v>97</v>
      </c>
      <c r="E170" t="s">
        <v>98</v>
      </c>
      <c r="F170" t="s">
        <v>76</v>
      </c>
      <c r="G170">
        <v>144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154.65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14.193805077008156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70" s="5" cm="1">
        <f t="array" ref="O170">MIN(IF((OutputTable[GroupByKey]=OutputTable[[#This Row],[GroupByKey]]),(OutputTable[GroupByKey]=OutputTable[[#This Row],[GroupByKey]])*OutputTable[RecordedValue]))</f>
        <v>128</v>
      </c>
      <c r="P170" s="5" cm="1">
        <f t="array" ref="P170">MAX(IF((OutputTable[GroupByKey]=OutputTable[[#This Row],[GroupByKey]]),(OutputTable[GroupByKey]=OutputTable[[#This Row],[GroupByKey]])*OutputTable[RecordedValue]))</f>
        <v>181</v>
      </c>
    </row>
    <row r="171" spans="1:16" x14ac:dyDescent="0.35">
      <c r="A171" t="s">
        <v>66</v>
      </c>
      <c r="B171" t="s">
        <v>69</v>
      </c>
      <c r="C171">
        <v>25</v>
      </c>
      <c r="D171" t="s">
        <v>99</v>
      </c>
      <c r="E171" t="s">
        <v>100</v>
      </c>
      <c r="F171" t="s">
        <v>76</v>
      </c>
      <c r="G171">
        <v>108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105.35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3.7794993563454127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71" s="5" cm="1">
        <f t="array" ref="O171">MIN(IF((OutputTable[GroupByKey]=OutputTable[[#This Row],[GroupByKey]]),(OutputTable[GroupByKey]=OutputTable[[#This Row],[GroupByKey]])*OutputTable[RecordedValue]))</f>
        <v>99</v>
      </c>
      <c r="P171" s="5" cm="1">
        <f t="array" ref="P171">MAX(IF((OutputTable[GroupByKey]=OutputTable[[#This Row],[GroupByKey]]),(OutputTable[GroupByKey]=OutputTable[[#This Row],[GroupByKey]])*OutputTable[RecordedValue]))</f>
        <v>114</v>
      </c>
    </row>
    <row r="172" spans="1:16" x14ac:dyDescent="0.35">
      <c r="A172" t="s">
        <v>66</v>
      </c>
      <c r="B172" t="s">
        <v>69</v>
      </c>
      <c r="C172">
        <v>25</v>
      </c>
      <c r="D172" t="s">
        <v>101</v>
      </c>
      <c r="E172" t="s">
        <v>102</v>
      </c>
      <c r="F172" t="s">
        <v>88</v>
      </c>
      <c r="G172">
        <v>49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49.1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1.0076629473115577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72" s="5" cm="1">
        <f t="array" ref="O172">MIN(IF((OutputTable[GroupByKey]=OutputTable[[#This Row],[GroupByKey]]),(OutputTable[GroupByKey]=OutputTable[[#This Row],[GroupByKey]])*OutputTable[RecordedValue]))</f>
        <v>47</v>
      </c>
      <c r="P172" s="5" cm="1">
        <f t="array" ref="P172">MAX(IF((OutputTable[GroupByKey]=OutputTable[[#This Row],[GroupByKey]]),(OutputTable[GroupByKey]=OutputTable[[#This Row],[GroupByKey]])*OutputTable[RecordedValue]))</f>
        <v>51</v>
      </c>
    </row>
    <row r="173" spans="1:16" x14ac:dyDescent="0.35">
      <c r="A173" t="s">
        <v>66</v>
      </c>
      <c r="B173" t="s">
        <v>69</v>
      </c>
      <c r="C173">
        <v>25</v>
      </c>
      <c r="D173" t="s">
        <v>103</v>
      </c>
      <c r="E173" t="s">
        <v>104</v>
      </c>
      <c r="F173" t="s">
        <v>88</v>
      </c>
      <c r="G173">
        <v>0.89710785318111197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0.87901029902009642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6.4041892088461561E-2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73" s="5" cm="1">
        <f t="array" ref="O173">MIN(IF((OutputTable[GroupByKey]=OutputTable[[#This Row],[GroupByKey]]),(OutputTable[GroupByKey]=OutputTable[[#This Row],[GroupByKey]])*OutputTable[RecordedValue]))</f>
        <v>0.71791407599347101</v>
      </c>
      <c r="P173" s="5" cm="1">
        <f t="array" ref="P173">MAX(IF((OutputTable[GroupByKey]=OutputTable[[#This Row],[GroupByKey]]),(OutputTable[GroupByKey]=OutputTable[[#This Row],[GroupByKey]])*OutputTable[RecordedValue]))</f>
        <v>0.96105910626671998</v>
      </c>
    </row>
    <row r="174" spans="1:16" x14ac:dyDescent="0.35">
      <c r="A174" t="s">
        <v>66</v>
      </c>
      <c r="B174" t="s">
        <v>69</v>
      </c>
      <c r="C174">
        <v>25</v>
      </c>
      <c r="D174" t="s">
        <v>105</v>
      </c>
      <c r="E174" t="s">
        <v>102</v>
      </c>
      <c r="F174" t="s">
        <v>88</v>
      </c>
      <c r="G174">
        <v>86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85.7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2.0902705014496981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74" s="5" cm="1">
        <f t="array" ref="O174">MIN(IF((OutputTable[GroupByKey]=OutputTable[[#This Row],[GroupByKey]]),(OutputTable[GroupByKey]=OutputTable[[#This Row],[GroupByKey]])*OutputTable[RecordedValue]))</f>
        <v>82</v>
      </c>
      <c r="P174" s="5" cm="1">
        <f t="array" ref="P174">MAX(IF((OutputTable[GroupByKey]=OutputTable[[#This Row],[GroupByKey]]),(OutputTable[GroupByKey]=OutputTable[[#This Row],[GroupByKey]])*OutputTable[RecordedValue]))</f>
        <v>90</v>
      </c>
    </row>
    <row r="175" spans="1:16" x14ac:dyDescent="0.35">
      <c r="A175" t="s">
        <v>66</v>
      </c>
      <c r="B175" t="s">
        <v>69</v>
      </c>
      <c r="C175">
        <v>25</v>
      </c>
      <c r="D175" t="s">
        <v>106</v>
      </c>
      <c r="E175" t="s">
        <v>104</v>
      </c>
      <c r="F175" t="s">
        <v>88</v>
      </c>
      <c r="G175">
        <v>0.98403171754398699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0.97764323127952735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2.0318152206087455E-2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75" s="5" cm="1">
        <f t="array" ref="O175">MIN(IF((OutputTable[GroupByKey]=OutputTable[[#This Row],[GroupByKey]]),(OutputTable[GroupByKey]=OutputTable[[#This Row],[GroupByKey]])*OutputTable[RecordedValue]))</f>
        <v>0.92631153500444496</v>
      </c>
      <c r="P175" s="5" cm="1">
        <f t="array" ref="P175">MAX(IF((OutputTable[GroupByKey]=OutputTable[[#This Row],[GroupByKey]]),(OutputTable[GroupByKey]=OutputTable[[#This Row],[GroupByKey]])*OutputTable[RecordedValue]))</f>
        <v>0.99913603041501298</v>
      </c>
    </row>
    <row r="176" spans="1:16" x14ac:dyDescent="0.35">
      <c r="A176" t="s">
        <v>66</v>
      </c>
      <c r="B176" t="s">
        <v>69</v>
      </c>
      <c r="C176">
        <v>25</v>
      </c>
      <c r="D176" t="s">
        <v>107</v>
      </c>
      <c r="E176" t="s">
        <v>100</v>
      </c>
      <c r="F176" t="s">
        <v>108</v>
      </c>
      <c r="G176">
        <v>69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66.25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3.0780446673755359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76" s="5" cm="1">
        <f t="array" ref="O176">MIN(IF((OutputTable[GroupByKey]=OutputTable[[#This Row],[GroupByKey]]),(OutputTable[GroupByKey]=OutputTable[[#This Row],[GroupByKey]])*OutputTable[RecordedValue]))</f>
        <v>60</v>
      </c>
      <c r="P176" s="5" cm="1">
        <f t="array" ref="P176">MAX(IF((OutputTable[GroupByKey]=OutputTable[[#This Row],[GroupByKey]]),(OutputTable[GroupByKey]=OutputTable[[#This Row],[GroupByKey]])*OutputTable[RecordedValue]))</f>
        <v>73</v>
      </c>
    </row>
    <row r="177" spans="1:16" x14ac:dyDescent="0.35">
      <c r="A177" t="s">
        <v>66</v>
      </c>
      <c r="B177" t="s">
        <v>69</v>
      </c>
      <c r="C177">
        <v>26</v>
      </c>
      <c r="D177" t="s">
        <v>97</v>
      </c>
      <c r="E177" t="s">
        <v>98</v>
      </c>
      <c r="F177" t="s">
        <v>76</v>
      </c>
      <c r="G177">
        <v>167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ProjectCliente.NumberInNumber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154.65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14.193805077008156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77" s="5" cm="1">
        <f t="array" ref="O177">MIN(IF((OutputTable[GroupByKey]=OutputTable[[#This Row],[GroupByKey]]),(OutputTable[GroupByKey]=OutputTable[[#This Row],[GroupByKey]])*OutputTable[RecordedValue]))</f>
        <v>128</v>
      </c>
      <c r="P177" s="5" cm="1">
        <f t="array" ref="P177">MAX(IF((OutputTable[GroupByKey]=OutputTable[[#This Row],[GroupByKey]]),(OutputTable[GroupByKey]=OutputTable[[#This Row],[GroupByKey]])*OutputTable[RecordedValue]))</f>
        <v>181</v>
      </c>
    </row>
    <row r="178" spans="1:16" x14ac:dyDescent="0.35">
      <c r="A178" t="s">
        <v>66</v>
      </c>
      <c r="B178" t="s">
        <v>69</v>
      </c>
      <c r="C178">
        <v>26</v>
      </c>
      <c r="D178" t="s">
        <v>99</v>
      </c>
      <c r="E178" t="s">
        <v>100</v>
      </c>
      <c r="F178" t="s">
        <v>76</v>
      </c>
      <c r="G178">
        <v>103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ProjectCliente.NumberOutNumber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105.35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3.7794993563454127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78" s="5" cm="1">
        <f t="array" ref="O178">MIN(IF((OutputTable[GroupByKey]=OutputTable[[#This Row],[GroupByKey]]),(OutputTable[GroupByKey]=OutputTable[[#This Row],[GroupByKey]])*OutputTable[RecordedValue]))</f>
        <v>99</v>
      </c>
      <c r="P178" s="5" cm="1">
        <f t="array" ref="P178">MAX(IF((OutputTable[GroupByKey]=OutputTable[[#This Row],[GroupByKey]]),(OutputTable[GroupByKey]=OutputTable[[#This Row],[GroupByKey]])*OutputTable[RecordedValue]))</f>
        <v>114</v>
      </c>
    </row>
    <row r="179" spans="1:16" x14ac:dyDescent="0.35">
      <c r="A179" t="s">
        <v>66</v>
      </c>
      <c r="B179" t="s">
        <v>69</v>
      </c>
      <c r="C179">
        <v>26</v>
      </c>
      <c r="D179" t="s">
        <v>101</v>
      </c>
      <c r="E179" t="s">
        <v>102</v>
      </c>
      <c r="F179" t="s">
        <v>88</v>
      </c>
      <c r="G179">
        <v>50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49.1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1.0076629473115577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79" s="5" cm="1">
        <f t="array" ref="O179">MIN(IF((OutputTable[GroupByKey]=OutputTable[[#This Row],[GroupByKey]]),(OutputTable[GroupByKey]=OutputTable[[#This Row],[GroupByKey]])*OutputTable[RecordedValue]))</f>
        <v>47</v>
      </c>
      <c r="P179" s="5" cm="1">
        <f t="array" ref="P179">MAX(IF((OutputTable[GroupByKey]=OutputTable[[#This Row],[GroupByKey]]),(OutputTable[GroupByKey]=OutputTable[[#This Row],[GroupByKey]])*OutputTable[RecordedValue]))</f>
        <v>51</v>
      </c>
    </row>
    <row r="180" spans="1:16" x14ac:dyDescent="0.35">
      <c r="A180" t="s">
        <v>66</v>
      </c>
      <c r="B180" t="s">
        <v>69</v>
      </c>
      <c r="C180">
        <v>26</v>
      </c>
      <c r="D180" t="s">
        <v>103</v>
      </c>
      <c r="E180" t="s">
        <v>104</v>
      </c>
      <c r="F180" t="s">
        <v>88</v>
      </c>
      <c r="G180">
        <v>0.93904277535217795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0.87901029902009642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6.4041892088461561E-2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80" s="5" cm="1">
        <f t="array" ref="O180">MIN(IF((OutputTable[GroupByKey]=OutputTable[[#This Row],[GroupByKey]]),(OutputTable[GroupByKey]=OutputTable[[#This Row],[GroupByKey]])*OutputTable[RecordedValue]))</f>
        <v>0.71791407599347101</v>
      </c>
      <c r="P180" s="5" cm="1">
        <f t="array" ref="P180">MAX(IF((OutputTable[GroupByKey]=OutputTable[[#This Row],[GroupByKey]]),(OutputTable[GroupByKey]=OutputTable[[#This Row],[GroupByKey]])*OutputTable[RecordedValue]))</f>
        <v>0.96105910626671998</v>
      </c>
    </row>
    <row r="181" spans="1:16" x14ac:dyDescent="0.35">
      <c r="A181" t="s">
        <v>66</v>
      </c>
      <c r="B181" t="s">
        <v>69</v>
      </c>
      <c r="C181">
        <v>26</v>
      </c>
      <c r="D181" t="s">
        <v>105</v>
      </c>
      <c r="E181" t="s">
        <v>102</v>
      </c>
      <c r="F181" t="s">
        <v>88</v>
      </c>
      <c r="G181">
        <v>85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85.7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2.0902705014496981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81" s="5" cm="1">
        <f t="array" ref="O181">MIN(IF((OutputTable[GroupByKey]=OutputTable[[#This Row],[GroupByKey]]),(OutputTable[GroupByKey]=OutputTable[[#This Row],[GroupByKey]])*OutputTable[RecordedValue]))</f>
        <v>82</v>
      </c>
      <c r="P181" s="5" cm="1">
        <f t="array" ref="P181">MAX(IF((OutputTable[GroupByKey]=OutputTable[[#This Row],[GroupByKey]]),(OutputTable[GroupByKey]=OutputTable[[#This Row],[GroupByKey]])*OutputTable[RecordedValue]))</f>
        <v>90</v>
      </c>
    </row>
    <row r="182" spans="1:16" x14ac:dyDescent="0.35">
      <c r="A182" t="s">
        <v>66</v>
      </c>
      <c r="B182" t="s">
        <v>69</v>
      </c>
      <c r="C182">
        <v>26</v>
      </c>
      <c r="D182" t="s">
        <v>106</v>
      </c>
      <c r="E182" t="s">
        <v>104</v>
      </c>
      <c r="F182" t="s">
        <v>88</v>
      </c>
      <c r="G182">
        <v>0.96715998544340798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0.97764323127952735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2.0318152206087455E-2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82" s="5" cm="1">
        <f t="array" ref="O182">MIN(IF((OutputTable[GroupByKey]=OutputTable[[#This Row],[GroupByKey]]),(OutputTable[GroupByKey]=OutputTable[[#This Row],[GroupByKey]])*OutputTable[RecordedValue]))</f>
        <v>0.92631153500444496</v>
      </c>
      <c r="P182" s="5" cm="1">
        <f t="array" ref="P182">MAX(IF((OutputTable[GroupByKey]=OutputTable[[#This Row],[GroupByKey]]),(OutputTable[GroupByKey]=OutputTable[[#This Row],[GroupByKey]])*OutputTable[RecordedValue]))</f>
        <v>0.99913603041501298</v>
      </c>
    </row>
    <row r="183" spans="1:16" x14ac:dyDescent="0.35">
      <c r="A183" t="s">
        <v>66</v>
      </c>
      <c r="B183" t="s">
        <v>69</v>
      </c>
      <c r="C183">
        <v>26</v>
      </c>
      <c r="D183" t="s">
        <v>107</v>
      </c>
      <c r="E183" t="s">
        <v>100</v>
      </c>
      <c r="F183" t="s">
        <v>108</v>
      </c>
      <c r="G183">
        <v>63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66.25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3.0780446673755359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83" s="5" cm="1">
        <f t="array" ref="O183">MIN(IF((OutputTable[GroupByKey]=OutputTable[[#This Row],[GroupByKey]]),(OutputTable[GroupByKey]=OutputTable[[#This Row],[GroupByKey]])*OutputTable[RecordedValue]))</f>
        <v>60</v>
      </c>
      <c r="P183" s="5" cm="1">
        <f t="array" ref="P183">MAX(IF((OutputTable[GroupByKey]=OutputTable[[#This Row],[GroupByKey]]),(OutputTable[GroupByKey]=OutputTable[[#This Row],[GroupByKey]])*OutputTable[RecordedValue]))</f>
        <v>73</v>
      </c>
    </row>
    <row r="184" spans="1:16" x14ac:dyDescent="0.35">
      <c r="A184" t="s">
        <v>66</v>
      </c>
      <c r="B184" t="s">
        <v>69</v>
      </c>
      <c r="C184">
        <v>27</v>
      </c>
      <c r="D184" t="s">
        <v>97</v>
      </c>
      <c r="E184" t="s">
        <v>98</v>
      </c>
      <c r="F184" t="s">
        <v>76</v>
      </c>
      <c r="G184">
        <v>152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ProjectCliente.NumberInNumber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154.65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14.193805077008156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84" s="5" cm="1">
        <f t="array" ref="O184">MIN(IF((OutputTable[GroupByKey]=OutputTable[[#This Row],[GroupByKey]]),(OutputTable[GroupByKey]=OutputTable[[#This Row],[GroupByKey]])*OutputTable[RecordedValue]))</f>
        <v>128</v>
      </c>
      <c r="P184" s="5" cm="1">
        <f t="array" ref="P184">MAX(IF((OutputTable[GroupByKey]=OutputTable[[#This Row],[GroupByKey]]),(OutputTable[GroupByKey]=OutputTable[[#This Row],[GroupByKey]])*OutputTable[RecordedValue]))</f>
        <v>181</v>
      </c>
    </row>
    <row r="185" spans="1:16" x14ac:dyDescent="0.35">
      <c r="A185" t="s">
        <v>66</v>
      </c>
      <c r="B185" t="s">
        <v>69</v>
      </c>
      <c r="C185">
        <v>27</v>
      </c>
      <c r="D185" t="s">
        <v>99</v>
      </c>
      <c r="E185" t="s">
        <v>100</v>
      </c>
      <c r="F185" t="s">
        <v>76</v>
      </c>
      <c r="G185">
        <v>106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ProjectCliente.NumberOutNumber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105.35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3.7794993563454127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85" s="5" cm="1">
        <f t="array" ref="O185">MIN(IF((OutputTable[GroupByKey]=OutputTable[[#This Row],[GroupByKey]]),(OutputTable[GroupByKey]=OutputTable[[#This Row],[GroupByKey]])*OutputTable[RecordedValue]))</f>
        <v>99</v>
      </c>
      <c r="P185" s="5" cm="1">
        <f t="array" ref="P185">MAX(IF((OutputTable[GroupByKey]=OutputTable[[#This Row],[GroupByKey]]),(OutputTable[GroupByKey]=OutputTable[[#This Row],[GroupByKey]])*OutputTable[RecordedValue]))</f>
        <v>114</v>
      </c>
    </row>
    <row r="186" spans="1:16" x14ac:dyDescent="0.35">
      <c r="A186" t="s">
        <v>66</v>
      </c>
      <c r="B186" t="s">
        <v>69</v>
      </c>
      <c r="C186">
        <v>27</v>
      </c>
      <c r="D186" t="s">
        <v>101</v>
      </c>
      <c r="E186" t="s">
        <v>102</v>
      </c>
      <c r="F186" t="s">
        <v>88</v>
      </c>
      <c r="G186">
        <v>49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49.1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1.0076629473115577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86" s="5" cm="1">
        <f t="array" ref="O186">MIN(IF((OutputTable[GroupByKey]=OutputTable[[#This Row],[GroupByKey]]),(OutputTable[GroupByKey]=OutputTable[[#This Row],[GroupByKey]])*OutputTable[RecordedValue]))</f>
        <v>47</v>
      </c>
      <c r="P186" s="5" cm="1">
        <f t="array" ref="P186">MAX(IF((OutputTable[GroupByKey]=OutputTable[[#This Row],[GroupByKey]]),(OutputTable[GroupByKey]=OutputTable[[#This Row],[GroupByKey]])*OutputTable[RecordedValue]))</f>
        <v>51</v>
      </c>
    </row>
    <row r="187" spans="1:16" x14ac:dyDescent="0.35">
      <c r="A187" t="s">
        <v>66</v>
      </c>
      <c r="B187" t="s">
        <v>69</v>
      </c>
      <c r="C187">
        <v>27</v>
      </c>
      <c r="D187" t="s">
        <v>103</v>
      </c>
      <c r="E187" t="s">
        <v>104</v>
      </c>
      <c r="F187" t="s">
        <v>88</v>
      </c>
      <c r="G187">
        <v>0.84512155064066397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0.87901029902009642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6.4041892088461561E-2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87" s="5" cm="1">
        <f t="array" ref="O187">MIN(IF((OutputTable[GroupByKey]=OutputTable[[#This Row],[GroupByKey]]),(OutputTable[GroupByKey]=OutputTable[[#This Row],[GroupByKey]])*OutputTable[RecordedValue]))</f>
        <v>0.71791407599347101</v>
      </c>
      <c r="P187" s="5" cm="1">
        <f t="array" ref="P187">MAX(IF((OutputTable[GroupByKey]=OutputTable[[#This Row],[GroupByKey]]),(OutputTable[GroupByKey]=OutputTable[[#This Row],[GroupByKey]])*OutputTable[RecordedValue]))</f>
        <v>0.96105910626671998</v>
      </c>
    </row>
    <row r="188" spans="1:16" x14ac:dyDescent="0.35">
      <c r="A188" t="s">
        <v>66</v>
      </c>
      <c r="B188" t="s">
        <v>69</v>
      </c>
      <c r="C188">
        <v>27</v>
      </c>
      <c r="D188" t="s">
        <v>105</v>
      </c>
      <c r="E188" t="s">
        <v>102</v>
      </c>
      <c r="F188" t="s">
        <v>88</v>
      </c>
      <c r="G188">
        <v>85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85.7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2.0902705014496981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88" s="5" cm="1">
        <f t="array" ref="O188">MIN(IF((OutputTable[GroupByKey]=OutputTable[[#This Row],[GroupByKey]]),(OutputTable[GroupByKey]=OutputTable[[#This Row],[GroupByKey]])*OutputTable[RecordedValue]))</f>
        <v>82</v>
      </c>
      <c r="P188" s="5" cm="1">
        <f t="array" ref="P188">MAX(IF((OutputTable[GroupByKey]=OutputTable[[#This Row],[GroupByKey]]),(OutputTable[GroupByKey]=OutputTable[[#This Row],[GroupByKey]])*OutputTable[RecordedValue]))</f>
        <v>90</v>
      </c>
    </row>
    <row r="189" spans="1:16" x14ac:dyDescent="0.35">
      <c r="A189" t="s">
        <v>66</v>
      </c>
      <c r="B189" t="s">
        <v>69</v>
      </c>
      <c r="C189">
        <v>27</v>
      </c>
      <c r="D189" t="s">
        <v>106</v>
      </c>
      <c r="E189" t="s">
        <v>104</v>
      </c>
      <c r="F189" t="s">
        <v>88</v>
      </c>
      <c r="G189">
        <v>0.99684311992927299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0.97764323127952735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2.0318152206087455E-2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89" s="5" cm="1">
        <f t="array" ref="O189">MIN(IF((OutputTable[GroupByKey]=OutputTable[[#This Row],[GroupByKey]]),(OutputTable[GroupByKey]=OutputTable[[#This Row],[GroupByKey]])*OutputTable[RecordedValue]))</f>
        <v>0.92631153500444496</v>
      </c>
      <c r="P189" s="5" cm="1">
        <f t="array" ref="P189">MAX(IF((OutputTable[GroupByKey]=OutputTable[[#This Row],[GroupByKey]]),(OutputTable[GroupByKey]=OutputTable[[#This Row],[GroupByKey]])*OutputTable[RecordedValue]))</f>
        <v>0.99913603041501298</v>
      </c>
    </row>
    <row r="190" spans="1:16" x14ac:dyDescent="0.35">
      <c r="A190" t="s">
        <v>66</v>
      </c>
      <c r="B190" t="s">
        <v>69</v>
      </c>
      <c r="C190">
        <v>27</v>
      </c>
      <c r="D190" t="s">
        <v>107</v>
      </c>
      <c r="E190" t="s">
        <v>100</v>
      </c>
      <c r="F190" t="s">
        <v>108</v>
      </c>
      <c r="G190">
        <v>67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66.25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3.0780446673755359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90" s="5" cm="1">
        <f t="array" ref="O190">MIN(IF((OutputTable[GroupByKey]=OutputTable[[#This Row],[GroupByKey]]),(OutputTable[GroupByKey]=OutputTable[[#This Row],[GroupByKey]])*OutputTable[RecordedValue]))</f>
        <v>60</v>
      </c>
      <c r="P190" s="5" cm="1">
        <f t="array" ref="P190">MAX(IF((OutputTable[GroupByKey]=OutputTable[[#This Row],[GroupByKey]]),(OutputTable[GroupByKey]=OutputTable[[#This Row],[GroupByKey]])*OutputTable[RecordedValue]))</f>
        <v>73</v>
      </c>
    </row>
    <row r="191" spans="1:16" x14ac:dyDescent="0.35">
      <c r="A191" t="s">
        <v>66</v>
      </c>
      <c r="B191" t="s">
        <v>69</v>
      </c>
      <c r="C191">
        <v>28</v>
      </c>
      <c r="D191" t="s">
        <v>97</v>
      </c>
      <c r="E191" t="s">
        <v>98</v>
      </c>
      <c r="F191" t="s">
        <v>76</v>
      </c>
      <c r="G191">
        <v>180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154.65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14.193805077008156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91" s="5" cm="1">
        <f t="array" ref="O191">MIN(IF((OutputTable[GroupByKey]=OutputTable[[#This Row],[GroupByKey]]),(OutputTable[GroupByKey]=OutputTable[[#This Row],[GroupByKey]])*OutputTable[RecordedValue]))</f>
        <v>128</v>
      </c>
      <c r="P191" s="5" cm="1">
        <f t="array" ref="P191">MAX(IF((OutputTable[GroupByKey]=OutputTable[[#This Row],[GroupByKey]]),(OutputTable[GroupByKey]=OutputTable[[#This Row],[GroupByKey]])*OutputTable[RecordedValue]))</f>
        <v>181</v>
      </c>
    </row>
    <row r="192" spans="1:16" x14ac:dyDescent="0.35">
      <c r="A192" t="s">
        <v>66</v>
      </c>
      <c r="B192" t="s">
        <v>69</v>
      </c>
      <c r="C192">
        <v>28</v>
      </c>
      <c r="D192" t="s">
        <v>99</v>
      </c>
      <c r="E192" t="s">
        <v>100</v>
      </c>
      <c r="F192" t="s">
        <v>76</v>
      </c>
      <c r="G192">
        <v>102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105.35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3.7794993563454127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92" s="5" cm="1">
        <f t="array" ref="O192">MIN(IF((OutputTable[GroupByKey]=OutputTable[[#This Row],[GroupByKey]]),(OutputTable[GroupByKey]=OutputTable[[#This Row],[GroupByKey]])*OutputTable[RecordedValue]))</f>
        <v>99</v>
      </c>
      <c r="P192" s="5" cm="1">
        <f t="array" ref="P192">MAX(IF((OutputTable[GroupByKey]=OutputTable[[#This Row],[GroupByKey]]),(OutputTable[GroupByKey]=OutputTable[[#This Row],[GroupByKey]])*OutputTable[RecordedValue]))</f>
        <v>114</v>
      </c>
    </row>
    <row r="193" spans="1:16" x14ac:dyDescent="0.35">
      <c r="A193" t="s">
        <v>66</v>
      </c>
      <c r="B193" t="s">
        <v>69</v>
      </c>
      <c r="C193">
        <v>28</v>
      </c>
      <c r="D193" t="s">
        <v>101</v>
      </c>
      <c r="E193" t="s">
        <v>102</v>
      </c>
      <c r="F193" t="s">
        <v>88</v>
      </c>
      <c r="G193">
        <v>49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49.1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1.0076629473115577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193" s="5" cm="1">
        <f t="array" ref="O193">MIN(IF((OutputTable[GroupByKey]=OutputTable[[#This Row],[GroupByKey]]),(OutputTable[GroupByKey]=OutputTable[[#This Row],[GroupByKey]])*OutputTable[RecordedValue]))</f>
        <v>47</v>
      </c>
      <c r="P193" s="5" cm="1">
        <f t="array" ref="P193">MAX(IF((OutputTable[GroupByKey]=OutputTable[[#This Row],[GroupByKey]]),(OutputTable[GroupByKey]=OutputTable[[#This Row],[GroupByKey]])*OutputTable[RecordedValue]))</f>
        <v>51</v>
      </c>
    </row>
    <row r="194" spans="1:16" x14ac:dyDescent="0.35">
      <c r="A194" t="s">
        <v>66</v>
      </c>
      <c r="B194" t="s">
        <v>69</v>
      </c>
      <c r="C194">
        <v>28</v>
      </c>
      <c r="D194" t="s">
        <v>103</v>
      </c>
      <c r="E194" t="s">
        <v>104</v>
      </c>
      <c r="F194" t="s">
        <v>88</v>
      </c>
      <c r="G194">
        <v>0.94373652366328298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0.87901029902009642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6.4041892088461561E-2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194" s="5" cm="1">
        <f t="array" ref="O194">MIN(IF((OutputTable[GroupByKey]=OutputTable[[#This Row],[GroupByKey]]),(OutputTable[GroupByKey]=OutputTable[[#This Row],[GroupByKey]])*OutputTable[RecordedValue]))</f>
        <v>0.71791407599347101</v>
      </c>
      <c r="P194" s="5" cm="1">
        <f t="array" ref="P194">MAX(IF((OutputTable[GroupByKey]=OutputTable[[#This Row],[GroupByKey]]),(OutputTable[GroupByKey]=OutputTable[[#This Row],[GroupByKey]])*OutputTable[RecordedValue]))</f>
        <v>0.96105910626671998</v>
      </c>
    </row>
    <row r="195" spans="1:16" x14ac:dyDescent="0.35">
      <c r="A195" t="s">
        <v>66</v>
      </c>
      <c r="B195" t="s">
        <v>69</v>
      </c>
      <c r="C195">
        <v>28</v>
      </c>
      <c r="D195" t="s">
        <v>105</v>
      </c>
      <c r="E195" t="s">
        <v>102</v>
      </c>
      <c r="F195" t="s">
        <v>88</v>
      </c>
      <c r="G195">
        <v>87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85.7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2.0902705014496981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195" s="5" cm="1">
        <f t="array" ref="O195">MIN(IF((OutputTable[GroupByKey]=OutputTable[[#This Row],[GroupByKey]]),(OutputTable[GroupByKey]=OutputTable[[#This Row],[GroupByKey]])*OutputTable[RecordedValue]))</f>
        <v>82</v>
      </c>
      <c r="P195" s="5" cm="1">
        <f t="array" ref="P195">MAX(IF((OutputTable[GroupByKey]=OutputTable[[#This Row],[GroupByKey]]),(OutputTable[GroupByKey]=OutputTable[[#This Row],[GroupByKey]])*OutputTable[RecordedValue]))</f>
        <v>90</v>
      </c>
    </row>
    <row r="196" spans="1:16" x14ac:dyDescent="0.35">
      <c r="A196" t="s">
        <v>66</v>
      </c>
      <c r="B196" t="s">
        <v>69</v>
      </c>
      <c r="C196">
        <v>28</v>
      </c>
      <c r="D196" t="s">
        <v>106</v>
      </c>
      <c r="E196" t="s">
        <v>104</v>
      </c>
      <c r="F196" t="s">
        <v>88</v>
      </c>
      <c r="G196">
        <v>0.97868178381571402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0.97764323127952735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2.0318152206087455E-2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196" s="5" cm="1">
        <f t="array" ref="O196">MIN(IF((OutputTable[GroupByKey]=OutputTable[[#This Row],[GroupByKey]]),(OutputTable[GroupByKey]=OutputTable[[#This Row],[GroupByKey]])*OutputTable[RecordedValue]))</f>
        <v>0.92631153500444496</v>
      </c>
      <c r="P196" s="5" cm="1">
        <f t="array" ref="P196">MAX(IF((OutputTable[GroupByKey]=OutputTable[[#This Row],[GroupByKey]]),(OutputTable[GroupByKey]=OutputTable[[#This Row],[GroupByKey]])*OutputTable[RecordedValue]))</f>
        <v>0.99913603041501298</v>
      </c>
    </row>
    <row r="197" spans="1:16" x14ac:dyDescent="0.35">
      <c r="A197" t="s">
        <v>66</v>
      </c>
      <c r="B197" t="s">
        <v>69</v>
      </c>
      <c r="C197">
        <v>28</v>
      </c>
      <c r="D197" t="s">
        <v>107</v>
      </c>
      <c r="E197" t="s">
        <v>100</v>
      </c>
      <c r="F197" t="s">
        <v>108</v>
      </c>
      <c r="G197">
        <v>63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66.25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3.0780446673755359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197" s="5" cm="1">
        <f t="array" ref="O197">MIN(IF((OutputTable[GroupByKey]=OutputTable[[#This Row],[GroupByKey]]),(OutputTable[GroupByKey]=OutputTable[[#This Row],[GroupByKey]])*OutputTable[RecordedValue]))</f>
        <v>60</v>
      </c>
      <c r="P197" s="5" cm="1">
        <f t="array" ref="P197">MAX(IF((OutputTable[GroupByKey]=OutputTable[[#This Row],[GroupByKey]]),(OutputTable[GroupByKey]=OutputTable[[#This Row],[GroupByKey]])*OutputTable[RecordedValue]))</f>
        <v>73</v>
      </c>
    </row>
    <row r="198" spans="1:16" x14ac:dyDescent="0.35">
      <c r="A198" t="s">
        <v>66</v>
      </c>
      <c r="B198" t="s">
        <v>69</v>
      </c>
      <c r="C198">
        <v>29</v>
      </c>
      <c r="D198" t="s">
        <v>97</v>
      </c>
      <c r="E198" t="s">
        <v>98</v>
      </c>
      <c r="F198" t="s">
        <v>76</v>
      </c>
      <c r="G198">
        <v>143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ProjectCliente.NumberInNumber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154.65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14.193805077008156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198" s="5" cm="1">
        <f t="array" ref="O198">MIN(IF((OutputTable[GroupByKey]=OutputTable[[#This Row],[GroupByKey]]),(OutputTable[GroupByKey]=OutputTable[[#This Row],[GroupByKey]])*OutputTable[RecordedValue]))</f>
        <v>128</v>
      </c>
      <c r="P198" s="5" cm="1">
        <f t="array" ref="P198">MAX(IF((OutputTable[GroupByKey]=OutputTable[[#This Row],[GroupByKey]]),(OutputTable[GroupByKey]=OutputTable[[#This Row],[GroupByKey]])*OutputTable[RecordedValue]))</f>
        <v>181</v>
      </c>
    </row>
    <row r="199" spans="1:16" x14ac:dyDescent="0.35">
      <c r="A199" t="s">
        <v>66</v>
      </c>
      <c r="B199" t="s">
        <v>69</v>
      </c>
      <c r="C199">
        <v>29</v>
      </c>
      <c r="D199" t="s">
        <v>99</v>
      </c>
      <c r="E199" t="s">
        <v>100</v>
      </c>
      <c r="F199" t="s">
        <v>76</v>
      </c>
      <c r="G199">
        <v>103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ProjectCliente.NumberOutNumber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105.35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3.7794993563454127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199" s="5" cm="1">
        <f t="array" ref="O199">MIN(IF((OutputTable[GroupByKey]=OutputTable[[#This Row],[GroupByKey]]),(OutputTable[GroupByKey]=OutputTable[[#This Row],[GroupByKey]])*OutputTable[RecordedValue]))</f>
        <v>99</v>
      </c>
      <c r="P199" s="5" cm="1">
        <f t="array" ref="P199">MAX(IF((OutputTable[GroupByKey]=OutputTable[[#This Row],[GroupByKey]]),(OutputTable[GroupByKey]=OutputTable[[#This Row],[GroupByKey]])*OutputTable[RecordedValue]))</f>
        <v>114</v>
      </c>
    </row>
    <row r="200" spans="1:16" x14ac:dyDescent="0.35">
      <c r="A200" t="s">
        <v>66</v>
      </c>
      <c r="B200" t="s">
        <v>69</v>
      </c>
      <c r="C200">
        <v>29</v>
      </c>
      <c r="D200" t="s">
        <v>101</v>
      </c>
      <c r="E200" t="s">
        <v>102</v>
      </c>
      <c r="F200" t="s">
        <v>88</v>
      </c>
      <c r="G200">
        <v>49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49.1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1.0076629473115577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00" s="5" cm="1">
        <f t="array" ref="O200">MIN(IF((OutputTable[GroupByKey]=OutputTable[[#This Row],[GroupByKey]]),(OutputTable[GroupByKey]=OutputTable[[#This Row],[GroupByKey]])*OutputTable[RecordedValue]))</f>
        <v>47</v>
      </c>
      <c r="P200" s="5" cm="1">
        <f t="array" ref="P200">MAX(IF((OutputTable[GroupByKey]=OutputTable[[#This Row],[GroupByKey]]),(OutputTable[GroupByKey]=OutputTable[[#This Row],[GroupByKey]])*OutputTable[RecordedValue]))</f>
        <v>51</v>
      </c>
    </row>
    <row r="201" spans="1:16" x14ac:dyDescent="0.35">
      <c r="A201" t="s">
        <v>66</v>
      </c>
      <c r="B201" t="s">
        <v>69</v>
      </c>
      <c r="C201">
        <v>29</v>
      </c>
      <c r="D201" t="s">
        <v>103</v>
      </c>
      <c r="E201" t="s">
        <v>104</v>
      </c>
      <c r="F201" t="s">
        <v>88</v>
      </c>
      <c r="G201">
        <v>0.82541686390305702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0.87901029902009642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6.4041892088461561E-2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01" s="5" cm="1">
        <f t="array" ref="O201">MIN(IF((OutputTable[GroupByKey]=OutputTable[[#This Row],[GroupByKey]]),(OutputTable[GroupByKey]=OutputTable[[#This Row],[GroupByKey]])*OutputTable[RecordedValue]))</f>
        <v>0.71791407599347101</v>
      </c>
      <c r="P201" s="5" cm="1">
        <f t="array" ref="P201">MAX(IF((OutputTable[GroupByKey]=OutputTable[[#This Row],[GroupByKey]]),(OutputTable[GroupByKey]=OutputTable[[#This Row],[GroupByKey]])*OutputTable[RecordedValue]))</f>
        <v>0.96105910626671998</v>
      </c>
    </row>
    <row r="202" spans="1:16" x14ac:dyDescent="0.35">
      <c r="A202" t="s">
        <v>66</v>
      </c>
      <c r="B202" t="s">
        <v>69</v>
      </c>
      <c r="C202">
        <v>29</v>
      </c>
      <c r="D202" t="s">
        <v>105</v>
      </c>
      <c r="E202" t="s">
        <v>102</v>
      </c>
      <c r="F202" t="s">
        <v>88</v>
      </c>
      <c r="G202">
        <v>87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85.7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2.0902705014496981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02" s="5" cm="1">
        <f t="array" ref="O202">MIN(IF((OutputTable[GroupByKey]=OutputTable[[#This Row],[GroupByKey]]),(OutputTable[GroupByKey]=OutputTable[[#This Row],[GroupByKey]])*OutputTable[RecordedValue]))</f>
        <v>82</v>
      </c>
      <c r="P202" s="5" cm="1">
        <f t="array" ref="P202">MAX(IF((OutputTable[GroupByKey]=OutputTable[[#This Row],[GroupByKey]]),(OutputTable[GroupByKey]=OutputTable[[#This Row],[GroupByKey]])*OutputTable[RecordedValue]))</f>
        <v>90</v>
      </c>
    </row>
    <row r="203" spans="1:16" x14ac:dyDescent="0.35">
      <c r="A203" t="s">
        <v>66</v>
      </c>
      <c r="B203" t="s">
        <v>69</v>
      </c>
      <c r="C203">
        <v>29</v>
      </c>
      <c r="D203" t="s">
        <v>106</v>
      </c>
      <c r="E203" t="s">
        <v>104</v>
      </c>
      <c r="F203" t="s">
        <v>88</v>
      </c>
      <c r="G203">
        <v>0.97760852785839103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0.97764323127952735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2.0318152206087455E-2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03" s="5" cm="1">
        <f t="array" ref="O203">MIN(IF((OutputTable[GroupByKey]=OutputTable[[#This Row],[GroupByKey]]),(OutputTable[GroupByKey]=OutputTable[[#This Row],[GroupByKey]])*OutputTable[RecordedValue]))</f>
        <v>0.92631153500444496</v>
      </c>
      <c r="P203" s="5" cm="1">
        <f t="array" ref="P203">MAX(IF((OutputTable[GroupByKey]=OutputTable[[#This Row],[GroupByKey]]),(OutputTable[GroupByKey]=OutputTable[[#This Row],[GroupByKey]])*OutputTable[RecordedValue]))</f>
        <v>0.99913603041501298</v>
      </c>
    </row>
    <row r="204" spans="1:16" x14ac:dyDescent="0.35">
      <c r="A204" t="s">
        <v>66</v>
      </c>
      <c r="B204" t="s">
        <v>69</v>
      </c>
      <c r="C204">
        <v>29</v>
      </c>
      <c r="D204" t="s">
        <v>107</v>
      </c>
      <c r="E204" t="s">
        <v>100</v>
      </c>
      <c r="F204" t="s">
        <v>108</v>
      </c>
      <c r="G204">
        <v>64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66.25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3.0780446673755359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04" s="5" cm="1">
        <f t="array" ref="O204">MIN(IF((OutputTable[GroupByKey]=OutputTable[[#This Row],[GroupByKey]]),(OutputTable[GroupByKey]=OutputTable[[#This Row],[GroupByKey]])*OutputTable[RecordedValue]))</f>
        <v>60</v>
      </c>
      <c r="P204" s="5" cm="1">
        <f t="array" ref="P204">MAX(IF((OutputTable[GroupByKey]=OutputTable[[#This Row],[GroupByKey]]),(OutputTable[GroupByKey]=OutputTable[[#This Row],[GroupByKey]])*OutputTable[RecordedValue]))</f>
        <v>73</v>
      </c>
    </row>
    <row r="205" spans="1:16" x14ac:dyDescent="0.35">
      <c r="A205" t="s">
        <v>66</v>
      </c>
      <c r="B205" t="s">
        <v>69</v>
      </c>
      <c r="C205">
        <v>30</v>
      </c>
      <c r="D205" t="s">
        <v>97</v>
      </c>
      <c r="E205" t="s">
        <v>98</v>
      </c>
      <c r="F205" t="s">
        <v>76</v>
      </c>
      <c r="G205">
        <v>142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ProjectCliente.NumberInNumber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154.65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14.193805077008156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05" s="5" cm="1">
        <f t="array" ref="O205">MIN(IF((OutputTable[GroupByKey]=OutputTable[[#This Row],[GroupByKey]]),(OutputTable[GroupByKey]=OutputTable[[#This Row],[GroupByKey]])*OutputTable[RecordedValue]))</f>
        <v>128</v>
      </c>
      <c r="P205" s="5" cm="1">
        <f t="array" ref="P205">MAX(IF((OutputTable[GroupByKey]=OutputTable[[#This Row],[GroupByKey]]),(OutputTable[GroupByKey]=OutputTable[[#This Row],[GroupByKey]])*OutputTable[RecordedValue]))</f>
        <v>181</v>
      </c>
    </row>
    <row r="206" spans="1:16" x14ac:dyDescent="0.35">
      <c r="A206" t="s">
        <v>66</v>
      </c>
      <c r="B206" t="s">
        <v>69</v>
      </c>
      <c r="C206">
        <v>30</v>
      </c>
      <c r="D206" t="s">
        <v>99</v>
      </c>
      <c r="E206" t="s">
        <v>100</v>
      </c>
      <c r="F206" t="s">
        <v>76</v>
      </c>
      <c r="G206">
        <v>102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ProjectCliente.NumberOutNumber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105.35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3.7794993563454127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06" s="5" cm="1">
        <f t="array" ref="O206">MIN(IF((OutputTable[GroupByKey]=OutputTable[[#This Row],[GroupByKey]]),(OutputTable[GroupByKey]=OutputTable[[#This Row],[GroupByKey]])*OutputTable[RecordedValue]))</f>
        <v>99</v>
      </c>
      <c r="P206" s="5" cm="1">
        <f t="array" ref="P206">MAX(IF((OutputTable[GroupByKey]=OutputTable[[#This Row],[GroupByKey]]),(OutputTable[GroupByKey]=OutputTable[[#This Row],[GroupByKey]])*OutputTable[RecordedValue]))</f>
        <v>114</v>
      </c>
    </row>
    <row r="207" spans="1:16" x14ac:dyDescent="0.35">
      <c r="A207" t="s">
        <v>66</v>
      </c>
      <c r="B207" t="s">
        <v>69</v>
      </c>
      <c r="C207">
        <v>30</v>
      </c>
      <c r="D207" t="s">
        <v>101</v>
      </c>
      <c r="E207" t="s">
        <v>102</v>
      </c>
      <c r="F207" t="s">
        <v>88</v>
      </c>
      <c r="G207">
        <v>48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49.1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1.0076629473115577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07" s="5" cm="1">
        <f t="array" ref="O207">MIN(IF((OutputTable[GroupByKey]=OutputTable[[#This Row],[GroupByKey]]),(OutputTable[GroupByKey]=OutputTable[[#This Row],[GroupByKey]])*OutputTable[RecordedValue]))</f>
        <v>47</v>
      </c>
      <c r="P207" s="5" cm="1">
        <f t="array" ref="P207">MAX(IF((OutputTable[GroupByKey]=OutputTable[[#This Row],[GroupByKey]]),(OutputTable[GroupByKey]=OutputTable[[#This Row],[GroupByKey]])*OutputTable[RecordedValue]))</f>
        <v>51</v>
      </c>
    </row>
    <row r="208" spans="1:16" x14ac:dyDescent="0.35">
      <c r="A208" t="s">
        <v>66</v>
      </c>
      <c r="B208" t="s">
        <v>69</v>
      </c>
      <c r="C208">
        <v>30</v>
      </c>
      <c r="D208" t="s">
        <v>103</v>
      </c>
      <c r="E208" t="s">
        <v>104</v>
      </c>
      <c r="F208" t="s">
        <v>88</v>
      </c>
      <c r="G208">
        <v>0.75064716509918505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0.87901029902009642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6.4041892088461561E-2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08" s="5" cm="1">
        <f t="array" ref="O208">MIN(IF((OutputTable[GroupByKey]=OutputTable[[#This Row],[GroupByKey]]),(OutputTable[GroupByKey]=OutputTable[[#This Row],[GroupByKey]])*OutputTable[RecordedValue]))</f>
        <v>0.71791407599347101</v>
      </c>
      <c r="P208" s="5" cm="1">
        <f t="array" ref="P208">MAX(IF((OutputTable[GroupByKey]=OutputTable[[#This Row],[GroupByKey]]),(OutputTable[GroupByKey]=OutputTable[[#This Row],[GroupByKey]])*OutputTable[RecordedValue]))</f>
        <v>0.96105910626671998</v>
      </c>
    </row>
    <row r="209" spans="1:16" x14ac:dyDescent="0.35">
      <c r="A209" t="s">
        <v>66</v>
      </c>
      <c r="B209" t="s">
        <v>69</v>
      </c>
      <c r="C209">
        <v>30</v>
      </c>
      <c r="D209" t="s">
        <v>105</v>
      </c>
      <c r="E209" t="s">
        <v>102</v>
      </c>
      <c r="F209" t="s">
        <v>88</v>
      </c>
      <c r="G209">
        <v>83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85.7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2.0902705014496981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09" s="5" cm="1">
        <f t="array" ref="O209">MIN(IF((OutputTable[GroupByKey]=OutputTable[[#This Row],[GroupByKey]]),(OutputTable[GroupByKey]=OutputTable[[#This Row],[GroupByKey]])*OutputTable[RecordedValue]))</f>
        <v>82</v>
      </c>
      <c r="P209" s="5" cm="1">
        <f t="array" ref="P209">MAX(IF((OutputTable[GroupByKey]=OutputTable[[#This Row],[GroupByKey]]),(OutputTable[GroupByKey]=OutputTable[[#This Row],[GroupByKey]])*OutputTable[RecordedValue]))</f>
        <v>90</v>
      </c>
    </row>
    <row r="210" spans="1:16" x14ac:dyDescent="0.35">
      <c r="A210" t="s">
        <v>66</v>
      </c>
      <c r="B210" t="s">
        <v>69</v>
      </c>
      <c r="C210">
        <v>30</v>
      </c>
      <c r="D210" t="s">
        <v>106</v>
      </c>
      <c r="E210" t="s">
        <v>104</v>
      </c>
      <c r="F210" t="s">
        <v>88</v>
      </c>
      <c r="G210">
        <v>0.94318211371172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0.97764323127952735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2.0318152206087455E-2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10" s="5" cm="1">
        <f t="array" ref="O210">MIN(IF((OutputTable[GroupByKey]=OutputTable[[#This Row],[GroupByKey]]),(OutputTable[GroupByKey]=OutputTable[[#This Row],[GroupByKey]])*OutputTable[RecordedValue]))</f>
        <v>0.92631153500444496</v>
      </c>
      <c r="P210" s="5" cm="1">
        <f t="array" ref="P210">MAX(IF((OutputTable[GroupByKey]=OutputTable[[#This Row],[GroupByKey]]),(OutputTable[GroupByKey]=OutputTable[[#This Row],[GroupByKey]])*OutputTable[RecordedValue]))</f>
        <v>0.99913603041501298</v>
      </c>
    </row>
    <row r="211" spans="1:16" x14ac:dyDescent="0.35">
      <c r="A211" t="s">
        <v>66</v>
      </c>
      <c r="B211" t="s">
        <v>69</v>
      </c>
      <c r="C211">
        <v>30</v>
      </c>
      <c r="D211" t="s">
        <v>107</v>
      </c>
      <c r="E211" t="s">
        <v>100</v>
      </c>
      <c r="F211" t="s">
        <v>108</v>
      </c>
      <c r="G211">
        <v>64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66.25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3.0780446673755359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11" s="5" cm="1">
        <f t="array" ref="O211">MIN(IF((OutputTable[GroupByKey]=OutputTable[[#This Row],[GroupByKey]]),(OutputTable[GroupByKey]=OutputTable[[#This Row],[GroupByKey]])*OutputTable[RecordedValue]))</f>
        <v>60</v>
      </c>
      <c r="P211" s="5" cm="1">
        <f t="array" ref="P211">MAX(IF((OutputTable[GroupByKey]=OutputTable[[#This Row],[GroupByKey]]),(OutputTable[GroupByKey]=OutputTable[[#This Row],[GroupByKey]])*OutputTable[RecordedValue]))</f>
        <v>73</v>
      </c>
    </row>
    <row r="212" spans="1:16" x14ac:dyDescent="0.35">
      <c r="A212" t="s">
        <v>66</v>
      </c>
      <c r="B212" t="s">
        <v>69</v>
      </c>
      <c r="C212">
        <v>31</v>
      </c>
      <c r="D212" t="s">
        <v>97</v>
      </c>
      <c r="E212" t="s">
        <v>98</v>
      </c>
      <c r="F212" t="s">
        <v>76</v>
      </c>
      <c r="G212">
        <v>138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154.65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14.193805077008156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12" s="5" cm="1">
        <f t="array" ref="O212">MIN(IF((OutputTable[GroupByKey]=OutputTable[[#This Row],[GroupByKey]]),(OutputTable[GroupByKey]=OutputTable[[#This Row],[GroupByKey]])*OutputTable[RecordedValue]))</f>
        <v>128</v>
      </c>
      <c r="P212" s="5" cm="1">
        <f t="array" ref="P212">MAX(IF((OutputTable[GroupByKey]=OutputTable[[#This Row],[GroupByKey]]),(OutputTable[GroupByKey]=OutputTable[[#This Row],[GroupByKey]])*OutputTable[RecordedValue]))</f>
        <v>181</v>
      </c>
    </row>
    <row r="213" spans="1:16" x14ac:dyDescent="0.35">
      <c r="A213" t="s">
        <v>66</v>
      </c>
      <c r="B213" t="s">
        <v>69</v>
      </c>
      <c r="C213">
        <v>31</v>
      </c>
      <c r="D213" t="s">
        <v>99</v>
      </c>
      <c r="E213" t="s">
        <v>100</v>
      </c>
      <c r="F213" t="s">
        <v>76</v>
      </c>
      <c r="G213">
        <v>102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105.35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3.7794993563454127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13" s="5" cm="1">
        <f t="array" ref="O213">MIN(IF((OutputTable[GroupByKey]=OutputTable[[#This Row],[GroupByKey]]),(OutputTable[GroupByKey]=OutputTable[[#This Row],[GroupByKey]])*OutputTable[RecordedValue]))</f>
        <v>99</v>
      </c>
      <c r="P213" s="5" cm="1">
        <f t="array" ref="P213">MAX(IF((OutputTable[GroupByKey]=OutputTable[[#This Row],[GroupByKey]]),(OutputTable[GroupByKey]=OutputTable[[#This Row],[GroupByKey]])*OutputTable[RecordedValue]))</f>
        <v>114</v>
      </c>
    </row>
    <row r="214" spans="1:16" x14ac:dyDescent="0.35">
      <c r="A214" t="s">
        <v>66</v>
      </c>
      <c r="B214" t="s">
        <v>69</v>
      </c>
      <c r="C214">
        <v>31</v>
      </c>
      <c r="D214" t="s">
        <v>101</v>
      </c>
      <c r="E214" t="s">
        <v>102</v>
      </c>
      <c r="F214" t="s">
        <v>88</v>
      </c>
      <c r="G214">
        <v>47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49.1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1.0076629473115577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14" s="5" cm="1">
        <f t="array" ref="O214">MIN(IF((OutputTable[GroupByKey]=OutputTable[[#This Row],[GroupByKey]]),(OutputTable[GroupByKey]=OutputTable[[#This Row],[GroupByKey]])*OutputTable[RecordedValue]))</f>
        <v>47</v>
      </c>
      <c r="P214" s="5" cm="1">
        <f t="array" ref="P214">MAX(IF((OutputTable[GroupByKey]=OutputTable[[#This Row],[GroupByKey]]),(OutputTable[GroupByKey]=OutputTable[[#This Row],[GroupByKey]])*OutputTable[RecordedValue]))</f>
        <v>51</v>
      </c>
    </row>
    <row r="215" spans="1:16" x14ac:dyDescent="0.35">
      <c r="A215" t="s">
        <v>66</v>
      </c>
      <c r="B215" t="s">
        <v>69</v>
      </c>
      <c r="C215">
        <v>31</v>
      </c>
      <c r="D215" t="s">
        <v>103</v>
      </c>
      <c r="E215" t="s">
        <v>104</v>
      </c>
      <c r="F215" t="s">
        <v>88</v>
      </c>
      <c r="G215">
        <v>0.71791407599347101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0.87901029902009642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6.4041892088461561E-2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15" s="5" cm="1">
        <f t="array" ref="O215">MIN(IF((OutputTable[GroupByKey]=OutputTable[[#This Row],[GroupByKey]]),(OutputTable[GroupByKey]=OutputTable[[#This Row],[GroupByKey]])*OutputTable[RecordedValue]))</f>
        <v>0.71791407599347101</v>
      </c>
      <c r="P215" s="5" cm="1">
        <f t="array" ref="P215">MAX(IF((OutputTable[GroupByKey]=OutputTable[[#This Row],[GroupByKey]]),(OutputTable[GroupByKey]=OutputTable[[#This Row],[GroupByKey]])*OutputTable[RecordedValue]))</f>
        <v>0.96105910626671998</v>
      </c>
    </row>
    <row r="216" spans="1:16" x14ac:dyDescent="0.35">
      <c r="A216" t="s">
        <v>66</v>
      </c>
      <c r="B216" t="s">
        <v>69</v>
      </c>
      <c r="C216">
        <v>31</v>
      </c>
      <c r="D216" t="s">
        <v>105</v>
      </c>
      <c r="E216" t="s">
        <v>102</v>
      </c>
      <c r="F216" t="s">
        <v>88</v>
      </c>
      <c r="G216">
        <v>82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85.7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2.0902705014496981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16" s="5" cm="1">
        <f t="array" ref="O216">MIN(IF((OutputTable[GroupByKey]=OutputTable[[#This Row],[GroupByKey]]),(OutputTable[GroupByKey]=OutputTable[[#This Row],[GroupByKey]])*OutputTable[RecordedValue]))</f>
        <v>82</v>
      </c>
      <c r="P216" s="5" cm="1">
        <f t="array" ref="P216">MAX(IF((OutputTable[GroupByKey]=OutputTable[[#This Row],[GroupByKey]]),(OutputTable[GroupByKey]=OutputTable[[#This Row],[GroupByKey]])*OutputTable[RecordedValue]))</f>
        <v>90</v>
      </c>
    </row>
    <row r="217" spans="1:16" x14ac:dyDescent="0.35">
      <c r="A217" t="s">
        <v>66</v>
      </c>
      <c r="B217" t="s">
        <v>69</v>
      </c>
      <c r="C217">
        <v>31</v>
      </c>
      <c r="D217" t="s">
        <v>106</v>
      </c>
      <c r="E217" t="s">
        <v>104</v>
      </c>
      <c r="F217" t="s">
        <v>88</v>
      </c>
      <c r="G217">
        <v>0.93655310707875095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0.97764323127952735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2.0318152206087455E-2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17" s="5" cm="1">
        <f t="array" ref="O217">MIN(IF((OutputTable[GroupByKey]=OutputTable[[#This Row],[GroupByKey]]),(OutputTable[GroupByKey]=OutputTable[[#This Row],[GroupByKey]])*OutputTable[RecordedValue]))</f>
        <v>0.92631153500444496</v>
      </c>
      <c r="P217" s="5" cm="1">
        <f t="array" ref="P217">MAX(IF((OutputTable[GroupByKey]=OutputTable[[#This Row],[GroupByKey]]),(OutputTable[GroupByKey]=OutputTable[[#This Row],[GroupByKey]])*OutputTable[RecordedValue]))</f>
        <v>0.99913603041501298</v>
      </c>
    </row>
    <row r="218" spans="1:16" x14ac:dyDescent="0.35">
      <c r="A218" t="s">
        <v>66</v>
      </c>
      <c r="B218" t="s">
        <v>69</v>
      </c>
      <c r="C218">
        <v>31</v>
      </c>
      <c r="D218" t="s">
        <v>107</v>
      </c>
      <c r="E218" t="s">
        <v>100</v>
      </c>
      <c r="F218" t="s">
        <v>108</v>
      </c>
      <c r="G218">
        <v>65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66.25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3.0780446673755359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18" s="5" cm="1">
        <f t="array" ref="O218">MIN(IF((OutputTable[GroupByKey]=OutputTable[[#This Row],[GroupByKey]]),(OutputTable[GroupByKey]=OutputTable[[#This Row],[GroupByKey]])*OutputTable[RecordedValue]))</f>
        <v>60</v>
      </c>
      <c r="P218" s="5" cm="1">
        <f t="array" ref="P218">MAX(IF((OutputTable[GroupByKey]=OutputTable[[#This Row],[GroupByKey]]),(OutputTable[GroupByKey]=OutputTable[[#This Row],[GroupByKey]])*OutputTable[RecordedValue]))</f>
        <v>73</v>
      </c>
    </row>
    <row r="219" spans="1:16" x14ac:dyDescent="0.35">
      <c r="A219" t="s">
        <v>66</v>
      </c>
      <c r="B219" t="s">
        <v>69</v>
      </c>
      <c r="C219">
        <v>32</v>
      </c>
      <c r="D219" t="s">
        <v>97</v>
      </c>
      <c r="E219" t="s">
        <v>98</v>
      </c>
      <c r="F219" t="s">
        <v>76</v>
      </c>
      <c r="G219">
        <v>169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ProjectCliente.NumberInNumber InEntity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154.65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14.193805077008156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19" s="5" cm="1">
        <f t="array" ref="O219">MIN(IF((OutputTable[GroupByKey]=OutputTable[[#This Row],[GroupByKey]]),(OutputTable[GroupByKey]=OutputTable[[#This Row],[GroupByKey]])*OutputTable[RecordedValue]))</f>
        <v>128</v>
      </c>
      <c r="P219" s="5" cm="1">
        <f t="array" ref="P219">MAX(IF((OutputTable[GroupByKey]=OutputTable[[#This Row],[GroupByKey]]),(OutputTable[GroupByKey]=OutputTable[[#This Row],[GroupByKey]])*OutputTable[RecordedValue]))</f>
        <v>181</v>
      </c>
    </row>
    <row r="220" spans="1:16" x14ac:dyDescent="0.35">
      <c r="A220" t="s">
        <v>66</v>
      </c>
      <c r="B220" t="s">
        <v>69</v>
      </c>
      <c r="C220">
        <v>32</v>
      </c>
      <c r="D220" t="s">
        <v>99</v>
      </c>
      <c r="E220" t="s">
        <v>100</v>
      </c>
      <c r="F220" t="s">
        <v>76</v>
      </c>
      <c r="G220">
        <v>99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ProjectCliente.NumberOutNumber OutEntity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105.35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3.7794993563454127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20" s="5" cm="1">
        <f t="array" ref="O220">MIN(IF((OutputTable[GroupByKey]=OutputTable[[#This Row],[GroupByKey]]),(OutputTable[GroupByKey]=OutputTable[[#This Row],[GroupByKey]])*OutputTable[RecordedValue]))</f>
        <v>99</v>
      </c>
      <c r="P220" s="5" cm="1">
        <f t="array" ref="P220">MAX(IF((OutputTable[GroupByKey]=OutputTable[[#This Row],[GroupByKey]]),(OutputTable[GroupByKey]=OutputTable[[#This Row],[GroupByKey]])*OutputTable[RecordedValue]))</f>
        <v>114</v>
      </c>
    </row>
    <row r="221" spans="1:16" x14ac:dyDescent="0.35">
      <c r="A221" t="s">
        <v>66</v>
      </c>
      <c r="B221" t="s">
        <v>69</v>
      </c>
      <c r="C221">
        <v>32</v>
      </c>
      <c r="D221" t="s">
        <v>101</v>
      </c>
      <c r="E221" t="s">
        <v>102</v>
      </c>
      <c r="F221" t="s">
        <v>88</v>
      </c>
      <c r="G221">
        <v>47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49.1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1.0076629473115577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21" s="5" cm="1">
        <f t="array" ref="O221">MIN(IF((OutputTable[GroupByKey]=OutputTable[[#This Row],[GroupByKey]]),(OutputTable[GroupByKey]=OutputTable[[#This Row],[GroupByKey]])*OutputTable[RecordedValue]))</f>
        <v>47</v>
      </c>
      <c r="P221" s="5" cm="1">
        <f t="array" ref="P221">MAX(IF((OutputTable[GroupByKey]=OutputTable[[#This Row],[GroupByKey]]),(OutputTable[GroupByKey]=OutputTable[[#This Row],[GroupByKey]])*OutputTable[RecordedValue]))</f>
        <v>51</v>
      </c>
    </row>
    <row r="222" spans="1:16" x14ac:dyDescent="0.35">
      <c r="A222" t="s">
        <v>66</v>
      </c>
      <c r="B222" t="s">
        <v>69</v>
      </c>
      <c r="C222">
        <v>32</v>
      </c>
      <c r="D222" t="s">
        <v>103</v>
      </c>
      <c r="E222" t="s">
        <v>104</v>
      </c>
      <c r="F222" t="s">
        <v>88</v>
      </c>
      <c r="G222">
        <v>0.88373038857377595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0.87901029902009642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6.4041892088461561E-2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22" s="5" cm="1">
        <f t="array" ref="O222">MIN(IF((OutputTable[GroupByKey]=OutputTable[[#This Row],[GroupByKey]]),(OutputTable[GroupByKey]=OutputTable[[#This Row],[GroupByKey]])*OutputTable[RecordedValue]))</f>
        <v>0.71791407599347101</v>
      </c>
      <c r="P222" s="5" cm="1">
        <f t="array" ref="P222">MAX(IF((OutputTable[GroupByKey]=OutputTable[[#This Row],[GroupByKey]]),(OutputTable[GroupByKey]=OutputTable[[#This Row],[GroupByKey]])*OutputTable[RecordedValue]))</f>
        <v>0.96105910626671998</v>
      </c>
    </row>
    <row r="223" spans="1:16" x14ac:dyDescent="0.35">
      <c r="A223" t="s">
        <v>66</v>
      </c>
      <c r="B223" t="s">
        <v>69</v>
      </c>
      <c r="C223">
        <v>32</v>
      </c>
      <c r="D223" t="s">
        <v>105</v>
      </c>
      <c r="E223" t="s">
        <v>102</v>
      </c>
      <c r="F223" t="s">
        <v>88</v>
      </c>
      <c r="G223">
        <v>82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85.7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2.0902705014496981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23" s="5" cm="1">
        <f t="array" ref="O223">MIN(IF((OutputTable[GroupByKey]=OutputTable[[#This Row],[GroupByKey]]),(OutputTable[GroupByKey]=OutputTable[[#This Row],[GroupByKey]])*OutputTable[RecordedValue]))</f>
        <v>82</v>
      </c>
      <c r="P223" s="5" cm="1">
        <f t="array" ref="P223">MAX(IF((OutputTable[GroupByKey]=OutputTable[[#This Row],[GroupByKey]]),(OutputTable[GroupByKey]=OutputTable[[#This Row],[GroupByKey]])*OutputTable[RecordedValue]))</f>
        <v>90</v>
      </c>
    </row>
    <row r="224" spans="1:16" x14ac:dyDescent="0.35">
      <c r="A224" t="s">
        <v>66</v>
      </c>
      <c r="B224" t="s">
        <v>69</v>
      </c>
      <c r="C224">
        <v>32</v>
      </c>
      <c r="D224" t="s">
        <v>106</v>
      </c>
      <c r="E224" t="s">
        <v>104</v>
      </c>
      <c r="F224" t="s">
        <v>88</v>
      </c>
      <c r="G224">
        <v>0.94089492450732604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0.97764323127952735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2.0318152206087455E-2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24" s="5" cm="1">
        <f t="array" ref="O224">MIN(IF((OutputTable[GroupByKey]=OutputTable[[#This Row],[GroupByKey]]),(OutputTable[GroupByKey]=OutputTable[[#This Row],[GroupByKey]])*OutputTable[RecordedValue]))</f>
        <v>0.92631153500444496</v>
      </c>
      <c r="P224" s="5" cm="1">
        <f t="array" ref="P224">MAX(IF((OutputTable[GroupByKey]=OutputTable[[#This Row],[GroupByKey]]),(OutputTable[GroupByKey]=OutputTable[[#This Row],[GroupByKey]])*OutputTable[RecordedValue]))</f>
        <v>0.99913603041501298</v>
      </c>
    </row>
    <row r="225" spans="1:16" x14ac:dyDescent="0.35">
      <c r="A225" t="s">
        <v>66</v>
      </c>
      <c r="B225" t="s">
        <v>69</v>
      </c>
      <c r="C225">
        <v>32</v>
      </c>
      <c r="D225" t="s">
        <v>107</v>
      </c>
      <c r="E225" t="s">
        <v>100</v>
      </c>
      <c r="F225" t="s">
        <v>108</v>
      </c>
      <c r="G225">
        <v>62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66.25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3.0780446673755359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25" s="5" cm="1">
        <f t="array" ref="O225">MIN(IF((OutputTable[GroupByKey]=OutputTable[[#This Row],[GroupByKey]]),(OutputTable[GroupByKey]=OutputTable[[#This Row],[GroupByKey]])*OutputTable[RecordedValue]))</f>
        <v>60</v>
      </c>
      <c r="P225" s="5" cm="1">
        <f t="array" ref="P225">MAX(IF((OutputTable[GroupByKey]=OutputTable[[#This Row],[GroupByKey]]),(OutputTable[GroupByKey]=OutputTable[[#This Row],[GroupByKey]])*OutputTable[RecordedValue]))</f>
        <v>73</v>
      </c>
    </row>
    <row r="226" spans="1:16" x14ac:dyDescent="0.35">
      <c r="A226" t="s">
        <v>66</v>
      </c>
      <c r="B226" t="s">
        <v>69</v>
      </c>
      <c r="C226">
        <v>33</v>
      </c>
      <c r="D226" t="s">
        <v>97</v>
      </c>
      <c r="E226" t="s">
        <v>98</v>
      </c>
      <c r="F226" t="s">
        <v>76</v>
      </c>
      <c r="G226">
        <v>158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ProjectCliente.NumberInNumber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154.65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14.193805077008156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26" s="5" cm="1">
        <f t="array" ref="O226">MIN(IF((OutputTable[GroupByKey]=OutputTable[[#This Row],[GroupByKey]]),(OutputTable[GroupByKey]=OutputTable[[#This Row],[GroupByKey]])*OutputTable[RecordedValue]))</f>
        <v>128</v>
      </c>
      <c r="P226" s="5" cm="1">
        <f t="array" ref="P226">MAX(IF((OutputTable[GroupByKey]=OutputTable[[#This Row],[GroupByKey]]),(OutputTable[GroupByKey]=OutputTable[[#This Row],[GroupByKey]])*OutputTable[RecordedValue]))</f>
        <v>181</v>
      </c>
    </row>
    <row r="227" spans="1:16" x14ac:dyDescent="0.35">
      <c r="A227" t="s">
        <v>66</v>
      </c>
      <c r="B227" t="s">
        <v>69</v>
      </c>
      <c r="C227">
        <v>33</v>
      </c>
      <c r="D227" t="s">
        <v>99</v>
      </c>
      <c r="E227" t="s">
        <v>100</v>
      </c>
      <c r="F227" t="s">
        <v>76</v>
      </c>
      <c r="G227">
        <v>110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ProjectCliente.NumberOutNumber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105.35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3.7794993563454127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27" s="5" cm="1">
        <f t="array" ref="O227">MIN(IF((OutputTable[GroupByKey]=OutputTable[[#This Row],[GroupByKey]]),(OutputTable[GroupByKey]=OutputTable[[#This Row],[GroupByKey]])*OutputTable[RecordedValue]))</f>
        <v>99</v>
      </c>
      <c r="P227" s="5" cm="1">
        <f t="array" ref="P227">MAX(IF((OutputTable[GroupByKey]=OutputTable[[#This Row],[GroupByKey]]),(OutputTable[GroupByKey]=OutputTable[[#This Row],[GroupByKey]])*OutputTable[RecordedValue]))</f>
        <v>114</v>
      </c>
    </row>
    <row r="228" spans="1:16" x14ac:dyDescent="0.35">
      <c r="A228" t="s">
        <v>66</v>
      </c>
      <c r="B228" t="s">
        <v>69</v>
      </c>
      <c r="C228">
        <v>33</v>
      </c>
      <c r="D228" t="s">
        <v>101</v>
      </c>
      <c r="E228" t="s">
        <v>102</v>
      </c>
      <c r="F228" t="s">
        <v>88</v>
      </c>
      <c r="G228">
        <v>49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49.1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1.0076629473115577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28" s="5" cm="1">
        <f t="array" ref="O228">MIN(IF((OutputTable[GroupByKey]=OutputTable[[#This Row],[GroupByKey]]),(OutputTable[GroupByKey]=OutputTable[[#This Row],[GroupByKey]])*OutputTable[RecordedValue]))</f>
        <v>47</v>
      </c>
      <c r="P228" s="5" cm="1">
        <f t="array" ref="P228">MAX(IF((OutputTable[GroupByKey]=OutputTable[[#This Row],[GroupByKey]]),(OutputTable[GroupByKey]=OutputTable[[#This Row],[GroupByKey]])*OutputTable[RecordedValue]))</f>
        <v>51</v>
      </c>
    </row>
    <row r="229" spans="1:16" x14ac:dyDescent="0.35">
      <c r="A229" t="s">
        <v>66</v>
      </c>
      <c r="B229" t="s">
        <v>69</v>
      </c>
      <c r="C229">
        <v>33</v>
      </c>
      <c r="D229" t="s">
        <v>103</v>
      </c>
      <c r="E229" t="s">
        <v>104</v>
      </c>
      <c r="F229" t="s">
        <v>88</v>
      </c>
      <c r="G229">
        <v>0.95972928888973097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0.87901029902009642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6.4041892088461561E-2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29" s="5" cm="1">
        <f t="array" ref="O229">MIN(IF((OutputTable[GroupByKey]=OutputTable[[#This Row],[GroupByKey]]),(OutputTable[GroupByKey]=OutputTable[[#This Row],[GroupByKey]])*OutputTable[RecordedValue]))</f>
        <v>0.71791407599347101</v>
      </c>
      <c r="P229" s="5" cm="1">
        <f t="array" ref="P229">MAX(IF((OutputTable[GroupByKey]=OutputTable[[#This Row],[GroupByKey]]),(OutputTable[GroupByKey]=OutputTable[[#This Row],[GroupByKey]])*OutputTable[RecordedValue]))</f>
        <v>0.96105910626671998</v>
      </c>
    </row>
    <row r="230" spans="1:16" x14ac:dyDescent="0.35">
      <c r="A230" t="s">
        <v>66</v>
      </c>
      <c r="B230" t="s">
        <v>69</v>
      </c>
      <c r="C230">
        <v>33</v>
      </c>
      <c r="D230" t="s">
        <v>105</v>
      </c>
      <c r="E230" t="s">
        <v>102</v>
      </c>
      <c r="F230" t="s">
        <v>88</v>
      </c>
      <c r="G230">
        <v>85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85.7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2.0902705014496981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30" s="5" cm="1">
        <f t="array" ref="O230">MIN(IF((OutputTable[GroupByKey]=OutputTable[[#This Row],[GroupByKey]]),(OutputTable[GroupByKey]=OutputTable[[#This Row],[GroupByKey]])*OutputTable[RecordedValue]))</f>
        <v>82</v>
      </c>
      <c r="P230" s="5" cm="1">
        <f t="array" ref="P230">MAX(IF((OutputTable[GroupByKey]=OutputTable[[#This Row],[GroupByKey]]),(OutputTable[GroupByKey]=OutputTable[[#This Row],[GroupByKey]])*OutputTable[RecordedValue]))</f>
        <v>90</v>
      </c>
    </row>
    <row r="231" spans="1:16" x14ac:dyDescent="0.35">
      <c r="A231" t="s">
        <v>66</v>
      </c>
      <c r="B231" t="s">
        <v>69</v>
      </c>
      <c r="C231">
        <v>33</v>
      </c>
      <c r="D231" t="s">
        <v>106</v>
      </c>
      <c r="E231" t="s">
        <v>104</v>
      </c>
      <c r="F231" t="s">
        <v>88</v>
      </c>
      <c r="G231">
        <v>0.99597963781204601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0.97764323127952735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2.0318152206087455E-2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31" s="5" cm="1">
        <f t="array" ref="O231">MIN(IF((OutputTable[GroupByKey]=OutputTable[[#This Row],[GroupByKey]]),(OutputTable[GroupByKey]=OutputTable[[#This Row],[GroupByKey]])*OutputTable[RecordedValue]))</f>
        <v>0.92631153500444496</v>
      </c>
      <c r="P231" s="5" cm="1">
        <f t="array" ref="P231">MAX(IF((OutputTable[GroupByKey]=OutputTable[[#This Row],[GroupByKey]]),(OutputTable[GroupByKey]=OutputTable[[#This Row],[GroupByKey]])*OutputTable[RecordedValue]))</f>
        <v>0.99913603041501298</v>
      </c>
    </row>
    <row r="232" spans="1:16" x14ac:dyDescent="0.35">
      <c r="A232" t="s">
        <v>66</v>
      </c>
      <c r="B232" t="s">
        <v>69</v>
      </c>
      <c r="C232">
        <v>33</v>
      </c>
      <c r="D232" t="s">
        <v>107</v>
      </c>
      <c r="E232" t="s">
        <v>100</v>
      </c>
      <c r="F232" t="s">
        <v>108</v>
      </c>
      <c r="G232">
        <v>71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66.25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3.0780446673755359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32" s="5" cm="1">
        <f t="array" ref="O232">MIN(IF((OutputTable[GroupByKey]=OutputTable[[#This Row],[GroupByKey]]),(OutputTable[GroupByKey]=OutputTable[[#This Row],[GroupByKey]])*OutputTable[RecordedValue]))</f>
        <v>60</v>
      </c>
      <c r="P232" s="5" cm="1">
        <f t="array" ref="P232">MAX(IF((OutputTable[GroupByKey]=OutputTable[[#This Row],[GroupByKey]]),(OutputTable[GroupByKey]=OutputTable[[#This Row],[GroupByKey]])*OutputTable[RecordedValue]))</f>
        <v>73</v>
      </c>
    </row>
    <row r="233" spans="1:16" x14ac:dyDescent="0.35">
      <c r="A233" t="s">
        <v>66</v>
      </c>
      <c r="B233" t="s">
        <v>69</v>
      </c>
      <c r="C233">
        <v>34</v>
      </c>
      <c r="D233" t="s">
        <v>97</v>
      </c>
      <c r="E233" t="s">
        <v>98</v>
      </c>
      <c r="F233" t="s">
        <v>76</v>
      </c>
      <c r="G233">
        <v>168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154.65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14.193805077008156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33" s="5" cm="1">
        <f t="array" ref="O233">MIN(IF((OutputTable[GroupByKey]=OutputTable[[#This Row],[GroupByKey]]),(OutputTable[GroupByKey]=OutputTable[[#This Row],[GroupByKey]])*OutputTable[RecordedValue]))</f>
        <v>128</v>
      </c>
      <c r="P233" s="5" cm="1">
        <f t="array" ref="P233">MAX(IF((OutputTable[GroupByKey]=OutputTable[[#This Row],[GroupByKey]]),(OutputTable[GroupByKey]=OutputTable[[#This Row],[GroupByKey]])*OutputTable[RecordedValue]))</f>
        <v>181</v>
      </c>
    </row>
    <row r="234" spans="1:16" x14ac:dyDescent="0.35">
      <c r="A234" t="s">
        <v>66</v>
      </c>
      <c r="B234" t="s">
        <v>69</v>
      </c>
      <c r="C234">
        <v>34</v>
      </c>
      <c r="D234" t="s">
        <v>99</v>
      </c>
      <c r="E234" t="s">
        <v>100</v>
      </c>
      <c r="F234" t="s">
        <v>76</v>
      </c>
      <c r="G234">
        <v>106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105.35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3.7794993563454127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34" s="5" cm="1">
        <f t="array" ref="O234">MIN(IF((OutputTable[GroupByKey]=OutputTable[[#This Row],[GroupByKey]]),(OutputTable[GroupByKey]=OutputTable[[#This Row],[GroupByKey]])*OutputTable[RecordedValue]))</f>
        <v>99</v>
      </c>
      <c r="P234" s="5" cm="1">
        <f t="array" ref="P234">MAX(IF((OutputTable[GroupByKey]=OutputTable[[#This Row],[GroupByKey]]),(OutputTable[GroupByKey]=OutputTable[[#This Row],[GroupByKey]])*OutputTable[RecordedValue]))</f>
        <v>114</v>
      </c>
    </row>
    <row r="235" spans="1:16" x14ac:dyDescent="0.35">
      <c r="A235" t="s">
        <v>66</v>
      </c>
      <c r="B235" t="s">
        <v>69</v>
      </c>
      <c r="C235">
        <v>34</v>
      </c>
      <c r="D235" t="s">
        <v>101</v>
      </c>
      <c r="E235" t="s">
        <v>102</v>
      </c>
      <c r="F235" t="s">
        <v>88</v>
      </c>
      <c r="G235">
        <v>49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49.1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1.0076629473115577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35" s="5" cm="1">
        <f t="array" ref="O235">MIN(IF((OutputTable[GroupByKey]=OutputTable[[#This Row],[GroupByKey]]),(OutputTable[GroupByKey]=OutputTable[[#This Row],[GroupByKey]])*OutputTable[RecordedValue]))</f>
        <v>47</v>
      </c>
      <c r="P235" s="5" cm="1">
        <f t="array" ref="P235">MAX(IF((OutputTable[GroupByKey]=OutputTable[[#This Row],[GroupByKey]]),(OutputTable[GroupByKey]=OutputTable[[#This Row],[GroupByKey]])*OutputTable[RecordedValue]))</f>
        <v>51</v>
      </c>
    </row>
    <row r="236" spans="1:16" x14ac:dyDescent="0.35">
      <c r="A236" t="s">
        <v>66</v>
      </c>
      <c r="B236" t="s">
        <v>69</v>
      </c>
      <c r="C236">
        <v>34</v>
      </c>
      <c r="D236" t="s">
        <v>103</v>
      </c>
      <c r="E236" t="s">
        <v>104</v>
      </c>
      <c r="F236" t="s">
        <v>88</v>
      </c>
      <c r="G236">
        <v>0.93820153718493604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0.87901029902009642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6.4041892088461561E-2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36" s="5" cm="1">
        <f t="array" ref="O236">MIN(IF((OutputTable[GroupByKey]=OutputTable[[#This Row],[GroupByKey]]),(OutputTable[GroupByKey]=OutputTable[[#This Row],[GroupByKey]])*OutputTable[RecordedValue]))</f>
        <v>0.71791407599347101</v>
      </c>
      <c r="P236" s="5" cm="1">
        <f t="array" ref="P236">MAX(IF((OutputTable[GroupByKey]=OutputTable[[#This Row],[GroupByKey]]),(OutputTable[GroupByKey]=OutputTable[[#This Row],[GroupByKey]])*OutputTable[RecordedValue]))</f>
        <v>0.96105910626671998</v>
      </c>
    </row>
    <row r="237" spans="1:16" x14ac:dyDescent="0.35">
      <c r="A237" t="s">
        <v>66</v>
      </c>
      <c r="B237" t="s">
        <v>69</v>
      </c>
      <c r="C237">
        <v>34</v>
      </c>
      <c r="D237" t="s">
        <v>105</v>
      </c>
      <c r="E237" t="s">
        <v>102</v>
      </c>
      <c r="F237" t="s">
        <v>88</v>
      </c>
      <c r="G237">
        <v>87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85.7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2.0902705014496981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37" s="5" cm="1">
        <f t="array" ref="O237">MIN(IF((OutputTable[GroupByKey]=OutputTable[[#This Row],[GroupByKey]]),(OutputTable[GroupByKey]=OutputTable[[#This Row],[GroupByKey]])*OutputTable[RecordedValue]))</f>
        <v>82</v>
      </c>
      <c r="P237" s="5" cm="1">
        <f t="array" ref="P237">MAX(IF((OutputTable[GroupByKey]=OutputTable[[#This Row],[GroupByKey]]),(OutputTable[GroupByKey]=OutputTable[[#This Row],[GroupByKey]])*OutputTable[RecordedValue]))</f>
        <v>90</v>
      </c>
    </row>
    <row r="238" spans="1:16" x14ac:dyDescent="0.35">
      <c r="A238" t="s">
        <v>66</v>
      </c>
      <c r="B238" t="s">
        <v>69</v>
      </c>
      <c r="C238">
        <v>34</v>
      </c>
      <c r="D238" t="s">
        <v>106</v>
      </c>
      <c r="E238" t="s">
        <v>104</v>
      </c>
      <c r="F238" t="s">
        <v>88</v>
      </c>
      <c r="G238">
        <v>0.99868085324383205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0.97764323127952735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2.0318152206087455E-2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38" s="5" cm="1">
        <f t="array" ref="O238">MIN(IF((OutputTable[GroupByKey]=OutputTable[[#This Row],[GroupByKey]]),(OutputTable[GroupByKey]=OutputTable[[#This Row],[GroupByKey]])*OutputTable[RecordedValue]))</f>
        <v>0.92631153500444496</v>
      </c>
      <c r="P238" s="5" cm="1">
        <f t="array" ref="P238">MAX(IF((OutputTable[GroupByKey]=OutputTable[[#This Row],[GroupByKey]]),(OutputTable[GroupByKey]=OutputTable[[#This Row],[GroupByKey]])*OutputTable[RecordedValue]))</f>
        <v>0.99913603041501298</v>
      </c>
    </row>
    <row r="239" spans="1:16" x14ac:dyDescent="0.35">
      <c r="A239" t="s">
        <v>66</v>
      </c>
      <c r="B239" t="s">
        <v>69</v>
      </c>
      <c r="C239">
        <v>34</v>
      </c>
      <c r="D239" t="s">
        <v>107</v>
      </c>
      <c r="E239" t="s">
        <v>100</v>
      </c>
      <c r="F239" t="s">
        <v>108</v>
      </c>
      <c r="G239">
        <v>67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66.25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3.0780446673755359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39" s="5" cm="1">
        <f t="array" ref="O239">MIN(IF((OutputTable[GroupByKey]=OutputTable[[#This Row],[GroupByKey]]),(OutputTable[GroupByKey]=OutputTable[[#This Row],[GroupByKey]])*OutputTable[RecordedValue]))</f>
        <v>60</v>
      </c>
      <c r="P239" s="5" cm="1">
        <f t="array" ref="P239">MAX(IF((OutputTable[GroupByKey]=OutputTable[[#This Row],[GroupByKey]]),(OutputTable[GroupByKey]=OutputTable[[#This Row],[GroupByKey]])*OutputTable[RecordedValue]))</f>
        <v>73</v>
      </c>
    </row>
    <row r="240" spans="1:16" x14ac:dyDescent="0.35">
      <c r="A240" t="s">
        <v>66</v>
      </c>
      <c r="B240" t="s">
        <v>69</v>
      </c>
      <c r="C240">
        <v>35</v>
      </c>
      <c r="D240" t="s">
        <v>97</v>
      </c>
      <c r="E240" t="s">
        <v>98</v>
      </c>
      <c r="F240" t="s">
        <v>76</v>
      </c>
      <c r="G240">
        <v>164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ProjectCliente.NumberInNumber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154.65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14.193805077008156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40" s="5" cm="1">
        <f t="array" ref="O240">MIN(IF((OutputTable[GroupByKey]=OutputTable[[#This Row],[GroupByKey]]),(OutputTable[GroupByKey]=OutputTable[[#This Row],[GroupByKey]])*OutputTable[RecordedValue]))</f>
        <v>128</v>
      </c>
      <c r="P240" s="5" cm="1">
        <f t="array" ref="P240">MAX(IF((OutputTable[GroupByKey]=OutputTable[[#This Row],[GroupByKey]]),(OutputTable[GroupByKey]=OutputTable[[#This Row],[GroupByKey]])*OutputTable[RecordedValue]))</f>
        <v>181</v>
      </c>
    </row>
    <row r="241" spans="1:16" x14ac:dyDescent="0.35">
      <c r="A241" t="s">
        <v>66</v>
      </c>
      <c r="B241" t="s">
        <v>69</v>
      </c>
      <c r="C241">
        <v>35</v>
      </c>
      <c r="D241" t="s">
        <v>99</v>
      </c>
      <c r="E241" t="s">
        <v>100</v>
      </c>
      <c r="F241" t="s">
        <v>76</v>
      </c>
      <c r="G241">
        <v>104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ProjectCliente.NumberOutNumber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105.35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3.7794993563454127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41" s="5" cm="1">
        <f t="array" ref="O241">MIN(IF((OutputTable[GroupByKey]=OutputTable[[#This Row],[GroupByKey]]),(OutputTable[GroupByKey]=OutputTable[[#This Row],[GroupByKey]])*OutputTable[RecordedValue]))</f>
        <v>99</v>
      </c>
      <c r="P241" s="5" cm="1">
        <f t="array" ref="P241">MAX(IF((OutputTable[GroupByKey]=OutputTable[[#This Row],[GroupByKey]]),(OutputTable[GroupByKey]=OutputTable[[#This Row],[GroupByKey]])*OutputTable[RecordedValue]))</f>
        <v>114</v>
      </c>
    </row>
    <row r="242" spans="1:16" x14ac:dyDescent="0.35">
      <c r="A242" t="s">
        <v>66</v>
      </c>
      <c r="B242" t="s">
        <v>69</v>
      </c>
      <c r="C242">
        <v>35</v>
      </c>
      <c r="D242" t="s">
        <v>101</v>
      </c>
      <c r="E242" t="s">
        <v>102</v>
      </c>
      <c r="F242" t="s">
        <v>88</v>
      </c>
      <c r="G242">
        <v>50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49.1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1.0076629473115577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42" s="5" cm="1">
        <f t="array" ref="O242">MIN(IF((OutputTable[GroupByKey]=OutputTable[[#This Row],[GroupByKey]]),(OutputTable[GroupByKey]=OutputTable[[#This Row],[GroupByKey]])*OutputTable[RecordedValue]))</f>
        <v>47</v>
      </c>
      <c r="P242" s="5" cm="1">
        <f t="array" ref="P242">MAX(IF((OutputTable[GroupByKey]=OutputTable[[#This Row],[GroupByKey]]),(OutputTable[GroupByKey]=OutputTable[[#This Row],[GroupByKey]])*OutputTable[RecordedValue]))</f>
        <v>51</v>
      </c>
    </row>
    <row r="243" spans="1:16" x14ac:dyDescent="0.35">
      <c r="A243" t="s">
        <v>66</v>
      </c>
      <c r="B243" t="s">
        <v>69</v>
      </c>
      <c r="C243">
        <v>35</v>
      </c>
      <c r="D243" t="s">
        <v>103</v>
      </c>
      <c r="E243" t="s">
        <v>104</v>
      </c>
      <c r="F243" t="s">
        <v>88</v>
      </c>
      <c r="G243">
        <v>0.95217653750853104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0.87901029902009642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6.4041892088461561E-2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43" s="5" cm="1">
        <f t="array" ref="O243">MIN(IF((OutputTable[GroupByKey]=OutputTable[[#This Row],[GroupByKey]]),(OutputTable[GroupByKey]=OutputTable[[#This Row],[GroupByKey]])*OutputTable[RecordedValue]))</f>
        <v>0.71791407599347101</v>
      </c>
      <c r="P243" s="5" cm="1">
        <f t="array" ref="P243">MAX(IF((OutputTable[GroupByKey]=OutputTable[[#This Row],[GroupByKey]]),(OutputTable[GroupByKey]=OutputTable[[#This Row],[GroupByKey]])*OutputTable[RecordedValue]))</f>
        <v>0.96105910626671998</v>
      </c>
    </row>
    <row r="244" spans="1:16" x14ac:dyDescent="0.35">
      <c r="A244" t="s">
        <v>66</v>
      </c>
      <c r="B244" t="s">
        <v>69</v>
      </c>
      <c r="C244">
        <v>35</v>
      </c>
      <c r="D244" t="s">
        <v>105</v>
      </c>
      <c r="E244" t="s">
        <v>102</v>
      </c>
      <c r="F244" t="s">
        <v>88</v>
      </c>
      <c r="G244">
        <v>87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85.7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2.0902705014496981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44" s="5" cm="1">
        <f t="array" ref="O244">MIN(IF((OutputTable[GroupByKey]=OutputTable[[#This Row],[GroupByKey]]),(OutputTable[GroupByKey]=OutputTable[[#This Row],[GroupByKey]])*OutputTable[RecordedValue]))</f>
        <v>82</v>
      </c>
      <c r="P244" s="5" cm="1">
        <f t="array" ref="P244">MAX(IF((OutputTable[GroupByKey]=OutputTable[[#This Row],[GroupByKey]]),(OutputTable[GroupByKey]=OutputTable[[#This Row],[GroupByKey]])*OutputTable[RecordedValue]))</f>
        <v>90</v>
      </c>
    </row>
    <row r="245" spans="1:16" x14ac:dyDescent="0.35">
      <c r="A245" t="s">
        <v>66</v>
      </c>
      <c r="B245" t="s">
        <v>69</v>
      </c>
      <c r="C245">
        <v>35</v>
      </c>
      <c r="D245" t="s">
        <v>106</v>
      </c>
      <c r="E245" t="s">
        <v>104</v>
      </c>
      <c r="F245" t="s">
        <v>88</v>
      </c>
      <c r="G245">
        <v>0.99166360732138903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0.97764323127952735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2.0318152206087455E-2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45" s="5" cm="1">
        <f t="array" ref="O245">MIN(IF((OutputTable[GroupByKey]=OutputTable[[#This Row],[GroupByKey]]),(OutputTable[GroupByKey]=OutputTable[[#This Row],[GroupByKey]])*OutputTable[RecordedValue]))</f>
        <v>0.92631153500444496</v>
      </c>
      <c r="P245" s="5" cm="1">
        <f t="array" ref="P245">MAX(IF((OutputTable[GroupByKey]=OutputTable[[#This Row],[GroupByKey]]),(OutputTable[GroupByKey]=OutputTable[[#This Row],[GroupByKey]])*OutputTable[RecordedValue]))</f>
        <v>0.99913603041501298</v>
      </c>
    </row>
    <row r="246" spans="1:16" x14ac:dyDescent="0.35">
      <c r="A246" t="s">
        <v>66</v>
      </c>
      <c r="B246" t="s">
        <v>69</v>
      </c>
      <c r="C246">
        <v>35</v>
      </c>
      <c r="D246" t="s">
        <v>107</v>
      </c>
      <c r="E246" t="s">
        <v>100</v>
      </c>
      <c r="F246" t="s">
        <v>108</v>
      </c>
      <c r="G246">
        <v>64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66.25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3.0780446673755359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46" s="5" cm="1">
        <f t="array" ref="O246">MIN(IF((OutputTable[GroupByKey]=OutputTable[[#This Row],[GroupByKey]]),(OutputTable[GroupByKey]=OutputTable[[#This Row],[GroupByKey]])*OutputTable[RecordedValue]))</f>
        <v>60</v>
      </c>
      <c r="P246" s="5" cm="1">
        <f t="array" ref="P246">MAX(IF((OutputTable[GroupByKey]=OutputTable[[#This Row],[GroupByKey]]),(OutputTable[GroupByKey]=OutputTable[[#This Row],[GroupByKey]])*OutputTable[RecordedValue]))</f>
        <v>73</v>
      </c>
    </row>
    <row r="247" spans="1:16" x14ac:dyDescent="0.35">
      <c r="A247" t="s">
        <v>66</v>
      </c>
      <c r="B247" t="s">
        <v>69</v>
      </c>
      <c r="C247">
        <v>36</v>
      </c>
      <c r="D247" t="s">
        <v>97</v>
      </c>
      <c r="E247" t="s">
        <v>98</v>
      </c>
      <c r="F247" t="s">
        <v>76</v>
      </c>
      <c r="G247">
        <v>150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ProjectCliente.NumberInNumber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154.65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14.193805077008156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47" s="5" cm="1">
        <f t="array" ref="O247">MIN(IF((OutputTable[GroupByKey]=OutputTable[[#This Row],[GroupByKey]]),(OutputTable[GroupByKey]=OutputTable[[#This Row],[GroupByKey]])*OutputTable[RecordedValue]))</f>
        <v>128</v>
      </c>
      <c r="P247" s="5" cm="1">
        <f t="array" ref="P247">MAX(IF((OutputTable[GroupByKey]=OutputTable[[#This Row],[GroupByKey]]),(OutputTable[GroupByKey]=OutputTable[[#This Row],[GroupByKey]])*OutputTable[RecordedValue]))</f>
        <v>181</v>
      </c>
    </row>
    <row r="248" spans="1:16" x14ac:dyDescent="0.35">
      <c r="A248" t="s">
        <v>66</v>
      </c>
      <c r="B248" t="s">
        <v>69</v>
      </c>
      <c r="C248">
        <v>36</v>
      </c>
      <c r="D248" t="s">
        <v>99</v>
      </c>
      <c r="E248" t="s">
        <v>100</v>
      </c>
      <c r="F248" t="s">
        <v>76</v>
      </c>
      <c r="G248">
        <v>110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ProjectCliente.NumberOutNumber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105.35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3.7794993563454127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48" s="5" cm="1">
        <f t="array" ref="O248">MIN(IF((OutputTable[GroupByKey]=OutputTable[[#This Row],[GroupByKey]]),(OutputTable[GroupByKey]=OutputTable[[#This Row],[GroupByKey]])*OutputTable[RecordedValue]))</f>
        <v>99</v>
      </c>
      <c r="P248" s="5" cm="1">
        <f t="array" ref="P248">MAX(IF((OutputTable[GroupByKey]=OutputTable[[#This Row],[GroupByKey]]),(OutputTable[GroupByKey]=OutputTable[[#This Row],[GroupByKey]])*OutputTable[RecordedValue]))</f>
        <v>114</v>
      </c>
    </row>
    <row r="249" spans="1:16" x14ac:dyDescent="0.35">
      <c r="A249" t="s">
        <v>66</v>
      </c>
      <c r="B249" t="s">
        <v>69</v>
      </c>
      <c r="C249">
        <v>36</v>
      </c>
      <c r="D249" t="s">
        <v>101</v>
      </c>
      <c r="E249" t="s">
        <v>102</v>
      </c>
      <c r="F249" t="s">
        <v>88</v>
      </c>
      <c r="G249">
        <v>50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49.1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1.0076629473115577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49" s="5" cm="1">
        <f t="array" ref="O249">MIN(IF((OutputTable[GroupByKey]=OutputTable[[#This Row],[GroupByKey]]),(OutputTable[GroupByKey]=OutputTable[[#This Row],[GroupByKey]])*OutputTable[RecordedValue]))</f>
        <v>47</v>
      </c>
      <c r="P249" s="5" cm="1">
        <f t="array" ref="P249">MAX(IF((OutputTable[GroupByKey]=OutputTable[[#This Row],[GroupByKey]]),(OutputTable[GroupByKey]=OutputTable[[#This Row],[GroupByKey]])*OutputTable[RecordedValue]))</f>
        <v>51</v>
      </c>
    </row>
    <row r="250" spans="1:16" x14ac:dyDescent="0.35">
      <c r="A250" t="s">
        <v>66</v>
      </c>
      <c r="B250" t="s">
        <v>69</v>
      </c>
      <c r="C250">
        <v>36</v>
      </c>
      <c r="D250" t="s">
        <v>103</v>
      </c>
      <c r="E250" t="s">
        <v>104</v>
      </c>
      <c r="F250" t="s">
        <v>88</v>
      </c>
      <c r="G250">
        <v>0.84435293146219603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0.87901029902009642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6.4041892088461561E-2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50" s="5" cm="1">
        <f t="array" ref="O250">MIN(IF((OutputTable[GroupByKey]=OutputTable[[#This Row],[GroupByKey]]),(OutputTable[GroupByKey]=OutputTable[[#This Row],[GroupByKey]])*OutputTable[RecordedValue]))</f>
        <v>0.71791407599347101</v>
      </c>
      <c r="P250" s="5" cm="1">
        <f t="array" ref="P250">MAX(IF((OutputTable[GroupByKey]=OutputTable[[#This Row],[GroupByKey]]),(OutputTable[GroupByKey]=OutputTable[[#This Row],[GroupByKey]])*OutputTable[RecordedValue]))</f>
        <v>0.96105910626671998</v>
      </c>
    </row>
    <row r="251" spans="1:16" x14ac:dyDescent="0.35">
      <c r="A251" t="s">
        <v>66</v>
      </c>
      <c r="B251" t="s">
        <v>69</v>
      </c>
      <c r="C251">
        <v>36</v>
      </c>
      <c r="D251" t="s">
        <v>105</v>
      </c>
      <c r="E251" t="s">
        <v>102</v>
      </c>
      <c r="F251" t="s">
        <v>88</v>
      </c>
      <c r="G251">
        <v>87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85.7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2.0902705014496981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51" s="5" cm="1">
        <f t="array" ref="O251">MIN(IF((OutputTable[GroupByKey]=OutputTable[[#This Row],[GroupByKey]]),(OutputTable[GroupByKey]=OutputTable[[#This Row],[GroupByKey]])*OutputTable[RecordedValue]))</f>
        <v>82</v>
      </c>
      <c r="P251" s="5" cm="1">
        <f t="array" ref="P251">MAX(IF((OutputTable[GroupByKey]=OutputTable[[#This Row],[GroupByKey]]),(OutputTable[GroupByKey]=OutputTable[[#This Row],[GroupByKey]])*OutputTable[RecordedValue]))</f>
        <v>90</v>
      </c>
    </row>
    <row r="252" spans="1:16" x14ac:dyDescent="0.35">
      <c r="A252" t="s">
        <v>66</v>
      </c>
      <c r="B252" t="s">
        <v>69</v>
      </c>
      <c r="C252">
        <v>36</v>
      </c>
      <c r="D252" t="s">
        <v>106</v>
      </c>
      <c r="E252" t="s">
        <v>104</v>
      </c>
      <c r="F252" t="s">
        <v>88</v>
      </c>
      <c r="G252">
        <v>0.99421171069630898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0.97764323127952735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2.0318152206087455E-2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52" s="5" cm="1">
        <f t="array" ref="O252">MIN(IF((OutputTable[GroupByKey]=OutputTable[[#This Row],[GroupByKey]]),(OutputTable[GroupByKey]=OutputTable[[#This Row],[GroupByKey]])*OutputTable[RecordedValue]))</f>
        <v>0.92631153500444496</v>
      </c>
      <c r="P252" s="5" cm="1">
        <f t="array" ref="P252">MAX(IF((OutputTable[GroupByKey]=OutputTable[[#This Row],[GroupByKey]]),(OutputTable[GroupByKey]=OutputTable[[#This Row],[GroupByKey]])*OutputTable[RecordedValue]))</f>
        <v>0.99913603041501298</v>
      </c>
    </row>
    <row r="253" spans="1:16" x14ac:dyDescent="0.35">
      <c r="A253" t="s">
        <v>66</v>
      </c>
      <c r="B253" t="s">
        <v>69</v>
      </c>
      <c r="C253">
        <v>36</v>
      </c>
      <c r="D253" t="s">
        <v>107</v>
      </c>
      <c r="E253" t="s">
        <v>100</v>
      </c>
      <c r="F253" t="s">
        <v>108</v>
      </c>
      <c r="G253">
        <v>70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66.25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3.0780446673755359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53" s="5" cm="1">
        <f t="array" ref="O253">MIN(IF((OutputTable[GroupByKey]=OutputTable[[#This Row],[GroupByKey]]),(OutputTable[GroupByKey]=OutputTable[[#This Row],[GroupByKey]])*OutputTable[RecordedValue]))</f>
        <v>60</v>
      </c>
      <c r="P253" s="5" cm="1">
        <f t="array" ref="P253">MAX(IF((OutputTable[GroupByKey]=OutputTable[[#This Row],[GroupByKey]]),(OutputTable[GroupByKey]=OutputTable[[#This Row],[GroupByKey]])*OutputTable[RecordedValue]))</f>
        <v>73</v>
      </c>
    </row>
    <row r="254" spans="1:16" x14ac:dyDescent="0.35">
      <c r="A254" t="s">
        <v>66</v>
      </c>
      <c r="B254" t="s">
        <v>69</v>
      </c>
      <c r="C254">
        <v>37</v>
      </c>
      <c r="D254" t="s">
        <v>97</v>
      </c>
      <c r="E254" t="s">
        <v>98</v>
      </c>
      <c r="F254" t="s">
        <v>76</v>
      </c>
      <c r="G254">
        <v>140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154.65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14.193805077008156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54" s="5" cm="1">
        <f t="array" ref="O254">MIN(IF((OutputTable[GroupByKey]=OutputTable[[#This Row],[GroupByKey]]),(OutputTable[GroupByKey]=OutputTable[[#This Row],[GroupByKey]])*OutputTable[RecordedValue]))</f>
        <v>128</v>
      </c>
      <c r="P254" s="5" cm="1">
        <f t="array" ref="P254">MAX(IF((OutputTable[GroupByKey]=OutputTable[[#This Row],[GroupByKey]]),(OutputTable[GroupByKey]=OutputTable[[#This Row],[GroupByKey]])*OutputTable[RecordedValue]))</f>
        <v>181</v>
      </c>
    </row>
    <row r="255" spans="1:16" x14ac:dyDescent="0.35">
      <c r="A255" t="s">
        <v>66</v>
      </c>
      <c r="B255" t="s">
        <v>69</v>
      </c>
      <c r="C255">
        <v>37</v>
      </c>
      <c r="D255" t="s">
        <v>99</v>
      </c>
      <c r="E255" t="s">
        <v>100</v>
      </c>
      <c r="F255" t="s">
        <v>76</v>
      </c>
      <c r="G255">
        <v>112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105.35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3.7794993563454127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55" s="5" cm="1">
        <f t="array" ref="O255">MIN(IF((OutputTable[GroupByKey]=OutputTable[[#This Row],[GroupByKey]]),(OutputTable[GroupByKey]=OutputTable[[#This Row],[GroupByKey]])*OutputTable[RecordedValue]))</f>
        <v>99</v>
      </c>
      <c r="P255" s="5" cm="1">
        <f t="array" ref="P255">MAX(IF((OutputTable[GroupByKey]=OutputTable[[#This Row],[GroupByKey]]),(OutputTable[GroupByKey]=OutputTable[[#This Row],[GroupByKey]])*OutputTable[RecordedValue]))</f>
        <v>114</v>
      </c>
    </row>
    <row r="256" spans="1:16" x14ac:dyDescent="0.35">
      <c r="A256" t="s">
        <v>66</v>
      </c>
      <c r="B256" t="s">
        <v>69</v>
      </c>
      <c r="C256">
        <v>37</v>
      </c>
      <c r="D256" t="s">
        <v>101</v>
      </c>
      <c r="E256" t="s">
        <v>102</v>
      </c>
      <c r="F256" t="s">
        <v>88</v>
      </c>
      <c r="G256">
        <v>50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49.1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1.0076629473115577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56" s="5" cm="1">
        <f t="array" ref="O256">MIN(IF((OutputTable[GroupByKey]=OutputTable[[#This Row],[GroupByKey]]),(OutputTable[GroupByKey]=OutputTable[[#This Row],[GroupByKey]])*OutputTable[RecordedValue]))</f>
        <v>47</v>
      </c>
      <c r="P256" s="5" cm="1">
        <f t="array" ref="P256">MAX(IF((OutputTable[GroupByKey]=OutputTable[[#This Row],[GroupByKey]]),(OutputTable[GroupByKey]=OutputTable[[#This Row],[GroupByKey]])*OutputTable[RecordedValue]))</f>
        <v>51</v>
      </c>
    </row>
    <row r="257" spans="1:16" x14ac:dyDescent="0.35">
      <c r="A257" t="s">
        <v>66</v>
      </c>
      <c r="B257" t="s">
        <v>69</v>
      </c>
      <c r="C257">
        <v>37</v>
      </c>
      <c r="D257" t="s">
        <v>103</v>
      </c>
      <c r="E257" t="s">
        <v>104</v>
      </c>
      <c r="F257" t="s">
        <v>88</v>
      </c>
      <c r="G257">
        <v>0.87704138070938298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0.87901029902009642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6.4041892088461561E-2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57" s="5" cm="1">
        <f t="array" ref="O257">MIN(IF((OutputTable[GroupByKey]=OutputTable[[#This Row],[GroupByKey]]),(OutputTable[GroupByKey]=OutputTable[[#This Row],[GroupByKey]])*OutputTable[RecordedValue]))</f>
        <v>0.71791407599347101</v>
      </c>
      <c r="P257" s="5" cm="1">
        <f t="array" ref="P257">MAX(IF((OutputTable[GroupByKey]=OutputTable[[#This Row],[GroupByKey]]),(OutputTable[GroupByKey]=OutputTable[[#This Row],[GroupByKey]])*OutputTable[RecordedValue]))</f>
        <v>0.96105910626671998</v>
      </c>
    </row>
    <row r="258" spans="1:16" x14ac:dyDescent="0.35">
      <c r="A258" t="s">
        <v>66</v>
      </c>
      <c r="B258" t="s">
        <v>69</v>
      </c>
      <c r="C258">
        <v>37</v>
      </c>
      <c r="D258" t="s">
        <v>105</v>
      </c>
      <c r="E258" t="s">
        <v>102</v>
      </c>
      <c r="F258" t="s">
        <v>88</v>
      </c>
      <c r="G258">
        <v>87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85.7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2.0902705014496981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58" s="5" cm="1">
        <f t="array" ref="O258">MIN(IF((OutputTable[GroupByKey]=OutputTable[[#This Row],[GroupByKey]]),(OutputTable[GroupByKey]=OutputTable[[#This Row],[GroupByKey]])*OutputTable[RecordedValue]))</f>
        <v>82</v>
      </c>
      <c r="P258" s="5" cm="1">
        <f t="array" ref="P258">MAX(IF((OutputTable[GroupByKey]=OutputTable[[#This Row],[GroupByKey]]),(OutputTable[GroupByKey]=OutputTable[[#This Row],[GroupByKey]])*OutputTable[RecordedValue]))</f>
        <v>90</v>
      </c>
    </row>
    <row r="259" spans="1:16" x14ac:dyDescent="0.35">
      <c r="A259" t="s">
        <v>66</v>
      </c>
      <c r="B259" t="s">
        <v>69</v>
      </c>
      <c r="C259">
        <v>37</v>
      </c>
      <c r="D259" t="s">
        <v>106</v>
      </c>
      <c r="E259" t="s">
        <v>104</v>
      </c>
      <c r="F259" t="s">
        <v>88</v>
      </c>
      <c r="G259">
        <v>0.98446995775378998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0.97764323127952735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2.0318152206087455E-2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59" s="5" cm="1">
        <f t="array" ref="O259">MIN(IF((OutputTable[GroupByKey]=OutputTable[[#This Row],[GroupByKey]]),(OutputTable[GroupByKey]=OutputTable[[#This Row],[GroupByKey]])*OutputTable[RecordedValue]))</f>
        <v>0.92631153500444496</v>
      </c>
      <c r="P259" s="5" cm="1">
        <f t="array" ref="P259">MAX(IF((OutputTable[GroupByKey]=OutputTable[[#This Row],[GroupByKey]]),(OutputTable[GroupByKey]=OutputTable[[#This Row],[GroupByKey]])*OutputTable[RecordedValue]))</f>
        <v>0.99913603041501298</v>
      </c>
    </row>
    <row r="260" spans="1:16" x14ac:dyDescent="0.35">
      <c r="A260" t="s">
        <v>66</v>
      </c>
      <c r="B260" t="s">
        <v>69</v>
      </c>
      <c r="C260">
        <v>37</v>
      </c>
      <c r="D260" t="s">
        <v>107</v>
      </c>
      <c r="E260" t="s">
        <v>100</v>
      </c>
      <c r="F260" t="s">
        <v>108</v>
      </c>
      <c r="G260">
        <v>72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66.25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3.0780446673755359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60" s="5" cm="1">
        <f t="array" ref="O260">MIN(IF((OutputTable[GroupByKey]=OutputTable[[#This Row],[GroupByKey]]),(OutputTable[GroupByKey]=OutputTable[[#This Row],[GroupByKey]])*OutputTable[RecordedValue]))</f>
        <v>60</v>
      </c>
      <c r="P260" s="5" cm="1">
        <f t="array" ref="P260">MAX(IF((OutputTable[GroupByKey]=OutputTable[[#This Row],[GroupByKey]]),(OutputTable[GroupByKey]=OutputTable[[#This Row],[GroupByKey]])*OutputTable[RecordedValue]))</f>
        <v>73</v>
      </c>
    </row>
    <row r="261" spans="1:16" x14ac:dyDescent="0.35">
      <c r="A261" t="s">
        <v>66</v>
      </c>
      <c r="B261" t="s">
        <v>69</v>
      </c>
      <c r="C261">
        <v>38</v>
      </c>
      <c r="D261" t="s">
        <v>97</v>
      </c>
      <c r="E261" t="s">
        <v>98</v>
      </c>
      <c r="F261" t="s">
        <v>76</v>
      </c>
      <c r="G261">
        <v>172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ProjectCliente.NumberInNumber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154.65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14.193805077008156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61" s="5" cm="1">
        <f t="array" ref="O261">MIN(IF((OutputTable[GroupByKey]=OutputTable[[#This Row],[GroupByKey]]),(OutputTable[GroupByKey]=OutputTable[[#This Row],[GroupByKey]])*OutputTable[RecordedValue]))</f>
        <v>128</v>
      </c>
      <c r="P261" s="5" cm="1">
        <f t="array" ref="P261">MAX(IF((OutputTable[GroupByKey]=OutputTable[[#This Row],[GroupByKey]]),(OutputTable[GroupByKey]=OutputTable[[#This Row],[GroupByKey]])*OutputTable[RecordedValue]))</f>
        <v>181</v>
      </c>
    </row>
    <row r="262" spans="1:16" x14ac:dyDescent="0.35">
      <c r="A262" t="s">
        <v>66</v>
      </c>
      <c r="B262" t="s">
        <v>69</v>
      </c>
      <c r="C262">
        <v>38</v>
      </c>
      <c r="D262" t="s">
        <v>99</v>
      </c>
      <c r="E262" t="s">
        <v>100</v>
      </c>
      <c r="F262" t="s">
        <v>76</v>
      </c>
      <c r="G262">
        <v>114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ProjectCliente.NumberOutNumber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105.35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3.7794993563454127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62" s="5" cm="1">
        <f t="array" ref="O262">MIN(IF((OutputTable[GroupByKey]=OutputTable[[#This Row],[GroupByKey]]),(OutputTable[GroupByKey]=OutputTable[[#This Row],[GroupByKey]])*OutputTable[RecordedValue]))</f>
        <v>99</v>
      </c>
      <c r="P262" s="5" cm="1">
        <f t="array" ref="P262">MAX(IF((OutputTable[GroupByKey]=OutputTable[[#This Row],[GroupByKey]]),(OutputTable[GroupByKey]=OutputTable[[#This Row],[GroupByKey]])*OutputTable[RecordedValue]))</f>
        <v>114</v>
      </c>
    </row>
    <row r="263" spans="1:16" x14ac:dyDescent="0.35">
      <c r="A263" t="s">
        <v>66</v>
      </c>
      <c r="B263" t="s">
        <v>69</v>
      </c>
      <c r="C263">
        <v>38</v>
      </c>
      <c r="D263" t="s">
        <v>101</v>
      </c>
      <c r="E263" t="s">
        <v>102</v>
      </c>
      <c r="F263" t="s">
        <v>88</v>
      </c>
      <c r="G263">
        <v>51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49.1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1.0076629473115577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63" s="5" cm="1">
        <f t="array" ref="O263">MIN(IF((OutputTable[GroupByKey]=OutputTable[[#This Row],[GroupByKey]]),(OutputTable[GroupByKey]=OutputTable[[#This Row],[GroupByKey]])*OutputTable[RecordedValue]))</f>
        <v>47</v>
      </c>
      <c r="P263" s="5" cm="1">
        <f t="array" ref="P263">MAX(IF((OutputTable[GroupByKey]=OutputTable[[#This Row],[GroupByKey]]),(OutputTable[GroupByKey]=OutputTable[[#This Row],[GroupByKey]])*OutputTable[RecordedValue]))</f>
        <v>51</v>
      </c>
    </row>
    <row r="264" spans="1:16" x14ac:dyDescent="0.35">
      <c r="A264" t="s">
        <v>66</v>
      </c>
      <c r="B264" t="s">
        <v>69</v>
      </c>
      <c r="C264">
        <v>38</v>
      </c>
      <c r="D264" t="s">
        <v>103</v>
      </c>
      <c r="E264" t="s">
        <v>104</v>
      </c>
      <c r="F264" t="s">
        <v>88</v>
      </c>
      <c r="G264">
        <v>0.95032883585636996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0.87901029902009642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6.4041892088461561E-2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64" s="5" cm="1">
        <f t="array" ref="O264">MIN(IF((OutputTable[GroupByKey]=OutputTable[[#This Row],[GroupByKey]]),(OutputTable[GroupByKey]=OutputTable[[#This Row],[GroupByKey]])*OutputTable[RecordedValue]))</f>
        <v>0.71791407599347101</v>
      </c>
      <c r="P264" s="5" cm="1">
        <f t="array" ref="P264">MAX(IF((OutputTable[GroupByKey]=OutputTable[[#This Row],[GroupByKey]]),(OutputTable[GroupByKey]=OutputTable[[#This Row],[GroupByKey]])*OutputTable[RecordedValue]))</f>
        <v>0.96105910626671998</v>
      </c>
    </row>
    <row r="265" spans="1:16" x14ac:dyDescent="0.35">
      <c r="A265" t="s">
        <v>66</v>
      </c>
      <c r="B265" t="s">
        <v>69</v>
      </c>
      <c r="C265">
        <v>38</v>
      </c>
      <c r="D265" t="s">
        <v>105</v>
      </c>
      <c r="E265" t="s">
        <v>102</v>
      </c>
      <c r="F265" t="s">
        <v>88</v>
      </c>
      <c r="G265">
        <v>90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85.7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2.0902705014496981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65" s="5" cm="1">
        <f t="array" ref="O265">MIN(IF((OutputTable[GroupByKey]=OutputTable[[#This Row],[GroupByKey]]),(OutputTable[GroupByKey]=OutputTable[[#This Row],[GroupByKey]])*OutputTable[RecordedValue]))</f>
        <v>82</v>
      </c>
      <c r="P265" s="5" cm="1">
        <f t="array" ref="P265">MAX(IF((OutputTable[GroupByKey]=OutputTable[[#This Row],[GroupByKey]]),(OutputTable[GroupByKey]=OutputTable[[#This Row],[GroupByKey]])*OutputTable[RecordedValue]))</f>
        <v>90</v>
      </c>
    </row>
    <row r="266" spans="1:16" x14ac:dyDescent="0.35">
      <c r="A266" t="s">
        <v>66</v>
      </c>
      <c r="B266" t="s">
        <v>69</v>
      </c>
      <c r="C266">
        <v>38</v>
      </c>
      <c r="D266" t="s">
        <v>106</v>
      </c>
      <c r="E266" t="s">
        <v>104</v>
      </c>
      <c r="F266" t="s">
        <v>88</v>
      </c>
      <c r="G266">
        <v>0.99529885108462202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0.97764323127952735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2.0318152206087455E-2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66" s="5" cm="1">
        <f t="array" ref="O266">MIN(IF((OutputTable[GroupByKey]=OutputTable[[#This Row],[GroupByKey]]),(OutputTable[GroupByKey]=OutputTable[[#This Row],[GroupByKey]])*OutputTable[RecordedValue]))</f>
        <v>0.92631153500444496</v>
      </c>
      <c r="P266" s="5" cm="1">
        <f t="array" ref="P266">MAX(IF((OutputTable[GroupByKey]=OutputTable[[#This Row],[GroupByKey]]),(OutputTable[GroupByKey]=OutputTable[[#This Row],[GroupByKey]])*OutputTable[RecordedValue]))</f>
        <v>0.99913603041501298</v>
      </c>
    </row>
    <row r="267" spans="1:16" x14ac:dyDescent="0.35">
      <c r="A267" t="s">
        <v>66</v>
      </c>
      <c r="B267" t="s">
        <v>69</v>
      </c>
      <c r="C267">
        <v>38</v>
      </c>
      <c r="D267" t="s">
        <v>107</v>
      </c>
      <c r="E267" t="s">
        <v>100</v>
      </c>
      <c r="F267" t="s">
        <v>108</v>
      </c>
      <c r="G267">
        <v>73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66.25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3.0780446673755359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67" s="5" cm="1">
        <f t="array" ref="O267">MIN(IF((OutputTable[GroupByKey]=OutputTable[[#This Row],[GroupByKey]]),(OutputTable[GroupByKey]=OutputTable[[#This Row],[GroupByKey]])*OutputTable[RecordedValue]))</f>
        <v>60</v>
      </c>
      <c r="P267" s="5" cm="1">
        <f t="array" ref="P267">MAX(IF((OutputTable[GroupByKey]=OutputTable[[#This Row],[GroupByKey]]),(OutputTable[GroupByKey]=OutputTable[[#This Row],[GroupByKey]])*OutputTable[RecordedValue]))</f>
        <v>73</v>
      </c>
    </row>
    <row r="268" spans="1:16" x14ac:dyDescent="0.35">
      <c r="A268" t="s">
        <v>66</v>
      </c>
      <c r="B268" t="s">
        <v>69</v>
      </c>
      <c r="C268">
        <v>39</v>
      </c>
      <c r="D268" t="s">
        <v>97</v>
      </c>
      <c r="E268" t="s">
        <v>98</v>
      </c>
      <c r="F268" t="s">
        <v>76</v>
      </c>
      <c r="G268">
        <v>148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ProjectCliente.NumberInNumber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154.65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14.193805077008156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68" s="5" cm="1">
        <f t="array" ref="O268">MIN(IF((OutputTable[GroupByKey]=OutputTable[[#This Row],[GroupByKey]]),(OutputTable[GroupByKey]=OutputTable[[#This Row],[GroupByKey]])*OutputTable[RecordedValue]))</f>
        <v>128</v>
      </c>
      <c r="P268" s="5" cm="1">
        <f t="array" ref="P268">MAX(IF((OutputTable[GroupByKey]=OutputTable[[#This Row],[GroupByKey]]),(OutputTable[GroupByKey]=OutputTable[[#This Row],[GroupByKey]])*OutputTable[RecordedValue]))</f>
        <v>181</v>
      </c>
    </row>
    <row r="269" spans="1:16" x14ac:dyDescent="0.35">
      <c r="A269" t="s">
        <v>66</v>
      </c>
      <c r="B269" t="s">
        <v>69</v>
      </c>
      <c r="C269">
        <v>39</v>
      </c>
      <c r="D269" t="s">
        <v>99</v>
      </c>
      <c r="E269" t="s">
        <v>100</v>
      </c>
      <c r="F269" t="s">
        <v>76</v>
      </c>
      <c r="G269">
        <v>108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ProjectCliente.NumberOutNumber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105.35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3.7794993563454127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69" s="5" cm="1">
        <f t="array" ref="O269">MIN(IF((OutputTable[GroupByKey]=OutputTable[[#This Row],[GroupByKey]]),(OutputTable[GroupByKey]=OutputTable[[#This Row],[GroupByKey]])*OutputTable[RecordedValue]))</f>
        <v>99</v>
      </c>
      <c r="P269" s="5" cm="1">
        <f t="array" ref="P269">MAX(IF((OutputTable[GroupByKey]=OutputTable[[#This Row],[GroupByKey]]),(OutputTable[GroupByKey]=OutputTable[[#This Row],[GroupByKey]])*OutputTable[RecordedValue]))</f>
        <v>114</v>
      </c>
    </row>
    <row r="270" spans="1:16" x14ac:dyDescent="0.35">
      <c r="A270" t="s">
        <v>66</v>
      </c>
      <c r="B270" t="s">
        <v>69</v>
      </c>
      <c r="C270">
        <v>39</v>
      </c>
      <c r="D270" t="s">
        <v>101</v>
      </c>
      <c r="E270" t="s">
        <v>102</v>
      </c>
      <c r="F270" t="s">
        <v>88</v>
      </c>
      <c r="G270">
        <v>50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49.1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1.0076629473115577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70" s="5" cm="1">
        <f t="array" ref="O270">MIN(IF((OutputTable[GroupByKey]=OutputTable[[#This Row],[GroupByKey]]),(OutputTable[GroupByKey]=OutputTable[[#This Row],[GroupByKey]])*OutputTable[RecordedValue]))</f>
        <v>47</v>
      </c>
      <c r="P270" s="5" cm="1">
        <f t="array" ref="P270">MAX(IF((OutputTable[GroupByKey]=OutputTable[[#This Row],[GroupByKey]]),(OutputTable[GroupByKey]=OutputTable[[#This Row],[GroupByKey]])*OutputTable[RecordedValue]))</f>
        <v>51</v>
      </c>
    </row>
    <row r="271" spans="1:16" x14ac:dyDescent="0.35">
      <c r="A271" t="s">
        <v>66</v>
      </c>
      <c r="B271" t="s">
        <v>69</v>
      </c>
      <c r="C271">
        <v>39</v>
      </c>
      <c r="D271" t="s">
        <v>103</v>
      </c>
      <c r="E271" t="s">
        <v>104</v>
      </c>
      <c r="F271" t="s">
        <v>88</v>
      </c>
      <c r="G271">
        <v>0.85807830584468703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0.87901029902009642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6.4041892088461561E-2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71" s="5" cm="1">
        <f t="array" ref="O271">MIN(IF((OutputTable[GroupByKey]=OutputTable[[#This Row],[GroupByKey]]),(OutputTable[GroupByKey]=OutputTable[[#This Row],[GroupByKey]])*OutputTable[RecordedValue]))</f>
        <v>0.71791407599347101</v>
      </c>
      <c r="P271" s="5" cm="1">
        <f t="array" ref="P271">MAX(IF((OutputTable[GroupByKey]=OutputTable[[#This Row],[GroupByKey]]),(OutputTable[GroupByKey]=OutputTable[[#This Row],[GroupByKey]])*OutputTable[RecordedValue]))</f>
        <v>0.96105910626671998</v>
      </c>
    </row>
    <row r="272" spans="1:16" x14ac:dyDescent="0.35">
      <c r="A272" t="s">
        <v>66</v>
      </c>
      <c r="B272" t="s">
        <v>69</v>
      </c>
      <c r="C272">
        <v>39</v>
      </c>
      <c r="D272" t="s">
        <v>105</v>
      </c>
      <c r="E272" t="s">
        <v>102</v>
      </c>
      <c r="F272" t="s">
        <v>88</v>
      </c>
      <c r="G272">
        <v>87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85.7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2.0902705014496981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72" s="5" cm="1">
        <f t="array" ref="O272">MIN(IF((OutputTable[GroupByKey]=OutputTable[[#This Row],[GroupByKey]]),(OutputTable[GroupByKey]=OutputTable[[#This Row],[GroupByKey]])*OutputTable[RecordedValue]))</f>
        <v>82</v>
      </c>
      <c r="P272" s="5" cm="1">
        <f t="array" ref="P272">MAX(IF((OutputTable[GroupByKey]=OutputTable[[#This Row],[GroupByKey]]),(OutputTable[GroupByKey]=OutputTable[[#This Row],[GroupByKey]])*OutputTable[RecordedValue]))</f>
        <v>90</v>
      </c>
    </row>
    <row r="273" spans="1:16" x14ac:dyDescent="0.35">
      <c r="A273" t="s">
        <v>66</v>
      </c>
      <c r="B273" t="s">
        <v>69</v>
      </c>
      <c r="C273">
        <v>39</v>
      </c>
      <c r="D273" t="s">
        <v>106</v>
      </c>
      <c r="E273" t="s">
        <v>104</v>
      </c>
      <c r="F273" t="s">
        <v>88</v>
      </c>
      <c r="G273">
        <v>0.96758095254889598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0.97764323127952735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2.0318152206087455E-2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73" s="5" cm="1">
        <f t="array" ref="O273">MIN(IF((OutputTable[GroupByKey]=OutputTable[[#This Row],[GroupByKey]]),(OutputTable[GroupByKey]=OutputTable[[#This Row],[GroupByKey]])*OutputTable[RecordedValue]))</f>
        <v>0.92631153500444496</v>
      </c>
      <c r="P273" s="5" cm="1">
        <f t="array" ref="P273">MAX(IF((OutputTable[GroupByKey]=OutputTable[[#This Row],[GroupByKey]]),(OutputTable[GroupByKey]=OutputTable[[#This Row],[GroupByKey]])*OutputTable[RecordedValue]))</f>
        <v>0.99913603041501298</v>
      </c>
    </row>
    <row r="274" spans="1:16" x14ac:dyDescent="0.35">
      <c r="A274" t="s">
        <v>66</v>
      </c>
      <c r="B274" t="s">
        <v>69</v>
      </c>
      <c r="C274">
        <v>39</v>
      </c>
      <c r="D274" t="s">
        <v>107</v>
      </c>
      <c r="E274" t="s">
        <v>100</v>
      </c>
      <c r="F274" t="s">
        <v>108</v>
      </c>
      <c r="G274">
        <v>68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66.25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3.0780446673755359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74" s="5" cm="1">
        <f t="array" ref="O274">MIN(IF((OutputTable[GroupByKey]=OutputTable[[#This Row],[GroupByKey]]),(OutputTable[GroupByKey]=OutputTable[[#This Row],[GroupByKey]])*OutputTable[RecordedValue]))</f>
        <v>60</v>
      </c>
      <c r="P274" s="5" cm="1">
        <f t="array" ref="P274">MAX(IF((OutputTable[GroupByKey]=OutputTable[[#This Row],[GroupByKey]]),(OutputTable[GroupByKey]=OutputTable[[#This Row],[GroupByKey]])*OutputTable[RecordedValue]))</f>
        <v>73</v>
      </c>
    </row>
    <row r="275" spans="1:16" x14ac:dyDescent="0.35">
      <c r="A275" t="s">
        <v>66</v>
      </c>
      <c r="B275" t="s">
        <v>69</v>
      </c>
      <c r="C275">
        <v>40</v>
      </c>
      <c r="D275" t="s">
        <v>97</v>
      </c>
      <c r="E275" t="s">
        <v>98</v>
      </c>
      <c r="F275" t="s">
        <v>76</v>
      </c>
      <c r="G275">
        <v>133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154.65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14.193805077008156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4.5393990875088708</v>
      </c>
      <c r="O275" s="5" cm="1">
        <f t="array" ref="O275">MIN(IF((OutputTable[GroupByKey]=OutputTable[[#This Row],[GroupByKey]]),(OutputTable[GroupByKey]=OutputTable[[#This Row],[GroupByKey]])*OutputTable[RecordedValue]))</f>
        <v>128</v>
      </c>
      <c r="P275" s="5" cm="1">
        <f t="array" ref="P275">MAX(IF((OutputTable[GroupByKey]=OutputTable[[#This Row],[GroupByKey]]),(OutputTable[GroupByKey]=OutputTable[[#This Row],[GroupByKey]])*OutputTable[RecordedValue]))</f>
        <v>181</v>
      </c>
    </row>
    <row r="276" spans="1:16" x14ac:dyDescent="0.35">
      <c r="A276" t="s">
        <v>66</v>
      </c>
      <c r="B276" t="s">
        <v>69</v>
      </c>
      <c r="C276">
        <v>40</v>
      </c>
      <c r="D276" t="s">
        <v>99</v>
      </c>
      <c r="E276" t="s">
        <v>100</v>
      </c>
      <c r="F276" t="s">
        <v>76</v>
      </c>
      <c r="G276">
        <v>103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105.35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3.7794993563454127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1.2087425349546295</v>
      </c>
      <c r="O276" s="5" cm="1">
        <f t="array" ref="O276">MIN(IF((OutputTable[GroupByKey]=OutputTable[[#This Row],[GroupByKey]]),(OutputTable[GroupByKey]=OutputTable[[#This Row],[GroupByKey]])*OutputTable[RecordedValue]))</f>
        <v>99</v>
      </c>
      <c r="P276" s="5" cm="1">
        <f t="array" ref="P276">MAX(IF((OutputTable[GroupByKey]=OutputTable[[#This Row],[GroupByKey]]),(OutputTable[GroupByKey]=OutputTable[[#This Row],[GroupByKey]])*OutputTable[RecordedValue]))</f>
        <v>114</v>
      </c>
    </row>
    <row r="277" spans="1:16" x14ac:dyDescent="0.35">
      <c r="A277" t="s">
        <v>66</v>
      </c>
      <c r="B277" t="s">
        <v>69</v>
      </c>
      <c r="C277">
        <v>40</v>
      </c>
      <c r="D277" t="s">
        <v>101</v>
      </c>
      <c r="E277" t="s">
        <v>102</v>
      </c>
      <c r="F277" t="s">
        <v>88</v>
      </c>
      <c r="G277">
        <v>49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49.1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1.0076629473115577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0.32226624493752409</v>
      </c>
      <c r="O277" s="5" cm="1">
        <f t="array" ref="O277">MIN(IF((OutputTable[GroupByKey]=OutputTable[[#This Row],[GroupByKey]]),(OutputTable[GroupByKey]=OutputTable[[#This Row],[GroupByKey]])*OutputTable[RecordedValue]))</f>
        <v>47</v>
      </c>
      <c r="P277" s="5" cm="1">
        <f t="array" ref="P277">MAX(IF((OutputTable[GroupByKey]=OutputTable[[#This Row],[GroupByKey]]),(OutputTable[GroupByKey]=OutputTable[[#This Row],[GroupByKey]])*OutputTable[RecordedValue]))</f>
        <v>51</v>
      </c>
    </row>
    <row r="278" spans="1:16" x14ac:dyDescent="0.35">
      <c r="A278" t="s">
        <v>66</v>
      </c>
      <c r="B278" t="s">
        <v>69</v>
      </c>
      <c r="C278">
        <v>40</v>
      </c>
      <c r="D278" t="s">
        <v>103</v>
      </c>
      <c r="E278" t="s">
        <v>104</v>
      </c>
      <c r="F278" t="s">
        <v>88</v>
      </c>
      <c r="G278">
        <v>0.853046269111157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0.87901029902009642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6.4041892088461561E-2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2.048159073141095E-2</v>
      </c>
      <c r="O278" s="5" cm="1">
        <f t="array" ref="O278">MIN(IF((OutputTable[GroupByKey]=OutputTable[[#This Row],[GroupByKey]]),(OutputTable[GroupByKey]=OutputTable[[#This Row],[GroupByKey]])*OutputTable[RecordedValue]))</f>
        <v>0.71791407599347101</v>
      </c>
      <c r="P278" s="5" cm="1">
        <f t="array" ref="P278">MAX(IF((OutputTable[GroupByKey]=OutputTable[[#This Row],[GroupByKey]]),(OutputTable[GroupByKey]=OutputTable[[#This Row],[GroupByKey]])*OutputTable[RecordedValue]))</f>
        <v>0.96105910626671998</v>
      </c>
    </row>
    <row r="279" spans="1:16" x14ac:dyDescent="0.35">
      <c r="A279" t="s">
        <v>66</v>
      </c>
      <c r="B279" t="s">
        <v>69</v>
      </c>
      <c r="C279">
        <v>40</v>
      </c>
      <c r="D279" t="s">
        <v>105</v>
      </c>
      <c r="E279" t="s">
        <v>102</v>
      </c>
      <c r="F279" t="s">
        <v>88</v>
      </c>
      <c r="G279">
        <v>86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85.7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2.0902705014496981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0.6685009379407032</v>
      </c>
      <c r="O279" s="5" cm="1">
        <f t="array" ref="O279">MIN(IF((OutputTable[GroupByKey]=OutputTable[[#This Row],[GroupByKey]]),(OutputTable[GroupByKey]=OutputTable[[#This Row],[GroupByKey]])*OutputTable[RecordedValue]))</f>
        <v>82</v>
      </c>
      <c r="P279" s="5" cm="1">
        <f t="array" ref="P279">MAX(IF((OutputTable[GroupByKey]=OutputTable[[#This Row],[GroupByKey]]),(OutputTable[GroupByKey]=OutputTable[[#This Row],[GroupByKey]])*OutputTable[RecordedValue]))</f>
        <v>90</v>
      </c>
    </row>
    <row r="280" spans="1:16" x14ac:dyDescent="0.35">
      <c r="A280" t="s">
        <v>66</v>
      </c>
      <c r="B280" t="s">
        <v>69</v>
      </c>
      <c r="C280">
        <v>40</v>
      </c>
      <c r="D280" t="s">
        <v>106</v>
      </c>
      <c r="E280" t="s">
        <v>104</v>
      </c>
      <c r="F280" t="s">
        <v>88</v>
      </c>
      <c r="G280">
        <v>0.97513747162922904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0.97764323127952735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2.0318152206087455E-2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6.4980603216527278E-3</v>
      </c>
      <c r="O280" s="5" cm="1">
        <f t="array" ref="O280">MIN(IF((OutputTable[GroupByKey]=OutputTable[[#This Row],[GroupByKey]]),(OutputTable[GroupByKey]=OutputTable[[#This Row],[GroupByKey]])*OutputTable[RecordedValue]))</f>
        <v>0.92631153500444496</v>
      </c>
      <c r="P280" s="5" cm="1">
        <f t="array" ref="P280">MAX(IF((OutputTable[GroupByKey]=OutputTable[[#This Row],[GroupByKey]]),(OutputTable[GroupByKey]=OutputTable[[#This Row],[GroupByKey]])*OutputTable[RecordedValue]))</f>
        <v>0.99913603041501298</v>
      </c>
    </row>
    <row r="281" spans="1:16" x14ac:dyDescent="0.35">
      <c r="A281" t="s">
        <v>66</v>
      </c>
      <c r="B281" t="s">
        <v>69</v>
      </c>
      <c r="C281">
        <v>40</v>
      </c>
      <c r="D281" t="s">
        <v>107</v>
      </c>
      <c r="E281" t="s">
        <v>100</v>
      </c>
      <c r="F281" t="s">
        <v>108</v>
      </c>
      <c r="G281">
        <v>64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66.25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3.0780446673755359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0.98440644200682814</v>
      </c>
      <c r="O281" s="5" cm="1">
        <f t="array" ref="O281">MIN(IF((OutputTable[GroupByKey]=OutputTable[[#This Row],[GroupByKey]]),(OutputTable[GroupByKey]=OutputTable[[#This Row],[GroupByKey]])*OutputTable[RecordedValue]))</f>
        <v>60</v>
      </c>
      <c r="P281" s="5" cm="1">
        <f t="array" ref="P281">MAX(IF((OutputTable[GroupByKey]=OutputTable[[#This Row],[GroupByKey]]),(OutputTable[GroupByKey]=OutputTable[[#This Row],[GroupByKey]])*OutputTable[RecordedValue]))</f>
        <v>73</v>
      </c>
    </row>
  </sheetData>
  <phoneticPr fontId="2" type="noConversion"/>
  <conditionalFormatting sqref="I2:P281">
    <cfRule type="expression" dxfId="3" priority="2">
      <formula>MOD(ROW(),2)=0</formula>
    </cfRule>
  </conditionalFormatting>
  <conditionalFormatting sqref="N2:N2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2023-12-09T13:18:51Z</dcterms:modified>
</cp:coreProperties>
</file>