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Prova\"/>
    </mc:Choice>
  </mc:AlternateContent>
  <xr:revisionPtr revIDLastSave="0" documentId="8_{542679F6-654F-43AD-B1E3-B6BE861429D2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ContinuousTimeStatsByRep!$A$1:$L$441</definedName>
    <definedName name="ExternalData_1" localSheetId="4" hidden="1">CounterStatsByRep!$A$1:$G$121</definedName>
    <definedName name="ExternalData_1" localSheetId="2" hidden="1">DiscreteTimeStatsByRep!$A$1:$K$401</definedName>
    <definedName name="ExternalData_1" localSheetId="6" hidden="1">FrequencyStatsByRep!$A$1:$K$2</definedName>
    <definedName name="ExternalData_1" localSheetId="5" hidden="1">OutputStatsByRep!$A$1:$H$281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05" r:id="rId8"/>
    <pivotCache cacheId="111" r:id="rId9"/>
    <pivotCache cacheId="117" r:id="rId10"/>
    <pivotCache cacheId="123" r:id="rId11"/>
    <pivotCache cacheId="12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N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/>
  <c r="J39" i="20" a="1"/>
  <c r="J39" i="20" s="1"/>
  <c r="N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N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N70" i="20" s="1"/>
  <c r="J71" i="20" a="1"/>
  <c r="J71" i="20" s="1"/>
  <c r="N71" i="20" s="1"/>
  <c r="J72" i="20" a="1"/>
  <c r="J72" i="20" s="1"/>
  <c r="J73" i="20" a="1"/>
  <c r="J73" i="20" s="1"/>
  <c r="J74" i="20" a="1"/>
  <c r="J74" i="20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N79" i="20" s="1"/>
  <c r="J80" i="20" a="1"/>
  <c r="J80" i="20"/>
  <c r="J81" i="20" a="1"/>
  <c r="J81" i="20" s="1"/>
  <c r="J82" i="20" a="1"/>
  <c r="J82" i="20" s="1"/>
  <c r="J83" i="20" a="1"/>
  <c r="J83" i="20" s="1"/>
  <c r="N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N102" i="20" s="1"/>
  <c r="J103" i="20" a="1"/>
  <c r="J103" i="20" s="1"/>
  <c r="N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N111" i="20" s="1"/>
  <c r="J112" i="20" a="1"/>
  <c r="J112" i="20" s="1"/>
  <c r="J113" i="20" a="1"/>
  <c r="J113" i="20" s="1"/>
  <c r="J114" i="20" a="1"/>
  <c r="J114" i="20" s="1"/>
  <c r="J115" i="20" a="1"/>
  <c r="J115" i="20" s="1"/>
  <c r="N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/>
  <c r="J135" i="20" a="1"/>
  <c r="J135" i="20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N143" i="20" s="1"/>
  <c r="J144" i="20" a="1"/>
  <c r="J144" i="20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/>
  <c r="J155" i="20" a="1"/>
  <c r="J155" i="20" s="1"/>
  <c r="J156" i="20" a="1"/>
  <c r="J156" i="20"/>
  <c r="J157" i="20" a="1"/>
  <c r="J157" i="20" s="1"/>
  <c r="J158" i="20" a="1"/>
  <c r="J158" i="20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/>
  <c r="J164" i="20" a="1"/>
  <c r="J164" i="20" s="1"/>
  <c r="J165" i="20" a="1"/>
  <c r="J165" i="20" s="1"/>
  <c r="J166" i="20" a="1"/>
  <c r="J166" i="20"/>
  <c r="J167" i="20" a="1"/>
  <c r="J167" i="20" s="1"/>
  <c r="N167" i="20" s="1"/>
  <c r="J168" i="20" a="1"/>
  <c r="J168" i="20" s="1"/>
  <c r="J169" i="20" a="1"/>
  <c r="J169" i="20" s="1"/>
  <c r="J170" i="20" a="1"/>
  <c r="J170" i="20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N175" i="20" s="1"/>
  <c r="J176" i="20" a="1"/>
  <c r="J176" i="20" s="1"/>
  <c r="J177" i="20" a="1"/>
  <c r="J177" i="20" s="1"/>
  <c r="J178" i="20" a="1"/>
  <c r="J178" i="20" s="1"/>
  <c r="J179" i="20" a="1"/>
  <c r="J179" i="20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N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/>
  <c r="J208" i="20" a="1"/>
  <c r="J208" i="20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N218" i="20" s="1"/>
  <c r="J219" i="20" a="1"/>
  <c r="J219" i="20" s="1"/>
  <c r="J220" i="20" a="1"/>
  <c r="J220" i="20" s="1"/>
  <c r="J221" i="20" a="1"/>
  <c r="J221" i="20" s="1"/>
  <c r="J222" i="20" a="1"/>
  <c r="J222" i="20" s="1"/>
  <c r="N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/>
  <c r="J228" i="20" a="1"/>
  <c r="J228" i="20" s="1"/>
  <c r="J229" i="20" a="1"/>
  <c r="J229" i="20" s="1"/>
  <c r="J230" i="20" a="1"/>
  <c r="J230" i="20" s="1"/>
  <c r="N230" i="20" s="1"/>
  <c r="J231" i="20" a="1"/>
  <c r="J231" i="20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/>
  <c r="J249" i="20" a="1"/>
  <c r="J249" i="20" s="1"/>
  <c r="J250" i="20" a="1"/>
  <c r="J250" i="20" s="1"/>
  <c r="N250" i="20" s="1"/>
  <c r="J251" i="20" a="1"/>
  <c r="J251" i="20" s="1"/>
  <c r="J252" i="20" a="1"/>
  <c r="J252" i="20" s="1"/>
  <c r="J253" i="20" a="1"/>
  <c r="J253" i="20" s="1"/>
  <c r="J254" i="20" a="1"/>
  <c r="J254" i="20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/>
  <c r="J263" i="20" a="1"/>
  <c r="J263" i="20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/>
  <c r="K31" i="20" a="1"/>
  <c r="K31" i="20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/>
  <c r="K47" i="20" a="1"/>
  <c r="K47" i="20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/>
  <c r="K95" i="20" a="1"/>
  <c r="K95" i="20" s="1"/>
  <c r="K96" i="20" a="1"/>
  <c r="K96" i="20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/>
  <c r="K118" i="20" a="1"/>
  <c r="K118" i="20" s="1"/>
  <c r="K119" i="20" a="1"/>
  <c r="K119" i="20" s="1"/>
  <c r="K120" i="20" a="1"/>
  <c r="K120" i="20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/>
  <c r="K159" i="20" a="1"/>
  <c r="K159" i="20" s="1"/>
  <c r="K160" i="20" a="1"/>
  <c r="K160" i="20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/>
  <c r="K170" i="20" a="1"/>
  <c r="K170" i="20"/>
  <c r="K171" i="20" a="1"/>
  <c r="K171" i="20" s="1"/>
  <c r="K172" i="20" a="1"/>
  <c r="K172" i="20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/>
  <c r="K191" i="20" a="1"/>
  <c r="K191" i="20" s="1"/>
  <c r="K192" i="20" a="1"/>
  <c r="K192" i="20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/>
  <c r="K235" i="20" a="1"/>
  <c r="K235" i="20" s="1"/>
  <c r="K236" i="20" a="1"/>
  <c r="K236" i="20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/>
  <c r="K255" i="20" a="1"/>
  <c r="K255" i="20" s="1"/>
  <c r="K256" i="20" a="1"/>
  <c r="K256" i="20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/>
  <c r="K281" i="20" a="1"/>
  <c r="K28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/>
  <c r="M2" i="20" a="1"/>
  <c r="M2" i="20" s="1"/>
  <c r="N2" i="20" s="1"/>
  <c r="M3" i="20" a="1"/>
  <c r="M3" i="20" s="1"/>
  <c r="M4" i="20" a="1"/>
  <c r="M4" i="20" s="1"/>
  <c r="N4" i="20" s="1"/>
  <c r="M5" i="20" a="1"/>
  <c r="M5" i="20" s="1"/>
  <c r="N5" i="20" s="1"/>
  <c r="M6" i="20" a="1"/>
  <c r="M6" i="20" s="1"/>
  <c r="M7" i="20" a="1"/>
  <c r="M7" i="20" s="1"/>
  <c r="M8" i="20" a="1"/>
  <c r="M8" i="20" s="1"/>
  <c r="N8" i="20" s="1"/>
  <c r="M9" i="20" a="1"/>
  <c r="M9" i="20"/>
  <c r="N9" i="20" s="1"/>
  <c r="M10" i="20" a="1"/>
  <c r="M10" i="20" s="1"/>
  <c r="M11" i="20" a="1"/>
  <c r="M11" i="20" s="1"/>
  <c r="M12" i="20" a="1"/>
  <c r="M12" i="20" s="1"/>
  <c r="N12" i="20" s="1"/>
  <c r="M13" i="20" a="1"/>
  <c r="M13" i="20" s="1"/>
  <c r="N13" i="20" s="1"/>
  <c r="M14" i="20" a="1"/>
  <c r="M14" i="20" s="1"/>
  <c r="N14" i="20" s="1"/>
  <c r="M15" i="20" a="1"/>
  <c r="M15" i="20" s="1"/>
  <c r="N15" i="20" s="1"/>
  <c r="M16" i="20" a="1"/>
  <c r="M16" i="20"/>
  <c r="M17" i="20" a="1"/>
  <c r="M17" i="20" s="1"/>
  <c r="N17" i="20" s="1"/>
  <c r="M18" i="20" a="1"/>
  <c r="M18" i="20"/>
  <c r="N18" i="20" s="1"/>
  <c r="M19" i="20" a="1"/>
  <c r="M19" i="20" s="1"/>
  <c r="M20" i="20" a="1"/>
  <c r="M20" i="20"/>
  <c r="N20" i="20" s="1"/>
  <c r="M21" i="20" a="1"/>
  <c r="M21" i="20" s="1"/>
  <c r="N21" i="20" s="1"/>
  <c r="M22" i="20" a="1"/>
  <c r="M22" i="20" s="1"/>
  <c r="N22" i="20" s="1"/>
  <c r="M23" i="20" a="1"/>
  <c r="M23" i="20" s="1"/>
  <c r="M24" i="20" a="1"/>
  <c r="M24" i="20"/>
  <c r="N24" i="20" s="1"/>
  <c r="M25" i="20" a="1"/>
  <c r="M25" i="20" s="1"/>
  <c r="N25" i="20" s="1"/>
  <c r="M26" i="20" a="1"/>
  <c r="M26" i="20"/>
  <c r="N26" i="20" s="1"/>
  <c r="M27" i="20" a="1"/>
  <c r="M27" i="20" s="1"/>
  <c r="N27" i="20" s="1"/>
  <c r="M28" i="20" a="1"/>
  <c r="M28" i="20" s="1"/>
  <c r="N28" i="20" s="1"/>
  <c r="M29" i="20" a="1"/>
  <c r="M29" i="20"/>
  <c r="N29" i="20" s="1"/>
  <c r="M30" i="20" a="1"/>
  <c r="M30" i="20" s="1"/>
  <c r="M31" i="20" a="1"/>
  <c r="M31" i="20" s="1"/>
  <c r="M32" i="20" a="1"/>
  <c r="M32" i="20"/>
  <c r="N32" i="20" s="1"/>
  <c r="M33" i="20" a="1"/>
  <c r="M33" i="20" s="1"/>
  <c r="N33" i="20" s="1"/>
  <c r="M34" i="20" a="1"/>
  <c r="M34" i="20"/>
  <c r="N34" i="20" s="1"/>
  <c r="M35" i="20" a="1"/>
  <c r="M35" i="20" s="1"/>
  <c r="M36" i="20" a="1"/>
  <c r="M36" i="20" s="1"/>
  <c r="N36" i="20" s="1"/>
  <c r="M37" i="20" a="1"/>
  <c r="M37" i="20" s="1"/>
  <c r="N37" i="20" s="1"/>
  <c r="M38" i="20" a="1"/>
  <c r="M38" i="20" s="1"/>
  <c r="N38" i="20" s="1"/>
  <c r="M39" i="20" a="1"/>
  <c r="M39" i="20" s="1"/>
  <c r="M40" i="20" a="1"/>
  <c r="M40" i="20"/>
  <c r="N40" i="20" s="1"/>
  <c r="M41" i="20" a="1"/>
  <c r="M41" i="20" s="1"/>
  <c r="N41" i="20" s="1"/>
  <c r="M42" i="20" a="1"/>
  <c r="M42" i="20"/>
  <c r="N42" i="20" s="1"/>
  <c r="M43" i="20" a="1"/>
  <c r="M43" i="20" s="1"/>
  <c r="M44" i="20" a="1"/>
  <c r="M44" i="20" s="1"/>
  <c r="N44" i="20" s="1"/>
  <c r="M45" i="20" a="1"/>
  <c r="M45" i="20" s="1"/>
  <c r="N45" i="20" s="1"/>
  <c r="M46" i="20" a="1"/>
  <c r="M46" i="20" s="1"/>
  <c r="N46" i="20" s="1"/>
  <c r="M47" i="20" a="1"/>
  <c r="M47" i="20" s="1"/>
  <c r="M48" i="20" a="1"/>
  <c r="M48" i="20"/>
  <c r="M49" i="20" a="1"/>
  <c r="M49" i="20" s="1"/>
  <c r="N49" i="20" s="1"/>
  <c r="M50" i="20" a="1"/>
  <c r="M50" i="20"/>
  <c r="M51" i="20" a="1"/>
  <c r="M51" i="20" s="1"/>
  <c r="N51" i="20" s="1"/>
  <c r="M52" i="20" a="1"/>
  <c r="M52" i="20" s="1"/>
  <c r="N52" i="20" s="1"/>
  <c r="M53" i="20" a="1"/>
  <c r="M53" i="20" s="1"/>
  <c r="N53" i="20" s="1"/>
  <c r="M54" i="20" a="1"/>
  <c r="M54" i="20" s="1"/>
  <c r="N54" i="20" s="1"/>
  <c r="M55" i="20" a="1"/>
  <c r="M55" i="20" s="1"/>
  <c r="M56" i="20" a="1"/>
  <c r="M56" i="20"/>
  <c r="M57" i="20" a="1"/>
  <c r="M57" i="20" s="1"/>
  <c r="N57" i="20" s="1"/>
  <c r="M58" i="20" a="1"/>
  <c r="M58" i="20"/>
  <c r="N58" i="20" s="1"/>
  <c r="M59" i="20" a="1"/>
  <c r="M59" i="20" s="1"/>
  <c r="M60" i="20" a="1"/>
  <c r="M60" i="20" s="1"/>
  <c r="N60" i="20" s="1"/>
  <c r="M61" i="20" a="1"/>
  <c r="M61" i="20"/>
  <c r="N61" i="20" s="1"/>
  <c r="M62" i="20" a="1"/>
  <c r="M62" i="20" s="1"/>
  <c r="M63" i="20" a="1"/>
  <c r="M63" i="20" s="1"/>
  <c r="N63" i="20" s="1"/>
  <c r="M64" i="20" a="1"/>
  <c r="M64" i="20"/>
  <c r="N64" i="20" s="1"/>
  <c r="M65" i="20" a="1"/>
  <c r="M65" i="20" s="1"/>
  <c r="N65" i="20" s="1"/>
  <c r="M66" i="20" a="1"/>
  <c r="M66" i="20"/>
  <c r="M67" i="20" a="1"/>
  <c r="M67" i="20" s="1"/>
  <c r="N67" i="20" s="1"/>
  <c r="M68" i="20" a="1"/>
  <c r="M68" i="20" s="1"/>
  <c r="N68" i="20" s="1"/>
  <c r="M69" i="20" a="1"/>
  <c r="M69" i="20" s="1"/>
  <c r="N69" i="20" s="1"/>
  <c r="M70" i="20" a="1"/>
  <c r="M70" i="20"/>
  <c r="M71" i="20" a="1"/>
  <c r="M71" i="20" s="1"/>
  <c r="M72" i="20" a="1"/>
  <c r="M72" i="20"/>
  <c r="N72" i="20" s="1"/>
  <c r="M73" i="20" a="1"/>
  <c r="M73" i="20" s="1"/>
  <c r="N73" i="20" s="1"/>
  <c r="M74" i="20" a="1"/>
  <c r="M74" i="20"/>
  <c r="M75" i="20" a="1"/>
  <c r="M75" i="20" s="1"/>
  <c r="N75" i="20" s="1"/>
  <c r="M76" i="20" a="1"/>
  <c r="M76" i="20" s="1"/>
  <c r="N76" i="20" s="1"/>
  <c r="M77" i="20" a="1"/>
  <c r="M77" i="20" s="1"/>
  <c r="N77" i="20" s="1"/>
  <c r="M78" i="20" a="1"/>
  <c r="M78" i="20" s="1"/>
  <c r="N78" i="20" s="1"/>
  <c r="M79" i="20" a="1"/>
  <c r="M79" i="20" s="1"/>
  <c r="M80" i="20" a="1"/>
  <c r="M80" i="20" s="1"/>
  <c r="N80" i="20" s="1"/>
  <c r="M81" i="20" a="1"/>
  <c r="M81" i="20"/>
  <c r="N81" i="20" s="1"/>
  <c r="M82" i="20" a="1"/>
  <c r="M82" i="20" s="1"/>
  <c r="N82" i="20" s="1"/>
  <c r="M83" i="20" a="1"/>
  <c r="M83" i="20" s="1"/>
  <c r="M84" i="20" a="1"/>
  <c r="M84" i="20" s="1"/>
  <c r="N84" i="20" s="1"/>
  <c r="M85" i="20" a="1"/>
  <c r="M85" i="20" s="1"/>
  <c r="N85" i="20" s="1"/>
  <c r="M86" i="20" a="1"/>
  <c r="M86" i="20" s="1"/>
  <c r="N86" i="20" s="1"/>
  <c r="M87" i="20" a="1"/>
  <c r="M87" i="20" s="1"/>
  <c r="N87" i="20" s="1"/>
  <c r="M88" i="20" a="1"/>
  <c r="M88" i="20" s="1"/>
  <c r="N88" i="20" s="1"/>
  <c r="M89" i="20" a="1"/>
  <c r="M89" i="20"/>
  <c r="M90" i="20" a="1"/>
  <c r="M90" i="20" s="1"/>
  <c r="N90" i="20" s="1"/>
  <c r="M91" i="20" a="1"/>
  <c r="M91" i="20" s="1"/>
  <c r="M92" i="20" a="1"/>
  <c r="M92" i="20" s="1"/>
  <c r="N92" i="20" s="1"/>
  <c r="M93" i="20" a="1"/>
  <c r="M93" i="20" s="1"/>
  <c r="N93" i="20" s="1"/>
  <c r="M94" i="20" a="1"/>
  <c r="M94" i="20" s="1"/>
  <c r="N94" i="20" s="1"/>
  <c r="M95" i="20" a="1"/>
  <c r="M95" i="20" s="1"/>
  <c r="N95" i="20" s="1"/>
  <c r="M96" i="20" a="1"/>
  <c r="M96" i="20" s="1"/>
  <c r="N96" i="20" s="1"/>
  <c r="M97" i="20" a="1"/>
  <c r="M97" i="20"/>
  <c r="M98" i="20" a="1"/>
  <c r="M98" i="20" s="1"/>
  <c r="N98" i="20" s="1"/>
  <c r="M99" i="20" a="1"/>
  <c r="M99" i="20" s="1"/>
  <c r="N99" i="20" s="1"/>
  <c r="M100" i="20" a="1"/>
  <c r="M100" i="20" s="1"/>
  <c r="N100" i="20" s="1"/>
  <c r="M101" i="20" a="1"/>
  <c r="M101" i="20" s="1"/>
  <c r="N101" i="20" s="1"/>
  <c r="M102" i="20" a="1"/>
  <c r="M102" i="20"/>
  <c r="M103" i="20" a="1"/>
  <c r="M103" i="20" s="1"/>
  <c r="M104" i="20" a="1"/>
  <c r="M104" i="20" s="1"/>
  <c r="N104" i="20" s="1"/>
  <c r="M105" i="20" a="1"/>
  <c r="M105" i="20"/>
  <c r="N105" i="20" s="1"/>
  <c r="M106" i="20" a="1"/>
  <c r="M106" i="20" s="1"/>
  <c r="N106" i="20" s="1"/>
  <c r="M107" i="20" a="1"/>
  <c r="M107" i="20" s="1"/>
  <c r="M108" i="20" a="1"/>
  <c r="M108" i="20" s="1"/>
  <c r="N108" i="20" s="1"/>
  <c r="M109" i="20" a="1"/>
  <c r="M109" i="20" s="1"/>
  <c r="N109" i="20" s="1"/>
  <c r="M110" i="20" a="1"/>
  <c r="M110" i="20" s="1"/>
  <c r="N110" i="20" s="1"/>
  <c r="M111" i="20" a="1"/>
  <c r="M111" i="20" s="1"/>
  <c r="M112" i="20" a="1"/>
  <c r="M112" i="20" s="1"/>
  <c r="N112" i="20" s="1"/>
  <c r="M113" i="20" a="1"/>
  <c r="M113" i="20"/>
  <c r="N113" i="20" s="1"/>
  <c r="M114" i="20" a="1"/>
  <c r="M114" i="20" s="1"/>
  <c r="N114" i="20" s="1"/>
  <c r="M115" i="20" a="1"/>
  <c r="M115" i="20" s="1"/>
  <c r="M116" i="20" a="1"/>
  <c r="M116" i="20"/>
  <c r="N116" i="20" s="1"/>
  <c r="M117" i="20" a="1"/>
  <c r="M117" i="20" s="1"/>
  <c r="N117" i="20" s="1"/>
  <c r="M118" i="20" a="1"/>
  <c r="M118" i="20" s="1"/>
  <c r="N118" i="20" s="1"/>
  <c r="M119" i="20" a="1"/>
  <c r="M119" i="20" s="1"/>
  <c r="M120" i="20" a="1"/>
  <c r="M120" i="20" s="1"/>
  <c r="N120" i="20" s="1"/>
  <c r="M121" i="20" a="1"/>
  <c r="M121" i="20"/>
  <c r="M122" i="20" a="1"/>
  <c r="M122" i="20" s="1"/>
  <c r="N122" i="20" s="1"/>
  <c r="M123" i="20" a="1"/>
  <c r="M123" i="20" s="1"/>
  <c r="M124" i="20" a="1"/>
  <c r="M124" i="20" s="1"/>
  <c r="M125" i="20" a="1"/>
  <c r="M125" i="20" s="1"/>
  <c r="N125" i="20" s="1"/>
  <c r="M126" i="20" a="1"/>
  <c r="M126" i="20" s="1"/>
  <c r="M127" i="20" a="1"/>
  <c r="M127" i="20" s="1"/>
  <c r="M128" i="20" a="1"/>
  <c r="M128" i="20" s="1"/>
  <c r="N128" i="20" s="1"/>
  <c r="M129" i="20" a="1"/>
  <c r="M129" i="20"/>
  <c r="M130" i="20" a="1"/>
  <c r="M130" i="20" s="1"/>
  <c r="N130" i="20" s="1"/>
  <c r="M131" i="20" a="1"/>
  <c r="M131" i="20" s="1"/>
  <c r="M132" i="20" a="1"/>
  <c r="M132" i="20" s="1"/>
  <c r="N132" i="20" s="1"/>
  <c r="M133" i="20" a="1"/>
  <c r="M133" i="20" s="1"/>
  <c r="N133" i="20" s="1"/>
  <c r="M134" i="20" a="1"/>
  <c r="M134" i="20" s="1"/>
  <c r="N134" i="20" s="1"/>
  <c r="M135" i="20" a="1"/>
  <c r="M135" i="20" s="1"/>
  <c r="M136" i="20" a="1"/>
  <c r="M136" i="20" s="1"/>
  <c r="N136" i="20" s="1"/>
  <c r="M137" i="20" a="1"/>
  <c r="M137" i="20"/>
  <c r="N137" i="20" s="1"/>
  <c r="M138" i="20" a="1"/>
  <c r="M138" i="20" s="1"/>
  <c r="N138" i="20" s="1"/>
  <c r="M139" i="20" a="1"/>
  <c r="M139" i="20" s="1"/>
  <c r="M140" i="20" a="1"/>
  <c r="M140" i="20" s="1"/>
  <c r="N140" i="20" s="1"/>
  <c r="M141" i="20" a="1"/>
  <c r="M141" i="20" s="1"/>
  <c r="N141" i="20" s="1"/>
  <c r="M142" i="20" a="1"/>
  <c r="M142" i="20" s="1"/>
  <c r="N142" i="20" s="1"/>
  <c r="M143" i="20" a="1"/>
  <c r="M143" i="20" s="1"/>
  <c r="M144" i="20" a="1"/>
  <c r="M144" i="20"/>
  <c r="N144" i="20" s="1"/>
  <c r="M145" i="20" a="1"/>
  <c r="M145" i="20" s="1"/>
  <c r="N145" i="20" s="1"/>
  <c r="M146" i="20" a="1"/>
  <c r="M146" i="20"/>
  <c r="M147" i="20" a="1"/>
  <c r="M147" i="20" s="1"/>
  <c r="M148" i="20" a="1"/>
  <c r="M148" i="20"/>
  <c r="N148" i="20" s="1"/>
  <c r="M149" i="20" a="1"/>
  <c r="M149" i="20" s="1"/>
  <c r="N149" i="20" s="1"/>
  <c r="M150" i="20" a="1"/>
  <c r="M150" i="20" s="1"/>
  <c r="N150" i="20" s="1"/>
  <c r="M151" i="20" a="1"/>
  <c r="M151" i="20" s="1"/>
  <c r="M152" i="20" a="1"/>
  <c r="M152" i="20"/>
  <c r="M153" i="20" a="1"/>
  <c r="M153" i="20" s="1"/>
  <c r="N153" i="20" s="1"/>
  <c r="M154" i="20" a="1"/>
  <c r="M154" i="20"/>
  <c r="N154" i="20" s="1"/>
  <c r="M155" i="20" a="1"/>
  <c r="M155" i="20" s="1"/>
  <c r="M156" i="20" a="1"/>
  <c r="M156" i="20" s="1"/>
  <c r="N156" i="20" s="1"/>
  <c r="M157" i="20" a="1"/>
  <c r="M157" i="20"/>
  <c r="N157" i="20" s="1"/>
  <c r="M158" i="20" a="1"/>
  <c r="M158" i="20" s="1"/>
  <c r="N158" i="20" s="1"/>
  <c r="M159" i="20" a="1"/>
  <c r="M159" i="20" s="1"/>
  <c r="M160" i="20" a="1"/>
  <c r="M160" i="20"/>
  <c r="N160" i="20" s="1"/>
  <c r="M161" i="20" a="1"/>
  <c r="M161" i="20" s="1"/>
  <c r="N161" i="20" s="1"/>
  <c r="M162" i="20" a="1"/>
  <c r="M162" i="20"/>
  <c r="M163" i="20" a="1"/>
  <c r="M163" i="20" s="1"/>
  <c r="M164" i="20" a="1"/>
  <c r="M164" i="20" s="1"/>
  <c r="N164" i="20" s="1"/>
  <c r="M165" i="20" a="1"/>
  <c r="M165" i="20" s="1"/>
  <c r="N165" i="20" s="1"/>
  <c r="M166" i="20" a="1"/>
  <c r="M166" i="20" s="1"/>
  <c r="N166" i="20" s="1"/>
  <c r="M167" i="20" a="1"/>
  <c r="M167" i="20" s="1"/>
  <c r="M168" i="20" a="1"/>
  <c r="M168" i="20"/>
  <c r="N168" i="20" s="1"/>
  <c r="M169" i="20" a="1"/>
  <c r="M169" i="20" s="1"/>
  <c r="N169" i="20" s="1"/>
  <c r="M170" i="20" a="1"/>
  <c r="M170" i="20"/>
  <c r="N170" i="20" s="1"/>
  <c r="M171" i="20" a="1"/>
  <c r="M171" i="20" s="1"/>
  <c r="N171" i="20" s="1"/>
  <c r="M172" i="20" a="1"/>
  <c r="M172" i="20" s="1"/>
  <c r="M173" i="20" a="1"/>
  <c r="M173" i="20" s="1"/>
  <c r="N173" i="20" s="1"/>
  <c r="M174" i="20" a="1"/>
  <c r="M174" i="20" s="1"/>
  <c r="N174" i="20" s="1"/>
  <c r="M175" i="20" a="1"/>
  <c r="M175" i="20" s="1"/>
  <c r="M176" i="20" a="1"/>
  <c r="M176" i="20"/>
  <c r="M177" i="20" a="1"/>
  <c r="M177" i="20" s="1"/>
  <c r="N177" i="20" s="1"/>
  <c r="M178" i="20" a="1"/>
  <c r="M178" i="20"/>
  <c r="M179" i="20" a="1"/>
  <c r="M179" i="20" s="1"/>
  <c r="N179" i="20" s="1"/>
  <c r="M180" i="20" a="1"/>
  <c r="M180" i="20" s="1"/>
  <c r="N180" i="20" s="1"/>
  <c r="M181" i="20" a="1"/>
  <c r="M181" i="20" s="1"/>
  <c r="N181" i="20" s="1"/>
  <c r="M182" i="20" a="1"/>
  <c r="M182" i="20" s="1"/>
  <c r="N182" i="20" s="1"/>
  <c r="M183" i="20" a="1"/>
  <c r="M183" i="20" s="1"/>
  <c r="N183" i="20" s="1"/>
  <c r="M184" i="20" a="1"/>
  <c r="M184" i="20"/>
  <c r="M185" i="20" a="1"/>
  <c r="M185" i="20" s="1"/>
  <c r="N185" i="20" s="1"/>
  <c r="M186" i="20" a="1"/>
  <c r="M186" i="20"/>
  <c r="M187" i="20" a="1"/>
  <c r="M187" i="20" s="1"/>
  <c r="N187" i="20" s="1"/>
  <c r="M188" i="20" a="1"/>
  <c r="M188" i="20" s="1"/>
  <c r="N188" i="20" s="1"/>
  <c r="M189" i="20" a="1"/>
  <c r="M189" i="20"/>
  <c r="M190" i="20" a="1"/>
  <c r="M190" i="20" s="1"/>
  <c r="M191" i="20" a="1"/>
  <c r="M191" i="20" s="1"/>
  <c r="M192" i="20" a="1"/>
  <c r="M192" i="20"/>
  <c r="N192" i="20" s="1"/>
  <c r="M193" i="20" a="1"/>
  <c r="M193" i="20" s="1"/>
  <c r="N193" i="20" s="1"/>
  <c r="M194" i="20" a="1"/>
  <c r="M194" i="20"/>
  <c r="N194" i="20" s="1"/>
  <c r="M195" i="20" a="1"/>
  <c r="M195" i="20" s="1"/>
  <c r="N195" i="20" s="1"/>
  <c r="M196" i="20" a="1"/>
  <c r="M196" i="20"/>
  <c r="N196" i="20" s="1"/>
  <c r="M197" i="20" a="1"/>
  <c r="M197" i="20" s="1"/>
  <c r="N197" i="20" s="1"/>
  <c r="M198" i="20" a="1"/>
  <c r="M198" i="20"/>
  <c r="M199" i="20" a="1"/>
  <c r="M199" i="20" s="1"/>
  <c r="M200" i="20" a="1"/>
  <c r="M200" i="20"/>
  <c r="N200" i="20" s="1"/>
  <c r="M201" i="20" a="1"/>
  <c r="M201" i="20" s="1"/>
  <c r="N201" i="20" s="1"/>
  <c r="M202" i="20" a="1"/>
  <c r="M202" i="20"/>
  <c r="M203" i="20" a="1"/>
  <c r="M203" i="20" s="1"/>
  <c r="N203" i="20" s="1"/>
  <c r="M204" i="20" a="1"/>
  <c r="M204" i="20"/>
  <c r="M205" i="20" a="1"/>
  <c r="M205" i="20" s="1"/>
  <c r="N205" i="20" s="1"/>
  <c r="M206" i="20" a="1"/>
  <c r="M206" i="20"/>
  <c r="M207" i="20" a="1"/>
  <c r="M207" i="20" s="1"/>
  <c r="N207" i="20" s="1"/>
  <c r="M208" i="20" a="1"/>
  <c r="M208" i="20"/>
  <c r="N208" i="20" s="1"/>
  <c r="M209" i="20" a="1"/>
  <c r="M209" i="20" s="1"/>
  <c r="N209" i="20" s="1"/>
  <c r="M210" i="20" a="1"/>
  <c r="M210" i="20"/>
  <c r="N210" i="20" s="1"/>
  <c r="M211" i="20" a="1"/>
  <c r="M211" i="20" s="1"/>
  <c r="M212" i="20" a="1"/>
  <c r="M212" i="20"/>
  <c r="N212" i="20" s="1"/>
  <c r="M213" i="20" a="1"/>
  <c r="M213" i="20" s="1"/>
  <c r="N213" i="20" s="1"/>
  <c r="M214" i="20" a="1"/>
  <c r="M214" i="20"/>
  <c r="M215" i="20" a="1"/>
  <c r="M215" i="20" s="1"/>
  <c r="N215" i="20" s="1"/>
  <c r="M216" i="20" a="1"/>
  <c r="M216" i="20"/>
  <c r="M217" i="20" a="1"/>
  <c r="M217" i="20" s="1"/>
  <c r="N217" i="20" s="1"/>
  <c r="M218" i="20" a="1"/>
  <c r="M218" i="20"/>
  <c r="M219" i="20" a="1"/>
  <c r="M219" i="20" s="1"/>
  <c r="N219" i="20" s="1"/>
  <c r="M220" i="20" a="1"/>
  <c r="M220" i="20"/>
  <c r="N220" i="20" s="1"/>
  <c r="M221" i="20" a="1"/>
  <c r="M221" i="20" s="1"/>
  <c r="N221" i="20" s="1"/>
  <c r="M222" i="20" a="1"/>
  <c r="M222" i="20"/>
  <c r="M223" i="20" a="1"/>
  <c r="M223" i="20" s="1"/>
  <c r="N223" i="20" s="1"/>
  <c r="M224" i="20" a="1"/>
  <c r="M224" i="20"/>
  <c r="N224" i="20" s="1"/>
  <c r="M225" i="20" a="1"/>
  <c r="M225" i="20" s="1"/>
  <c r="N225" i="20" s="1"/>
  <c r="M226" i="20" a="1"/>
  <c r="M226" i="20"/>
  <c r="N226" i="20" s="1"/>
  <c r="M227" i="20" a="1"/>
  <c r="M227" i="20" s="1"/>
  <c r="N227" i="20" s="1"/>
  <c r="M228" i="20" a="1"/>
  <c r="M228" i="20"/>
  <c r="N228" i="20" s="1"/>
  <c r="M229" i="20" a="1"/>
  <c r="M229" i="20" s="1"/>
  <c r="N229" i="20" s="1"/>
  <c r="M230" i="20" a="1"/>
  <c r="M230" i="20"/>
  <c r="M231" i="20" a="1"/>
  <c r="M231" i="20" s="1"/>
  <c r="N231" i="20" s="1"/>
  <c r="M232" i="20" a="1"/>
  <c r="M232" i="20"/>
  <c r="N232" i="20" s="1"/>
  <c r="M233" i="20" a="1"/>
  <c r="M233" i="20" s="1"/>
  <c r="N233" i="20" s="1"/>
  <c r="M234" i="20" a="1"/>
  <c r="M234" i="20"/>
  <c r="M235" i="20" a="1"/>
  <c r="M235" i="20" s="1"/>
  <c r="N235" i="20" s="1"/>
  <c r="M236" i="20" a="1"/>
  <c r="M236" i="20"/>
  <c r="M237" i="20" a="1"/>
  <c r="M237" i="20" s="1"/>
  <c r="N237" i="20" s="1"/>
  <c r="M238" i="20" a="1"/>
  <c r="M238" i="20"/>
  <c r="M239" i="20" a="1"/>
  <c r="M239" i="20" s="1"/>
  <c r="N239" i="20" s="1"/>
  <c r="M240" i="20" a="1"/>
  <c r="M240" i="20"/>
  <c r="M241" i="20" a="1"/>
  <c r="M241" i="20" s="1"/>
  <c r="N241" i="20" s="1"/>
  <c r="M242" i="20" a="1"/>
  <c r="M242" i="20"/>
  <c r="N242" i="20" s="1"/>
  <c r="M243" i="20" a="1"/>
  <c r="M243" i="20" s="1"/>
  <c r="N243" i="20" s="1"/>
  <c r="M244" i="20" a="1"/>
  <c r="M244" i="20"/>
  <c r="N244" i="20" s="1"/>
  <c r="M245" i="20" a="1"/>
  <c r="M245" i="20" s="1"/>
  <c r="N245" i="20" s="1"/>
  <c r="M246" i="20" a="1"/>
  <c r="M246" i="20"/>
  <c r="M247" i="20" a="1"/>
  <c r="M247" i="20" s="1"/>
  <c r="N247" i="20" s="1"/>
  <c r="M248" i="20" a="1"/>
  <c r="M248" i="20"/>
  <c r="N248" i="20" s="1"/>
  <c r="M249" i="20" a="1"/>
  <c r="M249" i="20" s="1"/>
  <c r="N249" i="20" s="1"/>
  <c r="M250" i="20" a="1"/>
  <c r="M250" i="20"/>
  <c r="M251" i="20" a="1"/>
  <c r="M251" i="20" s="1"/>
  <c r="M252" i="20" a="1"/>
  <c r="M252" i="20"/>
  <c r="N252" i="20" s="1"/>
  <c r="M253" i="20" a="1"/>
  <c r="M253" i="20" s="1"/>
  <c r="N253" i="20" s="1"/>
  <c r="M254" i="20" a="1"/>
  <c r="M254" i="20"/>
  <c r="M255" i="20" a="1"/>
  <c r="M255" i="20" s="1"/>
  <c r="N255" i="20" s="1"/>
  <c r="M256" i="20" a="1"/>
  <c r="M256" i="20"/>
  <c r="N256" i="20" s="1"/>
  <c r="M257" i="20" a="1"/>
  <c r="M257" i="20" s="1"/>
  <c r="N257" i="20" s="1"/>
  <c r="M258" i="20" a="1"/>
  <c r="M258" i="20"/>
  <c r="N258" i="20" s="1"/>
  <c r="M259" i="20" a="1"/>
  <c r="M259" i="20" s="1"/>
  <c r="M260" i="20" a="1"/>
  <c r="M260" i="20"/>
  <c r="N260" i="20" s="1"/>
  <c r="M261" i="20" a="1"/>
  <c r="M261" i="20" s="1"/>
  <c r="M262" i="20" a="1"/>
  <c r="M262" i="20"/>
  <c r="M263" i="20" a="1"/>
  <c r="M263" i="20" s="1"/>
  <c r="N263" i="20" s="1"/>
  <c r="M264" i="20" a="1"/>
  <c r="M264" i="20"/>
  <c r="N264" i="20" s="1"/>
  <c r="M265" i="20" a="1"/>
  <c r="M265" i="20" s="1"/>
  <c r="N265" i="20" s="1"/>
  <c r="M266" i="20" a="1"/>
  <c r="M266" i="20"/>
  <c r="M267" i="20" a="1"/>
  <c r="M267" i="20" s="1"/>
  <c r="N267" i="20" s="1"/>
  <c r="M268" i="20" a="1"/>
  <c r="M268" i="20"/>
  <c r="M269" i="20" a="1"/>
  <c r="M269" i="20" s="1"/>
  <c r="M270" i="20" a="1"/>
  <c r="M270" i="20"/>
  <c r="M271" i="20" a="1"/>
  <c r="M271" i="20" s="1"/>
  <c r="M272" i="20" a="1"/>
  <c r="M272" i="20"/>
  <c r="M273" i="20" a="1"/>
  <c r="M273" i="20" s="1"/>
  <c r="M274" i="20" a="1"/>
  <c r="M274" i="20" s="1"/>
  <c r="M275" i="20" a="1"/>
  <c r="M275" i="20"/>
  <c r="N275" i="20" s="1"/>
  <c r="M276" i="20" a="1"/>
  <c r="M276" i="20" s="1"/>
  <c r="N276" i="20" s="1"/>
  <c r="M277" i="20" a="1"/>
  <c r="M277" i="20"/>
  <c r="N277" i="20" s="1"/>
  <c r="M278" i="20" a="1"/>
  <c r="M278" i="20" s="1"/>
  <c r="N278" i="20" s="1"/>
  <c r="M279" i="20" a="1"/>
  <c r="M279" i="20"/>
  <c r="M280" i="20" a="1"/>
  <c r="M280" i="20" s="1"/>
  <c r="N280" i="20" s="1"/>
  <c r="M281" i="20" a="1"/>
  <c r="M281" i="20"/>
  <c r="N281" i="20" s="1"/>
  <c r="N3" i="20"/>
  <c r="N11" i="20"/>
  <c r="N19" i="20"/>
  <c r="N23" i="20"/>
  <c r="N31" i="20"/>
  <c r="N35" i="20"/>
  <c r="N43" i="20"/>
  <c r="N50" i="20"/>
  <c r="N55" i="20"/>
  <c r="N59" i="20"/>
  <c r="N66" i="20"/>
  <c r="N74" i="20"/>
  <c r="N89" i="20"/>
  <c r="N91" i="20"/>
  <c r="N97" i="20"/>
  <c r="N107" i="20"/>
  <c r="N119" i="20"/>
  <c r="N121" i="20"/>
  <c r="N123" i="20"/>
  <c r="N127" i="20"/>
  <c r="N129" i="20"/>
  <c r="N131" i="20"/>
  <c r="N135" i="20"/>
  <c r="N139" i="20"/>
  <c r="N146" i="20"/>
  <c r="N147" i="20"/>
  <c r="N151" i="20"/>
  <c r="N155" i="20"/>
  <c r="N159" i="20"/>
  <c r="N162" i="20"/>
  <c r="N163" i="20"/>
  <c r="N178" i="20"/>
  <c r="N186" i="20"/>
  <c r="N189" i="20"/>
  <c r="N191" i="20"/>
  <c r="N202" i="20"/>
  <c r="N206" i="20"/>
  <c r="N214" i="20"/>
  <c r="N234" i="20"/>
  <c r="N238" i="20"/>
  <c r="N246" i="20"/>
  <c r="N254" i="20"/>
  <c r="N274" i="20"/>
  <c r="N279" i="20"/>
  <c r="O2" i="20" a="1"/>
  <c r="O2" i="20"/>
  <c r="O3" i="20" a="1"/>
  <c r="O3" i="20" s="1"/>
  <c r="O4" i="20" a="1"/>
  <c r="O4" i="20"/>
  <c r="O5" i="20" a="1"/>
  <c r="O5" i="20" s="1"/>
  <c r="O6" i="20" a="1"/>
  <c r="O6" i="20"/>
  <c r="O7" i="20" a="1"/>
  <c r="O7" i="20" s="1"/>
  <c r="O8" i="20" a="1"/>
  <c r="O8" i="20"/>
  <c r="O9" i="20" a="1"/>
  <c r="O9" i="20" s="1"/>
  <c r="O10" i="20" a="1"/>
  <c r="O10" i="20"/>
  <c r="O11" i="20" a="1"/>
  <c r="O11" i="20" s="1"/>
  <c r="O12" i="20" a="1"/>
  <c r="O12" i="20" s="1"/>
  <c r="O13" i="20" a="1"/>
  <c r="O13" i="20"/>
  <c r="O14" i="20" a="1"/>
  <c r="O14" i="20" s="1"/>
  <c r="O15" i="20" a="1"/>
  <c r="O15" i="20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/>
  <c r="O24" i="20" a="1"/>
  <c r="O24" i="20" s="1"/>
  <c r="O25" i="20" a="1"/>
  <c r="O25" i="20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/>
  <c r="O32" i="20" a="1"/>
  <c r="O32" i="20" s="1"/>
  <c r="O33" i="20" a="1"/>
  <c r="O33" i="20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/>
  <c r="O40" i="20" a="1"/>
  <c r="O40" i="20" s="1"/>
  <c r="O41" i="20" a="1"/>
  <c r="O41" i="20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/>
  <c r="O56" i="20" a="1"/>
  <c r="O56" i="20" s="1"/>
  <c r="O57" i="20" a="1"/>
  <c r="O57" i="20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/>
  <c r="O64" i="20" a="1"/>
  <c r="O64" i="20" s="1"/>
  <c r="O65" i="20" a="1"/>
  <c r="O65" i="20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/>
  <c r="O72" i="20" a="1"/>
  <c r="O72" i="20" s="1"/>
  <c r="O73" i="20" a="1"/>
  <c r="O73" i="20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/>
  <c r="O80" i="20" a="1"/>
  <c r="O80" i="20" s="1"/>
  <c r="O81" i="20" a="1"/>
  <c r="O81" i="20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/>
  <c r="O88" i="20" a="1"/>
  <c r="O88" i="20" s="1"/>
  <c r="O89" i="20" a="1"/>
  <c r="O89" i="20" s="1"/>
  <c r="O90" i="20" a="1"/>
  <c r="O90" i="20"/>
  <c r="O91" i="20" a="1"/>
  <c r="O91" i="20" s="1"/>
  <c r="O92" i="20" a="1"/>
  <c r="O92" i="20"/>
  <c r="O93" i="20" a="1"/>
  <c r="O93" i="20" s="1"/>
  <c r="O94" i="20" a="1"/>
  <c r="O94" i="20" s="1"/>
  <c r="O95" i="20" a="1"/>
  <c r="O95" i="20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/>
  <c r="O119" i="20" a="1"/>
  <c r="O119" i="20" s="1"/>
  <c r="O120" i="20" a="1"/>
  <c r="O120" i="20" s="1"/>
  <c r="O121" i="20" a="1"/>
  <c r="O121" i="20" s="1"/>
  <c r="O122" i="20" a="1"/>
  <c r="O122" i="20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/>
  <c r="O139" i="20" a="1"/>
  <c r="O139" i="20" s="1"/>
  <c r="O140" i="20" a="1"/>
  <c r="O140" i="20" s="1"/>
  <c r="O141" i="20" a="1"/>
  <c r="O141" i="20" s="1"/>
  <c r="O142" i="20" a="1"/>
  <c r="O142" i="20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/>
  <c r="O183" i="20" a="1"/>
  <c r="O183" i="20" s="1"/>
  <c r="O184" i="20" a="1"/>
  <c r="O184" i="20" s="1"/>
  <c r="O185" i="20" a="1"/>
  <c r="O185" i="20" s="1"/>
  <c r="O186" i="20" a="1"/>
  <c r="O186" i="20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/>
  <c r="O215" i="20" a="1"/>
  <c r="O215" i="20" s="1"/>
  <c r="O216" i="20" a="1"/>
  <c r="O216" i="20" s="1"/>
  <c r="O217" i="20" a="1"/>
  <c r="O217" i="20" s="1"/>
  <c r="O218" i="20" a="1"/>
  <c r="O218" i="20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/>
  <c r="O247" i="20" a="1"/>
  <c r="O247" i="20" s="1"/>
  <c r="O248" i="20" a="1"/>
  <c r="O248" i="20" s="1"/>
  <c r="O249" i="20" a="1"/>
  <c r="O249" i="20" s="1"/>
  <c r="O250" i="20" a="1"/>
  <c r="O250" i="20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/>
  <c r="O279" i="20" a="1"/>
  <c r="O279" i="20" s="1"/>
  <c r="O280" i="20" a="1"/>
  <c r="O280" i="20" s="1"/>
  <c r="O281" i="20" a="1"/>
  <c r="O281" i="20" s="1"/>
  <c r="P2" i="20" a="1"/>
  <c r="P2" i="20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/>
  <c r="P31" i="20" a="1"/>
  <c r="P31" i="20" s="1"/>
  <c r="P32" i="20" a="1"/>
  <c r="P32" i="20" s="1"/>
  <c r="P33" i="20" a="1"/>
  <c r="P33" i="20" s="1"/>
  <c r="P34" i="20" a="1"/>
  <c r="P34" i="20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/>
  <c r="P63" i="20" a="1"/>
  <c r="P63" i="20" s="1"/>
  <c r="P64" i="20" a="1"/>
  <c r="P64" i="20" s="1"/>
  <c r="P65" i="20" a="1"/>
  <c r="P65" i="20" s="1"/>
  <c r="P66" i="20" a="1"/>
  <c r="P66" i="20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/>
  <c r="P88" i="20" a="1"/>
  <c r="P88" i="20" s="1"/>
  <c r="P89" i="20" a="1"/>
  <c r="P89" i="20" s="1"/>
  <c r="P90" i="20" a="1"/>
  <c r="P90" i="20" s="1"/>
  <c r="P91" i="20" a="1"/>
  <c r="P91" i="20"/>
  <c r="P92" i="20" a="1"/>
  <c r="P92" i="20" s="1"/>
  <c r="P93" i="20" a="1"/>
  <c r="P93" i="20" s="1"/>
  <c r="P94" i="20" a="1"/>
  <c r="P94" i="20"/>
  <c r="P95" i="20" a="1"/>
  <c r="P95" i="20" s="1"/>
  <c r="P96" i="20" a="1"/>
  <c r="P96" i="20" s="1"/>
  <c r="P97" i="20" a="1"/>
  <c r="P97" i="20" s="1"/>
  <c r="P98" i="20" a="1"/>
  <c r="P98" i="20" s="1"/>
  <c r="P99" i="20" a="1"/>
  <c r="P99" i="20"/>
  <c r="P100" i="20" a="1"/>
  <c r="P100" i="20" s="1"/>
  <c r="P101" i="20" a="1"/>
  <c r="P101" i="20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/>
  <c r="P116" i="20" a="1"/>
  <c r="P116" i="20" s="1"/>
  <c r="P117" i="20" a="1"/>
  <c r="P117" i="20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/>
  <c r="P132" i="20" a="1"/>
  <c r="P132" i="20" s="1"/>
  <c r="P133" i="20" a="1"/>
  <c r="P133" i="20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/>
  <c r="P148" i="20" a="1"/>
  <c r="P148" i="20" s="1"/>
  <c r="P149" i="20" a="1"/>
  <c r="P149" i="20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/>
  <c r="P164" i="20" a="1"/>
  <c r="P164" i="20" s="1"/>
  <c r="P165" i="20" a="1"/>
  <c r="P165" i="20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/>
  <c r="P180" i="20" a="1"/>
  <c r="P180" i="20" s="1"/>
  <c r="P181" i="20" a="1"/>
  <c r="P181" i="20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/>
  <c r="P196" i="20" a="1"/>
  <c r="P196" i="20" s="1"/>
  <c r="P197" i="20" a="1"/>
  <c r="P197" i="20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/>
  <c r="P212" i="20" a="1"/>
  <c r="P212" i="20" s="1"/>
  <c r="P213" i="20" a="1"/>
  <c r="P213" i="20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/>
  <c r="P228" i="20" a="1"/>
  <c r="P228" i="20" s="1"/>
  <c r="P229" i="20" a="1"/>
  <c r="P229" i="20"/>
  <c r="P230" i="20" a="1"/>
  <c r="P230" i="20" s="1"/>
  <c r="P231" i="20" a="1"/>
  <c r="P231" i="20" s="1"/>
  <c r="P232" i="20" a="1"/>
  <c r="P232" i="20" s="1"/>
  <c r="P233" i="20" a="1"/>
  <c r="P233" i="20"/>
  <c r="P234" i="20" a="1"/>
  <c r="P234" i="20" s="1"/>
  <c r="P235" i="20" a="1"/>
  <c r="P235" i="20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/>
  <c r="P242" i="20" a="1"/>
  <c r="P242" i="20" s="1"/>
  <c r="P243" i="20" a="1"/>
  <c r="P243" i="20" s="1"/>
  <c r="P244" i="20" a="1"/>
  <c r="P244" i="20" s="1"/>
  <c r="P245" i="20" a="1"/>
  <c r="P245" i="20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I101" i="19" a="1"/>
  <c r="I101" i="19" s="1"/>
  <c r="I102" i="19" a="1"/>
  <c r="I102" i="19" s="1"/>
  <c r="I103" i="19" a="1"/>
  <c r="I103" i="19" s="1"/>
  <c r="I104" i="19" a="1"/>
  <c r="I104" i="19" s="1"/>
  <c r="I105" i="19" a="1"/>
  <c r="I105" i="19"/>
  <c r="I106" i="19" a="1"/>
  <c r="I106" i="19" s="1"/>
  <c r="I107" i="19" a="1"/>
  <c r="I107" i="19" s="1"/>
  <c r="I108" i="19" a="1"/>
  <c r="I108" i="19" s="1"/>
  <c r="I109" i="19" a="1"/>
  <c r="I109" i="19" s="1"/>
  <c r="I110" i="19" a="1"/>
  <c r="I110" i="19" s="1"/>
  <c r="I111" i="19" a="1"/>
  <c r="I111" i="19" s="1"/>
  <c r="I112" i="19" a="1"/>
  <c r="I112" i="19" s="1"/>
  <c r="I113" i="19" a="1"/>
  <c r="I113" i="19" s="1"/>
  <c r="I114" i="19" a="1"/>
  <c r="I114" i="19" s="1"/>
  <c r="I115" i="19" a="1"/>
  <c r="I115" i="19" s="1"/>
  <c r="I116" i="19" a="1"/>
  <c r="I116" i="19" s="1"/>
  <c r="I117" i="19" a="1"/>
  <c r="I117" i="19" s="1"/>
  <c r="I118" i="19" a="1"/>
  <c r="I118" i="19" s="1"/>
  <c r="I119" i="19" a="1"/>
  <c r="I119" i="19" s="1"/>
  <c r="I120" i="19" a="1"/>
  <c r="I120" i="19" s="1"/>
  <c r="I121" i="19" a="1"/>
  <c r="I121" i="19"/>
  <c r="J2" i="19" a="1"/>
  <c r="J2" i="19" s="1"/>
  <c r="J3" i="19" a="1"/>
  <c r="J3" i="19" s="1"/>
  <c r="J4" i="19" a="1"/>
  <c r="J4" i="19" s="1"/>
  <c r="J5" i="19" a="1"/>
  <c r="J5" i="19" s="1"/>
  <c r="J6" i="19" a="1"/>
  <c r="J6" i="19" s="1"/>
  <c r="J7" i="19" a="1"/>
  <c r="J7" i="19" s="1"/>
  <c r="J8" i="19" a="1"/>
  <c r="J8" i="19" s="1"/>
  <c r="J9" i="19" a="1"/>
  <c r="J9" i="19" s="1"/>
  <c r="J10" i="19" a="1"/>
  <c r="J10" i="19" s="1"/>
  <c r="J11" i="19" a="1"/>
  <c r="J11" i="19" s="1"/>
  <c r="J12" i="19" a="1"/>
  <c r="J12" i="19" s="1"/>
  <c r="J13" i="19" a="1"/>
  <c r="J13" i="19" s="1"/>
  <c r="J14" i="19" a="1"/>
  <c r="J14" i="19" s="1"/>
  <c r="J15" i="19" a="1"/>
  <c r="J15" i="19" s="1"/>
  <c r="J16" i="19" a="1"/>
  <c r="J16" i="19" s="1"/>
  <c r="J17" i="19" a="1"/>
  <c r="J17" i="19" s="1"/>
  <c r="J18" i="19" a="1"/>
  <c r="J18" i="19" s="1"/>
  <c r="J19" i="19" a="1"/>
  <c r="J19" i="19" s="1"/>
  <c r="J20" i="19" a="1"/>
  <c r="J20" i="19" s="1"/>
  <c r="J21" i="19" a="1"/>
  <c r="J21" i="19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J27" i="19" a="1"/>
  <c r="J27" i="19" s="1"/>
  <c r="J28" i="19" a="1"/>
  <c r="J28" i="19" s="1"/>
  <c r="J29" i="19" a="1"/>
  <c r="J29" i="19" s="1"/>
  <c r="J30" i="19" a="1"/>
  <c r="J30" i="19" s="1"/>
  <c r="J31" i="19" a="1"/>
  <c r="J31" i="19" s="1"/>
  <c r="J32" i="19" a="1"/>
  <c r="J32" i="19" s="1"/>
  <c r="J33" i="19" a="1"/>
  <c r="J33" i="19"/>
  <c r="J34" i="19" a="1"/>
  <c r="J34" i="19" s="1"/>
  <c r="J35" i="19" a="1"/>
  <c r="J35" i="19" s="1"/>
  <c r="J36" i="19" a="1"/>
  <c r="J36" i="19" s="1"/>
  <c r="J37" i="19" a="1"/>
  <c r="J37" i="19" s="1"/>
  <c r="J38" i="19" a="1"/>
  <c r="J38" i="19" s="1"/>
  <c r="J39" i="19" a="1"/>
  <c r="J39" i="19" s="1"/>
  <c r="J40" i="19" a="1"/>
  <c r="J40" i="19" s="1"/>
  <c r="J41" i="19" a="1"/>
  <c r="J41" i="19" s="1"/>
  <c r="J42" i="19" a="1"/>
  <c r="J42" i="19" s="1"/>
  <c r="J43" i="19" a="1"/>
  <c r="J43" i="19" s="1"/>
  <c r="J44" i="19" a="1"/>
  <c r="J44" i="19" s="1"/>
  <c r="J45" i="19" a="1"/>
  <c r="J45" i="19" s="1"/>
  <c r="J46" i="19" a="1"/>
  <c r="J46" i="19" s="1"/>
  <c r="J47" i="19" a="1"/>
  <c r="J47" i="19" s="1"/>
  <c r="J48" i="19" a="1"/>
  <c r="J48" i="19" s="1"/>
  <c r="J49" i="19" a="1"/>
  <c r="J49" i="19" s="1"/>
  <c r="J50" i="19" a="1"/>
  <c r="J50" i="19" s="1"/>
  <c r="J51" i="19" a="1"/>
  <c r="J51" i="19" s="1"/>
  <c r="J52" i="19" a="1"/>
  <c r="J52" i="19" s="1"/>
  <c r="J53" i="19" a="1"/>
  <c r="J53" i="19" s="1"/>
  <c r="J54" i="19" a="1"/>
  <c r="J54" i="19" s="1"/>
  <c r="J55" i="19" a="1"/>
  <c r="J55" i="19" s="1"/>
  <c r="J56" i="19" a="1"/>
  <c r="J56" i="19" s="1"/>
  <c r="J57" i="19" a="1"/>
  <c r="J57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63" i="19" a="1"/>
  <c r="J63" i="19" s="1"/>
  <c r="J64" i="19" a="1"/>
  <c r="J64" i="19" s="1"/>
  <c r="J65" i="19" a="1"/>
  <c r="J65" i="19" s="1"/>
  <c r="J66" i="19" a="1"/>
  <c r="J66" i="19" s="1"/>
  <c r="J67" i="19" a="1"/>
  <c r="J67" i="19" s="1"/>
  <c r="J68" i="19" a="1"/>
  <c r="J68" i="19" s="1"/>
  <c r="J69" i="19" a="1"/>
  <c r="J69" i="19" s="1"/>
  <c r="J70" i="19" a="1"/>
  <c r="J70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76" i="19" a="1"/>
  <c r="J76" i="19" s="1"/>
  <c r="J77" i="19" a="1"/>
  <c r="J77" i="19" s="1"/>
  <c r="J78" i="19" a="1"/>
  <c r="J78" i="19" s="1"/>
  <c r="J79" i="19" a="1"/>
  <c r="J79" i="19" s="1"/>
  <c r="J80" i="19" a="1"/>
  <c r="J80" i="19" s="1"/>
  <c r="J81" i="19" a="1"/>
  <c r="J81" i="19" s="1"/>
  <c r="J82" i="19" a="1"/>
  <c r="J82" i="19" s="1"/>
  <c r="J83" i="19" a="1"/>
  <c r="J83" i="19" s="1"/>
  <c r="J84" i="19" a="1"/>
  <c r="J84" i="19" s="1"/>
  <c r="J85" i="19" a="1"/>
  <c r="J85" i="19" s="1"/>
  <c r="J86" i="19" a="1"/>
  <c r="J86" i="19" s="1"/>
  <c r="J87" i="19" a="1"/>
  <c r="J87" i="19" s="1"/>
  <c r="J88" i="19" a="1"/>
  <c r="J88" i="19" s="1"/>
  <c r="J89" i="19" a="1"/>
  <c r="J89" i="19" s="1"/>
  <c r="J90" i="19" a="1"/>
  <c r="J90" i="19" s="1"/>
  <c r="J91" i="19" a="1"/>
  <c r="J91" i="19" s="1"/>
  <c r="J92" i="19" a="1"/>
  <c r="J92" i="19" s="1"/>
  <c r="J93" i="19" a="1"/>
  <c r="J93" i="19" s="1"/>
  <c r="J94" i="19" a="1"/>
  <c r="J94" i="19" s="1"/>
  <c r="J95" i="19" a="1"/>
  <c r="J95" i="19" s="1"/>
  <c r="J96" i="19" a="1"/>
  <c r="J96" i="19" s="1"/>
  <c r="J97" i="19" a="1"/>
  <c r="J97" i="19" s="1"/>
  <c r="J98" i="19" a="1"/>
  <c r="J98" i="19" s="1"/>
  <c r="J99" i="19" a="1"/>
  <c r="J99" i="19" s="1"/>
  <c r="J100" i="19" a="1"/>
  <c r="J100" i="19" s="1"/>
  <c r="J101" i="19" a="1"/>
  <c r="J101" i="19" s="1"/>
  <c r="J102" i="19" a="1"/>
  <c r="J102" i="19" s="1"/>
  <c r="J103" i="19" a="1"/>
  <c r="J103" i="19" s="1"/>
  <c r="J104" i="19" a="1"/>
  <c r="J104" i="19" s="1"/>
  <c r="J105" i="19" a="1"/>
  <c r="J105" i="19" s="1"/>
  <c r="J106" i="19" a="1"/>
  <c r="J106" i="19" s="1"/>
  <c r="J107" i="19" a="1"/>
  <c r="J107" i="19" s="1"/>
  <c r="J108" i="19" a="1"/>
  <c r="J108" i="19" s="1"/>
  <c r="J109" i="19" a="1"/>
  <c r="J109" i="19" s="1"/>
  <c r="J110" i="19" a="1"/>
  <c r="J110" i="19" s="1"/>
  <c r="J111" i="19" a="1"/>
  <c r="J111" i="19" s="1"/>
  <c r="J112" i="19" a="1"/>
  <c r="J112" i="19" s="1"/>
  <c r="J113" i="19" a="1"/>
  <c r="J113" i="19" s="1"/>
  <c r="J114" i="19" a="1"/>
  <c r="J114" i="19" s="1"/>
  <c r="J115" i="19" a="1"/>
  <c r="J115" i="19" s="1"/>
  <c r="J116" i="19" a="1"/>
  <c r="J116" i="19" s="1"/>
  <c r="J117" i="19" a="1"/>
  <c r="J117" i="19" s="1"/>
  <c r="J118" i="19" a="1"/>
  <c r="J118" i="19" s="1"/>
  <c r="J119" i="19" a="1"/>
  <c r="J119" i="19" s="1"/>
  <c r="J120" i="19" a="1"/>
  <c r="J120" i="19" s="1"/>
  <c r="J121" i="19" a="1"/>
  <c r="J121" i="19" s="1"/>
  <c r="K2" i="19" a="1"/>
  <c r="K2" i="19" s="1"/>
  <c r="K3" i="19" a="1"/>
  <c r="K3" i="19" s="1"/>
  <c r="K4" i="19" a="1"/>
  <c r="K4" i="19" s="1"/>
  <c r="K5" i="19" a="1"/>
  <c r="K5" i="19" s="1"/>
  <c r="K6" i="19" a="1"/>
  <c r="K6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 s="1"/>
  <c r="K12" i="19" a="1"/>
  <c r="K12" i="19" s="1"/>
  <c r="K13" i="19" a="1"/>
  <c r="K13" i="19" s="1"/>
  <c r="K14" i="19" a="1"/>
  <c r="K14" i="19" s="1"/>
  <c r="K15" i="19" a="1"/>
  <c r="K15" i="19" s="1"/>
  <c r="K16" i="19" a="1"/>
  <c r="K16" i="19" s="1"/>
  <c r="M16" i="19" s="1"/>
  <c r="K17" i="19" a="1"/>
  <c r="K17" i="19" s="1"/>
  <c r="K18" i="19" a="1"/>
  <c r="K18" i="19" s="1"/>
  <c r="K19" i="19" a="1"/>
  <c r="K19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28" i="19" a="1"/>
  <c r="K28" i="19" s="1"/>
  <c r="K29" i="19" a="1"/>
  <c r="K29" i="19" s="1"/>
  <c r="K30" i="19" a="1"/>
  <c r="K30" i="19" s="1"/>
  <c r="K31" i="19" a="1"/>
  <c r="K31" i="19" s="1"/>
  <c r="K32" i="19" a="1"/>
  <c r="K32" i="19"/>
  <c r="K33" i="19" a="1"/>
  <c r="K33" i="19" s="1"/>
  <c r="K34" i="19" a="1"/>
  <c r="K34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 s="1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47" i="19" a="1"/>
  <c r="K47" i="19" s="1"/>
  <c r="K48" i="19" a="1"/>
  <c r="K48" i="19" s="1"/>
  <c r="M48" i="19" s="1"/>
  <c r="K49" i="19" a="1"/>
  <c r="K49" i="19" s="1"/>
  <c r="K50" i="19" a="1"/>
  <c r="K50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 s="1"/>
  <c r="K60" i="19" a="1"/>
  <c r="K60" i="19" s="1"/>
  <c r="K61" i="19" a="1"/>
  <c r="K61" i="19" s="1"/>
  <c r="K62" i="19" a="1"/>
  <c r="K62" i="19" s="1"/>
  <c r="K63" i="19" a="1"/>
  <c r="K63" i="19" s="1"/>
  <c r="K64" i="19" a="1"/>
  <c r="K64" i="19" s="1"/>
  <c r="K65" i="19" a="1"/>
  <c r="K65" i="19" s="1"/>
  <c r="K66" i="19" a="1"/>
  <c r="K66" i="19" s="1"/>
  <c r="K67" i="19" a="1"/>
  <c r="K67" i="19" s="1"/>
  <c r="K68" i="19" a="1"/>
  <c r="K68" i="19" s="1"/>
  <c r="K69" i="19" a="1"/>
  <c r="K69" i="19" s="1"/>
  <c r="K70" i="19" a="1"/>
  <c r="K70" i="19" s="1"/>
  <c r="K71" i="19" a="1"/>
  <c r="K71" i="19" s="1"/>
  <c r="K72" i="19" a="1"/>
  <c r="K72" i="19" s="1"/>
  <c r="K73" i="19" a="1"/>
  <c r="K73" i="19" s="1"/>
  <c r="K74" i="19" a="1"/>
  <c r="K74" i="19" s="1"/>
  <c r="K75" i="19" a="1"/>
  <c r="K75" i="19" s="1"/>
  <c r="K76" i="19" a="1"/>
  <c r="K76" i="19" s="1"/>
  <c r="K77" i="19" a="1"/>
  <c r="K77" i="19" s="1"/>
  <c r="K78" i="19" a="1"/>
  <c r="K78" i="19" s="1"/>
  <c r="K79" i="19" a="1"/>
  <c r="K79" i="19" s="1"/>
  <c r="K80" i="19" a="1"/>
  <c r="K80" i="19" s="1"/>
  <c r="K81" i="19" a="1"/>
  <c r="K81" i="19" s="1"/>
  <c r="K82" i="19" a="1"/>
  <c r="K82" i="19" s="1"/>
  <c r="K83" i="19" a="1"/>
  <c r="K83" i="19" s="1"/>
  <c r="K84" i="19" a="1"/>
  <c r="K84" i="19" s="1"/>
  <c r="K85" i="19" a="1"/>
  <c r="K85" i="19" s="1"/>
  <c r="K86" i="19" a="1"/>
  <c r="K86" i="19" s="1"/>
  <c r="K87" i="19" a="1"/>
  <c r="K87" i="19" s="1"/>
  <c r="K88" i="19" a="1"/>
  <c r="K88" i="19" s="1"/>
  <c r="K89" i="19" a="1"/>
  <c r="K89" i="19" s="1"/>
  <c r="K90" i="19" a="1"/>
  <c r="K90" i="19" s="1"/>
  <c r="K91" i="19" a="1"/>
  <c r="K91" i="19" s="1"/>
  <c r="K92" i="19" a="1"/>
  <c r="K92" i="19" s="1"/>
  <c r="K93" i="19" a="1"/>
  <c r="K93" i="19" s="1"/>
  <c r="K94" i="19" a="1"/>
  <c r="K94" i="19" s="1"/>
  <c r="K95" i="19" a="1"/>
  <c r="K95" i="19" s="1"/>
  <c r="K96" i="19" a="1"/>
  <c r="K96" i="19" s="1"/>
  <c r="M96" i="19" s="1"/>
  <c r="K97" i="19" a="1"/>
  <c r="K97" i="19"/>
  <c r="K98" i="19" a="1"/>
  <c r="K98" i="19" s="1"/>
  <c r="K99" i="19" a="1"/>
  <c r="K99" i="19" s="1"/>
  <c r="K100" i="19" a="1"/>
  <c r="K100" i="19" s="1"/>
  <c r="K101" i="19" a="1"/>
  <c r="K101" i="19" s="1"/>
  <c r="K102" i="19" a="1"/>
  <c r="K102" i="19" s="1"/>
  <c r="K103" i="19" a="1"/>
  <c r="K103" i="19" s="1"/>
  <c r="K104" i="19" a="1"/>
  <c r="K104" i="19" s="1"/>
  <c r="K105" i="19" a="1"/>
  <c r="K105" i="19" s="1"/>
  <c r="K106" i="19" a="1"/>
  <c r="K106" i="19" s="1"/>
  <c r="K107" i="19" a="1"/>
  <c r="K107" i="19" s="1"/>
  <c r="K108" i="19" a="1"/>
  <c r="K108" i="19" s="1"/>
  <c r="K109" i="19" a="1"/>
  <c r="K109" i="19" s="1"/>
  <c r="K110" i="19" a="1"/>
  <c r="K110" i="19" s="1"/>
  <c r="K111" i="19" a="1"/>
  <c r="K111" i="19" s="1"/>
  <c r="K112" i="19" a="1"/>
  <c r="K112" i="19" s="1"/>
  <c r="K113" i="19" a="1"/>
  <c r="K113" i="19" s="1"/>
  <c r="K114" i="19" a="1"/>
  <c r="K114" i="19" s="1"/>
  <c r="K115" i="19" a="1"/>
  <c r="K115" i="19" s="1"/>
  <c r="K116" i="19" a="1"/>
  <c r="K116" i="19" s="1"/>
  <c r="K117" i="19" a="1"/>
  <c r="K117" i="19" s="1"/>
  <c r="K118" i="19" a="1"/>
  <c r="K118" i="19" s="1"/>
  <c r="K119" i="19" a="1"/>
  <c r="K119" i="19" s="1"/>
  <c r="K120" i="19" a="1"/>
  <c r="K120" i="19" s="1"/>
  <c r="K121" i="19" a="1"/>
  <c r="K121" i="19" s="1"/>
  <c r="L2" i="19" a="1"/>
  <c r="L2" i="19" s="1"/>
  <c r="M2" i="19" s="1"/>
  <c r="L3" i="19" a="1"/>
  <c r="L3" i="19" s="1"/>
  <c r="M3" i="19" s="1"/>
  <c r="L4" i="19" a="1"/>
  <c r="L4" i="19" s="1"/>
  <c r="L5" i="19" a="1"/>
  <c r="L5" i="19" s="1"/>
  <c r="L6" i="19" a="1"/>
  <c r="L6" i="19" s="1"/>
  <c r="M6" i="19" s="1"/>
  <c r="L7" i="19" a="1"/>
  <c r="L7" i="19" s="1"/>
  <c r="M7" i="19" s="1"/>
  <c r="L8" i="19" a="1"/>
  <c r="L8" i="19" s="1"/>
  <c r="L9" i="19" a="1"/>
  <c r="L9" i="19" s="1"/>
  <c r="L10" i="19" a="1"/>
  <c r="L10" i="19" s="1"/>
  <c r="M10" i="19" s="1"/>
  <c r="L11" i="19" a="1"/>
  <c r="L11" i="19" s="1"/>
  <c r="M11" i="19" s="1"/>
  <c r="L12" i="19" a="1"/>
  <c r="L12" i="19" s="1"/>
  <c r="L13" i="19" a="1"/>
  <c r="L13" i="19" s="1"/>
  <c r="L14" i="19" a="1"/>
  <c r="L14" i="19" s="1"/>
  <c r="M14" i="19" s="1"/>
  <c r="L15" i="19" a="1"/>
  <c r="L15" i="19" s="1"/>
  <c r="M15" i="19" s="1"/>
  <c r="L16" i="19" a="1"/>
  <c r="L16" i="19" s="1"/>
  <c r="L17" i="19" a="1"/>
  <c r="L17" i="19" s="1"/>
  <c r="M17" i="19" s="1"/>
  <c r="L18" i="19" a="1"/>
  <c r="L18" i="19" s="1"/>
  <c r="M18" i="19" s="1"/>
  <c r="L19" i="19" a="1"/>
  <c r="L19" i="19" s="1"/>
  <c r="M19" i="19" s="1"/>
  <c r="L20" i="19" a="1"/>
  <c r="L20" i="19" s="1"/>
  <c r="L21" i="19" a="1"/>
  <c r="L21" i="19" s="1"/>
  <c r="L22" i="19" a="1"/>
  <c r="L22" i="19" s="1"/>
  <c r="M22" i="19" s="1"/>
  <c r="L23" i="19" a="1"/>
  <c r="L23" i="19" s="1"/>
  <c r="M23" i="19" s="1"/>
  <c r="L24" i="19" a="1"/>
  <c r="L24" i="19" s="1"/>
  <c r="L25" i="19" a="1"/>
  <c r="L25" i="19" s="1"/>
  <c r="M25" i="19" s="1"/>
  <c r="L26" i="19" a="1"/>
  <c r="L26" i="19" s="1"/>
  <c r="M26" i="19" s="1"/>
  <c r="L27" i="19" a="1"/>
  <c r="L27" i="19" s="1"/>
  <c r="M27" i="19" s="1"/>
  <c r="L28" i="19" a="1"/>
  <c r="L28" i="19" s="1"/>
  <c r="L29" i="19" a="1"/>
  <c r="L29" i="19" s="1"/>
  <c r="M29" i="19" s="1"/>
  <c r="L30" i="19" a="1"/>
  <c r="L30" i="19" s="1"/>
  <c r="M30" i="19" s="1"/>
  <c r="L31" i="19" a="1"/>
  <c r="L31" i="19" s="1"/>
  <c r="M31" i="19" s="1"/>
  <c r="L32" i="19" a="1"/>
  <c r="L32" i="19" s="1"/>
  <c r="L33" i="19" a="1"/>
  <c r="L33" i="19" s="1"/>
  <c r="M33" i="19" s="1"/>
  <c r="L34" i="19" a="1"/>
  <c r="L34" i="19" s="1"/>
  <c r="M34" i="19" s="1"/>
  <c r="L35" i="19" a="1"/>
  <c r="L35" i="19" s="1"/>
  <c r="M35" i="19" s="1"/>
  <c r="L36" i="19" a="1"/>
  <c r="L36" i="19" s="1"/>
  <c r="L37" i="19" a="1"/>
  <c r="L37" i="19" s="1"/>
  <c r="L38" i="19" a="1"/>
  <c r="L38" i="19" s="1"/>
  <c r="M38" i="19" s="1"/>
  <c r="L39" i="19" a="1"/>
  <c r="L39" i="19" s="1"/>
  <c r="M39" i="19" s="1"/>
  <c r="L40" i="19" a="1"/>
  <c r="L40" i="19" s="1"/>
  <c r="L41" i="19" a="1"/>
  <c r="L41" i="19" s="1"/>
  <c r="L42" i="19" a="1"/>
  <c r="L42" i="19" s="1"/>
  <c r="M42" i="19" s="1"/>
  <c r="L43" i="19" a="1"/>
  <c r="L43" i="19" s="1"/>
  <c r="M43" i="19" s="1"/>
  <c r="L44" i="19" a="1"/>
  <c r="L44" i="19" s="1"/>
  <c r="L45" i="19" a="1"/>
  <c r="L45" i="19" s="1"/>
  <c r="M45" i="19" s="1"/>
  <c r="L46" i="19" a="1"/>
  <c r="L46" i="19" s="1"/>
  <c r="M46" i="19" s="1"/>
  <c r="L47" i="19" a="1"/>
  <c r="L47" i="19" s="1"/>
  <c r="M47" i="19" s="1"/>
  <c r="L48" i="19" a="1"/>
  <c r="L48" i="19" s="1"/>
  <c r="L49" i="19" a="1"/>
  <c r="L49" i="19" s="1"/>
  <c r="L50" i="19" a="1"/>
  <c r="L50" i="19" s="1"/>
  <c r="M50" i="19" s="1"/>
  <c r="L51" i="19" a="1"/>
  <c r="L51" i="19" s="1"/>
  <c r="M51" i="19" s="1"/>
  <c r="L52" i="19" a="1"/>
  <c r="L52" i="19" s="1"/>
  <c r="L53" i="19" a="1"/>
  <c r="L53" i="19" s="1"/>
  <c r="M53" i="19" s="1"/>
  <c r="L54" i="19" a="1"/>
  <c r="L54" i="19" s="1"/>
  <c r="M54" i="19" s="1"/>
  <c r="L55" i="19" a="1"/>
  <c r="L55" i="19" s="1"/>
  <c r="M55" i="19" s="1"/>
  <c r="L56" i="19" a="1"/>
  <c r="L56" i="19" s="1"/>
  <c r="L57" i="19" a="1"/>
  <c r="L57" i="19" s="1"/>
  <c r="L58" i="19" a="1"/>
  <c r="L58" i="19" s="1"/>
  <c r="M58" i="19" s="1"/>
  <c r="L59" i="19" a="1"/>
  <c r="L59" i="19" s="1"/>
  <c r="M59" i="19" s="1"/>
  <c r="L60" i="19" a="1"/>
  <c r="L60" i="19" s="1"/>
  <c r="L61" i="19" a="1"/>
  <c r="L61" i="19" s="1"/>
  <c r="M61" i="19" s="1"/>
  <c r="L62" i="19" a="1"/>
  <c r="L62" i="19" s="1"/>
  <c r="M62" i="19" s="1"/>
  <c r="L63" i="19" a="1"/>
  <c r="L63" i="19" s="1"/>
  <c r="M63" i="19" s="1"/>
  <c r="L64" i="19" a="1"/>
  <c r="L64" i="19" s="1"/>
  <c r="L65" i="19" a="1"/>
  <c r="L65" i="19" s="1"/>
  <c r="M65" i="19" s="1"/>
  <c r="L66" i="19" a="1"/>
  <c r="L66" i="19" s="1"/>
  <c r="M66" i="19" s="1"/>
  <c r="L67" i="19" a="1"/>
  <c r="L67" i="19" s="1"/>
  <c r="M67" i="19" s="1"/>
  <c r="L68" i="19" a="1"/>
  <c r="L68" i="19" s="1"/>
  <c r="L69" i="19" a="1"/>
  <c r="L69" i="19" s="1"/>
  <c r="M69" i="19" s="1"/>
  <c r="L70" i="19" a="1"/>
  <c r="L70" i="19" s="1"/>
  <c r="M70" i="19" s="1"/>
  <c r="L71" i="19" a="1"/>
  <c r="L71" i="19" s="1"/>
  <c r="M71" i="19" s="1"/>
  <c r="L72" i="19" a="1"/>
  <c r="L72" i="19" s="1"/>
  <c r="L73" i="19" a="1"/>
  <c r="L73" i="19" s="1"/>
  <c r="M73" i="19" s="1"/>
  <c r="L74" i="19" a="1"/>
  <c r="L74" i="19" s="1"/>
  <c r="M74" i="19" s="1"/>
  <c r="L75" i="19" a="1"/>
  <c r="L75" i="19" s="1"/>
  <c r="M75" i="19" s="1"/>
  <c r="L76" i="19" a="1"/>
  <c r="L76" i="19" s="1"/>
  <c r="L77" i="19" a="1"/>
  <c r="L77" i="19" s="1"/>
  <c r="L78" i="19" a="1"/>
  <c r="L78" i="19" s="1"/>
  <c r="M78" i="19" s="1"/>
  <c r="L79" i="19" a="1"/>
  <c r="L79" i="19" s="1"/>
  <c r="M79" i="19" s="1"/>
  <c r="L80" i="19" a="1"/>
  <c r="L80" i="19" s="1"/>
  <c r="L81" i="19" a="1"/>
  <c r="L81" i="19" s="1"/>
  <c r="L82" i="19" a="1"/>
  <c r="L82" i="19" s="1"/>
  <c r="M82" i="19" s="1"/>
  <c r="L83" i="19" a="1"/>
  <c r="L83" i="19" s="1"/>
  <c r="M83" i="19" s="1"/>
  <c r="L84" i="19" a="1"/>
  <c r="L84" i="19" s="1"/>
  <c r="L85" i="19" a="1"/>
  <c r="L85" i="19" s="1"/>
  <c r="M85" i="19" s="1"/>
  <c r="L86" i="19" a="1"/>
  <c r="L86" i="19" s="1"/>
  <c r="M86" i="19" s="1"/>
  <c r="L87" i="19" a="1"/>
  <c r="L87" i="19" s="1"/>
  <c r="M87" i="19" s="1"/>
  <c r="L88" i="19" a="1"/>
  <c r="L88" i="19" s="1"/>
  <c r="L89" i="19" a="1"/>
  <c r="L89" i="19" s="1"/>
  <c r="M89" i="19" s="1"/>
  <c r="L90" i="19" a="1"/>
  <c r="L90" i="19" s="1"/>
  <c r="M90" i="19" s="1"/>
  <c r="L91" i="19" a="1"/>
  <c r="L91" i="19" s="1"/>
  <c r="M91" i="19" s="1"/>
  <c r="L92" i="19" a="1"/>
  <c r="L92" i="19" s="1"/>
  <c r="L93" i="19" a="1"/>
  <c r="L93" i="19" s="1"/>
  <c r="M93" i="19" s="1"/>
  <c r="L94" i="19" a="1"/>
  <c r="L94" i="19" s="1"/>
  <c r="M94" i="19" s="1"/>
  <c r="L95" i="19" a="1"/>
  <c r="L95" i="19" s="1"/>
  <c r="M95" i="19" s="1"/>
  <c r="L96" i="19" a="1"/>
  <c r="L96" i="19" s="1"/>
  <c r="L97" i="19" a="1"/>
  <c r="L97" i="19" s="1"/>
  <c r="M97" i="19" s="1"/>
  <c r="L98" i="19" a="1"/>
  <c r="L98" i="19" s="1"/>
  <c r="M98" i="19" s="1"/>
  <c r="L99" i="19" a="1"/>
  <c r="L99" i="19" s="1"/>
  <c r="M99" i="19" s="1"/>
  <c r="L100" i="19" a="1"/>
  <c r="L100" i="19" s="1"/>
  <c r="L101" i="19" a="1"/>
  <c r="L101" i="19" s="1"/>
  <c r="M101" i="19" s="1"/>
  <c r="L102" i="19" a="1"/>
  <c r="L102" i="19" s="1"/>
  <c r="M102" i="19" s="1"/>
  <c r="L103" i="19" a="1"/>
  <c r="L103" i="19" s="1"/>
  <c r="M103" i="19" s="1"/>
  <c r="L104" i="19" a="1"/>
  <c r="L104" i="19" s="1"/>
  <c r="L105" i="19" a="1"/>
  <c r="L105" i="19" s="1"/>
  <c r="M105" i="19" s="1"/>
  <c r="L106" i="19" a="1"/>
  <c r="L106" i="19" s="1"/>
  <c r="M106" i="19" s="1"/>
  <c r="L107" i="19" a="1"/>
  <c r="L107" i="19" s="1"/>
  <c r="M107" i="19" s="1"/>
  <c r="L108" i="19" a="1"/>
  <c r="L108" i="19" s="1"/>
  <c r="L109" i="19" a="1"/>
  <c r="L109" i="19" s="1"/>
  <c r="L110" i="19" a="1"/>
  <c r="L110" i="19" s="1"/>
  <c r="M110" i="19" s="1"/>
  <c r="L111" i="19" a="1"/>
  <c r="L111" i="19" s="1"/>
  <c r="M111" i="19" s="1"/>
  <c r="L112" i="19" a="1"/>
  <c r="L112" i="19" s="1"/>
  <c r="L113" i="19" a="1"/>
  <c r="L113" i="19" s="1"/>
  <c r="L114" i="19" a="1"/>
  <c r="L114" i="19" s="1"/>
  <c r="M114" i="19" s="1"/>
  <c r="L115" i="19" a="1"/>
  <c r="L115" i="19" s="1"/>
  <c r="M115" i="19" s="1"/>
  <c r="L116" i="19" a="1"/>
  <c r="L116" i="19" s="1"/>
  <c r="L117" i="19" a="1"/>
  <c r="L117" i="19" s="1"/>
  <c r="M117" i="19" s="1"/>
  <c r="L118" i="19" a="1"/>
  <c r="L118" i="19" s="1"/>
  <c r="M118" i="19" s="1"/>
  <c r="L119" i="19" a="1"/>
  <c r="L119" i="19" s="1"/>
  <c r="M119" i="19" s="1"/>
  <c r="L120" i="19" a="1"/>
  <c r="L120" i="19" s="1"/>
  <c r="L121" i="19" a="1"/>
  <c r="L121" i="19" s="1"/>
  <c r="M121" i="19" s="1"/>
  <c r="M4" i="19"/>
  <c r="M8" i="19"/>
  <c r="M12" i="19"/>
  <c r="M20" i="19"/>
  <c r="M24" i="19"/>
  <c r="M28" i="19"/>
  <c r="M32" i="19"/>
  <c r="M36" i="19"/>
  <c r="M40" i="19"/>
  <c r="M44" i="19"/>
  <c r="M52" i="19"/>
  <c r="M56" i="19"/>
  <c r="M60" i="19"/>
  <c r="M68" i="19"/>
  <c r="M72" i="19"/>
  <c r="M76" i="19"/>
  <c r="M84" i="19"/>
  <c r="M88" i="19"/>
  <c r="M100" i="19"/>
  <c r="M104" i="19"/>
  <c r="M108" i="19"/>
  <c r="M112" i="19"/>
  <c r="M116" i="19"/>
  <c r="M120" i="19"/>
  <c r="N2" i="19" a="1"/>
  <c r="N2" i="19" s="1"/>
  <c r="N3" i="19" a="1"/>
  <c r="N3" i="19" s="1"/>
  <c r="N4" i="19" a="1"/>
  <c r="N4" i="19" s="1"/>
  <c r="N5" i="19" a="1"/>
  <c r="N5" i="19"/>
  <c r="N6" i="19" a="1"/>
  <c r="N6" i="19"/>
  <c r="N7" i="19" a="1"/>
  <c r="N7" i="19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/>
  <c r="N23" i="19" a="1"/>
  <c r="N23" i="19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/>
  <c r="N38" i="19" a="1"/>
  <c r="N38" i="19" s="1"/>
  <c r="N39" i="19" a="1"/>
  <c r="N39" i="19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/>
  <c r="N54" i="19" a="1"/>
  <c r="N54" i="19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N62" i="19" a="1"/>
  <c r="N62" i="19" s="1"/>
  <c r="N63" i="19" a="1"/>
  <c r="N63" i="19"/>
  <c r="N64" i="19" a="1"/>
  <c r="N64" i="19" s="1"/>
  <c r="N65" i="19" a="1"/>
  <c r="N65" i="19" s="1"/>
  <c r="N66" i="19" a="1"/>
  <c r="N66" i="19" s="1"/>
  <c r="N67" i="19" a="1"/>
  <c r="N67" i="19" s="1"/>
  <c r="N68" i="19" a="1"/>
  <c r="N68" i="19" s="1"/>
  <c r="N69" i="19" a="1"/>
  <c r="N69" i="19"/>
  <c r="N70" i="19" a="1"/>
  <c r="N70" i="19"/>
  <c r="N71" i="19" a="1"/>
  <c r="N71" i="19"/>
  <c r="N72" i="19" a="1"/>
  <c r="N72" i="19" s="1"/>
  <c r="N73" i="19" a="1"/>
  <c r="N73" i="19"/>
  <c r="N74" i="19" a="1"/>
  <c r="N74" i="19" s="1"/>
  <c r="N75" i="19" a="1"/>
  <c r="N75" i="19"/>
  <c r="N76" i="19" a="1"/>
  <c r="N76" i="19" s="1"/>
  <c r="N77" i="19" a="1"/>
  <c r="N77" i="19"/>
  <c r="N78" i="19" a="1"/>
  <c r="N78" i="19" s="1"/>
  <c r="N79" i="19" a="1"/>
  <c r="N79" i="19"/>
  <c r="N80" i="19" a="1"/>
  <c r="N80" i="19" s="1"/>
  <c r="N81" i="19" a="1"/>
  <c r="N81" i="19"/>
  <c r="N82" i="19" a="1"/>
  <c r="N82" i="19" s="1"/>
  <c r="N83" i="19" a="1"/>
  <c r="N83" i="19"/>
  <c r="N84" i="19" a="1"/>
  <c r="N84" i="19" s="1"/>
  <c r="N85" i="19" a="1"/>
  <c r="N85" i="19"/>
  <c r="N86" i="19" a="1"/>
  <c r="N86" i="19" s="1"/>
  <c r="N87" i="19" a="1"/>
  <c r="N87" i="19"/>
  <c r="N88" i="19" a="1"/>
  <c r="N88" i="19" s="1"/>
  <c r="N89" i="19" a="1"/>
  <c r="N89" i="19"/>
  <c r="N90" i="19" a="1"/>
  <c r="N90" i="19" s="1"/>
  <c r="N91" i="19" a="1"/>
  <c r="N91" i="19"/>
  <c r="N92" i="19" a="1"/>
  <c r="N92" i="19" s="1"/>
  <c r="N93" i="19" a="1"/>
  <c r="N93" i="19"/>
  <c r="N94" i="19" a="1"/>
  <c r="N94" i="19" s="1"/>
  <c r="N95" i="19" a="1"/>
  <c r="N95" i="19"/>
  <c r="N96" i="19" a="1"/>
  <c r="N96" i="19" s="1"/>
  <c r="N97" i="19" a="1"/>
  <c r="N97" i="19" s="1"/>
  <c r="N98" i="19" a="1"/>
  <c r="N98" i="19" s="1"/>
  <c r="N99" i="19" a="1"/>
  <c r="N99" i="19"/>
  <c r="N100" i="19" a="1"/>
  <c r="N100" i="19" s="1"/>
  <c r="N101" i="19" a="1"/>
  <c r="N101" i="19" s="1"/>
  <c r="N102" i="19" a="1"/>
  <c r="N102" i="19" s="1"/>
  <c r="N103" i="19" a="1"/>
  <c r="N103" i="19"/>
  <c r="N104" i="19" a="1"/>
  <c r="N104" i="19" s="1"/>
  <c r="N105" i="19" a="1"/>
  <c r="N105" i="19" s="1"/>
  <c r="N106" i="19" a="1"/>
  <c r="N106" i="19" s="1"/>
  <c r="N107" i="19" a="1"/>
  <c r="N107" i="19"/>
  <c r="N108" i="19" a="1"/>
  <c r="N108" i="19" s="1"/>
  <c r="N109" i="19" a="1"/>
  <c r="N109" i="19" s="1"/>
  <c r="N110" i="19" a="1"/>
  <c r="N110" i="19"/>
  <c r="N111" i="19" a="1"/>
  <c r="N111" i="19"/>
  <c r="N112" i="19" a="1"/>
  <c r="N112" i="19" s="1"/>
  <c r="N113" i="19" a="1"/>
  <c r="N113" i="19" s="1"/>
  <c r="N114" i="19" a="1"/>
  <c r="N114" i="19" s="1"/>
  <c r="N115" i="19" a="1"/>
  <c r="N115" i="19" s="1"/>
  <c r="N116" i="19" a="1"/>
  <c r="N116" i="19" s="1"/>
  <c r="N117" i="19" a="1"/>
  <c r="N117" i="19"/>
  <c r="N118" i="19" a="1"/>
  <c r="N118" i="19" s="1"/>
  <c r="N119" i="19" a="1"/>
  <c r="N119" i="19" s="1"/>
  <c r="N120" i="19" a="1"/>
  <c r="N120" i="19" s="1"/>
  <c r="N121" i="19" a="1"/>
  <c r="N121" i="19"/>
  <c r="O2" i="19" a="1"/>
  <c r="O2" i="19" s="1"/>
  <c r="O3" i="19" a="1"/>
  <c r="O3" i="19" s="1"/>
  <c r="O4" i="19" a="1"/>
  <c r="O4" i="19" s="1"/>
  <c r="O5" i="19" a="1"/>
  <c r="O5" i="19"/>
  <c r="O6" i="19" a="1"/>
  <c r="O6" i="19" s="1"/>
  <c r="O7" i="19" a="1"/>
  <c r="O7" i="19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O62" i="19" a="1"/>
  <c r="O62" i="19" s="1"/>
  <c r="O63" i="19" a="1"/>
  <c r="O63" i="19" s="1"/>
  <c r="O64" i="19" a="1"/>
  <c r="O64" i="19" s="1"/>
  <c r="O65" i="19" a="1"/>
  <c r="O65" i="19" s="1"/>
  <c r="O66" i="19" a="1"/>
  <c r="O66" i="19" s="1"/>
  <c r="O67" i="19" a="1"/>
  <c r="O67" i="19" s="1"/>
  <c r="O68" i="19" a="1"/>
  <c r="O68" i="19" s="1"/>
  <c r="O69" i="19" a="1"/>
  <c r="O69" i="19" s="1"/>
  <c r="O70" i="19" a="1"/>
  <c r="O70" i="19" s="1"/>
  <c r="O71" i="19" a="1"/>
  <c r="O71" i="19" s="1"/>
  <c r="O72" i="19" a="1"/>
  <c r="O72" i="19" s="1"/>
  <c r="O73" i="19" a="1"/>
  <c r="O73" i="19" s="1"/>
  <c r="O74" i="19" a="1"/>
  <c r="O74" i="19" s="1"/>
  <c r="O75" i="19" a="1"/>
  <c r="O75" i="19" s="1"/>
  <c r="O76" i="19" a="1"/>
  <c r="O76" i="19" s="1"/>
  <c r="O77" i="19" a="1"/>
  <c r="O77" i="19" s="1"/>
  <c r="O78" i="19" a="1"/>
  <c r="O78" i="19" s="1"/>
  <c r="O79" i="19" a="1"/>
  <c r="O79" i="19" s="1"/>
  <c r="O80" i="19" a="1"/>
  <c r="O80" i="19" s="1"/>
  <c r="O81" i="19" a="1"/>
  <c r="O81" i="19" s="1"/>
  <c r="O82" i="19" a="1"/>
  <c r="O82" i="19" s="1"/>
  <c r="O83" i="19" a="1"/>
  <c r="O83" i="19" s="1"/>
  <c r="O84" i="19" a="1"/>
  <c r="O84" i="19" s="1"/>
  <c r="O85" i="19" a="1"/>
  <c r="O85" i="19" s="1"/>
  <c r="O86" i="19" a="1"/>
  <c r="O86" i="19" s="1"/>
  <c r="O87" i="19" a="1"/>
  <c r="O87" i="19" s="1"/>
  <c r="O88" i="19" a="1"/>
  <c r="O88" i="19" s="1"/>
  <c r="O89" i="19" a="1"/>
  <c r="O89" i="19" s="1"/>
  <c r="O90" i="19" a="1"/>
  <c r="O90" i="19" s="1"/>
  <c r="O91" i="19" a="1"/>
  <c r="O91" i="19" s="1"/>
  <c r="O92" i="19" a="1"/>
  <c r="O92" i="19" s="1"/>
  <c r="O93" i="19" a="1"/>
  <c r="O93" i="19" s="1"/>
  <c r="O94" i="19" a="1"/>
  <c r="O94" i="19" s="1"/>
  <c r="O95" i="19" a="1"/>
  <c r="O95" i="19" s="1"/>
  <c r="O96" i="19" a="1"/>
  <c r="O96" i="19" s="1"/>
  <c r="O97" i="19" a="1"/>
  <c r="O97" i="19" s="1"/>
  <c r="O98" i="19" a="1"/>
  <c r="O98" i="19" s="1"/>
  <c r="O99" i="19" a="1"/>
  <c r="O99" i="19" s="1"/>
  <c r="O100" i="19" a="1"/>
  <c r="O100" i="19" s="1"/>
  <c r="O101" i="19" a="1"/>
  <c r="O101" i="19" s="1"/>
  <c r="O102" i="19" a="1"/>
  <c r="O102" i="19" s="1"/>
  <c r="O103" i="19" a="1"/>
  <c r="O103" i="19" s="1"/>
  <c r="O104" i="19" a="1"/>
  <c r="O104" i="19" s="1"/>
  <c r="O105" i="19" a="1"/>
  <c r="O105" i="19" s="1"/>
  <c r="O106" i="19" a="1"/>
  <c r="O106" i="19" s="1"/>
  <c r="O107" i="19" a="1"/>
  <c r="O107" i="19" s="1"/>
  <c r="O108" i="19" a="1"/>
  <c r="O108" i="19" s="1"/>
  <c r="O109" i="19" a="1"/>
  <c r="O109" i="19" s="1"/>
  <c r="O110" i="19" a="1"/>
  <c r="O110" i="19" s="1"/>
  <c r="O111" i="19" a="1"/>
  <c r="O111" i="19" s="1"/>
  <c r="O112" i="19" a="1"/>
  <c r="O112" i="19" s="1"/>
  <c r="O113" i="19" a="1"/>
  <c r="O113" i="19" s="1"/>
  <c r="O114" i="19" a="1"/>
  <c r="O114" i="19" s="1"/>
  <c r="O115" i="19" a="1"/>
  <c r="O115" i="19" s="1"/>
  <c r="O116" i="19" a="1"/>
  <c r="O116" i="19" s="1"/>
  <c r="O117" i="19" a="1"/>
  <c r="O117" i="19" s="1"/>
  <c r="O118" i="19" a="1"/>
  <c r="O118" i="19" s="1"/>
  <c r="O119" i="19" a="1"/>
  <c r="O119" i="19" s="1"/>
  <c r="O120" i="19" a="1"/>
  <c r="O120" i="19" s="1"/>
  <c r="O121" i="19" a="1"/>
  <c r="O12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/>
  <c r="N130" i="18" a="1"/>
  <c r="N130" i="18" s="1"/>
  <c r="N131" i="18" a="1"/>
  <c r="N131" i="18" s="1"/>
  <c r="N132" i="18" a="1"/>
  <c r="N132" i="18" s="1"/>
  <c r="N133" i="18" a="1"/>
  <c r="N133" i="18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/>
  <c r="N194" i="18" a="1"/>
  <c r="N194" i="18" s="1"/>
  <c r="N195" i="18" a="1"/>
  <c r="N195" i="18" s="1"/>
  <c r="N196" i="18" a="1"/>
  <c r="N196" i="18" s="1"/>
  <c r="N197" i="18" a="1"/>
  <c r="N197" i="18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/>
  <c r="O216" i="18" a="1"/>
  <c r="O216" i="18" s="1"/>
  <c r="O217" i="18" a="1"/>
  <c r="O217" i="18" s="1"/>
  <c r="O218" i="18" a="1"/>
  <c r="O218" i="18" s="1"/>
  <c r="O219" i="18" a="1"/>
  <c r="O219" i="18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/>
  <c r="O237" i="18" a="1"/>
  <c r="O237" i="18" s="1"/>
  <c r="O238" i="18" a="1"/>
  <c r="O238" i="18"/>
  <c r="O239" i="18" a="1"/>
  <c r="O239" i="18" s="1"/>
  <c r="O240" i="18" a="1"/>
  <c r="O240" i="18" s="1"/>
  <c r="O241" i="18" a="1"/>
  <c r="O241" i="18" s="1"/>
  <c r="O242" i="18" a="1"/>
  <c r="O242" i="18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/>
  <c r="O365" i="18" a="1"/>
  <c r="O365" i="18" s="1"/>
  <c r="O366" i="18" a="1"/>
  <c r="O366" i="18"/>
  <c r="O367" i="18" a="1"/>
  <c r="O367" i="18" s="1"/>
  <c r="O368" i="18" a="1"/>
  <c r="O368" i="18" s="1"/>
  <c r="O369" i="18" a="1"/>
  <c r="O369" i="18" s="1"/>
  <c r="O370" i="18" a="1"/>
  <c r="O370" i="18"/>
  <c r="O371" i="18" a="1"/>
  <c r="O371" i="18" s="1"/>
  <c r="O372" i="18" a="1"/>
  <c r="O372" i="18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/>
  <c r="O397" i="18" a="1"/>
  <c r="O397" i="18" s="1"/>
  <c r="O398" i="18" a="1"/>
  <c r="O398" i="18" s="1"/>
  <c r="O399" i="18" a="1"/>
  <c r="O399" i="18"/>
  <c r="O400" i="18" a="1"/>
  <c r="O400" i="18" s="1"/>
  <c r="O401" i="18" a="1"/>
  <c r="O401" i="18"/>
  <c r="O402" i="18" a="1"/>
  <c r="O402" i="18" s="1"/>
  <c r="O403" i="18" a="1"/>
  <c r="O403" i="18"/>
  <c r="O404" i="18" a="1"/>
  <c r="O404" i="18"/>
  <c r="O405" i="18" a="1"/>
  <c r="O405" i="18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/>
  <c r="O412" i="18" a="1"/>
  <c r="O412" i="18" s="1"/>
  <c r="O413" i="18" a="1"/>
  <c r="O413" i="18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/>
  <c r="O420" i="18" a="1"/>
  <c r="O420" i="18" s="1"/>
  <c r="O421" i="18" a="1"/>
  <c r="O421" i="18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/>
  <c r="O428" i="18" a="1"/>
  <c r="O428" i="18" s="1"/>
  <c r="O429" i="18" a="1"/>
  <c r="O429" i="18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/>
  <c r="O436" i="18" a="1"/>
  <c r="O436" i="18" s="1"/>
  <c r="O437" i="18" a="1"/>
  <c r="O437" i="18"/>
  <c r="O438" i="18" a="1"/>
  <c r="O438" i="18" s="1"/>
  <c r="O439" i="18" a="1"/>
  <c r="O439" i="18" s="1"/>
  <c r="O440" i="18" a="1"/>
  <c r="O440" i="18" s="1"/>
  <c r="O441" i="18" a="1"/>
  <c r="O441" i="18" s="1"/>
  <c r="P2" i="18" a="1"/>
  <c r="P2" i="18" s="1"/>
  <c r="P3" i="18" a="1"/>
  <c r="P3" i="18"/>
  <c r="P4" i="18" a="1"/>
  <c r="P4" i="18" s="1"/>
  <c r="P5" i="18" a="1"/>
  <c r="P5" i="18" s="1"/>
  <c r="P6" i="18" a="1"/>
  <c r="P6" i="18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/>
  <c r="P25" i="18" a="1"/>
  <c r="P25" i="18" s="1"/>
  <c r="P26" i="18" a="1"/>
  <c r="P26" i="18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/>
  <c r="P68" i="18" a="1"/>
  <c r="P68" i="18" s="1"/>
  <c r="P69" i="18" a="1"/>
  <c r="P69" i="18" s="1"/>
  <c r="P70" i="18" a="1"/>
  <c r="P70" i="18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/>
  <c r="P77" i="18" a="1"/>
  <c r="P77" i="18" s="1"/>
  <c r="P78" i="18" a="1"/>
  <c r="P78" i="18" s="1"/>
  <c r="P79" i="18" a="1"/>
  <c r="P79" i="18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/>
  <c r="P96" i="18" a="1"/>
  <c r="P96" i="18" s="1"/>
  <c r="P97" i="18" a="1"/>
  <c r="P97" i="18" s="1"/>
  <c r="P98" i="18" a="1"/>
  <c r="P98" i="18" s="1"/>
  <c r="P99" i="18" a="1"/>
  <c r="P99" i="18"/>
  <c r="P100" i="18" a="1"/>
  <c r="P100" i="18" s="1"/>
  <c r="P101" i="18" a="1"/>
  <c r="P101" i="18" s="1"/>
  <c r="P102" i="18" a="1"/>
  <c r="P102" i="18"/>
  <c r="P103" i="18" a="1"/>
  <c r="P103" i="18" s="1"/>
  <c r="P104" i="18" a="1"/>
  <c r="P104" i="18"/>
  <c r="P105" i="18" a="1"/>
  <c r="P105" i="18" s="1"/>
  <c r="P106" i="18" a="1"/>
  <c r="P106" i="18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/>
  <c r="P113" i="18" a="1"/>
  <c r="P113" i="18" s="1"/>
  <c r="P114" i="18" a="1"/>
  <c r="P114" i="18" s="1"/>
  <c r="P115" i="18" a="1"/>
  <c r="P115" i="18"/>
  <c r="P116" i="18" a="1"/>
  <c r="P116" i="18" s="1"/>
  <c r="P117" i="18" a="1"/>
  <c r="P117" i="18" s="1"/>
  <c r="P118" i="18" a="1"/>
  <c r="P118" i="18"/>
  <c r="P119" i="18" a="1"/>
  <c r="P119" i="18" s="1"/>
  <c r="P120" i="18" a="1"/>
  <c r="P120" i="18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/>
  <c r="P132" i="18" a="1"/>
  <c r="P132" i="18" s="1"/>
  <c r="P133" i="18" a="1"/>
  <c r="P133" i="18" s="1"/>
  <c r="P134" i="18" a="1"/>
  <c r="P134" i="18"/>
  <c r="P135" i="18" a="1"/>
  <c r="P135" i="18" s="1"/>
  <c r="P136" i="18" a="1"/>
  <c r="P136" i="18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/>
  <c r="P144" i="18" a="1"/>
  <c r="P144" i="18"/>
  <c r="P145" i="18" a="1"/>
  <c r="P145" i="18" s="1"/>
  <c r="P146" i="18" a="1"/>
  <c r="P146" i="18" s="1"/>
  <c r="P147" i="18" a="1"/>
  <c r="P147" i="18"/>
  <c r="P148" i="18" a="1"/>
  <c r="P148" i="18" s="1"/>
  <c r="P149" i="18" a="1"/>
  <c r="P149" i="18" s="1"/>
  <c r="P150" i="18" a="1"/>
  <c r="P150" i="18"/>
  <c r="P151" i="18" a="1"/>
  <c r="P151" i="18" s="1"/>
  <c r="P152" i="18" a="1"/>
  <c r="P152" i="18" s="1"/>
  <c r="P153" i="18" a="1"/>
  <c r="P153" i="18" s="1"/>
  <c r="P154" i="18" a="1"/>
  <c r="P154" i="18"/>
  <c r="P155" i="18" a="1"/>
  <c r="P155" i="18" s="1"/>
  <c r="P156" i="18" a="1"/>
  <c r="P156" i="18"/>
  <c r="P157" i="18" a="1"/>
  <c r="P157" i="18" s="1"/>
  <c r="P158" i="18" a="1"/>
  <c r="P158" i="18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/>
  <c r="P173" i="18" a="1"/>
  <c r="P173" i="18" s="1"/>
  <c r="P174" i="18" a="1"/>
  <c r="P174" i="18" s="1"/>
  <c r="P175" i="18" a="1"/>
  <c r="P175" i="18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/>
  <c r="P199" i="18" a="1"/>
  <c r="P199" i="18" s="1"/>
  <c r="P200" i="18" a="1"/>
  <c r="P200" i="18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/>
  <c r="P231" i="18" a="1"/>
  <c r="P231" i="18" s="1"/>
  <c r="P232" i="18" a="1"/>
  <c r="P232" i="18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/>
  <c r="P260" i="18" a="1"/>
  <c r="P260" i="18" s="1"/>
  <c r="P261" i="18" a="1"/>
  <c r="P261" i="18" s="1"/>
  <c r="P262" i="18" a="1"/>
  <c r="P262" i="18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/>
  <c r="P281" i="18" a="1"/>
  <c r="P281" i="18" s="1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/>
  <c r="P292" i="18" a="1"/>
  <c r="P292" i="18" s="1"/>
  <c r="P293" i="18" a="1"/>
  <c r="P293" i="18" s="1"/>
  <c r="P294" i="18" a="1"/>
  <c r="P294" i="18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/>
  <c r="P324" i="18" a="1"/>
  <c r="P324" i="18" s="1"/>
  <c r="P325" i="18" a="1"/>
  <c r="P325" i="18" s="1"/>
  <c r="P326" i="18" a="1"/>
  <c r="P326" i="18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/>
  <c r="P345" i="18" a="1"/>
  <c r="P345" i="18" s="1"/>
  <c r="P346" i="18" a="1"/>
  <c r="P346" i="18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/>
  <c r="P356" i="18" a="1"/>
  <c r="P356" i="18" s="1"/>
  <c r="P357" i="18" a="1"/>
  <c r="P357" i="18" s="1"/>
  <c r="P358" i="18" a="1"/>
  <c r="P358" i="18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/>
  <c r="P375" i="18" a="1"/>
  <c r="P375" i="18" s="1"/>
  <c r="P376" i="18" a="1"/>
  <c r="P376" i="18"/>
  <c r="P377" i="18" a="1"/>
  <c r="P377" i="18" s="1"/>
  <c r="P378" i="18" a="1"/>
  <c r="P378" i="18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/>
  <c r="P388" i="18" a="1"/>
  <c r="P388" i="18" s="1"/>
  <c r="P389" i="18" a="1"/>
  <c r="P389" i="18" s="1"/>
  <c r="P390" i="18" a="1"/>
  <c r="P390" i="18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R396" i="18" s="1"/>
  <c r="U396" i="18" s="1"/>
  <c r="P397" i="18" a="1"/>
  <c r="P397" i="18" s="1"/>
  <c r="P398" i="18" a="1"/>
  <c r="P398" i="18" s="1"/>
  <c r="P399" i="18" a="1"/>
  <c r="P399" i="18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/>
  <c r="P409" i="18" a="1"/>
  <c r="P409" i="18" s="1"/>
  <c r="P410" i="18" a="1"/>
  <c r="P410" i="18" s="1"/>
  <c r="P411" i="18" a="1"/>
  <c r="P411" i="18" s="1"/>
  <c r="P412" i="18" a="1"/>
  <c r="P412" i="18" s="1"/>
  <c r="R412" i="18" s="1"/>
  <c r="U412" i="18" s="1"/>
  <c r="P413" i="18" a="1"/>
  <c r="P413" i="18" s="1"/>
  <c r="P414" i="18" a="1"/>
  <c r="P414" i="18" s="1"/>
  <c r="P415" i="18" a="1"/>
  <c r="P415" i="18"/>
  <c r="P416" i="18" a="1"/>
  <c r="P416" i="18" s="1"/>
  <c r="P417" i="18" a="1"/>
  <c r="P417" i="18" s="1"/>
  <c r="P418" i="18" a="1"/>
  <c r="P418" i="18" s="1"/>
  <c r="P419" i="18" a="1"/>
  <c r="P419" i="18" s="1"/>
  <c r="R419" i="18" s="1"/>
  <c r="U419" i="18" s="1"/>
  <c r="P420" i="18" a="1"/>
  <c r="P420" i="18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/>
  <c r="P429" i="18" a="1"/>
  <c r="P429" i="18" s="1"/>
  <c r="P430" i="18" a="1"/>
  <c r="P430" i="18" s="1"/>
  <c r="P431" i="18" a="1"/>
  <c r="P431" i="18"/>
  <c r="P432" i="18" a="1"/>
  <c r="P432" i="18" s="1"/>
  <c r="P433" i="18" a="1"/>
  <c r="P433" i="18" s="1"/>
  <c r="P434" i="18" a="1"/>
  <c r="P434" i="18" s="1"/>
  <c r="P435" i="18" a="1"/>
  <c r="P435" i="18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/>
  <c r="P441" i="18" a="1"/>
  <c r="P441" i="18" s="1"/>
  <c r="Q2" i="18" a="1"/>
  <c r="Q2" i="18" s="1"/>
  <c r="R2" i="18" s="1"/>
  <c r="Q3" i="18" a="1"/>
  <c r="Q3" i="18"/>
  <c r="R3" i="18" s="1"/>
  <c r="Q4" i="18" a="1"/>
  <c r="Q4" i="18"/>
  <c r="R4" i="18" s="1"/>
  <c r="Q5" i="18" a="1"/>
  <c r="Q5" i="18" s="1"/>
  <c r="R5" i="18" s="1"/>
  <c r="Q6" i="18" a="1"/>
  <c r="Q6" i="18" s="1"/>
  <c r="R6" i="18" s="1"/>
  <c r="Q7" i="18" a="1"/>
  <c r="Q7" i="18" s="1"/>
  <c r="R7" i="18" s="1"/>
  <c r="Q8" i="18" a="1"/>
  <c r="Q8" i="18" s="1"/>
  <c r="Q9" i="18" a="1"/>
  <c r="Q9" i="18" s="1"/>
  <c r="Q10" i="18" a="1"/>
  <c r="Q10" i="18" s="1"/>
  <c r="R10" i="18" s="1"/>
  <c r="Q11" i="18" a="1"/>
  <c r="Q11" i="18"/>
  <c r="Q12" i="18" a="1"/>
  <c r="Q12" i="18"/>
  <c r="Q13" i="18" a="1"/>
  <c r="Q13" i="18" s="1"/>
  <c r="Q14" i="18" a="1"/>
  <c r="Q14" i="18" s="1"/>
  <c r="R14" i="18" s="1"/>
  <c r="Q15" i="18" a="1"/>
  <c r="Q15" i="18" s="1"/>
  <c r="R15" i="18" s="1"/>
  <c r="Q16" i="18" a="1"/>
  <c r="Q16" i="18"/>
  <c r="Q17" i="18" a="1"/>
  <c r="Q17" i="18" s="1"/>
  <c r="Q18" i="18" a="1"/>
  <c r="Q18" i="18" s="1"/>
  <c r="R18" i="18" s="1"/>
  <c r="Q19" i="18" a="1"/>
  <c r="Q19" i="18" s="1"/>
  <c r="R19" i="18" s="1"/>
  <c r="Q20" i="18" a="1"/>
  <c r="Q20" i="18" s="1"/>
  <c r="R20" i="18" s="1"/>
  <c r="U20" i="18" s="1"/>
  <c r="Q21" i="18" a="1"/>
  <c r="Q21" i="18" s="1"/>
  <c r="R21" i="18" s="1"/>
  <c r="Q22" i="18" a="1"/>
  <c r="Q22" i="18" s="1"/>
  <c r="R22" i="18" s="1"/>
  <c r="Q23" i="18" a="1"/>
  <c r="Q23" i="18" s="1"/>
  <c r="R23" i="18" s="1"/>
  <c r="U23" i="18" s="1"/>
  <c r="Q24" i="18" a="1"/>
  <c r="Q24" i="18" s="1"/>
  <c r="Q25" i="18" a="1"/>
  <c r="Q25" i="18" s="1"/>
  <c r="Q26" i="18" a="1"/>
  <c r="Q26" i="18" s="1"/>
  <c r="R26" i="18" s="1"/>
  <c r="Q27" i="18" a="1"/>
  <c r="Q27" i="18" s="1"/>
  <c r="Q28" i="18" a="1"/>
  <c r="Q28" i="18" s="1"/>
  <c r="R28" i="18" s="1"/>
  <c r="U28" i="18" s="1"/>
  <c r="Q29" i="18" a="1"/>
  <c r="Q29" i="18" s="1"/>
  <c r="Q30" i="18" a="1"/>
  <c r="Q30" i="18"/>
  <c r="R30" i="18" s="1"/>
  <c r="Q31" i="18" a="1"/>
  <c r="Q31" i="18" s="1"/>
  <c r="R31" i="18" s="1"/>
  <c r="Q32" i="18" a="1"/>
  <c r="Q32" i="18"/>
  <c r="Q33" i="18" a="1"/>
  <c r="Q33" i="18" s="1"/>
  <c r="Q34" i="18" a="1"/>
  <c r="Q34" i="18" s="1"/>
  <c r="R34" i="18" s="1"/>
  <c r="Q35" i="18" a="1"/>
  <c r="Q35" i="18" s="1"/>
  <c r="Q36" i="18" a="1"/>
  <c r="Q36" i="18" s="1"/>
  <c r="R36" i="18" s="1"/>
  <c r="U36" i="18" s="1"/>
  <c r="Q37" i="18" a="1"/>
  <c r="Q37" i="18" s="1"/>
  <c r="R37" i="18" s="1"/>
  <c r="Q38" i="18" a="1"/>
  <c r="Q38" i="18" s="1"/>
  <c r="R38" i="18" s="1"/>
  <c r="Q39" i="18" a="1"/>
  <c r="Q39" i="18"/>
  <c r="R39" i="18" s="1"/>
  <c r="Q40" i="18" a="1"/>
  <c r="Q40" i="18" s="1"/>
  <c r="Q41" i="18" a="1"/>
  <c r="Q41" i="18" s="1"/>
  <c r="Q42" i="18" a="1"/>
  <c r="Q42" i="18" s="1"/>
  <c r="R42" i="18" s="1"/>
  <c r="Q43" i="18" a="1"/>
  <c r="Q43" i="18" s="1"/>
  <c r="Q44" i="18" a="1"/>
  <c r="Q44" i="18" s="1"/>
  <c r="R44" i="18" s="1"/>
  <c r="Q45" i="18" a="1"/>
  <c r="Q45" i="18" s="1"/>
  <c r="Q46" i="18" a="1"/>
  <c r="Q46" i="18" s="1"/>
  <c r="R46" i="18" s="1"/>
  <c r="Q47" i="18" a="1"/>
  <c r="Q47" i="18" s="1"/>
  <c r="Q48" i="18" a="1"/>
  <c r="Q48" i="18" s="1"/>
  <c r="R48" i="18" s="1"/>
  <c r="Q49" i="18" a="1"/>
  <c r="Q49" i="18" s="1"/>
  <c r="Q50" i="18" a="1"/>
  <c r="Q50" i="18" s="1"/>
  <c r="R50" i="18" s="1"/>
  <c r="Q51" i="18" a="1"/>
  <c r="Q51" i="18" s="1"/>
  <c r="Q52" i="18" a="1"/>
  <c r="Q52" i="18" s="1"/>
  <c r="Q53" i="18" a="1"/>
  <c r="Q53" i="18" s="1"/>
  <c r="R53" i="18" s="1"/>
  <c r="Q54" i="18" a="1"/>
  <c r="Q54" i="18" s="1"/>
  <c r="R54" i="18" s="1"/>
  <c r="Q55" i="18" a="1"/>
  <c r="Q55" i="18" s="1"/>
  <c r="R55" i="18" s="1"/>
  <c r="U55" i="18" s="1"/>
  <c r="Q56" i="18" a="1"/>
  <c r="Q56" i="18" s="1"/>
  <c r="R56" i="18" s="1"/>
  <c r="Q57" i="18" a="1"/>
  <c r="Q57" i="18" s="1"/>
  <c r="Q58" i="18" a="1"/>
  <c r="Q58" i="18" s="1"/>
  <c r="R58" i="18" s="1"/>
  <c r="Q59" i="18" a="1"/>
  <c r="Q59" i="18"/>
  <c r="R59" i="18" s="1"/>
  <c r="Q60" i="18" a="1"/>
  <c r="Q60" i="18" s="1"/>
  <c r="R60" i="18" s="1"/>
  <c r="U60" i="18" s="1"/>
  <c r="Q61" i="18" a="1"/>
  <c r="Q61" i="18" s="1"/>
  <c r="Q62" i="18" a="1"/>
  <c r="Q62" i="18"/>
  <c r="R62" i="18" s="1"/>
  <c r="Q63" i="18" a="1"/>
  <c r="Q63" i="18" s="1"/>
  <c r="R63" i="18" s="1"/>
  <c r="Q64" i="18" a="1"/>
  <c r="Q64" i="18"/>
  <c r="Q65" i="18" a="1"/>
  <c r="Q65" i="18" s="1"/>
  <c r="Q66" i="18" a="1"/>
  <c r="Q66" i="18" s="1"/>
  <c r="R66" i="18" s="1"/>
  <c r="Q67" i="18" a="1"/>
  <c r="Q67" i="18" s="1"/>
  <c r="R67" i="18" s="1"/>
  <c r="Q68" i="18" a="1"/>
  <c r="Q68" i="18" s="1"/>
  <c r="R68" i="18" s="1"/>
  <c r="U68" i="18" s="1"/>
  <c r="Q69" i="18" a="1"/>
  <c r="Q69" i="18" s="1"/>
  <c r="Q70" i="18" a="1"/>
  <c r="Q70" i="18" s="1"/>
  <c r="R70" i="18" s="1"/>
  <c r="Q71" i="18" a="1"/>
  <c r="Q71" i="18"/>
  <c r="R71" i="18" s="1"/>
  <c r="Q72" i="18" a="1"/>
  <c r="Q72" i="18" s="1"/>
  <c r="Q73" i="18" a="1"/>
  <c r="Q73" i="18" s="1"/>
  <c r="Q74" i="18" a="1"/>
  <c r="Q74" i="18" s="1"/>
  <c r="R74" i="18" s="1"/>
  <c r="Q75" i="18" a="1"/>
  <c r="Q75" i="18" s="1"/>
  <c r="R75" i="18" s="1"/>
  <c r="Q76" i="18" a="1"/>
  <c r="Q76" i="18" s="1"/>
  <c r="R76" i="18" s="1"/>
  <c r="Q77" i="18" a="1"/>
  <c r="Q77" i="18" s="1"/>
  <c r="Q78" i="18" a="1"/>
  <c r="Q78" i="18"/>
  <c r="R78" i="18" s="1"/>
  <c r="Q79" i="18" a="1"/>
  <c r="Q79" i="18" s="1"/>
  <c r="R79" i="18" s="1"/>
  <c r="Q80" i="18" a="1"/>
  <c r="Q80" i="18"/>
  <c r="R80" i="18" s="1"/>
  <c r="Q81" i="18" a="1"/>
  <c r="Q81" i="18" s="1"/>
  <c r="Q82" i="18" a="1"/>
  <c r="Q82" i="18" s="1"/>
  <c r="R82" i="18" s="1"/>
  <c r="Q83" i="18" a="1"/>
  <c r="Q83" i="18" s="1"/>
  <c r="Q84" i="18" a="1"/>
  <c r="Q84" i="18" s="1"/>
  <c r="R84" i="18" s="1"/>
  <c r="U84" i="18" s="1"/>
  <c r="Q85" i="18" a="1"/>
  <c r="Q85" i="18" s="1"/>
  <c r="R85" i="18" s="1"/>
  <c r="Q86" i="18" a="1"/>
  <c r="Q86" i="18" s="1"/>
  <c r="R86" i="18" s="1"/>
  <c r="Q87" i="18" a="1"/>
  <c r="Q87" i="18"/>
  <c r="R87" i="18" s="1"/>
  <c r="Q88" i="18" a="1"/>
  <c r="Q88" i="18" s="1"/>
  <c r="Q89" i="18" a="1"/>
  <c r="Q89" i="18" s="1"/>
  <c r="Q90" i="18" a="1"/>
  <c r="Q90" i="18" s="1"/>
  <c r="R90" i="18" s="1"/>
  <c r="Q91" i="18" a="1"/>
  <c r="Q91" i="18" s="1"/>
  <c r="R91" i="18" s="1"/>
  <c r="U91" i="18" s="1"/>
  <c r="Q92" i="18" a="1"/>
  <c r="Q92" i="18" s="1"/>
  <c r="R92" i="18" s="1"/>
  <c r="U92" i="18" s="1"/>
  <c r="Q93" i="18" a="1"/>
  <c r="Q93" i="18" s="1"/>
  <c r="Q94" i="18" a="1"/>
  <c r="Q94" i="18" s="1"/>
  <c r="R94" i="18" s="1"/>
  <c r="Q95" i="18" a="1"/>
  <c r="Q95" i="18" s="1"/>
  <c r="R95" i="18" s="1"/>
  <c r="Q96" i="18" a="1"/>
  <c r="Q96" i="18" s="1"/>
  <c r="R96" i="18" s="1"/>
  <c r="Q97" i="18" a="1"/>
  <c r="Q97" i="18" s="1"/>
  <c r="Q98" i="18" a="1"/>
  <c r="Q98" i="18" s="1"/>
  <c r="R98" i="18" s="1"/>
  <c r="Q99" i="18" a="1"/>
  <c r="Q99" i="18"/>
  <c r="R99" i="18" s="1"/>
  <c r="U99" i="18" s="1"/>
  <c r="Q100" i="18" a="1"/>
  <c r="Q100" i="18"/>
  <c r="Q101" i="18" a="1"/>
  <c r="Q101" i="18" s="1"/>
  <c r="R101" i="18" s="1"/>
  <c r="Q102" i="18" a="1"/>
  <c r="Q102" i="18" s="1"/>
  <c r="R102" i="18" s="1"/>
  <c r="Q103" i="18" a="1"/>
  <c r="Q103" i="18" s="1"/>
  <c r="R103" i="18" s="1"/>
  <c r="Q104" i="18" a="1"/>
  <c r="Q104" i="18" s="1"/>
  <c r="Q105" i="18" a="1"/>
  <c r="Q105" i="18" s="1"/>
  <c r="R105" i="18" s="1"/>
  <c r="Q106" i="18" a="1"/>
  <c r="Q106" i="18" s="1"/>
  <c r="R106" i="18" s="1"/>
  <c r="Q107" i="18" a="1"/>
  <c r="Q107" i="18"/>
  <c r="Q108" i="18" a="1"/>
  <c r="Q108" i="18" s="1"/>
  <c r="R108" i="18" s="1"/>
  <c r="Q109" i="18" a="1"/>
  <c r="Q109" i="18" s="1"/>
  <c r="Q110" i="18" a="1"/>
  <c r="Q110" i="18"/>
  <c r="R110" i="18" s="1"/>
  <c r="Q111" i="18" a="1"/>
  <c r="Q111" i="18" s="1"/>
  <c r="R111" i="18" s="1"/>
  <c r="Q112" i="18" a="1"/>
  <c r="Q112" i="18" s="1"/>
  <c r="R112" i="18" s="1"/>
  <c r="Q113" i="18" a="1"/>
  <c r="Q113" i="18" s="1"/>
  <c r="R113" i="18" s="1"/>
  <c r="U113" i="18" s="1"/>
  <c r="Q114" i="18" a="1"/>
  <c r="Q114" i="18" s="1"/>
  <c r="R114" i="18" s="1"/>
  <c r="Q115" i="18" a="1"/>
  <c r="Q115" i="18" s="1"/>
  <c r="Q116" i="18" a="1"/>
  <c r="Q116" i="18" s="1"/>
  <c r="R116" i="18" s="1"/>
  <c r="U116" i="18" s="1"/>
  <c r="Q117" i="18" a="1"/>
  <c r="Q117" i="18" s="1"/>
  <c r="R117" i="18" s="1"/>
  <c r="Q118" i="18" a="1"/>
  <c r="Q118" i="18" s="1"/>
  <c r="R118" i="18" s="1"/>
  <c r="Q119" i="18" a="1"/>
  <c r="Q119" i="18"/>
  <c r="R119" i="18" s="1"/>
  <c r="Q120" i="18" a="1"/>
  <c r="Q120" i="18" s="1"/>
  <c r="Q121" i="18" a="1"/>
  <c r="Q121" i="18" s="1"/>
  <c r="Q122" i="18" a="1"/>
  <c r="Q122" i="18" s="1"/>
  <c r="R122" i="18" s="1"/>
  <c r="Q123" i="18" a="1"/>
  <c r="Q123" i="18"/>
  <c r="Q124" i="18" a="1"/>
  <c r="Q124" i="18" s="1"/>
  <c r="Q125" i="18" a="1"/>
  <c r="Q125" i="18" s="1"/>
  <c r="Q126" i="18" a="1"/>
  <c r="Q126" i="18" s="1"/>
  <c r="R126" i="18" s="1"/>
  <c r="Q127" i="18" a="1"/>
  <c r="Q127" i="18" s="1"/>
  <c r="Q128" i="18" a="1"/>
  <c r="Q128" i="18" s="1"/>
  <c r="R128" i="18" s="1"/>
  <c r="Q129" i="18" a="1"/>
  <c r="Q129" i="18" s="1"/>
  <c r="Q130" i="18" a="1"/>
  <c r="Q130" i="18"/>
  <c r="R130" i="18" s="1"/>
  <c r="Q131" i="18" a="1"/>
  <c r="Q131" i="18" s="1"/>
  <c r="R131" i="18" s="1"/>
  <c r="Q132" i="18" a="1"/>
  <c r="Q132" i="18" s="1"/>
  <c r="R132" i="18" s="1"/>
  <c r="U132" i="18" s="1"/>
  <c r="Q133" i="18" a="1"/>
  <c r="Q133" i="18" s="1"/>
  <c r="R133" i="18" s="1"/>
  <c r="Q134" i="18" a="1"/>
  <c r="Q134" i="18" s="1"/>
  <c r="R134" i="18" s="1"/>
  <c r="Q135" i="18" a="1"/>
  <c r="Q135" i="18"/>
  <c r="R135" i="18" s="1"/>
  <c r="Q136" i="18" a="1"/>
  <c r="Q136" i="18" s="1"/>
  <c r="Q137" i="18" a="1"/>
  <c r="Q137" i="18" s="1"/>
  <c r="Q138" i="18" a="1"/>
  <c r="Q138" i="18" s="1"/>
  <c r="R138" i="18" s="1"/>
  <c r="Q139" i="18" a="1"/>
  <c r="Q139" i="18"/>
  <c r="Q140" i="18" a="1"/>
  <c r="Q140" i="18" s="1"/>
  <c r="R140" i="18" s="1"/>
  <c r="U140" i="18" s="1"/>
  <c r="Q141" i="18" a="1"/>
  <c r="Q141" i="18" s="1"/>
  <c r="Q142" i="18" a="1"/>
  <c r="Q142" i="18"/>
  <c r="R142" i="18" s="1"/>
  <c r="Q143" i="18" a="1"/>
  <c r="Q143" i="18" s="1"/>
  <c r="R143" i="18" s="1"/>
  <c r="Q144" i="18" a="1"/>
  <c r="Q144" i="18"/>
  <c r="R144" i="18" s="1"/>
  <c r="Q145" i="18" a="1"/>
  <c r="Q145" i="18" s="1"/>
  <c r="Q146" i="18" a="1"/>
  <c r="Q146" i="18"/>
  <c r="R146" i="18" s="1"/>
  <c r="Q147" i="18" a="1"/>
  <c r="Q147" i="18" s="1"/>
  <c r="Q148" i="18" a="1"/>
  <c r="Q148" i="18"/>
  <c r="R148" i="18" s="1"/>
  <c r="U148" i="18" s="1"/>
  <c r="Q149" i="18" a="1"/>
  <c r="Q149" i="18" s="1"/>
  <c r="Q150" i="18" a="1"/>
  <c r="Q150" i="18" s="1"/>
  <c r="R150" i="18" s="1"/>
  <c r="Q151" i="18" a="1"/>
  <c r="Q151" i="18" s="1"/>
  <c r="R151" i="18" s="1"/>
  <c r="U151" i="18" s="1"/>
  <c r="Q152" i="18" a="1"/>
  <c r="Q152" i="18" s="1"/>
  <c r="Q153" i="18" a="1"/>
  <c r="Q153" i="18" s="1"/>
  <c r="Q154" i="18" a="1"/>
  <c r="Q154" i="18"/>
  <c r="R154" i="18" s="1"/>
  <c r="Q155" i="18" a="1"/>
  <c r="Q155" i="18"/>
  <c r="Q156" i="18" a="1"/>
  <c r="Q156" i="18" s="1"/>
  <c r="R156" i="18" s="1"/>
  <c r="U156" i="18" s="1"/>
  <c r="Q157" i="18" a="1"/>
  <c r="Q157" i="18" s="1"/>
  <c r="Q158" i="18" a="1"/>
  <c r="Q158" i="18" s="1"/>
  <c r="R158" i="18" s="1"/>
  <c r="Q159" i="18" a="1"/>
  <c r="Q159" i="18" s="1"/>
  <c r="R159" i="18" s="1"/>
  <c r="Q160" i="18" a="1"/>
  <c r="Q160" i="18" s="1"/>
  <c r="R160" i="18" s="1"/>
  <c r="Q161" i="18" a="1"/>
  <c r="Q161" i="18" s="1"/>
  <c r="Q162" i="18" a="1"/>
  <c r="Q162" i="18"/>
  <c r="R162" i="18" s="1"/>
  <c r="Q163" i="18" a="1"/>
  <c r="Q163" i="18" s="1"/>
  <c r="R163" i="18" s="1"/>
  <c r="Q164" i="18" a="1"/>
  <c r="Q164" i="18" s="1"/>
  <c r="R164" i="18" s="1"/>
  <c r="U164" i="18" s="1"/>
  <c r="Q165" i="18" a="1"/>
  <c r="Q165" i="18" s="1"/>
  <c r="Q166" i="18" a="1"/>
  <c r="Q166" i="18" s="1"/>
  <c r="Q167" i="18" a="1"/>
  <c r="Q167" i="18" s="1"/>
  <c r="R167" i="18" s="1"/>
  <c r="U167" i="18" s="1"/>
  <c r="Q168" i="18" a="1"/>
  <c r="Q168" i="18" s="1"/>
  <c r="R168" i="18" s="1"/>
  <c r="Q169" i="18" a="1"/>
  <c r="Q169" i="18" s="1"/>
  <c r="Q170" i="18" a="1"/>
  <c r="Q170" i="18" s="1"/>
  <c r="R170" i="18" s="1"/>
  <c r="Q171" i="18" a="1"/>
  <c r="Q171" i="18"/>
  <c r="R171" i="18" s="1"/>
  <c r="U171" i="18" s="1"/>
  <c r="Q172" i="18" a="1"/>
  <c r="Q172" i="18"/>
  <c r="Q173" i="18" a="1"/>
  <c r="Q173" i="18" s="1"/>
  <c r="Q174" i="18" a="1"/>
  <c r="Q174" i="18" s="1"/>
  <c r="R174" i="18" s="1"/>
  <c r="Q175" i="18" a="1"/>
  <c r="Q175" i="18" s="1"/>
  <c r="R175" i="18" s="1"/>
  <c r="Q176" i="18" a="1"/>
  <c r="Q176" i="18"/>
  <c r="Q177" i="18" a="1"/>
  <c r="Q177" i="18" s="1"/>
  <c r="Q178" i="18" a="1"/>
  <c r="Q178" i="18" s="1"/>
  <c r="R178" i="18" s="1"/>
  <c r="Q179" i="18" a="1"/>
  <c r="Q179" i="18" s="1"/>
  <c r="Q180" i="18" a="1"/>
  <c r="Q180" i="18"/>
  <c r="R180" i="18" s="1"/>
  <c r="U180" i="18" s="1"/>
  <c r="Q181" i="18" a="1"/>
  <c r="Q181" i="18" s="1"/>
  <c r="Q182" i="18" a="1"/>
  <c r="Q182" i="18" s="1"/>
  <c r="R182" i="18" s="1"/>
  <c r="Q183" i="18" a="1"/>
  <c r="Q183" i="18"/>
  <c r="R183" i="18" s="1"/>
  <c r="Q184" i="18" a="1"/>
  <c r="Q184" i="18" s="1"/>
  <c r="R184" i="18" s="1"/>
  <c r="Q185" i="18" a="1"/>
  <c r="Q185" i="18" s="1"/>
  <c r="Q186" i="18" a="1"/>
  <c r="Q186" i="18"/>
  <c r="R186" i="18" s="1"/>
  <c r="Q187" i="18" a="1"/>
  <c r="Q187" i="18"/>
  <c r="Q188" i="18" a="1"/>
  <c r="Q188" i="18" s="1"/>
  <c r="Q189" i="18" a="1"/>
  <c r="Q189" i="18" s="1"/>
  <c r="Q190" i="18" a="1"/>
  <c r="Q190" i="18"/>
  <c r="R190" i="18" s="1"/>
  <c r="Q191" i="18" a="1"/>
  <c r="Q191" i="18" s="1"/>
  <c r="R191" i="18" s="1"/>
  <c r="Q192" i="18" a="1"/>
  <c r="Q192" i="18" s="1"/>
  <c r="R192" i="18" s="1"/>
  <c r="Q193" i="18" a="1"/>
  <c r="Q193" i="18" s="1"/>
  <c r="Q194" i="18" a="1"/>
  <c r="Q194" i="18"/>
  <c r="R194" i="18" s="1"/>
  <c r="Q195" i="18" a="1"/>
  <c r="Q195" i="18" s="1"/>
  <c r="R195" i="18" s="1"/>
  <c r="Q196" i="18" a="1"/>
  <c r="Q196" i="18" s="1"/>
  <c r="R196" i="18" s="1"/>
  <c r="U196" i="18" s="1"/>
  <c r="Q197" i="18" a="1"/>
  <c r="Q197" i="18" s="1"/>
  <c r="R197" i="18" s="1"/>
  <c r="Q198" i="18" a="1"/>
  <c r="Q198" i="18" s="1"/>
  <c r="R198" i="18" s="1"/>
  <c r="Q199" i="18" a="1"/>
  <c r="Q199" i="18" s="1"/>
  <c r="R199" i="18" s="1"/>
  <c r="Q200" i="18" a="1"/>
  <c r="Q200" i="18" s="1"/>
  <c r="Q201" i="18" a="1"/>
  <c r="Q201" i="18" s="1"/>
  <c r="R201" i="18" s="1"/>
  <c r="U201" i="18" s="1"/>
  <c r="Q202" i="18" a="1"/>
  <c r="Q202" i="18" s="1"/>
  <c r="R202" i="18" s="1"/>
  <c r="Q203" i="18" a="1"/>
  <c r="Q203" i="18" s="1"/>
  <c r="R203" i="18" s="1"/>
  <c r="U203" i="18" s="1"/>
  <c r="Q204" i="18" a="1"/>
  <c r="Q204" i="18" s="1"/>
  <c r="R204" i="18" s="1"/>
  <c r="Q205" i="18" a="1"/>
  <c r="Q205" i="18" s="1"/>
  <c r="Q206" i="18" a="1"/>
  <c r="Q206" i="18"/>
  <c r="R206" i="18" s="1"/>
  <c r="Q207" i="18" a="1"/>
  <c r="Q207" i="18" s="1"/>
  <c r="R207" i="18" s="1"/>
  <c r="Q208" i="18" a="1"/>
  <c r="Q208" i="18"/>
  <c r="Q209" i="18" a="1"/>
  <c r="Q209" i="18" s="1"/>
  <c r="Q210" i="18" a="1"/>
  <c r="Q210" i="18" s="1"/>
  <c r="R210" i="18" s="1"/>
  <c r="Q211" i="18" a="1"/>
  <c r="Q211" i="18" s="1"/>
  <c r="Q212" i="18" a="1"/>
  <c r="Q212" i="18" s="1"/>
  <c r="R212" i="18" s="1"/>
  <c r="U212" i="18" s="1"/>
  <c r="Q213" i="18" a="1"/>
  <c r="Q213" i="18" s="1"/>
  <c r="Q214" i="18" a="1"/>
  <c r="Q214" i="18" s="1"/>
  <c r="R214" i="18" s="1"/>
  <c r="Q215" i="18" a="1"/>
  <c r="Q215" i="18"/>
  <c r="R215" i="18" s="1"/>
  <c r="Q216" i="18" a="1"/>
  <c r="Q216" i="18" s="1"/>
  <c r="Q217" i="18" a="1"/>
  <c r="Q217" i="18" s="1"/>
  <c r="Q218" i="18" a="1"/>
  <c r="Q218" i="18" s="1"/>
  <c r="R218" i="18" s="1"/>
  <c r="Q219" i="18" a="1"/>
  <c r="Q219" i="18"/>
  <c r="Q220" i="18" a="1"/>
  <c r="Q220" i="18" s="1"/>
  <c r="Q221" i="18" a="1"/>
  <c r="Q221" i="18" s="1"/>
  <c r="R221" i="18" s="1"/>
  <c r="Q222" i="18" a="1"/>
  <c r="Q222" i="18" s="1"/>
  <c r="R222" i="18" s="1"/>
  <c r="Q223" i="18" a="1"/>
  <c r="Q223" i="18" s="1"/>
  <c r="R223" i="18" s="1"/>
  <c r="Q224" i="18" a="1"/>
  <c r="Q224" i="18" s="1"/>
  <c r="R224" i="18" s="1"/>
  <c r="Q225" i="18" a="1"/>
  <c r="Q225" i="18" s="1"/>
  <c r="R225" i="18" s="1"/>
  <c r="U225" i="18" s="1"/>
  <c r="Q226" i="18" a="1"/>
  <c r="Q226" i="18" s="1"/>
  <c r="R226" i="18" s="1"/>
  <c r="Q227" i="18" a="1"/>
  <c r="Q227" i="18" s="1"/>
  <c r="Q228" i="18" a="1"/>
  <c r="Q228" i="18"/>
  <c r="Q229" i="18" a="1"/>
  <c r="Q229" i="18" s="1"/>
  <c r="R229" i="18" s="1"/>
  <c r="Q230" i="18" a="1"/>
  <c r="Q230" i="18" s="1"/>
  <c r="R230" i="18" s="1"/>
  <c r="Q231" i="18" a="1"/>
  <c r="Q231" i="18"/>
  <c r="R231" i="18" s="1"/>
  <c r="Q232" i="18" a="1"/>
  <c r="Q232" i="18" s="1"/>
  <c r="Q233" i="18" a="1"/>
  <c r="Q233" i="18" s="1"/>
  <c r="Q234" i="18" a="1"/>
  <c r="Q234" i="18" s="1"/>
  <c r="R234" i="18" s="1"/>
  <c r="Q235" i="18" a="1"/>
  <c r="Q235" i="18"/>
  <c r="R235" i="18" s="1"/>
  <c r="U235" i="18" s="1"/>
  <c r="Q236" i="18" a="1"/>
  <c r="Q236" i="18" s="1"/>
  <c r="R236" i="18" s="1"/>
  <c r="Q237" i="18" a="1"/>
  <c r="Q237" i="18" s="1"/>
  <c r="Q238" i="18" a="1"/>
  <c r="Q238" i="18" s="1"/>
  <c r="R238" i="18" s="1"/>
  <c r="Q239" i="18" a="1"/>
  <c r="Q239" i="18" s="1"/>
  <c r="R239" i="18" s="1"/>
  <c r="Q240" i="18" a="1"/>
  <c r="Q240" i="18"/>
  <c r="R240" i="18" s="1"/>
  <c r="Q241" i="18" a="1"/>
  <c r="Q241" i="18" s="1"/>
  <c r="Q242" i="18" a="1"/>
  <c r="Q242" i="18" s="1"/>
  <c r="R242" i="18" s="1"/>
  <c r="Q243" i="18" a="1"/>
  <c r="Q243" i="18" s="1"/>
  <c r="R243" i="18" s="1"/>
  <c r="U243" i="18" s="1"/>
  <c r="Q244" i="18" a="1"/>
  <c r="Q244" i="18" s="1"/>
  <c r="Q245" i="18" a="1"/>
  <c r="Q245" i="18" s="1"/>
  <c r="R245" i="18" s="1"/>
  <c r="Q246" i="18" a="1"/>
  <c r="Q246" i="18"/>
  <c r="R246" i="18" s="1"/>
  <c r="Q247" i="18" a="1"/>
  <c r="Q247" i="18" s="1"/>
  <c r="R247" i="18" s="1"/>
  <c r="Q248" i="18" a="1"/>
  <c r="Q248" i="18" s="1"/>
  <c r="R248" i="18" s="1"/>
  <c r="Q249" i="18" a="1"/>
  <c r="Q249" i="18" s="1"/>
  <c r="R249" i="18" s="1"/>
  <c r="Q250" i="18" a="1"/>
  <c r="Q250" i="18"/>
  <c r="R250" i="18" s="1"/>
  <c r="Q251" i="18" a="1"/>
  <c r="Q251" i="18" s="1"/>
  <c r="Q252" i="18" a="1"/>
  <c r="Q252" i="18"/>
  <c r="R252" i="18" s="1"/>
  <c r="U252" i="18" s="1"/>
  <c r="Q253" i="18" a="1"/>
  <c r="Q253" i="18" s="1"/>
  <c r="R253" i="18" s="1"/>
  <c r="Q254" i="18" a="1"/>
  <c r="Q254" i="18"/>
  <c r="R254" i="18" s="1"/>
  <c r="Q255" i="18" a="1"/>
  <c r="Q255" i="18" s="1"/>
  <c r="Q256" i="18" a="1"/>
  <c r="Q256" i="18" s="1"/>
  <c r="R256" i="18" s="1"/>
  <c r="Q257" i="18" a="1"/>
  <c r="Q257" i="18"/>
  <c r="R257" i="18" s="1"/>
  <c r="U257" i="18" s="1"/>
  <c r="Q258" i="18" a="1"/>
  <c r="Q258" i="18" s="1"/>
  <c r="R258" i="18" s="1"/>
  <c r="Q259" i="18" a="1"/>
  <c r="Q259" i="18" s="1"/>
  <c r="Q260" i="18" a="1"/>
  <c r="Q260" i="18"/>
  <c r="R260" i="18" s="1"/>
  <c r="U260" i="18" s="1"/>
  <c r="Q261" i="18" a="1"/>
  <c r="Q261" i="18"/>
  <c r="Q262" i="18" a="1"/>
  <c r="Q262" i="18" s="1"/>
  <c r="R262" i="18" s="1"/>
  <c r="Q263" i="18" a="1"/>
  <c r="Q263" i="18" s="1"/>
  <c r="R263" i="18" s="1"/>
  <c r="Q264" i="18" a="1"/>
  <c r="Q264" i="18" s="1"/>
  <c r="Q265" i="18" a="1"/>
  <c r="Q265" i="18" s="1"/>
  <c r="R265" i="18" s="1"/>
  <c r="Q266" i="18" a="1"/>
  <c r="Q266" i="18" s="1"/>
  <c r="R266" i="18" s="1"/>
  <c r="Q267" i="18" a="1"/>
  <c r="Q267" i="18" s="1"/>
  <c r="Q268" i="18" a="1"/>
  <c r="Q268" i="18" s="1"/>
  <c r="R268" i="18" s="1"/>
  <c r="U268" i="18" s="1"/>
  <c r="Q269" i="18" a="1"/>
  <c r="Q269" i="18" s="1"/>
  <c r="R269" i="18" s="1"/>
  <c r="Q270" i="18" a="1"/>
  <c r="Q270" i="18"/>
  <c r="R270" i="18" s="1"/>
  <c r="Q271" i="18" a="1"/>
  <c r="Q271" i="18" s="1"/>
  <c r="R271" i="18" s="1"/>
  <c r="Q272" i="18" a="1"/>
  <c r="Q272" i="18"/>
  <c r="Q273" i="18" a="1"/>
  <c r="Q273" i="18" s="1"/>
  <c r="R273" i="18" s="1"/>
  <c r="U273" i="18" s="1"/>
  <c r="Q274" i="18" a="1"/>
  <c r="Q274" i="18" s="1"/>
  <c r="R274" i="18" s="1"/>
  <c r="Q275" i="18" a="1"/>
  <c r="Q275" i="18" s="1"/>
  <c r="Q276" i="18" a="1"/>
  <c r="Q276" i="18"/>
  <c r="R276" i="18" s="1"/>
  <c r="U276" i="18" s="1"/>
  <c r="Q277" i="18" a="1"/>
  <c r="Q277" i="18" s="1"/>
  <c r="R277" i="18" s="1"/>
  <c r="Q278" i="18" a="1"/>
  <c r="Q278" i="18"/>
  <c r="R278" i="18" s="1"/>
  <c r="Q279" i="18" a="1"/>
  <c r="Q279" i="18" s="1"/>
  <c r="R279" i="18" s="1"/>
  <c r="Q280" i="18" a="1"/>
  <c r="Q280" i="18"/>
  <c r="Q281" i="18" a="1"/>
  <c r="Q281" i="18"/>
  <c r="Q282" i="18" a="1"/>
  <c r="Q282" i="18"/>
  <c r="R282" i="18" s="1"/>
  <c r="Q283" i="18" a="1"/>
  <c r="Q283" i="18" s="1"/>
  <c r="Q284" i="18" a="1"/>
  <c r="Q284" i="18" s="1"/>
  <c r="Q285" i="18" a="1"/>
  <c r="Q285" i="18" s="1"/>
  <c r="R285" i="18" s="1"/>
  <c r="Q286" i="18" a="1"/>
  <c r="Q286" i="18" s="1"/>
  <c r="R286" i="18" s="1"/>
  <c r="Q287" i="18" a="1"/>
  <c r="Q287" i="18" s="1"/>
  <c r="R287" i="18" s="1"/>
  <c r="Q288" i="18" a="1"/>
  <c r="Q288" i="18"/>
  <c r="Q289" i="18" a="1"/>
  <c r="Q289" i="18" s="1"/>
  <c r="R289" i="18" s="1"/>
  <c r="Q290" i="18" a="1"/>
  <c r="Q290" i="18" s="1"/>
  <c r="R290" i="18" s="1"/>
  <c r="Q291" i="18" a="1"/>
  <c r="Q291" i="18" s="1"/>
  <c r="Q292" i="18" a="1"/>
  <c r="Q292" i="18"/>
  <c r="R292" i="18" s="1"/>
  <c r="U292" i="18" s="1"/>
  <c r="Q293" i="18" a="1"/>
  <c r="Q293" i="18"/>
  <c r="Q294" i="18" a="1"/>
  <c r="Q294" i="18"/>
  <c r="R294" i="18" s="1"/>
  <c r="Q295" i="18" a="1"/>
  <c r="Q295" i="18" s="1"/>
  <c r="R295" i="18" s="1"/>
  <c r="Q296" i="18" a="1"/>
  <c r="Q296" i="18" s="1"/>
  <c r="R296" i="18" s="1"/>
  <c r="Q297" i="18" a="1"/>
  <c r="Q297" i="18" s="1"/>
  <c r="R297" i="18" s="1"/>
  <c r="Q298" i="18" a="1"/>
  <c r="Q298" i="18"/>
  <c r="R298" i="18" s="1"/>
  <c r="Q299" i="18" a="1"/>
  <c r="Q299" i="18" s="1"/>
  <c r="Q300" i="18" a="1"/>
  <c r="Q300" i="18" s="1"/>
  <c r="R300" i="18" s="1"/>
  <c r="U300" i="18" s="1"/>
  <c r="Q301" i="18" a="1"/>
  <c r="Q301" i="18" s="1"/>
  <c r="R301" i="18" s="1"/>
  <c r="Q302" i="18" a="1"/>
  <c r="Q302" i="18"/>
  <c r="R302" i="18" s="1"/>
  <c r="Q303" i="18" a="1"/>
  <c r="Q303" i="18" s="1"/>
  <c r="R303" i="18" s="1"/>
  <c r="Q304" i="18" a="1"/>
  <c r="Q304" i="18" s="1"/>
  <c r="Q305" i="18" a="1"/>
  <c r="Q305" i="18" s="1"/>
  <c r="R305" i="18" s="1"/>
  <c r="Q306" i="18" a="1"/>
  <c r="Q306" i="18"/>
  <c r="R306" i="18" s="1"/>
  <c r="Q307" i="18" a="1"/>
  <c r="Q307" i="18" s="1"/>
  <c r="Q308" i="18" a="1"/>
  <c r="Q308" i="18" s="1"/>
  <c r="R308" i="18" s="1"/>
  <c r="U308" i="18" s="1"/>
  <c r="Q309" i="18" a="1"/>
  <c r="Q309" i="18" s="1"/>
  <c r="R309" i="18" s="1"/>
  <c r="Q310" i="18" a="1"/>
  <c r="Q310" i="18" s="1"/>
  <c r="R310" i="18" s="1"/>
  <c r="Q311" i="18" a="1"/>
  <c r="Q311" i="18" s="1"/>
  <c r="R311" i="18" s="1"/>
  <c r="Q312" i="18" a="1"/>
  <c r="Q312" i="18" s="1"/>
  <c r="R312" i="18" s="1"/>
  <c r="Q313" i="18" a="1"/>
  <c r="Q313" i="18" s="1"/>
  <c r="R313" i="18" s="1"/>
  <c r="Q314" i="18" a="1"/>
  <c r="Q314" i="18"/>
  <c r="R314" i="18" s="1"/>
  <c r="Q315" i="18" a="1"/>
  <c r="Q315" i="18" s="1"/>
  <c r="Q316" i="18" a="1"/>
  <c r="Q316" i="18"/>
  <c r="R316" i="18" s="1"/>
  <c r="U316" i="18" s="1"/>
  <c r="Q317" i="18" a="1"/>
  <c r="Q317" i="18" s="1"/>
  <c r="R317" i="18" s="1"/>
  <c r="Q318" i="18" a="1"/>
  <c r="Q318" i="18" s="1"/>
  <c r="R318" i="18" s="1"/>
  <c r="Q319" i="18" a="1"/>
  <c r="Q319" i="18" s="1"/>
  <c r="Q320" i="18" a="1"/>
  <c r="Q320" i="18" s="1"/>
  <c r="R320" i="18" s="1"/>
  <c r="Q321" i="18" a="1"/>
  <c r="Q321" i="18"/>
  <c r="R321" i="18" s="1"/>
  <c r="Q322" i="18" a="1"/>
  <c r="Q322" i="18"/>
  <c r="R322" i="18" s="1"/>
  <c r="Q323" i="18" a="1"/>
  <c r="Q323" i="18" s="1"/>
  <c r="Q324" i="18" a="1"/>
  <c r="Q324" i="18"/>
  <c r="R324" i="18" s="1"/>
  <c r="U324" i="18" s="1"/>
  <c r="Q325" i="18" a="1"/>
  <c r="Q325" i="18" s="1"/>
  <c r="R325" i="18" s="1"/>
  <c r="Q326" i="18" a="1"/>
  <c r="Q326" i="18" s="1"/>
  <c r="R326" i="18" s="1"/>
  <c r="Q327" i="18" a="1"/>
  <c r="Q327" i="18" s="1"/>
  <c r="R327" i="18" s="1"/>
  <c r="Q328" i="18" a="1"/>
  <c r="Q328" i="18" s="1"/>
  <c r="Q329" i="18" a="1"/>
  <c r="Q329" i="18" s="1"/>
  <c r="R329" i="18" s="1"/>
  <c r="Q330" i="18" a="1"/>
  <c r="Q330" i="18" s="1"/>
  <c r="R330" i="18" s="1"/>
  <c r="Q331" i="18" a="1"/>
  <c r="Q331" i="18" s="1"/>
  <c r="Q332" i="18" a="1"/>
  <c r="Q332" i="18" s="1"/>
  <c r="R332" i="18" s="1"/>
  <c r="U332" i="18" s="1"/>
  <c r="Q333" i="18" a="1"/>
  <c r="Q333" i="18" s="1"/>
  <c r="R333" i="18" s="1"/>
  <c r="Q334" i="18" a="1"/>
  <c r="Q334" i="18"/>
  <c r="R334" i="18" s="1"/>
  <c r="Q335" i="18" a="1"/>
  <c r="Q335" i="18" s="1"/>
  <c r="R335" i="18" s="1"/>
  <c r="Q336" i="18" a="1"/>
  <c r="Q336" i="18" s="1"/>
  <c r="R336" i="18" s="1"/>
  <c r="Q337" i="18" a="1"/>
  <c r="Q337" i="18" s="1"/>
  <c r="R337" i="18" s="1"/>
  <c r="Q338" i="18" a="1"/>
  <c r="Q338" i="18" s="1"/>
  <c r="R338" i="18" s="1"/>
  <c r="Q339" i="18" a="1"/>
  <c r="Q339" i="18" s="1"/>
  <c r="Q340" i="18" a="1"/>
  <c r="Q340" i="18"/>
  <c r="R340" i="18" s="1"/>
  <c r="U340" i="18" s="1"/>
  <c r="Q341" i="18" a="1"/>
  <c r="Q341" i="18" s="1"/>
  <c r="R341" i="18" s="1"/>
  <c r="Q342" i="18" a="1"/>
  <c r="Q342" i="18"/>
  <c r="R342" i="18" s="1"/>
  <c r="Q343" i="18" a="1"/>
  <c r="Q343" i="18" s="1"/>
  <c r="R343" i="18" s="1"/>
  <c r="Q344" i="18" a="1"/>
  <c r="Q344" i="18"/>
  <c r="Q345" i="18" a="1"/>
  <c r="Q345" i="18"/>
  <c r="Q346" i="18" a="1"/>
  <c r="Q346" i="18" s="1"/>
  <c r="R346" i="18" s="1"/>
  <c r="Q347" i="18" a="1"/>
  <c r="Q347" i="18" s="1"/>
  <c r="Q348" i="18" a="1"/>
  <c r="Q348" i="18" s="1"/>
  <c r="Q349" i="18" a="1"/>
  <c r="Q349" i="18" s="1"/>
  <c r="R349" i="18" s="1"/>
  <c r="Q350" i="18" a="1"/>
  <c r="Q350" i="18"/>
  <c r="R350" i="18" s="1"/>
  <c r="Q351" i="18" a="1"/>
  <c r="Q351" i="18" s="1"/>
  <c r="R351" i="18" s="1"/>
  <c r="Q352" i="18" a="1"/>
  <c r="Q352" i="18" s="1"/>
  <c r="R352" i="18" s="1"/>
  <c r="Q353" i="18" a="1"/>
  <c r="Q353" i="18" s="1"/>
  <c r="R353" i="18" s="1"/>
  <c r="Q354" i="18" a="1"/>
  <c r="Q354" i="18"/>
  <c r="R354" i="18" s="1"/>
  <c r="Q355" i="18" a="1"/>
  <c r="Q355" i="18" s="1"/>
  <c r="Q356" i="18" a="1"/>
  <c r="Q356" i="18"/>
  <c r="R356" i="18" s="1"/>
  <c r="U356" i="18" s="1"/>
  <c r="Q357" i="18" a="1"/>
  <c r="Q357" i="18" s="1"/>
  <c r="R357" i="18" s="1"/>
  <c r="Q358" i="18" a="1"/>
  <c r="Q358" i="18"/>
  <c r="R358" i="18" s="1"/>
  <c r="Q359" i="18" a="1"/>
  <c r="Q359" i="18" s="1"/>
  <c r="R359" i="18" s="1"/>
  <c r="Q360" i="18" a="1"/>
  <c r="Q360" i="18"/>
  <c r="Q361" i="18" a="1"/>
  <c r="Q361" i="18" s="1"/>
  <c r="R361" i="18" s="1"/>
  <c r="Q362" i="18" a="1"/>
  <c r="Q362" i="18" s="1"/>
  <c r="R362" i="18" s="1"/>
  <c r="Q363" i="18" a="1"/>
  <c r="Q363" i="18" s="1"/>
  <c r="Q364" i="18" a="1"/>
  <c r="Q364" i="18"/>
  <c r="R364" i="18" s="1"/>
  <c r="U364" i="18" s="1"/>
  <c r="Q365" i="18" a="1"/>
  <c r="Q365" i="18" s="1"/>
  <c r="R365" i="18" s="1"/>
  <c r="Q366" i="18" a="1"/>
  <c r="Q366" i="18"/>
  <c r="R366" i="18" s="1"/>
  <c r="Q367" i="18" a="1"/>
  <c r="Q367" i="18" s="1"/>
  <c r="R367" i="18" s="1"/>
  <c r="Q368" i="18" a="1"/>
  <c r="Q368" i="18" s="1"/>
  <c r="Q369" i="18" a="1"/>
  <c r="Q369" i="18" s="1"/>
  <c r="R369" i="18" s="1"/>
  <c r="Q370" i="18" a="1"/>
  <c r="Q370" i="18" s="1"/>
  <c r="R370" i="18" s="1"/>
  <c r="Q371" i="18" a="1"/>
  <c r="Q371" i="18" s="1"/>
  <c r="Q372" i="18" a="1"/>
  <c r="Q372" i="18" s="1"/>
  <c r="R372" i="18" s="1"/>
  <c r="U372" i="18" s="1"/>
  <c r="Q373" i="18" a="1"/>
  <c r="Q373" i="18" s="1"/>
  <c r="Q374" i="18" a="1"/>
  <c r="Q374" i="18" s="1"/>
  <c r="R374" i="18" s="1"/>
  <c r="Q375" i="18" a="1"/>
  <c r="Q375" i="18" s="1"/>
  <c r="R375" i="18" s="1"/>
  <c r="Q376" i="18" a="1"/>
  <c r="Q376" i="18"/>
  <c r="Q377" i="18" a="1"/>
  <c r="Q377" i="18" s="1"/>
  <c r="R377" i="18" s="1"/>
  <c r="Q378" i="18" a="1"/>
  <c r="Q378" i="18"/>
  <c r="R378" i="18" s="1"/>
  <c r="Q379" i="18" a="1"/>
  <c r="Q379" i="18" s="1"/>
  <c r="Q380" i="18" a="1"/>
  <c r="Q380" i="18" s="1"/>
  <c r="R380" i="18" s="1"/>
  <c r="U380" i="18" s="1"/>
  <c r="Q381" i="18" a="1"/>
  <c r="Q381" i="18" s="1"/>
  <c r="R381" i="18" s="1"/>
  <c r="Q382" i="18" a="1"/>
  <c r="Q382" i="18" s="1"/>
  <c r="R382" i="18" s="1"/>
  <c r="Q383" i="18" a="1"/>
  <c r="Q383" i="18" s="1"/>
  <c r="Q384" i="18" a="1"/>
  <c r="Q384" i="18" s="1"/>
  <c r="R384" i="18" s="1"/>
  <c r="Q385" i="18" a="1"/>
  <c r="Q385" i="18" s="1"/>
  <c r="R385" i="18" s="1"/>
  <c r="Q386" i="18" a="1"/>
  <c r="Q386" i="18"/>
  <c r="R386" i="18" s="1"/>
  <c r="Q387" i="18" a="1"/>
  <c r="Q387" i="18" s="1"/>
  <c r="R387" i="18" s="1"/>
  <c r="U387" i="18" s="1"/>
  <c r="Q388" i="18" a="1"/>
  <c r="Q388" i="18"/>
  <c r="Q389" i="18" a="1"/>
  <c r="Q389" i="18"/>
  <c r="Q390" i="18" a="1"/>
  <c r="Q390" i="18"/>
  <c r="R390" i="18" s="1"/>
  <c r="Q391" i="18" a="1"/>
  <c r="Q391" i="18" s="1"/>
  <c r="R391" i="18" s="1"/>
  <c r="Q392" i="18" a="1"/>
  <c r="Q392" i="18" s="1"/>
  <c r="R392" i="18" s="1"/>
  <c r="Q393" i="18" a="1"/>
  <c r="Q393" i="18" s="1"/>
  <c r="R393" i="18" s="1"/>
  <c r="Q394" i="18" a="1"/>
  <c r="Q394" i="18" s="1"/>
  <c r="R394" i="18" s="1"/>
  <c r="Q395" i="18" a="1"/>
  <c r="Q395" i="18" s="1"/>
  <c r="R395" i="18" s="1"/>
  <c r="U395" i="18" s="1"/>
  <c r="Q396" i="18" a="1"/>
  <c r="Q396" i="18"/>
  <c r="Q397" i="18" a="1"/>
  <c r="Q397" i="18" s="1"/>
  <c r="R397" i="18" s="1"/>
  <c r="Q398" i="18" a="1"/>
  <c r="Q398" i="18"/>
  <c r="R398" i="18" s="1"/>
  <c r="Q399" i="18" a="1"/>
  <c r="Q399" i="18" s="1"/>
  <c r="R399" i="18" s="1"/>
  <c r="Q400" i="18" a="1"/>
  <c r="Q400" i="18"/>
  <c r="Q401" i="18" a="1"/>
  <c r="Q401" i="18"/>
  <c r="Q402" i="18" a="1"/>
  <c r="Q402" i="18" s="1"/>
  <c r="Q403" i="18" a="1"/>
  <c r="Q403" i="18" s="1"/>
  <c r="Q404" i="18" a="1"/>
  <c r="Q404" i="18"/>
  <c r="R404" i="18" s="1"/>
  <c r="U404" i="18" s="1"/>
  <c r="Q405" i="18" a="1"/>
  <c r="Q405" i="18" s="1"/>
  <c r="R405" i="18" s="1"/>
  <c r="Q406" i="18" a="1"/>
  <c r="Q406" i="18" s="1"/>
  <c r="R406" i="18" s="1"/>
  <c r="Q407" i="18" a="1"/>
  <c r="Q407" i="18" s="1"/>
  <c r="R407" i="18" s="1"/>
  <c r="Q408" i="18" a="1"/>
  <c r="Q408" i="18"/>
  <c r="Q409" i="18" a="1"/>
  <c r="Q409" i="18"/>
  <c r="R409" i="18" s="1"/>
  <c r="Q410" i="18" a="1"/>
  <c r="Q410" i="18"/>
  <c r="Q411" i="18" a="1"/>
  <c r="Q411" i="18" s="1"/>
  <c r="Q412" i="18" a="1"/>
  <c r="Q412" i="18" s="1"/>
  <c r="Q413" i="18" a="1"/>
  <c r="Q413" i="18" s="1"/>
  <c r="R413" i="18" s="1"/>
  <c r="Q414" i="18" a="1"/>
  <c r="Q414" i="18" s="1"/>
  <c r="R414" i="18" s="1"/>
  <c r="Q415" i="18" a="1"/>
  <c r="Q415" i="18" s="1"/>
  <c r="R415" i="18" s="1"/>
  <c r="Q416" i="18" a="1"/>
  <c r="Q416" i="18"/>
  <c r="Q417" i="18" a="1"/>
  <c r="Q417" i="18" s="1"/>
  <c r="Q418" i="18" a="1"/>
  <c r="Q418" i="18"/>
  <c r="R418" i="18" s="1"/>
  <c r="Q419" i="18" a="1"/>
  <c r="Q419" i="18" s="1"/>
  <c r="Q420" i="18" a="1"/>
  <c r="Q420" i="18"/>
  <c r="R420" i="18" s="1"/>
  <c r="U420" i="18" s="1"/>
  <c r="Q421" i="18" a="1"/>
  <c r="Q421" i="18"/>
  <c r="Q422" i="18" a="1"/>
  <c r="Q422" i="18"/>
  <c r="R422" i="18" s="1"/>
  <c r="Q423" i="18" a="1"/>
  <c r="Q423" i="18" s="1"/>
  <c r="R423" i="18" s="1"/>
  <c r="Q424" i="18" a="1"/>
  <c r="Q424" i="18" s="1"/>
  <c r="R424" i="18" s="1"/>
  <c r="Q425" i="18" a="1"/>
  <c r="Q425" i="18" s="1"/>
  <c r="R425" i="18" s="1"/>
  <c r="Q426" i="18" a="1"/>
  <c r="Q426" i="18"/>
  <c r="Q427" i="18" a="1"/>
  <c r="Q427" i="18" s="1"/>
  <c r="Q428" i="18" a="1"/>
  <c r="Q428" i="18"/>
  <c r="Q429" i="18" a="1"/>
  <c r="Q429" i="18" s="1"/>
  <c r="R429" i="18" s="1"/>
  <c r="Q430" i="18" a="1"/>
  <c r="Q430" i="18"/>
  <c r="R430" i="18" s="1"/>
  <c r="Q431" i="18" a="1"/>
  <c r="Q431" i="18" s="1"/>
  <c r="Q432" i="18" a="1"/>
  <c r="Q432" i="18" s="1"/>
  <c r="Q433" i="18" a="1"/>
  <c r="Q433" i="18"/>
  <c r="Q434" i="18" a="1"/>
  <c r="Q434" i="18" s="1"/>
  <c r="Q435" i="18" a="1"/>
  <c r="Q435" i="18" s="1"/>
  <c r="Q436" i="18" a="1"/>
  <c r="Q436" i="18" s="1"/>
  <c r="R436" i="18" s="1"/>
  <c r="U436" i="18" s="1"/>
  <c r="Q437" i="18" a="1"/>
  <c r="Q437" i="18" s="1"/>
  <c r="R437" i="18" s="1"/>
  <c r="Q438" i="18" a="1"/>
  <c r="Q438" i="18"/>
  <c r="Q439" i="18" a="1"/>
  <c r="Q439" i="18" s="1"/>
  <c r="R439" i="18" s="1"/>
  <c r="Q440" i="18" a="1"/>
  <c r="Q440" i="18" s="1"/>
  <c r="R440" i="18" s="1"/>
  <c r="U440" i="18" s="1"/>
  <c r="Q441" i="18" a="1"/>
  <c r="Q441" i="18" s="1"/>
  <c r="R441" i="18" s="1"/>
  <c r="R8" i="18"/>
  <c r="R9" i="18"/>
  <c r="R12" i="18"/>
  <c r="R13" i="18"/>
  <c r="R16" i="18"/>
  <c r="R17" i="18"/>
  <c r="R24" i="18"/>
  <c r="R25" i="18"/>
  <c r="R29" i="18"/>
  <c r="R32" i="18"/>
  <c r="R33" i="18"/>
  <c r="R40" i="18"/>
  <c r="R41" i="18"/>
  <c r="R45" i="18"/>
  <c r="R49" i="18"/>
  <c r="R51" i="18"/>
  <c r="R52" i="18"/>
  <c r="R57" i="18"/>
  <c r="R61" i="18"/>
  <c r="R64" i="18"/>
  <c r="R65" i="18"/>
  <c r="R72" i="18"/>
  <c r="R73" i="18"/>
  <c r="R77" i="18"/>
  <c r="R81" i="18"/>
  <c r="R83" i="18"/>
  <c r="R88" i="18"/>
  <c r="R89" i="18"/>
  <c r="R93" i="18"/>
  <c r="R97" i="18"/>
  <c r="R100" i="18"/>
  <c r="R104" i="18"/>
  <c r="R107" i="18"/>
  <c r="R109" i="18"/>
  <c r="R115" i="18"/>
  <c r="R120" i="18"/>
  <c r="R121" i="18"/>
  <c r="R123" i="18"/>
  <c r="R124" i="18"/>
  <c r="R125" i="18"/>
  <c r="R129" i="18"/>
  <c r="R136" i="18"/>
  <c r="R137" i="18"/>
  <c r="R139" i="18"/>
  <c r="R141" i="18"/>
  <c r="R145" i="18"/>
  <c r="R147" i="18"/>
  <c r="R149" i="18"/>
  <c r="R152" i="18"/>
  <c r="R153" i="18"/>
  <c r="R155" i="18"/>
  <c r="R157" i="18"/>
  <c r="R161" i="18"/>
  <c r="R165" i="18"/>
  <c r="R169" i="18"/>
  <c r="R172" i="18"/>
  <c r="R173" i="18"/>
  <c r="R176" i="18"/>
  <c r="R177" i="18"/>
  <c r="R179" i="18"/>
  <c r="R181" i="18"/>
  <c r="R185" i="18"/>
  <c r="R187" i="18"/>
  <c r="R188" i="18"/>
  <c r="R189" i="18"/>
  <c r="R193" i="18"/>
  <c r="R200" i="18"/>
  <c r="R205" i="18"/>
  <c r="R208" i="18"/>
  <c r="R209" i="18"/>
  <c r="R211" i="18"/>
  <c r="R213" i="18"/>
  <c r="R216" i="18"/>
  <c r="R217" i="18"/>
  <c r="R219" i="18"/>
  <c r="R220" i="18"/>
  <c r="R227" i="18"/>
  <c r="R228" i="18"/>
  <c r="R232" i="18"/>
  <c r="R233" i="18"/>
  <c r="R237" i="18"/>
  <c r="R241" i="18"/>
  <c r="R244" i="18"/>
  <c r="R251" i="18"/>
  <c r="R259" i="18"/>
  <c r="R261" i="18"/>
  <c r="R264" i="18"/>
  <c r="R267" i="18"/>
  <c r="R272" i="18"/>
  <c r="R275" i="18"/>
  <c r="R280" i="18"/>
  <c r="R281" i="18"/>
  <c r="R283" i="18"/>
  <c r="R284" i="18"/>
  <c r="R288" i="18"/>
  <c r="R291" i="18"/>
  <c r="R293" i="18"/>
  <c r="R299" i="18"/>
  <c r="R304" i="18"/>
  <c r="R307" i="18"/>
  <c r="R315" i="18"/>
  <c r="R323" i="18"/>
  <c r="R328" i="18"/>
  <c r="R331" i="18"/>
  <c r="R339" i="18"/>
  <c r="R344" i="18"/>
  <c r="R345" i="18"/>
  <c r="R347" i="18"/>
  <c r="R348" i="18"/>
  <c r="R355" i="18"/>
  <c r="R360" i="18"/>
  <c r="R363" i="18"/>
  <c r="R368" i="18"/>
  <c r="R371" i="18"/>
  <c r="R376" i="18"/>
  <c r="R389" i="18"/>
  <c r="R400" i="18"/>
  <c r="R401" i="18"/>
  <c r="R403" i="18"/>
  <c r="R408" i="18"/>
  <c r="R411" i="18"/>
  <c r="R416" i="18"/>
  <c r="R417" i="18"/>
  <c r="R421" i="18"/>
  <c r="R427" i="18"/>
  <c r="R428" i="18"/>
  <c r="R432" i="18"/>
  <c r="R433" i="18"/>
  <c r="R435" i="18"/>
  <c r="S2" i="18" a="1"/>
  <c r="S2" i="18"/>
  <c r="S3" i="18" a="1"/>
  <c r="S3" i="18" s="1"/>
  <c r="S4" i="18" a="1"/>
  <c r="S4" i="18" s="1"/>
  <c r="S5" i="18" a="1"/>
  <c r="S5" i="18" s="1"/>
  <c r="S6" i="18" a="1"/>
  <c r="S6" i="18"/>
  <c r="S7" i="18" a="1"/>
  <c r="S7" i="18" s="1"/>
  <c r="S8" i="18" a="1"/>
  <c r="S8" i="18" s="1"/>
  <c r="S9" i="18" a="1"/>
  <c r="S9" i="18" s="1"/>
  <c r="S10" i="18" a="1"/>
  <c r="S10" i="18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/>
  <c r="S36" i="18" a="1"/>
  <c r="S36" i="18" s="1"/>
  <c r="S37" i="18" a="1"/>
  <c r="S37" i="18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/>
  <c r="S47" i="18" a="1"/>
  <c r="S47" i="18"/>
  <c r="S48" i="18" a="1"/>
  <c r="S48" i="18" s="1"/>
  <c r="S49" i="18" a="1"/>
  <c r="S49" i="18"/>
  <c r="S50" i="18" a="1"/>
  <c r="S50" i="18" s="1"/>
  <c r="S51" i="18" a="1"/>
  <c r="S51" i="18"/>
  <c r="S52" i="18" a="1"/>
  <c r="S52" i="18" s="1"/>
  <c r="S53" i="18" a="1"/>
  <c r="S53" i="18" s="1"/>
  <c r="S54" i="18" a="1"/>
  <c r="S54" i="18" s="1"/>
  <c r="S55" i="18" a="1"/>
  <c r="S55" i="18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/>
  <c r="S62" i="18" a="1"/>
  <c r="S62" i="18" s="1"/>
  <c r="S63" i="18" a="1"/>
  <c r="S63" i="18" s="1"/>
  <c r="S64" i="18" a="1"/>
  <c r="S64" i="18" s="1"/>
  <c r="S65" i="18" a="1"/>
  <c r="S65" i="18"/>
  <c r="S66" i="18" a="1"/>
  <c r="S66" i="18" s="1"/>
  <c r="S67" i="18" a="1"/>
  <c r="S67" i="18"/>
  <c r="S68" i="18" a="1"/>
  <c r="S68" i="18" s="1"/>
  <c r="S69" i="18" a="1"/>
  <c r="S69" i="18"/>
  <c r="S70" i="18" a="1"/>
  <c r="S70" i="18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/>
  <c r="S79" i="18" a="1"/>
  <c r="S79" i="18" s="1"/>
  <c r="S80" i="18" a="1"/>
  <c r="S80" i="18" s="1"/>
  <c r="S81" i="18" a="1"/>
  <c r="S81" i="18" s="1"/>
  <c r="S82" i="18" a="1"/>
  <c r="S82" i="18" s="1"/>
  <c r="S83" i="18" a="1"/>
  <c r="S83" i="18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/>
  <c r="S98" i="18" a="1"/>
  <c r="S98" i="18" s="1"/>
  <c r="S99" i="18" a="1"/>
  <c r="S99" i="18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/>
  <c r="S108" i="18" a="1"/>
  <c r="S108" i="18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/>
  <c r="S132" i="18" a="1"/>
  <c r="S132" i="18" s="1"/>
  <c r="S133" i="18" a="1"/>
  <c r="S133" i="18" s="1"/>
  <c r="S134" i="18" a="1"/>
  <c r="S134" i="18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/>
  <c r="S181" i="18" a="1"/>
  <c r="S181" i="18" s="1"/>
  <c r="S182" i="18" a="1"/>
  <c r="S182" i="18"/>
  <c r="S183" i="18" a="1"/>
  <c r="S183" i="18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/>
  <c r="S193" i="18" a="1"/>
  <c r="S193" i="18" s="1"/>
  <c r="S194" i="18" a="1"/>
  <c r="S194" i="18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/>
  <c r="S233" i="18" a="1"/>
  <c r="S233" i="18" s="1"/>
  <c r="S234" i="18" a="1"/>
  <c r="S234" i="18" s="1"/>
  <c r="S235" i="18" a="1"/>
  <c r="S235" i="18"/>
  <c r="S236" i="18" a="1"/>
  <c r="S236" i="18" s="1"/>
  <c r="S237" i="18" a="1"/>
  <c r="S237" i="18" s="1"/>
  <c r="S238" i="18" a="1"/>
  <c r="S238" i="18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/>
  <c r="S247" i="18" a="1"/>
  <c r="S247" i="18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/>
  <c r="S256" i="18" a="1"/>
  <c r="S256" i="18" s="1"/>
  <c r="S257" i="18" a="1"/>
  <c r="S257" i="18" s="1"/>
  <c r="S258" i="18" a="1"/>
  <c r="S258" i="18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/>
  <c r="S277" i="18" a="1"/>
  <c r="S277" i="18" s="1"/>
  <c r="S278" i="18" a="1"/>
  <c r="S278" i="18" s="1"/>
  <c r="S279" i="18" a="1"/>
  <c r="S279" i="18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/>
  <c r="S329" i="18" a="1"/>
  <c r="S329" i="18" s="1"/>
  <c r="S330" i="18" a="1"/>
  <c r="S330" i="18" s="1"/>
  <c r="S331" i="18" a="1"/>
  <c r="S331" i="18"/>
  <c r="S332" i="18" a="1"/>
  <c r="S332" i="18"/>
  <c r="S333" i="18" a="1"/>
  <c r="S333" i="18" s="1"/>
  <c r="S334" i="18" a="1"/>
  <c r="S334" i="18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/>
  <c r="S364" i="18" a="1"/>
  <c r="S364" i="18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/>
  <c r="S377" i="18" a="1"/>
  <c r="S377" i="18" s="1"/>
  <c r="S378" i="18" a="1"/>
  <c r="S378" i="18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/>
  <c r="S387" i="18" a="1"/>
  <c r="S387" i="18"/>
  <c r="S388" i="18" a="1"/>
  <c r="S388" i="18" s="1"/>
  <c r="S389" i="18" a="1"/>
  <c r="S389" i="18" s="1"/>
  <c r="S390" i="18" a="1"/>
  <c r="S390" i="18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/>
  <c r="S397" i="18" a="1"/>
  <c r="S397" i="18" s="1"/>
  <c r="S398" i="18" a="1"/>
  <c r="S398" i="18" s="1"/>
  <c r="S399" i="18" a="1"/>
  <c r="S399" i="18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/>
  <c r="S420" i="18" a="1"/>
  <c r="S420" i="18" s="1"/>
  <c r="S421" i="18" a="1"/>
  <c r="S421" i="18" s="1"/>
  <c r="S422" i="18" a="1"/>
  <c r="S422" i="18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/>
  <c r="S428" i="18" a="1"/>
  <c r="S428" i="18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/>
  <c r="S441" i="18" a="1"/>
  <c r="S441" i="18" s="1"/>
  <c r="T2" i="18" a="1"/>
  <c r="T2" i="18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/>
  <c r="T11" i="18" a="1"/>
  <c r="T11" i="18"/>
  <c r="T12" i="18" a="1"/>
  <c r="T12" i="18" s="1"/>
  <c r="T13" i="18" a="1"/>
  <c r="T13" i="18" s="1"/>
  <c r="T14" i="18" a="1"/>
  <c r="T14" i="18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/>
  <c r="T23" i="18" a="1"/>
  <c r="T23" i="18"/>
  <c r="T24" i="18" a="1"/>
  <c r="T24" i="18" s="1"/>
  <c r="T25" i="18" a="1"/>
  <c r="T25" i="18" s="1"/>
  <c r="T26" i="18" a="1"/>
  <c r="T26" i="18" s="1"/>
  <c r="T27" i="18" a="1"/>
  <c r="T27" i="18" s="1"/>
  <c r="T28" i="18" a="1"/>
  <c r="T28" i="18"/>
  <c r="T29" i="18" a="1"/>
  <c r="T29" i="18" s="1"/>
  <c r="T30" i="18" a="1"/>
  <c r="T30" i="18" s="1"/>
  <c r="T31" i="18" a="1"/>
  <c r="T31" i="18" s="1"/>
  <c r="T32" i="18" a="1"/>
  <c r="T32" i="18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/>
  <c r="T157" i="18" a="1"/>
  <c r="T157" i="18" s="1"/>
  <c r="T158" i="18" a="1"/>
  <c r="T158" i="18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/>
  <c r="T168" i="18" a="1"/>
  <c r="T168" i="18"/>
  <c r="T169" i="18" a="1"/>
  <c r="T169" i="18" s="1"/>
  <c r="T170" i="18" a="1"/>
  <c r="T170" i="18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/>
  <c r="T245" i="18" a="1"/>
  <c r="T245" i="18" s="1"/>
  <c r="T246" i="18" a="1"/>
  <c r="T246" i="18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/>
  <c r="T259" i="18" a="1"/>
  <c r="T259" i="18" s="1"/>
  <c r="T260" i="18" a="1"/>
  <c r="T260" i="18" s="1"/>
  <c r="T261" i="18" a="1"/>
  <c r="T261" i="18" s="1"/>
  <c r="T262" i="18" a="1"/>
  <c r="T262" i="18"/>
  <c r="T263" i="18" a="1"/>
  <c r="T263" i="18" s="1"/>
  <c r="T264" i="18" a="1"/>
  <c r="T264" i="18" s="1"/>
  <c r="T265" i="18" a="1"/>
  <c r="T265" i="18" s="1"/>
  <c r="T266" i="18" a="1"/>
  <c r="T266" i="18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U2" i="18"/>
  <c r="U3" i="18"/>
  <c r="U4" i="18"/>
  <c r="U5" i="18"/>
  <c r="U6" i="18"/>
  <c r="U7" i="18"/>
  <c r="U8" i="18"/>
  <c r="U9" i="18"/>
  <c r="U10" i="18"/>
  <c r="U12" i="18"/>
  <c r="U13" i="18"/>
  <c r="U14" i="18"/>
  <c r="U15" i="18"/>
  <c r="U16" i="18"/>
  <c r="U17" i="18"/>
  <c r="U18" i="18"/>
  <c r="U19" i="18"/>
  <c r="U21" i="18"/>
  <c r="U22" i="18"/>
  <c r="U24" i="18"/>
  <c r="U25" i="18"/>
  <c r="U26" i="18"/>
  <c r="U29" i="18"/>
  <c r="U30" i="18"/>
  <c r="U31" i="18"/>
  <c r="U32" i="18"/>
  <c r="U33" i="18"/>
  <c r="U34" i="18"/>
  <c r="U37" i="18"/>
  <c r="U38" i="18"/>
  <c r="U39" i="18"/>
  <c r="U40" i="18"/>
  <c r="U41" i="18"/>
  <c r="U42" i="18"/>
  <c r="U44" i="18"/>
  <c r="U45" i="18"/>
  <c r="U46" i="18"/>
  <c r="U48" i="18"/>
  <c r="U49" i="18"/>
  <c r="U50" i="18"/>
  <c r="U51" i="18"/>
  <c r="U52" i="18"/>
  <c r="U53" i="18"/>
  <c r="U54" i="18"/>
  <c r="U56" i="18"/>
  <c r="U57" i="18"/>
  <c r="U58" i="18"/>
  <c r="U59" i="18"/>
  <c r="U61" i="18"/>
  <c r="U62" i="18"/>
  <c r="U63" i="18"/>
  <c r="U64" i="18"/>
  <c r="U65" i="18"/>
  <c r="U66" i="18"/>
  <c r="U67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5" i="18"/>
  <c r="U86" i="18"/>
  <c r="U87" i="18"/>
  <c r="U88" i="18"/>
  <c r="U89" i="18"/>
  <c r="U90" i="18"/>
  <c r="U93" i="18"/>
  <c r="U94" i="18"/>
  <c r="U95" i="18"/>
  <c r="U96" i="18"/>
  <c r="U97" i="18"/>
  <c r="U98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4" i="18"/>
  <c r="U115" i="18"/>
  <c r="U117" i="18"/>
  <c r="U118" i="18"/>
  <c r="U119" i="18"/>
  <c r="U120" i="18"/>
  <c r="U121" i="18"/>
  <c r="U122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7" i="18"/>
  <c r="U138" i="18"/>
  <c r="U139" i="18"/>
  <c r="U141" i="18"/>
  <c r="U142" i="18"/>
  <c r="U143" i="18"/>
  <c r="U144" i="18"/>
  <c r="U145" i="18"/>
  <c r="U146" i="18"/>
  <c r="U147" i="18"/>
  <c r="U149" i="18"/>
  <c r="U150" i="18"/>
  <c r="U152" i="18"/>
  <c r="U153" i="18"/>
  <c r="U154" i="18"/>
  <c r="U155" i="18"/>
  <c r="U157" i="18"/>
  <c r="U158" i="18"/>
  <c r="U159" i="18"/>
  <c r="U160" i="18"/>
  <c r="U161" i="18"/>
  <c r="U162" i="18"/>
  <c r="U163" i="18"/>
  <c r="U165" i="18"/>
  <c r="U168" i="18"/>
  <c r="U169" i="18"/>
  <c r="U170" i="18"/>
  <c r="U172" i="18"/>
  <c r="U173" i="18"/>
  <c r="U174" i="18"/>
  <c r="U175" i="18"/>
  <c r="U176" i="18"/>
  <c r="U177" i="18"/>
  <c r="U178" i="18"/>
  <c r="U179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7" i="18"/>
  <c r="U198" i="18"/>
  <c r="U199" i="18"/>
  <c r="U200" i="18"/>
  <c r="U202" i="18"/>
  <c r="U204" i="18"/>
  <c r="U205" i="18"/>
  <c r="U206" i="18"/>
  <c r="U207" i="18"/>
  <c r="U208" i="18"/>
  <c r="U209" i="18"/>
  <c r="U210" i="18"/>
  <c r="U211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6" i="18"/>
  <c r="U227" i="18"/>
  <c r="U228" i="18"/>
  <c r="U229" i="18"/>
  <c r="U230" i="18"/>
  <c r="U231" i="18"/>
  <c r="U232" i="18"/>
  <c r="U233" i="18"/>
  <c r="U234" i="18"/>
  <c r="U236" i="18"/>
  <c r="U237" i="18"/>
  <c r="U238" i="18"/>
  <c r="U239" i="18"/>
  <c r="U240" i="18"/>
  <c r="U241" i="18"/>
  <c r="U242" i="18"/>
  <c r="U244" i="18"/>
  <c r="U245" i="18"/>
  <c r="U246" i="18"/>
  <c r="U247" i="18"/>
  <c r="U248" i="18"/>
  <c r="U249" i="18"/>
  <c r="U250" i="18"/>
  <c r="U251" i="18"/>
  <c r="U253" i="18"/>
  <c r="U254" i="18"/>
  <c r="U256" i="18"/>
  <c r="U258" i="18"/>
  <c r="U259" i="18"/>
  <c r="U261" i="18"/>
  <c r="U262" i="18"/>
  <c r="U263" i="18"/>
  <c r="U264" i="18"/>
  <c r="U265" i="18"/>
  <c r="U266" i="18"/>
  <c r="U267" i="18"/>
  <c r="U269" i="18"/>
  <c r="U270" i="18"/>
  <c r="U271" i="18"/>
  <c r="U272" i="18"/>
  <c r="U274" i="18"/>
  <c r="U275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3" i="18"/>
  <c r="U294" i="18"/>
  <c r="U295" i="18"/>
  <c r="U296" i="18"/>
  <c r="U297" i="18"/>
  <c r="U298" i="18"/>
  <c r="U299" i="18"/>
  <c r="U301" i="18"/>
  <c r="U302" i="18"/>
  <c r="U303" i="18"/>
  <c r="U304" i="18"/>
  <c r="U305" i="18"/>
  <c r="U306" i="18"/>
  <c r="U307" i="18"/>
  <c r="U309" i="18"/>
  <c r="U310" i="18"/>
  <c r="U311" i="18"/>
  <c r="U312" i="18"/>
  <c r="U313" i="18"/>
  <c r="U314" i="18"/>
  <c r="U315" i="18"/>
  <c r="U317" i="18"/>
  <c r="U318" i="18"/>
  <c r="U320" i="18"/>
  <c r="U321" i="18"/>
  <c r="U322" i="18"/>
  <c r="U323" i="18"/>
  <c r="U325" i="18"/>
  <c r="U326" i="18"/>
  <c r="U327" i="18"/>
  <c r="U328" i="18"/>
  <c r="U329" i="18"/>
  <c r="U330" i="18"/>
  <c r="U331" i="18"/>
  <c r="U333" i="18"/>
  <c r="U334" i="18"/>
  <c r="U335" i="18"/>
  <c r="U336" i="18"/>
  <c r="U337" i="18"/>
  <c r="U338" i="18"/>
  <c r="U339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7" i="18"/>
  <c r="U358" i="18"/>
  <c r="U359" i="18"/>
  <c r="U360" i="18"/>
  <c r="U361" i="18"/>
  <c r="U362" i="18"/>
  <c r="U363" i="18"/>
  <c r="U365" i="18"/>
  <c r="U366" i="18"/>
  <c r="U367" i="18"/>
  <c r="U368" i="18"/>
  <c r="U369" i="18"/>
  <c r="U370" i="18"/>
  <c r="U371" i="18"/>
  <c r="U374" i="18"/>
  <c r="U375" i="18"/>
  <c r="U376" i="18"/>
  <c r="U377" i="18"/>
  <c r="U378" i="18"/>
  <c r="U381" i="18"/>
  <c r="U382" i="18"/>
  <c r="U384" i="18"/>
  <c r="U385" i="18"/>
  <c r="U386" i="18"/>
  <c r="U389" i="18"/>
  <c r="U390" i="18"/>
  <c r="U391" i="18"/>
  <c r="U392" i="18"/>
  <c r="U393" i="18"/>
  <c r="U394" i="18"/>
  <c r="U397" i="18"/>
  <c r="U398" i="18"/>
  <c r="U399" i="18"/>
  <c r="U400" i="18"/>
  <c r="U401" i="18"/>
  <c r="U403" i="18"/>
  <c r="U405" i="18"/>
  <c r="U406" i="18"/>
  <c r="U407" i="18"/>
  <c r="U408" i="18"/>
  <c r="U409" i="18"/>
  <c r="U411" i="18"/>
  <c r="U413" i="18"/>
  <c r="U414" i="18"/>
  <c r="U415" i="18"/>
  <c r="U416" i="18"/>
  <c r="U417" i="18"/>
  <c r="U418" i="18"/>
  <c r="U421" i="18"/>
  <c r="U422" i="18"/>
  <c r="U423" i="18"/>
  <c r="U424" i="18"/>
  <c r="U425" i="18"/>
  <c r="U427" i="18"/>
  <c r="U428" i="18"/>
  <c r="U429" i="18"/>
  <c r="U430" i="18"/>
  <c r="U432" i="18"/>
  <c r="U433" i="18"/>
  <c r="U435" i="18"/>
  <c r="U437" i="18"/>
  <c r="U439" i="18"/>
  <c r="U441" i="18"/>
  <c r="L2" i="17"/>
  <c r="L42" i="17"/>
  <c r="L82" i="17"/>
  <c r="L83" i="17"/>
  <c r="L84" i="17"/>
  <c r="L85" i="17"/>
  <c r="L86" i="17"/>
  <c r="L87" i="17"/>
  <c r="L322" i="17"/>
  <c r="L362" i="17"/>
  <c r="L3" i="17"/>
  <c r="L43" i="17"/>
  <c r="L88" i="17"/>
  <c r="L89" i="17"/>
  <c r="L90" i="17"/>
  <c r="L91" i="17"/>
  <c r="L92" i="17"/>
  <c r="L93" i="17"/>
  <c r="L323" i="17"/>
  <c r="L363" i="17"/>
  <c r="L4" i="17"/>
  <c r="L44" i="17"/>
  <c r="L94" i="17"/>
  <c r="L95" i="17"/>
  <c r="L96" i="17"/>
  <c r="L97" i="17"/>
  <c r="L98" i="17"/>
  <c r="L99" i="17"/>
  <c r="L324" i="17"/>
  <c r="L364" i="17"/>
  <c r="L5" i="17"/>
  <c r="L45" i="17"/>
  <c r="L100" i="17"/>
  <c r="L101" i="17"/>
  <c r="L102" i="17"/>
  <c r="L103" i="17"/>
  <c r="L104" i="17"/>
  <c r="L105" i="17"/>
  <c r="L325" i="17"/>
  <c r="L365" i="17"/>
  <c r="L6" i="17"/>
  <c r="L46" i="17"/>
  <c r="L106" i="17"/>
  <c r="L107" i="17"/>
  <c r="L108" i="17"/>
  <c r="L109" i="17"/>
  <c r="L110" i="17"/>
  <c r="L111" i="17"/>
  <c r="L326" i="17"/>
  <c r="L366" i="17"/>
  <c r="L7" i="17"/>
  <c r="L47" i="17"/>
  <c r="L112" i="17"/>
  <c r="L113" i="17"/>
  <c r="L114" i="17"/>
  <c r="L115" i="17"/>
  <c r="L116" i="17"/>
  <c r="L117" i="17"/>
  <c r="L327" i="17"/>
  <c r="L367" i="17"/>
  <c r="L8" i="17"/>
  <c r="L48" i="17"/>
  <c r="L118" i="17"/>
  <c r="L119" i="17"/>
  <c r="L120" i="17"/>
  <c r="L121" i="17"/>
  <c r="L122" i="17"/>
  <c r="L123" i="17"/>
  <c r="L328" i="17"/>
  <c r="L368" i="17"/>
  <c r="L9" i="17"/>
  <c r="L49" i="17"/>
  <c r="L124" i="17"/>
  <c r="L125" i="17"/>
  <c r="L126" i="17"/>
  <c r="L127" i="17"/>
  <c r="L128" i="17"/>
  <c r="L129" i="17"/>
  <c r="L329" i="17"/>
  <c r="L369" i="17"/>
  <c r="L10" i="17"/>
  <c r="L50" i="17"/>
  <c r="L130" i="17"/>
  <c r="L131" i="17"/>
  <c r="L132" i="17"/>
  <c r="L133" i="17"/>
  <c r="L134" i="17"/>
  <c r="L135" i="17"/>
  <c r="L330" i="17"/>
  <c r="L370" i="17"/>
  <c r="L11" i="17"/>
  <c r="L51" i="17"/>
  <c r="L136" i="17"/>
  <c r="L137" i="17"/>
  <c r="L138" i="17"/>
  <c r="L139" i="17"/>
  <c r="L140" i="17"/>
  <c r="L141" i="17"/>
  <c r="L331" i="17"/>
  <c r="L371" i="17"/>
  <c r="L12" i="17"/>
  <c r="L52" i="17"/>
  <c r="L142" i="17"/>
  <c r="L143" i="17"/>
  <c r="L144" i="17"/>
  <c r="L145" i="17"/>
  <c r="L146" i="17"/>
  <c r="L147" i="17"/>
  <c r="L332" i="17"/>
  <c r="L372" i="17"/>
  <c r="L13" i="17"/>
  <c r="L53" i="17"/>
  <c r="L148" i="17"/>
  <c r="L149" i="17"/>
  <c r="L150" i="17"/>
  <c r="L151" i="17"/>
  <c r="L152" i="17"/>
  <c r="L153" i="17"/>
  <c r="L333" i="17"/>
  <c r="L373" i="17"/>
  <c r="L14" i="17"/>
  <c r="L54" i="17"/>
  <c r="L154" i="17"/>
  <c r="L155" i="17"/>
  <c r="L156" i="17"/>
  <c r="L157" i="17"/>
  <c r="L158" i="17"/>
  <c r="L159" i="17"/>
  <c r="L334" i="17"/>
  <c r="L374" i="17"/>
  <c r="L15" i="17"/>
  <c r="L55" i="17"/>
  <c r="L160" i="17"/>
  <c r="L161" i="17"/>
  <c r="L162" i="17"/>
  <c r="L163" i="17"/>
  <c r="L164" i="17"/>
  <c r="L165" i="17"/>
  <c r="L335" i="17"/>
  <c r="L375" i="17"/>
  <c r="L16" i="17"/>
  <c r="L56" i="17"/>
  <c r="L166" i="17"/>
  <c r="L167" i="17"/>
  <c r="L168" i="17"/>
  <c r="L169" i="17"/>
  <c r="L170" i="17"/>
  <c r="L171" i="17"/>
  <c r="L336" i="17"/>
  <c r="L376" i="17"/>
  <c r="L17" i="17"/>
  <c r="L57" i="17"/>
  <c r="L172" i="17"/>
  <c r="L173" i="17"/>
  <c r="L174" i="17"/>
  <c r="L175" i="17"/>
  <c r="L176" i="17"/>
  <c r="L177" i="17"/>
  <c r="L337" i="17"/>
  <c r="L377" i="17"/>
  <c r="L18" i="17"/>
  <c r="L58" i="17"/>
  <c r="L178" i="17"/>
  <c r="L179" i="17"/>
  <c r="L180" i="17"/>
  <c r="L181" i="17"/>
  <c r="L182" i="17"/>
  <c r="L183" i="17"/>
  <c r="L338" i="17"/>
  <c r="L378" i="17"/>
  <c r="L19" i="17"/>
  <c r="L59" i="17"/>
  <c r="L184" i="17"/>
  <c r="L185" i="17"/>
  <c r="L186" i="17"/>
  <c r="L187" i="17"/>
  <c r="L188" i="17"/>
  <c r="L189" i="17"/>
  <c r="L339" i="17"/>
  <c r="L379" i="17"/>
  <c r="L20" i="17"/>
  <c r="L60" i="17"/>
  <c r="L190" i="17"/>
  <c r="L191" i="17"/>
  <c r="L192" i="17"/>
  <c r="L193" i="17"/>
  <c r="L194" i="17"/>
  <c r="L195" i="17"/>
  <c r="L340" i="17"/>
  <c r="L380" i="17"/>
  <c r="L21" i="17"/>
  <c r="L61" i="17"/>
  <c r="L196" i="17"/>
  <c r="L197" i="17"/>
  <c r="L198" i="17"/>
  <c r="L199" i="17"/>
  <c r="L200" i="17"/>
  <c r="L201" i="17"/>
  <c r="L341" i="17"/>
  <c r="L381" i="17"/>
  <c r="L22" i="17"/>
  <c r="L62" i="17"/>
  <c r="L202" i="17"/>
  <c r="L203" i="17"/>
  <c r="L204" i="17"/>
  <c r="L205" i="17"/>
  <c r="L206" i="17"/>
  <c r="L207" i="17"/>
  <c r="L342" i="17"/>
  <c r="L382" i="17"/>
  <c r="L23" i="17"/>
  <c r="L63" i="17"/>
  <c r="L208" i="17"/>
  <c r="L209" i="17"/>
  <c r="L210" i="17"/>
  <c r="L211" i="17"/>
  <c r="L212" i="17"/>
  <c r="L213" i="17"/>
  <c r="L343" i="17"/>
  <c r="L383" i="17"/>
  <c r="L24" i="17"/>
  <c r="L64" i="17"/>
  <c r="L214" i="17"/>
  <c r="L215" i="17"/>
  <c r="L216" i="17"/>
  <c r="L217" i="17"/>
  <c r="L218" i="17"/>
  <c r="L219" i="17"/>
  <c r="L344" i="17"/>
  <c r="L384" i="17"/>
  <c r="L25" i="17"/>
  <c r="L65" i="17"/>
  <c r="L220" i="17"/>
  <c r="L221" i="17"/>
  <c r="L222" i="17"/>
  <c r="L223" i="17"/>
  <c r="L224" i="17"/>
  <c r="L225" i="17"/>
  <c r="L345" i="17"/>
  <c r="L385" i="17"/>
  <c r="L26" i="17"/>
  <c r="L66" i="17"/>
  <c r="L226" i="17"/>
  <c r="L227" i="17"/>
  <c r="L228" i="17"/>
  <c r="L229" i="17"/>
  <c r="L230" i="17"/>
  <c r="L231" i="17"/>
  <c r="L346" i="17"/>
  <c r="L386" i="17"/>
  <c r="L27" i="17"/>
  <c r="L67" i="17"/>
  <c r="L232" i="17"/>
  <c r="L233" i="17"/>
  <c r="L234" i="17"/>
  <c r="L235" i="17"/>
  <c r="L236" i="17"/>
  <c r="L237" i="17"/>
  <c r="L347" i="17"/>
  <c r="L387" i="17"/>
  <c r="L28" i="17"/>
  <c r="L68" i="17"/>
  <c r="L238" i="17"/>
  <c r="L239" i="17"/>
  <c r="L240" i="17"/>
  <c r="L241" i="17"/>
  <c r="L242" i="17"/>
  <c r="L243" i="17"/>
  <c r="L348" i="17"/>
  <c r="L388" i="17"/>
  <c r="L29" i="17"/>
  <c r="L69" i="17"/>
  <c r="L244" i="17"/>
  <c r="L245" i="17"/>
  <c r="L246" i="17"/>
  <c r="L247" i="17"/>
  <c r="L248" i="17"/>
  <c r="L249" i="17"/>
  <c r="L349" i="17"/>
  <c r="L389" i="17"/>
  <c r="L30" i="17"/>
  <c r="L70" i="17"/>
  <c r="L250" i="17"/>
  <c r="L251" i="17"/>
  <c r="L252" i="17"/>
  <c r="L253" i="17"/>
  <c r="L254" i="17"/>
  <c r="L255" i="17"/>
  <c r="L350" i="17"/>
  <c r="L390" i="17"/>
  <c r="L31" i="17"/>
  <c r="L71" i="17"/>
  <c r="L256" i="17"/>
  <c r="L257" i="17"/>
  <c r="L258" i="17"/>
  <c r="L259" i="17"/>
  <c r="L260" i="17"/>
  <c r="L261" i="17"/>
  <c r="L351" i="17"/>
  <c r="L391" i="17"/>
  <c r="L32" i="17"/>
  <c r="L72" i="17"/>
  <c r="L262" i="17"/>
  <c r="L263" i="17"/>
  <c r="L264" i="17"/>
  <c r="L265" i="17"/>
  <c r="L266" i="17"/>
  <c r="L267" i="17"/>
  <c r="L352" i="17"/>
  <c r="L392" i="17"/>
  <c r="L33" i="17"/>
  <c r="L73" i="17"/>
  <c r="L268" i="17"/>
  <c r="L269" i="17"/>
  <c r="L270" i="17"/>
  <c r="L271" i="17"/>
  <c r="L272" i="17"/>
  <c r="L273" i="17"/>
  <c r="L353" i="17"/>
  <c r="L393" i="17"/>
  <c r="L34" i="17"/>
  <c r="L74" i="17"/>
  <c r="L274" i="17"/>
  <c r="L275" i="17"/>
  <c r="L276" i="17"/>
  <c r="L277" i="17"/>
  <c r="L278" i="17"/>
  <c r="L279" i="17"/>
  <c r="L354" i="17"/>
  <c r="L394" i="17"/>
  <c r="L35" i="17"/>
  <c r="L75" i="17"/>
  <c r="L280" i="17"/>
  <c r="L281" i="17"/>
  <c r="L282" i="17"/>
  <c r="L283" i="17"/>
  <c r="L284" i="17"/>
  <c r="L285" i="17"/>
  <c r="L355" i="17"/>
  <c r="L395" i="17"/>
  <c r="L36" i="17"/>
  <c r="L76" i="17"/>
  <c r="L286" i="17"/>
  <c r="L287" i="17"/>
  <c r="L288" i="17"/>
  <c r="L289" i="17"/>
  <c r="L290" i="17"/>
  <c r="L291" i="17"/>
  <c r="L356" i="17"/>
  <c r="L396" i="17"/>
  <c r="L37" i="17"/>
  <c r="L77" i="17"/>
  <c r="L292" i="17"/>
  <c r="L293" i="17"/>
  <c r="L294" i="17"/>
  <c r="L295" i="17"/>
  <c r="L296" i="17"/>
  <c r="L297" i="17"/>
  <c r="L357" i="17"/>
  <c r="L397" i="17"/>
  <c r="L38" i="17"/>
  <c r="L78" i="17"/>
  <c r="L298" i="17"/>
  <c r="L299" i="17"/>
  <c r="L300" i="17"/>
  <c r="L301" i="17"/>
  <c r="L302" i="17"/>
  <c r="L303" i="17"/>
  <c r="L358" i="17"/>
  <c r="L398" i="17"/>
  <c r="L39" i="17"/>
  <c r="L79" i="17"/>
  <c r="L304" i="17"/>
  <c r="L305" i="17"/>
  <c r="L306" i="17"/>
  <c r="L307" i="17"/>
  <c r="L308" i="17"/>
  <c r="L309" i="17"/>
  <c r="L359" i="17"/>
  <c r="L399" i="17"/>
  <c r="L40" i="17"/>
  <c r="L80" i="17"/>
  <c r="N80" i="17" s="1" a="1"/>
  <c r="N80" i="17" s="1"/>
  <c r="L310" i="17"/>
  <c r="L311" i="17"/>
  <c r="L312" i="17"/>
  <c r="L313" i="17"/>
  <c r="L314" i="17"/>
  <c r="L315" i="17"/>
  <c r="L360" i="17"/>
  <c r="L400" i="17"/>
  <c r="N400" i="17" s="1" a="1"/>
  <c r="N400" i="17" s="1"/>
  <c r="L41" i="17"/>
  <c r="L81" i="17"/>
  <c r="L316" i="17"/>
  <c r="L317" i="17"/>
  <c r="L318" i="17"/>
  <c r="L319" i="17"/>
  <c r="L320" i="17"/>
  <c r="L321" i="17"/>
  <c r="N321" i="17" s="1" a="1"/>
  <c r="N321" i="17" s="1"/>
  <c r="L361" i="17"/>
  <c r="L401" i="17"/>
  <c r="N401" i="17" s="1" a="1"/>
  <c r="N401" i="17" s="1"/>
  <c r="M2" i="17" a="1"/>
  <c r="M2" i="17" s="1"/>
  <c r="M42" i="17" a="1"/>
  <c r="M42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87" i="17" a="1"/>
  <c r="M87" i="17" s="1"/>
  <c r="M322" i="17" a="1"/>
  <c r="M322" i="17" s="1"/>
  <c r="M362" i="17" a="1"/>
  <c r="M362" i="17" s="1"/>
  <c r="M3" i="17" a="1"/>
  <c r="M3" i="17" s="1"/>
  <c r="M43" i="17" a="1"/>
  <c r="M43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 s="1"/>
  <c r="M93" i="17" a="1"/>
  <c r="M93" i="17" s="1"/>
  <c r="M323" i="17" a="1"/>
  <c r="M323" i="17" s="1"/>
  <c r="M363" i="17" a="1"/>
  <c r="M363" i="17" s="1"/>
  <c r="M4" i="17" a="1"/>
  <c r="M4" i="17" s="1"/>
  <c r="M44" i="17" a="1"/>
  <c r="M44" i="17" s="1"/>
  <c r="M94" i="17" a="1"/>
  <c r="M94" i="17" s="1"/>
  <c r="M95" i="17" a="1"/>
  <c r="M95" i="17" s="1"/>
  <c r="M96" i="17" a="1"/>
  <c r="M96" i="17" s="1"/>
  <c r="M97" i="17" a="1"/>
  <c r="M97" i="17" s="1"/>
  <c r="M98" i="17" a="1"/>
  <c r="M98" i="17" s="1"/>
  <c r="M99" i="17" a="1"/>
  <c r="M99" i="17" s="1"/>
  <c r="M324" i="17" a="1"/>
  <c r="M324" i="17" s="1"/>
  <c r="M364" i="17" a="1"/>
  <c r="M364" i="17" s="1"/>
  <c r="M5" i="17" a="1"/>
  <c r="M5" i="17" s="1"/>
  <c r="M45" i="17" a="1"/>
  <c r="M45" i="17" s="1"/>
  <c r="M100" i="17" a="1"/>
  <c r="M100" i="17" s="1"/>
  <c r="M101" i="17" a="1"/>
  <c r="M101" i="17" s="1"/>
  <c r="M102" i="17" a="1"/>
  <c r="M102" i="17" s="1"/>
  <c r="M103" i="17" a="1"/>
  <c r="M103" i="17" s="1"/>
  <c r="M104" i="17" a="1"/>
  <c r="M104" i="17" s="1"/>
  <c r="M105" i="17" a="1"/>
  <c r="M105" i="17" s="1"/>
  <c r="M325" i="17" a="1"/>
  <c r="M325" i="17" s="1"/>
  <c r="M365" i="17" a="1"/>
  <c r="M365" i="17" s="1"/>
  <c r="M6" i="17" a="1"/>
  <c r="M6" i="17" s="1"/>
  <c r="M46" i="17" a="1"/>
  <c r="M46" i="17" s="1"/>
  <c r="M106" i="17" a="1"/>
  <c r="M106" i="17" s="1"/>
  <c r="M107" i="17" a="1"/>
  <c r="M107" i="17" s="1"/>
  <c r="M108" i="17" a="1"/>
  <c r="M108" i="17" s="1"/>
  <c r="M109" i="17" a="1"/>
  <c r="M109" i="17" s="1"/>
  <c r="M110" i="17" a="1"/>
  <c r="M110" i="17" s="1"/>
  <c r="M111" i="17" a="1"/>
  <c r="M111" i="17" s="1"/>
  <c r="M326" i="17" a="1"/>
  <c r="M326" i="17" s="1"/>
  <c r="M366" i="17" a="1"/>
  <c r="M366" i="17" s="1"/>
  <c r="M7" i="17" a="1"/>
  <c r="M7" i="17" s="1"/>
  <c r="M47" i="17" a="1"/>
  <c r="M47" i="17" s="1"/>
  <c r="M112" i="17" a="1"/>
  <c r="M112" i="17" s="1"/>
  <c r="M113" i="17" a="1"/>
  <c r="M113" i="17" s="1"/>
  <c r="M114" i="17" a="1"/>
  <c r="M114" i="17" s="1"/>
  <c r="M115" i="17" a="1"/>
  <c r="M115" i="17" s="1"/>
  <c r="M116" i="17" a="1"/>
  <c r="M116" i="17" s="1"/>
  <c r="M117" i="17" a="1"/>
  <c r="M117" i="17" s="1"/>
  <c r="M327" i="17" a="1"/>
  <c r="M327" i="17" s="1"/>
  <c r="M367" i="17" a="1"/>
  <c r="M367" i="17" s="1"/>
  <c r="M8" i="17" a="1"/>
  <c r="M8" i="17" s="1"/>
  <c r="M48" i="17" a="1"/>
  <c r="M48" i="17" s="1"/>
  <c r="M118" i="17" a="1"/>
  <c r="M118" i="17" s="1"/>
  <c r="M119" i="17" a="1"/>
  <c r="M119" i="17" s="1"/>
  <c r="M120" i="17" a="1"/>
  <c r="M120" i="17" s="1"/>
  <c r="M121" i="17" a="1"/>
  <c r="M121" i="17" s="1"/>
  <c r="M122" i="17" a="1"/>
  <c r="M122" i="17" s="1"/>
  <c r="M123" i="17" a="1"/>
  <c r="M123" i="17" s="1"/>
  <c r="M328" i="17" a="1"/>
  <c r="M328" i="17" s="1"/>
  <c r="M368" i="17" a="1"/>
  <c r="M368" i="17" s="1"/>
  <c r="M9" i="17" a="1"/>
  <c r="M9" i="17" s="1"/>
  <c r="M49" i="17" a="1"/>
  <c r="M49" i="17" s="1"/>
  <c r="M124" i="17" a="1"/>
  <c r="M124" i="17" s="1"/>
  <c r="M125" i="17" a="1"/>
  <c r="M125" i="17" s="1"/>
  <c r="M126" i="17" a="1"/>
  <c r="M126" i="17" s="1"/>
  <c r="M127" i="17" a="1"/>
  <c r="M127" i="17" s="1"/>
  <c r="M128" i="17" a="1"/>
  <c r="M128" i="17" s="1"/>
  <c r="M129" i="17" a="1"/>
  <c r="M129" i="17" s="1"/>
  <c r="M329" i="17" a="1"/>
  <c r="M329" i="17" s="1"/>
  <c r="M369" i="17" a="1"/>
  <c r="M369" i="17" s="1"/>
  <c r="M10" i="17" a="1"/>
  <c r="M10" i="17" s="1"/>
  <c r="M50" i="17" a="1"/>
  <c r="M50" i="17" s="1"/>
  <c r="M130" i="17" a="1"/>
  <c r="M130" i="17" s="1"/>
  <c r="M131" i="17" a="1"/>
  <c r="M131" i="17" s="1"/>
  <c r="M132" i="17" a="1"/>
  <c r="M132" i="17" s="1"/>
  <c r="M133" i="17" a="1"/>
  <c r="M133" i="17" s="1"/>
  <c r="M134" i="17" a="1"/>
  <c r="M134" i="17" s="1"/>
  <c r="M135" i="17" a="1"/>
  <c r="M135" i="17" s="1"/>
  <c r="M330" i="17" a="1"/>
  <c r="M330" i="17" s="1"/>
  <c r="M370" i="17" a="1"/>
  <c r="M370" i="17" s="1"/>
  <c r="M11" i="17" a="1"/>
  <c r="M11" i="17" s="1"/>
  <c r="M51" i="17" a="1"/>
  <c r="M51" i="17" s="1"/>
  <c r="M136" i="17" a="1"/>
  <c r="M136" i="17" s="1"/>
  <c r="M137" i="17" a="1"/>
  <c r="M137" i="17" s="1"/>
  <c r="M138" i="17" a="1"/>
  <c r="M138" i="17" s="1"/>
  <c r="M139" i="17" a="1"/>
  <c r="M139" i="17" s="1"/>
  <c r="M140" i="17" a="1"/>
  <c r="M140" i="17" s="1"/>
  <c r="M141" i="17" a="1"/>
  <c r="M141" i="17" s="1"/>
  <c r="M331" i="17" a="1"/>
  <c r="M331" i="17" s="1"/>
  <c r="M371" i="17" a="1"/>
  <c r="M371" i="17" s="1"/>
  <c r="M12" i="17" a="1"/>
  <c r="M12" i="17" s="1"/>
  <c r="M52" i="17" a="1"/>
  <c r="M52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332" i="17" a="1"/>
  <c r="M332" i="17" s="1"/>
  <c r="M372" i="17" a="1"/>
  <c r="M372" i="17" s="1"/>
  <c r="M13" i="17" a="1"/>
  <c r="M13" i="17" s="1"/>
  <c r="M53" i="17" a="1"/>
  <c r="M53" i="17" s="1"/>
  <c r="M148" i="17" a="1"/>
  <c r="M148" i="17" s="1"/>
  <c r="M149" i="17" a="1"/>
  <c r="M149" i="17" s="1"/>
  <c r="M150" i="17" a="1"/>
  <c r="M150" i="17" s="1"/>
  <c r="M151" i="17" a="1"/>
  <c r="M151" i="17" s="1"/>
  <c r="M152" i="17" a="1"/>
  <c r="M152" i="17" s="1"/>
  <c r="M153" i="17" a="1"/>
  <c r="M153" i="17" s="1"/>
  <c r="M333" i="17" a="1"/>
  <c r="M333" i="17" s="1"/>
  <c r="M373" i="17" a="1"/>
  <c r="M373" i="17" s="1"/>
  <c r="M14" i="17" a="1"/>
  <c r="M14" i="17" s="1"/>
  <c r="M54" i="17" a="1"/>
  <c r="M54" i="17" s="1"/>
  <c r="M154" i="17" a="1"/>
  <c r="M154" i="17" s="1"/>
  <c r="M155" i="17" a="1"/>
  <c r="M155" i="17" s="1"/>
  <c r="M156" i="17" a="1"/>
  <c r="M156" i="17" s="1"/>
  <c r="M157" i="17" a="1"/>
  <c r="M157" i="17" s="1"/>
  <c r="M158" i="17" a="1"/>
  <c r="M158" i="17" s="1"/>
  <c r="M159" i="17" a="1"/>
  <c r="M159" i="17" s="1"/>
  <c r="M334" i="17" a="1"/>
  <c r="M334" i="17" s="1"/>
  <c r="M374" i="17" a="1"/>
  <c r="M374" i="17" s="1"/>
  <c r="M15" i="17" a="1"/>
  <c r="M15" i="17" s="1"/>
  <c r="M55" i="17" a="1"/>
  <c r="M55" i="17" s="1"/>
  <c r="M160" i="17" a="1"/>
  <c r="M160" i="17" s="1"/>
  <c r="M161" i="17" a="1"/>
  <c r="M161" i="17" s="1"/>
  <c r="M162" i="17" a="1"/>
  <c r="M162" i="17" s="1"/>
  <c r="M163" i="17" a="1"/>
  <c r="M163" i="17" s="1"/>
  <c r="M164" i="17" a="1"/>
  <c r="M164" i="17" s="1"/>
  <c r="M165" i="17" a="1"/>
  <c r="M165" i="17" s="1"/>
  <c r="M335" i="17" a="1"/>
  <c r="M335" i="17" s="1"/>
  <c r="M375" i="17" a="1"/>
  <c r="M375" i="17" s="1"/>
  <c r="M16" i="17" a="1"/>
  <c r="M16" i="17" s="1"/>
  <c r="M56" i="17" a="1"/>
  <c r="M56" i="17" s="1"/>
  <c r="M166" i="17" a="1"/>
  <c r="M166" i="17" s="1"/>
  <c r="M167" i="17" a="1"/>
  <c r="M167" i="17" s="1"/>
  <c r="M168" i="17" a="1"/>
  <c r="M168" i="17" s="1"/>
  <c r="M169" i="17" a="1"/>
  <c r="M169" i="17" s="1"/>
  <c r="M170" i="17" a="1"/>
  <c r="M170" i="17" s="1"/>
  <c r="M171" i="17" a="1"/>
  <c r="M171" i="17" s="1"/>
  <c r="M336" i="17" a="1"/>
  <c r="M336" i="17" s="1"/>
  <c r="M376" i="17" a="1"/>
  <c r="M376" i="17" s="1"/>
  <c r="M17" i="17" a="1"/>
  <c r="M17" i="17" s="1"/>
  <c r="M57" i="17" a="1"/>
  <c r="M57" i="17" s="1"/>
  <c r="M172" i="17" a="1"/>
  <c r="M172" i="17" s="1"/>
  <c r="M173" i="17" a="1"/>
  <c r="M173" i="17" s="1"/>
  <c r="M174" i="17" a="1"/>
  <c r="M174" i="17" s="1"/>
  <c r="M175" i="17" a="1"/>
  <c r="M175" i="17" s="1"/>
  <c r="M176" i="17" a="1"/>
  <c r="M176" i="17" s="1"/>
  <c r="M177" i="17" a="1"/>
  <c r="M177" i="17" s="1"/>
  <c r="M337" i="17" a="1"/>
  <c r="M337" i="17" s="1"/>
  <c r="M377" i="17" a="1"/>
  <c r="M377" i="17" s="1"/>
  <c r="M18" i="17" a="1"/>
  <c r="M18" i="17" s="1"/>
  <c r="M58" i="17" a="1"/>
  <c r="M58" i="17" s="1"/>
  <c r="M178" i="17" a="1"/>
  <c r="M178" i="17" s="1"/>
  <c r="M179" i="17" a="1"/>
  <c r="M179" i="17" s="1"/>
  <c r="M180" i="17" a="1"/>
  <c r="M180" i="17" s="1"/>
  <c r="M181" i="17" a="1"/>
  <c r="M181" i="17" s="1"/>
  <c r="M182" i="17" a="1"/>
  <c r="M182" i="17" s="1"/>
  <c r="M183" i="17" a="1"/>
  <c r="M183" i="17" s="1"/>
  <c r="M338" i="17" a="1"/>
  <c r="M338" i="17" s="1"/>
  <c r="M378" i="17" a="1"/>
  <c r="M378" i="17" s="1"/>
  <c r="M19" i="17" a="1"/>
  <c r="M19" i="17" s="1"/>
  <c r="M59" i="17" a="1"/>
  <c r="M59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339" i="17" a="1"/>
  <c r="M339" i="17" s="1"/>
  <c r="M379" i="17" a="1"/>
  <c r="M379" i="17" s="1"/>
  <c r="M20" i="17" a="1"/>
  <c r="M20" i="17" s="1"/>
  <c r="M60" i="17" a="1"/>
  <c r="M60" i="17" s="1"/>
  <c r="M190" i="17" a="1"/>
  <c r="M190" i="17" s="1"/>
  <c r="M191" i="17" a="1"/>
  <c r="M191" i="17" s="1"/>
  <c r="M192" i="17" a="1"/>
  <c r="M192" i="17" s="1"/>
  <c r="M193" i="17" a="1"/>
  <c r="M193" i="17" s="1"/>
  <c r="M194" i="17" a="1"/>
  <c r="M194" i="17" s="1"/>
  <c r="M195" i="17" a="1"/>
  <c r="M195" i="17" s="1"/>
  <c r="M340" i="17" a="1"/>
  <c r="M340" i="17" s="1"/>
  <c r="M380" i="17" a="1"/>
  <c r="M380" i="17" s="1"/>
  <c r="M21" i="17" a="1"/>
  <c r="M21" i="17" s="1"/>
  <c r="M61" i="17" a="1"/>
  <c r="M61" i="17" s="1"/>
  <c r="M196" i="17" a="1"/>
  <c r="M196" i="17" s="1"/>
  <c r="M197" i="17" a="1"/>
  <c r="M197" i="17" s="1"/>
  <c r="M198" i="17" a="1"/>
  <c r="M198" i="17" s="1"/>
  <c r="M199" i="17" a="1"/>
  <c r="M199" i="17" s="1"/>
  <c r="M200" i="17" a="1"/>
  <c r="M200" i="17" s="1"/>
  <c r="M201" i="17" a="1"/>
  <c r="M201" i="17" s="1"/>
  <c r="M341" i="17" a="1"/>
  <c r="M341" i="17" s="1"/>
  <c r="M381" i="17" a="1"/>
  <c r="M381" i="17" s="1"/>
  <c r="M22" i="17" a="1"/>
  <c r="M22" i="17" s="1"/>
  <c r="M62" i="17" a="1"/>
  <c r="M62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42" i="17" a="1"/>
  <c r="M342" i="17" s="1"/>
  <c r="M382" i="17" a="1"/>
  <c r="M382" i="17" s="1"/>
  <c r="M23" i="17" a="1"/>
  <c r="M23" i="17" s="1"/>
  <c r="M63" i="17" a="1"/>
  <c r="M63" i="17" s="1"/>
  <c r="M208" i="17" a="1"/>
  <c r="M208" i="17" s="1"/>
  <c r="M209" i="17" a="1"/>
  <c r="M209" i="17" s="1"/>
  <c r="M210" i="17" a="1"/>
  <c r="M210" i="17" s="1"/>
  <c r="M211" i="17" a="1"/>
  <c r="M211" i="17" s="1"/>
  <c r="M212" i="17" a="1"/>
  <c r="M212" i="17" s="1"/>
  <c r="M213" i="17" a="1"/>
  <c r="M213" i="17" s="1"/>
  <c r="M343" i="17" a="1"/>
  <c r="M343" i="17" s="1"/>
  <c r="M383" i="17" a="1"/>
  <c r="M383" i="17" s="1"/>
  <c r="M24" i="17" a="1"/>
  <c r="M24" i="17" s="1"/>
  <c r="M64" i="17" a="1"/>
  <c r="M64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344" i="17" a="1"/>
  <c r="M344" i="17" s="1"/>
  <c r="M384" i="17" a="1"/>
  <c r="M384" i="17" s="1"/>
  <c r="M25" i="17" a="1"/>
  <c r="M25" i="17" s="1"/>
  <c r="M65" i="17" a="1"/>
  <c r="M65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 s="1"/>
  <c r="M345" i="17" a="1"/>
  <c r="M345" i="17" s="1"/>
  <c r="M385" i="17" a="1"/>
  <c r="M385" i="17" s="1"/>
  <c r="M26" i="17" a="1"/>
  <c r="M26" i="17" s="1"/>
  <c r="M66" i="17" a="1"/>
  <c r="M66" i="17" s="1"/>
  <c r="M226" i="17" a="1"/>
  <c r="M226" i="17" s="1"/>
  <c r="M227" i="17" a="1"/>
  <c r="M227" i="17" s="1"/>
  <c r="M228" i="17" a="1"/>
  <c r="M228" i="17" s="1"/>
  <c r="M229" i="17" a="1"/>
  <c r="M229" i="17" s="1"/>
  <c r="M230" i="17" a="1"/>
  <c r="M230" i="17" s="1"/>
  <c r="M231" i="17" a="1"/>
  <c r="M231" i="17" s="1"/>
  <c r="M346" i="17" a="1"/>
  <c r="M346" i="17" s="1"/>
  <c r="M386" i="17" a="1"/>
  <c r="M386" i="17" s="1"/>
  <c r="M27" i="17" a="1"/>
  <c r="M27" i="17" s="1"/>
  <c r="M67" i="17" a="1"/>
  <c r="M67" i="17" s="1"/>
  <c r="M232" i="17" a="1"/>
  <c r="M232" i="17" s="1"/>
  <c r="M233" i="17" a="1"/>
  <c r="M233" i="17" s="1"/>
  <c r="M234" i="17" a="1"/>
  <c r="M234" i="17" s="1"/>
  <c r="M235" i="17" a="1"/>
  <c r="M235" i="17" s="1"/>
  <c r="M236" i="17" a="1"/>
  <c r="M236" i="17" s="1"/>
  <c r="M237" i="17" a="1"/>
  <c r="M237" i="17" s="1"/>
  <c r="M347" i="17" a="1"/>
  <c r="M347" i="17" s="1"/>
  <c r="M387" i="17" a="1"/>
  <c r="M387" i="17" s="1"/>
  <c r="M28" i="17" a="1"/>
  <c r="M28" i="17" s="1"/>
  <c r="M68" i="17" a="1"/>
  <c r="M68" i="17" s="1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M243" i="17" a="1"/>
  <c r="M243" i="17" s="1"/>
  <c r="M348" i="17" a="1"/>
  <c r="M348" i="17" s="1"/>
  <c r="M388" i="17" a="1"/>
  <c r="M388" i="17" s="1"/>
  <c r="M29" i="17" a="1"/>
  <c r="M29" i="17" s="1"/>
  <c r="M69" i="17" a="1"/>
  <c r="M69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 s="1"/>
  <c r="M349" i="17" a="1"/>
  <c r="M349" i="17" s="1"/>
  <c r="M389" i="17" a="1"/>
  <c r="M389" i="17" s="1"/>
  <c r="M30" i="17" a="1"/>
  <c r="M30" i="17" s="1"/>
  <c r="M70" i="17" a="1"/>
  <c r="M70" i="17" s="1"/>
  <c r="M250" i="17" a="1"/>
  <c r="M250" i="17" s="1"/>
  <c r="M251" i="17" a="1"/>
  <c r="M251" i="17" s="1"/>
  <c r="M252" i="17" a="1"/>
  <c r="M252" i="17" s="1"/>
  <c r="M253" i="17" a="1"/>
  <c r="M253" i="17" s="1"/>
  <c r="M254" i="17" a="1"/>
  <c r="M254" i="17" s="1"/>
  <c r="M255" i="17" a="1"/>
  <c r="M255" i="17" s="1"/>
  <c r="M350" i="17" a="1"/>
  <c r="M350" i="17" s="1"/>
  <c r="M390" i="17" a="1"/>
  <c r="M390" i="17" s="1"/>
  <c r="M31" i="17" a="1"/>
  <c r="M31" i="17" s="1"/>
  <c r="M71" i="17" a="1"/>
  <c r="M7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 s="1"/>
  <c r="M351" i="17" a="1"/>
  <c r="M351" i="17" s="1"/>
  <c r="M391" i="17" a="1"/>
  <c r="M391" i="17" s="1"/>
  <c r="M32" i="17" a="1"/>
  <c r="M32" i="17" s="1"/>
  <c r="M72" i="17" a="1"/>
  <c r="M72" i="17" s="1"/>
  <c r="M262" i="17" a="1"/>
  <c r="M262" i="17" s="1"/>
  <c r="M263" i="17" a="1"/>
  <c r="M263" i="17" s="1"/>
  <c r="M264" i="17" a="1"/>
  <c r="M264" i="17" s="1"/>
  <c r="M265" i="17" a="1"/>
  <c r="M265" i="17" s="1"/>
  <c r="M266" i="17" a="1"/>
  <c r="M266" i="17" s="1"/>
  <c r="M267" i="17" a="1"/>
  <c r="M267" i="17" s="1"/>
  <c r="M352" i="17" a="1"/>
  <c r="M352" i="17" s="1"/>
  <c r="M392" i="17" a="1"/>
  <c r="M392" i="17" s="1"/>
  <c r="M33" i="17" a="1"/>
  <c r="M33" i="17" s="1"/>
  <c r="M73" i="17" a="1"/>
  <c r="M73" i="17" s="1"/>
  <c r="M268" i="17" a="1"/>
  <c r="M268" i="17" s="1"/>
  <c r="M269" i="17" a="1"/>
  <c r="M269" i="17" s="1"/>
  <c r="M270" i="17" a="1"/>
  <c r="M270" i="17" s="1"/>
  <c r="M271" i="17" a="1"/>
  <c r="M271" i="17" s="1"/>
  <c r="M272" i="17" a="1"/>
  <c r="M272" i="17" s="1"/>
  <c r="M273" i="17" a="1"/>
  <c r="M273" i="17" s="1"/>
  <c r="M353" i="17" a="1"/>
  <c r="M353" i="17" s="1"/>
  <c r="M393" i="17" a="1"/>
  <c r="M393" i="17" s="1"/>
  <c r="M34" i="17" a="1"/>
  <c r="M34" i="17" s="1"/>
  <c r="M74" i="17" a="1"/>
  <c r="M74" i="17" s="1"/>
  <c r="M274" i="17" a="1"/>
  <c r="M274" i="17" s="1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354" i="17" a="1"/>
  <c r="M354" i="17" s="1"/>
  <c r="M394" i="17" a="1"/>
  <c r="M394" i="17" s="1"/>
  <c r="M35" i="17" a="1"/>
  <c r="M35" i="17" s="1"/>
  <c r="M75" i="17" a="1"/>
  <c r="M75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 s="1"/>
  <c r="M285" i="17" a="1"/>
  <c r="M285" i="17" s="1"/>
  <c r="M355" i="17" a="1"/>
  <c r="M355" i="17" s="1"/>
  <c r="M395" i="17" a="1"/>
  <c r="M395" i="17" s="1"/>
  <c r="M36" i="17" a="1"/>
  <c r="M36" i="17"/>
  <c r="M76" i="17" a="1"/>
  <c r="M76" i="17" s="1"/>
  <c r="M286" i="17" a="1"/>
  <c r="M286" i="17" s="1"/>
  <c r="M287" i="17" a="1"/>
  <c r="M287" i="17" s="1"/>
  <c r="M288" i="17" a="1"/>
  <c r="M288" i="17" s="1"/>
  <c r="M289" i="17" a="1"/>
  <c r="M289" i="17" s="1"/>
  <c r="M290" i="17" a="1"/>
  <c r="M290" i="17" s="1"/>
  <c r="M291" i="17" a="1"/>
  <c r="M291" i="17" s="1"/>
  <c r="M356" i="17" a="1"/>
  <c r="M356" i="17"/>
  <c r="M396" i="17" a="1"/>
  <c r="M396" i="17" s="1"/>
  <c r="M37" i="17" a="1"/>
  <c r="M37" i="17" s="1"/>
  <c r="M77" i="17" a="1"/>
  <c r="M77" i="17" s="1"/>
  <c r="M292" i="17" a="1"/>
  <c r="M292" i="17" s="1"/>
  <c r="M293" i="17" a="1"/>
  <c r="M293" i="17" s="1"/>
  <c r="M294" i="17" a="1"/>
  <c r="M294" i="17" s="1"/>
  <c r="M295" i="17" a="1"/>
  <c r="M295" i="17" s="1"/>
  <c r="M296" i="17" a="1"/>
  <c r="M296" i="17" s="1"/>
  <c r="M297" i="17" a="1"/>
  <c r="M297" i="17" s="1"/>
  <c r="M357" i="17" a="1"/>
  <c r="M357" i="17" s="1"/>
  <c r="M397" i="17" a="1"/>
  <c r="M397" i="17" s="1"/>
  <c r="M38" i="17" a="1"/>
  <c r="M38" i="17" s="1"/>
  <c r="M78" i="17" a="1"/>
  <c r="M78" i="17" s="1"/>
  <c r="M298" i="17" a="1"/>
  <c r="M298" i="17" s="1"/>
  <c r="M299" i="17" a="1"/>
  <c r="M299" i="17" s="1"/>
  <c r="M300" i="17" a="1"/>
  <c r="M300" i="17" s="1"/>
  <c r="M301" i="17" a="1"/>
  <c r="M301" i="17" s="1"/>
  <c r="M302" i="17" a="1"/>
  <c r="M302" i="17" s="1"/>
  <c r="M303" i="17" a="1"/>
  <c r="M303" i="17" s="1"/>
  <c r="M358" i="17" a="1"/>
  <c r="M358" i="17" s="1"/>
  <c r="M398" i="17" a="1"/>
  <c r="M398" i="17" s="1"/>
  <c r="M39" i="17" a="1"/>
  <c r="M39" i="17" s="1"/>
  <c r="M79" i="17" a="1"/>
  <c r="M79" i="17" s="1"/>
  <c r="M304" i="17" a="1"/>
  <c r="M304" i="17" s="1"/>
  <c r="M305" i="17" a="1"/>
  <c r="M305" i="17" s="1"/>
  <c r="M306" i="17" a="1"/>
  <c r="M306" i="17" s="1"/>
  <c r="M307" i="17" a="1"/>
  <c r="M307" i="17" s="1"/>
  <c r="M308" i="17" a="1"/>
  <c r="M308" i="17" s="1"/>
  <c r="M309" i="17" a="1"/>
  <c r="M309" i="17" s="1"/>
  <c r="M359" i="17" a="1"/>
  <c r="M359" i="17" s="1"/>
  <c r="M399" i="17" a="1"/>
  <c r="M399" i="17" s="1"/>
  <c r="M40" i="17" a="1"/>
  <c r="M40" i="17" s="1"/>
  <c r="M80" i="17" a="1"/>
  <c r="M80" i="17" s="1"/>
  <c r="M310" i="17" a="1"/>
  <c r="M310" i="17" s="1"/>
  <c r="M311" i="17" a="1"/>
  <c r="M311" i="17" s="1"/>
  <c r="M312" i="17" a="1"/>
  <c r="M312" i="17" s="1"/>
  <c r="M313" i="17" a="1"/>
  <c r="M313" i="17" s="1"/>
  <c r="M314" i="17" a="1"/>
  <c r="M314" i="17" s="1"/>
  <c r="M315" i="17" a="1"/>
  <c r="M315" i="17" s="1"/>
  <c r="M360" i="17" a="1"/>
  <c r="M360" i="17" s="1"/>
  <c r="M400" i="17" a="1"/>
  <c r="M400" i="17" s="1"/>
  <c r="M41" i="17" a="1"/>
  <c r="M41" i="17" s="1"/>
  <c r="M81" i="17" a="1"/>
  <c r="M81" i="17" s="1"/>
  <c r="M316" i="17" a="1"/>
  <c r="M316" i="17" s="1"/>
  <c r="M317" i="17" a="1"/>
  <c r="M317" i="17" s="1"/>
  <c r="M318" i="17" a="1"/>
  <c r="M318" i="17" s="1"/>
  <c r="M319" i="17" a="1"/>
  <c r="M319" i="17" s="1"/>
  <c r="M320" i="17" a="1"/>
  <c r="M320" i="17" s="1"/>
  <c r="M321" i="17" a="1"/>
  <c r="M321" i="17" s="1"/>
  <c r="M361" i="17" a="1"/>
  <c r="M361" i="17" s="1"/>
  <c r="M401" i="17" a="1"/>
  <c r="M401" i="17" s="1"/>
  <c r="N99" i="17" a="1"/>
  <c r="N99" i="17" s="1"/>
  <c r="N107" i="17" a="1"/>
  <c r="N107" i="17" s="1"/>
  <c r="N131" i="17" a="1"/>
  <c r="N131" i="17" s="1"/>
  <c r="N51" i="17" a="1"/>
  <c r="N51" i="17" s="1"/>
  <c r="N151" i="17" a="1"/>
  <c r="N151" i="17" s="1"/>
  <c r="N155" i="17" a="1"/>
  <c r="N155" i="17" s="1"/>
  <c r="N171" i="17" a="1"/>
  <c r="N171" i="17" s="1"/>
  <c r="N173" i="17" a="1"/>
  <c r="N173" i="17" s="1"/>
  <c r="N180" i="17" a="1"/>
  <c r="N180" i="17" s="1"/>
  <c r="N338" i="17" a="1"/>
  <c r="N338" i="17" s="1"/>
  <c r="N189" i="17" a="1"/>
  <c r="N189" i="17" s="1"/>
  <c r="N379" i="17" a="1"/>
  <c r="N379" i="17" s="1"/>
  <c r="N195" i="17" a="1"/>
  <c r="N195" i="17" s="1"/>
  <c r="N21" i="17" a="1"/>
  <c r="N21" i="17" s="1"/>
  <c r="N341" i="17" a="1"/>
  <c r="N341" i="17" s="1"/>
  <c r="N62" i="17" a="1"/>
  <c r="N62" i="17" s="1"/>
  <c r="N382" i="17" a="1"/>
  <c r="N382" i="17" s="1"/>
  <c r="N63" i="17" a="1"/>
  <c r="N63" i="17" s="1"/>
  <c r="N383" i="17" a="1"/>
  <c r="N383" i="17" s="1"/>
  <c r="N214" i="17" a="1"/>
  <c r="N214" i="17" s="1"/>
  <c r="N25" i="17" a="1"/>
  <c r="N25" i="17" s="1"/>
  <c r="N221" i="17" a="1"/>
  <c r="N221" i="17" s="1"/>
  <c r="N66" i="17" a="1"/>
  <c r="N66" i="17" s="1"/>
  <c r="N227" i="17" a="1"/>
  <c r="N227" i="17" s="1"/>
  <c r="N67" i="17" a="1"/>
  <c r="N67" i="17" s="1"/>
  <c r="N234" i="17" a="1"/>
  <c r="N234" i="17" s="1"/>
  <c r="N238" i="17" a="1"/>
  <c r="N238" i="17" s="1"/>
  <c r="N241" i="17" a="1"/>
  <c r="N241" i="17" s="1"/>
  <c r="N245" i="17" a="1"/>
  <c r="N245" i="17" s="1"/>
  <c r="N247" i="17" a="1"/>
  <c r="N247" i="17" s="1"/>
  <c r="N251" i="17" a="1"/>
  <c r="N251" i="17" s="1"/>
  <c r="N254" i="17" a="1"/>
  <c r="N254" i="17" s="1"/>
  <c r="N258" i="17" a="1"/>
  <c r="N258" i="17" s="1"/>
  <c r="N261" i="17" a="1"/>
  <c r="N261" i="17" s="1"/>
  <c r="N265" i="17" a="1"/>
  <c r="N265" i="17" s="1"/>
  <c r="N267" i="17" a="1"/>
  <c r="N267" i="17" s="1"/>
  <c r="N271" i="17" a="1"/>
  <c r="N271" i="17" s="1"/>
  <c r="N353" i="17" a="1"/>
  <c r="N353" i="17" s="1"/>
  <c r="N278" i="17" a="1"/>
  <c r="N278" i="17" s="1"/>
  <c r="N394" i="17" a="1"/>
  <c r="N394" i="17" s="1"/>
  <c r="N285" i="17" a="1"/>
  <c r="N285" i="17" s="1"/>
  <c r="N395" i="17" a="1"/>
  <c r="N395" i="17" s="1"/>
  <c r="N291" i="17" a="1"/>
  <c r="N291" i="17" s="1"/>
  <c r="N37" i="17" a="1"/>
  <c r="N37" i="17" s="1"/>
  <c r="N357" i="17" a="1"/>
  <c r="N357" i="17" s="1"/>
  <c r="N78" i="17" a="1"/>
  <c r="N78" i="17" s="1"/>
  <c r="N398" i="17" a="1"/>
  <c r="N398" i="17" s="1"/>
  <c r="N79" i="17" a="1"/>
  <c r="N79" i="17" s="1"/>
  <c r="N399" i="17" a="1"/>
  <c r="N399" i="17" s="1"/>
  <c r="N310" i="17" a="1"/>
  <c r="N310" i="17" s="1"/>
  <c r="N41" i="17" a="1"/>
  <c r="N41" i="17" s="1"/>
  <c r="N317" i="17" a="1"/>
  <c r="N317" i="17" s="1"/>
  <c r="O42" i="17" a="1"/>
  <c r="O42" i="17" s="1"/>
  <c r="O83" i="17" a="1"/>
  <c r="O83" i="17" s="1"/>
  <c r="O43" i="17" a="1"/>
  <c r="O43" i="17" s="1"/>
  <c r="O90" i="17" a="1"/>
  <c r="O90" i="17" s="1"/>
  <c r="O94" i="17" a="1"/>
  <c r="O94" i="17" s="1"/>
  <c r="O97" i="17" a="1"/>
  <c r="O97" i="17" s="1"/>
  <c r="O101" i="17" a="1"/>
  <c r="O101" i="17" s="1"/>
  <c r="O103" i="17" a="1"/>
  <c r="O103" i="17" s="1"/>
  <c r="O107" i="17" a="1"/>
  <c r="O107" i="17" s="1"/>
  <c r="O110" i="17" a="1"/>
  <c r="O110" i="17" s="1"/>
  <c r="O114" i="17" a="1"/>
  <c r="O114" i="17" s="1"/>
  <c r="O117" i="17" a="1"/>
  <c r="O117" i="17" s="1"/>
  <c r="O121" i="17" a="1"/>
  <c r="O121" i="17" s="1"/>
  <c r="O123" i="17" a="1"/>
  <c r="O123" i="17" s="1"/>
  <c r="O127" i="17" a="1"/>
  <c r="O127" i="17" s="1"/>
  <c r="O329" i="17" a="1"/>
  <c r="O329" i="17" s="1"/>
  <c r="O134" i="17" a="1"/>
  <c r="O134" i="17" s="1"/>
  <c r="O370" i="17" a="1"/>
  <c r="O370" i="17" s="1"/>
  <c r="O141" i="17" a="1"/>
  <c r="O141" i="17" s="1"/>
  <c r="O371" i="17" a="1"/>
  <c r="O371" i="17" s="1"/>
  <c r="O147" i="17" a="1"/>
  <c r="O147" i="17" s="1"/>
  <c r="O13" i="17" a="1"/>
  <c r="O13" i="17" s="1"/>
  <c r="O333" i="17" a="1"/>
  <c r="O333" i="17" s="1"/>
  <c r="O54" i="17" a="1"/>
  <c r="O54" i="17" s="1"/>
  <c r="O374" i="17" a="1"/>
  <c r="O374" i="17" s="1"/>
  <c r="O55" i="17" a="1"/>
  <c r="O55" i="17" s="1"/>
  <c r="O375" i="17" a="1"/>
  <c r="O375" i="17" s="1"/>
  <c r="O166" i="17" a="1"/>
  <c r="O166" i="17" s="1"/>
  <c r="O17" i="17" a="1"/>
  <c r="O17" i="17" s="1"/>
  <c r="O173" i="17" a="1"/>
  <c r="O173" i="17" s="1"/>
  <c r="O18" i="17" a="1"/>
  <c r="O18" i="17" s="1"/>
  <c r="O178" i="17" a="1"/>
  <c r="O178" i="17" s="1"/>
  <c r="O378" i="17" a="1"/>
  <c r="O378" i="17" s="1"/>
  <c r="O59" i="17" a="1"/>
  <c r="O59" i="17" s="1"/>
  <c r="O189" i="17" a="1"/>
  <c r="O189" i="17" s="1"/>
  <c r="O339" i="17" a="1"/>
  <c r="O339" i="17" s="1"/>
  <c r="O20" i="17" a="1"/>
  <c r="O20" i="17" s="1"/>
  <c r="O60" i="17" a="1"/>
  <c r="O60" i="17" s="1"/>
  <c r="O194" i="17" a="1"/>
  <c r="O194" i="17" s="1"/>
  <c r="O195" i="17" a="1"/>
  <c r="O195" i="17" s="1"/>
  <c r="O380" i="17" a="1"/>
  <c r="O380" i="17" s="1"/>
  <c r="O21" i="17" a="1"/>
  <c r="O21" i="17" s="1"/>
  <c r="O199" i="17" a="1"/>
  <c r="O199" i="17" s="1"/>
  <c r="O200" i="17" a="1"/>
  <c r="O200" i="17" s="1"/>
  <c r="O341" i="17" a="1"/>
  <c r="O341" i="17" s="1"/>
  <c r="O22" i="17" a="1"/>
  <c r="O22" i="17" s="1"/>
  <c r="O204" i="17" a="1"/>
  <c r="O204" i="17"/>
  <c r="O207" i="17" a="1"/>
  <c r="O207" i="17" s="1"/>
  <c r="O342" i="17" a="1"/>
  <c r="O342" i="17" s="1"/>
  <c r="O23" i="17" a="1"/>
  <c r="O23" i="17" s="1"/>
  <c r="O63" i="17" a="1"/>
  <c r="O63" i="17" s="1"/>
  <c r="O208" i="17" a="1"/>
  <c r="O208" i="17"/>
  <c r="O211" i="17" a="1"/>
  <c r="O211" i="17" s="1"/>
  <c r="O212" i="17" a="1"/>
  <c r="O212" i="17" s="1"/>
  <c r="O213" i="17" a="1"/>
  <c r="O213" i="17" s="1"/>
  <c r="O343" i="17" a="1"/>
  <c r="O343" i="17" s="1"/>
  <c r="O383" i="17" a="1"/>
  <c r="O383" i="17" s="1"/>
  <c r="O24" i="17" a="1"/>
  <c r="O24" i="17" s="1"/>
  <c r="O214" i="17" a="1"/>
  <c r="O214" i="17" s="1"/>
  <c r="O216" i="17" a="1"/>
  <c r="O216" i="17" s="1"/>
  <c r="O217" i="17" a="1"/>
  <c r="O217" i="17" s="1"/>
  <c r="O218" i="17" a="1"/>
  <c r="O218" i="17" s="1"/>
  <c r="O219" i="17" a="1"/>
  <c r="O219" i="17" s="1"/>
  <c r="O344" i="17" a="1"/>
  <c r="O344" i="17" s="1"/>
  <c r="O25" i="17" a="1"/>
  <c r="O25" i="17" s="1"/>
  <c r="O65" i="17" a="1"/>
  <c r="O65" i="17" s="1"/>
  <c r="O220" i="17" a="1"/>
  <c r="O220" i="17" s="1"/>
  <c r="O221" i="17" a="1"/>
  <c r="O221" i="17" s="1"/>
  <c r="O222" i="17" a="1"/>
  <c r="O222" i="17" s="1"/>
  <c r="O223" i="17" a="1"/>
  <c r="O223" i="17" s="1"/>
  <c r="O224" i="17" a="1"/>
  <c r="O224" i="17" s="1"/>
  <c r="O345" i="17" a="1"/>
  <c r="O345" i="17" s="1"/>
  <c r="O385" i="17" a="1"/>
  <c r="O385" i="17" s="1"/>
  <c r="O26" i="17" a="1"/>
  <c r="O26" i="17" s="1"/>
  <c r="O66" i="17" a="1"/>
  <c r="O66" i="17" s="1"/>
  <c r="O226" i="17" a="1"/>
  <c r="O226" i="17" s="1"/>
  <c r="O227" i="17" a="1"/>
  <c r="O227" i="17" s="1"/>
  <c r="O228" i="17" a="1"/>
  <c r="O228" i="17" s="1"/>
  <c r="O230" i="17" a="1"/>
  <c r="O230" i="17" s="1"/>
  <c r="O231" i="17" a="1"/>
  <c r="O231" i="17" s="1"/>
  <c r="O346" i="17" a="1"/>
  <c r="O346" i="17" s="1"/>
  <c r="O386" i="17" a="1"/>
  <c r="O386" i="17" s="1"/>
  <c r="O27" i="17" a="1"/>
  <c r="O27" i="17" s="1"/>
  <c r="O67" i="17" a="1"/>
  <c r="O67" i="17" s="1"/>
  <c r="O232" i="17" a="1"/>
  <c r="O232" i="17" s="1"/>
  <c r="O234" i="17" a="1"/>
  <c r="O234" i="17" s="1"/>
  <c r="O235" i="17" a="1"/>
  <c r="O235" i="17" s="1"/>
  <c r="O236" i="17" a="1"/>
  <c r="O236" i="17" s="1"/>
  <c r="O237" i="17" a="1"/>
  <c r="O237" i="17" s="1"/>
  <c r="O347" i="17" a="1"/>
  <c r="O347" i="17" s="1"/>
  <c r="O387" i="17" a="1"/>
  <c r="O387" i="17" s="1"/>
  <c r="O28" i="17" a="1"/>
  <c r="O28" i="17" s="1"/>
  <c r="O238" i="17" a="1"/>
  <c r="O238" i="17" s="1"/>
  <c r="O239" i="17" a="1"/>
  <c r="O239" i="17" s="1"/>
  <c r="O240" i="17" a="1"/>
  <c r="O240" i="17" s="1"/>
  <c r="O241" i="17" a="1"/>
  <c r="O241" i="17" s="1"/>
  <c r="O242" i="17" a="1"/>
  <c r="O242" i="17" s="1"/>
  <c r="O243" i="17" a="1"/>
  <c r="O243" i="17" s="1"/>
  <c r="O348" i="17" a="1"/>
  <c r="O348" i="17" s="1"/>
  <c r="O29" i="17" a="1"/>
  <c r="O29" i="17" s="1"/>
  <c r="O69" i="17" a="1"/>
  <c r="O69" i="17" s="1"/>
  <c r="O244" i="17" a="1"/>
  <c r="O244" i="17" s="1"/>
  <c r="O245" i="17" a="1"/>
  <c r="O245" i="17" s="1"/>
  <c r="O246" i="17" a="1"/>
  <c r="O246" i="17" s="1"/>
  <c r="O247" i="17" a="1"/>
  <c r="O247" i="17" s="1"/>
  <c r="O248" i="17" a="1"/>
  <c r="O248" i="17" s="1"/>
  <c r="O349" i="17" a="1"/>
  <c r="O349" i="17" s="1"/>
  <c r="O389" i="17" a="1"/>
  <c r="O389" i="17" s="1"/>
  <c r="O30" i="17" a="1"/>
  <c r="O30" i="17" s="1"/>
  <c r="O70" i="17" a="1"/>
  <c r="O70" i="17" s="1"/>
  <c r="O250" i="17" a="1"/>
  <c r="O250" i="17" s="1"/>
  <c r="O251" i="17" a="1"/>
  <c r="O251" i="17" s="1"/>
  <c r="O252" i="17" a="1"/>
  <c r="O252" i="17" s="1"/>
  <c r="O253" i="17" a="1"/>
  <c r="O253" i="17" s="1"/>
  <c r="O254" i="17" a="1"/>
  <c r="O254" i="17" s="1"/>
  <c r="O255" i="17" a="1"/>
  <c r="O255" i="17" s="1"/>
  <c r="O350" i="17" a="1"/>
  <c r="O350" i="17" s="1"/>
  <c r="O390" i="17" a="1"/>
  <c r="O390" i="17" s="1"/>
  <c r="O31" i="17" a="1"/>
  <c r="O31" i="17" s="1"/>
  <c r="O71" i="17" a="1"/>
  <c r="O71" i="17" s="1"/>
  <c r="O256" i="17" a="1"/>
  <c r="O256" i="17" s="1"/>
  <c r="O257" i="17" a="1"/>
  <c r="O257" i="17" s="1"/>
  <c r="O258" i="17" a="1"/>
  <c r="O258" i="17" s="1"/>
  <c r="O259" i="17" a="1"/>
  <c r="O259" i="17" s="1"/>
  <c r="O260" i="17" a="1"/>
  <c r="O260" i="17" s="1"/>
  <c r="O261" i="17" a="1"/>
  <c r="O261" i="17" s="1"/>
  <c r="O351" i="17" a="1"/>
  <c r="O351" i="17" s="1"/>
  <c r="O391" i="17" a="1"/>
  <c r="O391" i="17" s="1"/>
  <c r="O32" i="17" a="1"/>
  <c r="O32" i="17" s="1"/>
  <c r="O72" i="17" a="1"/>
  <c r="O72" i="17" s="1"/>
  <c r="O262" i="17" a="1"/>
  <c r="O262" i="17" s="1"/>
  <c r="O263" i="17" a="1"/>
  <c r="O263" i="17" s="1"/>
  <c r="O264" i="17" a="1"/>
  <c r="O264" i="17" s="1"/>
  <c r="O265" i="17" a="1"/>
  <c r="O265" i="17" s="1"/>
  <c r="O266" i="17" a="1"/>
  <c r="O266" i="17" s="1"/>
  <c r="O267" i="17" a="1"/>
  <c r="O267" i="17" s="1"/>
  <c r="O352" i="17" a="1"/>
  <c r="O352" i="17" s="1"/>
  <c r="O392" i="17" a="1"/>
  <c r="O392" i="17" s="1"/>
  <c r="O33" i="17" a="1"/>
  <c r="O33" i="17" s="1"/>
  <c r="O73" i="17" a="1"/>
  <c r="O73" i="17" s="1"/>
  <c r="O268" i="17" a="1"/>
  <c r="O268" i="17" s="1"/>
  <c r="O269" i="17" a="1"/>
  <c r="O269" i="17" s="1"/>
  <c r="O270" i="17" a="1"/>
  <c r="O270" i="17" s="1"/>
  <c r="O271" i="17" a="1"/>
  <c r="O271" i="17" s="1"/>
  <c r="O272" i="17" a="1"/>
  <c r="O272" i="17" s="1"/>
  <c r="O273" i="17" a="1"/>
  <c r="O273" i="17" s="1"/>
  <c r="O353" i="17" a="1"/>
  <c r="O353" i="17" s="1"/>
  <c r="O393" i="17" a="1"/>
  <c r="O393" i="17" s="1"/>
  <c r="O34" i="17" a="1"/>
  <c r="O34" i="17" s="1"/>
  <c r="O74" i="17" a="1"/>
  <c r="O74" i="17" s="1"/>
  <c r="O274" i="17" a="1"/>
  <c r="O274" i="17" s="1"/>
  <c r="O275" i="17" a="1"/>
  <c r="O275" i="17" s="1"/>
  <c r="O276" i="17" a="1"/>
  <c r="O276" i="17" s="1"/>
  <c r="O277" i="17" a="1"/>
  <c r="O277" i="17" s="1"/>
  <c r="O278" i="17" a="1"/>
  <c r="O278" i="17" s="1"/>
  <c r="O279" i="17" a="1"/>
  <c r="O279" i="17" s="1"/>
  <c r="O354" i="17" a="1"/>
  <c r="O354" i="17" s="1"/>
  <c r="O394" i="17" a="1"/>
  <c r="O394" i="17" s="1"/>
  <c r="O35" i="17" a="1"/>
  <c r="O35" i="17" s="1"/>
  <c r="O75" i="17" a="1"/>
  <c r="O75" i="17" s="1"/>
  <c r="O280" i="17" a="1"/>
  <c r="O280" i="17" s="1"/>
  <c r="O281" i="17" a="1"/>
  <c r="O281" i="17" s="1"/>
  <c r="O282" i="17" a="1"/>
  <c r="O282" i="17" s="1"/>
  <c r="O283" i="17" a="1"/>
  <c r="O283" i="17" s="1"/>
  <c r="O284" i="17" a="1"/>
  <c r="O284" i="17" s="1"/>
  <c r="O285" i="17" a="1"/>
  <c r="O285" i="17" s="1"/>
  <c r="O355" i="17" a="1"/>
  <c r="O355" i="17" s="1"/>
  <c r="O395" i="17" a="1"/>
  <c r="O395" i="17" s="1"/>
  <c r="O36" i="17" a="1"/>
  <c r="O36" i="17" s="1"/>
  <c r="O76" i="17" a="1"/>
  <c r="O76" i="17" s="1"/>
  <c r="O286" i="17" a="1"/>
  <c r="O286" i="17" s="1"/>
  <c r="O287" i="17" a="1"/>
  <c r="O287" i="17" s="1"/>
  <c r="O288" i="17" a="1"/>
  <c r="O288" i="17" s="1"/>
  <c r="O289" i="17" a="1"/>
  <c r="O289" i="17" s="1"/>
  <c r="O290" i="17" a="1"/>
  <c r="O290" i="17" s="1"/>
  <c r="O291" i="17" a="1"/>
  <c r="O291" i="17" s="1"/>
  <c r="O356" i="17" a="1"/>
  <c r="O356" i="17" s="1"/>
  <c r="O396" i="17" a="1"/>
  <c r="O396" i="17" s="1"/>
  <c r="O37" i="17" a="1"/>
  <c r="O37" i="17" s="1"/>
  <c r="O77" i="17" a="1"/>
  <c r="O77" i="17" s="1"/>
  <c r="O292" i="17" a="1"/>
  <c r="O292" i="17" s="1"/>
  <c r="O293" i="17" a="1"/>
  <c r="O293" i="17" s="1"/>
  <c r="O294" i="17" a="1"/>
  <c r="O294" i="17" s="1"/>
  <c r="O295" i="17" a="1"/>
  <c r="O295" i="17" s="1"/>
  <c r="O296" i="17" a="1"/>
  <c r="O296" i="17" s="1"/>
  <c r="O297" i="17" a="1"/>
  <c r="O297" i="17" s="1"/>
  <c r="O357" i="17" a="1"/>
  <c r="O357" i="17" s="1"/>
  <c r="O397" i="17" a="1"/>
  <c r="O397" i="17" s="1"/>
  <c r="O38" i="17" a="1"/>
  <c r="O38" i="17" s="1"/>
  <c r="O78" i="17" a="1"/>
  <c r="O78" i="17" s="1"/>
  <c r="O298" i="17" a="1"/>
  <c r="O298" i="17" s="1"/>
  <c r="O299" i="17" a="1"/>
  <c r="O299" i="17" s="1"/>
  <c r="O300" i="17" a="1"/>
  <c r="O300" i="17" s="1"/>
  <c r="O301" i="17" a="1"/>
  <c r="O301" i="17" s="1"/>
  <c r="O302" i="17" a="1"/>
  <c r="O302" i="17" s="1"/>
  <c r="O303" i="17" a="1"/>
  <c r="O303" i="17" s="1"/>
  <c r="O358" i="17" a="1"/>
  <c r="O358" i="17" s="1"/>
  <c r="O398" i="17" a="1"/>
  <c r="O398" i="17" s="1"/>
  <c r="O39" i="17" a="1"/>
  <c r="O39" i="17" s="1"/>
  <c r="O79" i="17" a="1"/>
  <c r="O79" i="17" s="1"/>
  <c r="O304" i="17" a="1"/>
  <c r="O304" i="17" s="1"/>
  <c r="O305" i="17" a="1"/>
  <c r="O305" i="17" s="1"/>
  <c r="O306" i="17" a="1"/>
  <c r="O306" i="17" s="1"/>
  <c r="O307" i="17" a="1"/>
  <c r="O307" i="17" s="1"/>
  <c r="O308" i="17" a="1"/>
  <c r="O308" i="17" s="1"/>
  <c r="O309" i="17" a="1"/>
  <c r="O309" i="17" s="1"/>
  <c r="O359" i="17" a="1"/>
  <c r="O359" i="17" s="1"/>
  <c r="O399" i="17" a="1"/>
  <c r="O399" i="17" s="1"/>
  <c r="O40" i="17" a="1"/>
  <c r="O40" i="17" s="1"/>
  <c r="O80" i="17" a="1"/>
  <c r="O80" i="17" s="1"/>
  <c r="O310" i="17" a="1"/>
  <c r="O310" i="17" s="1"/>
  <c r="O311" i="17" a="1"/>
  <c r="O311" i="17" s="1"/>
  <c r="O312" i="17" a="1"/>
  <c r="O312" i="17" s="1"/>
  <c r="O313" i="17" a="1"/>
  <c r="O313" i="17" s="1"/>
  <c r="O314" i="17" a="1"/>
  <c r="O314" i="17" s="1"/>
  <c r="O315" i="17" a="1"/>
  <c r="O315" i="17" s="1"/>
  <c r="O360" i="17" a="1"/>
  <c r="O360" i="17"/>
  <c r="O400" i="17" a="1"/>
  <c r="O400" i="17"/>
  <c r="O41" i="17" a="1"/>
  <c r="O41" i="17" s="1"/>
  <c r="O81" i="17" a="1"/>
  <c r="O81" i="17" s="1"/>
  <c r="O316" i="17" a="1"/>
  <c r="O316" i="17" s="1"/>
  <c r="O317" i="17" a="1"/>
  <c r="O317" i="17" s="1"/>
  <c r="O318" i="17" a="1"/>
  <c r="O318" i="17" s="1"/>
  <c r="O319" i="17" a="1"/>
  <c r="O319" i="17" s="1"/>
  <c r="O320" i="17" a="1"/>
  <c r="O320" i="17" s="1"/>
  <c r="O321" i="17" a="1"/>
  <c r="O321" i="17" s="1"/>
  <c r="O361" i="17" a="1"/>
  <c r="O361" i="17" s="1"/>
  <c r="O401" i="17" a="1"/>
  <c r="O401" i="17" s="1"/>
  <c r="P2" i="17" a="1"/>
  <c r="P2" i="17" s="1"/>
  <c r="P42" i="17" a="1"/>
  <c r="P42" i="17" s="1"/>
  <c r="P82" i="17" a="1"/>
  <c r="P82" i="17" s="1"/>
  <c r="P83" i="17" a="1"/>
  <c r="P83" i="17" s="1"/>
  <c r="P84" i="17" a="1"/>
  <c r="P84" i="17" s="1"/>
  <c r="P85" i="17" a="1"/>
  <c r="P85" i="17" s="1"/>
  <c r="P86" i="17" a="1"/>
  <c r="P86" i="17" s="1"/>
  <c r="P87" i="17" a="1"/>
  <c r="P87" i="17" s="1"/>
  <c r="P322" i="17" a="1"/>
  <c r="P322" i="17" s="1"/>
  <c r="P362" i="17" a="1"/>
  <c r="P362" i="17" s="1"/>
  <c r="P3" i="17" a="1"/>
  <c r="P3" i="17" s="1"/>
  <c r="P43" i="17" a="1"/>
  <c r="P43" i="17" s="1"/>
  <c r="P88" i="17" a="1"/>
  <c r="P88" i="17" s="1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323" i="17" a="1"/>
  <c r="P323" i="17" s="1"/>
  <c r="P363" i="17" a="1"/>
  <c r="P363" i="17" s="1"/>
  <c r="P4" i="17" a="1"/>
  <c r="P4" i="17" s="1"/>
  <c r="P44" i="17" a="1"/>
  <c r="P44" i="17" s="1"/>
  <c r="P94" i="17" a="1"/>
  <c r="P94" i="17" s="1"/>
  <c r="P95" i="17" a="1"/>
  <c r="P95" i="17" s="1"/>
  <c r="P96" i="17" a="1"/>
  <c r="P96" i="17" s="1"/>
  <c r="P97" i="17" a="1"/>
  <c r="P97" i="17" s="1"/>
  <c r="P98" i="17" a="1"/>
  <c r="P98" i="17" s="1"/>
  <c r="P99" i="17" a="1"/>
  <c r="P99" i="17" s="1"/>
  <c r="P324" i="17" a="1"/>
  <c r="P324" i="17"/>
  <c r="P364" i="17" a="1"/>
  <c r="P364" i="17" s="1"/>
  <c r="P5" i="17" a="1"/>
  <c r="P5" i="17" s="1"/>
  <c r="P45" i="17" a="1"/>
  <c r="P45" i="17" s="1"/>
  <c r="P100" i="17" a="1"/>
  <c r="P100" i="17" s="1"/>
  <c r="P101" i="17" a="1"/>
  <c r="P101" i="17" s="1"/>
  <c r="P102" i="17" a="1"/>
  <c r="P102" i="17" s="1"/>
  <c r="P103" i="17" a="1"/>
  <c r="P103" i="17"/>
  <c r="P104" i="17" a="1"/>
  <c r="P104" i="17" s="1"/>
  <c r="P105" i="17" a="1"/>
  <c r="P105" i="17" s="1"/>
  <c r="P325" i="17" a="1"/>
  <c r="P325" i="17" s="1"/>
  <c r="P365" i="17" a="1"/>
  <c r="P365" i="17" s="1"/>
  <c r="P6" i="17" a="1"/>
  <c r="P6" i="17" s="1"/>
  <c r="P46" i="17" a="1"/>
  <c r="P46" i="17" s="1"/>
  <c r="P106" i="17" a="1"/>
  <c r="P106" i="17" s="1"/>
  <c r="P107" i="17" a="1"/>
  <c r="P107" i="17" s="1"/>
  <c r="P108" i="17" a="1"/>
  <c r="P108" i="17" s="1"/>
  <c r="P109" i="17" a="1"/>
  <c r="P109" i="17" s="1"/>
  <c r="P110" i="17" a="1"/>
  <c r="P110" i="17" s="1"/>
  <c r="P111" i="17" a="1"/>
  <c r="P111" i="17" s="1"/>
  <c r="P326" i="17" a="1"/>
  <c r="P326" i="17" s="1"/>
  <c r="P366" i="17" a="1"/>
  <c r="P366" i="17" s="1"/>
  <c r="P7" i="17" a="1"/>
  <c r="P7" i="17" s="1"/>
  <c r="P47" i="17" a="1"/>
  <c r="P47" i="17" s="1"/>
  <c r="P112" i="17" a="1"/>
  <c r="P112" i="17" s="1"/>
  <c r="P113" i="17" a="1"/>
  <c r="P113" i="17" s="1"/>
  <c r="P114" i="17" a="1"/>
  <c r="P114" i="17" s="1"/>
  <c r="P115" i="17" a="1"/>
  <c r="P115" i="17" s="1"/>
  <c r="P116" i="17" a="1"/>
  <c r="P116" i="17" s="1"/>
  <c r="P117" i="17" a="1"/>
  <c r="P117" i="17" s="1"/>
  <c r="P327" i="17" a="1"/>
  <c r="P327" i="17" s="1"/>
  <c r="P367" i="17" a="1"/>
  <c r="P367" i="17" s="1"/>
  <c r="P8" i="17" a="1"/>
  <c r="P8" i="17" s="1"/>
  <c r="P48" i="17" a="1"/>
  <c r="P48" i="17" s="1"/>
  <c r="P118" i="17" a="1"/>
  <c r="P118" i="17" s="1"/>
  <c r="P119" i="17" a="1"/>
  <c r="P119" i="17" s="1"/>
  <c r="P120" i="17" a="1"/>
  <c r="P120" i="17" s="1"/>
  <c r="P121" i="17" a="1"/>
  <c r="P121" i="17" s="1"/>
  <c r="P122" i="17" a="1"/>
  <c r="P122" i="17" s="1"/>
  <c r="P123" i="17" a="1"/>
  <c r="P123" i="17" s="1"/>
  <c r="P328" i="17" a="1"/>
  <c r="P328" i="17" s="1"/>
  <c r="P368" i="17" a="1"/>
  <c r="P368" i="17"/>
  <c r="P9" i="17" a="1"/>
  <c r="P9" i="17" s="1"/>
  <c r="P49" i="17" a="1"/>
  <c r="P49" i="17" s="1"/>
  <c r="P124" i="17" a="1"/>
  <c r="P124" i="17" s="1"/>
  <c r="P125" i="17" a="1"/>
  <c r="P125" i="17" s="1"/>
  <c r="P126" i="17" a="1"/>
  <c r="P126" i="17" s="1"/>
  <c r="P127" i="17" a="1"/>
  <c r="P127" i="17"/>
  <c r="P128" i="17" a="1"/>
  <c r="P128" i="17" s="1"/>
  <c r="P129" i="17" a="1"/>
  <c r="P129" i="17" s="1"/>
  <c r="P329" i="17" a="1"/>
  <c r="P329" i="17" s="1"/>
  <c r="P369" i="17" a="1"/>
  <c r="P369" i="17" s="1"/>
  <c r="P10" i="17" a="1"/>
  <c r="P10" i="17" s="1"/>
  <c r="P50" i="17" a="1"/>
  <c r="P50" i="17" s="1"/>
  <c r="P130" i="17" a="1"/>
  <c r="P130" i="17" s="1"/>
  <c r="P131" i="17" a="1"/>
  <c r="P131" i="17"/>
  <c r="P132" i="17" a="1"/>
  <c r="P132" i="17"/>
  <c r="P133" i="17" a="1"/>
  <c r="P133" i="17" s="1"/>
  <c r="P134" i="17" a="1"/>
  <c r="P134" i="17" s="1"/>
  <c r="P135" i="17" a="1"/>
  <c r="P135" i="17" s="1"/>
  <c r="P330" i="17" a="1"/>
  <c r="P330" i="17" s="1"/>
  <c r="P370" i="17" a="1"/>
  <c r="P370" i="17" s="1"/>
  <c r="P11" i="17" a="1"/>
  <c r="P11" i="17" s="1"/>
  <c r="P51" i="17" a="1"/>
  <c r="P51" i="17" s="1"/>
  <c r="P136" i="17" a="1"/>
  <c r="P136" i="17" s="1"/>
  <c r="P137" i="17" a="1"/>
  <c r="P137" i="17" s="1"/>
  <c r="P138" i="17" a="1"/>
  <c r="P138" i="17" s="1"/>
  <c r="P139" i="17" a="1"/>
  <c r="P139" i="17" s="1"/>
  <c r="P140" i="17" a="1"/>
  <c r="P140" i="17" s="1"/>
  <c r="P141" i="17" a="1"/>
  <c r="P141" i="17" s="1"/>
  <c r="P331" i="17" a="1"/>
  <c r="P331" i="17" s="1"/>
  <c r="P371" i="17" a="1"/>
  <c r="P371" i="17" s="1"/>
  <c r="P12" i="17" a="1"/>
  <c r="P12" i="17" s="1"/>
  <c r="P52" i="17" a="1"/>
  <c r="P52" i="17"/>
  <c r="P142" i="17" a="1"/>
  <c r="P142" i="17" s="1"/>
  <c r="P143" i="17" a="1"/>
  <c r="P143" i="17" s="1"/>
  <c r="P144" i="17" a="1"/>
  <c r="P144" i="17" s="1"/>
  <c r="P145" i="17" a="1"/>
  <c r="P145" i="17" s="1"/>
  <c r="P146" i="17" a="1"/>
  <c r="P146" i="17" s="1"/>
  <c r="P147" i="17" a="1"/>
  <c r="P147" i="17" s="1"/>
  <c r="P332" i="17" a="1"/>
  <c r="P332" i="17" s="1"/>
  <c r="P372" i="17" a="1"/>
  <c r="P372" i="17"/>
  <c r="P13" i="17" a="1"/>
  <c r="P13" i="17" s="1"/>
  <c r="P53" i="17" a="1"/>
  <c r="P53" i="17" s="1"/>
  <c r="P148" i="17" a="1"/>
  <c r="P148" i="17" s="1"/>
  <c r="P149" i="17" a="1"/>
  <c r="P149" i="17" s="1"/>
  <c r="P150" i="17" a="1"/>
  <c r="P150" i="17" s="1"/>
  <c r="P151" i="17" a="1"/>
  <c r="P151" i="17" s="1"/>
  <c r="P152" i="17" a="1"/>
  <c r="P152" i="17"/>
  <c r="P153" i="17" a="1"/>
  <c r="P153" i="17"/>
  <c r="P333" i="17" a="1"/>
  <c r="P333" i="17" s="1"/>
  <c r="P373" i="17" a="1"/>
  <c r="P373" i="17" s="1"/>
  <c r="P14" i="17" a="1"/>
  <c r="P14" i="17" s="1"/>
  <c r="P54" i="17" a="1"/>
  <c r="P54" i="17" s="1"/>
  <c r="P154" i="17" a="1"/>
  <c r="P154" i="17" s="1"/>
  <c r="P155" i="17" a="1"/>
  <c r="P155" i="17" s="1"/>
  <c r="P156" i="17" a="1"/>
  <c r="P156" i="17" s="1"/>
  <c r="P157" i="17" a="1"/>
  <c r="P157" i="17" s="1"/>
  <c r="P158" i="17" a="1"/>
  <c r="P158" i="17" s="1"/>
  <c r="P159" i="17" a="1"/>
  <c r="P159" i="17" s="1"/>
  <c r="P334" i="17" a="1"/>
  <c r="P334" i="17" s="1"/>
  <c r="P374" i="17" a="1"/>
  <c r="P374" i="17" s="1"/>
  <c r="P15" i="17" a="1"/>
  <c r="P15" i="17" s="1"/>
  <c r="P55" i="17" a="1"/>
  <c r="P55" i="17" s="1"/>
  <c r="P160" i="17" a="1"/>
  <c r="P160" i="17" s="1"/>
  <c r="P161" i="17" a="1"/>
  <c r="P161" i="17" s="1"/>
  <c r="P162" i="17" a="1"/>
  <c r="P162" i="17" s="1"/>
  <c r="P163" i="17" a="1"/>
  <c r="P163" i="17" s="1"/>
  <c r="P164" i="17" a="1"/>
  <c r="P164" i="17" s="1"/>
  <c r="P165" i="17" a="1"/>
  <c r="P165" i="17" s="1"/>
  <c r="P335" i="17" a="1"/>
  <c r="P335" i="17" s="1"/>
  <c r="P375" i="17" a="1"/>
  <c r="P375" i="17" s="1"/>
  <c r="P16" i="17" a="1"/>
  <c r="P16" i="17" s="1"/>
  <c r="P56" i="17" a="1"/>
  <c r="P56" i="17" s="1"/>
  <c r="P166" i="17" a="1"/>
  <c r="P166" i="17" s="1"/>
  <c r="P167" i="17" a="1"/>
  <c r="P167" i="17" s="1"/>
  <c r="P168" i="17" a="1"/>
  <c r="P168" i="17" s="1"/>
  <c r="P169" i="17" a="1"/>
  <c r="P169" i="17" s="1"/>
  <c r="P170" i="17" a="1"/>
  <c r="P170" i="17" s="1"/>
  <c r="P171" i="17" a="1"/>
  <c r="P171" i="17" s="1"/>
  <c r="P336" i="17" a="1"/>
  <c r="P336" i="17" s="1"/>
  <c r="P376" i="17" a="1"/>
  <c r="P376" i="17" s="1"/>
  <c r="P17" i="17" a="1"/>
  <c r="P17" i="17" s="1"/>
  <c r="P57" i="17" a="1"/>
  <c r="P57" i="17" s="1"/>
  <c r="P172" i="17" a="1"/>
  <c r="P172" i="17" s="1"/>
  <c r="P173" i="17" a="1"/>
  <c r="P173" i="17" s="1"/>
  <c r="P174" i="17" a="1"/>
  <c r="P174" i="17" s="1"/>
  <c r="P175" i="17" a="1"/>
  <c r="P175" i="17" s="1"/>
  <c r="P176" i="17" a="1"/>
  <c r="P176" i="17"/>
  <c r="P177" i="17" a="1"/>
  <c r="P177" i="17" s="1"/>
  <c r="P337" i="17" a="1"/>
  <c r="P337" i="17" s="1"/>
  <c r="P377" i="17" a="1"/>
  <c r="P377" i="17" s="1"/>
  <c r="P18" i="17" a="1"/>
  <c r="P18" i="17" s="1"/>
  <c r="P58" i="17" a="1"/>
  <c r="P58" i="17" s="1"/>
  <c r="P178" i="17" a="1"/>
  <c r="P178" i="17" s="1"/>
  <c r="P179" i="17" a="1"/>
  <c r="P179" i="17"/>
  <c r="P180" i="17" a="1"/>
  <c r="P180" i="17" s="1"/>
  <c r="P181" i="17" a="1"/>
  <c r="P181" i="17" s="1"/>
  <c r="P182" i="17" a="1"/>
  <c r="P182" i="17" s="1"/>
  <c r="P183" i="17" a="1"/>
  <c r="P183" i="17" s="1"/>
  <c r="P338" i="17" a="1"/>
  <c r="P338" i="17" s="1"/>
  <c r="P378" i="17" a="1"/>
  <c r="P378" i="17" s="1"/>
  <c r="P19" i="17" a="1"/>
  <c r="P19" i="17" s="1"/>
  <c r="P59" i="17" a="1"/>
  <c r="P59" i="17" s="1"/>
  <c r="P184" i="17" a="1"/>
  <c r="P184" i="17" s="1"/>
  <c r="P185" i="17" a="1"/>
  <c r="P185" i="17" s="1"/>
  <c r="P186" i="17" a="1"/>
  <c r="P186" i="17" s="1"/>
  <c r="P187" i="17" a="1"/>
  <c r="P187" i="17" s="1"/>
  <c r="P188" i="17" a="1"/>
  <c r="P188" i="17" s="1"/>
  <c r="P189" i="17" a="1"/>
  <c r="P189" i="17" s="1"/>
  <c r="P339" i="17" a="1"/>
  <c r="P339" i="17" s="1"/>
  <c r="P379" i="17" a="1"/>
  <c r="P379" i="17" s="1"/>
  <c r="P20" i="17" a="1"/>
  <c r="P20" i="17" s="1"/>
  <c r="P60" i="17" a="1"/>
  <c r="P60" i="17" s="1"/>
  <c r="P190" i="17" a="1"/>
  <c r="P190" i="17" s="1"/>
  <c r="P191" i="17" a="1"/>
  <c r="P191" i="17" s="1"/>
  <c r="P192" i="17" a="1"/>
  <c r="P192" i="17" s="1"/>
  <c r="P193" i="17" a="1"/>
  <c r="P193" i="17" s="1"/>
  <c r="P194" i="17" a="1"/>
  <c r="P194" i="17" s="1"/>
  <c r="P195" i="17" a="1"/>
  <c r="P195" i="17" s="1"/>
  <c r="P340" i="17" a="1"/>
  <c r="P340" i="17" s="1"/>
  <c r="P380" i="17" a="1"/>
  <c r="P380" i="17" s="1"/>
  <c r="P21" i="17" a="1"/>
  <c r="P21" i="17" s="1"/>
  <c r="P61" i="17" a="1"/>
  <c r="P61" i="17" s="1"/>
  <c r="P196" i="17" a="1"/>
  <c r="P196" i="17" s="1"/>
  <c r="P197" i="17" a="1"/>
  <c r="P197" i="17" s="1"/>
  <c r="P198" i="17" a="1"/>
  <c r="P198" i="17" s="1"/>
  <c r="P199" i="17" a="1"/>
  <c r="P199" i="17" s="1"/>
  <c r="P200" i="17" a="1"/>
  <c r="P200" i="17" s="1"/>
  <c r="P201" i="17" a="1"/>
  <c r="P201" i="17"/>
  <c r="P341" i="17" a="1"/>
  <c r="P341" i="17" s="1"/>
  <c r="P381" i="17" a="1"/>
  <c r="P381" i="17" s="1"/>
  <c r="P22" i="17" a="1"/>
  <c r="P22" i="17" s="1"/>
  <c r="P62" i="17" a="1"/>
  <c r="P62" i="17" s="1"/>
  <c r="P202" i="17" a="1"/>
  <c r="P202" i="17" s="1"/>
  <c r="P203" i="17" a="1"/>
  <c r="P203" i="17"/>
  <c r="P204" i="17" a="1"/>
  <c r="P204" i="17" s="1"/>
  <c r="P205" i="17" a="1"/>
  <c r="P205" i="17" s="1"/>
  <c r="P206" i="17" a="1"/>
  <c r="P206" i="17" s="1"/>
  <c r="P207" i="17" a="1"/>
  <c r="P207" i="17" s="1"/>
  <c r="P342" i="17" a="1"/>
  <c r="P342" i="17" s="1"/>
  <c r="P382" i="17" a="1"/>
  <c r="P382" i="17" s="1"/>
  <c r="P23" i="17" a="1"/>
  <c r="P23" i="17" s="1"/>
  <c r="P63" i="17" a="1"/>
  <c r="P63" i="17"/>
  <c r="P208" i="17" a="1"/>
  <c r="P208" i="17"/>
  <c r="P209" i="17" a="1"/>
  <c r="P209" i="17" s="1"/>
  <c r="P210" i="17" a="1"/>
  <c r="P210" i="17" s="1"/>
  <c r="P211" i="17" a="1"/>
  <c r="P211" i="17" s="1"/>
  <c r="P212" i="17" a="1"/>
  <c r="P212" i="17" s="1"/>
  <c r="P213" i="17" a="1"/>
  <c r="P213" i="17" s="1"/>
  <c r="P343" i="17" a="1"/>
  <c r="P343" i="17" s="1"/>
  <c r="P383" i="17" a="1"/>
  <c r="P383" i="17" s="1"/>
  <c r="P24" i="17" a="1"/>
  <c r="P24" i="17" s="1"/>
  <c r="P64" i="17" a="1"/>
  <c r="P64" i="17" s="1"/>
  <c r="P214" i="17" a="1"/>
  <c r="P214" i="17" s="1"/>
  <c r="P215" i="17" a="1"/>
  <c r="P215" i="17" s="1"/>
  <c r="P216" i="17" a="1"/>
  <c r="P216" i="17" s="1"/>
  <c r="P217" i="17" a="1"/>
  <c r="P217" i="17" s="1"/>
  <c r="P218" i="17" a="1"/>
  <c r="P218" i="17" s="1"/>
  <c r="P219" i="17" a="1"/>
  <c r="P219" i="17" s="1"/>
  <c r="P344" i="17" a="1"/>
  <c r="P344" i="17" s="1"/>
  <c r="P384" i="17" a="1"/>
  <c r="P384" i="17"/>
  <c r="P25" i="17" a="1"/>
  <c r="P25" i="17" s="1"/>
  <c r="P65" i="17" a="1"/>
  <c r="P65" i="17" s="1"/>
  <c r="P220" i="17" a="1"/>
  <c r="P220" i="17" s="1"/>
  <c r="P221" i="17" a="1"/>
  <c r="P221" i="17" s="1"/>
  <c r="P222" i="17" a="1"/>
  <c r="P222" i="17" s="1"/>
  <c r="P223" i="17" a="1"/>
  <c r="P223" i="17" s="1"/>
  <c r="P224" i="17" a="1"/>
  <c r="P224" i="17" s="1"/>
  <c r="P225" i="17" a="1"/>
  <c r="P225" i="17"/>
  <c r="P345" i="17" a="1"/>
  <c r="P345" i="17" s="1"/>
  <c r="P385" i="17" a="1"/>
  <c r="P385" i="17" s="1"/>
  <c r="P26" i="17" a="1"/>
  <c r="P26" i="17" s="1"/>
  <c r="P66" i="17" a="1"/>
  <c r="P66" i="17" s="1"/>
  <c r="P226" i="17" a="1"/>
  <c r="P226" i="17" s="1"/>
  <c r="P227" i="17" a="1"/>
  <c r="P227" i="17" s="1"/>
  <c r="P228" i="17" a="1"/>
  <c r="P228" i="17"/>
  <c r="P229" i="17" a="1"/>
  <c r="P229" i="17"/>
  <c r="P230" i="17" a="1"/>
  <c r="P230" i="17" s="1"/>
  <c r="P231" i="17" a="1"/>
  <c r="P231" i="17" s="1"/>
  <c r="P346" i="17" a="1"/>
  <c r="P346" i="17" s="1"/>
  <c r="P386" i="17" a="1"/>
  <c r="P386" i="17" s="1"/>
  <c r="P27" i="17" a="1"/>
  <c r="P27" i="17" s="1"/>
  <c r="P67" i="17" a="1"/>
  <c r="P67" i="17" s="1"/>
  <c r="P232" i="17" a="1"/>
  <c r="P232" i="17" s="1"/>
  <c r="P233" i="17" a="1"/>
  <c r="P233" i="17" s="1"/>
  <c r="P234" i="17" a="1"/>
  <c r="P234" i="17" s="1"/>
  <c r="P235" i="17" a="1"/>
  <c r="P235" i="17" s="1"/>
  <c r="P236" i="17" a="1"/>
  <c r="P236" i="17" s="1"/>
  <c r="P237" i="17" a="1"/>
  <c r="P237" i="17" s="1"/>
  <c r="P347" i="17" a="1"/>
  <c r="P347" i="17" s="1"/>
  <c r="P387" i="17" a="1"/>
  <c r="P387" i="17" s="1"/>
  <c r="P28" i="17" a="1"/>
  <c r="P28" i="17" s="1"/>
  <c r="P68" i="17" a="1"/>
  <c r="P68" i="17" s="1"/>
  <c r="P238" i="17" a="1"/>
  <c r="P238" i="17" s="1"/>
  <c r="P239" i="17" a="1"/>
  <c r="P239" i="17" s="1"/>
  <c r="P240" i="17" a="1"/>
  <c r="P240" i="17" s="1"/>
  <c r="P241" i="17" a="1"/>
  <c r="P241" i="17" s="1"/>
  <c r="P242" i="17" a="1"/>
  <c r="P242" i="17" s="1"/>
  <c r="P243" i="17" a="1"/>
  <c r="P243" i="17" s="1"/>
  <c r="P348" i="17" a="1"/>
  <c r="P348" i="17" s="1"/>
  <c r="P388" i="17" a="1"/>
  <c r="P388" i="17" s="1"/>
  <c r="P29" i="17" a="1"/>
  <c r="P29" i="17" s="1"/>
  <c r="P69" i="17" a="1"/>
  <c r="P69" i="17" s="1"/>
  <c r="P244" i="17" a="1"/>
  <c r="P244" i="17" s="1"/>
  <c r="P245" i="17" a="1"/>
  <c r="P245" i="17" s="1"/>
  <c r="P246" i="17" a="1"/>
  <c r="P246" i="17" s="1"/>
  <c r="P247" i="17" a="1"/>
  <c r="P247" i="17" s="1"/>
  <c r="P248" i="17" a="1"/>
  <c r="P248" i="17" s="1"/>
  <c r="P249" i="17" a="1"/>
  <c r="P249" i="17" s="1"/>
  <c r="P349" i="17" a="1"/>
  <c r="P349" i="17" s="1"/>
  <c r="P389" i="17" a="1"/>
  <c r="P389" i="17" s="1"/>
  <c r="P30" i="17" a="1"/>
  <c r="P30" i="17" s="1"/>
  <c r="P70" i="17" a="1"/>
  <c r="P70" i="17" s="1"/>
  <c r="P250" i="17" a="1"/>
  <c r="P250" i="17" s="1"/>
  <c r="P251" i="17" a="1"/>
  <c r="P251" i="17" s="1"/>
  <c r="P252" i="17" a="1"/>
  <c r="P252" i="17"/>
  <c r="P253" i="17" a="1"/>
  <c r="P253" i="17" s="1"/>
  <c r="P254" i="17" a="1"/>
  <c r="P254" i="17" s="1"/>
  <c r="P255" i="17" a="1"/>
  <c r="P255" i="17" s="1"/>
  <c r="P350" i="17" a="1"/>
  <c r="P350" i="17" s="1"/>
  <c r="P390" i="17" a="1"/>
  <c r="P390" i="17" s="1"/>
  <c r="P31" i="17" a="1"/>
  <c r="P31" i="17" s="1"/>
  <c r="P71" i="17" a="1"/>
  <c r="P71" i="17"/>
  <c r="P256" i="17" a="1"/>
  <c r="P256" i="17" s="1"/>
  <c r="P257" i="17" a="1"/>
  <c r="P257" i="17" s="1"/>
  <c r="P258" i="17" a="1"/>
  <c r="P258" i="17" s="1"/>
  <c r="P259" i="17" a="1"/>
  <c r="P259" i="17" s="1"/>
  <c r="P260" i="17" a="1"/>
  <c r="P260" i="17" s="1"/>
  <c r="P261" i="17" a="1"/>
  <c r="P261" i="17" s="1"/>
  <c r="P351" i="17" a="1"/>
  <c r="P351" i="17" s="1"/>
  <c r="P391" i="17" a="1"/>
  <c r="P391" i="17" s="1"/>
  <c r="P32" i="17" a="1"/>
  <c r="P32" i="17" s="1"/>
  <c r="P72" i="17" a="1"/>
  <c r="P72" i="17" s="1"/>
  <c r="P262" i="17" a="1"/>
  <c r="P262" i="17" s="1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352" i="17" a="1"/>
  <c r="P352" i="17" s="1"/>
  <c r="P392" i="17" a="1"/>
  <c r="P392" i="17" s="1"/>
  <c r="P33" i="17" a="1"/>
  <c r="P33" i="17" s="1"/>
  <c r="P73" i="17" a="1"/>
  <c r="P73" i="17" s="1"/>
  <c r="P268" i="17" a="1"/>
  <c r="P268" i="17" s="1"/>
  <c r="P269" i="17" a="1"/>
  <c r="P269" i="17" s="1"/>
  <c r="P270" i="17" a="1"/>
  <c r="P270" i="17" s="1"/>
  <c r="P271" i="17" a="1"/>
  <c r="P271" i="17" s="1"/>
  <c r="P272" i="17" a="1"/>
  <c r="P272" i="17" s="1"/>
  <c r="P273" i="17" a="1"/>
  <c r="P273" i="17" s="1"/>
  <c r="P353" i="17" a="1"/>
  <c r="P353" i="17" s="1"/>
  <c r="P393" i="17" a="1"/>
  <c r="P393" i="17" s="1"/>
  <c r="P34" i="17" a="1"/>
  <c r="P34" i="17" s="1"/>
  <c r="P74" i="17" a="1"/>
  <c r="P74" i="17" s="1"/>
  <c r="P274" i="17" a="1"/>
  <c r="P274" i="17" s="1"/>
  <c r="P275" i="17" a="1"/>
  <c r="P275" i="17" s="1"/>
  <c r="P276" i="17" a="1"/>
  <c r="P276" i="17" s="1"/>
  <c r="P277" i="17" a="1"/>
  <c r="P277" i="17"/>
  <c r="P278" i="17" a="1"/>
  <c r="P278" i="17" s="1"/>
  <c r="P279" i="17" a="1"/>
  <c r="P279" i="17" s="1"/>
  <c r="P354" i="17" a="1"/>
  <c r="P354" i="17" s="1"/>
  <c r="P394" i="17" a="1"/>
  <c r="P394" i="17" s="1"/>
  <c r="P35" i="17" a="1"/>
  <c r="P35" i="17" s="1"/>
  <c r="P75" i="17" a="1"/>
  <c r="P75" i="17"/>
  <c r="P280" i="17" a="1"/>
  <c r="P280" i="17" s="1"/>
  <c r="P281" i="17" a="1"/>
  <c r="P281" i="17" s="1"/>
  <c r="P282" i="17" a="1"/>
  <c r="P282" i="17" s="1"/>
  <c r="P283" i="17" a="1"/>
  <c r="P283" i="17" s="1"/>
  <c r="P284" i="17" a="1"/>
  <c r="P284" i="17" s="1"/>
  <c r="P285" i="17" a="1"/>
  <c r="P285" i="17" s="1"/>
  <c r="P355" i="17" a="1"/>
  <c r="P355" i="17" s="1"/>
  <c r="P395" i="17" a="1"/>
  <c r="P395" i="17"/>
  <c r="P36" i="17" a="1"/>
  <c r="P36" i="17"/>
  <c r="P76" i="17" a="1"/>
  <c r="P76" i="17" s="1"/>
  <c r="P286" i="17" a="1"/>
  <c r="P286" i="17" s="1"/>
  <c r="P287" i="17" a="1"/>
  <c r="P287" i="17" s="1"/>
  <c r="P288" i="17" a="1"/>
  <c r="P288" i="17" s="1"/>
  <c r="P289" i="17" a="1"/>
  <c r="P289" i="17" s="1"/>
  <c r="P290" i="17" a="1"/>
  <c r="P290" i="17" s="1"/>
  <c r="P291" i="17" a="1"/>
  <c r="P291" i="17" s="1"/>
  <c r="P356" i="17" a="1"/>
  <c r="P356" i="17" s="1"/>
  <c r="P396" i="17" a="1"/>
  <c r="P396" i="17" s="1"/>
  <c r="P37" i="17" a="1"/>
  <c r="P37" i="17" s="1"/>
  <c r="P77" i="17" a="1"/>
  <c r="P77" i="17" s="1"/>
  <c r="P292" i="17" a="1"/>
  <c r="P292" i="17" s="1"/>
  <c r="P293" i="17" a="1"/>
  <c r="P293" i="17" s="1"/>
  <c r="P294" i="17" a="1"/>
  <c r="P294" i="17" s="1"/>
  <c r="P295" i="17" a="1"/>
  <c r="P295" i="17" s="1"/>
  <c r="P296" i="17" a="1"/>
  <c r="P296" i="17" s="1"/>
  <c r="P297" i="17" a="1"/>
  <c r="P297" i="17"/>
  <c r="P357" i="17" a="1"/>
  <c r="P357" i="17" s="1"/>
  <c r="P397" i="17" a="1"/>
  <c r="P397" i="17" s="1"/>
  <c r="P38" i="17" a="1"/>
  <c r="P38" i="17" s="1"/>
  <c r="P78" i="17" a="1"/>
  <c r="P78" i="17" s="1"/>
  <c r="P298" i="17" a="1"/>
  <c r="P298" i="17" s="1"/>
  <c r="P299" i="17" a="1"/>
  <c r="P299" i="17" s="1"/>
  <c r="P300" i="17" a="1"/>
  <c r="P300" i="17" s="1"/>
  <c r="P301" i="17" a="1"/>
  <c r="P301" i="17"/>
  <c r="P302" i="17" a="1"/>
  <c r="P302" i="17" s="1"/>
  <c r="P303" i="17" a="1"/>
  <c r="P303" i="17" s="1"/>
  <c r="P358" i="17" a="1"/>
  <c r="P358" i="17" s="1"/>
  <c r="P398" i="17" a="1"/>
  <c r="P398" i="17" s="1"/>
  <c r="P39" i="17" a="1"/>
  <c r="P39" i="17" s="1"/>
  <c r="P79" i="17" a="1"/>
  <c r="P79" i="17" s="1"/>
  <c r="P304" i="17" a="1"/>
  <c r="P304" i="17"/>
  <c r="P305" i="17" a="1"/>
  <c r="P305" i="17"/>
  <c r="P306" i="17" a="1"/>
  <c r="P306" i="17" s="1"/>
  <c r="P307" i="17" a="1"/>
  <c r="P307" i="17" s="1"/>
  <c r="P308" i="17" a="1"/>
  <c r="P308" i="17" s="1"/>
  <c r="P309" i="17" a="1"/>
  <c r="P309" i="17" s="1"/>
  <c r="P359" i="17" a="1"/>
  <c r="P359" i="17" s="1"/>
  <c r="P399" i="17" a="1"/>
  <c r="P399" i="17" s="1"/>
  <c r="P40" i="17" a="1"/>
  <c r="P40" i="17" s="1"/>
  <c r="P80" i="17" a="1"/>
  <c r="P80" i="17" s="1"/>
  <c r="P310" i="17" a="1"/>
  <c r="P310" i="17" s="1"/>
  <c r="P311" i="17" a="1"/>
  <c r="P311" i="17" s="1"/>
  <c r="P312" i="17" a="1"/>
  <c r="P312" i="17" s="1"/>
  <c r="P313" i="17" a="1"/>
  <c r="P313" i="17" s="1"/>
  <c r="P314" i="17" a="1"/>
  <c r="P314" i="17" s="1"/>
  <c r="P315" i="17" a="1"/>
  <c r="P315" i="17" s="1"/>
  <c r="P360" i="17" a="1"/>
  <c r="P360" i="17" s="1"/>
  <c r="P400" i="17" a="1"/>
  <c r="P400" i="17" s="1"/>
  <c r="P41" i="17" a="1"/>
  <c r="P41" i="17" s="1"/>
  <c r="P81" i="17" a="1"/>
  <c r="P81" i="17" s="1"/>
  <c r="P316" i="17" a="1"/>
  <c r="P316" i="17" s="1"/>
  <c r="P317" i="17" a="1"/>
  <c r="P317" i="17" s="1"/>
  <c r="P318" i="17" a="1"/>
  <c r="P318" i="17" s="1"/>
  <c r="P319" i="17" a="1"/>
  <c r="P319" i="17" s="1"/>
  <c r="P320" i="17" a="1"/>
  <c r="P320" i="17" s="1"/>
  <c r="P321" i="17" a="1"/>
  <c r="P321" i="17" s="1"/>
  <c r="P361" i="17" a="1"/>
  <c r="P361" i="17" s="1"/>
  <c r="P401" i="17" a="1"/>
  <c r="P401" i="17" s="1"/>
  <c r="R2" i="17" a="1"/>
  <c r="R2" i="17" s="1"/>
  <c r="R42" i="17" a="1"/>
  <c r="R42" i="17" s="1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87" i="17" a="1"/>
  <c r="R87" i="17" s="1"/>
  <c r="R322" i="17" a="1"/>
  <c r="R322" i="17" s="1"/>
  <c r="R362" i="17" a="1"/>
  <c r="R362" i="17" s="1"/>
  <c r="R3" i="17" a="1"/>
  <c r="R3" i="17" s="1"/>
  <c r="R43" i="17" a="1"/>
  <c r="R43" i="17" s="1"/>
  <c r="R88" i="17" a="1"/>
  <c r="R88" i="17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323" i="17" a="1"/>
  <c r="R323" i="17" s="1"/>
  <c r="R363" i="17" a="1"/>
  <c r="R363" i="17"/>
  <c r="R4" i="17" a="1"/>
  <c r="R4" i="17" s="1"/>
  <c r="R44" i="17" a="1"/>
  <c r="R44" i="17" s="1"/>
  <c r="R94" i="17" a="1"/>
  <c r="R94" i="17" s="1"/>
  <c r="R95" i="17" a="1"/>
  <c r="R95" i="17" s="1"/>
  <c r="R96" i="17" a="1"/>
  <c r="R96" i="17" s="1"/>
  <c r="R97" i="17" a="1"/>
  <c r="R97" i="17" s="1"/>
  <c r="R98" i="17" a="1"/>
  <c r="R98" i="17" s="1"/>
  <c r="R99" i="17" a="1"/>
  <c r="R99" i="17" s="1"/>
  <c r="R324" i="17" a="1"/>
  <c r="R324" i="17" s="1"/>
  <c r="R364" i="17" a="1"/>
  <c r="R364" i="17" s="1"/>
  <c r="R5" i="17" a="1"/>
  <c r="R5" i="17" s="1"/>
  <c r="R45" i="17" a="1"/>
  <c r="R45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 s="1"/>
  <c r="R325" i="17" a="1"/>
  <c r="R325" i="17" s="1"/>
  <c r="R365" i="17" a="1"/>
  <c r="R365" i="17" s="1"/>
  <c r="R6" i="17" a="1"/>
  <c r="R6" i="17" s="1"/>
  <c r="R46" i="17" a="1"/>
  <c r="R46" i="17" s="1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326" i="17" a="1"/>
  <c r="R326" i="17" s="1"/>
  <c r="R366" i="17" a="1"/>
  <c r="R366" i="17" s="1"/>
  <c r="R7" i="17" a="1"/>
  <c r="R7" i="17" s="1"/>
  <c r="R47" i="17" a="1"/>
  <c r="R47" i="17" s="1"/>
  <c r="R112" i="17" a="1"/>
  <c r="R112" i="17" s="1"/>
  <c r="R113" i="17" a="1"/>
  <c r="R113" i="17"/>
  <c r="R114" i="17" a="1"/>
  <c r="R114" i="17" s="1"/>
  <c r="R115" i="17" a="1"/>
  <c r="R115" i="17" s="1"/>
  <c r="R116" i="17" a="1"/>
  <c r="R116" i="17" s="1"/>
  <c r="R117" i="17" a="1"/>
  <c r="R117" i="17" s="1"/>
  <c r="R327" i="17" a="1"/>
  <c r="R327" i="17" s="1"/>
  <c r="R367" i="17" a="1"/>
  <c r="R367" i="17"/>
  <c r="R8" i="17" a="1"/>
  <c r="R8" i="17" s="1"/>
  <c r="R48" i="17" a="1"/>
  <c r="R48" i="17" s="1"/>
  <c r="R118" i="17" a="1"/>
  <c r="R118" i="17" s="1"/>
  <c r="R119" i="17" a="1"/>
  <c r="R119" i="17" s="1"/>
  <c r="R120" i="17" a="1"/>
  <c r="R120" i="17" s="1"/>
  <c r="R121" i="17" a="1"/>
  <c r="R121" i="17" s="1"/>
  <c r="R122" i="17" a="1"/>
  <c r="R122" i="17" s="1"/>
  <c r="R123" i="17" a="1"/>
  <c r="R123" i="17"/>
  <c r="R328" i="17" a="1"/>
  <c r="R328" i="17"/>
  <c r="R368" i="17" a="1"/>
  <c r="R368" i="17" s="1"/>
  <c r="R9" i="17" a="1"/>
  <c r="R9" i="17" s="1"/>
  <c r="R49" i="17" a="1"/>
  <c r="R49" i="17" s="1"/>
  <c r="R124" i="17" a="1"/>
  <c r="R124" i="17" s="1"/>
  <c r="R125" i="17" a="1"/>
  <c r="R125" i="17" s="1"/>
  <c r="R126" i="17" a="1"/>
  <c r="R126" i="17" s="1"/>
  <c r="R127" i="17" a="1"/>
  <c r="R127" i="17" s="1"/>
  <c r="R128" i="17" a="1"/>
  <c r="R128" i="17" s="1"/>
  <c r="R129" i="17" a="1"/>
  <c r="R129" i="17" s="1"/>
  <c r="R329" i="17" a="1"/>
  <c r="R329" i="17" s="1"/>
  <c r="R369" i="17" a="1"/>
  <c r="R369" i="17" s="1"/>
  <c r="R10" i="17" a="1"/>
  <c r="R10" i="17" s="1"/>
  <c r="R50" i="17" a="1"/>
  <c r="R50" i="17" s="1"/>
  <c r="R130" i="17" a="1"/>
  <c r="R130" i="17" s="1"/>
  <c r="R131" i="17" a="1"/>
  <c r="R131" i="17" s="1"/>
  <c r="R132" i="17" a="1"/>
  <c r="R132" i="17" s="1"/>
  <c r="R133" i="17" a="1"/>
  <c r="R133" i="17"/>
  <c r="R134" i="17" a="1"/>
  <c r="R134" i="17" s="1"/>
  <c r="R135" i="17" a="1"/>
  <c r="R135" i="17" s="1"/>
  <c r="R330" i="17" a="1"/>
  <c r="R330" i="17" s="1"/>
  <c r="R370" i="17" a="1"/>
  <c r="R370" i="17" s="1"/>
  <c r="R11" i="17" a="1"/>
  <c r="R11" i="17" s="1"/>
  <c r="R51" i="17" a="1"/>
  <c r="R51" i="17" s="1"/>
  <c r="R136" i="17" a="1"/>
  <c r="R136" i="17" s="1"/>
  <c r="R137" i="17" a="1"/>
  <c r="R137" i="17"/>
  <c r="R138" i="17" a="1"/>
  <c r="R138" i="17" s="1"/>
  <c r="R139" i="17" a="1"/>
  <c r="R139" i="17" s="1"/>
  <c r="R140" i="17" a="1"/>
  <c r="R140" i="17" s="1"/>
  <c r="R141" i="17" a="1"/>
  <c r="R141" i="17" s="1"/>
  <c r="R331" i="17" a="1"/>
  <c r="R331" i="17" s="1"/>
  <c r="R371" i="17" a="1"/>
  <c r="R371" i="17" s="1"/>
  <c r="R12" i="17" a="1"/>
  <c r="R12" i="17"/>
  <c r="R52" i="17" a="1"/>
  <c r="R52" i="17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 s="1"/>
  <c r="R147" i="17" a="1"/>
  <c r="R147" i="17" s="1"/>
  <c r="R332" i="17" a="1"/>
  <c r="R332" i="17" s="1"/>
  <c r="R372" i="17" a="1"/>
  <c r="R372" i="17" s="1"/>
  <c r="R13" i="17" a="1"/>
  <c r="R13" i="17" s="1"/>
  <c r="R53" i="17" a="1"/>
  <c r="R53" i="17" s="1"/>
  <c r="R148" i="17" a="1"/>
  <c r="R148" i="17" s="1"/>
  <c r="R149" i="17" a="1"/>
  <c r="R149" i="17" s="1"/>
  <c r="R150" i="17" a="1"/>
  <c r="R150" i="17" s="1"/>
  <c r="R151" i="17" a="1"/>
  <c r="R151" i="17" s="1"/>
  <c r="R152" i="17" a="1"/>
  <c r="R152" i="17" s="1"/>
  <c r="R153" i="17" a="1"/>
  <c r="R153" i="17" s="1"/>
  <c r="R333" i="17" a="1"/>
  <c r="R333" i="17" s="1"/>
  <c r="R373" i="17" a="1"/>
  <c r="R373" i="17" s="1"/>
  <c r="R14" i="17" a="1"/>
  <c r="R14" i="17" s="1"/>
  <c r="R54" i="17" a="1"/>
  <c r="R54" i="17" s="1"/>
  <c r="R154" i="17" a="1"/>
  <c r="R154" i="17" s="1"/>
  <c r="R155" i="17" a="1"/>
  <c r="R155" i="17" s="1"/>
  <c r="R156" i="17" a="1"/>
  <c r="R156" i="17" s="1"/>
  <c r="R157" i="17" a="1"/>
  <c r="R157" i="17" s="1"/>
  <c r="R158" i="17" a="1"/>
  <c r="R158" i="17" s="1"/>
  <c r="R159" i="17" a="1"/>
  <c r="R159" i="17" s="1"/>
  <c r="R334" i="17" a="1"/>
  <c r="R334" i="17" s="1"/>
  <c r="R374" i="17" a="1"/>
  <c r="R374" i="17" s="1"/>
  <c r="R15" i="17" a="1"/>
  <c r="R15" i="17" s="1"/>
  <c r="R55" i="17" a="1"/>
  <c r="R55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335" i="17" a="1"/>
  <c r="R335" i="17" s="1"/>
  <c r="R375" i="17" a="1"/>
  <c r="R375" i="17" s="1"/>
  <c r="R16" i="17" a="1"/>
  <c r="R16" i="17"/>
  <c r="R56" i="17" a="1"/>
  <c r="R56" i="17" s="1"/>
  <c r="R166" i="17" a="1"/>
  <c r="R166" i="17" s="1"/>
  <c r="R167" i="17" a="1"/>
  <c r="R167" i="17" s="1"/>
  <c r="R168" i="17" a="1"/>
  <c r="R168" i="17" s="1"/>
  <c r="R169" i="17" a="1"/>
  <c r="R169" i="17" s="1"/>
  <c r="R170" i="17" a="1"/>
  <c r="R170" i="17" s="1"/>
  <c r="R171" i="17" a="1"/>
  <c r="R171" i="17"/>
  <c r="R336" i="17" a="1"/>
  <c r="R336" i="17" s="1"/>
  <c r="R376" i="17" a="1"/>
  <c r="R376" i="17" s="1"/>
  <c r="R17" i="17" a="1"/>
  <c r="R17" i="17" s="1"/>
  <c r="R57" i="17" a="1"/>
  <c r="R57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 s="1"/>
  <c r="R337" i="17" a="1"/>
  <c r="R337" i="17" s="1"/>
  <c r="R377" i="17" a="1"/>
  <c r="R377" i="17" s="1"/>
  <c r="R18" i="17" a="1"/>
  <c r="R18" i="17" s="1"/>
  <c r="R58" i="17" a="1"/>
  <c r="R58" i="17" s="1"/>
  <c r="R178" i="17" a="1"/>
  <c r="R178" i="17" s="1"/>
  <c r="R179" i="17" a="1"/>
  <c r="R179" i="17" s="1"/>
  <c r="R180" i="17" a="1"/>
  <c r="R180" i="17" s="1"/>
  <c r="R181" i="17" a="1"/>
  <c r="R181" i="17" s="1"/>
  <c r="R182" i="17" a="1"/>
  <c r="R182" i="17" s="1"/>
  <c r="R183" i="17" a="1"/>
  <c r="R183" i="17" s="1"/>
  <c r="R338" i="17" a="1"/>
  <c r="R338" i="17" s="1"/>
  <c r="R378" i="17" a="1"/>
  <c r="R378" i="17" s="1"/>
  <c r="R19" i="17" a="1"/>
  <c r="R19" i="17" s="1"/>
  <c r="R59" i="17" a="1"/>
  <c r="R59" i="17" s="1"/>
  <c r="R184" i="17" a="1"/>
  <c r="R184" i="17" s="1"/>
  <c r="R185" i="17" a="1"/>
  <c r="R185" i="17" s="1"/>
  <c r="R186" i="17" a="1"/>
  <c r="R186" i="17" s="1"/>
  <c r="R187" i="17" a="1"/>
  <c r="R187" i="17" s="1"/>
  <c r="R188" i="17" a="1"/>
  <c r="R188" i="17" s="1"/>
  <c r="R189" i="17" a="1"/>
  <c r="R189" i="17" s="1"/>
  <c r="R339" i="17" a="1"/>
  <c r="R339" i="17" s="1"/>
  <c r="R379" i="17" a="1"/>
  <c r="R379" i="17"/>
  <c r="R20" i="17" a="1"/>
  <c r="R20" i="17" s="1"/>
  <c r="R60" i="17" a="1"/>
  <c r="R60" i="17"/>
  <c r="R190" i="17" a="1"/>
  <c r="R190" i="17" s="1"/>
  <c r="R191" i="17" a="1"/>
  <c r="R191" i="17" s="1"/>
  <c r="R192" i="17" a="1"/>
  <c r="R192" i="17" s="1"/>
  <c r="R193" i="17" a="1"/>
  <c r="R193" i="17" s="1"/>
  <c r="R194" i="17" a="1"/>
  <c r="R194" i="17" s="1"/>
  <c r="R195" i="17" a="1"/>
  <c r="R195" i="17"/>
  <c r="R340" i="17" a="1"/>
  <c r="R340" i="17" s="1"/>
  <c r="R380" i="17" a="1"/>
  <c r="R380" i="17" s="1"/>
  <c r="R21" i="17" a="1"/>
  <c r="R21" i="17" s="1"/>
  <c r="R61" i="17" a="1"/>
  <c r="R61" i="17" s="1"/>
  <c r="R196" i="17" a="1"/>
  <c r="R196" i="17" s="1"/>
  <c r="R197" i="17" a="1"/>
  <c r="R197" i="17" s="1"/>
  <c r="R198" i="17" a="1"/>
  <c r="R198" i="17" s="1"/>
  <c r="R199" i="17" a="1"/>
  <c r="R199" i="17"/>
  <c r="R200" i="17" a="1"/>
  <c r="R200" i="17"/>
  <c r="R201" i="17" a="1"/>
  <c r="R201" i="17" s="1"/>
  <c r="R341" i="17" a="1"/>
  <c r="R341" i="17" s="1"/>
  <c r="R381" i="17" a="1"/>
  <c r="R381" i="17" s="1"/>
  <c r="R22" i="17" a="1"/>
  <c r="R22" i="17" s="1"/>
  <c r="R62" i="17" a="1"/>
  <c r="R62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42" i="17" a="1"/>
  <c r="R342" i="17" s="1"/>
  <c r="R382" i="17" a="1"/>
  <c r="R382" i="17" s="1"/>
  <c r="R23" i="17" a="1"/>
  <c r="R23" i="17" s="1"/>
  <c r="R63" i="17" a="1"/>
  <c r="R63" i="17" s="1"/>
  <c r="R208" i="17" a="1"/>
  <c r="R208" i="17"/>
  <c r="R209" i="17" a="1"/>
  <c r="R209" i="17"/>
  <c r="R210" i="17" a="1"/>
  <c r="R210" i="17" s="1"/>
  <c r="R211" i="17" a="1"/>
  <c r="R211" i="17" s="1"/>
  <c r="R212" i="17" a="1"/>
  <c r="R212" i="17" s="1"/>
  <c r="R213" i="17" a="1"/>
  <c r="R213" i="17" s="1"/>
  <c r="R343" i="17" a="1"/>
  <c r="R343" i="17" s="1"/>
  <c r="R383" i="17" a="1"/>
  <c r="R383" i="17" s="1"/>
  <c r="R24" i="17" a="1"/>
  <c r="R24" i="17" s="1"/>
  <c r="R64" i="17" a="1"/>
  <c r="R64" i="17"/>
  <c r="R214" i="17" a="1"/>
  <c r="R214" i="17" s="1"/>
  <c r="R215" i="17" a="1"/>
  <c r="R215" i="17" s="1"/>
  <c r="R216" i="17" a="1"/>
  <c r="R216" i="17" s="1"/>
  <c r="R217" i="17" a="1"/>
  <c r="R217" i="17" s="1"/>
  <c r="R218" i="17" a="1"/>
  <c r="R218" i="17" s="1"/>
  <c r="R219" i="17" a="1"/>
  <c r="R219" i="17" s="1"/>
  <c r="R344" i="17" a="1"/>
  <c r="R344" i="17"/>
  <c r="R384" i="17" a="1"/>
  <c r="R384" i="17"/>
  <c r="R25" i="17" a="1"/>
  <c r="R25" i="17" s="1"/>
  <c r="R65" i="17" a="1"/>
  <c r="R65" i="17" s="1"/>
  <c r="R220" i="17" a="1"/>
  <c r="R220" i="17" s="1"/>
  <c r="R221" i="17" a="1"/>
  <c r="R221" i="17" s="1"/>
  <c r="R222" i="17" a="1"/>
  <c r="R222" i="17" s="1"/>
  <c r="R223" i="17" a="1"/>
  <c r="R223" i="17" s="1"/>
  <c r="R224" i="17" a="1"/>
  <c r="R224" i="17" s="1"/>
  <c r="R225" i="17" a="1"/>
  <c r="R225" i="17" s="1"/>
  <c r="R345" i="17" a="1"/>
  <c r="R345" i="17" s="1"/>
  <c r="R385" i="17" a="1"/>
  <c r="R385" i="17" s="1"/>
  <c r="R26" i="17" a="1"/>
  <c r="R26" i="17" s="1"/>
  <c r="R66" i="17" a="1"/>
  <c r="R66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 s="1"/>
  <c r="R346" i="17" a="1"/>
  <c r="R346" i="17" s="1"/>
  <c r="R386" i="17" a="1"/>
  <c r="R386" i="17" s="1"/>
  <c r="R27" i="17" a="1"/>
  <c r="R27" i="17" s="1"/>
  <c r="R67" i="17" a="1"/>
  <c r="R67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347" i="17" a="1"/>
  <c r="R347" i="17" s="1"/>
  <c r="R387" i="17" a="1"/>
  <c r="R387" i="17" s="1"/>
  <c r="R28" i="17" a="1"/>
  <c r="R28" i="17" s="1"/>
  <c r="R68" i="17" a="1"/>
  <c r="R68" i="17" s="1"/>
  <c r="R238" i="17" a="1"/>
  <c r="R238" i="17" s="1"/>
  <c r="R239" i="17" a="1"/>
  <c r="R239" i="17" s="1"/>
  <c r="R240" i="17" a="1"/>
  <c r="R240" i="17" s="1"/>
  <c r="R241" i="17" a="1"/>
  <c r="R241" i="17" s="1"/>
  <c r="R242" i="17" a="1"/>
  <c r="R242" i="17" s="1"/>
  <c r="R243" i="17" a="1"/>
  <c r="R243" i="17" s="1"/>
  <c r="R348" i="17" a="1"/>
  <c r="R348" i="17"/>
  <c r="R388" i="17" a="1"/>
  <c r="R388" i="17" s="1"/>
  <c r="R29" i="17" a="1"/>
  <c r="R29" i="17" s="1"/>
  <c r="R69" i="17" a="1"/>
  <c r="R69" i="17" s="1"/>
  <c r="R244" i="17" a="1"/>
  <c r="R244" i="17" s="1"/>
  <c r="R245" i="17" a="1"/>
  <c r="R245" i="17" s="1"/>
  <c r="R246" i="17" a="1"/>
  <c r="R246" i="17" s="1"/>
  <c r="R247" i="17" a="1"/>
  <c r="R247" i="17"/>
  <c r="R248" i="17" a="1"/>
  <c r="R248" i="17" s="1"/>
  <c r="R249" i="17" a="1"/>
  <c r="R249" i="17" s="1"/>
  <c r="R349" i="17" a="1"/>
  <c r="R349" i="17" s="1"/>
  <c r="R389" i="17" a="1"/>
  <c r="R389" i="17" s="1"/>
  <c r="R30" i="17" a="1"/>
  <c r="R30" i="17" s="1"/>
  <c r="R70" i="17" a="1"/>
  <c r="R70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 s="1"/>
  <c r="R350" i="17" a="1"/>
  <c r="R350" i="17" s="1"/>
  <c r="R390" i="17" a="1"/>
  <c r="R390" i="17" s="1"/>
  <c r="R31" i="17" a="1"/>
  <c r="R31" i="17" s="1"/>
  <c r="R71" i="17" a="1"/>
  <c r="R71" i="17" s="1"/>
  <c r="R256" i="17" a="1"/>
  <c r="R256" i="17" s="1"/>
  <c r="R257" i="17" a="1"/>
  <c r="R257" i="17" s="1"/>
  <c r="R258" i="17" a="1"/>
  <c r="R258" i="17" s="1"/>
  <c r="R259" i="17" a="1"/>
  <c r="R259" i="17" s="1"/>
  <c r="R260" i="17" a="1"/>
  <c r="R260" i="17" s="1"/>
  <c r="R261" i="17" a="1"/>
  <c r="R261" i="17" s="1"/>
  <c r="R351" i="17" a="1"/>
  <c r="R351" i="17" s="1"/>
  <c r="R391" i="17" a="1"/>
  <c r="R391" i="17" s="1"/>
  <c r="R32" i="17" a="1"/>
  <c r="R32" i="17" s="1"/>
  <c r="R72" i="17" a="1"/>
  <c r="R72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/>
  <c r="R352" i="17" a="1"/>
  <c r="R352" i="17" s="1"/>
  <c r="R392" i="17" a="1"/>
  <c r="R392" i="17"/>
  <c r="R33" i="17" a="1"/>
  <c r="R33" i="17" s="1"/>
  <c r="R73" i="17" a="1"/>
  <c r="R73" i="17" s="1"/>
  <c r="R268" i="17" a="1"/>
  <c r="R268" i="17" s="1"/>
  <c r="R269" i="17" a="1"/>
  <c r="R269" i="17" s="1"/>
  <c r="R270" i="17" a="1"/>
  <c r="R270" i="17" s="1"/>
  <c r="R271" i="17" a="1"/>
  <c r="R271" i="17"/>
  <c r="R272" i="17" a="1"/>
  <c r="R272" i="17" s="1"/>
  <c r="R273" i="17" a="1"/>
  <c r="R273" i="17" s="1"/>
  <c r="R353" i="17" a="1"/>
  <c r="R353" i="17" s="1"/>
  <c r="R393" i="17" a="1"/>
  <c r="R393" i="17" s="1"/>
  <c r="R34" i="17" a="1"/>
  <c r="R34" i="17" s="1"/>
  <c r="R74" i="17" a="1"/>
  <c r="R74" i="17" s="1"/>
  <c r="R274" i="17" a="1"/>
  <c r="R274" i="17" s="1"/>
  <c r="R275" i="17" a="1"/>
  <c r="R275" i="17"/>
  <c r="R276" i="17" a="1"/>
  <c r="R276" i="17"/>
  <c r="R277" i="17" a="1"/>
  <c r="R277" i="17" s="1"/>
  <c r="R278" i="17" a="1"/>
  <c r="R278" i="17" s="1"/>
  <c r="R279" i="17" a="1"/>
  <c r="R279" i="17" s="1"/>
  <c r="R354" i="17" a="1"/>
  <c r="R354" i="17" s="1"/>
  <c r="R394" i="17" a="1"/>
  <c r="R394" i="17" s="1"/>
  <c r="R35" i="17" a="1"/>
  <c r="R35" i="17" s="1"/>
  <c r="R75" i="17" a="1"/>
  <c r="R75" i="17" s="1"/>
  <c r="R280" i="17" a="1"/>
  <c r="R280" i="17" s="1"/>
  <c r="R281" i="17" a="1"/>
  <c r="R281" i="17" s="1"/>
  <c r="R282" i="17" a="1"/>
  <c r="R282" i="17" s="1"/>
  <c r="R283" i="17" a="1"/>
  <c r="R283" i="17" s="1"/>
  <c r="R284" i="17" a="1"/>
  <c r="R284" i="17" s="1"/>
  <c r="R285" i="17" a="1"/>
  <c r="R285" i="17" s="1"/>
  <c r="R355" i="17" a="1"/>
  <c r="R355" i="17" s="1"/>
  <c r="R395" i="17" a="1"/>
  <c r="R395" i="17" s="1"/>
  <c r="R36" i="17" a="1"/>
  <c r="R36" i="17"/>
  <c r="R76" i="17" a="1"/>
  <c r="R76" i="17"/>
  <c r="R286" i="17" a="1"/>
  <c r="R286" i="17" s="1"/>
  <c r="R287" i="17" a="1"/>
  <c r="R287" i="17" s="1"/>
  <c r="R288" i="17" a="1"/>
  <c r="R288" i="17" s="1"/>
  <c r="R289" i="17" a="1"/>
  <c r="R289" i="17" s="1"/>
  <c r="R290" i="17" a="1"/>
  <c r="R290" i="17" s="1"/>
  <c r="R291" i="17" a="1"/>
  <c r="R291" i="17" s="1"/>
  <c r="R356" i="17" a="1"/>
  <c r="R356" i="17" s="1"/>
  <c r="R396" i="17" a="1"/>
  <c r="R396" i="17"/>
  <c r="R37" i="17" a="1"/>
  <c r="R37" i="17" s="1"/>
  <c r="R77" i="17" a="1"/>
  <c r="R77" i="17" s="1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/>
  <c r="R297" i="17" a="1"/>
  <c r="R297" i="17"/>
  <c r="R357" i="17" a="1"/>
  <c r="R357" i="17" s="1"/>
  <c r="R397" i="17" a="1"/>
  <c r="R397" i="17" s="1"/>
  <c r="R38" i="17" a="1"/>
  <c r="R38" i="17" s="1"/>
  <c r="R78" i="17" a="1"/>
  <c r="R78" i="17" s="1"/>
  <c r="R298" i="17" a="1"/>
  <c r="R298" i="17" s="1"/>
  <c r="R299" i="17" a="1"/>
  <c r="R299" i="17" s="1"/>
  <c r="R300" i="17" a="1"/>
  <c r="R300" i="17" s="1"/>
  <c r="R301" i="17" a="1"/>
  <c r="R301" i="17" s="1"/>
  <c r="R302" i="17" a="1"/>
  <c r="R302" i="17" s="1"/>
  <c r="R303" i="17" a="1"/>
  <c r="R303" i="17" s="1"/>
  <c r="R358" i="17" a="1"/>
  <c r="R358" i="17" s="1"/>
  <c r="R398" i="17" a="1"/>
  <c r="R398" i="17" s="1"/>
  <c r="R39" i="17" a="1"/>
  <c r="R39" i="17" s="1"/>
  <c r="R79" i="17" a="1"/>
  <c r="R79" i="17" s="1"/>
  <c r="R304" i="17" a="1"/>
  <c r="R304" i="17" s="1"/>
  <c r="R305" i="17" a="1"/>
  <c r="R305" i="17" s="1"/>
  <c r="R306" i="17" a="1"/>
  <c r="R306" i="17" s="1"/>
  <c r="R307" i="17" a="1"/>
  <c r="R307" i="17" s="1"/>
  <c r="R308" i="17" a="1"/>
  <c r="R308" i="17" s="1"/>
  <c r="R309" i="17" a="1"/>
  <c r="R309" i="17" s="1"/>
  <c r="R359" i="17" a="1"/>
  <c r="R359" i="17" s="1"/>
  <c r="R399" i="17" a="1"/>
  <c r="R399" i="17" s="1"/>
  <c r="R40" i="17" a="1"/>
  <c r="R40" i="17" s="1"/>
  <c r="R80" i="17" a="1"/>
  <c r="R80" i="17" s="1"/>
  <c r="R310" i="17" a="1"/>
  <c r="R310" i="17" s="1"/>
  <c r="R311" i="17" a="1"/>
  <c r="R311" i="17" s="1"/>
  <c r="R312" i="17" a="1"/>
  <c r="R312" i="17" s="1"/>
  <c r="R313" i="17" a="1"/>
  <c r="R313" i="17" s="1"/>
  <c r="R314" i="17" a="1"/>
  <c r="R314" i="17" s="1"/>
  <c r="R315" i="17" a="1"/>
  <c r="R315" i="17" s="1"/>
  <c r="R360" i="17" a="1"/>
  <c r="R360" i="17" s="1"/>
  <c r="R400" i="17" a="1"/>
  <c r="R400" i="17" s="1"/>
  <c r="R41" i="17" a="1"/>
  <c r="R41" i="17" s="1"/>
  <c r="R81" i="17" a="1"/>
  <c r="R81" i="17" s="1"/>
  <c r="R316" i="17" a="1"/>
  <c r="R316" i="17" s="1"/>
  <c r="R317" i="17" a="1"/>
  <c r="R317" i="17" s="1"/>
  <c r="R318" i="17" a="1"/>
  <c r="R318" i="17" s="1"/>
  <c r="R319" i="17" a="1"/>
  <c r="R319" i="17" s="1"/>
  <c r="R320" i="17" a="1"/>
  <c r="R320" i="17"/>
  <c r="R321" i="17" a="1"/>
  <c r="R321" i="17" s="1"/>
  <c r="R361" i="17" a="1"/>
  <c r="R361" i="17" s="1"/>
  <c r="R401" i="17" a="1"/>
  <c r="R401" i="17" s="1"/>
  <c r="S2" i="17" a="1"/>
  <c r="S2" i="17" s="1"/>
  <c r="S42" i="17" a="1"/>
  <c r="S42" i="17" s="1"/>
  <c r="S82" i="17" a="1"/>
  <c r="S82" i="17" s="1"/>
  <c r="S83" i="17" a="1"/>
  <c r="S83" i="17" s="1"/>
  <c r="S84" i="17" a="1"/>
  <c r="S84" i="17" s="1"/>
  <c r="S85" i="17" a="1"/>
  <c r="S85" i="17" s="1"/>
  <c r="S86" i="17" a="1"/>
  <c r="S86" i="17" s="1"/>
  <c r="S87" i="17" a="1"/>
  <c r="S87" i="17" s="1"/>
  <c r="S322" i="17" a="1"/>
  <c r="S322" i="17" s="1"/>
  <c r="S362" i="17" a="1"/>
  <c r="S362" i="17" s="1"/>
  <c r="S3" i="17" a="1"/>
  <c r="S3" i="17" s="1"/>
  <c r="S43" i="17" a="1"/>
  <c r="S43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 s="1"/>
  <c r="S93" i="17" a="1"/>
  <c r="S93" i="17" s="1"/>
  <c r="S323" i="17" a="1"/>
  <c r="S323" i="17" s="1"/>
  <c r="S363" i="17" a="1"/>
  <c r="S363" i="17" s="1"/>
  <c r="S4" i="17" a="1"/>
  <c r="S4" i="17" s="1"/>
  <c r="S44" i="17" a="1"/>
  <c r="S44" i="17" s="1"/>
  <c r="S94" i="17" a="1"/>
  <c r="S94" i="17" s="1"/>
  <c r="S95" i="17" a="1"/>
  <c r="S95" i="17" s="1"/>
  <c r="S96" i="17" a="1"/>
  <c r="S96" i="17" s="1"/>
  <c r="S97" i="17" a="1"/>
  <c r="S97" i="17" s="1"/>
  <c r="S98" i="17" a="1"/>
  <c r="S98" i="17" s="1"/>
  <c r="S99" i="17" a="1"/>
  <c r="S99" i="17" s="1"/>
  <c r="S324" i="17" a="1"/>
  <c r="S324" i="17" s="1"/>
  <c r="S364" i="17" a="1"/>
  <c r="S364" i="17" s="1"/>
  <c r="S5" i="17" a="1"/>
  <c r="S5" i="17" s="1"/>
  <c r="S45" i="17" a="1"/>
  <c r="S45" i="17" s="1"/>
  <c r="S100" i="17" a="1"/>
  <c r="S100" i="17" s="1"/>
  <c r="S101" i="17" a="1"/>
  <c r="S101" i="17" s="1"/>
  <c r="S102" i="17" a="1"/>
  <c r="S102" i="17" s="1"/>
  <c r="S103" i="17" a="1"/>
  <c r="S103" i="17"/>
  <c r="S104" i="17" a="1"/>
  <c r="S104" i="17" s="1"/>
  <c r="S105" i="17" a="1"/>
  <c r="S105" i="17"/>
  <c r="S325" i="17" a="1"/>
  <c r="S325" i="17" s="1"/>
  <c r="S365" i="17" a="1"/>
  <c r="S365" i="17" s="1"/>
  <c r="S6" i="17" a="1"/>
  <c r="S6" i="17" s="1"/>
  <c r="S46" i="17" a="1"/>
  <c r="S46" i="17" s="1"/>
  <c r="S106" i="17" a="1"/>
  <c r="S106" i="17" s="1"/>
  <c r="S107" i="17" a="1"/>
  <c r="S107" i="17" s="1"/>
  <c r="S108" i="17" a="1"/>
  <c r="S108" i="17" s="1"/>
  <c r="S109" i="17" a="1"/>
  <c r="S109" i="17" s="1"/>
  <c r="S110" i="17" a="1"/>
  <c r="S110" i="17" s="1"/>
  <c r="S111" i="17" a="1"/>
  <c r="S111" i="17" s="1"/>
  <c r="S326" i="17" a="1"/>
  <c r="S326" i="17" s="1"/>
  <c r="S366" i="17" a="1"/>
  <c r="S366" i="17" s="1"/>
  <c r="S7" i="17" a="1"/>
  <c r="S7" i="17" s="1"/>
  <c r="S47" i="17" a="1"/>
  <c r="S47" i="17"/>
  <c r="S112" i="17" a="1"/>
  <c r="S112" i="17"/>
  <c r="S113" i="17" a="1"/>
  <c r="S113" i="17" s="1"/>
  <c r="S114" i="17" a="1"/>
  <c r="S114" i="17" s="1"/>
  <c r="S115" i="17" a="1"/>
  <c r="S115" i="17" s="1"/>
  <c r="S116" i="17" a="1"/>
  <c r="S116" i="17" s="1"/>
  <c r="S117" i="17" a="1"/>
  <c r="S117" i="17" s="1"/>
  <c r="S327" i="17" a="1"/>
  <c r="S327" i="17" s="1"/>
  <c r="S367" i="17" a="1"/>
  <c r="S367" i="17" s="1"/>
  <c r="S8" i="17" a="1"/>
  <c r="S8" i="17" s="1"/>
  <c r="S48" i="17" a="1"/>
  <c r="S48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 s="1"/>
  <c r="S123" i="17" a="1"/>
  <c r="S123" i="17" s="1"/>
  <c r="S328" i="17" a="1"/>
  <c r="S328" i="17"/>
  <c r="S368" i="17" a="1"/>
  <c r="S368" i="17" s="1"/>
  <c r="S9" i="17" a="1"/>
  <c r="S9" i="17" s="1"/>
  <c r="S49" i="17" a="1"/>
  <c r="S49" i="17" s="1"/>
  <c r="S124" i="17" a="1"/>
  <c r="S124" i="17" s="1"/>
  <c r="S125" i="17" a="1"/>
  <c r="S125" i="17" s="1"/>
  <c r="S126" i="17" a="1"/>
  <c r="S126" i="17" s="1"/>
  <c r="S127" i="17" a="1"/>
  <c r="S127" i="17" s="1"/>
  <c r="S128" i="17" a="1"/>
  <c r="S128" i="17" s="1"/>
  <c r="S129" i="17" a="1"/>
  <c r="S129" i="17"/>
  <c r="S329" i="17" a="1"/>
  <c r="S329" i="17" s="1"/>
  <c r="S369" i="17" a="1"/>
  <c r="S369" i="17" s="1"/>
  <c r="S10" i="17" a="1"/>
  <c r="S10" i="17" s="1"/>
  <c r="S50" i="17" a="1"/>
  <c r="S50" i="17" s="1"/>
  <c r="S130" i="17" a="1"/>
  <c r="S130" i="17" s="1"/>
  <c r="S131" i="17" a="1"/>
  <c r="S131" i="17" s="1"/>
  <c r="S132" i="17" a="1"/>
  <c r="S132" i="17"/>
  <c r="S133" i="17" a="1"/>
  <c r="S133" i="17"/>
  <c r="S134" i="17" a="1"/>
  <c r="S134" i="17" s="1"/>
  <c r="S135" i="17" a="1"/>
  <c r="S135" i="17" s="1"/>
  <c r="S330" i="17" a="1"/>
  <c r="S330" i="17" s="1"/>
  <c r="S370" i="17" a="1"/>
  <c r="S370" i="17" s="1"/>
  <c r="S11" i="17" a="1"/>
  <c r="S11" i="17" s="1"/>
  <c r="S51" i="17" a="1"/>
  <c r="S51" i="17" s="1"/>
  <c r="S136" i="17" a="1"/>
  <c r="S136" i="17" s="1"/>
  <c r="S137" i="17" a="1"/>
  <c r="S137" i="17" s="1"/>
  <c r="S138" i="17" a="1"/>
  <c r="S138" i="17" s="1"/>
  <c r="S139" i="17" a="1"/>
  <c r="S139" i="17" s="1"/>
  <c r="S140" i="17" a="1"/>
  <c r="S140" i="17" s="1"/>
  <c r="S141" i="17" a="1"/>
  <c r="S141" i="17" s="1"/>
  <c r="S331" i="17" a="1"/>
  <c r="S331" i="17" s="1"/>
  <c r="S371" i="17" a="1"/>
  <c r="S371" i="17" s="1"/>
  <c r="S12" i="17" a="1"/>
  <c r="S12" i="17" s="1"/>
  <c r="S52" i="17" a="1"/>
  <c r="S52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 s="1"/>
  <c r="S332" i="17" a="1"/>
  <c r="S332" i="17" s="1"/>
  <c r="S372" i="17" a="1"/>
  <c r="S372" i="17" s="1"/>
  <c r="S13" i="17" a="1"/>
  <c r="S13" i="17" s="1"/>
  <c r="S53" i="17" a="1"/>
  <c r="S53" i="17" s="1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333" i="17" a="1"/>
  <c r="S333" i="17" s="1"/>
  <c r="S373" i="17" a="1"/>
  <c r="S373" i="17" s="1"/>
  <c r="S14" i="17" a="1"/>
  <c r="S14" i="17" s="1"/>
  <c r="S54" i="17" a="1"/>
  <c r="S54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334" i="17" a="1"/>
  <c r="S334" i="17" s="1"/>
  <c r="S374" i="17" a="1"/>
  <c r="S374" i="17" s="1"/>
  <c r="S15" i="17" a="1"/>
  <c r="S15" i="17" s="1"/>
  <c r="S55" i="17" a="1"/>
  <c r="S55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335" i="17" a="1"/>
  <c r="S335" i="17" s="1"/>
  <c r="S375" i="17" a="1"/>
  <c r="S375" i="17" s="1"/>
  <c r="S16" i="17" a="1"/>
  <c r="S16" i="17" s="1"/>
  <c r="S56" i="17" a="1"/>
  <c r="S56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336" i="17" a="1"/>
  <c r="S336" i="17" s="1"/>
  <c r="S376" i="17" a="1"/>
  <c r="S376" i="17" s="1"/>
  <c r="S17" i="17" a="1"/>
  <c r="S17" i="17" s="1"/>
  <c r="S57" i="17" a="1"/>
  <c r="S57" i="17" s="1"/>
  <c r="S172" i="17" a="1"/>
  <c r="S172" i="17" s="1"/>
  <c r="S173" i="17" a="1"/>
  <c r="S173" i="17" s="1"/>
  <c r="S174" i="17" a="1"/>
  <c r="S174" i="17" s="1"/>
  <c r="S175" i="17" a="1"/>
  <c r="S175" i="17" s="1"/>
  <c r="S176" i="17" a="1"/>
  <c r="S176" i="17" s="1"/>
  <c r="S177" i="17" a="1"/>
  <c r="S177" i="17" s="1"/>
  <c r="S337" i="17" a="1"/>
  <c r="S337" i="17" s="1"/>
  <c r="S377" i="17" a="1"/>
  <c r="S377" i="17" s="1"/>
  <c r="S18" i="17" a="1"/>
  <c r="S18" i="17" s="1"/>
  <c r="S58" i="17" a="1"/>
  <c r="S58" i="17" s="1"/>
  <c r="S178" i="17" a="1"/>
  <c r="S178" i="17" s="1"/>
  <c r="S179" i="17" a="1"/>
  <c r="S179" i="17"/>
  <c r="S180" i="17" a="1"/>
  <c r="S180" i="17" s="1"/>
  <c r="S181" i="17" a="1"/>
  <c r="S181" i="17"/>
  <c r="S182" i="17" a="1"/>
  <c r="S182" i="17" s="1"/>
  <c r="S183" i="17" a="1"/>
  <c r="S183" i="17" s="1"/>
  <c r="S338" i="17" a="1"/>
  <c r="S338" i="17" s="1"/>
  <c r="S378" i="17" a="1"/>
  <c r="S378" i="17" s="1"/>
  <c r="S19" i="17" a="1"/>
  <c r="S19" i="17" s="1"/>
  <c r="S59" i="17" a="1"/>
  <c r="S59" i="17" s="1"/>
  <c r="S184" i="17" a="1"/>
  <c r="S184" i="17" s="1"/>
  <c r="S185" i="17" a="1"/>
  <c r="S185" i="17" s="1"/>
  <c r="S186" i="17" a="1"/>
  <c r="S186" i="17" s="1"/>
  <c r="S187" i="17" a="1"/>
  <c r="S187" i="17" s="1"/>
  <c r="S188" i="17" a="1"/>
  <c r="S188" i="17" s="1"/>
  <c r="S189" i="17" a="1"/>
  <c r="S189" i="17" s="1"/>
  <c r="S339" i="17" a="1"/>
  <c r="S339" i="17" s="1"/>
  <c r="S379" i="17" a="1"/>
  <c r="S379" i="17"/>
  <c r="S20" i="17" a="1"/>
  <c r="S20" i="17"/>
  <c r="S60" i="17" a="1"/>
  <c r="S60" i="17" s="1"/>
  <c r="S190" i="17" a="1"/>
  <c r="S190" i="17"/>
  <c r="S191" i="17" a="1"/>
  <c r="S191" i="17" s="1"/>
  <c r="S192" i="17" a="1"/>
  <c r="S192" i="17" s="1"/>
  <c r="S193" i="17" a="1"/>
  <c r="S193" i="17" s="1"/>
  <c r="S194" i="17" a="1"/>
  <c r="S194" i="17" s="1"/>
  <c r="S195" i="17" a="1"/>
  <c r="S195" i="17" s="1"/>
  <c r="S340" i="17" a="1"/>
  <c r="S340" i="17"/>
  <c r="S380" i="17" a="1"/>
  <c r="S380" i="17" s="1"/>
  <c r="S21" i="17" a="1"/>
  <c r="S21" i="17" s="1"/>
  <c r="S61" i="17" a="1"/>
  <c r="S61" i="17"/>
  <c r="S196" i="17" a="1"/>
  <c r="S196" i="17" s="1"/>
  <c r="S197" i="17" a="1"/>
  <c r="S197" i="17" s="1"/>
  <c r="S198" i="17" a="1"/>
  <c r="S198" i="17"/>
  <c r="S199" i="17" a="1"/>
  <c r="S199" i="17" s="1"/>
  <c r="S200" i="17" a="1"/>
  <c r="S200" i="17" s="1"/>
  <c r="S201" i="17" a="1"/>
  <c r="S201" i="17" s="1"/>
  <c r="S341" i="17" a="1"/>
  <c r="S341" i="17" s="1"/>
  <c r="S381" i="17" a="1"/>
  <c r="S381" i="17"/>
  <c r="S22" i="17" a="1"/>
  <c r="S22" i="17" s="1"/>
  <c r="S62" i="17" a="1"/>
  <c r="S62" i="17" s="1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 s="1"/>
  <c r="S342" i="17" a="1"/>
  <c r="S342" i="17" s="1"/>
  <c r="S382" i="17" a="1"/>
  <c r="S382" i="17" s="1"/>
  <c r="S23" i="17" a="1"/>
  <c r="S23" i="17" s="1"/>
  <c r="S63" i="17" a="1"/>
  <c r="S63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343" i="17" a="1"/>
  <c r="S343" i="17" s="1"/>
  <c r="S383" i="17" a="1"/>
  <c r="S383" i="17" s="1"/>
  <c r="S24" i="17" a="1"/>
  <c r="S24" i="17" s="1"/>
  <c r="S64" i="17" a="1"/>
  <c r="S64" i="17" s="1"/>
  <c r="S214" i="17" a="1"/>
  <c r="S214" i="17" s="1"/>
  <c r="S215" i="17" a="1"/>
  <c r="S215" i="17"/>
  <c r="S216" i="17" a="1"/>
  <c r="S216" i="17" s="1"/>
  <c r="S217" i="17" a="1"/>
  <c r="S217" i="17" s="1"/>
  <c r="S218" i="17" a="1"/>
  <c r="S218" i="17" s="1"/>
  <c r="S219" i="17" a="1"/>
  <c r="S219" i="17"/>
  <c r="S344" i="17" a="1"/>
  <c r="S344" i="17" s="1"/>
  <c r="S384" i="17" a="1"/>
  <c r="S384" i="17" s="1"/>
  <c r="S25" i="17" a="1"/>
  <c r="S25" i="17" s="1"/>
  <c r="S65" i="17" a="1"/>
  <c r="S65" i="17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 s="1"/>
  <c r="S225" i="17" a="1"/>
  <c r="S225" i="17" s="1"/>
  <c r="S345" i="17" a="1"/>
  <c r="S345" i="17" s="1"/>
  <c r="S385" i="17" a="1"/>
  <c r="S385" i="17" s="1"/>
  <c r="S26" i="17" a="1"/>
  <c r="S26" i="17" s="1"/>
  <c r="S66" i="17" a="1"/>
  <c r="S66" i="17" s="1"/>
  <c r="S226" i="17" a="1"/>
  <c r="S226" i="17" s="1"/>
  <c r="S227" i="17" a="1"/>
  <c r="S227" i="17" s="1"/>
  <c r="S228" i="17" a="1"/>
  <c r="S228" i="17" s="1"/>
  <c r="S229" i="17" a="1"/>
  <c r="S229" i="17" s="1"/>
  <c r="S230" i="17" a="1"/>
  <c r="S230" i="17" s="1"/>
  <c r="S231" i="17" a="1"/>
  <c r="S231" i="17" s="1"/>
  <c r="S346" i="17" a="1"/>
  <c r="S346" i="17" s="1"/>
  <c r="S386" i="17" a="1"/>
  <c r="S386" i="17" s="1"/>
  <c r="S27" i="17" a="1"/>
  <c r="S27" i="17" s="1"/>
  <c r="S67" i="17" a="1"/>
  <c r="S67" i="17" s="1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 s="1"/>
  <c r="S347" i="17" a="1"/>
  <c r="S347" i="17"/>
  <c r="S387" i="17" a="1"/>
  <c r="S387" i="17" s="1"/>
  <c r="S28" i="17" a="1"/>
  <c r="S28" i="17" s="1"/>
  <c r="S68" i="17" a="1"/>
  <c r="S68" i="17" s="1"/>
  <c r="S238" i="17" a="1"/>
  <c r="S238" i="17" s="1"/>
  <c r="S239" i="17" a="1"/>
  <c r="S239" i="17" s="1"/>
  <c r="S240" i="17" a="1"/>
  <c r="S240" i="17" s="1"/>
  <c r="S241" i="17" a="1"/>
  <c r="S241" i="17"/>
  <c r="S242" i="17" a="1"/>
  <c r="S242" i="17" s="1"/>
  <c r="S243" i="17" a="1"/>
  <c r="S243" i="17" s="1"/>
  <c r="S348" i="17" a="1"/>
  <c r="S348" i="17" s="1"/>
  <c r="S388" i="17" a="1"/>
  <c r="S388" i="17" s="1"/>
  <c r="S29" i="17" a="1"/>
  <c r="S29" i="17" s="1"/>
  <c r="S69" i="17" a="1"/>
  <c r="S69" i="17" s="1"/>
  <c r="S244" i="17" a="1"/>
  <c r="S244" i="17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349" i="17" a="1"/>
  <c r="S349" i="17" s="1"/>
  <c r="S389" i="17" a="1"/>
  <c r="S389" i="17" s="1"/>
  <c r="S30" i="17" a="1"/>
  <c r="S30" i="17" s="1"/>
  <c r="S70" i="17" a="1"/>
  <c r="S70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 s="1"/>
  <c r="S255" i="17" a="1"/>
  <c r="S255" i="17" s="1"/>
  <c r="S350" i="17" a="1"/>
  <c r="S350" i="17" s="1"/>
  <c r="S390" i="17" a="1"/>
  <c r="S390" i="17" s="1"/>
  <c r="S31" i="17" a="1"/>
  <c r="S31" i="17" s="1"/>
  <c r="S71" i="17" a="1"/>
  <c r="S71" i="17" s="1"/>
  <c r="S256" i="17" a="1"/>
  <c r="S256" i="17" s="1"/>
  <c r="S257" i="17" a="1"/>
  <c r="S257" i="17" s="1"/>
  <c r="S258" i="17" a="1"/>
  <c r="S258" i="17" s="1"/>
  <c r="S259" i="17" a="1"/>
  <c r="S259" i="17" s="1"/>
  <c r="S260" i="17" a="1"/>
  <c r="S260" i="17" s="1"/>
  <c r="S261" i="17" a="1"/>
  <c r="S261" i="17" s="1"/>
  <c r="S351" i="17" a="1"/>
  <c r="S351" i="17" s="1"/>
  <c r="S391" i="17" a="1"/>
  <c r="S391" i="17" s="1"/>
  <c r="S32" i="17" a="1"/>
  <c r="S32" i="17" s="1"/>
  <c r="S72" i="17" a="1"/>
  <c r="S72" i="17"/>
  <c r="S262" i="17" a="1"/>
  <c r="S262" i="17" s="1"/>
  <c r="S263" i="17" a="1"/>
  <c r="S263" i="17" s="1"/>
  <c r="S264" i="17" a="1"/>
  <c r="S264" i="17" s="1"/>
  <c r="S265" i="17" a="1"/>
  <c r="S265" i="17" s="1"/>
  <c r="S266" i="17" a="1"/>
  <c r="S266" i="17" s="1"/>
  <c r="S267" i="17" a="1"/>
  <c r="S267" i="17" s="1"/>
  <c r="S352" i="17" a="1"/>
  <c r="S352" i="17" s="1"/>
  <c r="S392" i="17" a="1"/>
  <c r="S392" i="17" s="1"/>
  <c r="S33" i="17" a="1"/>
  <c r="S33" i="17" s="1"/>
  <c r="S73" i="17" a="1"/>
  <c r="S73" i="17" s="1"/>
  <c r="S268" i="17" a="1"/>
  <c r="S268" i="17" s="1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353" i="17" a="1"/>
  <c r="S353" i="17" s="1"/>
  <c r="S393" i="17" a="1"/>
  <c r="S393" i="17" s="1"/>
  <c r="S34" i="17" a="1"/>
  <c r="S34" i="17" s="1"/>
  <c r="S74" i="17" a="1"/>
  <c r="S74" i="17" s="1"/>
  <c r="S274" i="17" a="1"/>
  <c r="S274" i="17" s="1"/>
  <c r="S275" i="17" a="1"/>
  <c r="S275" i="17" s="1"/>
  <c r="S276" i="17" a="1"/>
  <c r="S276" i="17" s="1"/>
  <c r="S277" i="17" a="1"/>
  <c r="S277" i="17"/>
  <c r="S278" i="17" a="1"/>
  <c r="S278" i="17" s="1"/>
  <c r="S279" i="17" a="1"/>
  <c r="S279" i="17" s="1"/>
  <c r="S354" i="17" a="1"/>
  <c r="S354" i="17" s="1"/>
  <c r="S394" i="17" a="1"/>
  <c r="S394" i="17"/>
  <c r="S35" i="17" a="1"/>
  <c r="S35" i="17" s="1"/>
  <c r="S75" i="17" a="1"/>
  <c r="S75" i="17" s="1"/>
  <c r="S280" i="17" a="1"/>
  <c r="S280" i="17" s="1"/>
  <c r="S281" i="17" a="1"/>
  <c r="S281" i="17" s="1"/>
  <c r="S282" i="17" a="1"/>
  <c r="S282" i="17" s="1"/>
  <c r="S283" i="17" a="1"/>
  <c r="S283" i="17" s="1"/>
  <c r="S284" i="17" a="1"/>
  <c r="S284" i="17" s="1"/>
  <c r="S285" i="17" a="1"/>
  <c r="S285" i="17" s="1"/>
  <c r="S355" i="17" a="1"/>
  <c r="S355" i="17" s="1"/>
  <c r="S395" i="17" a="1"/>
  <c r="S395" i="17" s="1"/>
  <c r="S36" i="17" a="1"/>
  <c r="S36" i="17" s="1"/>
  <c r="S76" i="17" a="1"/>
  <c r="S76" i="17" s="1"/>
  <c r="S286" i="17" a="1"/>
  <c r="S286" i="17" s="1"/>
  <c r="S287" i="17" a="1"/>
  <c r="S287" i="17" s="1"/>
  <c r="S288" i="17" a="1"/>
  <c r="S288" i="17" s="1"/>
  <c r="S289" i="17" a="1"/>
  <c r="S289" i="17" s="1"/>
  <c r="S290" i="17" a="1"/>
  <c r="S290" i="17" s="1"/>
  <c r="S291" i="17" a="1"/>
  <c r="S291" i="17" s="1"/>
  <c r="S356" i="17" a="1"/>
  <c r="S356" i="17"/>
  <c r="S396" i="17" a="1"/>
  <c r="S396" i="17" s="1"/>
  <c r="S37" i="17" a="1"/>
  <c r="S37" i="17" s="1"/>
  <c r="S77" i="17" a="1"/>
  <c r="S77" i="17" s="1"/>
  <c r="S292" i="17" a="1"/>
  <c r="S292" i="17" s="1"/>
  <c r="S293" i="17" a="1"/>
  <c r="S293" i="17" s="1"/>
  <c r="S294" i="17" a="1"/>
  <c r="S294" i="17" s="1"/>
  <c r="S295" i="17" a="1"/>
  <c r="S295" i="17" s="1"/>
  <c r="S296" i="17" a="1"/>
  <c r="S296" i="17" s="1"/>
  <c r="S297" i="17" a="1"/>
  <c r="S297" i="17" s="1"/>
  <c r="S357" i="17" a="1"/>
  <c r="S357" i="17" s="1"/>
  <c r="S397" i="17" a="1"/>
  <c r="S397" i="17" s="1"/>
  <c r="S38" i="17" a="1"/>
  <c r="S38" i="17" s="1"/>
  <c r="S78" i="17" a="1"/>
  <c r="S78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 s="1"/>
  <c r="S358" i="17" a="1"/>
  <c r="S358" i="17"/>
  <c r="S398" i="17" a="1"/>
  <c r="S398" i="17" s="1"/>
  <c r="S39" i="17" a="1"/>
  <c r="S39" i="17" s="1"/>
  <c r="S79" i="17" a="1"/>
  <c r="S79" i="17" s="1"/>
  <c r="S304" i="17" a="1"/>
  <c r="S304" i="17" s="1"/>
  <c r="S305" i="17" a="1"/>
  <c r="S305" i="17" s="1"/>
  <c r="S306" i="17" a="1"/>
  <c r="S306" i="17" s="1"/>
  <c r="S307" i="17" a="1"/>
  <c r="S307" i="17" s="1"/>
  <c r="S308" i="17" a="1"/>
  <c r="S308" i="17" s="1"/>
  <c r="S309" i="17" a="1"/>
  <c r="S309" i="17" s="1"/>
  <c r="S359" i="17" a="1"/>
  <c r="S359" i="17" s="1"/>
  <c r="S399" i="17" a="1"/>
  <c r="S399" i="17" s="1"/>
  <c r="S40" i="17" a="1"/>
  <c r="S40" i="17" s="1"/>
  <c r="S80" i="17" a="1"/>
  <c r="S80" i="17" s="1"/>
  <c r="S310" i="17" a="1"/>
  <c r="S310" i="17" s="1"/>
  <c r="S311" i="17" a="1"/>
  <c r="S311" i="17" s="1"/>
  <c r="S312" i="17" a="1"/>
  <c r="S312" i="17" s="1"/>
  <c r="S313" i="17" a="1"/>
  <c r="S313" i="17" s="1"/>
  <c r="S314" i="17" a="1"/>
  <c r="S314" i="17" s="1"/>
  <c r="S315" i="17" a="1"/>
  <c r="S315" i="17" s="1"/>
  <c r="S360" i="17" a="1"/>
  <c r="S360" i="17" s="1"/>
  <c r="S400" i="17" a="1"/>
  <c r="S400" i="17" s="1"/>
  <c r="S41" i="17" a="1"/>
  <c r="S41" i="17" s="1"/>
  <c r="S81" i="17" a="1"/>
  <c r="S81" i="17" s="1"/>
  <c r="S316" i="17" a="1"/>
  <c r="S316" i="17" s="1"/>
  <c r="S317" i="17" a="1"/>
  <c r="S317" i="17" s="1"/>
  <c r="S318" i="17" a="1"/>
  <c r="S318" i="17" s="1"/>
  <c r="S319" i="17" a="1"/>
  <c r="S319" i="17" s="1"/>
  <c r="S320" i="17" a="1"/>
  <c r="S320" i="17" s="1"/>
  <c r="S321" i="17" a="1"/>
  <c r="S321" i="17" s="1"/>
  <c r="S361" i="17" a="1"/>
  <c r="S361" i="17" s="1"/>
  <c r="S401" i="17" a="1"/>
  <c r="S401" i="17" s="1"/>
  <c r="T2" i="17" a="1"/>
  <c r="T2" i="17" s="1"/>
  <c r="T42" i="17" a="1"/>
  <c r="T42" i="17" s="1"/>
  <c r="T82" i="17" a="1"/>
  <c r="T82" i="17" s="1"/>
  <c r="T83" i="17" a="1"/>
  <c r="T83" i="17" s="1"/>
  <c r="T84" i="17" a="1"/>
  <c r="T84" i="17" s="1"/>
  <c r="T85" i="17" a="1"/>
  <c r="T85" i="17" s="1"/>
  <c r="T86" i="17" a="1"/>
  <c r="T86" i="17" s="1"/>
  <c r="T87" i="17" a="1"/>
  <c r="T87" i="17" s="1"/>
  <c r="T322" i="17" a="1"/>
  <c r="T322" i="17" s="1"/>
  <c r="T362" i="17" a="1"/>
  <c r="T362" i="17" s="1"/>
  <c r="T3" i="17" a="1"/>
  <c r="T3" i="17" s="1"/>
  <c r="T43" i="17" a="1"/>
  <c r="T43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/>
  <c r="T323" i="17" a="1"/>
  <c r="T323" i="17"/>
  <c r="T363" i="17" a="1"/>
  <c r="T363" i="17" s="1"/>
  <c r="T4" i="17" a="1"/>
  <c r="T4" i="17" s="1"/>
  <c r="T44" i="17" a="1"/>
  <c r="T44" i="17" s="1"/>
  <c r="T94" i="17" a="1"/>
  <c r="T94" i="17" s="1"/>
  <c r="T95" i="17" a="1"/>
  <c r="T95" i="17" s="1"/>
  <c r="T96" i="17" a="1"/>
  <c r="T96" i="17" s="1"/>
  <c r="T97" i="17" a="1"/>
  <c r="T97" i="17"/>
  <c r="T98" i="17" a="1"/>
  <c r="T98" i="17" s="1"/>
  <c r="T99" i="17" a="1"/>
  <c r="T99" i="17" s="1"/>
  <c r="T324" i="17" a="1"/>
  <c r="T324" i="17" s="1"/>
  <c r="T364" i="17" a="1"/>
  <c r="T364" i="17" s="1"/>
  <c r="T5" i="17" a="1"/>
  <c r="T5" i="17" s="1"/>
  <c r="T45" i="17" a="1"/>
  <c r="T45" i="17" s="1"/>
  <c r="T100" i="17" a="1"/>
  <c r="T100" i="17" s="1"/>
  <c r="T101" i="17" a="1"/>
  <c r="T101" i="17" s="1"/>
  <c r="T102" i="17" a="1"/>
  <c r="T102" i="17"/>
  <c r="T103" i="17" a="1"/>
  <c r="T103" i="17" s="1"/>
  <c r="T104" i="17" a="1"/>
  <c r="T104" i="17" s="1"/>
  <c r="T105" i="17" a="1"/>
  <c r="T105" i="17" s="1"/>
  <c r="T325" i="17" a="1"/>
  <c r="T325" i="17" s="1"/>
  <c r="T365" i="17" a="1"/>
  <c r="T365" i="17" s="1"/>
  <c r="T6" i="17" a="1"/>
  <c r="T6" i="17" s="1"/>
  <c r="T46" i="17" a="1"/>
  <c r="T46" i="17" s="1"/>
  <c r="T106" i="17" a="1"/>
  <c r="T106" i="17" s="1"/>
  <c r="T107" i="17" a="1"/>
  <c r="T107" i="17" s="1"/>
  <c r="T108" i="17" a="1"/>
  <c r="T108" i="17" s="1"/>
  <c r="T109" i="17" a="1"/>
  <c r="T109" i="17" s="1"/>
  <c r="T110" i="17" a="1"/>
  <c r="T110" i="17" s="1"/>
  <c r="T111" i="17" a="1"/>
  <c r="T111" i="17" s="1"/>
  <c r="T326" i="17" a="1"/>
  <c r="T326" i="17"/>
  <c r="T366" i="17" a="1"/>
  <c r="T366" i="17" s="1"/>
  <c r="T7" i="17" a="1"/>
  <c r="T7" i="17"/>
  <c r="T47" i="17" a="1"/>
  <c r="T47" i="17" s="1"/>
  <c r="T112" i="17" a="1"/>
  <c r="T112" i="17" s="1"/>
  <c r="T113" i="17" a="1"/>
  <c r="T113" i="17" s="1"/>
  <c r="T114" i="17" a="1"/>
  <c r="T114" i="17" s="1"/>
  <c r="T115" i="17" a="1"/>
  <c r="T115" i="17" s="1"/>
  <c r="T116" i="17" a="1"/>
  <c r="T116" i="17" s="1"/>
  <c r="T117" i="17" a="1"/>
  <c r="T117" i="17" s="1"/>
  <c r="T327" i="17" a="1"/>
  <c r="T327" i="17" s="1"/>
  <c r="T367" i="17" a="1"/>
  <c r="T367" i="17" s="1"/>
  <c r="T8" i="17" a="1"/>
  <c r="T8" i="17" s="1"/>
  <c r="T48" i="17" a="1"/>
  <c r="T48" i="17" s="1"/>
  <c r="T118" i="17" a="1"/>
  <c r="T118" i="17" s="1"/>
  <c r="T119" i="17" a="1"/>
  <c r="T119" i="17" s="1"/>
  <c r="T120" i="17" a="1"/>
  <c r="T120" i="17"/>
  <c r="T121" i="17" a="1"/>
  <c r="T121" i="17" s="1"/>
  <c r="T122" i="17" a="1"/>
  <c r="T122" i="17" s="1"/>
  <c r="T123" i="17" a="1"/>
  <c r="T123" i="17" s="1"/>
  <c r="T328" i="17" a="1"/>
  <c r="T328" i="17" s="1"/>
  <c r="T368" i="17" a="1"/>
  <c r="T368" i="17" s="1"/>
  <c r="T9" i="17" a="1"/>
  <c r="T9" i="17" s="1"/>
  <c r="T49" i="17" a="1"/>
  <c r="T49" i="17" s="1"/>
  <c r="T124" i="17" a="1"/>
  <c r="T124" i="17" s="1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329" i="17" a="1"/>
  <c r="T329" i="17" s="1"/>
  <c r="T369" i="17" a="1"/>
  <c r="T369" i="17" s="1"/>
  <c r="T10" i="17" a="1"/>
  <c r="T10" i="17"/>
  <c r="T50" i="17" a="1"/>
  <c r="T50" i="17" s="1"/>
  <c r="T130" i="17" a="1"/>
  <c r="T130" i="17" s="1"/>
  <c r="T131" i="17" a="1"/>
  <c r="T131" i="17" s="1"/>
  <c r="T132" i="17" a="1"/>
  <c r="T132" i="17" s="1"/>
  <c r="T133" i="17" a="1"/>
  <c r="T133" i="17" s="1"/>
  <c r="T134" i="17" a="1"/>
  <c r="T134" i="17" s="1"/>
  <c r="T135" i="17" a="1"/>
  <c r="T135" i="17" s="1"/>
  <c r="T330" i="17" a="1"/>
  <c r="T330" i="17" s="1"/>
  <c r="T370" i="17" a="1"/>
  <c r="T370" i="17" s="1"/>
  <c r="T11" i="17" a="1"/>
  <c r="T11" i="17" s="1"/>
  <c r="T51" i="17" a="1"/>
  <c r="T51" i="17" s="1"/>
  <c r="T136" i="17" a="1"/>
  <c r="T136" i="17" s="1"/>
  <c r="T137" i="17" a="1"/>
  <c r="T137" i="17" s="1"/>
  <c r="T138" i="17" a="1"/>
  <c r="T138" i="17" s="1"/>
  <c r="T139" i="17" a="1"/>
  <c r="T139" i="17" s="1"/>
  <c r="T140" i="17" a="1"/>
  <c r="T140" i="17" s="1"/>
  <c r="T141" i="17" a="1"/>
  <c r="T141" i="17" s="1"/>
  <c r="T331" i="17" a="1"/>
  <c r="T331" i="17"/>
  <c r="T371" i="17" a="1"/>
  <c r="T371" i="17" s="1"/>
  <c r="T12" i="17" a="1"/>
  <c r="T12" i="17" s="1"/>
  <c r="T52" i="17" a="1"/>
  <c r="T52" i="17" s="1"/>
  <c r="T142" i="17" a="1"/>
  <c r="T142" i="17" s="1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332" i="17" a="1"/>
  <c r="T332" i="17" s="1"/>
  <c r="T372" i="17" a="1"/>
  <c r="T372" i="17" s="1"/>
  <c r="T13" i="17" a="1"/>
  <c r="T13" i="17" s="1"/>
  <c r="T53" i="17" a="1"/>
  <c r="T53" i="17" s="1"/>
  <c r="T148" i="17" a="1"/>
  <c r="T148" i="17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333" i="17" a="1"/>
  <c r="T333" i="17" s="1"/>
  <c r="T373" i="17" a="1"/>
  <c r="T373" i="17" s="1"/>
  <c r="T14" i="17" a="1"/>
  <c r="T14" i="17" s="1"/>
  <c r="T54" i="17" a="1"/>
  <c r="T54" i="17" s="1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 s="1"/>
  <c r="T334" i="17" a="1"/>
  <c r="T334" i="17" s="1"/>
  <c r="T374" i="17" a="1"/>
  <c r="T374" i="17" s="1"/>
  <c r="T15" i="17" a="1"/>
  <c r="T15" i="17" s="1"/>
  <c r="T55" i="17" a="1"/>
  <c r="T55" i="17" s="1"/>
  <c r="T160" i="17" a="1"/>
  <c r="T160" i="17" s="1"/>
  <c r="T161" i="17" a="1"/>
  <c r="T161" i="17" s="1"/>
  <c r="T162" i="17" a="1"/>
  <c r="T162" i="17" s="1"/>
  <c r="T163" i="17" a="1"/>
  <c r="T163" i="17" s="1"/>
  <c r="T164" i="17" a="1"/>
  <c r="T164" i="17" s="1"/>
  <c r="T165" i="17" a="1"/>
  <c r="T165" i="17" s="1"/>
  <c r="T335" i="17" a="1"/>
  <c r="T335" i="17" s="1"/>
  <c r="T375" i="17" a="1"/>
  <c r="T375" i="17" s="1"/>
  <c r="T16" i="17" a="1"/>
  <c r="T16" i="17" s="1"/>
  <c r="T56" i="17" a="1"/>
  <c r="T56" i="17" s="1"/>
  <c r="T166" i="17" a="1"/>
  <c r="T166" i="17" s="1"/>
  <c r="T167" i="17" a="1"/>
  <c r="T167" i="17" s="1"/>
  <c r="T168" i="17" a="1"/>
  <c r="T168" i="17" s="1"/>
  <c r="T169" i="17" a="1"/>
  <c r="T169" i="17"/>
  <c r="T170" i="17" a="1"/>
  <c r="T170" i="17"/>
  <c r="T171" i="17" a="1"/>
  <c r="T171" i="17" s="1"/>
  <c r="T336" i="17" a="1"/>
  <c r="T336" i="17" s="1"/>
  <c r="T376" i="17" a="1"/>
  <c r="T376" i="17" s="1"/>
  <c r="T17" i="17" a="1"/>
  <c r="T17" i="17" s="1"/>
  <c r="T57" i="17" a="1"/>
  <c r="T57" i="17" s="1"/>
  <c r="T172" i="17" a="1"/>
  <c r="T172" i="17" s="1"/>
  <c r="T173" i="17" a="1"/>
  <c r="T173" i="17" s="1"/>
  <c r="T174" i="17" a="1"/>
  <c r="T174" i="17" s="1"/>
  <c r="T175" i="17" a="1"/>
  <c r="T175" i="17" s="1"/>
  <c r="T176" i="17" a="1"/>
  <c r="T176" i="17" s="1"/>
  <c r="T177" i="17" a="1"/>
  <c r="T177" i="17" s="1"/>
  <c r="T337" i="17" a="1"/>
  <c r="T337" i="17" s="1"/>
  <c r="T377" i="17" a="1"/>
  <c r="T377" i="17" s="1"/>
  <c r="T18" i="17" a="1"/>
  <c r="T18" i="17"/>
  <c r="T58" i="17" a="1"/>
  <c r="T58" i="17" s="1"/>
  <c r="T178" i="17" a="1"/>
  <c r="T178" i="17" s="1"/>
  <c r="T179" i="17" a="1"/>
  <c r="T179" i="17" s="1"/>
  <c r="T180" i="17" a="1"/>
  <c r="T180" i="17" s="1"/>
  <c r="T181" i="17" a="1"/>
  <c r="T181" i="17" s="1"/>
  <c r="T182" i="17" a="1"/>
  <c r="T182" i="17" s="1"/>
  <c r="T183" i="17" a="1"/>
  <c r="T183" i="17" s="1"/>
  <c r="T338" i="17" a="1"/>
  <c r="T338" i="17" s="1"/>
  <c r="T378" i="17" a="1"/>
  <c r="T378" i="17" s="1"/>
  <c r="T19" i="17" a="1"/>
  <c r="T19" i="17"/>
  <c r="T59" i="17" a="1"/>
  <c r="T59" i="17" s="1"/>
  <c r="T184" i="17" a="1"/>
  <c r="T184" i="17" s="1"/>
  <c r="T185" i="17" a="1"/>
  <c r="T185" i="17" s="1"/>
  <c r="T186" i="17" a="1"/>
  <c r="T186" i="17" s="1"/>
  <c r="T187" i="17" a="1"/>
  <c r="T187" i="17" s="1"/>
  <c r="T188" i="17" a="1"/>
  <c r="T188" i="17" s="1"/>
  <c r="T189" i="17" a="1"/>
  <c r="T189" i="17" s="1"/>
  <c r="T339" i="17" a="1"/>
  <c r="T339" i="17" s="1"/>
  <c r="T379" i="17" a="1"/>
  <c r="T379" i="17" s="1"/>
  <c r="T20" i="17" a="1"/>
  <c r="T20" i="17" s="1"/>
  <c r="T60" i="17" a="1"/>
  <c r="T60" i="17" s="1"/>
  <c r="T190" i="17" a="1"/>
  <c r="T190" i="17" s="1"/>
  <c r="T191" i="17" a="1"/>
  <c r="T191" i="17" s="1"/>
  <c r="T192" i="17" a="1"/>
  <c r="T192" i="17"/>
  <c r="T193" i="17" a="1"/>
  <c r="T193" i="17" s="1"/>
  <c r="T194" i="17" a="1"/>
  <c r="T194" i="17" s="1"/>
  <c r="T195" i="17" a="1"/>
  <c r="T195" i="17" s="1"/>
  <c r="T340" i="17" a="1"/>
  <c r="T340" i="17" s="1"/>
  <c r="T380" i="17" a="1"/>
  <c r="T380" i="17" s="1"/>
  <c r="T21" i="17" a="1"/>
  <c r="T21" i="17" s="1"/>
  <c r="T61" i="17" a="1"/>
  <c r="T61" i="17" s="1"/>
  <c r="T196" i="17" a="1"/>
  <c r="T196" i="17"/>
  <c r="T197" i="17" a="1"/>
  <c r="T197" i="17" s="1"/>
  <c r="T198" i="17" a="1"/>
  <c r="T198" i="17" s="1"/>
  <c r="T199" i="17" a="1"/>
  <c r="T199" i="17" s="1"/>
  <c r="T200" i="17" a="1"/>
  <c r="T200" i="17" s="1"/>
  <c r="T201" i="17" a="1"/>
  <c r="T201" i="17" s="1"/>
  <c r="T341" i="17" a="1"/>
  <c r="T341" i="17" s="1"/>
  <c r="T381" i="17" a="1"/>
  <c r="T381" i="17" s="1"/>
  <c r="T22" i="17" a="1"/>
  <c r="T22" i="17"/>
  <c r="T62" i="17" a="1"/>
  <c r="T62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342" i="17" a="1"/>
  <c r="T342" i="17" s="1"/>
  <c r="T382" i="17" a="1"/>
  <c r="T382" i="17" s="1"/>
  <c r="T23" i="17" a="1"/>
  <c r="T23" i="17" s="1"/>
  <c r="T63" i="17" a="1"/>
  <c r="T63" i="17" s="1"/>
  <c r="T208" i="17" a="1"/>
  <c r="T208" i="17" s="1"/>
  <c r="T209" i="17" a="1"/>
  <c r="T209" i="17" s="1"/>
  <c r="T210" i="17" a="1"/>
  <c r="T210" i="17" s="1"/>
  <c r="T211" i="17" a="1"/>
  <c r="T211" i="17" s="1"/>
  <c r="T212" i="17" a="1"/>
  <c r="T212" i="17" s="1"/>
  <c r="T213" i="17" a="1"/>
  <c r="T213" i="17" s="1"/>
  <c r="T343" i="17" a="1"/>
  <c r="T343" i="17" s="1"/>
  <c r="T383" i="17" a="1"/>
  <c r="T383" i="17" s="1"/>
  <c r="T24" i="17" a="1"/>
  <c r="T24" i="17" s="1"/>
  <c r="T64" i="17" a="1"/>
  <c r="T64" i="17" s="1"/>
  <c r="T214" i="17" a="1"/>
  <c r="T214" i="17" s="1"/>
  <c r="T215" i="17" a="1"/>
  <c r="T215" i="17" s="1"/>
  <c r="T216" i="17" a="1"/>
  <c r="T216" i="17"/>
  <c r="T217" i="17" a="1"/>
  <c r="T217" i="17" s="1"/>
  <c r="T218" i="17" a="1"/>
  <c r="T218" i="17" s="1"/>
  <c r="T219" i="17" a="1"/>
  <c r="T219" i="17" s="1"/>
  <c r="T344" i="17" a="1"/>
  <c r="T344" i="17" s="1"/>
  <c r="T384" i="17" a="1"/>
  <c r="T384" i="17" s="1"/>
  <c r="T25" i="17" a="1"/>
  <c r="T25" i="17" s="1"/>
  <c r="T65" i="17" a="1"/>
  <c r="T65" i="17" s="1"/>
  <c r="T220" i="17" a="1"/>
  <c r="T220" i="17" s="1"/>
  <c r="T221" i="17" a="1"/>
  <c r="T221" i="17"/>
  <c r="T222" i="17" a="1"/>
  <c r="T222" i="17" s="1"/>
  <c r="T223" i="17" a="1"/>
  <c r="T223" i="17" s="1"/>
  <c r="T224" i="17" a="1"/>
  <c r="T224" i="17" s="1"/>
  <c r="T225" i="17" a="1"/>
  <c r="T225" i="17" s="1"/>
  <c r="T345" i="17" a="1"/>
  <c r="T345" i="17" s="1"/>
  <c r="T385" i="17" a="1"/>
  <c r="T385" i="17" s="1"/>
  <c r="T26" i="17" a="1"/>
  <c r="T26" i="17" s="1"/>
  <c r="T66" i="17" a="1"/>
  <c r="T66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346" i="17" a="1"/>
  <c r="T346" i="17" s="1"/>
  <c r="T386" i="17" a="1"/>
  <c r="T386" i="17" s="1"/>
  <c r="T27" i="17" a="1"/>
  <c r="T27" i="17" s="1"/>
  <c r="T67" i="17" a="1"/>
  <c r="T67" i="17" s="1"/>
  <c r="T232" i="17" a="1"/>
  <c r="T232" i="17" s="1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347" i="17" a="1"/>
  <c r="T347" i="17"/>
  <c r="T387" i="17" a="1"/>
  <c r="T387" i="17" s="1"/>
  <c r="T28" i="17" a="1"/>
  <c r="T28" i="17" s="1"/>
  <c r="T68" i="17" a="1"/>
  <c r="T68" i="17" s="1"/>
  <c r="T238" i="17" a="1"/>
  <c r="T238" i="17" s="1"/>
  <c r="T239" i="17" a="1"/>
  <c r="T239" i="17" s="1"/>
  <c r="T240" i="17" a="1"/>
  <c r="T240" i="17" s="1"/>
  <c r="T241" i="17" a="1"/>
  <c r="T241" i="17"/>
  <c r="T242" i="17" a="1"/>
  <c r="T242" i="17"/>
  <c r="T243" i="17" a="1"/>
  <c r="T243" i="17" s="1"/>
  <c r="T348" i="17" a="1"/>
  <c r="T348" i="17" s="1"/>
  <c r="T388" i="17" a="1"/>
  <c r="T388" i="17" s="1"/>
  <c r="T29" i="17" a="1"/>
  <c r="T29" i="17" s="1"/>
  <c r="T69" i="17" a="1"/>
  <c r="T69" i="17" s="1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49" i="17" a="1"/>
  <c r="T349" i="17" s="1"/>
  <c r="T389" i="17" a="1"/>
  <c r="T389" i="17" s="1"/>
  <c r="T30" i="17" a="1"/>
  <c r="T30" i="17" s="1"/>
  <c r="T70" i="17" a="1"/>
  <c r="T70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 s="1"/>
  <c r="T255" i="17" a="1"/>
  <c r="T255" i="17" s="1"/>
  <c r="T350" i="17" a="1"/>
  <c r="T350" i="17"/>
  <c r="T390" i="17" a="1"/>
  <c r="T390" i="17" s="1"/>
  <c r="T31" i="17" a="1"/>
  <c r="T31" i="17" s="1"/>
  <c r="T71" i="17" a="1"/>
  <c r="T71" i="17" s="1"/>
  <c r="T256" i="17" a="1"/>
  <c r="T256" i="17" s="1"/>
  <c r="T257" i="17" a="1"/>
  <c r="T257" i="17" s="1"/>
  <c r="T258" i="17" a="1"/>
  <c r="T258" i="17" s="1"/>
  <c r="T259" i="17" a="1"/>
  <c r="T259" i="17" s="1"/>
  <c r="T260" i="17" a="1"/>
  <c r="T260" i="17" s="1"/>
  <c r="T261" i="17" a="1"/>
  <c r="T261" i="17" s="1"/>
  <c r="T351" i="17" a="1"/>
  <c r="T351" i="17" s="1"/>
  <c r="T391" i="17" a="1"/>
  <c r="T391" i="17" s="1"/>
  <c r="T32" i="17" a="1"/>
  <c r="T32" i="17"/>
  <c r="T72" i="17" a="1"/>
  <c r="T72" i="17" s="1"/>
  <c r="T262" i="17" a="1"/>
  <c r="T262" i="17" s="1"/>
  <c r="T263" i="17" a="1"/>
  <c r="T263" i="17" s="1"/>
  <c r="T264" i="17" a="1"/>
  <c r="T264" i="17"/>
  <c r="T265" i="17" a="1"/>
  <c r="T265" i="17" s="1"/>
  <c r="T266" i="17" a="1"/>
  <c r="T266" i="17" s="1"/>
  <c r="T267" i="17" a="1"/>
  <c r="T267" i="17" s="1"/>
  <c r="T352" i="17" a="1"/>
  <c r="T352" i="17" s="1"/>
  <c r="T392" i="17" a="1"/>
  <c r="T392" i="17" s="1"/>
  <c r="T33" i="17" a="1"/>
  <c r="T33" i="17" s="1"/>
  <c r="T73" i="17" a="1"/>
  <c r="T73" i="17" s="1"/>
  <c r="T268" i="17" a="1"/>
  <c r="T268" i="17" s="1"/>
  <c r="T269" i="17" a="1"/>
  <c r="T269" i="17" s="1"/>
  <c r="T270" i="17" a="1"/>
  <c r="T270" i="17" s="1"/>
  <c r="T271" i="17" a="1"/>
  <c r="T271" i="17" s="1"/>
  <c r="T272" i="17" a="1"/>
  <c r="T272" i="17" s="1"/>
  <c r="T273" i="17" a="1"/>
  <c r="T273" i="17" s="1"/>
  <c r="T353" i="17" a="1"/>
  <c r="T353" i="17" s="1"/>
  <c r="T393" i="17" a="1"/>
  <c r="T393" i="17" s="1"/>
  <c r="T34" i="17" a="1"/>
  <c r="T34" i="17" s="1"/>
  <c r="T74" i="17" a="1"/>
  <c r="T74" i="17" s="1"/>
  <c r="T274" i="17" a="1"/>
  <c r="T274" i="17" s="1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 s="1"/>
  <c r="T354" i="17" a="1"/>
  <c r="T354" i="17" s="1"/>
  <c r="T394" i="17" a="1"/>
  <c r="T394" i="17" s="1"/>
  <c r="T35" i="17" a="1"/>
  <c r="T35" i="17" s="1"/>
  <c r="T75" i="17" a="1"/>
  <c r="T75" i="17" s="1"/>
  <c r="T280" i="17" a="1"/>
  <c r="T280" i="17" s="1"/>
  <c r="T281" i="17" a="1"/>
  <c r="T281" i="17" s="1"/>
  <c r="T282" i="17" a="1"/>
  <c r="T282" i="17" s="1"/>
  <c r="T283" i="17" a="1"/>
  <c r="T283" i="17" s="1"/>
  <c r="T284" i="17" a="1"/>
  <c r="T284" i="17" s="1"/>
  <c r="T285" i="17" a="1"/>
  <c r="T285" i="17" s="1"/>
  <c r="T355" i="17" a="1"/>
  <c r="T355" i="17" s="1"/>
  <c r="T395" i="17" a="1"/>
  <c r="T395" i="17" s="1"/>
  <c r="T36" i="17" a="1"/>
  <c r="T36" i="17" s="1"/>
  <c r="T76" i="17" a="1"/>
  <c r="T76" i="17" s="1"/>
  <c r="T286" i="17" a="1"/>
  <c r="T286" i="17" s="1"/>
  <c r="T287" i="17" a="1"/>
  <c r="T287" i="17" s="1"/>
  <c r="T288" i="17" a="1"/>
  <c r="T288" i="17" s="1"/>
  <c r="T289" i="17" a="1"/>
  <c r="T289" i="17" s="1"/>
  <c r="T290" i="17" a="1"/>
  <c r="T290" i="17" s="1"/>
  <c r="T291" i="17" a="1"/>
  <c r="T291" i="17" s="1"/>
  <c r="T356" i="17" a="1"/>
  <c r="T356" i="17" s="1"/>
  <c r="T396" i="17" a="1"/>
  <c r="T396" i="17"/>
  <c r="T37" i="17" a="1"/>
  <c r="T37" i="17" s="1"/>
  <c r="T77" i="17" a="1"/>
  <c r="T77" i="17" s="1"/>
  <c r="T292" i="17" a="1"/>
  <c r="T292" i="17" s="1"/>
  <c r="T293" i="17" a="1"/>
  <c r="T293" i="17"/>
  <c r="T294" i="17" a="1"/>
  <c r="T294" i="17" s="1"/>
  <c r="T295" i="17" a="1"/>
  <c r="T295" i="17" s="1"/>
  <c r="T296" i="17" a="1"/>
  <c r="T296" i="17" s="1"/>
  <c r="T297" i="17" a="1"/>
  <c r="T297" i="17" s="1"/>
  <c r="T357" i="17" a="1"/>
  <c r="T357" i="17" s="1"/>
  <c r="T397" i="17" a="1"/>
  <c r="T397" i="17" s="1"/>
  <c r="T38" i="17" a="1"/>
  <c r="T38" i="17" s="1"/>
  <c r="T78" i="17" a="1"/>
  <c r="T78" i="17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 s="1"/>
  <c r="T358" i="17" a="1"/>
  <c r="T358" i="17" s="1"/>
  <c r="T398" i="17" a="1"/>
  <c r="T398" i="17" s="1"/>
  <c r="T39" i="17" a="1"/>
  <c r="T39" i="17" s="1"/>
  <c r="T79" i="17" a="1"/>
  <c r="T79" i="17" s="1"/>
  <c r="T304" i="17" a="1"/>
  <c r="T304" i="17" s="1"/>
  <c r="T305" i="17" a="1"/>
  <c r="T305" i="17" s="1"/>
  <c r="T306" i="17" a="1"/>
  <c r="T306" i="17" s="1"/>
  <c r="T307" i="17" a="1"/>
  <c r="T307" i="17" s="1"/>
  <c r="T308" i="17" a="1"/>
  <c r="T308" i="17" s="1"/>
  <c r="T309" i="17" a="1"/>
  <c r="T309" i="17" s="1"/>
  <c r="T359" i="17" a="1"/>
  <c r="T359" i="17" s="1"/>
  <c r="T399" i="17" a="1"/>
  <c r="T399" i="17" s="1"/>
  <c r="T40" i="17" a="1"/>
  <c r="T40" i="17" s="1"/>
  <c r="T80" i="17" a="1"/>
  <c r="T80" i="17" s="1"/>
  <c r="T310" i="17" a="1"/>
  <c r="T310" i="17" s="1"/>
  <c r="T311" i="17" a="1"/>
  <c r="T311" i="17" s="1"/>
  <c r="T312" i="17" a="1"/>
  <c r="T312" i="17"/>
  <c r="T313" i="17" a="1"/>
  <c r="T313" i="17" s="1"/>
  <c r="T314" i="17" a="1"/>
  <c r="T314" i="17" s="1"/>
  <c r="T315" i="17" a="1"/>
  <c r="T315" i="17" s="1"/>
  <c r="T360" i="17" a="1"/>
  <c r="T360" i="17" s="1"/>
  <c r="T400" i="17" a="1"/>
  <c r="T400" i="17" s="1"/>
  <c r="T41" i="17" a="1"/>
  <c r="T41" i="17" s="1"/>
  <c r="T81" i="17" a="1"/>
  <c r="T81" i="17" s="1"/>
  <c r="T316" i="17" a="1"/>
  <c r="T316" i="17" s="1"/>
  <c r="T317" i="17" a="1"/>
  <c r="T317" i="17" s="1"/>
  <c r="T318" i="17" a="1"/>
  <c r="T318" i="17" s="1"/>
  <c r="T319" i="17" a="1"/>
  <c r="T319" i="17" s="1"/>
  <c r="T320" i="17" a="1"/>
  <c r="T320" i="17" s="1"/>
  <c r="T321" i="17" a="1"/>
  <c r="T321" i="17" s="1"/>
  <c r="T361" i="17" a="1"/>
  <c r="T361" i="17" s="1"/>
  <c r="T401" i="17" a="1"/>
  <c r="T401" i="17" s="1"/>
  <c r="U2" i="17" a="1"/>
  <c r="U2" i="17" s="1"/>
  <c r="U42" i="17" a="1"/>
  <c r="U42" i="17" s="1"/>
  <c r="U82" i="17" a="1"/>
  <c r="U82" i="17" s="1"/>
  <c r="U83" i="17" a="1"/>
  <c r="U83" i="17" s="1"/>
  <c r="U84" i="17" a="1"/>
  <c r="U84" i="17" s="1"/>
  <c r="U85" i="17" a="1"/>
  <c r="U85" i="17"/>
  <c r="U86" i="17" a="1"/>
  <c r="U86" i="17" s="1"/>
  <c r="U87" i="17" a="1"/>
  <c r="U87" i="17" s="1"/>
  <c r="U322" i="17" a="1"/>
  <c r="U322" i="17" s="1"/>
  <c r="U362" i="17" a="1"/>
  <c r="U362" i="17" s="1"/>
  <c r="U3" i="17" a="1"/>
  <c r="U3" i="17" s="1"/>
  <c r="U43" i="17" a="1"/>
  <c r="U43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93" i="17" a="1"/>
  <c r="U93" i="17" s="1"/>
  <c r="U323" i="17" a="1"/>
  <c r="U323" i="17" s="1"/>
  <c r="U363" i="17" a="1"/>
  <c r="U363" i="17" s="1"/>
  <c r="U4" i="17" a="1"/>
  <c r="U4" i="17" s="1"/>
  <c r="U44" i="17" a="1"/>
  <c r="U44" i="17" s="1"/>
  <c r="U94" i="17" a="1"/>
  <c r="U94" i="17" s="1"/>
  <c r="U95" i="17" a="1"/>
  <c r="U95" i="17" s="1"/>
  <c r="U96" i="17" a="1"/>
  <c r="U96" i="17" s="1"/>
  <c r="U97" i="17" a="1"/>
  <c r="U97" i="17" s="1"/>
  <c r="U98" i="17" a="1"/>
  <c r="U98" i="17" s="1"/>
  <c r="U99" i="17" a="1"/>
  <c r="U99" i="17"/>
  <c r="U324" i="17" a="1"/>
  <c r="U324" i="17" s="1"/>
  <c r="U364" i="17" a="1"/>
  <c r="U364" i="17" s="1"/>
  <c r="U5" i="17" a="1"/>
  <c r="U5" i="17" s="1"/>
  <c r="U45" i="17" a="1"/>
  <c r="U45" i="17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325" i="17" a="1"/>
  <c r="U325" i="17" s="1"/>
  <c r="U365" i="17" a="1"/>
  <c r="U365" i="17" s="1"/>
  <c r="U6" i="17" a="1"/>
  <c r="U6" i="17"/>
  <c r="U46" i="17" a="1"/>
  <c r="U46" i="17" s="1"/>
  <c r="U106" i="17" a="1"/>
  <c r="U106" i="17" s="1"/>
  <c r="U107" i="17" a="1"/>
  <c r="U107" i="17" s="1"/>
  <c r="U108" i="17" a="1"/>
  <c r="U108" i="17" s="1"/>
  <c r="U109" i="17" a="1"/>
  <c r="U109" i="17" s="1"/>
  <c r="U110" i="17" a="1"/>
  <c r="U110" i="17" s="1"/>
  <c r="U111" i="17" a="1"/>
  <c r="U111" i="17" s="1"/>
  <c r="U326" i="17" a="1"/>
  <c r="U326" i="17" s="1"/>
  <c r="U366" i="17" a="1"/>
  <c r="U366" i="17" s="1"/>
  <c r="U7" i="17" a="1"/>
  <c r="U7" i="17" s="1"/>
  <c r="U47" i="17" a="1"/>
  <c r="U47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 s="1"/>
  <c r="U327" i="17" a="1"/>
  <c r="U327" i="17" s="1"/>
  <c r="U367" i="17" a="1"/>
  <c r="U367" i="17" s="1"/>
  <c r="U8" i="17" a="1"/>
  <c r="U8" i="17" s="1"/>
  <c r="U48" i="17" a="1"/>
  <c r="U48" i="17" s="1"/>
  <c r="U118" i="17" a="1"/>
  <c r="U118" i="17" s="1"/>
  <c r="U119" i="17" a="1"/>
  <c r="U119" i="17" s="1"/>
  <c r="U120" i="17" a="1"/>
  <c r="U120" i="17" s="1"/>
  <c r="U121" i="17" a="1"/>
  <c r="U121" i="17" s="1"/>
  <c r="U122" i="17" a="1"/>
  <c r="U122" i="17" s="1"/>
  <c r="U123" i="17" a="1"/>
  <c r="U123" i="17" s="1"/>
  <c r="U328" i="17" a="1"/>
  <c r="U328" i="17"/>
  <c r="U368" i="17" a="1"/>
  <c r="U368" i="17" s="1"/>
  <c r="U9" i="17" a="1"/>
  <c r="U9" i="17" s="1"/>
  <c r="U49" i="17" a="1"/>
  <c r="U49" i="17" s="1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329" i="17" a="1"/>
  <c r="U329" i="17" s="1"/>
  <c r="U369" i="17" a="1"/>
  <c r="U369" i="17" s="1"/>
  <c r="U10" i="17" a="1"/>
  <c r="U10" i="17" s="1"/>
  <c r="U50" i="17" a="1"/>
  <c r="U50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330" i="17" a="1"/>
  <c r="U330" i="17" s="1"/>
  <c r="U370" i="17" a="1"/>
  <c r="U370" i="17" s="1"/>
  <c r="U11" i="17" a="1"/>
  <c r="U11" i="17" s="1"/>
  <c r="U51" i="17" a="1"/>
  <c r="U51" i="17" s="1"/>
  <c r="U136" i="17" a="1"/>
  <c r="U136" i="17" s="1"/>
  <c r="U137" i="17" a="1"/>
  <c r="U137" i="17" s="1"/>
  <c r="U138" i="17" a="1"/>
  <c r="U138" i="17" s="1"/>
  <c r="U139" i="17" a="1"/>
  <c r="U139" i="17" s="1"/>
  <c r="U140" i="17" a="1"/>
  <c r="U140" i="17" s="1"/>
  <c r="U141" i="17" a="1"/>
  <c r="U141" i="17" s="1"/>
  <c r="U331" i="17" a="1"/>
  <c r="U331" i="17" s="1"/>
  <c r="U371" i="17" a="1"/>
  <c r="U371" i="17" s="1"/>
  <c r="U12" i="17" a="1"/>
  <c r="U12" i="17" s="1"/>
  <c r="U52" i="17" a="1"/>
  <c r="U52" i="17" s="1"/>
  <c r="U142" i="17" a="1"/>
  <c r="U142" i="17" s="1"/>
  <c r="U143" i="17" a="1"/>
  <c r="U143" i="17" s="1"/>
  <c r="U144" i="17" a="1"/>
  <c r="U144" i="17" s="1"/>
  <c r="U145" i="17" a="1"/>
  <c r="U145" i="17" s="1"/>
  <c r="U146" i="17" a="1"/>
  <c r="U146" i="17" s="1"/>
  <c r="U147" i="17" a="1"/>
  <c r="U147" i="17" s="1"/>
  <c r="U332" i="17" a="1"/>
  <c r="U332" i="17" s="1"/>
  <c r="U372" i="17" a="1"/>
  <c r="U372" i="17"/>
  <c r="U13" i="17" a="1"/>
  <c r="U13" i="17" s="1"/>
  <c r="U53" i="17" a="1"/>
  <c r="U53" i="17" s="1"/>
  <c r="U148" i="17" a="1"/>
  <c r="U148" i="17" s="1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333" i="17" a="1"/>
  <c r="U333" i="17" s="1"/>
  <c r="U373" i="17" a="1"/>
  <c r="U373" i="17" s="1"/>
  <c r="U14" i="17" a="1"/>
  <c r="U14" i="17" s="1"/>
  <c r="U54" i="17" a="1"/>
  <c r="U54" i="17" s="1"/>
  <c r="U154" i="17" a="1"/>
  <c r="U154" i="17" s="1"/>
  <c r="U155" i="17" a="1"/>
  <c r="U155" i="17" s="1"/>
  <c r="U156" i="17" a="1"/>
  <c r="U156" i="17"/>
  <c r="U157" i="17" a="1"/>
  <c r="U157" i="17" s="1"/>
  <c r="U158" i="17" a="1"/>
  <c r="U158" i="17" s="1"/>
  <c r="U159" i="17" a="1"/>
  <c r="U159" i="17" s="1"/>
  <c r="U334" i="17" a="1"/>
  <c r="U334" i="17" s="1"/>
  <c r="U374" i="17" a="1"/>
  <c r="U374" i="17" s="1"/>
  <c r="U15" i="17" a="1"/>
  <c r="U15" i="17" s="1"/>
  <c r="U55" i="17" a="1"/>
  <c r="U55" i="17" s="1"/>
  <c r="U160" i="17" a="1"/>
  <c r="U160" i="17" s="1"/>
  <c r="U161" i="17" a="1"/>
  <c r="U161" i="17" s="1"/>
  <c r="U162" i="17" a="1"/>
  <c r="U162" i="17" s="1"/>
  <c r="U163" i="17" a="1"/>
  <c r="U163" i="17" s="1"/>
  <c r="U164" i="17" a="1"/>
  <c r="U164" i="17"/>
  <c r="U165" i="17" a="1"/>
  <c r="U165" i="17" s="1"/>
  <c r="U335" i="17" a="1"/>
  <c r="U335" i="17" s="1"/>
  <c r="U375" i="17" a="1"/>
  <c r="U375" i="17" s="1"/>
  <c r="U16" i="17" a="1"/>
  <c r="U16" i="17" s="1"/>
  <c r="U56" i="17" a="1"/>
  <c r="U56" i="17" s="1"/>
  <c r="U166" i="17" a="1"/>
  <c r="U166" i="17" s="1"/>
  <c r="U167" i="17" a="1"/>
  <c r="U167" i="17" s="1"/>
  <c r="U168" i="17" a="1"/>
  <c r="U168" i="17" s="1"/>
  <c r="U169" i="17" a="1"/>
  <c r="U169" i="17"/>
  <c r="U170" i="17" a="1"/>
  <c r="U170" i="17" s="1"/>
  <c r="U171" i="17" a="1"/>
  <c r="U171" i="17" s="1"/>
  <c r="U336" i="17" a="1"/>
  <c r="U336" i="17" s="1"/>
  <c r="U376" i="17" a="1"/>
  <c r="U376" i="17" s="1"/>
  <c r="U17" i="17" a="1"/>
  <c r="U17" i="17" s="1"/>
  <c r="U57" i="17" a="1"/>
  <c r="U57" i="17" s="1"/>
  <c r="U172" i="17" a="1"/>
  <c r="U172" i="17" s="1"/>
  <c r="U173" i="17" a="1"/>
  <c r="U173" i="17" s="1"/>
  <c r="U174" i="17" a="1"/>
  <c r="U174" i="17" s="1"/>
  <c r="U175" i="17" a="1"/>
  <c r="U175" i="17" s="1"/>
  <c r="U176" i="17" a="1"/>
  <c r="U176" i="17" s="1"/>
  <c r="U177" i="17" a="1"/>
  <c r="U177" i="17" s="1"/>
  <c r="U337" i="17" a="1"/>
  <c r="U337" i="17" s="1"/>
  <c r="U377" i="17" a="1"/>
  <c r="U377" i="17" s="1"/>
  <c r="U18" i="17" a="1"/>
  <c r="U18" i="17" s="1"/>
  <c r="U58" i="17" a="1"/>
  <c r="U58" i="17" s="1"/>
  <c r="U178" i="17" a="1"/>
  <c r="U178" i="17" s="1"/>
  <c r="U179" i="17" a="1"/>
  <c r="U179" i="17" s="1"/>
  <c r="U180" i="17" a="1"/>
  <c r="U180" i="17"/>
  <c r="U181" i="17" a="1"/>
  <c r="U181" i="17" s="1"/>
  <c r="U182" i="17" a="1"/>
  <c r="U182" i="17" s="1"/>
  <c r="U183" i="17" a="1"/>
  <c r="U183" i="17" s="1"/>
  <c r="U338" i="17" a="1"/>
  <c r="U338" i="17"/>
  <c r="U378" i="17" a="1"/>
  <c r="U378" i="17" s="1"/>
  <c r="U19" i="17" a="1"/>
  <c r="U19" i="17" s="1"/>
  <c r="U59" i="17" a="1"/>
  <c r="U59" i="17" s="1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 s="1"/>
  <c r="U339" i="17" a="1"/>
  <c r="U339" i="17" s="1"/>
  <c r="U379" i="17" a="1"/>
  <c r="U379" i="17" s="1"/>
  <c r="U20" i="17" a="1"/>
  <c r="U20" i="17" s="1"/>
  <c r="U60" i="17" a="1"/>
  <c r="U60" i="17" s="1"/>
  <c r="U190" i="17" a="1"/>
  <c r="U190" i="17" s="1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340" i="17" a="1"/>
  <c r="U340" i="17" s="1"/>
  <c r="U380" i="17" a="1"/>
  <c r="U380" i="17"/>
  <c r="U21" i="17" a="1"/>
  <c r="U21" i="17" s="1"/>
  <c r="U61" i="17" a="1"/>
  <c r="U61" i="17" s="1"/>
  <c r="U196" i="17" a="1"/>
  <c r="U196" i="17" s="1"/>
  <c r="U197" i="17" a="1"/>
  <c r="U197" i="17" s="1"/>
  <c r="U198" i="17" a="1"/>
  <c r="U198" i="17" s="1"/>
  <c r="U199" i="17" a="1"/>
  <c r="U199" i="17" s="1"/>
  <c r="U200" i="17" a="1"/>
  <c r="U200" i="17"/>
  <c r="U201" i="17" a="1"/>
  <c r="U201" i="17" s="1"/>
  <c r="U341" i="17" a="1"/>
  <c r="U341" i="17" s="1"/>
  <c r="U381" i="17" a="1"/>
  <c r="U381" i="17" s="1"/>
  <c r="U22" i="17" a="1"/>
  <c r="U22" i="17" s="1"/>
  <c r="U62" i="17" a="1"/>
  <c r="U62" i="17" s="1"/>
  <c r="U202" i="17" a="1"/>
  <c r="U202" i="17" s="1"/>
  <c r="U203" i="17" a="1"/>
  <c r="U203" i="17"/>
  <c r="U204" i="17" a="1"/>
  <c r="U204" i="17" s="1"/>
  <c r="U205" i="17" a="1"/>
  <c r="U205" i="17" s="1"/>
  <c r="U206" i="17" a="1"/>
  <c r="U206" i="17" s="1"/>
  <c r="U207" i="17" a="1"/>
  <c r="U207" i="17" s="1"/>
  <c r="U342" i="17" a="1"/>
  <c r="U342" i="17" s="1"/>
  <c r="U382" i="17" a="1"/>
  <c r="U382" i="17"/>
  <c r="U23" i="17" a="1"/>
  <c r="U23" i="17" s="1"/>
  <c r="U63" i="17" a="1"/>
  <c r="U63" i="17" s="1"/>
  <c r="U208" i="17" a="1"/>
  <c r="U208" i="17" s="1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343" i="17" a="1"/>
  <c r="U343" i="17" s="1"/>
  <c r="U383" i="17" a="1"/>
  <c r="U383" i="17" s="1"/>
  <c r="U24" i="17" a="1"/>
  <c r="U24" i="17" s="1"/>
  <c r="U64" i="17" a="1"/>
  <c r="U64" i="17" s="1"/>
  <c r="U214" i="17" a="1"/>
  <c r="U214" i="17" s="1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 s="1"/>
  <c r="U344" i="17" a="1"/>
  <c r="U344" i="17"/>
  <c r="U384" i="17" a="1"/>
  <c r="U384" i="17" s="1"/>
  <c r="U25" i="17" a="1"/>
  <c r="U25" i="17" s="1"/>
  <c r="U65" i="17" a="1"/>
  <c r="U65" i="17" s="1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45" i="17" a="1"/>
  <c r="U345" i="17" s="1"/>
  <c r="U385" i="17" a="1"/>
  <c r="U385" i="17" s="1"/>
  <c r="U26" i="17" a="1"/>
  <c r="U26" i="17" s="1"/>
  <c r="U66" i="17" a="1"/>
  <c r="U66" i="17" s="1"/>
  <c r="U226" i="17" a="1"/>
  <c r="U226" i="17" s="1"/>
  <c r="U227" i="17" a="1"/>
  <c r="U227" i="17" s="1"/>
  <c r="U228" i="17" a="1"/>
  <c r="U228" i="17" s="1"/>
  <c r="U229" i="17" a="1"/>
  <c r="U229" i="17" s="1"/>
  <c r="U230" i="17" a="1"/>
  <c r="U230" i="17" s="1"/>
  <c r="U231" i="17" a="1"/>
  <c r="U231" i="17" s="1"/>
  <c r="U346" i="17" a="1"/>
  <c r="U346" i="17" s="1"/>
  <c r="U386" i="17" a="1"/>
  <c r="U386" i="17" s="1"/>
  <c r="U27" i="17" a="1"/>
  <c r="U27" i="17" s="1"/>
  <c r="U67" i="17" a="1"/>
  <c r="U67" i="17" s="1"/>
  <c r="U232" i="17" a="1"/>
  <c r="U232" i="17" s="1"/>
  <c r="U233" i="17" a="1"/>
  <c r="U233" i="17"/>
  <c r="U234" i="17" a="1"/>
  <c r="U234" i="17" s="1"/>
  <c r="U235" i="17" a="1"/>
  <c r="U235" i="17" s="1"/>
  <c r="U236" i="17" a="1"/>
  <c r="U236" i="17" s="1"/>
  <c r="U237" i="17" a="1"/>
  <c r="U237" i="17" s="1"/>
  <c r="U347" i="17" a="1"/>
  <c r="U347" i="17" s="1"/>
  <c r="U387" i="17" a="1"/>
  <c r="U387" i="17" s="1"/>
  <c r="U28" i="17" a="1"/>
  <c r="U28" i="17" s="1"/>
  <c r="U68" i="17" a="1"/>
  <c r="U68" i="17" s="1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 s="1"/>
  <c r="U348" i="17" a="1"/>
  <c r="U348" i="17" s="1"/>
  <c r="U388" i="17" a="1"/>
  <c r="U388" i="17" s="1"/>
  <c r="U29" i="17" a="1"/>
  <c r="U29" i="17" s="1"/>
  <c r="U69" i="17" a="1"/>
  <c r="U69" i="17" s="1"/>
  <c r="U244" i="17" a="1"/>
  <c r="U244" i="17" s="1"/>
  <c r="U245" i="17" a="1"/>
  <c r="U245" i="17" s="1"/>
  <c r="U246" i="17" a="1"/>
  <c r="U246" i="17" s="1"/>
  <c r="U247" i="17" a="1"/>
  <c r="U247" i="17" s="1"/>
  <c r="U248" i="17" a="1"/>
  <c r="U248" i="17"/>
  <c r="U249" i="17" a="1"/>
  <c r="U249" i="17" s="1"/>
  <c r="U349" i="17" a="1"/>
  <c r="U349" i="17" s="1"/>
  <c r="U389" i="17" a="1"/>
  <c r="U389" i="17" s="1"/>
  <c r="U30" i="17" a="1"/>
  <c r="U30" i="17" s="1"/>
  <c r="U70" i="17" a="1"/>
  <c r="U70" i="17" s="1"/>
  <c r="U250" i="17" a="1"/>
  <c r="U250" i="17" s="1"/>
  <c r="U251" i="17" a="1"/>
  <c r="U251" i="17"/>
  <c r="U252" i="17" a="1"/>
  <c r="U252" i="17" s="1"/>
  <c r="U253" i="17" a="1"/>
  <c r="U253" i="17" s="1"/>
  <c r="U254" i="17" a="1"/>
  <c r="U254" i="17" s="1"/>
  <c r="U255" i="17" a="1"/>
  <c r="U255" i="17" s="1"/>
  <c r="U350" i="17" a="1"/>
  <c r="U350" i="17" s="1"/>
  <c r="U390" i="17" a="1"/>
  <c r="U390" i="17" s="1"/>
  <c r="U31" i="17" a="1"/>
  <c r="U31" i="17" s="1"/>
  <c r="U71" i="17" a="1"/>
  <c r="U71" i="17" s="1"/>
  <c r="U256" i="17" a="1"/>
  <c r="U256" i="17"/>
  <c r="U257" i="17" a="1"/>
  <c r="U257" i="17" s="1"/>
  <c r="U258" i="17" a="1"/>
  <c r="U258" i="17" s="1"/>
  <c r="U259" i="17" a="1"/>
  <c r="U259" i="17" s="1"/>
  <c r="U260" i="17" a="1"/>
  <c r="U260" i="17" s="1"/>
  <c r="U261" i="17" a="1"/>
  <c r="U261" i="17" s="1"/>
  <c r="U351" i="17" a="1"/>
  <c r="U351" i="17" s="1"/>
  <c r="U391" i="17" a="1"/>
  <c r="U391" i="17" s="1"/>
  <c r="U32" i="17" a="1"/>
  <c r="U32" i="17" s="1"/>
  <c r="U72" i="17" a="1"/>
  <c r="U72" i="17" s="1"/>
  <c r="U262" i="17" a="1"/>
  <c r="U262" i="17" s="1"/>
  <c r="U263" i="17" a="1"/>
  <c r="U263" i="17" s="1"/>
  <c r="U264" i="17" a="1"/>
  <c r="U264" i="17" s="1"/>
  <c r="U265" i="17" a="1"/>
  <c r="U265" i="17" s="1"/>
  <c r="U266" i="17" a="1"/>
  <c r="U266" i="17" s="1"/>
  <c r="U267" i="17" a="1"/>
  <c r="U267" i="17" s="1"/>
  <c r="U352" i="17" a="1"/>
  <c r="U352" i="17" s="1"/>
  <c r="U392" i="17" a="1"/>
  <c r="U392" i="17" s="1"/>
  <c r="U33" i="17" a="1"/>
  <c r="U33" i="17" s="1"/>
  <c r="U73" i="17" a="1"/>
  <c r="U73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353" i="17" a="1"/>
  <c r="U353" i="17" s="1"/>
  <c r="U393" i="17" a="1"/>
  <c r="U393" i="17"/>
  <c r="U34" i="17" a="1"/>
  <c r="U34" i="17" s="1"/>
  <c r="U74" i="17" a="1"/>
  <c r="U74" i="17" s="1"/>
  <c r="U274" i="17" a="1"/>
  <c r="U274" i="17" s="1"/>
  <c r="U275" i="17" a="1"/>
  <c r="U275" i="17" s="1"/>
  <c r="U276" i="17" a="1"/>
  <c r="U276" i="17" s="1"/>
  <c r="U277" i="17" a="1"/>
  <c r="U277" i="17"/>
  <c r="U278" i="17" a="1"/>
  <c r="U278" i="17" s="1"/>
  <c r="U279" i="17" a="1"/>
  <c r="U279" i="17" s="1"/>
  <c r="U354" i="17" a="1"/>
  <c r="U354" i="17" s="1"/>
  <c r="U394" i="17" a="1"/>
  <c r="U394" i="17" s="1"/>
  <c r="U35" i="17" a="1"/>
  <c r="U35" i="17" s="1"/>
  <c r="U75" i="17" a="1"/>
  <c r="U75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355" i="17" a="1"/>
  <c r="U355" i="17" s="1"/>
  <c r="U395" i="17" a="1"/>
  <c r="U395" i="17" s="1"/>
  <c r="U36" i="17" a="1"/>
  <c r="U36" i="17" s="1"/>
  <c r="U76" i="17" a="1"/>
  <c r="U76" i="17" s="1"/>
  <c r="U286" i="17" a="1"/>
  <c r="U286" i="17" s="1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 s="1"/>
  <c r="U356" i="17" a="1"/>
  <c r="U356" i="17" s="1"/>
  <c r="U396" i="17" a="1"/>
  <c r="U396" i="17" s="1"/>
  <c r="U37" i="17" a="1"/>
  <c r="U37" i="17" s="1"/>
  <c r="U77" i="17" a="1"/>
  <c r="U77" i="17" s="1"/>
  <c r="U292" i="17" a="1"/>
  <c r="U292" i="17" s="1"/>
  <c r="U293" i="17" a="1"/>
  <c r="U293" i="17" s="1"/>
  <c r="U294" i="17" a="1"/>
  <c r="U294" i="17" s="1"/>
  <c r="U295" i="17" a="1"/>
  <c r="U295" i="17" s="1"/>
  <c r="U296" i="17" a="1"/>
  <c r="U296" i="17" s="1"/>
  <c r="U297" i="17" a="1"/>
  <c r="U297" i="17" s="1"/>
  <c r="U357" i="17" a="1"/>
  <c r="U357" i="17" s="1"/>
  <c r="U397" i="17" a="1"/>
  <c r="U397" i="17" s="1"/>
  <c r="U38" i="17" a="1"/>
  <c r="U38" i="17"/>
  <c r="U78" i="17" a="1"/>
  <c r="U78" i="17" s="1"/>
  <c r="U298" i="17" a="1"/>
  <c r="U298" i="17" s="1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 s="1"/>
  <c r="U358" i="17" a="1"/>
  <c r="U358" i="17" s="1"/>
  <c r="U398" i="17" a="1"/>
  <c r="U398" i="17" s="1"/>
  <c r="U39" i="17" a="1"/>
  <c r="U39" i="17" s="1"/>
  <c r="U79" i="17" a="1"/>
  <c r="U79" i="17" s="1"/>
  <c r="U304" i="17" a="1"/>
  <c r="U304" i="17" s="1"/>
  <c r="U305" i="17" a="1"/>
  <c r="U305" i="17" s="1"/>
  <c r="U306" i="17" a="1"/>
  <c r="U306" i="17" s="1"/>
  <c r="U307" i="17" a="1"/>
  <c r="U307" i="17" s="1"/>
  <c r="U308" i="17" a="1"/>
  <c r="U308" i="17" s="1"/>
  <c r="U309" i="17" a="1"/>
  <c r="U309" i="17" s="1"/>
  <c r="U359" i="17" a="1"/>
  <c r="U359" i="17" s="1"/>
  <c r="U399" i="17" a="1"/>
  <c r="U399" i="17" s="1"/>
  <c r="U40" i="17" a="1"/>
  <c r="U40" i="17" s="1"/>
  <c r="U80" i="17" a="1"/>
  <c r="U80" i="17" s="1"/>
  <c r="U310" i="17" a="1"/>
  <c r="U310" i="17" s="1"/>
  <c r="U311" i="17" a="1"/>
  <c r="U311" i="17" s="1"/>
  <c r="U312" i="17" a="1"/>
  <c r="U312" i="17" s="1"/>
  <c r="U313" i="17" a="1"/>
  <c r="U313" i="17" s="1"/>
  <c r="U314" i="17" a="1"/>
  <c r="U314" i="17" s="1"/>
  <c r="U315" i="17" a="1"/>
  <c r="U315" i="17" s="1"/>
  <c r="U360" i="17" a="1"/>
  <c r="U360" i="17"/>
  <c r="U400" i="17" a="1"/>
  <c r="U400" i="17" s="1"/>
  <c r="U41" i="17" a="1"/>
  <c r="U41" i="17" s="1"/>
  <c r="U81" i="17" a="1"/>
  <c r="U81" i="17" s="1"/>
  <c r="U316" i="17" a="1"/>
  <c r="U316" i="17" s="1"/>
  <c r="U317" i="17" a="1"/>
  <c r="U317" i="17" s="1"/>
  <c r="U318" i="17" a="1"/>
  <c r="U318" i="17" s="1"/>
  <c r="U319" i="17" a="1"/>
  <c r="U319" i="17"/>
  <c r="U320" i="17" a="1"/>
  <c r="U320" i="17" s="1"/>
  <c r="U321" i="17" a="1"/>
  <c r="U321" i="17" s="1"/>
  <c r="U361" i="17" a="1"/>
  <c r="U361" i="17" s="1"/>
  <c r="U401" i="17" a="1"/>
  <c r="U401" i="17" s="1"/>
  <c r="V2" i="17" a="1"/>
  <c r="V2" i="17" s="1"/>
  <c r="V42" i="17" a="1"/>
  <c r="V42" i="17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87" i="17" a="1"/>
  <c r="V87" i="17" s="1"/>
  <c r="V322" i="17" a="1"/>
  <c r="V322" i="17" s="1"/>
  <c r="V362" i="17" a="1"/>
  <c r="V362" i="17" s="1"/>
  <c r="V3" i="17" a="1"/>
  <c r="V3" i="17" s="1"/>
  <c r="V43" i="17" a="1"/>
  <c r="V43" i="17" s="1"/>
  <c r="V88" i="17" a="1"/>
  <c r="V88" i="17" s="1"/>
  <c r="V89" i="17" a="1"/>
  <c r="V89" i="17" s="1"/>
  <c r="V90" i="17" a="1"/>
  <c r="V90" i="17" s="1"/>
  <c r="V91" i="17" a="1"/>
  <c r="V91" i="17" s="1"/>
  <c r="V92" i="17" a="1"/>
  <c r="V92" i="17" s="1"/>
  <c r="V93" i="17" a="1"/>
  <c r="V93" i="17" s="1"/>
  <c r="V323" i="17" a="1"/>
  <c r="V323" i="17" s="1"/>
  <c r="V363" i="17" a="1"/>
  <c r="V363" i="17" s="1"/>
  <c r="V4" i="17" a="1"/>
  <c r="V4" i="17" s="1"/>
  <c r="V44" i="17" a="1"/>
  <c r="V44" i="17" s="1"/>
  <c r="V94" i="17" a="1"/>
  <c r="V94" i="17" s="1"/>
  <c r="V95" i="17" a="1"/>
  <c r="V95" i="17" s="1"/>
  <c r="V96" i="17" a="1"/>
  <c r="V96" i="17"/>
  <c r="V97" i="17" a="1"/>
  <c r="V97" i="17" s="1"/>
  <c r="V98" i="17" a="1"/>
  <c r="V98" i="17" s="1"/>
  <c r="V99" i="17" a="1"/>
  <c r="V99" i="17" s="1"/>
  <c r="V324" i="17" a="1"/>
  <c r="V324" i="17" s="1"/>
  <c r="V364" i="17" a="1"/>
  <c r="V364" i="17" s="1"/>
  <c r="V5" i="17" a="1"/>
  <c r="V5" i="17" s="1"/>
  <c r="V45" i="17" a="1"/>
  <c r="V45" i="17" s="1"/>
  <c r="V100" i="17" a="1"/>
  <c r="V100" i="17" s="1"/>
  <c r="V101" i="17" a="1"/>
  <c r="V101" i="17" s="1"/>
  <c r="V102" i="17" a="1"/>
  <c r="V102" i="17" s="1"/>
  <c r="V103" i="17" a="1"/>
  <c r="V103" i="17" s="1"/>
  <c r="V104" i="17" a="1"/>
  <c r="V104" i="17" s="1"/>
  <c r="V105" i="17" a="1"/>
  <c r="V105" i="17" s="1"/>
  <c r="V325" i="17" a="1"/>
  <c r="V325" i="17" s="1"/>
  <c r="V365" i="17" a="1"/>
  <c r="V365" i="17" s="1"/>
  <c r="V6" i="17" a="1"/>
  <c r="V6" i="17" s="1"/>
  <c r="V46" i="17" a="1"/>
  <c r="V46" i="17" s="1"/>
  <c r="V106" i="17" a="1"/>
  <c r="V106" i="17" s="1"/>
  <c r="V107" i="17" a="1"/>
  <c r="V107" i="17" s="1"/>
  <c r="V108" i="17" a="1"/>
  <c r="V108" i="17" s="1"/>
  <c r="V109" i="17" a="1"/>
  <c r="V109" i="17"/>
  <c r="V110" i="17" a="1"/>
  <c r="V110" i="17" s="1"/>
  <c r="V111" i="17" a="1"/>
  <c r="V111" i="17" s="1"/>
  <c r="V326" i="17" a="1"/>
  <c r="V326" i="17" s="1"/>
  <c r="V366" i="17" a="1"/>
  <c r="V366" i="17" s="1"/>
  <c r="V7" i="17" a="1"/>
  <c r="V7" i="17" s="1"/>
  <c r="V47" i="17" a="1"/>
  <c r="V47" i="17" s="1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 s="1"/>
  <c r="V117" i="17" a="1"/>
  <c r="V117" i="17" s="1"/>
  <c r="V327" i="17" a="1"/>
  <c r="V327" i="17" s="1"/>
  <c r="V367" i="17" a="1"/>
  <c r="V367" i="17"/>
  <c r="V8" i="17" a="1"/>
  <c r="V8" i="17" s="1"/>
  <c r="V48" i="17" a="1"/>
  <c r="V48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 s="1"/>
  <c r="V123" i="17" a="1"/>
  <c r="V123" i="17" s="1"/>
  <c r="V328" i="17" a="1"/>
  <c r="V328" i="17" s="1"/>
  <c r="V368" i="17" a="1"/>
  <c r="V368" i="17" s="1"/>
  <c r="V9" i="17" a="1"/>
  <c r="V9" i="17" s="1"/>
  <c r="V49" i="17" a="1"/>
  <c r="V49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329" i="17" a="1"/>
  <c r="V329" i="17" s="1"/>
  <c r="V369" i="17" a="1"/>
  <c r="V369" i="17" s="1"/>
  <c r="V10" i="17" a="1"/>
  <c r="V10" i="17" s="1"/>
  <c r="V50" i="17" a="1"/>
  <c r="V50" i="17" s="1"/>
  <c r="V130" i="17" a="1"/>
  <c r="V130" i="17" s="1"/>
  <c r="V131" i="17" a="1"/>
  <c r="V131" i="17" s="1"/>
  <c r="V132" i="17" a="1"/>
  <c r="V132" i="17"/>
  <c r="V133" i="17" a="1"/>
  <c r="V133" i="17" s="1"/>
  <c r="V134" i="17" a="1"/>
  <c r="V134" i="17" s="1"/>
  <c r="V135" i="17" a="1"/>
  <c r="V135" i="17" s="1"/>
  <c r="V330" i="17" a="1"/>
  <c r="V330" i="17" s="1"/>
  <c r="V370" i="17" a="1"/>
  <c r="V370" i="17" s="1"/>
  <c r="V11" i="17" a="1"/>
  <c r="V11" i="17" s="1"/>
  <c r="V51" i="17" a="1"/>
  <c r="V51" i="17" s="1"/>
  <c r="V136" i="17" a="1"/>
  <c r="V136" i="17" s="1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331" i="17" a="1"/>
  <c r="V331" i="17" s="1"/>
  <c r="V371" i="17" a="1"/>
  <c r="V371" i="17" s="1"/>
  <c r="V12" i="17" a="1"/>
  <c r="V12" i="17" s="1"/>
  <c r="V52" i="17" a="1"/>
  <c r="V52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 s="1"/>
  <c r="V332" i="17" a="1"/>
  <c r="V332" i="17" s="1"/>
  <c r="V372" i="17" a="1"/>
  <c r="V372" i="17"/>
  <c r="V13" i="17" a="1"/>
  <c r="V13" i="17" s="1"/>
  <c r="V53" i="17" a="1"/>
  <c r="V53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333" i="17" a="1"/>
  <c r="V333" i="17" s="1"/>
  <c r="V373" i="17" a="1"/>
  <c r="V373" i="17" s="1"/>
  <c r="V14" i="17" a="1"/>
  <c r="V14" i="17" s="1"/>
  <c r="V54" i="17" a="1"/>
  <c r="V54" i="17" s="1"/>
  <c r="V154" i="17" a="1"/>
  <c r="V154" i="17" s="1"/>
  <c r="V155" i="17" a="1"/>
  <c r="V155" i="17" s="1"/>
  <c r="V156" i="17" a="1"/>
  <c r="V156" i="17" s="1"/>
  <c r="V157" i="17" a="1"/>
  <c r="V157" i="17" s="1"/>
  <c r="V158" i="17" a="1"/>
  <c r="V158" i="17" s="1"/>
  <c r="V159" i="17" a="1"/>
  <c r="V159" i="17" s="1"/>
  <c r="V334" i="17" a="1"/>
  <c r="V334" i="17" s="1"/>
  <c r="V374" i="17" a="1"/>
  <c r="V374" i="17" s="1"/>
  <c r="V15" i="17" a="1"/>
  <c r="V15" i="17" s="1"/>
  <c r="V55" i="17" a="1"/>
  <c r="V55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335" i="17" a="1"/>
  <c r="V335" i="17" s="1"/>
  <c r="V375" i="17" a="1"/>
  <c r="V375" i="17" s="1"/>
  <c r="V16" i="17" a="1"/>
  <c r="V16" i="17" s="1"/>
  <c r="V56" i="17" a="1"/>
  <c r="V56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 s="1"/>
  <c r="V336" i="17" a="1"/>
  <c r="V336" i="17" s="1"/>
  <c r="V376" i="17" a="1"/>
  <c r="V376" i="17" s="1"/>
  <c r="V17" i="17" a="1"/>
  <c r="V17" i="17" s="1"/>
  <c r="V57" i="17" a="1"/>
  <c r="V57" i="17" s="1"/>
  <c r="V172" i="17" a="1"/>
  <c r="V172" i="17" s="1"/>
  <c r="V173" i="17" a="1"/>
  <c r="V173" i="17" s="1"/>
  <c r="V174" i="17" a="1"/>
  <c r="V174" i="17" s="1"/>
  <c r="V175" i="17" a="1"/>
  <c r="V175" i="17" s="1"/>
  <c r="V176" i="17" a="1"/>
  <c r="V176" i="17" s="1"/>
  <c r="V177" i="17" a="1"/>
  <c r="V177" i="17" s="1"/>
  <c r="V337" i="17" a="1"/>
  <c r="V337" i="17" s="1"/>
  <c r="V377" i="17" a="1"/>
  <c r="V377" i="17" s="1"/>
  <c r="V18" i="17" a="1"/>
  <c r="V18" i="17" s="1"/>
  <c r="V58" i="17" a="1"/>
  <c r="V58" i="17" s="1"/>
  <c r="V178" i="17" a="1"/>
  <c r="V178" i="17" s="1"/>
  <c r="V179" i="17" a="1"/>
  <c r="V179" i="17" s="1"/>
  <c r="V180" i="17" a="1"/>
  <c r="V180" i="17"/>
  <c r="V181" i="17" a="1"/>
  <c r="V181" i="17" s="1"/>
  <c r="V182" i="17" a="1"/>
  <c r="V182" i="17" s="1"/>
  <c r="V183" i="17" a="1"/>
  <c r="V183" i="17" s="1"/>
  <c r="V338" i="17" a="1"/>
  <c r="V338" i="17" s="1"/>
  <c r="V378" i="17" a="1"/>
  <c r="V378" i="17" s="1"/>
  <c r="V19" i="17" a="1"/>
  <c r="V19" i="17" s="1"/>
  <c r="V59" i="17" a="1"/>
  <c r="V59" i="17" s="1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339" i="17" a="1"/>
  <c r="V339" i="17" s="1"/>
  <c r="V379" i="17" a="1"/>
  <c r="V379" i="17" s="1"/>
  <c r="V20" i="17" a="1"/>
  <c r="V20" i="17" s="1"/>
  <c r="V60" i="17" a="1"/>
  <c r="V60" i="17" s="1"/>
  <c r="V190" i="17" a="1"/>
  <c r="V190" i="17" s="1"/>
  <c r="V191" i="17" a="1"/>
  <c r="V191" i="17" s="1"/>
  <c r="V192" i="17" a="1"/>
  <c r="V192" i="17" s="1"/>
  <c r="V193" i="17" a="1"/>
  <c r="V193" i="17" s="1"/>
  <c r="V194" i="17" a="1"/>
  <c r="V194" i="17" s="1"/>
  <c r="V195" i="17" a="1"/>
  <c r="V195" i="17" s="1"/>
  <c r="V340" i="17" a="1"/>
  <c r="V340" i="17" s="1"/>
  <c r="V380" i="17" a="1"/>
  <c r="V380" i="17" s="1"/>
  <c r="V21" i="17" a="1"/>
  <c r="V21" i="17" s="1"/>
  <c r="V61" i="17" a="1"/>
  <c r="V61" i="17" s="1"/>
  <c r="V196" i="17" a="1"/>
  <c r="V196" i="17" s="1"/>
  <c r="V197" i="17" a="1"/>
  <c r="V197" i="17" s="1"/>
  <c r="V198" i="17" a="1"/>
  <c r="V198" i="17" s="1"/>
  <c r="V199" i="17" a="1"/>
  <c r="V199" i="17" s="1"/>
  <c r="V200" i="17" a="1"/>
  <c r="V200" i="17" s="1"/>
  <c r="V201" i="17" a="1"/>
  <c r="V201" i="17" s="1"/>
  <c r="V341" i="17" a="1"/>
  <c r="V341" i="17" s="1"/>
  <c r="V381" i="17" a="1"/>
  <c r="V381" i="17" s="1"/>
  <c r="V22" i="17" a="1"/>
  <c r="V22" i="17" s="1"/>
  <c r="V62" i="17" a="1"/>
  <c r="V62" i="17" s="1"/>
  <c r="V202" i="17" a="1"/>
  <c r="V202" i="17" s="1"/>
  <c r="V203" i="17" a="1"/>
  <c r="V203" i="17" s="1"/>
  <c r="V204" i="17" a="1"/>
  <c r="V204" i="17" s="1"/>
  <c r="V205" i="17" a="1"/>
  <c r="V205" i="17"/>
  <c r="V206" i="17" a="1"/>
  <c r="V206" i="17" s="1"/>
  <c r="V207" i="17" a="1"/>
  <c r="V207" i="17" s="1"/>
  <c r="V342" i="17" a="1"/>
  <c r="V342" i="17" s="1"/>
  <c r="V382" i="17" a="1"/>
  <c r="V382" i="17" s="1"/>
  <c r="V23" i="17" a="1"/>
  <c r="V23" i="17" s="1"/>
  <c r="V63" i="17" a="1"/>
  <c r="V63" i="17" s="1"/>
  <c r="V208" i="17" a="1"/>
  <c r="V208" i="17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 s="1"/>
  <c r="V343" i="17" a="1"/>
  <c r="V343" i="17" s="1"/>
  <c r="V383" i="17" a="1"/>
  <c r="V383" i="17" s="1"/>
  <c r="V24" i="17" a="1"/>
  <c r="V24" i="17" s="1"/>
  <c r="V64" i="17" a="1"/>
  <c r="V64" i="17" s="1"/>
  <c r="V214" i="17" a="1"/>
  <c r="V214" i="17" s="1"/>
  <c r="V215" i="17" a="1"/>
  <c r="V215" i="17" s="1"/>
  <c r="V216" i="17" a="1"/>
  <c r="V216" i="17" s="1"/>
  <c r="V217" i="17" a="1"/>
  <c r="V217" i="17" s="1"/>
  <c r="V218" i="17" a="1"/>
  <c r="V218" i="17" s="1"/>
  <c r="V219" i="17" a="1"/>
  <c r="V219" i="17" s="1"/>
  <c r="V344" i="17" a="1"/>
  <c r="V344" i="17" s="1"/>
  <c r="V384" i="17" a="1"/>
  <c r="V384" i="17" s="1"/>
  <c r="V25" i="17" a="1"/>
  <c r="V25" i="17" s="1"/>
  <c r="V65" i="17" a="1"/>
  <c r="V65" i="17" s="1"/>
  <c r="V220" i="17" a="1"/>
  <c r="V220" i="17" s="1"/>
  <c r="V221" i="17" a="1"/>
  <c r="V221" i="17" s="1"/>
  <c r="V222" i="17" a="1"/>
  <c r="V222" i="17" s="1"/>
  <c r="V223" i="17" a="1"/>
  <c r="V223" i="17" s="1"/>
  <c r="V224" i="17" a="1"/>
  <c r="V224" i="17" s="1"/>
  <c r="V225" i="17" a="1"/>
  <c r="V225" i="17" s="1"/>
  <c r="V345" i="17" a="1"/>
  <c r="V345" i="17" s="1"/>
  <c r="V385" i="17" a="1"/>
  <c r="V385" i="17" s="1"/>
  <c r="V26" i="17" a="1"/>
  <c r="V26" i="17" s="1"/>
  <c r="V66" i="17" a="1"/>
  <c r="V66" i="17" s="1"/>
  <c r="V226" i="17" a="1"/>
  <c r="V226" i="17" s="1"/>
  <c r="V227" i="17" a="1"/>
  <c r="V227" i="17" s="1"/>
  <c r="V228" i="17" a="1"/>
  <c r="V228" i="17" s="1"/>
  <c r="V229" i="17" a="1"/>
  <c r="V229" i="17" s="1"/>
  <c r="V230" i="17" a="1"/>
  <c r="V230" i="17" s="1"/>
  <c r="V231" i="17" a="1"/>
  <c r="V231" i="17" s="1"/>
  <c r="V346" i="17" a="1"/>
  <c r="V346" i="17" s="1"/>
  <c r="V386" i="17" a="1"/>
  <c r="V386" i="17" s="1"/>
  <c r="V27" i="17" a="1"/>
  <c r="V27" i="17" s="1"/>
  <c r="V67" i="17" a="1"/>
  <c r="V67" i="17" s="1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47" i="17" a="1"/>
  <c r="V347" i="17" s="1"/>
  <c r="V387" i="17" a="1"/>
  <c r="V387" i="17" s="1"/>
  <c r="V28" i="17" a="1"/>
  <c r="V28" i="17" s="1"/>
  <c r="V68" i="17" a="1"/>
  <c r="V68" i="17" s="1"/>
  <c r="V238" i="17" a="1"/>
  <c r="V238" i="17" s="1"/>
  <c r="V239" i="17" a="1"/>
  <c r="V239" i="17" s="1"/>
  <c r="V240" i="17" a="1"/>
  <c r="V240" i="17" s="1"/>
  <c r="V241" i="17" a="1"/>
  <c r="V241" i="17" s="1"/>
  <c r="V242" i="17" a="1"/>
  <c r="V242" i="17" s="1"/>
  <c r="V243" i="17" a="1"/>
  <c r="V243" i="17" s="1"/>
  <c r="V348" i="17" a="1"/>
  <c r="V348" i="17" s="1"/>
  <c r="V388" i="17" a="1"/>
  <c r="V388" i="17"/>
  <c r="V29" i="17" a="1"/>
  <c r="V29" i="17" s="1"/>
  <c r="V69" i="17" a="1"/>
  <c r="V69" i="17" s="1"/>
  <c r="V244" i="17" a="1"/>
  <c r="V244" i="17" s="1"/>
  <c r="V245" i="17" a="1"/>
  <c r="V245" i="17" s="1"/>
  <c r="V246" i="17" a="1"/>
  <c r="V246" i="17" s="1"/>
  <c r="V247" i="17" a="1"/>
  <c r="V247" i="17" s="1"/>
  <c r="V248" i="17" a="1"/>
  <c r="V248" i="17"/>
  <c r="V249" i="17" a="1"/>
  <c r="V249" i="17" s="1"/>
  <c r="V349" i="17" a="1"/>
  <c r="V349" i="17" s="1"/>
  <c r="V389" i="17" a="1"/>
  <c r="V389" i="17" s="1"/>
  <c r="V30" i="17" a="1"/>
  <c r="V30" i="17" s="1"/>
  <c r="V70" i="17" a="1"/>
  <c r="V70" i="17" s="1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50" i="17" a="1"/>
  <c r="V350" i="17" s="1"/>
  <c r="V390" i="17" a="1"/>
  <c r="V390" i="17" s="1"/>
  <c r="V31" i="17" a="1"/>
  <c r="V31" i="17" s="1"/>
  <c r="V71" i="17" a="1"/>
  <c r="V71" i="17" s="1"/>
  <c r="V256" i="17" a="1"/>
  <c r="V256" i="17" s="1"/>
  <c r="V257" i="17" a="1"/>
  <c r="V257" i="17" s="1"/>
  <c r="V258" i="17" a="1"/>
  <c r="V258" i="17" s="1"/>
  <c r="V259" i="17" a="1"/>
  <c r="V259" i="17" s="1"/>
  <c r="V260" i="17" a="1"/>
  <c r="V260" i="17" s="1"/>
  <c r="V261" i="17" a="1"/>
  <c r="V261" i="17" s="1"/>
  <c r="V351" i="17" a="1"/>
  <c r="V351" i="17" s="1"/>
  <c r="V391" i="17" a="1"/>
  <c r="V391" i="17" s="1"/>
  <c r="V32" i="17" a="1"/>
  <c r="V32" i="17" s="1"/>
  <c r="V72" i="17" a="1"/>
  <c r="V72" i="17" s="1"/>
  <c r="V262" i="17" a="1"/>
  <c r="V262" i="17" s="1"/>
  <c r="V263" i="17" a="1"/>
  <c r="V263" i="17" s="1"/>
  <c r="V264" i="17" a="1"/>
  <c r="V264" i="17" s="1"/>
  <c r="V265" i="17" a="1"/>
  <c r="V265" i="17" s="1"/>
  <c r="V266" i="17" a="1"/>
  <c r="V266" i="17" s="1"/>
  <c r="V267" i="17" a="1"/>
  <c r="V267" i="17" s="1"/>
  <c r="V352" i="17" a="1"/>
  <c r="V352" i="17" s="1"/>
  <c r="V392" i="17" a="1"/>
  <c r="V392" i="17" s="1"/>
  <c r="V33" i="17" a="1"/>
  <c r="V33" i="17" s="1"/>
  <c r="V73" i="17" a="1"/>
  <c r="V73" i="17" s="1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353" i="17" a="1"/>
  <c r="V353" i="17" s="1"/>
  <c r="V393" i="17" a="1"/>
  <c r="V393" i="17" s="1"/>
  <c r="V34" i="17" a="1"/>
  <c r="V34" i="17" s="1"/>
  <c r="V74" i="17" a="1"/>
  <c r="V74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 s="1"/>
  <c r="V354" i="17" a="1"/>
  <c r="V354" i="17" s="1"/>
  <c r="V394" i="17" a="1"/>
  <c r="V394" i="17" s="1"/>
  <c r="V35" i="17" a="1"/>
  <c r="V35" i="17" s="1"/>
  <c r="V75" i="17" a="1"/>
  <c r="V75" i="17" s="1"/>
  <c r="V280" i="17" a="1"/>
  <c r="V280" i="17" s="1"/>
  <c r="V281" i="17" a="1"/>
  <c r="V281" i="17"/>
  <c r="V282" i="17" a="1"/>
  <c r="V282" i="17" s="1"/>
  <c r="V283" i="17" a="1"/>
  <c r="V283" i="17" s="1"/>
  <c r="V284" i="17" a="1"/>
  <c r="V284" i="17" s="1"/>
  <c r="V285" i="17" a="1"/>
  <c r="V285" i="17" s="1"/>
  <c r="V355" i="17" a="1"/>
  <c r="V355" i="17" s="1"/>
  <c r="V395" i="17" a="1"/>
  <c r="V395" i="17" s="1"/>
  <c r="V36" i="17" a="1"/>
  <c r="V36" i="17"/>
  <c r="V76" i="17" a="1"/>
  <c r="V76" i="17" s="1"/>
  <c r="V286" i="17" a="1"/>
  <c r="V286" i="17" s="1"/>
  <c r="V287" i="17" a="1"/>
  <c r="V287" i="17" s="1"/>
  <c r="V288" i="17" a="1"/>
  <c r="V288" i="17" s="1"/>
  <c r="V289" i="17" a="1"/>
  <c r="V289" i="17" s="1"/>
  <c r="V290" i="17" a="1"/>
  <c r="V290" i="17" s="1"/>
  <c r="V291" i="17" a="1"/>
  <c r="V291" i="17" s="1"/>
  <c r="V356" i="17" a="1"/>
  <c r="V356" i="17" s="1"/>
  <c r="V396" i="17" a="1"/>
  <c r="V396" i="17" s="1"/>
  <c r="V37" i="17" a="1"/>
  <c r="V37" i="17" s="1"/>
  <c r="V77" i="17" a="1"/>
  <c r="V77" i="17" s="1"/>
  <c r="V292" i="17" a="1"/>
  <c r="V292" i="17" s="1"/>
  <c r="V293" i="17" a="1"/>
  <c r="V293" i="17" s="1"/>
  <c r="V294" i="17" a="1"/>
  <c r="V294" i="17" s="1"/>
  <c r="V295" i="17" a="1"/>
  <c r="V295" i="17" s="1"/>
  <c r="V296" i="17" a="1"/>
  <c r="V296" i="17" s="1"/>
  <c r="V297" i="17" a="1"/>
  <c r="V297" i="17" s="1"/>
  <c r="V357" i="17" a="1"/>
  <c r="V357" i="17" s="1"/>
  <c r="V397" i="17" a="1"/>
  <c r="V397" i="17" s="1"/>
  <c r="V38" i="17" a="1"/>
  <c r="V38" i="17" s="1"/>
  <c r="V78" i="17" a="1"/>
  <c r="V78" i="17" s="1"/>
  <c r="V298" i="17" a="1"/>
  <c r="V298" i="17" s="1"/>
  <c r="V299" i="17" a="1"/>
  <c r="V299" i="17" s="1"/>
  <c r="V300" i="17" a="1"/>
  <c r="V300" i="17" s="1"/>
  <c r="V301" i="17" a="1"/>
  <c r="V301" i="17" s="1"/>
  <c r="V302" i="17" a="1"/>
  <c r="V302" i="17" s="1"/>
  <c r="V303" i="17" a="1"/>
  <c r="V303" i="17" s="1"/>
  <c r="V358" i="17" a="1"/>
  <c r="V358" i="17" s="1"/>
  <c r="V398" i="17" a="1"/>
  <c r="V398" i="17" s="1"/>
  <c r="V39" i="17" a="1"/>
  <c r="V39" i="17" s="1"/>
  <c r="V79" i="17" a="1"/>
  <c r="V79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 s="1"/>
  <c r="V309" i="17" a="1"/>
  <c r="V309" i="17" s="1"/>
  <c r="V359" i="17" a="1"/>
  <c r="V359" i="17" s="1"/>
  <c r="V399" i="17" a="1"/>
  <c r="V399" i="17" s="1"/>
  <c r="V40" i="17" a="1"/>
  <c r="V40" i="17" s="1"/>
  <c r="V80" i="17" a="1"/>
  <c r="V80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360" i="17" a="1"/>
  <c r="V360" i="17" s="1"/>
  <c r="V400" i="17" a="1"/>
  <c r="V400" i="17" s="1"/>
  <c r="V41" i="17" a="1"/>
  <c r="V41" i="17" s="1"/>
  <c r="V81" i="17" a="1"/>
  <c r="V81" i="17" s="1"/>
  <c r="V316" i="17" a="1"/>
  <c r="V316" i="17" s="1"/>
  <c r="V317" i="17" a="1"/>
  <c r="V317" i="17" s="1"/>
  <c r="V318" i="17" a="1"/>
  <c r="V318" i="17" s="1"/>
  <c r="V319" i="17" a="1"/>
  <c r="V319" i="17" s="1"/>
  <c r="V320" i="17" a="1"/>
  <c r="V320" i="17" s="1"/>
  <c r="V321" i="17" a="1"/>
  <c r="V321" i="17"/>
  <c r="V361" i="17" a="1"/>
  <c r="V361" i="17" s="1"/>
  <c r="V401" i="17" a="1"/>
  <c r="V401" i="17" s="1"/>
  <c r="X2" i="17" a="1"/>
  <c r="X2" i="17" s="1"/>
  <c r="X42" i="17" a="1"/>
  <c r="X42" i="17" s="1"/>
  <c r="Y42" i="17" s="1"/>
  <c r="Q42" i="17" s="1"/>
  <c r="W42" i="17" s="1"/>
  <c r="X82" i="17" a="1"/>
  <c r="X82" i="17" s="1"/>
  <c r="X83" i="17" a="1"/>
  <c r="X83" i="17" s="1"/>
  <c r="Y83" i="17" s="1"/>
  <c r="Q83" i="17" s="1"/>
  <c r="W83" i="17" s="1"/>
  <c r="X84" i="17" a="1"/>
  <c r="X84" i="17" s="1"/>
  <c r="X85" i="17" a="1"/>
  <c r="X85" i="17" s="1"/>
  <c r="Y85" i="17" s="1"/>
  <c r="X86" i="17" a="1"/>
  <c r="X86" i="17" s="1"/>
  <c r="X87" i="17" a="1"/>
  <c r="X87" i="17" s="1"/>
  <c r="X322" i="17" a="1"/>
  <c r="X322" i="17" s="1"/>
  <c r="Y322" i="17" s="1"/>
  <c r="X362" i="17" a="1"/>
  <c r="X362" i="17" s="1"/>
  <c r="X3" i="17" a="1"/>
  <c r="X3" i="17" s="1"/>
  <c r="X43" i="17" a="1"/>
  <c r="X43" i="17" s="1"/>
  <c r="Y43" i="17" s="1"/>
  <c r="Q43" i="17" s="1"/>
  <c r="W43" i="17" s="1"/>
  <c r="X88" i="17" a="1"/>
  <c r="X88" i="17" s="1"/>
  <c r="Y88" i="17" s="1"/>
  <c r="X89" i="17" a="1"/>
  <c r="X89" i="17" s="1"/>
  <c r="X90" i="17" a="1"/>
  <c r="X90" i="17" s="1"/>
  <c r="X91" i="17" a="1"/>
  <c r="X91" i="17" s="1"/>
  <c r="Y91" i="17" s="1"/>
  <c r="X92" i="17" a="1"/>
  <c r="X92" i="17" s="1"/>
  <c r="X93" i="17" a="1"/>
  <c r="X93" i="17" s="1"/>
  <c r="Y93" i="17" s="1"/>
  <c r="X323" i="17" a="1"/>
  <c r="X323" i="17" s="1"/>
  <c r="X363" i="17" a="1"/>
  <c r="X363" i="17" s="1"/>
  <c r="X4" i="17" a="1"/>
  <c r="X4" i="17" s="1"/>
  <c r="Y4" i="17" s="1"/>
  <c r="X44" i="17" a="1"/>
  <c r="X44" i="17" s="1"/>
  <c r="X94" i="17" a="1"/>
  <c r="X94" i="17" s="1"/>
  <c r="X95" i="17" a="1"/>
  <c r="X95" i="17" s="1"/>
  <c r="X96" i="17" a="1"/>
  <c r="X96" i="17" s="1"/>
  <c r="Y96" i="17" s="1"/>
  <c r="X97" i="17" a="1"/>
  <c r="X97" i="17" s="1"/>
  <c r="Y97" i="17" s="1"/>
  <c r="Q97" i="17" s="1"/>
  <c r="W97" i="17" s="1"/>
  <c r="X98" i="17" a="1"/>
  <c r="X98" i="17" s="1"/>
  <c r="Y98" i="17" s="1"/>
  <c r="X99" i="17" a="1"/>
  <c r="X99" i="17" s="1"/>
  <c r="X324" i="17" a="1"/>
  <c r="X324" i="17" s="1"/>
  <c r="Y324" i="17" s="1"/>
  <c r="X364" i="17" a="1"/>
  <c r="X364" i="17" s="1"/>
  <c r="Y364" i="17" s="1"/>
  <c r="X5" i="17" a="1"/>
  <c r="X5" i="17" s="1"/>
  <c r="X45" i="17" a="1"/>
  <c r="X45" i="17" s="1"/>
  <c r="Y45" i="17" s="1"/>
  <c r="X100" i="17" a="1"/>
  <c r="X100" i="17" s="1"/>
  <c r="Y100" i="17" s="1"/>
  <c r="X101" i="17" a="1"/>
  <c r="X101" i="17" s="1"/>
  <c r="Y101" i="17" s="1"/>
  <c r="Q101" i="17" s="1"/>
  <c r="W101" i="17" s="1"/>
  <c r="X102" i="17" a="1"/>
  <c r="X102" i="17" s="1"/>
  <c r="X103" i="17" a="1"/>
  <c r="X103" i="17"/>
  <c r="X104" i="17" a="1"/>
  <c r="X104" i="17" s="1"/>
  <c r="X105" i="17" a="1"/>
  <c r="X105" i="17" s="1"/>
  <c r="Y105" i="17" s="1"/>
  <c r="X325" i="17" a="1"/>
  <c r="X325" i="17" s="1"/>
  <c r="Y325" i="17" s="1"/>
  <c r="X365" i="17" a="1"/>
  <c r="X365" i="17" s="1"/>
  <c r="Y365" i="17" s="1"/>
  <c r="X6" i="17" a="1"/>
  <c r="X6" i="17" s="1"/>
  <c r="X46" i="17" a="1"/>
  <c r="X46" i="17" s="1"/>
  <c r="Y46" i="17" s="1"/>
  <c r="X106" i="17" a="1"/>
  <c r="X106" i="17" s="1"/>
  <c r="X107" i="17" a="1"/>
  <c r="X107" i="17" s="1"/>
  <c r="X108" i="17" a="1"/>
  <c r="X108" i="17"/>
  <c r="X109" i="17" a="1"/>
  <c r="X109" i="17" s="1"/>
  <c r="X110" i="17" a="1"/>
  <c r="X110" i="17" s="1"/>
  <c r="X111" i="17" a="1"/>
  <c r="X111" i="17" s="1"/>
  <c r="Y111" i="17" s="1"/>
  <c r="X326" i="17" a="1"/>
  <c r="X326" i="17" s="1"/>
  <c r="Y326" i="17" s="1"/>
  <c r="X366" i="17" a="1"/>
  <c r="X366" i="17" s="1"/>
  <c r="Y366" i="17" s="1"/>
  <c r="X7" i="17" a="1"/>
  <c r="X7" i="17" s="1"/>
  <c r="X47" i="17" a="1"/>
  <c r="X47" i="17" s="1"/>
  <c r="Y47" i="17" s="1"/>
  <c r="X112" i="17" a="1"/>
  <c r="X112" i="17" s="1"/>
  <c r="Y112" i="17" s="1"/>
  <c r="X113" i="17" a="1"/>
  <c r="X113" i="17" s="1"/>
  <c r="X114" i="17" a="1"/>
  <c r="X114" i="17" s="1"/>
  <c r="X115" i="17" a="1"/>
  <c r="X115" i="17" s="1"/>
  <c r="Y115" i="17" s="1"/>
  <c r="X116" i="17" a="1"/>
  <c r="X116" i="17" s="1"/>
  <c r="X117" i="17" a="1"/>
  <c r="X117" i="17" s="1"/>
  <c r="Y117" i="17" s="1"/>
  <c r="Q117" i="17" s="1"/>
  <c r="W117" i="17" s="1"/>
  <c r="X327" i="17" a="1"/>
  <c r="X327" i="17" s="1"/>
  <c r="Y327" i="17" s="1"/>
  <c r="X367" i="17" a="1"/>
  <c r="X367" i="17" s="1"/>
  <c r="X8" i="17" a="1"/>
  <c r="X8" i="17" s="1"/>
  <c r="Y8" i="17" s="1"/>
  <c r="X48" i="17" a="1"/>
  <c r="X48" i="17" s="1"/>
  <c r="X118" i="17" a="1"/>
  <c r="X118" i="17" s="1"/>
  <c r="X119" i="17" a="1"/>
  <c r="X119" i="17"/>
  <c r="X120" i="17" a="1"/>
  <c r="X120" i="17" s="1"/>
  <c r="Y120" i="17" s="1"/>
  <c r="X121" i="17" a="1"/>
  <c r="X121" i="17" s="1"/>
  <c r="Y121" i="17" s="1"/>
  <c r="Q121" i="17" s="1"/>
  <c r="W121" i="17" s="1"/>
  <c r="X122" i="17" a="1"/>
  <c r="X122" i="17" s="1"/>
  <c r="X123" i="17" a="1"/>
  <c r="X123" i="17" s="1"/>
  <c r="X328" i="17" a="1"/>
  <c r="X328" i="17"/>
  <c r="X368" i="17" a="1"/>
  <c r="X368" i="17" s="1"/>
  <c r="Y368" i="17" s="1"/>
  <c r="X9" i="17" a="1"/>
  <c r="X9" i="17" s="1"/>
  <c r="X49" i="17" a="1"/>
  <c r="X49" i="17" s="1"/>
  <c r="Y49" i="17" s="1"/>
  <c r="X124" i="17" a="1"/>
  <c r="X124" i="17" s="1"/>
  <c r="X125" i="17" a="1"/>
  <c r="X125" i="17" s="1"/>
  <c r="Y125" i="17" s="1"/>
  <c r="X126" i="17" a="1"/>
  <c r="X126" i="17" s="1"/>
  <c r="X127" i="17" a="1"/>
  <c r="X127" i="17"/>
  <c r="X128" i="17" a="1"/>
  <c r="X128" i="17" s="1"/>
  <c r="Y128" i="17" s="1"/>
  <c r="X129" i="17" a="1"/>
  <c r="X129" i="17" s="1"/>
  <c r="X329" i="17" a="1"/>
  <c r="X329" i="17" s="1"/>
  <c r="X369" i="17" a="1"/>
  <c r="X369" i="17" s="1"/>
  <c r="Y369" i="17" s="1"/>
  <c r="X10" i="17" a="1"/>
  <c r="X10" i="17" s="1"/>
  <c r="Y10" i="17" s="1"/>
  <c r="X50" i="17" a="1"/>
  <c r="X50" i="17"/>
  <c r="X130" i="17" a="1"/>
  <c r="X130" i="17" s="1"/>
  <c r="X131" i="17" a="1"/>
  <c r="X131" i="17" s="1"/>
  <c r="Y131" i="17" s="1"/>
  <c r="X132" i="17" a="1"/>
  <c r="X132" i="17" s="1"/>
  <c r="Y132" i="17" s="1"/>
  <c r="X133" i="17" a="1"/>
  <c r="X133" i="17" s="1"/>
  <c r="Y133" i="17" s="1"/>
  <c r="X134" i="17" a="1"/>
  <c r="X134" i="17" s="1"/>
  <c r="X135" i="17" a="1"/>
  <c r="X135" i="17" s="1"/>
  <c r="Y135" i="17" s="1"/>
  <c r="X330" i="17" a="1"/>
  <c r="X330" i="17" s="1"/>
  <c r="X370" i="17" a="1"/>
  <c r="X370" i="17" s="1"/>
  <c r="Y370" i="17" s="1"/>
  <c r="Q370" i="17" s="1"/>
  <c r="W370" i="17" s="1"/>
  <c r="X11" i="17" a="1"/>
  <c r="X11" i="17" s="1"/>
  <c r="X51" i="17" a="1"/>
  <c r="X51" i="17" s="1"/>
  <c r="Y51" i="17" s="1"/>
  <c r="X136" i="17" a="1"/>
  <c r="X136" i="17" s="1"/>
  <c r="Y136" i="17" s="1"/>
  <c r="X137" i="17" a="1"/>
  <c r="X137" i="17" s="1"/>
  <c r="Y137" i="17" s="1"/>
  <c r="X138" i="17" a="1"/>
  <c r="X138" i="17" s="1"/>
  <c r="X139" i="17" a="1"/>
  <c r="X139" i="17" s="1"/>
  <c r="Y139" i="17" s="1"/>
  <c r="X140" i="17" a="1"/>
  <c r="X140" i="17" s="1"/>
  <c r="Y140" i="17" s="1"/>
  <c r="X141" i="17" a="1"/>
  <c r="X141" i="17" s="1"/>
  <c r="X331" i="17" a="1"/>
  <c r="X331" i="17" s="1"/>
  <c r="X371" i="17" a="1"/>
  <c r="X371" i="17" s="1"/>
  <c r="X12" i="17" a="1"/>
  <c r="X12" i="17"/>
  <c r="X52" i="17" a="1"/>
  <c r="X52" i="17" s="1"/>
  <c r="Y52" i="17" s="1"/>
  <c r="X142" i="17" a="1"/>
  <c r="X142" i="17" s="1"/>
  <c r="X143" i="17" a="1"/>
  <c r="X143" i="17" s="1"/>
  <c r="Y143" i="17" s="1"/>
  <c r="X144" i="17" a="1"/>
  <c r="X144" i="17" s="1"/>
  <c r="Y144" i="17" s="1"/>
  <c r="X145" i="17" a="1"/>
  <c r="X145" i="17" s="1"/>
  <c r="Y145" i="17" s="1"/>
  <c r="X146" i="17" a="1"/>
  <c r="X146" i="17" s="1"/>
  <c r="X147" i="17" a="1"/>
  <c r="X147" i="17" s="1"/>
  <c r="Y147" i="17" s="1"/>
  <c r="Q147" i="17" s="1"/>
  <c r="W147" i="17" s="1"/>
  <c r="X332" i="17" a="1"/>
  <c r="X332" i="17" s="1"/>
  <c r="X372" i="17" a="1"/>
  <c r="X372" i="17" s="1"/>
  <c r="Y372" i="17" s="1"/>
  <c r="X13" i="17" a="1"/>
  <c r="X13" i="17" s="1"/>
  <c r="Y13" i="17" s="1"/>
  <c r="Q13" i="17" s="1"/>
  <c r="W13" i="17" s="1"/>
  <c r="X53" i="17" a="1"/>
  <c r="X53" i="17" s="1"/>
  <c r="Y53" i="17" s="1"/>
  <c r="X148" i="17" a="1"/>
  <c r="X148" i="17" s="1"/>
  <c r="Y148" i="17" s="1"/>
  <c r="X149" i="17" a="1"/>
  <c r="X149" i="17" s="1"/>
  <c r="X150" i="17" a="1"/>
  <c r="X150" i="17" s="1"/>
  <c r="X151" i="17" a="1"/>
  <c r="X151" i="17" s="1"/>
  <c r="Y151" i="17" s="1"/>
  <c r="X152" i="17" a="1"/>
  <c r="X152" i="17" s="1"/>
  <c r="X153" i="17" a="1"/>
  <c r="X153" i="17" s="1"/>
  <c r="Y153" i="17" s="1"/>
  <c r="X333" i="17" a="1"/>
  <c r="X333" i="17" s="1"/>
  <c r="X373" i="17" a="1"/>
  <c r="X373" i="17" s="1"/>
  <c r="Y373" i="17" s="1"/>
  <c r="X14" i="17" a="1"/>
  <c r="X14" i="17" s="1"/>
  <c r="Y14" i="17" s="1"/>
  <c r="X54" i="17" a="1"/>
  <c r="X54" i="17" s="1"/>
  <c r="Y54" i="17" s="1"/>
  <c r="Q54" i="17" s="1"/>
  <c r="W54" i="17" s="1"/>
  <c r="X154" i="17" a="1"/>
  <c r="X154" i="17" s="1"/>
  <c r="X155" i="17" a="1"/>
  <c r="X155" i="17" s="1"/>
  <c r="Y155" i="17" s="1"/>
  <c r="X156" i="17" a="1"/>
  <c r="X156" i="17" s="1"/>
  <c r="Y156" i="17" s="1"/>
  <c r="X157" i="17" a="1"/>
  <c r="X157" i="17" s="1"/>
  <c r="Y157" i="17" s="1"/>
  <c r="X158" i="17" a="1"/>
  <c r="X158" i="17" s="1"/>
  <c r="X159" i="17" a="1"/>
  <c r="X159" i="17" s="1"/>
  <c r="X334" i="17" a="1"/>
  <c r="X334" i="17" s="1"/>
  <c r="Y334" i="17" s="1"/>
  <c r="X374" i="17" a="1"/>
  <c r="X374" i="17" s="1"/>
  <c r="Y374" i="17" s="1"/>
  <c r="Q374" i="17" s="1"/>
  <c r="W374" i="17" s="1"/>
  <c r="X15" i="17" a="1"/>
  <c r="X15" i="17" s="1"/>
  <c r="X55" i="17" a="1"/>
  <c r="X55" i="17" s="1"/>
  <c r="Y55" i="17" s="1"/>
  <c r="Q55" i="17" s="1"/>
  <c r="W55" i="17" s="1"/>
  <c r="X160" i="17" a="1"/>
  <c r="X160" i="17" s="1"/>
  <c r="X161" i="17" a="1"/>
  <c r="X161" i="17" s="1"/>
  <c r="Y161" i="17" s="1"/>
  <c r="X162" i="17" a="1"/>
  <c r="X162" i="17" s="1"/>
  <c r="X163" i="17" a="1"/>
  <c r="X163" i="17" s="1"/>
  <c r="Y163" i="17" s="1"/>
  <c r="X164" i="17" a="1"/>
  <c r="X164" i="17"/>
  <c r="X165" i="17" a="1"/>
  <c r="X165" i="17" s="1"/>
  <c r="Y165" i="17" s="1"/>
  <c r="X335" i="17" a="1"/>
  <c r="X335" i="17" s="1"/>
  <c r="Y335" i="17" s="1"/>
  <c r="X375" i="17" a="1"/>
  <c r="X375" i="17" s="1"/>
  <c r="Y375" i="17" s="1"/>
  <c r="Q375" i="17" s="1"/>
  <c r="W375" i="17" s="1"/>
  <c r="X16" i="17" a="1"/>
  <c r="X16" i="17" s="1"/>
  <c r="Y16" i="17" s="1"/>
  <c r="X56" i="17" a="1"/>
  <c r="X56" i="17"/>
  <c r="X166" i="17" a="1"/>
  <c r="X166" i="17" s="1"/>
  <c r="X167" i="17" a="1"/>
  <c r="X167" i="17" s="1"/>
  <c r="X168" i="17" a="1"/>
  <c r="X168" i="17" s="1"/>
  <c r="Y168" i="17" s="1"/>
  <c r="X169" i="17" a="1"/>
  <c r="X169" i="17" s="1"/>
  <c r="Y169" i="17" s="1"/>
  <c r="X170" i="17" a="1"/>
  <c r="X170" i="17" s="1"/>
  <c r="X171" i="17" a="1"/>
  <c r="X171" i="17" s="1"/>
  <c r="Y171" i="17" s="1"/>
  <c r="X336" i="17" a="1"/>
  <c r="X336" i="17"/>
  <c r="X376" i="17" a="1"/>
  <c r="X376" i="17" s="1"/>
  <c r="Y376" i="17" s="1"/>
  <c r="X17" i="17" a="1"/>
  <c r="X17" i="17" s="1"/>
  <c r="X57" i="17" a="1"/>
  <c r="X57" i="17" s="1"/>
  <c r="Y57" i="17" s="1"/>
  <c r="X172" i="17" a="1"/>
  <c r="X172" i="17"/>
  <c r="X173" i="17" a="1"/>
  <c r="X173" i="17" s="1"/>
  <c r="Y173" i="17" s="1"/>
  <c r="Q173" i="17" s="1"/>
  <c r="W173" i="17" s="1"/>
  <c r="X174" i="17" a="1"/>
  <c r="X174" i="17" s="1"/>
  <c r="X175" i="17" a="1"/>
  <c r="X175" i="17" s="1"/>
  <c r="Y175" i="17" s="1"/>
  <c r="X176" i="17" a="1"/>
  <c r="X176" i="17" s="1"/>
  <c r="Y176" i="17" s="1"/>
  <c r="X177" i="17" a="1"/>
  <c r="X177" i="17" s="1"/>
  <c r="X337" i="17" a="1"/>
  <c r="X337" i="17" s="1"/>
  <c r="X377" i="17" a="1"/>
  <c r="X377" i="17" s="1"/>
  <c r="Y377" i="17" s="1"/>
  <c r="X18" i="17" a="1"/>
  <c r="X18" i="17" s="1"/>
  <c r="Y18" i="17" s="1"/>
  <c r="Q18" i="17" s="1"/>
  <c r="W18" i="17" s="1"/>
  <c r="X58" i="17" a="1"/>
  <c r="X58" i="17" s="1"/>
  <c r="Y58" i="17" s="1"/>
  <c r="X178" i="17" a="1"/>
  <c r="X178" i="17" s="1"/>
  <c r="X179" i="17" a="1"/>
  <c r="X179" i="17"/>
  <c r="Y179" i="17" s="1"/>
  <c r="X180" i="17" a="1"/>
  <c r="X180" i="17" s="1"/>
  <c r="Y180" i="17" s="1"/>
  <c r="X181" i="17" a="1"/>
  <c r="X181" i="17" s="1"/>
  <c r="Y181" i="17" s="1"/>
  <c r="X182" i="17" a="1"/>
  <c r="X182" i="17" s="1"/>
  <c r="X183" i="17" a="1"/>
  <c r="X183" i="17" s="1"/>
  <c r="Y183" i="17" s="1"/>
  <c r="X338" i="17" a="1"/>
  <c r="X338" i="17" s="1"/>
  <c r="X378" i="17" a="1"/>
  <c r="X378" i="17" s="1"/>
  <c r="Y378" i="17" s="1"/>
  <c r="Q378" i="17" s="1"/>
  <c r="W378" i="17" s="1"/>
  <c r="X19" i="17" a="1"/>
  <c r="X19" i="17" s="1"/>
  <c r="X59" i="17" a="1"/>
  <c r="X59" i="17" s="1"/>
  <c r="Y59" i="17" s="1"/>
  <c r="Q59" i="17" s="1"/>
  <c r="W59" i="17" s="1"/>
  <c r="X184" i="17" a="1"/>
  <c r="X184" i="17" s="1"/>
  <c r="Y184" i="17" s="1"/>
  <c r="X185" i="17" a="1"/>
  <c r="X185" i="17" s="1"/>
  <c r="X186" i="17" a="1"/>
  <c r="X186" i="17" s="1"/>
  <c r="X187" i="17" a="1"/>
  <c r="X187" i="17" s="1"/>
  <c r="Y187" i="17" s="1"/>
  <c r="X188" i="17" a="1"/>
  <c r="X188" i="17" s="1"/>
  <c r="Y188" i="17" s="1"/>
  <c r="X189" i="17" a="1"/>
  <c r="X189" i="17" s="1"/>
  <c r="Y189" i="17" s="1"/>
  <c r="Q189" i="17" s="1"/>
  <c r="W189" i="17" s="1"/>
  <c r="X339" i="17" a="1"/>
  <c r="X339" i="17" s="1"/>
  <c r="Y339" i="17" s="1"/>
  <c r="Q339" i="17" s="1"/>
  <c r="W339" i="17" s="1"/>
  <c r="X379" i="17" a="1"/>
  <c r="X379" i="17" s="1"/>
  <c r="Y379" i="17" s="1"/>
  <c r="X20" i="17" a="1"/>
  <c r="X20" i="17" s="1"/>
  <c r="Y20" i="17" s="1"/>
  <c r="Q20" i="17" s="1"/>
  <c r="W20" i="17" s="1"/>
  <c r="X60" i="17" a="1"/>
  <c r="X60" i="17" s="1"/>
  <c r="Y60" i="17" s="1"/>
  <c r="Q60" i="17" s="1"/>
  <c r="W60" i="17" s="1"/>
  <c r="X190" i="17" a="1"/>
  <c r="X190" i="17" s="1"/>
  <c r="X191" i="17" a="1"/>
  <c r="X191" i="17" s="1"/>
  <c r="Y191" i="17" s="1"/>
  <c r="X192" i="17" a="1"/>
  <c r="X192" i="17" s="1"/>
  <c r="X193" i="17" a="1"/>
  <c r="X193" i="17" s="1"/>
  <c r="Y193" i="17" s="1"/>
  <c r="X194" i="17" a="1"/>
  <c r="X194" i="17" s="1"/>
  <c r="X195" i="17" a="1"/>
  <c r="X195" i="17" s="1"/>
  <c r="Y195" i="17" s="1"/>
  <c r="Q195" i="17" s="1"/>
  <c r="W195" i="17" s="1"/>
  <c r="X340" i="17" a="1"/>
  <c r="X340" i="17" s="1"/>
  <c r="Y340" i="17" s="1"/>
  <c r="X380" i="17" a="1"/>
  <c r="X380" i="17" s="1"/>
  <c r="Y380" i="17" s="1"/>
  <c r="Q380" i="17" s="1"/>
  <c r="W380" i="17" s="1"/>
  <c r="X21" i="17" a="1"/>
  <c r="X21" i="17" s="1"/>
  <c r="X61" i="17" a="1"/>
  <c r="X61" i="17" s="1"/>
  <c r="Y61" i="17" s="1"/>
  <c r="X196" i="17" a="1"/>
  <c r="X196" i="17" s="1"/>
  <c r="Y196" i="17" s="1"/>
  <c r="X197" i="17" a="1"/>
  <c r="X197" i="17" s="1"/>
  <c r="Y197" i="17" s="1"/>
  <c r="X198" i="17" a="1"/>
  <c r="X198" i="17" s="1"/>
  <c r="X199" i="17" a="1"/>
  <c r="X199" i="17" s="1"/>
  <c r="X200" i="17" a="1"/>
  <c r="X200" i="17"/>
  <c r="X201" i="17" a="1"/>
  <c r="X201" i="17" s="1"/>
  <c r="Y201" i="17" s="1"/>
  <c r="X341" i="17" a="1"/>
  <c r="X341" i="17" s="1"/>
  <c r="X381" i="17" a="1"/>
  <c r="X381" i="17" s="1"/>
  <c r="Y381" i="17" s="1"/>
  <c r="X22" i="17" a="1"/>
  <c r="X22" i="17" s="1"/>
  <c r="Y22" i="17" s="1"/>
  <c r="Q22" i="17" s="1"/>
  <c r="W22" i="17" s="1"/>
  <c r="X62" i="17" a="1"/>
  <c r="X62" i="17" s="1"/>
  <c r="Y62" i="17" s="1"/>
  <c r="X202" i="17" a="1"/>
  <c r="X202" i="17" s="1"/>
  <c r="X203" i="17" a="1"/>
  <c r="X203" i="17"/>
  <c r="Y203" i="17" s="1"/>
  <c r="X204" i="17" a="1"/>
  <c r="X204" i="17" s="1"/>
  <c r="Y204" i="17" s="1"/>
  <c r="Q204" i="17" s="1"/>
  <c r="W204" i="17" s="1"/>
  <c r="X205" i="17" a="1"/>
  <c r="X205" i="17" s="1"/>
  <c r="Y205" i="17" s="1"/>
  <c r="X206" i="17" a="1"/>
  <c r="X206" i="17" s="1"/>
  <c r="X207" i="17" a="1"/>
  <c r="X207" i="17" s="1"/>
  <c r="Y207" i="17" s="1"/>
  <c r="Q207" i="17" s="1"/>
  <c r="W207" i="17" s="1"/>
  <c r="X342" i="17" a="1"/>
  <c r="X342" i="17" s="1"/>
  <c r="Y342" i="17" s="1"/>
  <c r="Q342" i="17" s="1"/>
  <c r="W342" i="17" s="1"/>
  <c r="X382" i="17" a="1"/>
  <c r="X382" i="17" s="1"/>
  <c r="Y382" i="17" s="1"/>
  <c r="X23" i="17" a="1"/>
  <c r="X23" i="17" s="1"/>
  <c r="X63" i="17" a="1"/>
  <c r="X63" i="17" s="1"/>
  <c r="Y63" i="17" s="1"/>
  <c r="Q63" i="17" s="1"/>
  <c r="W63" i="17" s="1"/>
  <c r="X208" i="17" a="1"/>
  <c r="X208" i="17" s="1"/>
  <c r="Y208" i="17" s="1"/>
  <c r="Q208" i="17" s="1"/>
  <c r="W208" i="17" s="1"/>
  <c r="X209" i="17" a="1"/>
  <c r="X209" i="17" s="1"/>
  <c r="Y209" i="17" s="1"/>
  <c r="X210" i="17" a="1"/>
  <c r="X210" i="17" s="1"/>
  <c r="X211" i="17" a="1"/>
  <c r="X211" i="17" s="1"/>
  <c r="Y211" i="17" s="1"/>
  <c r="Q211" i="17" s="1"/>
  <c r="W211" i="17" s="1"/>
  <c r="X212" i="17" a="1"/>
  <c r="X212" i="17" s="1"/>
  <c r="Y212" i="17" s="1"/>
  <c r="Q212" i="17" s="1"/>
  <c r="W212" i="17" s="1"/>
  <c r="X213" i="17" a="1"/>
  <c r="X213" i="17" s="1"/>
  <c r="Y213" i="17" s="1"/>
  <c r="Q213" i="17" s="1"/>
  <c r="W213" i="17" s="1"/>
  <c r="X343" i="17" a="1"/>
  <c r="X343" i="17" s="1"/>
  <c r="X383" i="17" a="1"/>
  <c r="X383" i="17"/>
  <c r="Y383" i="17" s="1"/>
  <c r="Q383" i="17" s="1"/>
  <c r="W383" i="17" s="1"/>
  <c r="X24" i="17" a="1"/>
  <c r="X24" i="17" s="1"/>
  <c r="Y24" i="17" s="1"/>
  <c r="Q24" i="17" s="1"/>
  <c r="W24" i="17" s="1"/>
  <c r="X64" i="17" a="1"/>
  <c r="X64" i="17" s="1"/>
  <c r="Y64" i="17" s="1"/>
  <c r="X214" i="17" a="1"/>
  <c r="X214" i="17" s="1"/>
  <c r="X215" i="17" a="1"/>
  <c r="X215" i="17"/>
  <c r="X216" i="17" a="1"/>
  <c r="X216" i="17" s="1"/>
  <c r="Y216" i="17" s="1"/>
  <c r="Q216" i="17" s="1"/>
  <c r="W216" i="17" s="1"/>
  <c r="X217" i="17" a="1"/>
  <c r="X217" i="17"/>
  <c r="X218" i="17" a="1"/>
  <c r="X218" i="17" s="1"/>
  <c r="X219" i="17" a="1"/>
  <c r="X219" i="17" s="1"/>
  <c r="Y219" i="17" s="1"/>
  <c r="Q219" i="17" s="1"/>
  <c r="W219" i="17" s="1"/>
  <c r="X344" i="17" a="1"/>
  <c r="X344" i="17" s="1"/>
  <c r="Y344" i="17" s="1"/>
  <c r="Q344" i="17" s="1"/>
  <c r="W344" i="17" s="1"/>
  <c r="X384" i="17" a="1"/>
  <c r="X384" i="17" s="1"/>
  <c r="Y384" i="17" s="1"/>
  <c r="X25" i="17" a="1"/>
  <c r="X25" i="17" s="1"/>
  <c r="X65" i="17" a="1"/>
  <c r="X65" i="17" s="1"/>
  <c r="Y65" i="17" s="1"/>
  <c r="Q65" i="17" s="1"/>
  <c r="W65" i="17" s="1"/>
  <c r="X220" i="17" a="1"/>
  <c r="X220" i="17" s="1"/>
  <c r="Y220" i="17" s="1"/>
  <c r="Q220" i="17" s="1"/>
  <c r="W220" i="17" s="1"/>
  <c r="X221" i="17" a="1"/>
  <c r="X221" i="17" s="1"/>
  <c r="Y221" i="17" s="1"/>
  <c r="Q221" i="17" s="1"/>
  <c r="W221" i="17" s="1"/>
  <c r="X222" i="17" a="1"/>
  <c r="X222" i="17" s="1"/>
  <c r="X223" i="17" a="1"/>
  <c r="X223" i="17" s="1"/>
  <c r="Y223" i="17" s="1"/>
  <c r="Q223" i="17" s="1"/>
  <c r="W223" i="17" s="1"/>
  <c r="X224" i="17" a="1"/>
  <c r="X224" i="17" s="1"/>
  <c r="Y224" i="17" s="1"/>
  <c r="Q224" i="17" s="1"/>
  <c r="W224" i="17" s="1"/>
  <c r="X225" i="17" a="1"/>
  <c r="X225" i="17" s="1"/>
  <c r="Y225" i="17" s="1"/>
  <c r="X345" i="17" a="1"/>
  <c r="X345" i="17" s="1"/>
  <c r="X385" i="17" a="1"/>
  <c r="X385" i="17" s="1"/>
  <c r="Y385" i="17" s="1"/>
  <c r="Q385" i="17" s="1"/>
  <c r="W385" i="17" s="1"/>
  <c r="X26" i="17" a="1"/>
  <c r="X26" i="17" s="1"/>
  <c r="Y26" i="17" s="1"/>
  <c r="Q26" i="17" s="1"/>
  <c r="W26" i="17" s="1"/>
  <c r="X66" i="17" a="1"/>
  <c r="X66" i="17" s="1"/>
  <c r="Y66" i="17" s="1"/>
  <c r="Q66" i="17" s="1"/>
  <c r="W66" i="17" s="1"/>
  <c r="X226" i="17" a="1"/>
  <c r="X226" i="17" s="1"/>
  <c r="X227" i="17" a="1"/>
  <c r="X227" i="17" s="1"/>
  <c r="Y227" i="17" s="1"/>
  <c r="Q227" i="17" s="1"/>
  <c r="W227" i="17" s="1"/>
  <c r="X228" i="17" a="1"/>
  <c r="X228" i="17" s="1"/>
  <c r="X229" i="17" a="1"/>
  <c r="X229" i="17"/>
  <c r="X230" i="17" a="1"/>
  <c r="X230" i="17" s="1"/>
  <c r="X231" i="17" a="1"/>
  <c r="X231" i="17" s="1"/>
  <c r="Y231" i="17" s="1"/>
  <c r="Q231" i="17" s="1"/>
  <c r="W231" i="17" s="1"/>
  <c r="X346" i="17" a="1"/>
  <c r="X346" i="17" s="1"/>
  <c r="Y346" i="17" s="1"/>
  <c r="Q346" i="17" s="1"/>
  <c r="W346" i="17" s="1"/>
  <c r="X386" i="17" a="1"/>
  <c r="X386" i="17" s="1"/>
  <c r="Y386" i="17" s="1"/>
  <c r="Q386" i="17" s="1"/>
  <c r="W386" i="17" s="1"/>
  <c r="X27" i="17" a="1"/>
  <c r="X27" i="17" s="1"/>
  <c r="X67" i="17" a="1"/>
  <c r="X67" i="17" s="1"/>
  <c r="Y67" i="17" s="1"/>
  <c r="Q67" i="17" s="1"/>
  <c r="W67" i="17" s="1"/>
  <c r="X232" i="17" a="1"/>
  <c r="X232" i="17" s="1"/>
  <c r="Y232" i="17" s="1"/>
  <c r="Q232" i="17" s="1"/>
  <c r="W232" i="17" s="1"/>
  <c r="X233" i="17" a="1"/>
  <c r="X233" i="17" s="1"/>
  <c r="Y233" i="17" s="1"/>
  <c r="X234" i="17" a="1"/>
  <c r="X234" i="17" s="1"/>
  <c r="X235" i="17" a="1"/>
  <c r="X235" i="17" s="1"/>
  <c r="Y235" i="17" s="1"/>
  <c r="Q235" i="17" s="1"/>
  <c r="W235" i="17" s="1"/>
  <c r="X236" i="17" a="1"/>
  <c r="X236" i="17" s="1"/>
  <c r="Y236" i="17" s="1"/>
  <c r="Q236" i="17" s="1"/>
  <c r="W236" i="17" s="1"/>
  <c r="X237" i="17" a="1"/>
  <c r="X237" i="17"/>
  <c r="X347" i="17" a="1"/>
  <c r="X347" i="17" s="1"/>
  <c r="X387" i="17" a="1"/>
  <c r="X387" i="17" s="1"/>
  <c r="Y387" i="17" s="1"/>
  <c r="Q387" i="17" s="1"/>
  <c r="W387" i="17" s="1"/>
  <c r="X28" i="17" a="1"/>
  <c r="X28" i="17" s="1"/>
  <c r="Y28" i="17" s="1"/>
  <c r="Q28" i="17" s="1"/>
  <c r="W28" i="17" s="1"/>
  <c r="X68" i="17" a="1"/>
  <c r="X68" i="17" s="1"/>
  <c r="Y68" i="17" s="1"/>
  <c r="X238" i="17" a="1"/>
  <c r="X238" i="17" s="1"/>
  <c r="X239" i="17" a="1"/>
  <c r="X239" i="17" s="1"/>
  <c r="Y239" i="17" s="1"/>
  <c r="Q239" i="17" s="1"/>
  <c r="W239" i="17" s="1"/>
  <c r="X240" i="17" a="1"/>
  <c r="X240" i="17" s="1"/>
  <c r="Y240" i="17" s="1"/>
  <c r="Q240" i="17" s="1"/>
  <c r="W240" i="17" s="1"/>
  <c r="X241" i="17" a="1"/>
  <c r="X241" i="17" s="1"/>
  <c r="Y241" i="17" s="1"/>
  <c r="Q241" i="17" s="1"/>
  <c r="W241" i="17" s="1"/>
  <c r="X242" i="17" a="1"/>
  <c r="X242" i="17" s="1"/>
  <c r="Y242" i="17" s="1"/>
  <c r="Q242" i="17" s="1"/>
  <c r="W242" i="17" s="1"/>
  <c r="X243" i="17" a="1"/>
  <c r="X243" i="17" s="1"/>
  <c r="Y243" i="17" s="1"/>
  <c r="Q243" i="17" s="1"/>
  <c r="W243" i="17" s="1"/>
  <c r="X348" i="17" a="1"/>
  <c r="X348" i="17" s="1"/>
  <c r="Y348" i="17" s="1"/>
  <c r="Q348" i="17" s="1"/>
  <c r="W348" i="17" s="1"/>
  <c r="X388" i="17" a="1"/>
  <c r="X388" i="17" s="1"/>
  <c r="Y388" i="17" s="1"/>
  <c r="X29" i="17" a="1"/>
  <c r="X29" i="17" s="1"/>
  <c r="Y29" i="17" s="1"/>
  <c r="Q29" i="17" s="1"/>
  <c r="W29" i="17" s="1"/>
  <c r="X69" i="17" a="1"/>
  <c r="X69" i="17" s="1"/>
  <c r="Y69" i="17" s="1"/>
  <c r="Q69" i="17" s="1"/>
  <c r="W69" i="17" s="1"/>
  <c r="X244" i="17" a="1"/>
  <c r="X244" i="17" s="1"/>
  <c r="Y244" i="17" s="1"/>
  <c r="Q244" i="17" s="1"/>
  <c r="W244" i="17" s="1"/>
  <c r="X245" i="17" a="1"/>
  <c r="X245" i="17" s="1"/>
  <c r="Y245" i="17" s="1"/>
  <c r="Q245" i="17" s="1"/>
  <c r="W245" i="17" s="1"/>
  <c r="X246" i="17" a="1"/>
  <c r="X246" i="17" s="1"/>
  <c r="Y246" i="17" s="1"/>
  <c r="Q246" i="17" s="1"/>
  <c r="W246" i="17" s="1"/>
  <c r="X247" i="17" a="1"/>
  <c r="X247" i="17" s="1"/>
  <c r="Y247" i="17" s="1"/>
  <c r="Q247" i="17" s="1"/>
  <c r="W247" i="17" s="1"/>
  <c r="X248" i="17" a="1"/>
  <c r="X248" i="17"/>
  <c r="X249" i="17" a="1"/>
  <c r="X249" i="17" s="1"/>
  <c r="Y249" i="17" s="1"/>
  <c r="X349" i="17" a="1"/>
  <c r="X349" i="17"/>
  <c r="Y349" i="17" s="1"/>
  <c r="Q349" i="17" s="1"/>
  <c r="W349" i="17" s="1"/>
  <c r="X389" i="17" a="1"/>
  <c r="X389" i="17" s="1"/>
  <c r="Y389" i="17" s="1"/>
  <c r="Q389" i="17" s="1"/>
  <c r="W389" i="17" s="1"/>
  <c r="X30" i="17" a="1"/>
  <c r="X30" i="17" s="1"/>
  <c r="Y30" i="17" s="1"/>
  <c r="Q30" i="17" s="1"/>
  <c r="W30" i="17" s="1"/>
  <c r="X70" i="17" a="1"/>
  <c r="X70" i="17" s="1"/>
  <c r="Y70" i="17" s="1"/>
  <c r="Q70" i="17" s="1"/>
  <c r="W70" i="17" s="1"/>
  <c r="X250" i="17" a="1"/>
  <c r="X250" i="17" s="1"/>
  <c r="Y250" i="17" s="1"/>
  <c r="Q250" i="17" s="1"/>
  <c r="W250" i="17" s="1"/>
  <c r="X251" i="17" a="1"/>
  <c r="X251" i="17" s="1"/>
  <c r="Y251" i="17" s="1"/>
  <c r="Q251" i="17" s="1"/>
  <c r="W251" i="17" s="1"/>
  <c r="X252" i="17" a="1"/>
  <c r="X252" i="17" s="1"/>
  <c r="Y252" i="17" s="1"/>
  <c r="Q252" i="17" s="1"/>
  <c r="W252" i="17" s="1"/>
  <c r="X253" i="17" a="1"/>
  <c r="X253" i="17" s="1"/>
  <c r="Y253" i="17" s="1"/>
  <c r="Q253" i="17" s="1"/>
  <c r="W253" i="17" s="1"/>
  <c r="X254" i="17" a="1"/>
  <c r="X254" i="17" s="1"/>
  <c r="Y254" i="17" s="1"/>
  <c r="Q254" i="17" s="1"/>
  <c r="W254" i="17" s="1"/>
  <c r="X255" i="17" a="1"/>
  <c r="X255" i="17" s="1"/>
  <c r="Y255" i="17" s="1"/>
  <c r="Q255" i="17" s="1"/>
  <c r="W255" i="17" s="1"/>
  <c r="X350" i="17" a="1"/>
  <c r="X350" i="17" s="1"/>
  <c r="Y350" i="17" s="1"/>
  <c r="Q350" i="17" s="1"/>
  <c r="W350" i="17" s="1"/>
  <c r="X390" i="17" a="1"/>
  <c r="X390" i="17" s="1"/>
  <c r="Y390" i="17" s="1"/>
  <c r="Q390" i="17" s="1"/>
  <c r="W390" i="17" s="1"/>
  <c r="X31" i="17" a="1"/>
  <c r="X31" i="17" s="1"/>
  <c r="Y31" i="17" s="1"/>
  <c r="Q31" i="17" s="1"/>
  <c r="W31" i="17" s="1"/>
  <c r="X71" i="17" a="1"/>
  <c r="X71" i="17" s="1"/>
  <c r="Y71" i="17" s="1"/>
  <c r="Q71" i="17" s="1"/>
  <c r="W71" i="17" s="1"/>
  <c r="X256" i="17" a="1"/>
  <c r="X256" i="17" s="1"/>
  <c r="Y256" i="17" s="1"/>
  <c r="Q256" i="17" s="1"/>
  <c r="W256" i="17" s="1"/>
  <c r="X257" i="17" a="1"/>
  <c r="X257" i="17" s="1"/>
  <c r="Y257" i="17" s="1"/>
  <c r="Q257" i="17" s="1"/>
  <c r="W257" i="17" s="1"/>
  <c r="X258" i="17" a="1"/>
  <c r="X258" i="17" s="1"/>
  <c r="Y258" i="17" s="1"/>
  <c r="Q258" i="17" s="1"/>
  <c r="W258" i="17" s="1"/>
  <c r="X259" i="17" a="1"/>
  <c r="X259" i="17" s="1"/>
  <c r="Y259" i="17" s="1"/>
  <c r="Q259" i="17" s="1"/>
  <c r="W259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351" i="17" a="1"/>
  <c r="X351" i="17"/>
  <c r="X391" i="17" a="1"/>
  <c r="X391" i="17" s="1"/>
  <c r="Y391" i="17" s="1"/>
  <c r="Q391" i="17" s="1"/>
  <c r="W391" i="17" s="1"/>
  <c r="X32" i="17" a="1"/>
  <c r="X32" i="17" s="1"/>
  <c r="Y32" i="17" s="1"/>
  <c r="Q32" i="17" s="1"/>
  <c r="W32" i="17" s="1"/>
  <c r="X72" i="17" a="1"/>
  <c r="X72" i="17" s="1"/>
  <c r="Y72" i="17" s="1"/>
  <c r="Q72" i="17" s="1"/>
  <c r="W72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264" i="17" a="1"/>
  <c r="X264" i="17" s="1"/>
  <c r="Y264" i="17" s="1"/>
  <c r="Q264" i="17" s="1"/>
  <c r="W264" i="17" s="1"/>
  <c r="X265" i="17" a="1"/>
  <c r="X265" i="17" s="1"/>
  <c r="Y265" i="17" s="1"/>
  <c r="Q265" i="17" s="1"/>
  <c r="W265" i="17" s="1"/>
  <c r="X266" i="17" a="1"/>
  <c r="X266" i="17" s="1"/>
  <c r="Y266" i="17" s="1"/>
  <c r="Q266" i="17" s="1"/>
  <c r="W266" i="17" s="1"/>
  <c r="X267" i="17" a="1"/>
  <c r="X267" i="17" s="1"/>
  <c r="Y267" i="17" s="1"/>
  <c r="Q267" i="17" s="1"/>
  <c r="W267" i="17" s="1"/>
  <c r="X352" i="17" a="1"/>
  <c r="X352" i="17" s="1"/>
  <c r="Y352" i="17" s="1"/>
  <c r="Q352" i="17" s="1"/>
  <c r="W352" i="17" s="1"/>
  <c r="X392" i="17" a="1"/>
  <c r="X392" i="17" s="1"/>
  <c r="Y392" i="17" s="1"/>
  <c r="Q392" i="17" s="1"/>
  <c r="W392" i="17" s="1"/>
  <c r="X33" i="17" a="1"/>
  <c r="X33" i="17"/>
  <c r="X73" i="17" a="1"/>
  <c r="X73" i="17" s="1"/>
  <c r="Y73" i="17" s="1"/>
  <c r="Q73" i="17" s="1"/>
  <c r="W73" i="17" s="1"/>
  <c r="X268" i="17" a="1"/>
  <c r="X268" i="17" s="1"/>
  <c r="Y268" i="17" s="1"/>
  <c r="Q268" i="17" s="1"/>
  <c r="W268" i="17" s="1"/>
  <c r="X269" i="17" a="1"/>
  <c r="X269" i="17" s="1"/>
  <c r="Y269" i="17" s="1"/>
  <c r="Q269" i="17" s="1"/>
  <c r="W269" i="17" s="1"/>
  <c r="X270" i="17" a="1"/>
  <c r="X270" i="17" s="1"/>
  <c r="Y270" i="17" s="1"/>
  <c r="Q270" i="17" s="1"/>
  <c r="W270" i="17" s="1"/>
  <c r="X271" i="17" a="1"/>
  <c r="X271" i="17" s="1"/>
  <c r="Y271" i="17" s="1"/>
  <c r="Q271" i="17" s="1"/>
  <c r="W271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353" i="17" a="1"/>
  <c r="X353" i="17" s="1"/>
  <c r="Y353" i="17" s="1"/>
  <c r="Q353" i="17" s="1"/>
  <c r="W353" i="17" s="1"/>
  <c r="X393" i="17" a="1"/>
  <c r="X393" i="17" s="1"/>
  <c r="Y393" i="17" s="1"/>
  <c r="Q393" i="17" s="1"/>
  <c r="W393" i="17" s="1"/>
  <c r="X34" i="17" a="1"/>
  <c r="X34" i="17" s="1"/>
  <c r="Y34" i="17" s="1"/>
  <c r="Q34" i="17" s="1"/>
  <c r="W34" i="17" s="1"/>
  <c r="X74" i="17" a="1"/>
  <c r="X74" i="17" s="1"/>
  <c r="Y74" i="17" s="1"/>
  <c r="Q74" i="17" s="1"/>
  <c r="W74" i="17" s="1"/>
  <c r="X274" i="17" a="1"/>
  <c r="X274" i="17" s="1"/>
  <c r="Y274" i="17" s="1"/>
  <c r="Q274" i="17" s="1"/>
  <c r="W274" i="17" s="1"/>
  <c r="X275" i="17" a="1"/>
  <c r="X275" i="17" s="1"/>
  <c r="Y275" i="17" s="1"/>
  <c r="Q275" i="17" s="1"/>
  <c r="W275" i="17" s="1"/>
  <c r="X276" i="17" a="1"/>
  <c r="X276" i="17" s="1"/>
  <c r="Y276" i="17" s="1"/>
  <c r="Q276" i="17" s="1"/>
  <c r="W276" i="17" s="1"/>
  <c r="X277" i="17" a="1"/>
  <c r="X277" i="17" s="1"/>
  <c r="Y277" i="17" s="1"/>
  <c r="Q277" i="17" s="1"/>
  <c r="W277" i="17" s="1"/>
  <c r="X278" i="17" a="1"/>
  <c r="X278" i="17" s="1"/>
  <c r="Y278" i="17" s="1"/>
  <c r="Q278" i="17" s="1"/>
  <c r="W278" i="17" s="1"/>
  <c r="X279" i="17" a="1"/>
  <c r="X279" i="17" s="1"/>
  <c r="Y279" i="17" s="1"/>
  <c r="Q279" i="17" s="1"/>
  <c r="W279" i="17" s="1"/>
  <c r="X354" i="17" a="1"/>
  <c r="X354" i="17" s="1"/>
  <c r="Y354" i="17" s="1"/>
  <c r="Q354" i="17" s="1"/>
  <c r="W354" i="17" s="1"/>
  <c r="X394" i="17" a="1"/>
  <c r="X394" i="17" s="1"/>
  <c r="Y394" i="17" s="1"/>
  <c r="Q394" i="17" s="1"/>
  <c r="W394" i="17" s="1"/>
  <c r="X35" i="17" a="1"/>
  <c r="X35" i="17"/>
  <c r="X75" i="17" a="1"/>
  <c r="X75" i="17" s="1"/>
  <c r="Y75" i="17" s="1"/>
  <c r="Q75" i="17" s="1"/>
  <c r="W75" i="17" s="1"/>
  <c r="X280" i="17" a="1"/>
  <c r="X280" i="17" s="1"/>
  <c r="Y280" i="17" s="1"/>
  <c r="Q280" i="17" s="1"/>
  <c r="W280" i="17" s="1"/>
  <c r="X281" i="17" a="1"/>
  <c r="X281" i="17" s="1"/>
  <c r="Y281" i="17" s="1"/>
  <c r="Q281" i="17" s="1"/>
  <c r="W281" i="17" s="1"/>
  <c r="X282" i="17" a="1"/>
  <c r="X282" i="17"/>
  <c r="X283" i="17" a="1"/>
  <c r="X283" i="17" s="1"/>
  <c r="Y283" i="17" s="1"/>
  <c r="Q283" i="17" s="1"/>
  <c r="W283" i="17" s="1"/>
  <c r="X284" i="17" a="1"/>
  <c r="X284" i="17" s="1"/>
  <c r="Y284" i="17" s="1"/>
  <c r="Q284" i="17" s="1"/>
  <c r="W284" i="17" s="1"/>
  <c r="X285" i="17" a="1"/>
  <c r="X285" i="17" s="1"/>
  <c r="Y285" i="17" s="1"/>
  <c r="Q285" i="17" s="1"/>
  <c r="W285" i="17" s="1"/>
  <c r="X355" i="17" a="1"/>
  <c r="X355" i="17" s="1"/>
  <c r="Y355" i="17" s="1"/>
  <c r="Q355" i="17" s="1"/>
  <c r="W355" i="17" s="1"/>
  <c r="X395" i="17" a="1"/>
  <c r="X395" i="17" s="1"/>
  <c r="Y395" i="17" s="1"/>
  <c r="Q395" i="17" s="1"/>
  <c r="W395" i="17" s="1"/>
  <c r="X36" i="17" a="1"/>
  <c r="X36" i="17" s="1"/>
  <c r="Y36" i="17" s="1"/>
  <c r="Q36" i="17" s="1"/>
  <c r="W36" i="17" s="1"/>
  <c r="X76" i="17" a="1"/>
  <c r="X76" i="17" s="1"/>
  <c r="Y76" i="17" s="1"/>
  <c r="Q76" i="17" s="1"/>
  <c r="W76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Y288" i="17" s="1"/>
  <c r="Q288" i="17" s="1"/>
  <c r="W288" i="17" s="1"/>
  <c r="X289" i="17" a="1"/>
  <c r="X289" i="17" s="1"/>
  <c r="Y289" i="17" s="1"/>
  <c r="Q289" i="17" s="1"/>
  <c r="W289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356" i="17" a="1"/>
  <c r="X356" i="17" s="1"/>
  <c r="Y356" i="17" s="1"/>
  <c r="Q356" i="17" s="1"/>
  <c r="W356" i="17" s="1"/>
  <c r="X396" i="17" a="1"/>
  <c r="X396" i="17" s="1"/>
  <c r="Y396" i="17" s="1"/>
  <c r="Q396" i="17" s="1"/>
  <c r="W396" i="17" s="1"/>
  <c r="X37" i="17" a="1"/>
  <c r="X37" i="17" s="1"/>
  <c r="Y37" i="17" s="1"/>
  <c r="Q37" i="17" s="1"/>
  <c r="W37" i="17" s="1"/>
  <c r="X77" i="17" a="1"/>
  <c r="X77" i="17" s="1"/>
  <c r="Y77" i="17" s="1"/>
  <c r="Q77" i="17" s="1"/>
  <c r="W77" i="17" s="1"/>
  <c r="X292" i="17" a="1"/>
  <c r="X292" i="17" s="1"/>
  <c r="Y292" i="17" s="1"/>
  <c r="Q292" i="17" s="1"/>
  <c r="W292" i="17" s="1"/>
  <c r="X293" i="17" a="1"/>
  <c r="X293" i="17" s="1"/>
  <c r="Y293" i="17" s="1"/>
  <c r="Q293" i="17" s="1"/>
  <c r="W293" i="17" s="1"/>
  <c r="X294" i="17" a="1"/>
  <c r="X294" i="17" s="1"/>
  <c r="Y294" i="17" s="1"/>
  <c r="Q294" i="17" s="1"/>
  <c r="W294" i="17" s="1"/>
  <c r="X295" i="17" a="1"/>
  <c r="X295" i="17" s="1"/>
  <c r="Y295" i="17" s="1"/>
  <c r="Q295" i="17" s="1"/>
  <c r="W295" i="17" s="1"/>
  <c r="X296" i="17" a="1"/>
  <c r="X296" i="17" s="1"/>
  <c r="Y296" i="17" s="1"/>
  <c r="Q296" i="17" s="1"/>
  <c r="W296" i="17" s="1"/>
  <c r="X297" i="17" a="1"/>
  <c r="X297" i="17" s="1"/>
  <c r="Y297" i="17" s="1"/>
  <c r="Q297" i="17" s="1"/>
  <c r="W297" i="17" s="1"/>
  <c r="X357" i="17" a="1"/>
  <c r="X357" i="17" s="1"/>
  <c r="Y357" i="17" s="1"/>
  <c r="Q357" i="17" s="1"/>
  <c r="W357" i="17" s="1"/>
  <c r="X397" i="17" a="1"/>
  <c r="X397" i="17" s="1"/>
  <c r="Y397" i="17" s="1"/>
  <c r="Q397" i="17" s="1"/>
  <c r="W397" i="17" s="1"/>
  <c r="X38" i="17" a="1"/>
  <c r="X38" i="17" s="1"/>
  <c r="Y38" i="17" s="1"/>
  <c r="Q38" i="17" s="1"/>
  <c r="W38" i="17" s="1"/>
  <c r="X78" i="17" a="1"/>
  <c r="X78" i="17" s="1"/>
  <c r="Y78" i="17" s="1"/>
  <c r="Q78" i="17" s="1"/>
  <c r="W78" i="17" s="1"/>
  <c r="X298" i="17" a="1"/>
  <c r="X298" i="17" s="1"/>
  <c r="Y298" i="17" s="1"/>
  <c r="Q298" i="17" s="1"/>
  <c r="W298" i="17" s="1"/>
  <c r="X299" i="17" a="1"/>
  <c r="X299" i="17" s="1"/>
  <c r="Y299" i="17" s="1"/>
  <c r="Q299" i="17" s="1"/>
  <c r="W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302" i="17" a="1"/>
  <c r="X302" i="17" s="1"/>
  <c r="Y302" i="17" s="1"/>
  <c r="Q302" i="17" s="1"/>
  <c r="W302" i="17" s="1"/>
  <c r="X303" i="17" a="1"/>
  <c r="X303" i="17" s="1"/>
  <c r="Y303" i="17" s="1"/>
  <c r="Q303" i="17" s="1"/>
  <c r="W303" i="17" s="1"/>
  <c r="X358" i="17" a="1"/>
  <c r="X358" i="17" s="1"/>
  <c r="Y358" i="17" s="1"/>
  <c r="Q358" i="17" s="1"/>
  <c r="W358" i="17" s="1"/>
  <c r="X398" i="17" a="1"/>
  <c r="X398" i="17" s="1"/>
  <c r="Y398" i="17" s="1"/>
  <c r="Q398" i="17" s="1"/>
  <c r="W398" i="17" s="1"/>
  <c r="X39" i="17" a="1"/>
  <c r="X39" i="17" s="1"/>
  <c r="Y39" i="17" s="1"/>
  <c r="Q39" i="17" s="1"/>
  <c r="W39" i="17" s="1"/>
  <c r="X79" i="17" a="1"/>
  <c r="X79" i="17" s="1"/>
  <c r="Y79" i="17" s="1"/>
  <c r="Q79" i="17" s="1"/>
  <c r="W79" i="17" s="1"/>
  <c r="X304" i="17" a="1"/>
  <c r="X304" i="17" s="1"/>
  <c r="Y304" i="17" s="1"/>
  <c r="Q304" i="17" s="1"/>
  <c r="W304" i="17" s="1"/>
  <c r="X305" i="17" a="1"/>
  <c r="X305" i="17" s="1"/>
  <c r="Y305" i="17" s="1"/>
  <c r="Q305" i="17" s="1"/>
  <c r="W305" i="17" s="1"/>
  <c r="X306" i="17" a="1"/>
  <c r="X306" i="17" s="1"/>
  <c r="Y306" i="17" s="1"/>
  <c r="Q306" i="17" s="1"/>
  <c r="W306" i="17" s="1"/>
  <c r="X307" i="17" a="1"/>
  <c r="X307" i="17" s="1"/>
  <c r="Y307" i="17" s="1"/>
  <c r="Q307" i="17" s="1"/>
  <c r="W307" i="17" s="1"/>
  <c r="X308" i="17" a="1"/>
  <c r="X308" i="17" s="1"/>
  <c r="Y308" i="17" s="1"/>
  <c r="Q308" i="17" s="1"/>
  <c r="W308" i="17" s="1"/>
  <c r="X309" i="17" a="1"/>
  <c r="X309" i="17" s="1"/>
  <c r="Y309" i="17" s="1"/>
  <c r="Q309" i="17" s="1"/>
  <c r="W309" i="17" s="1"/>
  <c r="X359" i="17" a="1"/>
  <c r="X359" i="17" s="1"/>
  <c r="Y359" i="17" s="1"/>
  <c r="Q359" i="17" s="1"/>
  <c r="W359" i="17" s="1"/>
  <c r="X399" i="17" a="1"/>
  <c r="X399" i="17" s="1"/>
  <c r="Y399" i="17" s="1"/>
  <c r="Q399" i="17" s="1"/>
  <c r="W399" i="17" s="1"/>
  <c r="X40" i="17" a="1"/>
  <c r="X40" i="17" s="1"/>
  <c r="Y40" i="17" s="1"/>
  <c r="Q40" i="17" s="1"/>
  <c r="W40" i="17" s="1"/>
  <c r="X80" i="17" a="1"/>
  <c r="X80" i="17" s="1"/>
  <c r="Y80" i="17" s="1"/>
  <c r="Q80" i="17" s="1"/>
  <c r="W80" i="17" s="1"/>
  <c r="X310" i="17" a="1"/>
  <c r="X310" i="17" s="1"/>
  <c r="Y310" i="17" s="1"/>
  <c r="Q310" i="17" s="1"/>
  <c r="W310" i="17" s="1"/>
  <c r="X311" i="17" a="1"/>
  <c r="X311" i="17" s="1"/>
  <c r="Y311" i="17" s="1"/>
  <c r="Q311" i="17" s="1"/>
  <c r="W311" i="17" s="1"/>
  <c r="X312" i="17" a="1"/>
  <c r="X312" i="17" s="1"/>
  <c r="Y312" i="17" s="1"/>
  <c r="Q312" i="17" s="1"/>
  <c r="W312" i="17" s="1"/>
  <c r="X313" i="17" a="1"/>
  <c r="X313" i="17" s="1"/>
  <c r="Y313" i="17" s="1"/>
  <c r="Q313" i="17" s="1"/>
  <c r="W313" i="17" s="1"/>
  <c r="X314" i="17" a="1"/>
  <c r="X314" i="17" s="1"/>
  <c r="Y314" i="17" s="1"/>
  <c r="Q314" i="17" s="1"/>
  <c r="W314" i="17" s="1"/>
  <c r="X315" i="17" a="1"/>
  <c r="X315" i="17" s="1"/>
  <c r="Y315" i="17" s="1"/>
  <c r="Q315" i="17" s="1"/>
  <c r="W315" i="17" s="1"/>
  <c r="X360" i="17" a="1"/>
  <c r="X360" i="17" s="1"/>
  <c r="Y360" i="17" s="1"/>
  <c r="Q360" i="17" s="1"/>
  <c r="W360" i="17" s="1"/>
  <c r="X400" i="17" a="1"/>
  <c r="X400" i="17" s="1"/>
  <c r="Y400" i="17" s="1"/>
  <c r="Q400" i="17" s="1"/>
  <c r="W400" i="17" s="1"/>
  <c r="X41" i="17" a="1"/>
  <c r="X41" i="17" s="1"/>
  <c r="Y41" i="17" s="1"/>
  <c r="Q41" i="17" s="1"/>
  <c r="W41" i="17" s="1"/>
  <c r="X81" i="17" a="1"/>
  <c r="X81" i="17" s="1"/>
  <c r="Y81" i="17" s="1"/>
  <c r="Q81" i="17" s="1"/>
  <c r="W81" i="17" s="1"/>
  <c r="X316" i="17" a="1"/>
  <c r="X316" i="17" s="1"/>
  <c r="Y316" i="17" s="1"/>
  <c r="Q316" i="17" s="1"/>
  <c r="W316" i="17" s="1"/>
  <c r="X317" i="17" a="1"/>
  <c r="X317" i="17" s="1"/>
  <c r="Y317" i="17" s="1"/>
  <c r="Q317" i="17" s="1"/>
  <c r="W317" i="17" s="1"/>
  <c r="X318" i="17" a="1"/>
  <c r="X318" i="17" s="1"/>
  <c r="Y318" i="17" s="1"/>
  <c r="Q318" i="17" s="1"/>
  <c r="W318" i="17" s="1"/>
  <c r="X319" i="17" a="1"/>
  <c r="X319" i="17" s="1"/>
  <c r="Y319" i="17" s="1"/>
  <c r="Q319" i="17" s="1"/>
  <c r="W319" i="17" s="1"/>
  <c r="X320" i="17" a="1"/>
  <c r="X320" i="17" s="1"/>
  <c r="Y320" i="17" s="1"/>
  <c r="Q320" i="17" s="1"/>
  <c r="W320" i="17" s="1"/>
  <c r="X321" i="17" a="1"/>
  <c r="X321" i="17" s="1"/>
  <c r="Y321" i="17" s="1"/>
  <c r="Q321" i="17" s="1"/>
  <c r="W321" i="17" s="1"/>
  <c r="X361" i="17" a="1"/>
  <c r="X361" i="17" s="1"/>
  <c r="Y361" i="17" s="1"/>
  <c r="Q361" i="17" s="1"/>
  <c r="W361" i="17" s="1"/>
  <c r="X401" i="17" a="1"/>
  <c r="X401" i="17" s="1"/>
  <c r="Y401" i="17" s="1"/>
  <c r="Q401" i="17" s="1"/>
  <c r="W401" i="17" s="1"/>
  <c r="Y2" i="17"/>
  <c r="Y82" i="17"/>
  <c r="Y84" i="17"/>
  <c r="Y86" i="17"/>
  <c r="Y87" i="17"/>
  <c r="Y362" i="17"/>
  <c r="Y3" i="17"/>
  <c r="Y89" i="17"/>
  <c r="Y90" i="17"/>
  <c r="Q90" i="17" s="1"/>
  <c r="W90" i="17" s="1"/>
  <c r="Y92" i="17"/>
  <c r="Y323" i="17"/>
  <c r="Y363" i="17"/>
  <c r="Y44" i="17"/>
  <c r="Y94" i="17"/>
  <c r="Q94" i="17" s="1"/>
  <c r="W94" i="17" s="1"/>
  <c r="Y95" i="17"/>
  <c r="Y99" i="17"/>
  <c r="Y5" i="17"/>
  <c r="Y102" i="17"/>
  <c r="Y103" i="17"/>
  <c r="Q103" i="17" s="1"/>
  <c r="W103" i="17" s="1"/>
  <c r="Y104" i="17"/>
  <c r="Y6" i="17"/>
  <c r="Y106" i="17"/>
  <c r="Y107" i="17"/>
  <c r="Q107" i="17" s="1"/>
  <c r="W107" i="17" s="1"/>
  <c r="Y108" i="17"/>
  <c r="Y109" i="17"/>
  <c r="Y110" i="17"/>
  <c r="Q110" i="17" s="1"/>
  <c r="W110" i="17" s="1"/>
  <c r="Y7" i="17"/>
  <c r="Y113" i="17"/>
  <c r="Y114" i="17"/>
  <c r="Q114" i="17" s="1"/>
  <c r="W114" i="17" s="1"/>
  <c r="Y116" i="17"/>
  <c r="Y367" i="17"/>
  <c r="Y48" i="17"/>
  <c r="Y118" i="17"/>
  <c r="Y119" i="17"/>
  <c r="Y122" i="17"/>
  <c r="Y123" i="17"/>
  <c r="Q123" i="17" s="1"/>
  <c r="W123" i="17" s="1"/>
  <c r="Y328" i="17"/>
  <c r="Y9" i="17"/>
  <c r="Y124" i="17"/>
  <c r="Y126" i="17"/>
  <c r="Y127" i="17"/>
  <c r="Q127" i="17" s="1"/>
  <c r="W127" i="17" s="1"/>
  <c r="Y129" i="17"/>
  <c r="Y329" i="17"/>
  <c r="Q329" i="17" s="1"/>
  <c r="W329" i="17" s="1"/>
  <c r="Y50" i="17"/>
  <c r="Y130" i="17"/>
  <c r="Y134" i="17"/>
  <c r="Q134" i="17" s="1"/>
  <c r="W134" i="17" s="1"/>
  <c r="Y330" i="17"/>
  <c r="Y11" i="17"/>
  <c r="Y138" i="17"/>
  <c r="Y141" i="17"/>
  <c r="Q141" i="17" s="1"/>
  <c r="W141" i="17" s="1"/>
  <c r="Y331" i="17"/>
  <c r="Y371" i="17"/>
  <c r="Q371" i="17" s="1"/>
  <c r="W371" i="17" s="1"/>
  <c r="Y12" i="17"/>
  <c r="Y142" i="17"/>
  <c r="Y146" i="17"/>
  <c r="Y332" i="17"/>
  <c r="Y149" i="17"/>
  <c r="Y150" i="17"/>
  <c r="Y152" i="17"/>
  <c r="Y333" i="17"/>
  <c r="Q333" i="17" s="1"/>
  <c r="W333" i="17" s="1"/>
  <c r="Y154" i="17"/>
  <c r="Y158" i="17"/>
  <c r="Y159" i="17"/>
  <c r="Y15" i="17"/>
  <c r="Y160" i="17"/>
  <c r="Y162" i="17"/>
  <c r="Y164" i="17"/>
  <c r="Y56" i="17"/>
  <c r="Y166" i="17"/>
  <c r="Q166" i="17" s="1"/>
  <c r="W166" i="17" s="1"/>
  <c r="Y167" i="17"/>
  <c r="Y170" i="17"/>
  <c r="Y336" i="17"/>
  <c r="Y17" i="17"/>
  <c r="Q17" i="17" s="1"/>
  <c r="W17" i="17" s="1"/>
  <c r="Y172" i="17"/>
  <c r="Y174" i="17"/>
  <c r="Y177" i="17"/>
  <c r="Y337" i="17"/>
  <c r="Y178" i="17"/>
  <c r="Q178" i="17" s="1"/>
  <c r="W178" i="17" s="1"/>
  <c r="Y182" i="17"/>
  <c r="Y338" i="17"/>
  <c r="Y19" i="17"/>
  <c r="Y185" i="17"/>
  <c r="Y186" i="17"/>
  <c r="Y190" i="17"/>
  <c r="Y192" i="17"/>
  <c r="Y194" i="17"/>
  <c r="Q194" i="17" s="1"/>
  <c r="W194" i="17" s="1"/>
  <c r="Y21" i="17"/>
  <c r="Q21" i="17" s="1"/>
  <c r="W21" i="17" s="1"/>
  <c r="Y198" i="17"/>
  <c r="Y199" i="17"/>
  <c r="Q199" i="17" s="1"/>
  <c r="W199" i="17" s="1"/>
  <c r="Y200" i="17"/>
  <c r="Q200" i="17" s="1"/>
  <c r="W200" i="17" s="1"/>
  <c r="Y341" i="17"/>
  <c r="Q341" i="17" s="1"/>
  <c r="W341" i="17" s="1"/>
  <c r="Y202" i="17"/>
  <c r="Y206" i="17"/>
  <c r="Y23" i="17"/>
  <c r="Q23" i="17" s="1"/>
  <c r="W23" i="17" s="1"/>
  <c r="Y210" i="17"/>
  <c r="Y343" i="17"/>
  <c r="Q343" i="17" s="1"/>
  <c r="W343" i="17" s="1"/>
  <c r="Y214" i="17"/>
  <c r="Q214" i="17" s="1"/>
  <c r="W214" i="17" s="1"/>
  <c r="Y215" i="17"/>
  <c r="Y217" i="17"/>
  <c r="Q217" i="17" s="1"/>
  <c r="W217" i="17" s="1"/>
  <c r="Y218" i="17"/>
  <c r="Q218" i="17" s="1"/>
  <c r="W218" i="17" s="1"/>
  <c r="Y25" i="17"/>
  <c r="Q25" i="17" s="1"/>
  <c r="W25" i="17" s="1"/>
  <c r="Y222" i="17"/>
  <c r="Q222" i="17" s="1"/>
  <c r="W222" i="17" s="1"/>
  <c r="Y345" i="17"/>
  <c r="Q345" i="17" s="1"/>
  <c r="W345" i="17" s="1"/>
  <c r="Y226" i="17"/>
  <c r="Q226" i="17" s="1"/>
  <c r="W226" i="17" s="1"/>
  <c r="Y228" i="17"/>
  <c r="Q228" i="17" s="1"/>
  <c r="W228" i="17" s="1"/>
  <c r="Y229" i="17"/>
  <c r="Y230" i="17"/>
  <c r="Q230" i="17" s="1"/>
  <c r="W230" i="17" s="1"/>
  <c r="Y27" i="17"/>
  <c r="Q27" i="17" s="1"/>
  <c r="W27" i="17" s="1"/>
  <c r="Y234" i="17"/>
  <c r="Q234" i="17" s="1"/>
  <c r="W234" i="17" s="1"/>
  <c r="Y237" i="17"/>
  <c r="Q237" i="17" s="1"/>
  <c r="W237" i="17" s="1"/>
  <c r="Y347" i="17"/>
  <c r="Q347" i="17" s="1"/>
  <c r="W347" i="17" s="1"/>
  <c r="Y238" i="17"/>
  <c r="Q238" i="17" s="1"/>
  <c r="W238" i="17" s="1"/>
  <c r="Y248" i="17"/>
  <c r="Q248" i="17" s="1"/>
  <c r="W248" i="17" s="1"/>
  <c r="Y351" i="17"/>
  <c r="Q351" i="17" s="1"/>
  <c r="W351" i="17" s="1"/>
  <c r="Y33" i="17"/>
  <c r="Q33" i="17" s="1"/>
  <c r="W33" i="17" s="1"/>
  <c r="Y35" i="17"/>
  <c r="Q35" i="17" s="1"/>
  <c r="W35" i="17" s="1"/>
  <c r="Y282" i="17"/>
  <c r="Q282" i="17" s="1"/>
  <c r="W282" i="17" s="1"/>
  <c r="G2" i="16"/>
  <c r="N251" i="20" l="1"/>
  <c r="N211" i="20"/>
  <c r="N266" i="20"/>
  <c r="N6" i="20"/>
  <c r="N259" i="20"/>
  <c r="N271" i="20"/>
  <c r="N199" i="20"/>
  <c r="N10" i="20"/>
  <c r="N62" i="20"/>
  <c r="N272" i="20"/>
  <c r="N268" i="20"/>
  <c r="N240" i="20"/>
  <c r="N236" i="20"/>
  <c r="N216" i="20"/>
  <c r="N204" i="20"/>
  <c r="N176" i="20"/>
  <c r="N56" i="20"/>
  <c r="N270" i="20"/>
  <c r="N126" i="20"/>
  <c r="N269" i="20"/>
  <c r="N262" i="20"/>
  <c r="N190" i="20"/>
  <c r="N152" i="20"/>
  <c r="N16" i="20"/>
  <c r="N261" i="20"/>
  <c r="N184" i="20"/>
  <c r="N124" i="20"/>
  <c r="N48" i="20"/>
  <c r="N273" i="20"/>
  <c r="N172" i="20"/>
  <c r="N30" i="20"/>
  <c r="M92" i="19"/>
  <c r="M113" i="19"/>
  <c r="M81" i="19"/>
  <c r="M57" i="19"/>
  <c r="M49" i="19"/>
  <c r="M41" i="19"/>
  <c r="M9" i="19"/>
  <c r="M80" i="19"/>
  <c r="M64" i="19"/>
  <c r="M109" i="19"/>
  <c r="M77" i="19"/>
  <c r="M37" i="19"/>
  <c r="M21" i="19"/>
  <c r="M13" i="19"/>
  <c r="M5" i="19"/>
  <c r="R388" i="18"/>
  <c r="U388" i="18" s="1"/>
  <c r="R402" i="18"/>
  <c r="U402" i="18" s="1"/>
  <c r="R438" i="18"/>
  <c r="U438" i="18" s="1"/>
  <c r="R379" i="18"/>
  <c r="U379" i="18" s="1"/>
  <c r="R426" i="18"/>
  <c r="U426" i="18" s="1"/>
  <c r="R410" i="18"/>
  <c r="U410" i="18" s="1"/>
  <c r="R431" i="18"/>
  <c r="U431" i="18" s="1"/>
  <c r="R43" i="18"/>
  <c r="U43" i="18" s="1"/>
  <c r="R11" i="18"/>
  <c r="U11" i="18" s="1"/>
  <c r="R27" i="18"/>
  <c r="U27" i="18" s="1"/>
  <c r="R383" i="18"/>
  <c r="U383" i="18" s="1"/>
  <c r="R373" i="18"/>
  <c r="U373" i="18" s="1"/>
  <c r="R319" i="18"/>
  <c r="U319" i="18" s="1"/>
  <c r="R255" i="18"/>
  <c r="U255" i="18" s="1"/>
  <c r="R166" i="18"/>
  <c r="U166" i="18" s="1"/>
  <c r="R127" i="18"/>
  <c r="U127" i="18" s="1"/>
  <c r="R69" i="18"/>
  <c r="U69" i="18" s="1"/>
  <c r="R47" i="18"/>
  <c r="U47" i="18" s="1"/>
  <c r="R35" i="18"/>
  <c r="U35" i="18" s="1"/>
  <c r="R434" i="18"/>
  <c r="U434" i="18" s="1"/>
  <c r="N81" i="17" a="1"/>
  <c r="N81" i="17" s="1"/>
  <c r="N311" i="17" a="1"/>
  <c r="N311" i="17" s="1"/>
  <c r="N307" i="17" a="1"/>
  <c r="N307" i="17" s="1"/>
  <c r="N303" i="17" a="1"/>
  <c r="N303" i="17" s="1"/>
  <c r="N397" i="17" a="1"/>
  <c r="N397" i="17" s="1"/>
  <c r="N77" i="17" a="1"/>
  <c r="N77" i="17" s="1"/>
  <c r="N287" i="17" a="1"/>
  <c r="N287" i="17" s="1"/>
  <c r="N283" i="17" a="1"/>
  <c r="N283" i="17" s="1"/>
  <c r="N279" i="17" a="1"/>
  <c r="N279" i="17" s="1"/>
  <c r="N393" i="17" a="1"/>
  <c r="N393" i="17" s="1"/>
  <c r="N73" i="17" a="1"/>
  <c r="N73" i="17" s="1"/>
  <c r="N263" i="17" a="1"/>
  <c r="N263" i="17" s="1"/>
  <c r="N259" i="17" a="1"/>
  <c r="N259" i="17" s="1"/>
  <c r="N255" i="17" a="1"/>
  <c r="N255" i="17" s="1"/>
  <c r="N389" i="17" a="1"/>
  <c r="N389" i="17" s="1"/>
  <c r="N69" i="17" a="1"/>
  <c r="N69" i="17" s="1"/>
  <c r="N239" i="17" a="1"/>
  <c r="N239" i="17" s="1"/>
  <c r="N235" i="17" a="1"/>
  <c r="N235" i="17" s="1"/>
  <c r="N231" i="17" a="1"/>
  <c r="N231" i="17" s="1"/>
  <c r="N385" i="17" a="1"/>
  <c r="N385" i="17" s="1"/>
  <c r="N65" i="17" a="1"/>
  <c r="N65" i="17" s="1"/>
  <c r="N215" i="17" a="1"/>
  <c r="N215" i="17" s="1"/>
  <c r="N211" i="17" a="1"/>
  <c r="N211" i="17" s="1"/>
  <c r="N207" i="17" a="1"/>
  <c r="N207" i="17" s="1"/>
  <c r="N381" i="17" a="1"/>
  <c r="N381" i="17" s="1"/>
  <c r="O381" i="17" a="1"/>
  <c r="O381" i="17" s="1"/>
  <c r="Q381" i="17" s="1"/>
  <c r="W381" i="17" s="1"/>
  <c r="N61" i="17" a="1"/>
  <c r="N61" i="17" s="1"/>
  <c r="O61" i="17" a="1"/>
  <c r="O61" i="17" s="1"/>
  <c r="Q61" i="17" s="1"/>
  <c r="W61" i="17" s="1"/>
  <c r="N191" i="17" a="1"/>
  <c r="N191" i="17" s="1"/>
  <c r="O191" i="17" a="1"/>
  <c r="O191" i="17" s="1"/>
  <c r="Q191" i="17" s="1"/>
  <c r="W191" i="17" s="1"/>
  <c r="N187" i="17" a="1"/>
  <c r="N187" i="17" s="1"/>
  <c r="O187" i="17" a="1"/>
  <c r="O187" i="17" s="1"/>
  <c r="Q187" i="17" s="1"/>
  <c r="W187" i="17" s="1"/>
  <c r="N183" i="17" a="1"/>
  <c r="N183" i="17" s="1"/>
  <c r="O183" i="17" a="1"/>
  <c r="O183" i="17" s="1"/>
  <c r="Q183" i="17" s="1"/>
  <c r="W183" i="17" s="1"/>
  <c r="N377" i="17" a="1"/>
  <c r="N377" i="17" s="1"/>
  <c r="O377" i="17" a="1"/>
  <c r="O377" i="17" s="1"/>
  <c r="Q377" i="17" s="1"/>
  <c r="W377" i="17" s="1"/>
  <c r="N57" i="17" a="1"/>
  <c r="N57" i="17" s="1"/>
  <c r="O57" i="17" a="1"/>
  <c r="O57" i="17" s="1"/>
  <c r="Q57" i="17" s="1"/>
  <c r="W57" i="17" s="1"/>
  <c r="N167" i="17" a="1"/>
  <c r="N167" i="17" s="1"/>
  <c r="O167" i="17" a="1"/>
  <c r="O167" i="17" s="1"/>
  <c r="Q167" i="17" s="1"/>
  <c r="W167" i="17" s="1"/>
  <c r="N163" i="17" a="1"/>
  <c r="N163" i="17" s="1"/>
  <c r="O163" i="17" a="1"/>
  <c r="O163" i="17" s="1"/>
  <c r="Q163" i="17" s="1"/>
  <c r="W163" i="17" s="1"/>
  <c r="N159" i="17" a="1"/>
  <c r="N159" i="17" s="1"/>
  <c r="O159" i="17" a="1"/>
  <c r="O159" i="17" s="1"/>
  <c r="Q159" i="17" s="1"/>
  <c r="W159" i="17" s="1"/>
  <c r="N373" i="17" a="1"/>
  <c r="N373" i="17" s="1"/>
  <c r="O373" i="17" a="1"/>
  <c r="O373" i="17" s="1"/>
  <c r="Q373" i="17" s="1"/>
  <c r="W373" i="17" s="1"/>
  <c r="N53" i="17" a="1"/>
  <c r="N53" i="17" s="1"/>
  <c r="O53" i="17" a="1"/>
  <c r="O53" i="17" s="1"/>
  <c r="Q53" i="17" s="1"/>
  <c r="W53" i="17" s="1"/>
  <c r="N143" i="17" a="1"/>
  <c r="N143" i="17" s="1"/>
  <c r="O143" i="17" a="1"/>
  <c r="O143" i="17" s="1"/>
  <c r="Q143" i="17" s="1"/>
  <c r="W143" i="17" s="1"/>
  <c r="N139" i="17" a="1"/>
  <c r="N139" i="17" s="1"/>
  <c r="O139" i="17" a="1"/>
  <c r="O139" i="17" s="1"/>
  <c r="Q139" i="17" s="1"/>
  <c r="W139" i="17" s="1"/>
  <c r="N135" i="17" a="1"/>
  <c r="N135" i="17" s="1"/>
  <c r="O135" i="17" a="1"/>
  <c r="O135" i="17" s="1"/>
  <c r="Q135" i="17" s="1"/>
  <c r="W135" i="17" s="1"/>
  <c r="N369" i="17" a="1"/>
  <c r="N369" i="17" s="1"/>
  <c r="O369" i="17" a="1"/>
  <c r="O369" i="17" s="1"/>
  <c r="Q369" i="17" s="1"/>
  <c r="W369" i="17" s="1"/>
  <c r="N49" i="17" a="1"/>
  <c r="N49" i="17" s="1"/>
  <c r="O49" i="17" a="1"/>
  <c r="O49" i="17" s="1"/>
  <c r="Q49" i="17" s="1"/>
  <c r="W49" i="17" s="1"/>
  <c r="N119" i="17" a="1"/>
  <c r="N119" i="17" s="1"/>
  <c r="O119" i="17" a="1"/>
  <c r="O119" i="17" s="1"/>
  <c r="Q119" i="17" s="1"/>
  <c r="W119" i="17" s="1"/>
  <c r="N115" i="17" a="1"/>
  <c r="N115" i="17" s="1"/>
  <c r="O115" i="17" a="1"/>
  <c r="O115" i="17" s="1"/>
  <c r="Q115" i="17" s="1"/>
  <c r="W115" i="17" s="1"/>
  <c r="N111" i="17" a="1"/>
  <c r="N111" i="17" s="1"/>
  <c r="O111" i="17" a="1"/>
  <c r="O111" i="17" s="1"/>
  <c r="Q111" i="17" s="1"/>
  <c r="W111" i="17" s="1"/>
  <c r="N365" i="17" a="1"/>
  <c r="N365" i="17" s="1"/>
  <c r="O365" i="17" a="1"/>
  <c r="O365" i="17" s="1"/>
  <c r="Q365" i="17" s="1"/>
  <c r="W365" i="17" s="1"/>
  <c r="N8" i="17" a="1"/>
  <c r="N8" i="17" s="1"/>
  <c r="N328" i="17" a="1"/>
  <c r="N328" i="17" s="1"/>
  <c r="N128" i="17" a="1"/>
  <c r="N128" i="17" s="1"/>
  <c r="N132" i="17" a="1"/>
  <c r="N132" i="17" s="1"/>
  <c r="N136" i="17" a="1"/>
  <c r="N136" i="17" s="1"/>
  <c r="N12" i="17" a="1"/>
  <c r="N12" i="17" s="1"/>
  <c r="N332" i="17" a="1"/>
  <c r="N332" i="17" s="1"/>
  <c r="N152" i="17" a="1"/>
  <c r="N152" i="17" s="1"/>
  <c r="N156" i="17" a="1"/>
  <c r="N156" i="17" s="1"/>
  <c r="N160" i="17" a="1"/>
  <c r="N160" i="17" s="1"/>
  <c r="N16" i="17" a="1"/>
  <c r="N16" i="17" s="1"/>
  <c r="O368" i="17" a="1"/>
  <c r="O368" i="17" s="1"/>
  <c r="Q368" i="17" s="1"/>
  <c r="W368" i="17" s="1"/>
  <c r="O129" i="17" a="1"/>
  <c r="O129" i="17" s="1"/>
  <c r="Q129" i="17" s="1"/>
  <c r="W129" i="17" s="1"/>
  <c r="O133" i="17" a="1"/>
  <c r="O133" i="17" s="1"/>
  <c r="Q133" i="17" s="1"/>
  <c r="W133" i="17" s="1"/>
  <c r="O137" i="17" a="1"/>
  <c r="O137" i="17" s="1"/>
  <c r="Q137" i="17" s="1"/>
  <c r="W137" i="17" s="1"/>
  <c r="O52" i="17" a="1"/>
  <c r="O52" i="17" s="1"/>
  <c r="Q52" i="17" s="1"/>
  <c r="W52" i="17" s="1"/>
  <c r="O372" i="17" a="1"/>
  <c r="O372" i="17" s="1"/>
  <c r="Q372" i="17" s="1"/>
  <c r="W372" i="17" s="1"/>
  <c r="O153" i="17" a="1"/>
  <c r="O153" i="17" s="1"/>
  <c r="Q153" i="17" s="1"/>
  <c r="W153" i="17" s="1"/>
  <c r="O157" i="17" a="1"/>
  <c r="O157" i="17" s="1"/>
  <c r="Q157" i="17" s="1"/>
  <c r="W157" i="17" s="1"/>
  <c r="O161" i="17" a="1"/>
  <c r="O161" i="17" s="1"/>
  <c r="Q161" i="17" s="1"/>
  <c r="W161" i="17" s="1"/>
  <c r="O56" i="17" a="1"/>
  <c r="O56" i="17" s="1"/>
  <c r="Q56" i="17" s="1"/>
  <c r="W56" i="17" s="1"/>
  <c r="O376" i="17" a="1"/>
  <c r="O376" i="17" s="1"/>
  <c r="Q376" i="17" s="1"/>
  <c r="W376" i="17" s="1"/>
  <c r="N9" i="17" a="1"/>
  <c r="N9" i="17" s="1"/>
  <c r="N329" i="17" a="1"/>
  <c r="N329" i="17" s="1"/>
  <c r="N134" i="17" a="1"/>
  <c r="N134" i="17" s="1"/>
  <c r="N138" i="17" a="1"/>
  <c r="N138" i="17" s="1"/>
  <c r="N142" i="17" a="1"/>
  <c r="N142" i="17" s="1"/>
  <c r="N13" i="17" a="1"/>
  <c r="N13" i="17" s="1"/>
  <c r="N333" i="17" a="1"/>
  <c r="N333" i="17" s="1"/>
  <c r="N158" i="17" a="1"/>
  <c r="N158" i="17" s="1"/>
  <c r="N162" i="17" a="1"/>
  <c r="N162" i="17" s="1"/>
  <c r="N166" i="17" a="1"/>
  <c r="N166" i="17" s="1"/>
  <c r="N17" i="17" a="1"/>
  <c r="N17" i="17" s="1"/>
  <c r="N337" i="17" a="1"/>
  <c r="N337" i="17" s="1"/>
  <c r="N45" i="17" a="1"/>
  <c r="N45" i="17" s="1"/>
  <c r="O45" i="17" a="1"/>
  <c r="O45" i="17" s="1"/>
  <c r="Q45" i="17" s="1"/>
  <c r="W45" i="17" s="1"/>
  <c r="O206" i="17" a="1"/>
  <c r="O206" i="17" s="1"/>
  <c r="Q206" i="17" s="1"/>
  <c r="W206" i="17" s="1"/>
  <c r="O209" i="17" a="1"/>
  <c r="O209" i="17" s="1"/>
  <c r="Q209" i="17" s="1"/>
  <c r="W209" i="17" s="1"/>
  <c r="O64" i="17" a="1"/>
  <c r="O64" i="17" s="1"/>
  <c r="Q64" i="17" s="1"/>
  <c r="W64" i="17" s="1"/>
  <c r="O384" i="17" a="1"/>
  <c r="O384" i="17" s="1"/>
  <c r="Q384" i="17" s="1"/>
  <c r="W384" i="17" s="1"/>
  <c r="O225" i="17" a="1"/>
  <c r="O225" i="17" s="1"/>
  <c r="Q225" i="17" s="1"/>
  <c r="W225" i="17" s="1"/>
  <c r="O229" i="17" a="1"/>
  <c r="O229" i="17" s="1"/>
  <c r="Q229" i="17" s="1"/>
  <c r="W229" i="17" s="1"/>
  <c r="O233" i="17" a="1"/>
  <c r="O233" i="17" s="1"/>
  <c r="Q233" i="17" s="1"/>
  <c r="W233" i="17" s="1"/>
  <c r="O68" i="17" a="1"/>
  <c r="O68" i="17" s="1"/>
  <c r="Q68" i="17" s="1"/>
  <c r="W68" i="17" s="1"/>
  <c r="O388" i="17" a="1"/>
  <c r="O388" i="17" s="1"/>
  <c r="Q388" i="17" s="1"/>
  <c r="W388" i="17" s="1"/>
  <c r="O249" i="17" a="1"/>
  <c r="O249" i="17" s="1"/>
  <c r="Q249" i="17" s="1"/>
  <c r="W249" i="17" s="1"/>
  <c r="N120" i="17" a="1"/>
  <c r="N120" i="17" s="1"/>
  <c r="N124" i="17" a="1"/>
  <c r="N124" i="17" s="1"/>
  <c r="N10" i="17" a="1"/>
  <c r="N10" i="17" s="1"/>
  <c r="N330" i="17" a="1"/>
  <c r="N330" i="17" s="1"/>
  <c r="N140" i="17" a="1"/>
  <c r="N140" i="17" s="1"/>
  <c r="N144" i="17" a="1"/>
  <c r="N144" i="17" s="1"/>
  <c r="N148" i="17" a="1"/>
  <c r="N148" i="17" s="1"/>
  <c r="N14" i="17" a="1"/>
  <c r="N14" i="17" s="1"/>
  <c r="N334" i="17" a="1"/>
  <c r="N334" i="17" s="1"/>
  <c r="N164" i="17" a="1"/>
  <c r="N164" i="17" s="1"/>
  <c r="N168" i="17" a="1"/>
  <c r="N168" i="17" s="1"/>
  <c r="N172" i="17" a="1"/>
  <c r="N172" i="17" s="1"/>
  <c r="N42" i="17" a="1"/>
  <c r="N42" i="17" s="1"/>
  <c r="N362" i="17" a="1"/>
  <c r="N362" i="17" s="1"/>
  <c r="N93" i="17" a="1"/>
  <c r="N93" i="17" s="1"/>
  <c r="N97" i="17" a="1"/>
  <c r="N97" i="17" s="1"/>
  <c r="N101" i="17" a="1"/>
  <c r="N101" i="17" s="1"/>
  <c r="N46" i="17" a="1"/>
  <c r="N46" i="17" s="1"/>
  <c r="N366" i="17" a="1"/>
  <c r="N366" i="17" s="1"/>
  <c r="N117" i="17" a="1"/>
  <c r="N117" i="17" s="1"/>
  <c r="N121" i="17" a="1"/>
  <c r="N121" i="17" s="1"/>
  <c r="N125" i="17" a="1"/>
  <c r="N125" i="17" s="1"/>
  <c r="N130" i="17" a="1"/>
  <c r="N130" i="17" s="1"/>
  <c r="N11" i="17" a="1"/>
  <c r="N11" i="17" s="1"/>
  <c r="N331" i="17" a="1"/>
  <c r="N331" i="17" s="1"/>
  <c r="N146" i="17" a="1"/>
  <c r="N146" i="17" s="1"/>
  <c r="N150" i="17" a="1"/>
  <c r="N150" i="17" s="1"/>
  <c r="N154" i="17" a="1"/>
  <c r="N154" i="17" s="1"/>
  <c r="N15" i="17" a="1"/>
  <c r="N15" i="17" s="1"/>
  <c r="N335" i="17" a="1"/>
  <c r="N335" i="17" s="1"/>
  <c r="N170" i="17" a="1"/>
  <c r="N170" i="17" s="1"/>
  <c r="N174" i="17" a="1"/>
  <c r="N174" i="17" s="1"/>
  <c r="N178" i="17" a="1"/>
  <c r="N178" i="17" s="1"/>
  <c r="N19" i="17" a="1"/>
  <c r="N19" i="17" s="1"/>
  <c r="N95" i="17" a="1"/>
  <c r="N95" i="17" s="1"/>
  <c r="O95" i="17" a="1"/>
  <c r="O95" i="17" s="1"/>
  <c r="Q95" i="17" s="1"/>
  <c r="W95" i="17" s="1"/>
  <c r="N91" i="17" a="1"/>
  <c r="N91" i="17" s="1"/>
  <c r="O91" i="17" a="1"/>
  <c r="O91" i="17" s="1"/>
  <c r="Q91" i="17" s="1"/>
  <c r="W91" i="17" s="1"/>
  <c r="N87" i="17" a="1"/>
  <c r="N87" i="17" s="1"/>
  <c r="O87" i="17" a="1"/>
  <c r="O87" i="17" s="1"/>
  <c r="Q87" i="17" s="1"/>
  <c r="W87" i="17" s="1"/>
  <c r="O215" i="17" a="1"/>
  <c r="O215" i="17" s="1"/>
  <c r="Q215" i="17" s="1"/>
  <c r="W215" i="17" s="1"/>
  <c r="O210" i="17" a="1"/>
  <c r="O210" i="17" s="1"/>
  <c r="Q210" i="17" s="1"/>
  <c r="W210" i="17" s="1"/>
  <c r="O205" i="17" a="1"/>
  <c r="O205" i="17" s="1"/>
  <c r="Q205" i="17" s="1"/>
  <c r="W205" i="17" s="1"/>
  <c r="O201" i="17" a="1"/>
  <c r="O201" i="17" s="1"/>
  <c r="Q201" i="17" s="1"/>
  <c r="W201" i="17" s="1"/>
  <c r="O340" i="17" a="1"/>
  <c r="O340" i="17" s="1"/>
  <c r="Q340" i="17" s="1"/>
  <c r="W340" i="17" s="1"/>
  <c r="O379" i="17" a="1"/>
  <c r="O379" i="17" s="1"/>
  <c r="Q379" i="17" s="1"/>
  <c r="W379" i="17" s="1"/>
  <c r="O19" i="17" a="1"/>
  <c r="O19" i="17" s="1"/>
  <c r="Q19" i="17" s="1"/>
  <c r="W19" i="17" s="1"/>
  <c r="O58" i="17" a="1"/>
  <c r="O58" i="17" s="1"/>
  <c r="Q58" i="17" s="1"/>
  <c r="W58" i="17" s="1"/>
  <c r="O172" i="17" a="1"/>
  <c r="O172" i="17" s="1"/>
  <c r="Q172" i="17" s="1"/>
  <c r="W172" i="17" s="1"/>
  <c r="O16" i="17" a="1"/>
  <c r="O16" i="17" s="1"/>
  <c r="Q16" i="17" s="1"/>
  <c r="W16" i="17" s="1"/>
  <c r="O15" i="17" a="1"/>
  <c r="O15" i="17" s="1"/>
  <c r="Q15" i="17" s="1"/>
  <c r="W15" i="17" s="1"/>
  <c r="O14" i="17" a="1"/>
  <c r="O14" i="17" s="1"/>
  <c r="Q14" i="17" s="1"/>
  <c r="W14" i="17" s="1"/>
  <c r="O332" i="17" a="1"/>
  <c r="O332" i="17" s="1"/>
  <c r="Q332" i="17" s="1"/>
  <c r="W332" i="17" s="1"/>
  <c r="O331" i="17" a="1"/>
  <c r="O331" i="17" s="1"/>
  <c r="Q331" i="17" s="1"/>
  <c r="W331" i="17" s="1"/>
  <c r="O330" i="17" a="1"/>
  <c r="O330" i="17" s="1"/>
  <c r="Q330" i="17" s="1"/>
  <c r="W330" i="17" s="1"/>
  <c r="O128" i="17" a="1"/>
  <c r="O128" i="17" s="1"/>
  <c r="Q128" i="17" s="1"/>
  <c r="W128" i="17" s="1"/>
  <c r="O122" i="17" a="1"/>
  <c r="O122" i="17" s="1"/>
  <c r="Q122" i="17" s="1"/>
  <c r="W122" i="17" s="1"/>
  <c r="O116" i="17" a="1"/>
  <c r="O116" i="17" s="1"/>
  <c r="Q116" i="17" s="1"/>
  <c r="W116" i="17" s="1"/>
  <c r="O108" i="17" a="1"/>
  <c r="O108" i="17" s="1"/>
  <c r="Q108" i="17" s="1"/>
  <c r="W108" i="17" s="1"/>
  <c r="O102" i="17" a="1"/>
  <c r="O102" i="17" s="1"/>
  <c r="Q102" i="17" s="1"/>
  <c r="W102" i="17" s="1"/>
  <c r="O96" i="17" a="1"/>
  <c r="O96" i="17" s="1"/>
  <c r="Q96" i="17" s="1"/>
  <c r="W96" i="17" s="1"/>
  <c r="O88" i="17" a="1"/>
  <c r="O88" i="17" s="1"/>
  <c r="Q88" i="17" s="1"/>
  <c r="W88" i="17" s="1"/>
  <c r="O82" i="17" a="1"/>
  <c r="O82" i="17" s="1"/>
  <c r="Q82" i="17" s="1"/>
  <c r="W82" i="17" s="1"/>
  <c r="N316" i="17" a="1"/>
  <c r="N316" i="17" s="1"/>
  <c r="N40" i="17" a="1"/>
  <c r="N40" i="17" s="1"/>
  <c r="N39" i="17" a="1"/>
  <c r="N39" i="17" s="1"/>
  <c r="N38" i="17" a="1"/>
  <c r="N38" i="17" s="1"/>
  <c r="N356" i="17" a="1"/>
  <c r="N356" i="17" s="1"/>
  <c r="N355" i="17" a="1"/>
  <c r="N355" i="17" s="1"/>
  <c r="N354" i="17" a="1"/>
  <c r="N354" i="17" s="1"/>
  <c r="N272" i="17" a="1"/>
  <c r="N272" i="17" s="1"/>
  <c r="N266" i="17" a="1"/>
  <c r="N266" i="17" s="1"/>
  <c r="N260" i="17" a="1"/>
  <c r="N260" i="17" s="1"/>
  <c r="N252" i="17" a="1"/>
  <c r="N252" i="17" s="1"/>
  <c r="N246" i="17" a="1"/>
  <c r="N246" i="17" s="1"/>
  <c r="N240" i="17" a="1"/>
  <c r="N240" i="17" s="1"/>
  <c r="N232" i="17" a="1"/>
  <c r="N232" i="17" s="1"/>
  <c r="N226" i="17" a="1"/>
  <c r="N226" i="17" s="1"/>
  <c r="N220" i="17" a="1"/>
  <c r="N220" i="17" s="1"/>
  <c r="N24" i="17" a="1"/>
  <c r="N24" i="17" s="1"/>
  <c r="N23" i="17" a="1"/>
  <c r="N23" i="17" s="1"/>
  <c r="N22" i="17" a="1"/>
  <c r="N22" i="17" s="1"/>
  <c r="N340" i="17" a="1"/>
  <c r="N340" i="17" s="1"/>
  <c r="N339" i="17" a="1"/>
  <c r="N339" i="17" s="1"/>
  <c r="N182" i="17" a="1"/>
  <c r="N182" i="17" s="1"/>
  <c r="N336" i="17" a="1"/>
  <c r="N336" i="17" s="1"/>
  <c r="N54" i="17" a="1"/>
  <c r="N54" i="17" s="1"/>
  <c r="N370" i="17" a="1"/>
  <c r="N370" i="17" s="1"/>
  <c r="N103" i="17" a="1"/>
  <c r="N103" i="17" s="1"/>
  <c r="N305" i="17" a="1"/>
  <c r="N305" i="17" s="1"/>
  <c r="N301" i="17" a="1"/>
  <c r="N301" i="17" s="1"/>
  <c r="N297" i="17" a="1"/>
  <c r="N297" i="17" s="1"/>
  <c r="N396" i="17" a="1"/>
  <c r="N396" i="17" s="1"/>
  <c r="N76" i="17" a="1"/>
  <c r="N76" i="17" s="1"/>
  <c r="N281" i="17" a="1"/>
  <c r="N281" i="17" s="1"/>
  <c r="N277" i="17" a="1"/>
  <c r="N277" i="17" s="1"/>
  <c r="N273" i="17" a="1"/>
  <c r="N273" i="17" s="1"/>
  <c r="N392" i="17" a="1"/>
  <c r="N392" i="17" s="1"/>
  <c r="N72" i="17" a="1"/>
  <c r="N72" i="17" s="1"/>
  <c r="N257" i="17" a="1"/>
  <c r="N257" i="17" s="1"/>
  <c r="N253" i="17" a="1"/>
  <c r="N253" i="17" s="1"/>
  <c r="N249" i="17" a="1"/>
  <c r="N249" i="17" s="1"/>
  <c r="N388" i="17" a="1"/>
  <c r="N388" i="17" s="1"/>
  <c r="N68" i="17" a="1"/>
  <c r="N68" i="17" s="1"/>
  <c r="N233" i="17" a="1"/>
  <c r="N233" i="17" s="1"/>
  <c r="N229" i="17" a="1"/>
  <c r="N229" i="17" s="1"/>
  <c r="N225" i="17" a="1"/>
  <c r="N225" i="17" s="1"/>
  <c r="N384" i="17" a="1"/>
  <c r="N384" i="17" s="1"/>
  <c r="N64" i="17" a="1"/>
  <c r="N64" i="17" s="1"/>
  <c r="N209" i="17" a="1"/>
  <c r="N209" i="17" s="1"/>
  <c r="N205" i="17" a="1"/>
  <c r="N205" i="17" s="1"/>
  <c r="N201" i="17" a="1"/>
  <c r="N201" i="17" s="1"/>
  <c r="N380" i="17" a="1"/>
  <c r="N380" i="17" s="1"/>
  <c r="N60" i="17" a="1"/>
  <c r="N60" i="17" s="1"/>
  <c r="N185" i="17" a="1"/>
  <c r="N185" i="17" s="1"/>
  <c r="N181" i="17" a="1"/>
  <c r="N181" i="17" s="1"/>
  <c r="N177" i="17" a="1"/>
  <c r="N177" i="17" s="1"/>
  <c r="N376" i="17" a="1"/>
  <c r="N376" i="17" s="1"/>
  <c r="N56" i="17" a="1"/>
  <c r="N56" i="17" s="1"/>
  <c r="N161" i="17" a="1"/>
  <c r="N161" i="17" s="1"/>
  <c r="N157" i="17" a="1"/>
  <c r="N157" i="17" s="1"/>
  <c r="N153" i="17" a="1"/>
  <c r="N153" i="17" s="1"/>
  <c r="N372" i="17" a="1"/>
  <c r="N372" i="17" s="1"/>
  <c r="N52" i="17" a="1"/>
  <c r="N52" i="17" s="1"/>
  <c r="N137" i="17" a="1"/>
  <c r="N137" i="17" s="1"/>
  <c r="N133" i="17" a="1"/>
  <c r="N133" i="17" s="1"/>
  <c r="N129" i="17" a="1"/>
  <c r="N129" i="17" s="1"/>
  <c r="N368" i="17" a="1"/>
  <c r="N368" i="17" s="1"/>
  <c r="N48" i="17" a="1"/>
  <c r="N48" i="17" s="1"/>
  <c r="N113" i="17" a="1"/>
  <c r="N113" i="17" s="1"/>
  <c r="N109" i="17" a="1"/>
  <c r="N109" i="17" s="1"/>
  <c r="N105" i="17" a="1"/>
  <c r="N105" i="17" s="1"/>
  <c r="N364" i="17" a="1"/>
  <c r="N364" i="17" s="1"/>
  <c r="N84" i="17" a="1"/>
  <c r="N84" i="17" s="1"/>
  <c r="N89" i="17" a="1"/>
  <c r="N89" i="17" s="1"/>
  <c r="N85" i="17" a="1"/>
  <c r="N85" i="17" s="1"/>
  <c r="O338" i="17" a="1"/>
  <c r="O338" i="17" s="1"/>
  <c r="Q338" i="17" s="1"/>
  <c r="W338" i="17" s="1"/>
  <c r="O337" i="17" a="1"/>
  <c r="O337" i="17" s="1"/>
  <c r="Q337" i="17" s="1"/>
  <c r="W337" i="17" s="1"/>
  <c r="O336" i="17" a="1"/>
  <c r="O336" i="17" s="1"/>
  <c r="Q336" i="17" s="1"/>
  <c r="W336" i="17" s="1"/>
  <c r="O335" i="17" a="1"/>
  <c r="O335" i="17" s="1"/>
  <c r="Q335" i="17" s="1"/>
  <c r="W335" i="17" s="1"/>
  <c r="O334" i="17" a="1"/>
  <c r="O334" i="17" s="1"/>
  <c r="Q334" i="17" s="1"/>
  <c r="W334" i="17" s="1"/>
  <c r="O152" i="17" a="1"/>
  <c r="O152" i="17" s="1"/>
  <c r="Q152" i="17" s="1"/>
  <c r="W152" i="17" s="1"/>
  <c r="O146" i="17" a="1"/>
  <c r="O146" i="17" s="1"/>
  <c r="Q146" i="17" s="1"/>
  <c r="W146" i="17" s="1"/>
  <c r="O140" i="17" a="1"/>
  <c r="O140" i="17" s="1"/>
  <c r="Q140" i="17" s="1"/>
  <c r="W140" i="17" s="1"/>
  <c r="O132" i="17" a="1"/>
  <c r="O132" i="17" s="1"/>
  <c r="Q132" i="17" s="1"/>
  <c r="W132" i="17" s="1"/>
  <c r="O126" i="17" a="1"/>
  <c r="O126" i="17" s="1"/>
  <c r="Q126" i="17" s="1"/>
  <c r="W126" i="17" s="1"/>
  <c r="O120" i="17" a="1"/>
  <c r="O120" i="17" s="1"/>
  <c r="Q120" i="17" s="1"/>
  <c r="W120" i="17" s="1"/>
  <c r="O112" i="17" a="1"/>
  <c r="O112" i="17" s="1"/>
  <c r="Q112" i="17" s="1"/>
  <c r="W112" i="17" s="1"/>
  <c r="O106" i="17" a="1"/>
  <c r="O106" i="17" s="1"/>
  <c r="Q106" i="17" s="1"/>
  <c r="W106" i="17" s="1"/>
  <c r="O100" i="17" a="1"/>
  <c r="O100" i="17" s="1"/>
  <c r="Q100" i="17" s="1"/>
  <c r="W100" i="17" s="1"/>
  <c r="O4" i="17" a="1"/>
  <c r="O4" i="17" s="1"/>
  <c r="Q4" i="17" s="1"/>
  <c r="W4" i="17" s="1"/>
  <c r="O3" i="17" a="1"/>
  <c r="O3" i="17" s="1"/>
  <c r="Q3" i="17" s="1"/>
  <c r="W3" i="17" s="1"/>
  <c r="O2" i="17" a="1"/>
  <c r="O2" i="17" s="1"/>
  <c r="Q2" i="17" s="1"/>
  <c r="W2" i="17" s="1"/>
  <c r="N360" i="17" a="1"/>
  <c r="N360" i="17" s="1"/>
  <c r="N359" i="17" a="1"/>
  <c r="N359" i="17" s="1"/>
  <c r="N358" i="17" a="1"/>
  <c r="N358" i="17" s="1"/>
  <c r="N296" i="17" a="1"/>
  <c r="N296" i="17" s="1"/>
  <c r="N290" i="17" a="1"/>
  <c r="N290" i="17" s="1"/>
  <c r="N284" i="17" a="1"/>
  <c r="N284" i="17" s="1"/>
  <c r="N276" i="17" a="1"/>
  <c r="N276" i="17" s="1"/>
  <c r="N270" i="17" a="1"/>
  <c r="N270" i="17" s="1"/>
  <c r="N264" i="17" a="1"/>
  <c r="N264" i="17" s="1"/>
  <c r="N256" i="17" a="1"/>
  <c r="N256" i="17" s="1"/>
  <c r="N250" i="17" a="1"/>
  <c r="N250" i="17" s="1"/>
  <c r="N244" i="17" a="1"/>
  <c r="N244" i="17" s="1"/>
  <c r="N28" i="17" a="1"/>
  <c r="N28" i="17" s="1"/>
  <c r="N27" i="17" a="1"/>
  <c r="N27" i="17" s="1"/>
  <c r="N26" i="17" a="1"/>
  <c r="N26" i="17" s="1"/>
  <c r="N344" i="17" a="1"/>
  <c r="N344" i="17" s="1"/>
  <c r="N343" i="17" a="1"/>
  <c r="N343" i="17" s="1"/>
  <c r="N342" i="17" a="1"/>
  <c r="N342" i="17" s="1"/>
  <c r="N200" i="17" a="1"/>
  <c r="N200" i="17" s="1"/>
  <c r="N194" i="17" a="1"/>
  <c r="N194" i="17" s="1"/>
  <c r="N188" i="17" a="1"/>
  <c r="N188" i="17" s="1"/>
  <c r="N179" i="17" a="1"/>
  <c r="N179" i="17" s="1"/>
  <c r="N169" i="17" a="1"/>
  <c r="N169" i="17" s="1"/>
  <c r="N149" i="17" a="1"/>
  <c r="N149" i="17" s="1"/>
  <c r="N50" i="17" a="1"/>
  <c r="N50" i="17" s="1"/>
  <c r="N363" i="17" a="1"/>
  <c r="N363" i="17" s="1"/>
  <c r="O203" i="17" a="1"/>
  <c r="O203" i="17" s="1"/>
  <c r="Q203" i="17" s="1"/>
  <c r="W203" i="17" s="1"/>
  <c r="O198" i="17" a="1"/>
  <c r="O198" i="17" s="1"/>
  <c r="Q198" i="17" s="1"/>
  <c r="W198" i="17" s="1"/>
  <c r="O193" i="17" a="1"/>
  <c r="O193" i="17" s="1"/>
  <c r="Q193" i="17" s="1"/>
  <c r="W193" i="17" s="1"/>
  <c r="O188" i="17" a="1"/>
  <c r="O188" i="17" s="1"/>
  <c r="Q188" i="17" s="1"/>
  <c r="W188" i="17" s="1"/>
  <c r="O182" i="17" a="1"/>
  <c r="O182" i="17" s="1"/>
  <c r="Q182" i="17" s="1"/>
  <c r="W182" i="17" s="1"/>
  <c r="O177" i="17" a="1"/>
  <c r="O177" i="17" s="1"/>
  <c r="Q177" i="17" s="1"/>
  <c r="W177" i="17" s="1"/>
  <c r="O171" i="17" a="1"/>
  <c r="O171" i="17" s="1"/>
  <c r="Q171" i="17" s="1"/>
  <c r="W171" i="17" s="1"/>
  <c r="O165" i="17" a="1"/>
  <c r="O165" i="17" s="1"/>
  <c r="Q165" i="17" s="1"/>
  <c r="W165" i="17" s="1"/>
  <c r="O158" i="17" a="1"/>
  <c r="O158" i="17" s="1"/>
  <c r="Q158" i="17" s="1"/>
  <c r="W158" i="17" s="1"/>
  <c r="O151" i="17" a="1"/>
  <c r="O151" i="17" s="1"/>
  <c r="Q151" i="17" s="1"/>
  <c r="W151" i="17" s="1"/>
  <c r="O145" i="17" a="1"/>
  <c r="O145" i="17" s="1"/>
  <c r="Q145" i="17" s="1"/>
  <c r="W145" i="17" s="1"/>
  <c r="O138" i="17" a="1"/>
  <c r="O138" i="17" s="1"/>
  <c r="Q138" i="17" s="1"/>
  <c r="W138" i="17" s="1"/>
  <c r="O131" i="17" a="1"/>
  <c r="O131" i="17" s="1"/>
  <c r="Q131" i="17" s="1"/>
  <c r="W131" i="17" s="1"/>
  <c r="O125" i="17" a="1"/>
  <c r="O125" i="17" s="1"/>
  <c r="Q125" i="17" s="1"/>
  <c r="W125" i="17" s="1"/>
  <c r="O118" i="17" a="1"/>
  <c r="O118" i="17" s="1"/>
  <c r="Q118" i="17" s="1"/>
  <c r="W118" i="17" s="1"/>
  <c r="O47" i="17" a="1"/>
  <c r="O47" i="17" s="1"/>
  <c r="Q47" i="17" s="1"/>
  <c r="W47" i="17" s="1"/>
  <c r="O46" i="17" a="1"/>
  <c r="O46" i="17" s="1"/>
  <c r="Q46" i="17" s="1"/>
  <c r="W46" i="17" s="1"/>
  <c r="O5" i="17" a="1"/>
  <c r="O5" i="17" s="1"/>
  <c r="Q5" i="17" s="1"/>
  <c r="W5" i="17" s="1"/>
  <c r="O363" i="17" a="1"/>
  <c r="O363" i="17" s="1"/>
  <c r="Q363" i="17" s="1"/>
  <c r="W363" i="17" s="1"/>
  <c r="O362" i="17" a="1"/>
  <c r="O362" i="17" s="1"/>
  <c r="Q362" i="17" s="1"/>
  <c r="W362" i="17" s="1"/>
  <c r="N361" i="17" a="1"/>
  <c r="N361" i="17" s="1"/>
  <c r="N315" i="17" a="1"/>
  <c r="N315" i="17" s="1"/>
  <c r="N309" i="17" a="1"/>
  <c r="N309" i="17" s="1"/>
  <c r="N302" i="17" a="1"/>
  <c r="N302" i="17" s="1"/>
  <c r="N295" i="17" a="1"/>
  <c r="N295" i="17" s="1"/>
  <c r="N289" i="17" a="1"/>
  <c r="N289" i="17" s="1"/>
  <c r="N282" i="17" a="1"/>
  <c r="N282" i="17" s="1"/>
  <c r="N275" i="17" a="1"/>
  <c r="N275" i="17" s="1"/>
  <c r="N269" i="17" a="1"/>
  <c r="N269" i="17" s="1"/>
  <c r="N262" i="17" a="1"/>
  <c r="N262" i="17" s="1"/>
  <c r="N71" i="17" a="1"/>
  <c r="N71" i="17" s="1"/>
  <c r="N70" i="17" a="1"/>
  <c r="N70" i="17" s="1"/>
  <c r="N29" i="17" a="1"/>
  <c r="N29" i="17" s="1"/>
  <c r="N387" i="17" a="1"/>
  <c r="N387" i="17" s="1"/>
  <c r="N386" i="17" a="1"/>
  <c r="N386" i="17" s="1"/>
  <c r="N345" i="17" a="1"/>
  <c r="N345" i="17" s="1"/>
  <c r="N219" i="17" a="1"/>
  <c r="N219" i="17" s="1"/>
  <c r="N213" i="17" a="1"/>
  <c r="N213" i="17" s="1"/>
  <c r="N206" i="17" a="1"/>
  <c r="N206" i="17" s="1"/>
  <c r="N199" i="17" a="1"/>
  <c r="N199" i="17" s="1"/>
  <c r="N193" i="17" a="1"/>
  <c r="N193" i="17" s="1"/>
  <c r="N186" i="17" a="1"/>
  <c r="N186" i="17" s="1"/>
  <c r="N58" i="17" a="1"/>
  <c r="N58" i="17" s="1"/>
  <c r="N375" i="17" a="1"/>
  <c r="N375" i="17" s="1"/>
  <c r="N147" i="17" a="1"/>
  <c r="N147" i="17" s="1"/>
  <c r="N127" i="17" a="1"/>
  <c r="N127" i="17" s="1"/>
  <c r="N43" i="17" a="1"/>
  <c r="N43" i="17" s="1"/>
  <c r="O202" i="17" a="1"/>
  <c r="O202" i="17" s="1"/>
  <c r="Q202" i="17" s="1"/>
  <c r="W202" i="17" s="1"/>
  <c r="O197" i="17" a="1"/>
  <c r="O197" i="17" s="1"/>
  <c r="Q197" i="17" s="1"/>
  <c r="W197" i="17" s="1"/>
  <c r="O192" i="17" a="1"/>
  <c r="O192" i="17" s="1"/>
  <c r="Q192" i="17" s="1"/>
  <c r="W192" i="17" s="1"/>
  <c r="O186" i="17" a="1"/>
  <c r="O186" i="17" s="1"/>
  <c r="Q186" i="17" s="1"/>
  <c r="W186" i="17" s="1"/>
  <c r="O181" i="17" a="1"/>
  <c r="O181" i="17" s="1"/>
  <c r="Q181" i="17" s="1"/>
  <c r="W181" i="17" s="1"/>
  <c r="O176" i="17" a="1"/>
  <c r="O176" i="17" s="1"/>
  <c r="Q176" i="17" s="1"/>
  <c r="W176" i="17" s="1"/>
  <c r="O170" i="17" a="1"/>
  <c r="O170" i="17" s="1"/>
  <c r="Q170" i="17" s="1"/>
  <c r="W170" i="17" s="1"/>
  <c r="O164" i="17" a="1"/>
  <c r="O164" i="17" s="1"/>
  <c r="Q164" i="17" s="1"/>
  <c r="W164" i="17" s="1"/>
  <c r="O156" i="17" a="1"/>
  <c r="O156" i="17" s="1"/>
  <c r="Q156" i="17" s="1"/>
  <c r="W156" i="17" s="1"/>
  <c r="O150" i="17" a="1"/>
  <c r="O150" i="17" s="1"/>
  <c r="Q150" i="17" s="1"/>
  <c r="W150" i="17" s="1"/>
  <c r="O144" i="17" a="1"/>
  <c r="O144" i="17" s="1"/>
  <c r="Q144" i="17" s="1"/>
  <c r="W144" i="17" s="1"/>
  <c r="O136" i="17" a="1"/>
  <c r="O136" i="17" s="1"/>
  <c r="Q136" i="17" s="1"/>
  <c r="W136" i="17" s="1"/>
  <c r="O130" i="17" a="1"/>
  <c r="O130" i="17" s="1"/>
  <c r="Q130" i="17" s="1"/>
  <c r="W130" i="17" s="1"/>
  <c r="O124" i="17" a="1"/>
  <c r="O124" i="17" s="1"/>
  <c r="Q124" i="17" s="1"/>
  <c r="W124" i="17" s="1"/>
  <c r="O8" i="17" a="1"/>
  <c r="O8" i="17" s="1"/>
  <c r="Q8" i="17" s="1"/>
  <c r="W8" i="17" s="1"/>
  <c r="O7" i="17" a="1"/>
  <c r="O7" i="17" s="1"/>
  <c r="Q7" i="17" s="1"/>
  <c r="W7" i="17" s="1"/>
  <c r="O6" i="17" a="1"/>
  <c r="O6" i="17" s="1"/>
  <c r="Q6" i="17" s="1"/>
  <c r="W6" i="17" s="1"/>
  <c r="O324" i="17" a="1"/>
  <c r="O324" i="17" s="1"/>
  <c r="Q324" i="17" s="1"/>
  <c r="W324" i="17" s="1"/>
  <c r="O323" i="17" a="1"/>
  <c r="O323" i="17" s="1"/>
  <c r="Q323" i="17" s="1"/>
  <c r="W323" i="17" s="1"/>
  <c r="O322" i="17" a="1"/>
  <c r="O322" i="17" s="1"/>
  <c r="Q322" i="17" s="1"/>
  <c r="W322" i="17" s="1"/>
  <c r="N320" i="17" a="1"/>
  <c r="N320" i="17" s="1"/>
  <c r="N314" i="17" a="1"/>
  <c r="N314" i="17" s="1"/>
  <c r="N308" i="17" a="1"/>
  <c r="N308" i="17" s="1"/>
  <c r="N300" i="17" a="1"/>
  <c r="N300" i="17" s="1"/>
  <c r="N294" i="17" a="1"/>
  <c r="N294" i="17" s="1"/>
  <c r="N288" i="17" a="1"/>
  <c r="N288" i="17" s="1"/>
  <c r="N280" i="17" a="1"/>
  <c r="N280" i="17" s="1"/>
  <c r="N274" i="17" a="1"/>
  <c r="N274" i="17" s="1"/>
  <c r="N268" i="17" a="1"/>
  <c r="N268" i="17" s="1"/>
  <c r="N32" i="17" a="1"/>
  <c r="N32" i="17" s="1"/>
  <c r="N31" i="17" a="1"/>
  <c r="N31" i="17" s="1"/>
  <c r="N30" i="17" a="1"/>
  <c r="N30" i="17" s="1"/>
  <c r="N348" i="17" a="1"/>
  <c r="N348" i="17" s="1"/>
  <c r="N347" i="17" a="1"/>
  <c r="N347" i="17" s="1"/>
  <c r="N346" i="17" a="1"/>
  <c r="N346" i="17" s="1"/>
  <c r="N224" i="17" a="1"/>
  <c r="N224" i="17" s="1"/>
  <c r="N218" i="17" a="1"/>
  <c r="N218" i="17" s="1"/>
  <c r="N212" i="17" a="1"/>
  <c r="N212" i="17" s="1"/>
  <c r="N204" i="17" a="1"/>
  <c r="N204" i="17" s="1"/>
  <c r="N198" i="17" a="1"/>
  <c r="N198" i="17" s="1"/>
  <c r="N192" i="17" a="1"/>
  <c r="N192" i="17" s="1"/>
  <c r="N184" i="17" a="1"/>
  <c r="N184" i="17" s="1"/>
  <c r="N18" i="17" a="1"/>
  <c r="N18" i="17" s="1"/>
  <c r="N165" i="17" a="1"/>
  <c r="N165" i="17" s="1"/>
  <c r="N145" i="17" a="1"/>
  <c r="N145" i="17" s="1"/>
  <c r="N123" i="17" a="1"/>
  <c r="N123" i="17" s="1"/>
  <c r="N83" i="17" a="1"/>
  <c r="N83" i="17" s="1"/>
  <c r="O382" i="17" a="1"/>
  <c r="O382" i="17" s="1"/>
  <c r="Q382" i="17" s="1"/>
  <c r="W382" i="17" s="1"/>
  <c r="O62" i="17" a="1"/>
  <c r="O62" i="17" s="1"/>
  <c r="Q62" i="17" s="1"/>
  <c r="W62" i="17" s="1"/>
  <c r="O196" i="17" a="1"/>
  <c r="O196" i="17" s="1"/>
  <c r="Q196" i="17" s="1"/>
  <c r="W196" i="17" s="1"/>
  <c r="O190" i="17" a="1"/>
  <c r="O190" i="17" s="1"/>
  <c r="Q190" i="17" s="1"/>
  <c r="W190" i="17" s="1"/>
  <c r="O185" i="17" a="1"/>
  <c r="O185" i="17" s="1"/>
  <c r="Q185" i="17" s="1"/>
  <c r="W185" i="17" s="1"/>
  <c r="O180" i="17" a="1"/>
  <c r="O180" i="17" s="1"/>
  <c r="Q180" i="17" s="1"/>
  <c r="W180" i="17" s="1"/>
  <c r="O175" i="17" a="1"/>
  <c r="O175" i="17" s="1"/>
  <c r="Q175" i="17" s="1"/>
  <c r="W175" i="17" s="1"/>
  <c r="O169" i="17" a="1"/>
  <c r="O169" i="17" s="1"/>
  <c r="Q169" i="17" s="1"/>
  <c r="W169" i="17" s="1"/>
  <c r="O162" i="17" a="1"/>
  <c r="O162" i="17" s="1"/>
  <c r="Q162" i="17" s="1"/>
  <c r="W162" i="17" s="1"/>
  <c r="O155" i="17" a="1"/>
  <c r="O155" i="17" s="1"/>
  <c r="Q155" i="17" s="1"/>
  <c r="W155" i="17" s="1"/>
  <c r="O149" i="17" a="1"/>
  <c r="O149" i="17" s="1"/>
  <c r="Q149" i="17" s="1"/>
  <c r="W149" i="17" s="1"/>
  <c r="O142" i="17" a="1"/>
  <c r="O142" i="17" s="1"/>
  <c r="Q142" i="17" s="1"/>
  <c r="W142" i="17" s="1"/>
  <c r="O51" i="17" a="1"/>
  <c r="O51" i="17" s="1"/>
  <c r="Q51" i="17" s="1"/>
  <c r="W51" i="17" s="1"/>
  <c r="O50" i="17" a="1"/>
  <c r="O50" i="17" s="1"/>
  <c r="Q50" i="17" s="1"/>
  <c r="W50" i="17" s="1"/>
  <c r="O9" i="17" a="1"/>
  <c r="O9" i="17" s="1"/>
  <c r="Q9" i="17" s="1"/>
  <c r="W9" i="17" s="1"/>
  <c r="O367" i="17" a="1"/>
  <c r="O367" i="17" s="1"/>
  <c r="Q367" i="17" s="1"/>
  <c r="W367" i="17" s="1"/>
  <c r="O366" i="17" a="1"/>
  <c r="O366" i="17" s="1"/>
  <c r="Q366" i="17" s="1"/>
  <c r="W366" i="17" s="1"/>
  <c r="O325" i="17" a="1"/>
  <c r="O325" i="17" s="1"/>
  <c r="Q325" i="17" s="1"/>
  <c r="W325" i="17" s="1"/>
  <c r="O99" i="17" a="1"/>
  <c r="O99" i="17" s="1"/>
  <c r="Q99" i="17" s="1"/>
  <c r="W99" i="17" s="1"/>
  <c r="O93" i="17" a="1"/>
  <c r="O93" i="17" s="1"/>
  <c r="Q93" i="17" s="1"/>
  <c r="W93" i="17" s="1"/>
  <c r="O86" i="17" a="1"/>
  <c r="O86" i="17" s="1"/>
  <c r="Q86" i="17" s="1"/>
  <c r="W86" i="17" s="1"/>
  <c r="N319" i="17" a="1"/>
  <c r="N319" i="17" s="1"/>
  <c r="N313" i="17" a="1"/>
  <c r="N313" i="17" s="1"/>
  <c r="N306" i="17" a="1"/>
  <c r="N306" i="17" s="1"/>
  <c r="N299" i="17" a="1"/>
  <c r="N299" i="17" s="1"/>
  <c r="N293" i="17" a="1"/>
  <c r="N293" i="17" s="1"/>
  <c r="N286" i="17" a="1"/>
  <c r="N286" i="17" s="1"/>
  <c r="N75" i="17" a="1"/>
  <c r="N75" i="17" s="1"/>
  <c r="N74" i="17" a="1"/>
  <c r="N74" i="17" s="1"/>
  <c r="N33" i="17" a="1"/>
  <c r="N33" i="17" s="1"/>
  <c r="N391" i="17" a="1"/>
  <c r="N391" i="17" s="1"/>
  <c r="N390" i="17" a="1"/>
  <c r="N390" i="17" s="1"/>
  <c r="N349" i="17" a="1"/>
  <c r="N349" i="17" s="1"/>
  <c r="N243" i="17" a="1"/>
  <c r="N243" i="17" s="1"/>
  <c r="N237" i="17" a="1"/>
  <c r="N237" i="17" s="1"/>
  <c r="N230" i="17" a="1"/>
  <c r="N230" i="17" s="1"/>
  <c r="N223" i="17" a="1"/>
  <c r="N223" i="17" s="1"/>
  <c r="N217" i="17" a="1"/>
  <c r="N217" i="17" s="1"/>
  <c r="N210" i="17" a="1"/>
  <c r="N210" i="17" s="1"/>
  <c r="N203" i="17" a="1"/>
  <c r="N203" i="17" s="1"/>
  <c r="N197" i="17" a="1"/>
  <c r="N197" i="17" s="1"/>
  <c r="N190" i="17" a="1"/>
  <c r="N190" i="17" s="1"/>
  <c r="N59" i="17" a="1"/>
  <c r="N59" i="17" s="1"/>
  <c r="N176" i="17" a="1"/>
  <c r="N176" i="17" s="1"/>
  <c r="N55" i="17" a="1"/>
  <c r="N55" i="17" s="1"/>
  <c r="N371" i="17" a="1"/>
  <c r="N371" i="17" s="1"/>
  <c r="N367" i="17" a="1"/>
  <c r="N367" i="17" s="1"/>
  <c r="O184" i="17" a="1"/>
  <c r="O184" i="17" s="1"/>
  <c r="Q184" i="17" s="1"/>
  <c r="W184" i="17" s="1"/>
  <c r="O179" i="17" a="1"/>
  <c r="O179" i="17" s="1"/>
  <c r="Q179" i="17" s="1"/>
  <c r="W179" i="17" s="1"/>
  <c r="O174" i="17" a="1"/>
  <c r="O174" i="17" s="1"/>
  <c r="Q174" i="17" s="1"/>
  <c r="W174" i="17" s="1"/>
  <c r="O168" i="17" a="1"/>
  <c r="O168" i="17" s="1"/>
  <c r="Q168" i="17" s="1"/>
  <c r="W168" i="17" s="1"/>
  <c r="O160" i="17" a="1"/>
  <c r="O160" i="17" s="1"/>
  <c r="Q160" i="17" s="1"/>
  <c r="W160" i="17" s="1"/>
  <c r="O154" i="17" a="1"/>
  <c r="O154" i="17" s="1"/>
  <c r="Q154" i="17" s="1"/>
  <c r="W154" i="17" s="1"/>
  <c r="O148" i="17" a="1"/>
  <c r="O148" i="17" s="1"/>
  <c r="Q148" i="17" s="1"/>
  <c r="W148" i="17" s="1"/>
  <c r="O12" i="17" a="1"/>
  <c r="O12" i="17" s="1"/>
  <c r="Q12" i="17" s="1"/>
  <c r="W12" i="17" s="1"/>
  <c r="O11" i="17" a="1"/>
  <c r="O11" i="17" s="1"/>
  <c r="Q11" i="17" s="1"/>
  <c r="W11" i="17" s="1"/>
  <c r="O10" i="17" a="1"/>
  <c r="O10" i="17" s="1"/>
  <c r="Q10" i="17" s="1"/>
  <c r="W10" i="17" s="1"/>
  <c r="O328" i="17" a="1"/>
  <c r="O328" i="17" s="1"/>
  <c r="Q328" i="17" s="1"/>
  <c r="W328" i="17" s="1"/>
  <c r="O327" i="17" a="1"/>
  <c r="O327" i="17" s="1"/>
  <c r="Q327" i="17" s="1"/>
  <c r="W327" i="17" s="1"/>
  <c r="O326" i="17" a="1"/>
  <c r="O326" i="17" s="1"/>
  <c r="Q326" i="17" s="1"/>
  <c r="W326" i="17" s="1"/>
  <c r="O104" i="17" a="1"/>
  <c r="O104" i="17" s="1"/>
  <c r="Q104" i="17" s="1"/>
  <c r="W104" i="17" s="1"/>
  <c r="O98" i="17" a="1"/>
  <c r="O98" i="17" s="1"/>
  <c r="Q98" i="17" s="1"/>
  <c r="W98" i="17" s="1"/>
  <c r="O92" i="17" a="1"/>
  <c r="O92" i="17" s="1"/>
  <c r="Q92" i="17" s="1"/>
  <c r="W92" i="17" s="1"/>
  <c r="O84" i="17" a="1"/>
  <c r="O84" i="17" s="1"/>
  <c r="Q84" i="17" s="1"/>
  <c r="W84" i="17" s="1"/>
  <c r="N318" i="17" a="1"/>
  <c r="N318" i="17" s="1"/>
  <c r="N312" i="17" a="1"/>
  <c r="N312" i="17" s="1"/>
  <c r="N304" i="17" a="1"/>
  <c r="N304" i="17" s="1"/>
  <c r="N298" i="17" a="1"/>
  <c r="N298" i="17" s="1"/>
  <c r="N292" i="17" a="1"/>
  <c r="N292" i="17" s="1"/>
  <c r="N36" i="17" a="1"/>
  <c r="N36" i="17" s="1"/>
  <c r="N35" i="17" a="1"/>
  <c r="N35" i="17" s="1"/>
  <c r="N34" i="17" a="1"/>
  <c r="N34" i="17" s="1"/>
  <c r="N352" i="17" a="1"/>
  <c r="N352" i="17" s="1"/>
  <c r="N351" i="17" a="1"/>
  <c r="N351" i="17" s="1"/>
  <c r="N350" i="17" a="1"/>
  <c r="N350" i="17" s="1"/>
  <c r="N248" i="17" a="1"/>
  <c r="N248" i="17" s="1"/>
  <c r="N242" i="17" a="1"/>
  <c r="N242" i="17" s="1"/>
  <c r="N236" i="17" a="1"/>
  <c r="N236" i="17" s="1"/>
  <c r="N228" i="17" a="1"/>
  <c r="N228" i="17" s="1"/>
  <c r="N222" i="17" a="1"/>
  <c r="N222" i="17" s="1"/>
  <c r="N216" i="17" a="1"/>
  <c r="N216" i="17" s="1"/>
  <c r="N208" i="17" a="1"/>
  <c r="N208" i="17" s="1"/>
  <c r="N202" i="17" a="1"/>
  <c r="N202" i="17" s="1"/>
  <c r="N196" i="17" a="1"/>
  <c r="N196" i="17" s="1"/>
  <c r="N20" i="17" a="1"/>
  <c r="N20" i="17" s="1"/>
  <c r="N378" i="17" a="1"/>
  <c r="N378" i="17" s="1"/>
  <c r="N175" i="17" a="1"/>
  <c r="N175" i="17" s="1"/>
  <c r="N374" i="17" a="1"/>
  <c r="N374" i="17" s="1"/>
  <c r="N141" i="17" a="1"/>
  <c r="N141" i="17" s="1"/>
  <c r="N47" i="17" a="1"/>
  <c r="N47" i="17" s="1"/>
  <c r="N126" i="17" a="1"/>
  <c r="N126" i="17" s="1"/>
  <c r="N122" i="17" a="1"/>
  <c r="N122" i="17" s="1"/>
  <c r="N327" i="17" a="1"/>
  <c r="N327" i="17" s="1"/>
  <c r="N7" i="17" a="1"/>
  <c r="N7" i="17" s="1"/>
  <c r="N106" i="17" a="1"/>
  <c r="N106" i="17" s="1"/>
  <c r="N102" i="17" a="1"/>
  <c r="N102" i="17" s="1"/>
  <c r="N98" i="17" a="1"/>
  <c r="N98" i="17" s="1"/>
  <c r="N323" i="17" a="1"/>
  <c r="N323" i="17" s="1"/>
  <c r="N3" i="17" a="1"/>
  <c r="N3" i="17" s="1"/>
  <c r="N82" i="17" a="1"/>
  <c r="N82" i="17" s="1"/>
  <c r="N116" i="17" a="1"/>
  <c r="N116" i="17" s="1"/>
  <c r="N326" i="17" a="1"/>
  <c r="N326" i="17" s="1"/>
  <c r="N6" i="17" a="1"/>
  <c r="N6" i="17" s="1"/>
  <c r="N100" i="17" a="1"/>
  <c r="N100" i="17" s="1"/>
  <c r="N96" i="17" a="1"/>
  <c r="N96" i="17" s="1"/>
  <c r="N92" i="17" a="1"/>
  <c r="N92" i="17" s="1"/>
  <c r="N322" i="17" a="1"/>
  <c r="N322" i="17" s="1"/>
  <c r="N2" i="17" a="1"/>
  <c r="N2" i="17" s="1"/>
  <c r="N118" i="17" a="1"/>
  <c r="N118" i="17" s="1"/>
  <c r="N114" i="17" a="1"/>
  <c r="N114" i="17" s="1"/>
  <c r="N110" i="17" a="1"/>
  <c r="N110" i="17" s="1"/>
  <c r="N325" i="17" a="1"/>
  <c r="N325" i="17" s="1"/>
  <c r="N5" i="17" a="1"/>
  <c r="N5" i="17" s="1"/>
  <c r="N94" i="17" a="1"/>
  <c r="N94" i="17" s="1"/>
  <c r="N90" i="17" a="1"/>
  <c r="N90" i="17" s="1"/>
  <c r="N86" i="17" a="1"/>
  <c r="N86" i="17" s="1"/>
  <c r="O48" i="17" a="1"/>
  <c r="O48" i="17" s="1"/>
  <c r="Q48" i="17" s="1"/>
  <c r="W48" i="17" s="1"/>
  <c r="O113" i="17" a="1"/>
  <c r="O113" i="17" s="1"/>
  <c r="Q113" i="17" s="1"/>
  <c r="W113" i="17" s="1"/>
  <c r="O109" i="17" a="1"/>
  <c r="O109" i="17" s="1"/>
  <c r="Q109" i="17" s="1"/>
  <c r="W109" i="17" s="1"/>
  <c r="O105" i="17" a="1"/>
  <c r="O105" i="17" s="1"/>
  <c r="Q105" i="17" s="1"/>
  <c r="W105" i="17" s="1"/>
  <c r="O364" i="17" a="1"/>
  <c r="O364" i="17" s="1"/>
  <c r="Q364" i="17" s="1"/>
  <c r="W364" i="17" s="1"/>
  <c r="O44" i="17" a="1"/>
  <c r="O44" i="17" s="1"/>
  <c r="Q44" i="17" s="1"/>
  <c r="W44" i="17" s="1"/>
  <c r="O89" i="17" a="1"/>
  <c r="O89" i="17" s="1"/>
  <c r="Q89" i="17" s="1"/>
  <c r="W89" i="17" s="1"/>
  <c r="O85" i="17" a="1"/>
  <c r="O85" i="17" s="1"/>
  <c r="Q85" i="17" s="1"/>
  <c r="W85" i="17" s="1"/>
  <c r="N44" i="17" a="1"/>
  <c r="N44" i="17" s="1"/>
  <c r="N112" i="17" a="1"/>
  <c r="N112" i="17" s="1"/>
  <c r="N108" i="17" a="1"/>
  <c r="N108" i="17" s="1"/>
  <c r="N104" i="17" a="1"/>
  <c r="N104" i="17" s="1"/>
  <c r="N324" i="17" a="1"/>
  <c r="N324" i="17" s="1"/>
  <c r="N4" i="17" a="1"/>
  <c r="N4" i="17" s="1"/>
  <c r="N88" i="17" a="1"/>
  <c r="N88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<sst xmlns="http://schemas.openxmlformats.org/spreadsheetml/2006/main" count="6449" uniqueCount="110">
  <si>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</si>
  <si>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</si>
  <si>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</si>
  <si>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</si>
  <si>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</si>
  <si>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</si>
  <si>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</si>
  <si>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</si>
  <si>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</si>
  <si>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</si>
  <si>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</si>
  <si>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</si>
  <si>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</si>
  <si>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</si>
  <si>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</si>
  <si>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</si>
  <si>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</si>
  <si>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</si>
  <si>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</si>
  <si>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</si>
  <si>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</si>
  <si>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</si>
  <si>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</si>
  <si>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</si>
  <si>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</si>
  <si>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</si>
  <si>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</si>
  <si>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</si>
  <si>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</si>
  <si>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</si>
  <si>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</si>
  <si>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</si>
  <si>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</si>
  <si>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</si>
  <si>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</si>
  <si>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</si>
  <si>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</si>
  <si>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</si>
  <si>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</si>
  <si>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</si>
  <si>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</si>
  <si>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</si>
  <si>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</si>
  <si>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</si>
  <si>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</si>
  <si>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</si>
  <si>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</si>
  <si>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</si>
  <si>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</si>
  <si>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</si>
  <si>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</si>
  <si>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</si>
  <si>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</si>
  <si>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</si>
  <si>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</si>
  <si>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</si>
  <si>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</si>
  <si>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</si>
  <si>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</si>
  <si>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</si>
  <si>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</si>
  <si>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</si>
  <si>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</si>
  <si>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</si>
  <si>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</si>
  <si>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</si>
  <si>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</si>
  <si>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</si>
  <si>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Sistemas\Prova\PUB_completo.p</t>
  </si>
  <si>
    <t>2023-12-09 10:19:43</t>
  </si>
  <si>
    <t>Agrupar.Queue</t>
  </si>
  <si>
    <t>Waiting Time</t>
  </si>
  <si>
    <t>Queue</t>
  </si>
  <si>
    <t>Atribui copo.Queue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</si>
  <si>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</si>
  <si>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</si>
  <si>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</si>
  <si>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</si>
  <si>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</si>
  <si>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</si>
  <si>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</si>
  <si>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</si>
  <si>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Encher.Queue</t>
  </si>
  <si>
    <t>Lava copo.Queue</t>
  </si>
  <si>
    <t>Number Waiting</t>
  </si>
  <si>
    <t>WIP</t>
  </si>
  <si>
    <t>Copo</t>
  </si>
  <si>
    <t>Instantaneous Utilization</t>
  </si>
  <si>
    <t>Resource</t>
  </si>
  <si>
    <t>Number Busy</t>
  </si>
  <si>
    <t>Number Scheduled</t>
  </si>
  <si>
    <t>Garçonete</t>
  </si>
  <si>
    <t>ccontaCoposLavados</t>
  </si>
  <si>
    <t>Count</t>
  </si>
  <si>
    <t>User Specified</t>
  </si>
  <si>
    <t>contaBebida</t>
  </si>
  <si>
    <t>contaClientesSatisfeitos</t>
  </si>
  <si>
    <t>Cliente.NumberIn</t>
  </si>
  <si>
    <t>Number In</t>
  </si>
  <si>
    <t>Cliente.NumberOut</t>
  </si>
  <si>
    <t>Number Out</t>
  </si>
  <si>
    <t>Copo.NumberSeized</t>
  </si>
  <si>
    <t>Total Number Seized</t>
  </si>
  <si>
    <t>Copo.ScheduledUtilization</t>
  </si>
  <si>
    <t>Scheduled Utilization</t>
  </si>
  <si>
    <t>Garçonete.NumberSeized</t>
  </si>
  <si>
    <t>Garçonete.ScheduledUtilization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</si>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</sst>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0517476852" createdVersion="7" refreshedVersion="8" minRefreshableVersion="3" recordCount="40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04">
        <s v="Agrupar.Queue"/>
        <s v="Atribui copo.Queue"/>
        <s v="Cliente"/>
        <s v="Encher.Queue"/>
        <s v="Lava cop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7.7509160186235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9658695680747802"/>
    </cacheField>
    <cacheField name="Maximum" numFmtId="0">
      <sharedItems containsSemiMixedTypes="0" containsString="0" containsNumber="1" minValue="0" maxValue="98.172752532264994"/>
    </cacheField>
    <cacheField name="NumberObservations" numFmtId="0">
      <sharedItems containsSemiMixedTypes="0" containsString="0" containsNumber="1" containsInteger="1" minValue="50" maxValue="104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21.25502150828871"/>
    </cacheField>
    <cacheField name="StDevOfAverage" numFmtId="0">
      <sharedItems containsSemiMixedTypes="0" containsString="0" containsNumber="1" minValue="0" maxValue="6.785419554692519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17008245271948"/>
    </cacheField>
    <cacheField name="MinimumAverage" numFmtId="0">
      <sharedItems containsSemiMixedTypes="0" containsString="0" containsNumber="1" minValue="0" maxValue="13.009471754106"/>
    </cacheField>
    <cacheField name="MaximumAverage" numFmtId="0">
      <sharedItems containsSemiMixedTypes="0" containsString="0" containsNumber="1" minValue="0" maxValue="37.750916018623599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98.172752532264994"/>
    </cacheField>
    <cacheField name="AverageNumberObservations" numFmtId="0">
      <sharedItems containsSemiMixedTypes="0" containsString="0" containsNumber="1" minValue="58.375" maxValue="95.95"/>
    </cacheField>
    <cacheField name="SummaryHalfWidth" numFmtId="0">
      <sharedItems containsSemiMixedTypes="0" containsString="0" containsNumber="1" minValue="0" maxValue="2.17008245271948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0518055553" createdVersion="7" refreshedVersion="8" minRefreshableVersion="3" recordCount="28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85">
        <s v="Cliente.NumberIn"/>
        <s v="Cliente.NumberOut"/>
        <s v="Copo.NumberSeized"/>
        <s v="Copo.ScheduledUtilization"/>
        <s v="Garçonete.NumberSeized"/>
        <s v="Garçonet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51812957617942801" maxValue="21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.78200153326291699" maxValue="181.25"/>
    </cacheField>
    <cacheField name="StandardDeviation" numFmtId="0">
      <sharedItems containsSemiMixedTypes="0" containsString="0" containsNumber="1" minValue="5.2243343646514992E-2" maxValue="15.9739371060069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6708231879382054E-2" maxValue="5.1087129300085214"/>
    </cacheField>
    <cacheField name="Minimum" numFmtId="0">
      <sharedItems containsSemiMixedTypes="0" containsString="0" containsNumber="1" minValue="0.51812957617942801" maxValue="146"/>
    </cacheField>
    <cacheField name="Maximum" numFmtId="0">
      <sharedItems containsSemiMixedTypes="0" containsString="0" containsNumber="1" minValue="0.95110098058067905" maxValue="2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0518287038" createdVersion="7" refreshedVersion="8" minRefreshableVersion="3" recordCount="1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7">
        <s v="ccontaCoposLavados"/>
        <s v="contaBebida"/>
        <s v="contaClientesSatisfeito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32" maxValue="66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38.85" maxValue="60.8"/>
    </cacheField>
    <cacheField name="StandardDeviation" numFmtId="0">
      <sharedItems containsSemiMixedTypes="0" containsString="0" containsNumber="1" minValue="2.8152515030883167" maxValue="3.736171082669309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90036111070230518" maxValue="1.1948854807734899"/>
    </cacheField>
    <cacheField name="Minimum" numFmtId="0">
      <sharedItems containsSemiMixedTypes="0" containsString="0" containsNumber="1" containsInteger="1" minValue="32" maxValue="52"/>
    </cacheField>
    <cacheField name="Maximum" numFmtId="0">
      <sharedItems containsSemiMixedTypes="0" containsString="0" containsNumber="1" containsInteger="1" minValue="44" maxValue="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0518865738" createdVersion="7" refreshedVersion="8" minRefreshableVersion="3" recordCount="44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31">
        <s v="Agrupar.Queue"/>
        <s v="Atribui copo.Queue"/>
        <s v="Cliente"/>
        <s v="Copo"/>
        <s v="Encher.Queue"/>
        <s v="Garçonete"/>
        <s v="Lava cop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38.2183549818393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0"/>
    </cacheField>
    <cacheField name="Maximum" numFmtId="0">
      <sharedItems containsSemiMixedTypes="0" containsString="0" containsNumber="1" containsInteger="1" minValue="0" maxValue="62"/>
    </cacheField>
    <cacheField name="LastRecordedValue" numFmtId="0">
      <sharedItems containsSemiMixedTypes="0" containsString="0" containsNumber="1" minValue="0" maxValue="5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20.151614931798672"/>
    </cacheField>
    <cacheField name="StDevOfAverage" numFmtId="0">
      <sharedItems containsSemiMixedTypes="0" containsString="0" containsNumber="1" minValue="0" maxValue="6.782218691214586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1690587669162626"/>
    </cacheField>
    <cacheField name="MinimumAverage" numFmtId="0">
      <sharedItems containsSemiMixedTypes="0" containsString="0" containsNumber="1" minValue="0" maxValue="10.3625915235886"/>
    </cacheField>
    <cacheField name="MaximumAverage" numFmtId="0">
      <sharedItems containsSemiMixedTypes="0" containsString="0" containsNumber="1" minValue="0" maxValue="38.218354981839397"/>
    </cacheField>
    <cacheField name="SummaryHalfWidth" numFmtId="0">
      <sharedItems containsSemiMixedTypes="0" containsString="0" containsNumber="1" minValue="0" maxValue="2.16905876691626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3051921296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x v="0"/>
    <s v="2023-12-09 10:19:43"/>
    <n v="1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"/>
    <x v="0"/>
    <x v="0"/>
    <x v="0"/>
    <n v="0"/>
    <n v="2E+20"/>
    <n v="0"/>
    <n v="0"/>
    <n v="76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4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5"/>
    <x v="0"/>
    <x v="0"/>
    <x v="0"/>
    <n v="0"/>
    <n v="2E+20"/>
    <n v="0"/>
    <n v="0"/>
    <n v="75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6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7"/>
    <x v="0"/>
    <x v="0"/>
    <x v="0"/>
    <n v="0"/>
    <n v="2E+20"/>
    <n v="0"/>
    <n v="0"/>
    <n v="63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8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9"/>
    <x v="0"/>
    <x v="0"/>
    <x v="0"/>
    <n v="0"/>
    <n v="2E+20"/>
    <n v="0"/>
    <n v="0"/>
    <n v="71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0"/>
    <x v="0"/>
    <x v="0"/>
    <x v="0"/>
    <n v="0"/>
    <n v="2E+20"/>
    <n v="0"/>
    <n v="0"/>
    <n v="80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1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2"/>
    <x v="0"/>
    <x v="0"/>
    <x v="0"/>
    <n v="0"/>
    <n v="2E+20"/>
    <n v="0"/>
    <n v="0"/>
    <n v="64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3"/>
    <x v="0"/>
    <x v="0"/>
    <x v="0"/>
    <n v="0"/>
    <n v="2E+20"/>
    <n v="0"/>
    <n v="0"/>
    <n v="77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4"/>
    <x v="0"/>
    <x v="0"/>
    <x v="0"/>
    <n v="0"/>
    <n v="2E+20"/>
    <n v="0"/>
    <n v="0"/>
    <n v="76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5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6"/>
    <x v="0"/>
    <x v="0"/>
    <x v="0"/>
    <n v="0"/>
    <n v="2E+20"/>
    <n v="0"/>
    <n v="0"/>
    <n v="87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7"/>
    <x v="0"/>
    <x v="0"/>
    <x v="0"/>
    <n v="0"/>
    <n v="2E+20"/>
    <n v="0"/>
    <n v="0"/>
    <n v="61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8"/>
    <x v="0"/>
    <x v="0"/>
    <x v="0"/>
    <n v="0"/>
    <n v="2E+20"/>
    <n v="0"/>
    <n v="0"/>
    <n v="69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9"/>
    <x v="0"/>
    <x v="0"/>
    <x v="0"/>
    <n v="0"/>
    <n v="2E+20"/>
    <n v="0"/>
    <n v="0"/>
    <n v="69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0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1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2"/>
    <x v="0"/>
    <x v="0"/>
    <x v="0"/>
    <n v="0"/>
    <n v="2E+20"/>
    <n v="0"/>
    <n v="0"/>
    <n v="87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3"/>
    <x v="0"/>
    <x v="0"/>
    <x v="0"/>
    <n v="0"/>
    <n v="2E+20"/>
    <n v="0"/>
    <n v="0"/>
    <n v="79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4"/>
    <x v="0"/>
    <x v="0"/>
    <x v="0"/>
    <n v="0"/>
    <n v="2E+20"/>
    <n v="0"/>
    <n v="0"/>
    <n v="57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5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6"/>
    <x v="0"/>
    <x v="0"/>
    <x v="0"/>
    <n v="0"/>
    <n v="2E+20"/>
    <n v="0"/>
    <n v="0"/>
    <n v="58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7"/>
    <x v="0"/>
    <x v="0"/>
    <x v="0"/>
    <n v="0"/>
    <n v="2E+20"/>
    <n v="0"/>
    <n v="0"/>
    <n v="64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8"/>
    <x v="0"/>
    <x v="0"/>
    <x v="0"/>
    <n v="0"/>
    <n v="2E+20"/>
    <n v="0"/>
    <n v="0"/>
    <n v="75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29"/>
    <x v="0"/>
    <x v="0"/>
    <x v="0"/>
    <n v="0"/>
    <n v="2E+20"/>
    <n v="0"/>
    <n v="0"/>
    <n v="62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0"/>
    <x v="0"/>
    <x v="0"/>
    <x v="0"/>
    <n v="0"/>
    <n v="2E+20"/>
    <n v="0"/>
    <n v="0"/>
    <n v="61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1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2"/>
    <x v="0"/>
    <x v="0"/>
    <x v="0"/>
    <n v="0"/>
    <n v="2E+20"/>
    <n v="0"/>
    <n v="0"/>
    <n v="69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3"/>
    <x v="0"/>
    <x v="0"/>
    <x v="0"/>
    <n v="0"/>
    <n v="2E+20"/>
    <n v="0"/>
    <n v="0"/>
    <n v="70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4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5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6"/>
    <x v="0"/>
    <x v="0"/>
    <x v="0"/>
    <n v="0"/>
    <n v="2E+20"/>
    <n v="0"/>
    <n v="0"/>
    <n v="69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7"/>
    <x v="0"/>
    <x v="0"/>
    <x v="0"/>
    <n v="0"/>
    <n v="2E+20"/>
    <n v="0"/>
    <n v="0"/>
    <n v="78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8"/>
    <x v="0"/>
    <x v="0"/>
    <x v="0"/>
    <n v="0"/>
    <n v="2E+20"/>
    <n v="0"/>
    <n v="0"/>
    <n v="82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39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40"/>
    <x v="0"/>
    <x v="0"/>
    <x v="0"/>
    <n v="0"/>
    <n v="2E+20"/>
    <n v="0"/>
    <n v="0"/>
    <n v="56"/>
    <s v="Unnamed ProjectAgrupar.QueueWaiting TimeQueue"/>
    <n v="40"/>
    <n v="0"/>
    <n v="0"/>
    <n v="0.95"/>
    <n v="0"/>
    <n v="0"/>
    <n v="0"/>
    <n v="0"/>
    <n v="0"/>
    <n v="71.2"/>
    <n v="0"/>
    <n v="40"/>
    <n v="1"/>
  </r>
  <r>
    <x v="0"/>
    <s v="2023-12-09 10:19:43"/>
    <n v="1"/>
    <x v="1"/>
    <x v="0"/>
    <x v="0"/>
    <n v="4.58293905706714"/>
    <n v="2E+20"/>
    <n v="0"/>
    <n v="17.976101769934601"/>
    <n v="65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"/>
    <x v="1"/>
    <x v="0"/>
    <x v="0"/>
    <n v="5.2655197713248096"/>
    <n v="2E+20"/>
    <n v="0"/>
    <n v="22.920601412011099"/>
    <n v="72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"/>
    <x v="1"/>
    <x v="0"/>
    <x v="0"/>
    <n v="18.194344371836301"/>
    <n v="2E+20"/>
    <n v="0"/>
    <n v="39.707643014617503"/>
    <n v="70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4"/>
    <x v="1"/>
    <x v="0"/>
    <x v="0"/>
    <n v="15.0192461988395"/>
    <n v="2E+20"/>
    <n v="0"/>
    <n v="31.849247913349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5"/>
    <x v="1"/>
    <x v="0"/>
    <x v="0"/>
    <n v="8.3399307384406693"/>
    <n v="2E+20"/>
    <n v="0"/>
    <n v="26.301979422950001"/>
    <n v="67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6"/>
    <x v="1"/>
    <x v="0"/>
    <x v="0"/>
    <n v="1.82953394021552"/>
    <n v="2E+20"/>
    <n v="0"/>
    <n v="13.152225888402199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7"/>
    <x v="1"/>
    <x v="0"/>
    <x v="0"/>
    <n v="0.215812548642662"/>
    <n v="2E+20"/>
    <n v="0"/>
    <n v="7.8014492038573504"/>
    <n v="63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8"/>
    <x v="1"/>
    <x v="0"/>
    <x v="0"/>
    <n v="0.499541189437475"/>
    <n v="2E+20"/>
    <n v="0"/>
    <n v="8.4544656351420109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9"/>
    <x v="1"/>
    <x v="0"/>
    <x v="0"/>
    <n v="11.6941288393389"/>
    <n v="2E+20"/>
    <n v="0"/>
    <n v="29.526457070135798"/>
    <n v="70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0"/>
    <x v="1"/>
    <x v="0"/>
    <x v="0"/>
    <n v="5.5419586922028801"/>
    <n v="2E+20"/>
    <n v="0"/>
    <n v="24.866047510310299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1"/>
    <x v="1"/>
    <x v="0"/>
    <x v="0"/>
    <n v="8.1713371723708796"/>
    <n v="2E+20"/>
    <n v="0"/>
    <n v="28.684568206882702"/>
    <n v="71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2"/>
    <x v="1"/>
    <x v="0"/>
    <x v="0"/>
    <n v="3.7592583987801"/>
    <n v="2E+20"/>
    <n v="0"/>
    <n v="19.001437671297399"/>
    <n v="64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3"/>
    <x v="1"/>
    <x v="0"/>
    <x v="0"/>
    <n v="9.7724720010170305"/>
    <n v="2E+20"/>
    <n v="0"/>
    <n v="29.2101116876565"/>
    <n v="70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4"/>
    <x v="1"/>
    <x v="0"/>
    <x v="0"/>
    <n v="9.5331655605977108"/>
    <n v="2E+20"/>
    <n v="0"/>
    <n v="33.196211218463098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5"/>
    <x v="1"/>
    <x v="0"/>
    <x v="0"/>
    <n v="5.7032991901913404"/>
    <n v="2E+20"/>
    <n v="0"/>
    <n v="30.437424922834001"/>
    <n v="62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6"/>
    <x v="1"/>
    <x v="0"/>
    <x v="0"/>
    <n v="18.454338211701899"/>
    <n v="2E+20"/>
    <n v="0"/>
    <n v="45.687090654972998"/>
    <n v="71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7"/>
    <x v="1"/>
    <x v="0"/>
    <x v="0"/>
    <n v="0.354503593066748"/>
    <n v="2E+20"/>
    <n v="0"/>
    <n v="6.41828634355016"/>
    <n v="61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8"/>
    <x v="1"/>
    <x v="0"/>
    <x v="0"/>
    <n v="3.7861392414996802"/>
    <n v="2E+20"/>
    <n v="0"/>
    <n v="26.7282538416355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9"/>
    <x v="1"/>
    <x v="0"/>
    <x v="0"/>
    <n v="0.26393777855909401"/>
    <n v="2E+20"/>
    <n v="0"/>
    <n v="4.9017492627593002"/>
    <n v="64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0"/>
    <x v="1"/>
    <x v="0"/>
    <x v="0"/>
    <n v="14.062376283139599"/>
    <n v="2E+20"/>
    <n v="0"/>
    <n v="37.105703462388803"/>
    <n v="71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1"/>
    <x v="1"/>
    <x v="0"/>
    <x v="0"/>
    <n v="4.1175361415907599"/>
    <n v="2E+20"/>
    <n v="0"/>
    <n v="17.493488718898998"/>
    <n v="65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2"/>
    <x v="1"/>
    <x v="0"/>
    <x v="0"/>
    <n v="17.263030607433599"/>
    <n v="2E+20"/>
    <n v="0"/>
    <n v="37.293765765350699"/>
    <n v="68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3"/>
    <x v="1"/>
    <x v="0"/>
    <x v="0"/>
    <n v="9.9554217833881395"/>
    <n v="2E+20"/>
    <n v="0"/>
    <n v="38.088914772800102"/>
    <n v="70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4"/>
    <x v="1"/>
    <x v="0"/>
    <x v="0"/>
    <n v="0"/>
    <n v="2E+20"/>
    <n v="0"/>
    <n v="0"/>
    <n v="57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5"/>
    <x v="1"/>
    <x v="0"/>
    <x v="0"/>
    <n v="6.8547913721756899"/>
    <n v="2E+20"/>
    <n v="0"/>
    <n v="25.6113076257198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6"/>
    <x v="1"/>
    <x v="0"/>
    <x v="0"/>
    <n v="0.121636143324547"/>
    <n v="2E+20"/>
    <n v="0"/>
    <n v="5.9172110901895101"/>
    <n v="58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7"/>
    <x v="1"/>
    <x v="0"/>
    <x v="0"/>
    <n v="1.18770348300581"/>
    <n v="2E+20"/>
    <n v="0"/>
    <n v="14.1341734071106"/>
    <n v="63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8"/>
    <x v="1"/>
    <x v="0"/>
    <x v="0"/>
    <n v="4.0010461980747403"/>
    <n v="2E+20"/>
    <n v="0"/>
    <n v="23.439519609721199"/>
    <n v="71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29"/>
    <x v="1"/>
    <x v="0"/>
    <x v="0"/>
    <n v="0.77213890085066805"/>
    <n v="2E+20"/>
    <n v="0"/>
    <n v="10.4396393561079"/>
    <n v="62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0"/>
    <x v="1"/>
    <x v="0"/>
    <x v="0"/>
    <n v="1.49939552471432"/>
    <n v="2E+20"/>
    <n v="0"/>
    <n v="13.3949677896517"/>
    <n v="5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1"/>
    <x v="1"/>
    <x v="0"/>
    <x v="0"/>
    <n v="2.0638358284018401"/>
    <n v="2E+20"/>
    <n v="0"/>
    <n v="16.294796577242899"/>
    <n v="66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2"/>
    <x v="1"/>
    <x v="0"/>
    <x v="0"/>
    <n v="6.0100574911504703"/>
    <n v="2E+20"/>
    <n v="0"/>
    <n v="19.761121146526101"/>
    <n v="64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3"/>
    <x v="1"/>
    <x v="0"/>
    <x v="0"/>
    <n v="0.52583142489817802"/>
    <n v="2E+20"/>
    <n v="0"/>
    <n v="13.891781221846101"/>
    <n v="63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4"/>
    <x v="1"/>
    <x v="0"/>
    <x v="0"/>
    <n v="13.3209610702165"/>
    <n v="2E+20"/>
    <n v="0"/>
    <n v="39.344634621942902"/>
    <n v="70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5"/>
    <x v="1"/>
    <x v="0"/>
    <x v="0"/>
    <n v="7.9435062196852"/>
    <n v="2E+20"/>
    <n v="0"/>
    <n v="28.578672344210599"/>
    <n v="69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6"/>
    <x v="1"/>
    <x v="0"/>
    <x v="0"/>
    <n v="1.8329900589482999"/>
    <n v="2E+20"/>
    <n v="0"/>
    <n v="12.189110115585301"/>
    <n v="64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7"/>
    <x v="1"/>
    <x v="0"/>
    <x v="0"/>
    <n v="17.3154736655707"/>
    <n v="2E+20"/>
    <n v="0"/>
    <n v="38.688698561791803"/>
    <n v="70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8"/>
    <x v="1"/>
    <x v="0"/>
    <x v="0"/>
    <n v="30.065629687075901"/>
    <n v="2E+20"/>
    <n v="0"/>
    <n v="63.417738655601099"/>
    <n v="71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39"/>
    <x v="1"/>
    <x v="0"/>
    <x v="0"/>
    <n v="8.0965718104641198"/>
    <n v="2E+20"/>
    <n v="0"/>
    <n v="26.763660445965002"/>
    <n v="64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40"/>
    <x v="1"/>
    <x v="0"/>
    <x v="0"/>
    <n v="0.46676655694781399"/>
    <n v="2E+20"/>
    <n v="0"/>
    <n v="7.4801423510212697"/>
    <n v="56"/>
    <s v="Unnamed ProjectAtribui copo.QueueWaiting TimeQueue"/>
    <n v="40"/>
    <n v="6.9614526686546796"/>
    <n v="6.7854195546925196"/>
    <n v="0.95"/>
    <n v="2.17008245271948"/>
    <n v="0"/>
    <n v="30.065629687075901"/>
    <n v="0"/>
    <n v="63.417738655601099"/>
    <n v="66.349999999999994"/>
    <n v="2.17008245271948"/>
    <n v="40"/>
    <n v="1"/>
  </r>
  <r>
    <x v="0"/>
    <s v="2023-12-09 10:19:43"/>
    <n v="1"/>
    <x v="2"/>
    <x v="1"/>
    <x v="1"/>
    <n v="0"/>
    <n v="2E+20"/>
    <n v="0"/>
    <n v="0"/>
    <n v="93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"/>
    <x v="2"/>
    <x v="2"/>
    <x v="1"/>
    <n v="0"/>
    <n v="2E+20"/>
    <n v="0"/>
    <n v="0"/>
    <n v="93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"/>
    <x v="2"/>
    <x v="3"/>
    <x v="1"/>
    <n v="19.181029084932199"/>
    <n v="2E+20"/>
    <n v="0"/>
    <n v="55.843595362670698"/>
    <n v="93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"/>
    <x v="2"/>
    <x v="4"/>
    <x v="1"/>
    <n v="0"/>
    <n v="2E+20"/>
    <n v="0"/>
    <n v="0"/>
    <n v="93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"/>
    <x v="2"/>
    <x v="5"/>
    <x v="1"/>
    <n v="10.4780224849851"/>
    <n v="2E+20"/>
    <n v="0"/>
    <n v="20.256013450315599"/>
    <n v="93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"/>
    <x v="2"/>
    <x v="6"/>
    <x v="1"/>
    <n v="8.7030065999470505"/>
    <n v="2E+20"/>
    <n v="0"/>
    <n v="36.674656812573197"/>
    <n v="93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"/>
    <x v="2"/>
    <x v="1"/>
    <x v="1"/>
    <n v="0"/>
    <n v="2E+20"/>
    <n v="0"/>
    <n v="0"/>
    <n v="104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"/>
    <x v="2"/>
    <x v="2"/>
    <x v="1"/>
    <n v="0"/>
    <n v="2E+20"/>
    <n v="0"/>
    <n v="0"/>
    <n v="104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"/>
    <x v="2"/>
    <x v="3"/>
    <x v="1"/>
    <n v="22.0327415418461"/>
    <n v="2E+20"/>
    <n v="0"/>
    <n v="57.732529743615999"/>
    <n v="104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"/>
    <x v="2"/>
    <x v="4"/>
    <x v="1"/>
    <n v="0"/>
    <n v="2E+20"/>
    <n v="0"/>
    <n v="0"/>
    <n v="104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"/>
    <x v="2"/>
    <x v="5"/>
    <x v="1"/>
    <n v="10.4701001409694"/>
    <n v="2E+20"/>
    <n v="0"/>
    <n v="20.715593997553899"/>
    <n v="104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"/>
    <x v="2"/>
    <x v="6"/>
    <x v="1"/>
    <n v="11.562641400876799"/>
    <n v="2E+20"/>
    <n v="0"/>
    <n v="41.223706334366902"/>
    <n v="104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"/>
    <x v="2"/>
    <x v="1"/>
    <x v="1"/>
    <n v="0"/>
    <n v="2E+20"/>
    <n v="0"/>
    <n v="0"/>
    <n v="103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"/>
    <x v="2"/>
    <x v="2"/>
    <x v="1"/>
    <n v="0"/>
    <n v="2E+20"/>
    <n v="0"/>
    <n v="0"/>
    <n v="103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"/>
    <x v="2"/>
    <x v="3"/>
    <x v="1"/>
    <n v="29.701245264559802"/>
    <n v="2E+20"/>
    <n v="0"/>
    <n v="73.195035256058404"/>
    <n v="103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"/>
    <x v="2"/>
    <x v="4"/>
    <x v="1"/>
    <n v="0"/>
    <n v="2E+20"/>
    <n v="0"/>
    <n v="0"/>
    <n v="103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"/>
    <x v="2"/>
    <x v="5"/>
    <x v="1"/>
    <n v="10.260067425653601"/>
    <n v="2E+20"/>
    <n v="0"/>
    <n v="20.409859828711799"/>
    <n v="103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"/>
    <x v="2"/>
    <x v="6"/>
    <x v="1"/>
    <n v="19.441177838906199"/>
    <n v="2E+20"/>
    <n v="0"/>
    <n v="53.205452603305098"/>
    <n v="103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4"/>
    <x v="2"/>
    <x v="1"/>
    <x v="1"/>
    <n v="0"/>
    <n v="2E+20"/>
    <n v="0"/>
    <n v="0"/>
    <n v="99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4"/>
    <x v="2"/>
    <x v="2"/>
    <x v="1"/>
    <n v="0"/>
    <n v="2E+20"/>
    <n v="0"/>
    <n v="0"/>
    <n v="99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4"/>
    <x v="2"/>
    <x v="3"/>
    <x v="1"/>
    <n v="29.702442388098099"/>
    <n v="2E+20"/>
    <n v="0"/>
    <n v="67.2146641572823"/>
    <n v="99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4"/>
    <x v="2"/>
    <x v="4"/>
    <x v="1"/>
    <n v="0"/>
    <n v="2E+20"/>
    <n v="0"/>
    <n v="0"/>
    <n v="99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4"/>
    <x v="2"/>
    <x v="5"/>
    <x v="1"/>
    <n v="10.477753035225099"/>
    <n v="2E+20"/>
    <n v="0"/>
    <n v="20.267733551009599"/>
    <n v="99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4"/>
    <x v="2"/>
    <x v="6"/>
    <x v="1"/>
    <n v="19.224689352873"/>
    <n v="2E+20"/>
    <n v="0"/>
    <n v="51.2060796967085"/>
    <n v="99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5"/>
    <x v="2"/>
    <x v="1"/>
    <x v="1"/>
    <n v="0"/>
    <n v="2E+20"/>
    <n v="0"/>
    <n v="0"/>
    <n v="96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5"/>
    <x v="2"/>
    <x v="2"/>
    <x v="1"/>
    <n v="0"/>
    <n v="2E+20"/>
    <n v="0"/>
    <n v="0"/>
    <n v="96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5"/>
    <x v="2"/>
    <x v="3"/>
    <x v="1"/>
    <n v="20.683088155082402"/>
    <n v="2E+20"/>
    <n v="0"/>
    <n v="60.384627871856203"/>
    <n v="96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5"/>
    <x v="2"/>
    <x v="4"/>
    <x v="1"/>
    <n v="0"/>
    <n v="2E+20"/>
    <n v="0"/>
    <n v="0"/>
    <n v="96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5"/>
    <x v="2"/>
    <x v="5"/>
    <x v="1"/>
    <n v="10.237959738417601"/>
    <n v="2E+20"/>
    <n v="0"/>
    <n v="20.6388165281151"/>
    <n v="96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5"/>
    <x v="2"/>
    <x v="6"/>
    <x v="1"/>
    <n v="10.445128416664801"/>
    <n v="2E+20"/>
    <n v="0"/>
    <n v="43.0936595758279"/>
    <n v="96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6"/>
    <x v="2"/>
    <x v="1"/>
    <x v="1"/>
    <n v="0"/>
    <n v="2E+20"/>
    <n v="0"/>
    <n v="0"/>
    <n v="100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6"/>
    <x v="2"/>
    <x v="2"/>
    <x v="1"/>
    <n v="0"/>
    <n v="2E+20"/>
    <n v="0"/>
    <n v="0"/>
    <n v="100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6"/>
    <x v="2"/>
    <x v="3"/>
    <x v="1"/>
    <n v="17.687605303359199"/>
    <n v="2E+20"/>
    <n v="0"/>
    <n v="44.310140894186198"/>
    <n v="100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6"/>
    <x v="2"/>
    <x v="4"/>
    <x v="1"/>
    <n v="0"/>
    <n v="2E+20"/>
    <n v="0"/>
    <n v="0"/>
    <n v="100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6"/>
    <x v="2"/>
    <x v="5"/>
    <x v="1"/>
    <n v="10.3521542507763"/>
    <n v="2E+20"/>
    <n v="0"/>
    <n v="19.669265539644801"/>
    <n v="100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6"/>
    <x v="2"/>
    <x v="6"/>
    <x v="1"/>
    <n v="7.3354510525829699"/>
    <n v="2E+20"/>
    <n v="0"/>
    <n v="25.9420734643478"/>
    <n v="100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7"/>
    <x v="2"/>
    <x v="1"/>
    <x v="1"/>
    <n v="0"/>
    <n v="2E+20"/>
    <n v="0"/>
    <n v="0"/>
    <n v="91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7"/>
    <x v="2"/>
    <x v="2"/>
    <x v="1"/>
    <n v="0"/>
    <n v="2E+20"/>
    <n v="0"/>
    <n v="0"/>
    <n v="91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7"/>
    <x v="2"/>
    <x v="3"/>
    <x v="1"/>
    <n v="15.1966173515483"/>
    <n v="2E+20"/>
    <n v="0"/>
    <n v="36.0885116229408"/>
    <n v="91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7"/>
    <x v="2"/>
    <x v="4"/>
    <x v="1"/>
    <n v="0"/>
    <n v="2E+20"/>
    <n v="0"/>
    <n v="0"/>
    <n v="91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7"/>
    <x v="2"/>
    <x v="5"/>
    <x v="1"/>
    <n v="10.478858143721"/>
    <n v="2E+20"/>
    <n v="0"/>
    <n v="20.188317690781901"/>
    <n v="91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7"/>
    <x v="2"/>
    <x v="6"/>
    <x v="1"/>
    <n v="4.7177592078273296"/>
    <n v="2E+20"/>
    <n v="0"/>
    <n v="18.862393550751701"/>
    <n v="91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8"/>
    <x v="2"/>
    <x v="1"/>
    <x v="1"/>
    <n v="0"/>
    <n v="2E+20"/>
    <n v="0"/>
    <n v="0"/>
    <n v="98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8"/>
    <x v="2"/>
    <x v="2"/>
    <x v="1"/>
    <n v="0"/>
    <n v="2E+20"/>
    <n v="0"/>
    <n v="0"/>
    <n v="98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8"/>
    <x v="2"/>
    <x v="3"/>
    <x v="1"/>
    <n v="16.637237972887899"/>
    <n v="2E+20"/>
    <n v="0"/>
    <n v="36.716119358593801"/>
    <n v="98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8"/>
    <x v="2"/>
    <x v="4"/>
    <x v="1"/>
    <n v="0"/>
    <n v="2E+20"/>
    <n v="0"/>
    <n v="0"/>
    <n v="98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8"/>
    <x v="2"/>
    <x v="5"/>
    <x v="1"/>
    <n v="10.584886009602"/>
    <n v="2E+20"/>
    <n v="0"/>
    <n v="20.146992660936601"/>
    <n v="98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8"/>
    <x v="2"/>
    <x v="6"/>
    <x v="1"/>
    <n v="6.0523519632858402"/>
    <n v="2E+20"/>
    <n v="0"/>
    <n v="19.940280053835998"/>
    <n v="98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9"/>
    <x v="2"/>
    <x v="1"/>
    <x v="1"/>
    <n v="0"/>
    <n v="2E+20"/>
    <n v="0"/>
    <n v="0"/>
    <n v="101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9"/>
    <x v="2"/>
    <x v="2"/>
    <x v="1"/>
    <n v="0"/>
    <n v="2E+20"/>
    <n v="0"/>
    <n v="0"/>
    <n v="101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9"/>
    <x v="2"/>
    <x v="3"/>
    <x v="1"/>
    <n v="27.903184539571399"/>
    <n v="2E+20"/>
    <n v="0"/>
    <n v="69.467475771901704"/>
    <n v="101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9"/>
    <x v="2"/>
    <x v="4"/>
    <x v="1"/>
    <n v="0"/>
    <n v="2E+20"/>
    <n v="0"/>
    <n v="0"/>
    <n v="101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9"/>
    <x v="2"/>
    <x v="5"/>
    <x v="1"/>
    <n v="10.3592816231853"/>
    <n v="2E+20"/>
    <n v="0"/>
    <n v="20.908413671362201"/>
    <n v="101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9"/>
    <x v="2"/>
    <x v="6"/>
    <x v="1"/>
    <n v="17.543902916386099"/>
    <n v="2E+20"/>
    <n v="0"/>
    <n v="48.901304535402403"/>
    <n v="101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0"/>
    <x v="2"/>
    <x v="1"/>
    <x v="1"/>
    <n v="0"/>
    <n v="2E+20"/>
    <n v="0"/>
    <n v="0"/>
    <n v="101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0"/>
    <x v="2"/>
    <x v="2"/>
    <x v="1"/>
    <n v="0"/>
    <n v="2E+20"/>
    <n v="0"/>
    <n v="0"/>
    <n v="101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0"/>
    <x v="2"/>
    <x v="3"/>
    <x v="1"/>
    <n v="19.614708121547899"/>
    <n v="2E+20"/>
    <n v="0"/>
    <n v="52.221572110312003"/>
    <n v="101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0"/>
    <x v="2"/>
    <x v="4"/>
    <x v="1"/>
    <n v="0"/>
    <n v="2E+20"/>
    <n v="0"/>
    <n v="0"/>
    <n v="101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0"/>
    <x v="2"/>
    <x v="5"/>
    <x v="1"/>
    <n v="10.1537634582343"/>
    <n v="2E+20"/>
    <n v="0"/>
    <n v="20.1029776822568"/>
    <n v="101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0"/>
    <x v="2"/>
    <x v="6"/>
    <x v="1"/>
    <n v="9.4609446633135903"/>
    <n v="2E+20"/>
    <n v="0"/>
    <n v="36.099809503234901"/>
    <n v="101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1"/>
    <x v="2"/>
    <x v="1"/>
    <x v="1"/>
    <n v="0"/>
    <n v="2E+20"/>
    <n v="0"/>
    <n v="0"/>
    <n v="101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1"/>
    <x v="2"/>
    <x v="2"/>
    <x v="1"/>
    <n v="0"/>
    <n v="2E+20"/>
    <n v="0"/>
    <n v="0"/>
    <n v="101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1"/>
    <x v="2"/>
    <x v="3"/>
    <x v="1"/>
    <n v="23.510984184172699"/>
    <n v="2E+20"/>
    <n v="0"/>
    <n v="56.0610789682327"/>
    <n v="101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1"/>
    <x v="2"/>
    <x v="4"/>
    <x v="1"/>
    <n v="0"/>
    <n v="2E+20"/>
    <n v="0"/>
    <n v="0"/>
    <n v="101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1"/>
    <x v="2"/>
    <x v="5"/>
    <x v="1"/>
    <n v="10.3177994626311"/>
    <n v="2E+20"/>
    <n v="0"/>
    <n v="19.947252189314302"/>
    <n v="101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1"/>
    <x v="2"/>
    <x v="6"/>
    <x v="1"/>
    <n v="13.1931847215416"/>
    <n v="2E+20"/>
    <n v="0"/>
    <n v="38.885569235055499"/>
    <n v="101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2"/>
    <x v="2"/>
    <x v="1"/>
    <x v="1"/>
    <n v="0"/>
    <n v="2E+20"/>
    <n v="0"/>
    <n v="0"/>
    <n v="97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2"/>
    <x v="2"/>
    <x v="2"/>
    <x v="1"/>
    <n v="0"/>
    <n v="2E+20"/>
    <n v="0"/>
    <n v="0"/>
    <n v="97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2"/>
    <x v="2"/>
    <x v="3"/>
    <x v="1"/>
    <n v="20.664567466811501"/>
    <n v="2E+20"/>
    <n v="0"/>
    <n v="55.572050920886198"/>
    <n v="97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2"/>
    <x v="2"/>
    <x v="4"/>
    <x v="1"/>
    <n v="0"/>
    <n v="2E+20"/>
    <n v="0"/>
    <n v="0"/>
    <n v="97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2"/>
    <x v="2"/>
    <x v="5"/>
    <x v="1"/>
    <n v="10.477405767401001"/>
    <n v="2E+20"/>
    <n v="0"/>
    <n v="19.958835591650299"/>
    <n v="97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2"/>
    <x v="2"/>
    <x v="6"/>
    <x v="1"/>
    <n v="10.1871616994104"/>
    <n v="2E+20"/>
    <n v="0"/>
    <n v="37.641818020429199"/>
    <n v="97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3"/>
    <x v="2"/>
    <x v="1"/>
    <x v="1"/>
    <n v="0"/>
    <n v="2E+20"/>
    <n v="0"/>
    <n v="0"/>
    <n v="99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3"/>
    <x v="2"/>
    <x v="2"/>
    <x v="1"/>
    <n v="0"/>
    <n v="2E+20"/>
    <n v="0"/>
    <n v="0"/>
    <n v="99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3"/>
    <x v="2"/>
    <x v="3"/>
    <x v="1"/>
    <n v="25.622080047749701"/>
    <n v="2E+20"/>
    <n v="0"/>
    <n v="63.124474612249401"/>
    <n v="99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3"/>
    <x v="2"/>
    <x v="4"/>
    <x v="1"/>
    <n v="0"/>
    <n v="2E+20"/>
    <n v="0"/>
    <n v="0"/>
    <n v="99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3"/>
    <x v="2"/>
    <x v="5"/>
    <x v="1"/>
    <n v="10.539847694125701"/>
    <n v="2E+20"/>
    <n v="0"/>
    <n v="20.3703261678289"/>
    <n v="99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3"/>
    <x v="2"/>
    <x v="6"/>
    <x v="1"/>
    <n v="15.082232353624001"/>
    <n v="2E+20"/>
    <n v="0"/>
    <n v="47.3700774256274"/>
    <n v="99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4"/>
    <x v="2"/>
    <x v="1"/>
    <x v="1"/>
    <n v="0"/>
    <n v="2E+20"/>
    <n v="0"/>
    <n v="0"/>
    <n v="100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4"/>
    <x v="2"/>
    <x v="2"/>
    <x v="1"/>
    <n v="0"/>
    <n v="2E+20"/>
    <n v="0"/>
    <n v="0"/>
    <n v="100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4"/>
    <x v="2"/>
    <x v="3"/>
    <x v="1"/>
    <n v="20.378520622448601"/>
    <n v="2E+20"/>
    <n v="0"/>
    <n v="68.780140584091995"/>
    <n v="100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4"/>
    <x v="2"/>
    <x v="4"/>
    <x v="1"/>
    <n v="0"/>
    <n v="2E+20"/>
    <n v="0"/>
    <n v="0"/>
    <n v="100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4"/>
    <x v="2"/>
    <x v="5"/>
    <x v="1"/>
    <n v="10.2956102560756"/>
    <n v="2E+20"/>
    <n v="0"/>
    <n v="20.858134131684199"/>
    <n v="100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4"/>
    <x v="2"/>
    <x v="6"/>
    <x v="1"/>
    <n v="10.082910366373101"/>
    <n v="2E+20"/>
    <n v="0"/>
    <n v="52.757170967036998"/>
    <n v="100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5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5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5"/>
    <x v="2"/>
    <x v="3"/>
    <x v="1"/>
    <n v="18.1275600140664"/>
    <n v="2E+20"/>
    <n v="0"/>
    <n v="53.885401522396101"/>
    <n v="84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5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5"/>
    <x v="2"/>
    <x v="5"/>
    <x v="1"/>
    <n v="10.8561296435721"/>
    <n v="2E+20"/>
    <n v="0"/>
    <n v="21.527818253747999"/>
    <n v="84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5"/>
    <x v="2"/>
    <x v="6"/>
    <x v="1"/>
    <n v="7.2714303704942704"/>
    <n v="2E+20"/>
    <n v="0"/>
    <n v="35.890638889310701"/>
    <n v="84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6"/>
    <x v="2"/>
    <x v="1"/>
    <x v="1"/>
    <n v="0"/>
    <n v="2E+20"/>
    <n v="0"/>
    <n v="0"/>
    <n v="97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6"/>
    <x v="2"/>
    <x v="2"/>
    <x v="1"/>
    <n v="0"/>
    <n v="2E+20"/>
    <n v="0"/>
    <n v="0"/>
    <n v="97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6"/>
    <x v="2"/>
    <x v="3"/>
    <x v="1"/>
    <n v="30.2117432636439"/>
    <n v="2E+20"/>
    <n v="0"/>
    <n v="78.171854095848801"/>
    <n v="97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6"/>
    <x v="2"/>
    <x v="4"/>
    <x v="1"/>
    <n v="0"/>
    <n v="2E+20"/>
    <n v="0"/>
    <n v="0"/>
    <n v="97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6"/>
    <x v="2"/>
    <x v="5"/>
    <x v="1"/>
    <n v="11.015353970671701"/>
    <n v="2E+20"/>
    <n v="0"/>
    <n v="20.717518976821999"/>
    <n v="97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6"/>
    <x v="2"/>
    <x v="6"/>
    <x v="1"/>
    <n v="19.196389292972199"/>
    <n v="2E+20"/>
    <n v="0"/>
    <n v="62.351873480716797"/>
    <n v="97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7"/>
    <x v="2"/>
    <x v="1"/>
    <x v="1"/>
    <n v="0"/>
    <n v="2E+20"/>
    <n v="0"/>
    <n v="0"/>
    <n v="89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7"/>
    <x v="2"/>
    <x v="2"/>
    <x v="1"/>
    <n v="0"/>
    <n v="2E+20"/>
    <n v="0"/>
    <n v="0"/>
    <n v="89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7"/>
    <x v="2"/>
    <x v="3"/>
    <x v="1"/>
    <n v="18.414591729841302"/>
    <n v="2E+20"/>
    <n v="0"/>
    <n v="39.927726246848898"/>
    <n v="89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7"/>
    <x v="2"/>
    <x v="4"/>
    <x v="1"/>
    <n v="0"/>
    <n v="2E+20"/>
    <n v="0"/>
    <n v="0"/>
    <n v="89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7"/>
    <x v="2"/>
    <x v="5"/>
    <x v="1"/>
    <n v="10.757541858852299"/>
    <n v="2E+20"/>
    <n v="0"/>
    <n v="21.961443046297202"/>
    <n v="89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7"/>
    <x v="2"/>
    <x v="6"/>
    <x v="1"/>
    <n v="7.6570498709890504"/>
    <n v="2E+20"/>
    <n v="0"/>
    <n v="25.329560746576401"/>
    <n v="89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8"/>
    <x v="2"/>
    <x v="1"/>
    <x v="1"/>
    <n v="0"/>
    <n v="2E+20"/>
    <n v="0"/>
    <n v="0"/>
    <n v="100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8"/>
    <x v="2"/>
    <x v="2"/>
    <x v="1"/>
    <n v="0"/>
    <n v="2E+20"/>
    <n v="0"/>
    <n v="0"/>
    <n v="100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8"/>
    <x v="2"/>
    <x v="3"/>
    <x v="1"/>
    <n v="20.575886768723699"/>
    <n v="2E+20"/>
    <n v="0"/>
    <n v="61.570910774179502"/>
    <n v="100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8"/>
    <x v="2"/>
    <x v="4"/>
    <x v="1"/>
    <n v="0"/>
    <n v="2E+20"/>
    <n v="0"/>
    <n v="0"/>
    <n v="100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8"/>
    <x v="2"/>
    <x v="5"/>
    <x v="1"/>
    <n v="10.313699493114701"/>
    <n v="2E+20"/>
    <n v="0"/>
    <n v="21.704567881009499"/>
    <n v="100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8"/>
    <x v="2"/>
    <x v="6"/>
    <x v="1"/>
    <n v="10.262187275609"/>
    <n v="2E+20"/>
    <n v="0"/>
    <n v="44.631940347810598"/>
    <n v="100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9"/>
    <x v="2"/>
    <x v="1"/>
    <x v="1"/>
    <n v="0"/>
    <n v="2E+20"/>
    <n v="0"/>
    <n v="0"/>
    <n v="92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9"/>
    <x v="2"/>
    <x v="2"/>
    <x v="1"/>
    <n v="0"/>
    <n v="2E+20"/>
    <n v="0"/>
    <n v="0"/>
    <n v="92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9"/>
    <x v="2"/>
    <x v="3"/>
    <x v="1"/>
    <n v="15.582208804605299"/>
    <n v="2E+20"/>
    <n v="0"/>
    <n v="40.857290292990101"/>
    <n v="92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19"/>
    <x v="2"/>
    <x v="4"/>
    <x v="1"/>
    <n v="0"/>
    <n v="2E+20"/>
    <n v="0"/>
    <n v="0"/>
    <n v="92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19"/>
    <x v="2"/>
    <x v="5"/>
    <x v="1"/>
    <n v="10.148487123336601"/>
    <n v="2E+20"/>
    <n v="0"/>
    <n v="20.116181167766499"/>
    <n v="92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19"/>
    <x v="2"/>
    <x v="6"/>
    <x v="1"/>
    <n v="5.4337216812687403"/>
    <n v="2E+20"/>
    <n v="0"/>
    <n v="22.342413500157001"/>
    <n v="92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0"/>
    <x v="2"/>
    <x v="1"/>
    <x v="1"/>
    <n v="0"/>
    <n v="2E+20"/>
    <n v="0"/>
    <n v="0"/>
    <n v="104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0"/>
    <x v="2"/>
    <x v="2"/>
    <x v="1"/>
    <n v="0"/>
    <n v="2E+20"/>
    <n v="0"/>
    <n v="0"/>
    <n v="104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0"/>
    <x v="2"/>
    <x v="3"/>
    <x v="1"/>
    <n v="28.1477074090432"/>
    <n v="2E+20"/>
    <n v="0"/>
    <n v="72.434911532923195"/>
    <n v="104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0"/>
    <x v="2"/>
    <x v="4"/>
    <x v="1"/>
    <n v="0"/>
    <n v="2E+20"/>
    <n v="0"/>
    <n v="0"/>
    <n v="104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0"/>
    <x v="2"/>
    <x v="5"/>
    <x v="1"/>
    <n v="10.2306688729592"/>
    <n v="2E+20"/>
    <n v="0"/>
    <n v="20.7662970270692"/>
    <n v="104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0"/>
    <x v="2"/>
    <x v="6"/>
    <x v="1"/>
    <n v="17.917038536084"/>
    <n v="2E+20"/>
    <n v="0"/>
    <n v="56.265708918814603"/>
    <n v="104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1"/>
    <x v="2"/>
    <x v="1"/>
    <x v="1"/>
    <n v="0"/>
    <n v="2E+20"/>
    <n v="0"/>
    <n v="0"/>
    <n v="93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1"/>
    <x v="2"/>
    <x v="2"/>
    <x v="1"/>
    <n v="0"/>
    <n v="2E+20"/>
    <n v="0"/>
    <n v="0"/>
    <n v="93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1"/>
    <x v="2"/>
    <x v="3"/>
    <x v="1"/>
    <n v="18.636370366381001"/>
    <n v="2E+20"/>
    <n v="0"/>
    <n v="52.9539089173185"/>
    <n v="93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1"/>
    <x v="2"/>
    <x v="4"/>
    <x v="1"/>
    <n v="0"/>
    <n v="2E+20"/>
    <n v="0"/>
    <n v="0"/>
    <n v="93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1"/>
    <x v="2"/>
    <x v="5"/>
    <x v="1"/>
    <n v="10.1433886281071"/>
    <n v="2E+20"/>
    <n v="0"/>
    <n v="20.444776232288898"/>
    <n v="93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1"/>
    <x v="2"/>
    <x v="6"/>
    <x v="1"/>
    <n v="8.4929817382739508"/>
    <n v="2E+20"/>
    <n v="0"/>
    <n v="34.409942785522702"/>
    <n v="93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2"/>
    <x v="2"/>
    <x v="1"/>
    <x v="1"/>
    <n v="0"/>
    <n v="2E+20"/>
    <n v="0"/>
    <n v="0"/>
    <n v="92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2"/>
    <x v="2"/>
    <x v="2"/>
    <x v="1"/>
    <n v="0"/>
    <n v="2E+20"/>
    <n v="0"/>
    <n v="0"/>
    <n v="92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2"/>
    <x v="2"/>
    <x v="3"/>
    <x v="1"/>
    <n v="31.694943913944101"/>
    <n v="2E+20"/>
    <n v="0"/>
    <n v="69.742415621306904"/>
    <n v="92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2"/>
    <x v="2"/>
    <x v="4"/>
    <x v="1"/>
    <n v="0"/>
    <n v="2E+20"/>
    <n v="0"/>
    <n v="0"/>
    <n v="92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2"/>
    <x v="2"/>
    <x v="5"/>
    <x v="1"/>
    <n v="11.3008442212181"/>
    <n v="2E+20"/>
    <n v="0"/>
    <n v="20.639493323443499"/>
    <n v="92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2"/>
    <x v="2"/>
    <x v="6"/>
    <x v="1"/>
    <n v="20.394099692726002"/>
    <n v="2E+20"/>
    <n v="0"/>
    <n v="51.643858379192203"/>
    <n v="92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3"/>
    <x v="2"/>
    <x v="1"/>
    <x v="1"/>
    <n v="0"/>
    <n v="2E+20"/>
    <n v="0"/>
    <n v="0"/>
    <n v="103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3"/>
    <x v="2"/>
    <x v="2"/>
    <x v="1"/>
    <n v="0"/>
    <n v="2E+20"/>
    <n v="0"/>
    <n v="0"/>
    <n v="103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3"/>
    <x v="2"/>
    <x v="3"/>
    <x v="1"/>
    <n v="22.458751215772502"/>
    <n v="2E+20"/>
    <n v="0"/>
    <n v="66.369867282109198"/>
    <n v="103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3"/>
    <x v="2"/>
    <x v="4"/>
    <x v="1"/>
    <n v="0"/>
    <n v="2E+20"/>
    <n v="0"/>
    <n v="0"/>
    <n v="103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3"/>
    <x v="2"/>
    <x v="5"/>
    <x v="1"/>
    <n v="10.320673838345501"/>
    <n v="2E+20"/>
    <n v="0"/>
    <n v="21.057760786999101"/>
    <n v="103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3"/>
    <x v="2"/>
    <x v="6"/>
    <x v="1"/>
    <n v="12.1380773774269"/>
    <n v="2E+20"/>
    <n v="0"/>
    <n v="49.078483234925798"/>
    <n v="103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4"/>
    <x v="2"/>
    <x v="1"/>
    <x v="1"/>
    <n v="0"/>
    <n v="2E+20"/>
    <n v="0"/>
    <n v="0"/>
    <n v="89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4"/>
    <x v="2"/>
    <x v="2"/>
    <x v="1"/>
    <n v="0"/>
    <n v="2E+20"/>
    <n v="0"/>
    <n v="0"/>
    <n v="89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4"/>
    <x v="2"/>
    <x v="3"/>
    <x v="1"/>
    <n v="13.497756700468999"/>
    <n v="2E+20"/>
    <n v="0"/>
    <n v="36.102145669928198"/>
    <n v="89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4"/>
    <x v="2"/>
    <x v="4"/>
    <x v="1"/>
    <n v="0"/>
    <n v="2E+20"/>
    <n v="0"/>
    <n v="0"/>
    <n v="89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4"/>
    <x v="2"/>
    <x v="5"/>
    <x v="1"/>
    <n v="10.5551480585729"/>
    <n v="2E+20"/>
    <n v="0"/>
    <n v="21.0777203361116"/>
    <n v="89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4"/>
    <x v="2"/>
    <x v="6"/>
    <x v="1"/>
    <n v="2.9426086418961099"/>
    <n v="2E+20"/>
    <n v="0"/>
    <n v="17.662058140687499"/>
    <n v="89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5"/>
    <x v="2"/>
    <x v="1"/>
    <x v="1"/>
    <n v="0"/>
    <n v="2E+20"/>
    <n v="0"/>
    <n v="0"/>
    <n v="97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5"/>
    <x v="2"/>
    <x v="2"/>
    <x v="1"/>
    <n v="0"/>
    <n v="2E+20"/>
    <n v="0"/>
    <n v="0"/>
    <n v="97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5"/>
    <x v="2"/>
    <x v="3"/>
    <x v="1"/>
    <n v="23.490506882479401"/>
    <n v="2E+20"/>
    <n v="0"/>
    <n v="61.412576728737299"/>
    <n v="97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5"/>
    <x v="2"/>
    <x v="4"/>
    <x v="1"/>
    <n v="0"/>
    <n v="2E+20"/>
    <n v="0"/>
    <n v="0"/>
    <n v="97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5"/>
    <x v="2"/>
    <x v="5"/>
    <x v="1"/>
    <n v="10.489540967761901"/>
    <n v="2E+20"/>
    <n v="0"/>
    <n v="20.445711389454299"/>
    <n v="97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5"/>
    <x v="2"/>
    <x v="6"/>
    <x v="1"/>
    <n v="13.000965914717501"/>
    <n v="2E+20"/>
    <n v="0"/>
    <n v="45.464438842913701"/>
    <n v="97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6"/>
    <x v="2"/>
    <x v="1"/>
    <x v="1"/>
    <n v="0"/>
    <n v="2E+20"/>
    <n v="0"/>
    <n v="0"/>
    <n v="93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6"/>
    <x v="2"/>
    <x v="2"/>
    <x v="1"/>
    <n v="0"/>
    <n v="2E+20"/>
    <n v="0"/>
    <n v="0"/>
    <n v="93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6"/>
    <x v="2"/>
    <x v="3"/>
    <x v="1"/>
    <n v="13.7808505837135"/>
    <n v="2E+20"/>
    <n v="0"/>
    <n v="34.138929200526"/>
    <n v="93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6"/>
    <x v="2"/>
    <x v="4"/>
    <x v="1"/>
    <n v="0"/>
    <n v="2E+20"/>
    <n v="0"/>
    <n v="0"/>
    <n v="93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6"/>
    <x v="2"/>
    <x v="5"/>
    <x v="1"/>
    <n v="10.191898183015899"/>
    <n v="2E+20"/>
    <n v="0"/>
    <n v="20.6940899883651"/>
    <n v="93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6"/>
    <x v="2"/>
    <x v="6"/>
    <x v="1"/>
    <n v="3.5889524006975702"/>
    <n v="2E+20"/>
    <n v="0"/>
    <n v="17.466979020130001"/>
    <n v="93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7"/>
    <x v="2"/>
    <x v="1"/>
    <x v="1"/>
    <n v="0"/>
    <n v="2E+20"/>
    <n v="0"/>
    <n v="0"/>
    <n v="90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7"/>
    <x v="2"/>
    <x v="2"/>
    <x v="1"/>
    <n v="0"/>
    <n v="2E+20"/>
    <n v="0"/>
    <n v="0"/>
    <n v="90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7"/>
    <x v="2"/>
    <x v="3"/>
    <x v="1"/>
    <n v="15.0012728056467"/>
    <n v="2E+20"/>
    <n v="0"/>
    <n v="40.989785123448002"/>
    <n v="90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7"/>
    <x v="2"/>
    <x v="4"/>
    <x v="1"/>
    <n v="0"/>
    <n v="2E+20"/>
    <n v="0"/>
    <n v="0"/>
    <n v="90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7"/>
    <x v="2"/>
    <x v="5"/>
    <x v="1"/>
    <n v="10.3333999341928"/>
    <n v="2E+20"/>
    <n v="0"/>
    <n v="20.652328578999299"/>
    <n v="90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7"/>
    <x v="2"/>
    <x v="6"/>
    <x v="1"/>
    <n v="4.6678728714538398"/>
    <n v="2E+20"/>
    <n v="0"/>
    <n v="23.621988832717498"/>
    <n v="90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8"/>
    <x v="2"/>
    <x v="1"/>
    <x v="1"/>
    <n v="0"/>
    <n v="2E+20"/>
    <n v="0"/>
    <n v="0"/>
    <n v="101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8"/>
    <x v="2"/>
    <x v="2"/>
    <x v="1"/>
    <n v="0"/>
    <n v="2E+20"/>
    <n v="0"/>
    <n v="0"/>
    <n v="101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8"/>
    <x v="2"/>
    <x v="3"/>
    <x v="1"/>
    <n v="19.386176553469902"/>
    <n v="2E+20"/>
    <n v="0"/>
    <n v="47.750320855645903"/>
    <n v="101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8"/>
    <x v="2"/>
    <x v="4"/>
    <x v="1"/>
    <n v="0"/>
    <n v="2E+20"/>
    <n v="0"/>
    <n v="0"/>
    <n v="101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8"/>
    <x v="2"/>
    <x v="5"/>
    <x v="1"/>
    <n v="10.5736752479899"/>
    <n v="2E+20"/>
    <n v="0"/>
    <n v="20.585947202684601"/>
    <n v="101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8"/>
    <x v="2"/>
    <x v="6"/>
    <x v="1"/>
    <n v="8.8125013054799695"/>
    <n v="2E+20"/>
    <n v="0"/>
    <n v="29.803952031897801"/>
    <n v="101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29"/>
    <x v="2"/>
    <x v="1"/>
    <x v="1"/>
    <n v="0"/>
    <n v="2E+20"/>
    <n v="0"/>
    <n v="0"/>
    <n v="94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9"/>
    <x v="2"/>
    <x v="2"/>
    <x v="1"/>
    <n v="0"/>
    <n v="2E+20"/>
    <n v="0"/>
    <n v="0"/>
    <n v="94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9"/>
    <x v="2"/>
    <x v="3"/>
    <x v="1"/>
    <n v="15.7883627861448"/>
    <n v="2E+20"/>
    <n v="0"/>
    <n v="45.570059159208903"/>
    <n v="94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29"/>
    <x v="2"/>
    <x v="4"/>
    <x v="1"/>
    <n v="0"/>
    <n v="2E+20"/>
    <n v="0"/>
    <n v="0"/>
    <n v="94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29"/>
    <x v="2"/>
    <x v="5"/>
    <x v="1"/>
    <n v="10.377261077427701"/>
    <n v="2E+20"/>
    <n v="0"/>
    <n v="21.282042770175"/>
    <n v="94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29"/>
    <x v="2"/>
    <x v="6"/>
    <x v="1"/>
    <n v="5.4111017087170499"/>
    <n v="2E+20"/>
    <n v="0"/>
    <n v="28.309586043639701"/>
    <n v="94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0"/>
    <x v="2"/>
    <x v="1"/>
    <x v="1"/>
    <n v="0"/>
    <n v="2E+20"/>
    <n v="0"/>
    <n v="0"/>
    <n v="83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0"/>
    <x v="2"/>
    <x v="2"/>
    <x v="1"/>
    <n v="0"/>
    <n v="2E+20"/>
    <n v="0"/>
    <n v="0"/>
    <n v="83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0"/>
    <x v="2"/>
    <x v="3"/>
    <x v="1"/>
    <n v="13.846827794364501"/>
    <n v="2E+20"/>
    <n v="0"/>
    <n v="36.017553492389503"/>
    <n v="83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0"/>
    <x v="2"/>
    <x v="4"/>
    <x v="1"/>
    <n v="0"/>
    <n v="2E+20"/>
    <n v="0"/>
    <n v="0"/>
    <n v="83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0"/>
    <x v="2"/>
    <x v="5"/>
    <x v="1"/>
    <n v="10.2497292125383"/>
    <n v="2E+20"/>
    <n v="0"/>
    <n v="20.9044053825288"/>
    <n v="83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0"/>
    <x v="2"/>
    <x v="6"/>
    <x v="1"/>
    <n v="3.5970985818261698"/>
    <n v="2E+20"/>
    <n v="0"/>
    <n v="17.773424293019801"/>
    <n v="83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1"/>
    <x v="2"/>
    <x v="1"/>
    <x v="1"/>
    <n v="0"/>
    <n v="2E+20"/>
    <n v="0"/>
    <n v="0"/>
    <n v="97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1"/>
    <x v="2"/>
    <x v="2"/>
    <x v="1"/>
    <n v="0"/>
    <n v="2E+20"/>
    <n v="0"/>
    <n v="0"/>
    <n v="97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1"/>
    <x v="2"/>
    <x v="3"/>
    <x v="1"/>
    <n v="15.1320525969488"/>
    <n v="2E+20"/>
    <n v="0"/>
    <n v="46.187628180744902"/>
    <n v="97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1"/>
    <x v="2"/>
    <x v="4"/>
    <x v="1"/>
    <n v="0"/>
    <n v="2E+20"/>
    <n v="0"/>
    <n v="0"/>
    <n v="97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1"/>
    <x v="2"/>
    <x v="5"/>
    <x v="1"/>
    <n v="10.093848691970599"/>
    <n v="2E+20"/>
    <n v="0"/>
    <n v="19.988596602266501"/>
    <n v="97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1"/>
    <x v="2"/>
    <x v="6"/>
    <x v="1"/>
    <n v="5.0382039049782303"/>
    <n v="2E+20"/>
    <n v="0"/>
    <n v="27.427152683203001"/>
    <n v="97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2"/>
    <x v="2"/>
    <x v="1"/>
    <x v="1"/>
    <n v="0"/>
    <n v="2E+20"/>
    <n v="0"/>
    <n v="0"/>
    <n v="95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2"/>
    <x v="2"/>
    <x v="2"/>
    <x v="1"/>
    <n v="0"/>
    <n v="2E+20"/>
    <n v="0"/>
    <n v="0"/>
    <n v="95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2"/>
    <x v="2"/>
    <x v="3"/>
    <x v="1"/>
    <n v="22.656152430849499"/>
    <n v="2E+20"/>
    <n v="0"/>
    <n v="56.7027379887355"/>
    <n v="95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2"/>
    <x v="2"/>
    <x v="4"/>
    <x v="1"/>
    <n v="0"/>
    <n v="2E+20"/>
    <n v="0"/>
    <n v="0"/>
    <n v="95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2"/>
    <x v="2"/>
    <x v="5"/>
    <x v="1"/>
    <n v="10.0253890325213"/>
    <n v="2E+20"/>
    <n v="0"/>
    <n v="21.314772457912699"/>
    <n v="95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2"/>
    <x v="2"/>
    <x v="6"/>
    <x v="1"/>
    <n v="12.630763398328201"/>
    <n v="2E+20"/>
    <n v="0"/>
    <n v="39.022838284655798"/>
    <n v="95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3"/>
    <x v="2"/>
    <x v="1"/>
    <x v="1"/>
    <n v="0"/>
    <n v="2E+20"/>
    <n v="0"/>
    <n v="0"/>
    <n v="90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3"/>
    <x v="2"/>
    <x v="2"/>
    <x v="1"/>
    <n v="0"/>
    <n v="2E+20"/>
    <n v="0"/>
    <n v="0"/>
    <n v="90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3"/>
    <x v="2"/>
    <x v="3"/>
    <x v="1"/>
    <n v="13.009471754106"/>
    <n v="2E+20"/>
    <n v="0"/>
    <n v="29.7020580761776"/>
    <n v="90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3"/>
    <x v="2"/>
    <x v="4"/>
    <x v="1"/>
    <n v="0"/>
    <n v="2E+20"/>
    <n v="0"/>
    <n v="0"/>
    <n v="90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3"/>
    <x v="2"/>
    <x v="5"/>
    <x v="1"/>
    <n v="10.2509564784472"/>
    <n v="2E+20"/>
    <n v="0"/>
    <n v="20.105987701904802"/>
    <n v="90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3"/>
    <x v="2"/>
    <x v="6"/>
    <x v="1"/>
    <n v="2.75851527565887"/>
    <n v="2E+20"/>
    <n v="0"/>
    <n v="12.904337211012599"/>
    <n v="90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4"/>
    <x v="2"/>
    <x v="1"/>
    <x v="1"/>
    <n v="0"/>
    <n v="2E+20"/>
    <n v="0"/>
    <n v="0"/>
    <n v="104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4"/>
    <x v="2"/>
    <x v="2"/>
    <x v="1"/>
    <n v="0"/>
    <n v="2E+20"/>
    <n v="0"/>
    <n v="0"/>
    <n v="104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4"/>
    <x v="2"/>
    <x v="3"/>
    <x v="1"/>
    <n v="28.0917150402163"/>
    <n v="2E+20"/>
    <n v="0"/>
    <n v="74.989132435298799"/>
    <n v="104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4"/>
    <x v="2"/>
    <x v="4"/>
    <x v="1"/>
    <n v="0"/>
    <n v="2E+20"/>
    <n v="0"/>
    <n v="0"/>
    <n v="104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4"/>
    <x v="2"/>
    <x v="5"/>
    <x v="1"/>
    <n v="10.044395079616001"/>
    <n v="2E+20"/>
    <n v="0"/>
    <n v="20.224992280288099"/>
    <n v="104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4"/>
    <x v="2"/>
    <x v="6"/>
    <x v="1"/>
    <n v="18.047319960600301"/>
    <n v="2E+20"/>
    <n v="0"/>
    <n v="57.882187024958199"/>
    <n v="104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5"/>
    <x v="2"/>
    <x v="1"/>
    <x v="1"/>
    <n v="0"/>
    <n v="2E+20"/>
    <n v="0"/>
    <n v="0"/>
    <n v="99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5"/>
    <x v="2"/>
    <x v="2"/>
    <x v="1"/>
    <n v="0"/>
    <n v="2E+20"/>
    <n v="0"/>
    <n v="0"/>
    <n v="99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5"/>
    <x v="2"/>
    <x v="3"/>
    <x v="1"/>
    <n v="24.371499998855001"/>
    <n v="2E+20"/>
    <n v="0"/>
    <n v="67.820987199683501"/>
    <n v="99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5"/>
    <x v="2"/>
    <x v="4"/>
    <x v="1"/>
    <n v="0"/>
    <n v="2E+20"/>
    <n v="0"/>
    <n v="0"/>
    <n v="99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5"/>
    <x v="2"/>
    <x v="5"/>
    <x v="1"/>
    <n v="10.4513050933516"/>
    <n v="2E+20"/>
    <n v="0"/>
    <n v="20.709560508964302"/>
    <n v="99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5"/>
    <x v="2"/>
    <x v="6"/>
    <x v="1"/>
    <n v="13.920194905503401"/>
    <n v="2E+20"/>
    <n v="0"/>
    <n v="50.963791897716398"/>
    <n v="99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6"/>
    <x v="2"/>
    <x v="1"/>
    <x v="1"/>
    <n v="0"/>
    <n v="2E+20"/>
    <n v="0"/>
    <n v="0"/>
    <n v="92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6"/>
    <x v="2"/>
    <x v="2"/>
    <x v="1"/>
    <n v="0"/>
    <n v="2E+20"/>
    <n v="0"/>
    <n v="0"/>
    <n v="92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6"/>
    <x v="2"/>
    <x v="3"/>
    <x v="1"/>
    <n v="15.9741897340396"/>
    <n v="2E+20"/>
    <n v="0"/>
    <n v="48.722424362218703"/>
    <n v="92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6"/>
    <x v="2"/>
    <x v="4"/>
    <x v="1"/>
    <n v="0"/>
    <n v="2E+20"/>
    <n v="0"/>
    <n v="0"/>
    <n v="92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6"/>
    <x v="2"/>
    <x v="5"/>
    <x v="1"/>
    <n v="10.167070925699401"/>
    <n v="2E+20"/>
    <n v="0"/>
    <n v="20.275523970249701"/>
    <n v="92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6"/>
    <x v="2"/>
    <x v="6"/>
    <x v="1"/>
    <n v="5.8071188083402898"/>
    <n v="2E+20"/>
    <n v="0"/>
    <n v="31.5646401521144"/>
    <n v="92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7"/>
    <x v="2"/>
    <x v="1"/>
    <x v="1"/>
    <n v="0"/>
    <n v="2E+20"/>
    <n v="0"/>
    <n v="0"/>
    <n v="100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7"/>
    <x v="2"/>
    <x v="2"/>
    <x v="1"/>
    <n v="0"/>
    <n v="2E+20"/>
    <n v="0"/>
    <n v="0"/>
    <n v="100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7"/>
    <x v="2"/>
    <x v="3"/>
    <x v="1"/>
    <n v="29.448368370113801"/>
    <n v="2E+20"/>
    <n v="0"/>
    <n v="70.801394670782699"/>
    <n v="100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7"/>
    <x v="2"/>
    <x v="4"/>
    <x v="1"/>
    <n v="0"/>
    <n v="2E+20"/>
    <n v="0"/>
    <n v="0"/>
    <n v="100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7"/>
    <x v="2"/>
    <x v="5"/>
    <x v="1"/>
    <n v="10.3004133949582"/>
    <n v="2E+20"/>
    <n v="0"/>
    <n v="19.9079575550474"/>
    <n v="100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7"/>
    <x v="2"/>
    <x v="6"/>
    <x v="1"/>
    <n v="19.147954975155599"/>
    <n v="2E+20"/>
    <n v="0"/>
    <n v="53.083990469164497"/>
    <n v="100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8"/>
    <x v="2"/>
    <x v="1"/>
    <x v="1"/>
    <n v="0"/>
    <n v="2E+20"/>
    <n v="0"/>
    <n v="0"/>
    <n v="101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8"/>
    <x v="2"/>
    <x v="2"/>
    <x v="1"/>
    <n v="0"/>
    <n v="2E+20"/>
    <n v="0"/>
    <n v="0"/>
    <n v="101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8"/>
    <x v="2"/>
    <x v="3"/>
    <x v="1"/>
    <n v="37.750916018623599"/>
    <n v="2E+20"/>
    <n v="0"/>
    <n v="98.172752532264994"/>
    <n v="101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8"/>
    <x v="2"/>
    <x v="4"/>
    <x v="1"/>
    <n v="0"/>
    <n v="2E+20"/>
    <n v="0"/>
    <n v="0"/>
    <n v="101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8"/>
    <x v="2"/>
    <x v="5"/>
    <x v="1"/>
    <n v="10.418065439985099"/>
    <n v="2E+20"/>
    <n v="0"/>
    <n v="19.948466449972599"/>
    <n v="101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8"/>
    <x v="2"/>
    <x v="6"/>
    <x v="1"/>
    <n v="27.332850578638499"/>
    <n v="2E+20"/>
    <n v="0"/>
    <n v="78.979701179035303"/>
    <n v="101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39"/>
    <x v="2"/>
    <x v="1"/>
    <x v="1"/>
    <n v="0"/>
    <n v="2E+20"/>
    <n v="0"/>
    <n v="0"/>
    <n v="91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9"/>
    <x v="2"/>
    <x v="2"/>
    <x v="1"/>
    <n v="0"/>
    <n v="2E+20"/>
    <n v="0"/>
    <n v="0"/>
    <n v="91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9"/>
    <x v="2"/>
    <x v="3"/>
    <x v="1"/>
    <n v="21.179605793510198"/>
    <n v="2E+20"/>
    <n v="0"/>
    <n v="60.625630782459098"/>
    <n v="91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39"/>
    <x v="2"/>
    <x v="4"/>
    <x v="1"/>
    <n v="0"/>
    <n v="2E+20"/>
    <n v="0"/>
    <n v="0"/>
    <n v="91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39"/>
    <x v="2"/>
    <x v="5"/>
    <x v="1"/>
    <n v="10.2212106466223"/>
    <n v="2E+20"/>
    <n v="0"/>
    <n v="19.594016602726501"/>
    <n v="91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39"/>
    <x v="2"/>
    <x v="6"/>
    <x v="1"/>
    <n v="10.9583951468879"/>
    <n v="2E+20"/>
    <n v="0"/>
    <n v="41.955846669410803"/>
    <n v="91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40"/>
    <x v="2"/>
    <x v="1"/>
    <x v="1"/>
    <n v="0"/>
    <n v="2E+20"/>
    <n v="0"/>
    <n v="0"/>
    <n v="85"/>
    <s v="Unnamed ProjectClienteNVA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40"/>
    <x v="2"/>
    <x v="2"/>
    <x v="1"/>
    <n v="0"/>
    <n v="2E+20"/>
    <n v="0"/>
    <n v="0"/>
    <n v="85"/>
    <s v="Unnamed ProjectClienteOth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40"/>
    <x v="2"/>
    <x v="3"/>
    <x v="1"/>
    <n v="15.429318957360699"/>
    <n v="2E+20"/>
    <n v="0"/>
    <n v="40.884388487151497"/>
    <n v="85"/>
    <s v="Unnamed ProjectClienteTotal TimeEntity"/>
    <n v="40"/>
    <n v="21.25502150828871"/>
    <n v="5.9909109955452493"/>
    <n v="0.95"/>
    <n v="1.9159862883122878"/>
    <n v="13.009471754106"/>
    <n v="37.750916018623599"/>
    <n v="0"/>
    <n v="98.172752532264994"/>
    <n v="95.95"/>
    <n v="1.9159862883122878"/>
    <n v="40"/>
    <n v="1"/>
  </r>
  <r>
    <x v="0"/>
    <s v="2023-12-09 10:19:43"/>
    <n v="40"/>
    <x v="2"/>
    <x v="4"/>
    <x v="1"/>
    <n v="0"/>
    <n v="2E+20"/>
    <n v="0"/>
    <n v="0"/>
    <n v="85"/>
    <s v="Unnamed ProjectClienteTransfer TimeEntity"/>
    <n v="40"/>
    <n v="0"/>
    <n v="0"/>
    <n v="0.95"/>
    <n v="0"/>
    <n v="0"/>
    <n v="0"/>
    <n v="0"/>
    <n v="0"/>
    <n v="95.95"/>
    <n v="0"/>
    <n v="40"/>
    <n v="1"/>
  </r>
  <r>
    <x v="0"/>
    <s v="2023-12-09 10:19:43"/>
    <n v="40"/>
    <x v="2"/>
    <x v="5"/>
    <x v="1"/>
    <n v="10.6948117465572"/>
    <n v="2E+20"/>
    <n v="0"/>
    <n v="20.865539326874501"/>
    <n v="85"/>
    <s v="Unnamed ProjectClienteVA TimeEntity"/>
    <n v="40"/>
    <n v="10.400210408810217"/>
    <n v="0.25871947497487852"/>
    <n v="0.95"/>
    <n v="8.2742502257138958E-2"/>
    <n v="10.0253890325213"/>
    <n v="11.3008442212181"/>
    <n v="0"/>
    <n v="21.961443046297202"/>
    <n v="95.95"/>
    <n v="8.2742502257138958E-2"/>
    <n v="40"/>
    <n v="1"/>
  </r>
  <r>
    <x v="0"/>
    <s v="2023-12-09 10:19:43"/>
    <n v="40"/>
    <x v="2"/>
    <x v="6"/>
    <x v="1"/>
    <n v="4.73450721080357"/>
    <n v="2E+20"/>
    <n v="0"/>
    <n v="22.743366069948799"/>
    <n v="85"/>
    <s v="Unnamed ProjectClienteWait TimeEntity"/>
    <n v="40"/>
    <n v="10.8548110994785"/>
    <n v="5.9386193560648586"/>
    <n v="0.95"/>
    <n v="1.8992626106758985"/>
    <n v="2.75851527565887"/>
    <n v="27.332850578638499"/>
    <n v="0"/>
    <n v="78.979701179035303"/>
    <n v="95.95"/>
    <n v="1.8992626106758985"/>
    <n v="40"/>
    <n v="1"/>
  </r>
  <r>
    <x v="0"/>
    <s v="2023-12-09 10:19:43"/>
    <n v="1"/>
    <x v="3"/>
    <x v="0"/>
    <x v="0"/>
    <n v="5.8962990255746401"/>
    <n v="2E+20"/>
    <n v="0"/>
    <n v="12.354889450683901"/>
    <n v="62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"/>
    <x v="3"/>
    <x v="0"/>
    <x v="0"/>
    <n v="7.4276799569087899"/>
    <n v="2E+20"/>
    <n v="0"/>
    <n v="11.367222577184"/>
    <n v="69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"/>
    <x v="3"/>
    <x v="0"/>
    <x v="0"/>
    <n v="8.3748632756759598"/>
    <n v="2E+20"/>
    <n v="0"/>
    <n v="12.160020890022601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4"/>
    <x v="3"/>
    <x v="0"/>
    <x v="0"/>
    <n v="8.4144336201605707"/>
    <n v="2E+20"/>
    <n v="0"/>
    <n v="12.1884088151886"/>
    <n v="66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5"/>
    <x v="3"/>
    <x v="0"/>
    <x v="0"/>
    <n v="5.8592680071563397"/>
    <n v="2E+20"/>
    <n v="0"/>
    <n v="12.6514836854753"/>
    <n v="65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6"/>
    <x v="3"/>
    <x v="0"/>
    <x v="0"/>
    <n v="6.5037820355767204"/>
    <n v="2E+20"/>
    <n v="0"/>
    <n v="11.791322252877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7"/>
    <x v="3"/>
    <x v="0"/>
    <x v="0"/>
    <n v="3.6487299597574001"/>
    <n v="2E+20"/>
    <n v="0"/>
    <n v="9.9999966666666804"/>
    <n v="61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8"/>
    <x v="3"/>
    <x v="0"/>
    <x v="0"/>
    <n v="5.5659849788560596"/>
    <n v="2E+20"/>
    <n v="0"/>
    <n v="11.1989081264375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9"/>
    <x v="3"/>
    <x v="0"/>
    <x v="0"/>
    <n v="8.0424694014837392"/>
    <n v="2E+20"/>
    <n v="0"/>
    <n v="13.1342887690691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0"/>
    <x v="3"/>
    <x v="0"/>
    <x v="0"/>
    <n v="6.5778856917544699"/>
    <n v="2E+20"/>
    <n v="0"/>
    <n v="11.973470451584999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1"/>
    <x v="3"/>
    <x v="0"/>
    <x v="0"/>
    <n v="7.3470851256118097"/>
    <n v="2E+20"/>
    <n v="0"/>
    <n v="11.315691199602201"/>
    <n v="68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2"/>
    <x v="3"/>
    <x v="0"/>
    <x v="0"/>
    <n v="6.4226076417615001"/>
    <n v="2E+20"/>
    <n v="0"/>
    <n v="12.601025626786599"/>
    <n v="63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3"/>
    <x v="3"/>
    <x v="0"/>
    <x v="0"/>
    <n v="7.9114884193748098"/>
    <n v="2E+20"/>
    <n v="0"/>
    <n v="11.825230693172699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4"/>
    <x v="3"/>
    <x v="0"/>
    <x v="0"/>
    <n v="5.4467513277941499"/>
    <n v="2E+20"/>
    <n v="0"/>
    <n v="11.426145014075599"/>
    <n v="66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5"/>
    <x v="3"/>
    <x v="0"/>
    <x v="0"/>
    <n v="5.2708907901278499"/>
    <n v="2E+20"/>
    <n v="0"/>
    <n v="11.6314052919383"/>
    <n v="60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6"/>
    <x v="3"/>
    <x v="0"/>
    <x v="0"/>
    <n v="7.7970492199276196"/>
    <n v="2E+20"/>
    <n v="0"/>
    <n v="12.8521648394021"/>
    <n v="68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7"/>
    <x v="3"/>
    <x v="0"/>
    <x v="0"/>
    <n v="6.1896513287672201"/>
    <n v="2E+20"/>
    <n v="0"/>
    <n v="12.845774929581101"/>
    <n v="61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8"/>
    <x v="3"/>
    <x v="0"/>
    <x v="0"/>
    <n v="7.0212437384679296"/>
    <n v="2E+20"/>
    <n v="0"/>
    <n v="12.648354819258"/>
    <n v="66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9"/>
    <x v="3"/>
    <x v="0"/>
    <x v="0"/>
    <n v="4.9371505586525002"/>
    <n v="2E+20"/>
    <n v="0"/>
    <n v="11.4720386405094"/>
    <n v="63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0"/>
    <x v="3"/>
    <x v="0"/>
    <x v="0"/>
    <n v="7.9901255873715504"/>
    <n v="2E+20"/>
    <n v="0"/>
    <n v="13.110108097276299"/>
    <n v="69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1"/>
    <x v="3"/>
    <x v="0"/>
    <x v="0"/>
    <n v="5.9371689932502001"/>
    <n v="2E+20"/>
    <n v="0"/>
    <n v="12.896019357859601"/>
    <n v="64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2"/>
    <x v="3"/>
    <x v="0"/>
    <x v="0"/>
    <n v="8.8229655911748104"/>
    <n v="2E+20"/>
    <n v="0"/>
    <n v="13.9648319773901"/>
    <n v="65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3"/>
    <x v="3"/>
    <x v="0"/>
    <x v="0"/>
    <n v="7.0199600020523896"/>
    <n v="2E+20"/>
    <n v="0"/>
    <n v="12.0337595785427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4"/>
    <x v="3"/>
    <x v="0"/>
    <x v="0"/>
    <n v="2.3806803056332302"/>
    <n v="2E+20"/>
    <n v="0"/>
    <n v="8.8885496727857394"/>
    <n v="5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5"/>
    <x v="3"/>
    <x v="0"/>
    <x v="0"/>
    <n v="6.9003478669896596"/>
    <n v="2E+20"/>
    <n v="0"/>
    <n v="11.107032972384999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6"/>
    <x v="3"/>
    <x v="0"/>
    <x v="0"/>
    <n v="2.8468016107310099"/>
    <n v="2E+20"/>
    <n v="0"/>
    <n v="11.612348084627699"/>
    <n v="58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7"/>
    <x v="3"/>
    <x v="0"/>
    <x v="0"/>
    <n v="4.4220727984253498"/>
    <n v="2E+20"/>
    <n v="0"/>
    <n v="12.243790775759599"/>
    <n v="60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8"/>
    <x v="3"/>
    <x v="0"/>
    <x v="0"/>
    <n v="6.4566226167904404"/>
    <n v="2E+20"/>
    <n v="0"/>
    <n v="11.8757396667002"/>
    <n v="68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29"/>
    <x v="3"/>
    <x v="0"/>
    <x v="0"/>
    <n v="3.9405849110353399"/>
    <n v="2E+20"/>
    <n v="0"/>
    <n v="13.3317263833983"/>
    <n v="61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0"/>
    <x v="3"/>
    <x v="0"/>
    <x v="0"/>
    <n v="3.63069171508945"/>
    <n v="2E+20"/>
    <n v="0"/>
    <n v="12.559192476859399"/>
    <n v="55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1"/>
    <x v="3"/>
    <x v="0"/>
    <x v="0"/>
    <n v="4.7774254597395904"/>
    <n v="2E+20"/>
    <n v="0"/>
    <n v="11.242540389002899"/>
    <n v="64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2"/>
    <x v="3"/>
    <x v="0"/>
    <x v="0"/>
    <n v="7.2495493411830898"/>
    <n v="2E+20"/>
    <n v="0"/>
    <n v="13.891183244210501"/>
    <n v="63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3"/>
    <x v="3"/>
    <x v="0"/>
    <x v="0"/>
    <n v="2.8426888370724499"/>
    <n v="2E+20"/>
    <n v="0"/>
    <n v="8.8781888227753107"/>
    <n v="62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4"/>
    <x v="3"/>
    <x v="0"/>
    <x v="0"/>
    <n v="8.0661619258710395"/>
    <n v="2E+20"/>
    <n v="0"/>
    <n v="12.4364323747438"/>
    <n v="68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5"/>
    <x v="3"/>
    <x v="0"/>
    <x v="0"/>
    <n v="8.3328361622529705"/>
    <n v="2E+20"/>
    <n v="0"/>
    <n v="13.5060268804594"/>
    <n v="67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6"/>
    <x v="3"/>
    <x v="0"/>
    <x v="0"/>
    <n v="4.5330149624274902"/>
    <n v="2E+20"/>
    <n v="0"/>
    <n v="11.8051328829862"/>
    <n v="62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7"/>
    <x v="3"/>
    <x v="0"/>
    <x v="0"/>
    <n v="8.2988918409930399"/>
    <n v="2E+20"/>
    <n v="0"/>
    <n v="12.9550747073932"/>
    <n v="68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8"/>
    <x v="3"/>
    <x v="0"/>
    <x v="0"/>
    <n v="8.1303063463302099"/>
    <n v="2E+20"/>
    <n v="0"/>
    <n v="12.5282982513255"/>
    <n v="68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39"/>
    <x v="3"/>
    <x v="0"/>
    <x v="0"/>
    <n v="5.9568827261267803"/>
    <n v="2E+20"/>
    <n v="0"/>
    <n v="12.1024679039277"/>
    <n v="61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40"/>
    <x v="3"/>
    <x v="0"/>
    <x v="0"/>
    <n v="3.96487415849509"/>
    <n v="2E+20"/>
    <n v="0"/>
    <n v="11.9503391292765"/>
    <n v="56"/>
    <s v="Unnamed ProjectEncher.QueueWaiting TimeQueue"/>
    <n v="40"/>
    <n v="6.1788991965606304"/>
    <n v="1.7751238658181356"/>
    <n v="0.95"/>
    <n v="0.56771215421034726"/>
    <n v="2.3806803056332302"/>
    <n v="8.8229655911748104"/>
    <n v="0"/>
    <n v="13.9648319773901"/>
    <n v="64.25"/>
    <n v="0.56771215421034726"/>
    <n v="40"/>
    <n v="1"/>
  </r>
  <r>
    <x v="0"/>
    <s v="2023-12-09 10:19:43"/>
    <n v="1"/>
    <x v="4"/>
    <x v="0"/>
    <x v="0"/>
    <n v="6.2593595104025503"/>
    <n v="2E+20"/>
    <n v="0"/>
    <n v="12.6257674222527"/>
    <n v="56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"/>
    <x v="4"/>
    <x v="0"/>
    <x v="0"/>
    <n v="8.2289806329713606"/>
    <n v="2E+20"/>
    <n v="0.36757820028772098"/>
    <n v="12.1341884344964"/>
    <n v="63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"/>
    <x v="4"/>
    <x v="0"/>
    <x v="0"/>
    <n v="9.0885181382133808"/>
    <n v="2E+20"/>
    <n v="0.333069715825836"/>
    <n v="13.795253947657599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4"/>
    <x v="4"/>
    <x v="0"/>
    <x v="0"/>
    <n v="9.4289691144018608"/>
    <n v="2E+20"/>
    <n v="2.9658695680747802"/>
    <n v="12.366190668775699"/>
    <n v="60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5"/>
    <x v="4"/>
    <x v="0"/>
    <x v="0"/>
    <n v="6.2148296501504801"/>
    <n v="2E+20"/>
    <n v="0"/>
    <n v="13.4922175651137"/>
    <n v="58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6"/>
    <x v="4"/>
    <x v="0"/>
    <x v="0"/>
    <n v="6.1446443038116998"/>
    <n v="2E+20"/>
    <n v="0"/>
    <n v="12.630760380860901"/>
    <n v="59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7"/>
    <x v="4"/>
    <x v="0"/>
    <x v="0"/>
    <n v="3.6465169674214799"/>
    <n v="2E+20"/>
    <n v="0"/>
    <n v="10.633590482972"/>
    <n v="55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8"/>
    <x v="4"/>
    <x v="0"/>
    <x v="0"/>
    <n v="4.9229961489010803"/>
    <n v="2E+20"/>
    <n v="0"/>
    <n v="10.9388483453454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9"/>
    <x v="4"/>
    <x v="0"/>
    <x v="0"/>
    <n v="8.6670856365741606"/>
    <n v="2E+20"/>
    <n v="0"/>
    <n v="12.7823014085061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0"/>
    <x v="4"/>
    <x v="0"/>
    <x v="0"/>
    <n v="6.8118537157053396"/>
    <n v="2E+20"/>
    <n v="0"/>
    <n v="13.6288888565013"/>
    <n v="60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1"/>
    <x v="4"/>
    <x v="0"/>
    <x v="0"/>
    <n v="8.5112376099928397"/>
    <n v="2E+20"/>
    <n v="0"/>
    <n v="13.364095681009101"/>
    <n v="62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2"/>
    <x v="4"/>
    <x v="0"/>
    <x v="0"/>
    <n v="6.8269325944795201"/>
    <n v="2E+20"/>
    <n v="0"/>
    <n v="12.962553759055201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3"/>
    <x v="4"/>
    <x v="0"/>
    <x v="0"/>
    <n v="8.5310706290016096"/>
    <n v="2E+20"/>
    <n v="0"/>
    <n v="12.5891568100042"/>
    <n v="62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4"/>
    <x v="4"/>
    <x v="0"/>
    <x v="0"/>
    <n v="5.8589991920641697"/>
    <n v="2E+20"/>
    <n v="0"/>
    <n v="11.9073996307012"/>
    <n v="60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5"/>
    <x v="4"/>
    <x v="0"/>
    <x v="0"/>
    <n v="5.0931857274879402"/>
    <n v="2E+20"/>
    <n v="0"/>
    <n v="14.285713175524"/>
    <n v="53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6"/>
    <x v="4"/>
    <x v="0"/>
    <x v="0"/>
    <n v="8.5953429483624308"/>
    <n v="2E+20"/>
    <n v="0"/>
    <n v="11.7648199604611"/>
    <n v="63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7"/>
    <x v="4"/>
    <x v="0"/>
    <x v="0"/>
    <n v="6.2778847779190601"/>
    <n v="2E+20"/>
    <n v="0"/>
    <n v="11.750953398542199"/>
    <n v="57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8"/>
    <x v="4"/>
    <x v="0"/>
    <x v="0"/>
    <n v="7.0404658809322598"/>
    <n v="2E+20"/>
    <n v="0"/>
    <n v="13.7638551612523"/>
    <n v="59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19"/>
    <x v="4"/>
    <x v="0"/>
    <x v="0"/>
    <n v="4.7213192045375898"/>
    <n v="2E+20"/>
    <n v="0"/>
    <n v="11.351225144297899"/>
    <n v="55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0"/>
    <x v="4"/>
    <x v="0"/>
    <x v="0"/>
    <n v="8.7240657252040208"/>
    <n v="2E+20"/>
    <n v="0"/>
    <n v="13.1937928434062"/>
    <n v="62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1"/>
    <x v="4"/>
    <x v="0"/>
    <x v="0"/>
    <n v="6.0359729159792899"/>
    <n v="2E+20"/>
    <n v="0"/>
    <n v="12.4934870522324"/>
    <n v="56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2"/>
    <x v="4"/>
    <x v="0"/>
    <x v="0"/>
    <n v="9.0110357149282301"/>
    <n v="2E+20"/>
    <n v="0"/>
    <n v="13.735315503260599"/>
    <n v="58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3"/>
    <x v="4"/>
    <x v="0"/>
    <x v="0"/>
    <n v="7.8556325883440197"/>
    <n v="2E+20"/>
    <n v="0"/>
    <n v="12.8465794219206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4"/>
    <x v="4"/>
    <x v="0"/>
    <x v="0"/>
    <n v="2.3076600199871402"/>
    <n v="2E+20"/>
    <n v="0"/>
    <n v="8.7735084679017596"/>
    <n v="55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5"/>
    <x v="4"/>
    <x v="0"/>
    <x v="0"/>
    <n v="7.3424604416188801"/>
    <n v="2E+20"/>
    <n v="0"/>
    <n v="11.6957666743441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6"/>
    <x v="4"/>
    <x v="0"/>
    <x v="0"/>
    <n v="2.96465750731674"/>
    <n v="2E+20"/>
    <n v="0"/>
    <n v="9.9689369486751591"/>
    <n v="55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7"/>
    <x v="4"/>
    <x v="0"/>
    <x v="0"/>
    <n v="4.3130871552360404"/>
    <n v="2E+20"/>
    <n v="0"/>
    <n v="12.1421241176366"/>
    <n v="54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8"/>
    <x v="4"/>
    <x v="0"/>
    <x v="0"/>
    <n v="6.8438507045741899"/>
    <n v="2E+20"/>
    <n v="0.61533206167148102"/>
    <n v="13.397247958449601"/>
    <n v="62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29"/>
    <x v="4"/>
    <x v="0"/>
    <x v="0"/>
    <n v="4.1869135086705098"/>
    <n v="2E+20"/>
    <n v="0"/>
    <n v="11.3384757559786"/>
    <n v="58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0"/>
    <x v="4"/>
    <x v="0"/>
    <x v="0"/>
    <n v="3.38789103104373"/>
    <n v="2E+20"/>
    <n v="0"/>
    <n v="11.4160587867845"/>
    <n v="50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1"/>
    <x v="4"/>
    <x v="0"/>
    <x v="0"/>
    <n v="4.7102821939237796"/>
    <n v="2E+20"/>
    <n v="0"/>
    <n v="10.9219248028351"/>
    <n v="59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2"/>
    <x v="4"/>
    <x v="0"/>
    <x v="0"/>
    <n v="7.94225051047819"/>
    <n v="2E+20"/>
    <n v="0"/>
    <n v="13.650283351217499"/>
    <n v="57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3"/>
    <x v="4"/>
    <x v="0"/>
    <x v="0"/>
    <n v="2.7131063884975299"/>
    <n v="2E+20"/>
    <n v="0"/>
    <n v="11.2419026753018"/>
    <n v="55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4"/>
    <x v="4"/>
    <x v="0"/>
    <x v="0"/>
    <n v="9.5262519161464994"/>
    <n v="2E+20"/>
    <n v="0"/>
    <n v="12.7013889247114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5"/>
    <x v="4"/>
    <x v="0"/>
    <x v="0"/>
    <n v="8.2949939010606908"/>
    <n v="2E+20"/>
    <n v="0"/>
    <n v="12.7394330499073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6"/>
    <x v="4"/>
    <x v="0"/>
    <x v="0"/>
    <n v="4.7807689077035596"/>
    <n v="2E+20"/>
    <n v="0"/>
    <n v="12.7560033882603"/>
    <n v="55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7"/>
    <x v="4"/>
    <x v="0"/>
    <x v="0"/>
    <n v="8.8647004374299296"/>
    <n v="2E+20"/>
    <n v="0"/>
    <n v="12.629700321099101"/>
    <n v="6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8"/>
    <x v="4"/>
    <x v="0"/>
    <x v="0"/>
    <n v="8.9411861225974807"/>
    <n v="2E+20"/>
    <n v="0"/>
    <n v="13.200946840322301"/>
    <n v="62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39"/>
    <x v="4"/>
    <x v="0"/>
    <x v="0"/>
    <n v="6.3446710165867"/>
    <n v="2E+20"/>
    <n v="0"/>
    <n v="12.5654867167052"/>
    <n v="55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  <r>
    <x v="0"/>
    <s v="2023-12-09 10:19:43"/>
    <n v="40"/>
    <x v="4"/>
    <x v="0"/>
    <x v="0"/>
    <n v="3.6924079214452799"/>
    <n v="2E+20"/>
    <n v="0"/>
    <n v="10.7975041464131"/>
    <n v="51"/>
    <s v="Unnamed ProjectLava copo.QueueWaiting TimeQueue"/>
    <n v="40"/>
    <n v="6.491350975302578"/>
    <n v="2.0937009243517353"/>
    <n v="0.95"/>
    <n v="0.6695980404094769"/>
    <n v="2.3076600199871402"/>
    <n v="9.5262519161464994"/>
    <n v="0"/>
    <n v="14.285713175524"/>
    <n v="58.375"/>
    <n v="0.6695980404094769"/>
    <n v="4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  <s v="2023-12-09 10:19:43"/>
    <n v="1"/>
    <x v="0"/>
    <x v="0"/>
    <x v="0"/>
    <n v="184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"/>
    <x v="1"/>
    <x v="1"/>
    <x v="0"/>
    <n v="148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"/>
    <x v="2"/>
    <x v="2"/>
    <x v="1"/>
    <n v="65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"/>
    <x v="3"/>
    <x v="3"/>
    <x v="1"/>
    <n v="0.74536521448976001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"/>
    <x v="4"/>
    <x v="2"/>
    <x v="1"/>
    <n v="11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"/>
    <x v="5"/>
    <x v="3"/>
    <x v="1"/>
    <n v="0.90230663504619701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"/>
    <x v="6"/>
    <x v="1"/>
    <x v="2"/>
    <n v="93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"/>
    <x v="0"/>
    <x v="0"/>
    <x v="0"/>
    <n v="18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"/>
    <x v="1"/>
    <x v="1"/>
    <x v="0"/>
    <n v="166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"/>
    <x v="2"/>
    <x v="2"/>
    <x v="1"/>
    <n v="72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"/>
    <x v="3"/>
    <x v="3"/>
    <x v="1"/>
    <n v="0.91480144708670597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"/>
    <x v="4"/>
    <x v="2"/>
    <x v="1"/>
    <n v="132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"/>
    <x v="5"/>
    <x v="3"/>
    <x v="1"/>
    <n v="0.99381255473469199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"/>
    <x v="6"/>
    <x v="1"/>
    <x v="2"/>
    <n v="104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"/>
    <x v="0"/>
    <x v="0"/>
    <x v="0"/>
    <n v="195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"/>
    <x v="1"/>
    <x v="1"/>
    <x v="0"/>
    <n v="163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"/>
    <x v="2"/>
    <x v="2"/>
    <x v="1"/>
    <n v="70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"/>
    <x v="3"/>
    <x v="3"/>
    <x v="1"/>
    <n v="0.9511009805806790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"/>
    <x v="4"/>
    <x v="2"/>
    <x v="1"/>
    <n v="12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"/>
    <x v="5"/>
    <x v="3"/>
    <x v="1"/>
    <n v="0.98431243867609497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"/>
    <x v="6"/>
    <x v="1"/>
    <x v="2"/>
    <n v="103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4"/>
    <x v="0"/>
    <x v="0"/>
    <x v="0"/>
    <n v="180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4"/>
    <x v="1"/>
    <x v="1"/>
    <x v="0"/>
    <n v="158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4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4"/>
    <x v="3"/>
    <x v="3"/>
    <x v="1"/>
    <n v="0.93858687552344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4"/>
    <x v="4"/>
    <x v="2"/>
    <x v="1"/>
    <n v="126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4"/>
    <x v="5"/>
    <x v="3"/>
    <x v="1"/>
    <n v="0.96427531549243795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4"/>
    <x v="6"/>
    <x v="1"/>
    <x v="2"/>
    <n v="99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5"/>
    <x v="0"/>
    <x v="0"/>
    <x v="0"/>
    <n v="189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5"/>
    <x v="1"/>
    <x v="1"/>
    <x v="0"/>
    <n v="153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5"/>
    <x v="2"/>
    <x v="2"/>
    <x v="1"/>
    <n v="67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5"/>
    <x v="3"/>
    <x v="3"/>
    <x v="1"/>
    <n v="0.7596901296492869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5"/>
    <x v="4"/>
    <x v="2"/>
    <x v="1"/>
    <n v="123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5"/>
    <x v="5"/>
    <x v="3"/>
    <x v="1"/>
    <n v="0.917512263881757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5"/>
    <x v="6"/>
    <x v="1"/>
    <x v="2"/>
    <n v="96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6"/>
    <x v="0"/>
    <x v="0"/>
    <x v="0"/>
    <n v="187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6"/>
    <x v="1"/>
    <x v="1"/>
    <x v="0"/>
    <n v="159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6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6"/>
    <x v="3"/>
    <x v="3"/>
    <x v="1"/>
    <n v="0.80342223179184002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6"/>
    <x v="4"/>
    <x v="2"/>
    <x v="1"/>
    <n v="126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6"/>
    <x v="5"/>
    <x v="3"/>
    <x v="1"/>
    <n v="0.97021575387435199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6"/>
    <x v="6"/>
    <x v="1"/>
    <x v="2"/>
    <n v="100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7"/>
    <x v="0"/>
    <x v="0"/>
    <x v="0"/>
    <n v="163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7"/>
    <x v="1"/>
    <x v="1"/>
    <x v="0"/>
    <n v="145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7"/>
    <x v="2"/>
    <x v="2"/>
    <x v="1"/>
    <n v="63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7"/>
    <x v="3"/>
    <x v="3"/>
    <x v="1"/>
    <n v="0.60402355232131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7"/>
    <x v="4"/>
    <x v="2"/>
    <x v="1"/>
    <n v="116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7"/>
    <x v="5"/>
    <x v="3"/>
    <x v="1"/>
    <n v="0.89085833203617903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7"/>
    <x v="6"/>
    <x v="1"/>
    <x v="2"/>
    <n v="91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8"/>
    <x v="0"/>
    <x v="0"/>
    <x v="0"/>
    <n v="185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8"/>
    <x v="1"/>
    <x v="1"/>
    <x v="0"/>
    <n v="157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8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8"/>
    <x v="3"/>
    <x v="3"/>
    <x v="1"/>
    <n v="0.7558150389941179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8"/>
    <x v="4"/>
    <x v="2"/>
    <x v="1"/>
    <n v="12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8"/>
    <x v="5"/>
    <x v="3"/>
    <x v="1"/>
    <n v="0.968220727707787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8"/>
    <x v="6"/>
    <x v="1"/>
    <x v="2"/>
    <n v="98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9"/>
    <x v="0"/>
    <x v="0"/>
    <x v="0"/>
    <n v="183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9"/>
    <x v="1"/>
    <x v="1"/>
    <x v="0"/>
    <n v="161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9"/>
    <x v="2"/>
    <x v="2"/>
    <x v="1"/>
    <n v="70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9"/>
    <x v="3"/>
    <x v="3"/>
    <x v="1"/>
    <n v="0.91775791869039003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9"/>
    <x v="4"/>
    <x v="2"/>
    <x v="1"/>
    <n v="12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9"/>
    <x v="5"/>
    <x v="3"/>
    <x v="1"/>
    <n v="0.95876078410296905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9"/>
    <x v="6"/>
    <x v="1"/>
    <x v="2"/>
    <n v="101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0"/>
    <x v="0"/>
    <x v="0"/>
    <x v="0"/>
    <n v="202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0"/>
    <x v="1"/>
    <x v="1"/>
    <x v="0"/>
    <n v="160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0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0"/>
    <x v="3"/>
    <x v="3"/>
    <x v="1"/>
    <n v="0.8181955287391019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0"/>
    <x v="4"/>
    <x v="2"/>
    <x v="1"/>
    <n v="127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0"/>
    <x v="5"/>
    <x v="3"/>
    <x v="1"/>
    <n v="0.95719012306114304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0"/>
    <x v="6"/>
    <x v="1"/>
    <x v="2"/>
    <n v="101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1"/>
    <x v="0"/>
    <x v="0"/>
    <x v="0"/>
    <n v="202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1"/>
    <x v="1"/>
    <x v="1"/>
    <x v="0"/>
    <n v="162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1"/>
    <x v="2"/>
    <x v="2"/>
    <x v="1"/>
    <n v="71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1"/>
    <x v="3"/>
    <x v="3"/>
    <x v="1"/>
    <n v="0.912220368313306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1"/>
    <x v="4"/>
    <x v="2"/>
    <x v="1"/>
    <n v="130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1"/>
    <x v="5"/>
    <x v="3"/>
    <x v="1"/>
    <n v="0.96318627477283403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1"/>
    <x v="6"/>
    <x v="1"/>
    <x v="2"/>
    <n v="101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2"/>
    <x v="0"/>
    <x v="0"/>
    <x v="0"/>
    <n v="167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2"/>
    <x v="1"/>
    <x v="1"/>
    <x v="0"/>
    <n v="155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2"/>
    <x v="2"/>
    <x v="2"/>
    <x v="1"/>
    <n v="64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2"/>
    <x v="3"/>
    <x v="3"/>
    <x v="1"/>
    <n v="0.7954102843659750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2"/>
    <x v="4"/>
    <x v="2"/>
    <x v="1"/>
    <n v="124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2"/>
    <x v="5"/>
    <x v="3"/>
    <x v="1"/>
    <n v="0.93055670412302804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2"/>
    <x v="6"/>
    <x v="1"/>
    <x v="2"/>
    <n v="97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3"/>
    <x v="0"/>
    <x v="0"/>
    <x v="0"/>
    <n v="193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3"/>
    <x v="1"/>
    <x v="1"/>
    <x v="0"/>
    <n v="159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3"/>
    <x v="2"/>
    <x v="2"/>
    <x v="1"/>
    <n v="70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3"/>
    <x v="3"/>
    <x v="3"/>
    <x v="1"/>
    <n v="0.92430670637442602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3"/>
    <x v="4"/>
    <x v="2"/>
    <x v="1"/>
    <n v="129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3"/>
    <x v="5"/>
    <x v="3"/>
    <x v="1"/>
    <n v="0.98005968359153794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3"/>
    <x v="6"/>
    <x v="1"/>
    <x v="2"/>
    <n v="99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4"/>
    <x v="0"/>
    <x v="0"/>
    <x v="0"/>
    <n v="193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4"/>
    <x v="1"/>
    <x v="1"/>
    <x v="0"/>
    <n v="159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4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4"/>
    <x v="3"/>
    <x v="3"/>
    <x v="1"/>
    <n v="0.7589568123506380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4"/>
    <x v="4"/>
    <x v="2"/>
    <x v="1"/>
    <n v="126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4"/>
    <x v="5"/>
    <x v="3"/>
    <x v="1"/>
    <n v="0.94253215813659197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4"/>
    <x v="6"/>
    <x v="1"/>
    <x v="2"/>
    <n v="100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5"/>
    <x v="0"/>
    <x v="0"/>
    <x v="0"/>
    <n v="17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5"/>
    <x v="1"/>
    <x v="1"/>
    <x v="0"/>
    <n v="136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5"/>
    <x v="2"/>
    <x v="2"/>
    <x v="1"/>
    <n v="62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5"/>
    <x v="3"/>
    <x v="3"/>
    <x v="1"/>
    <n v="0.66735222806772099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5"/>
    <x v="4"/>
    <x v="2"/>
    <x v="1"/>
    <n v="113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5"/>
    <x v="5"/>
    <x v="3"/>
    <x v="1"/>
    <n v="0.86289881439222405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5"/>
    <x v="6"/>
    <x v="1"/>
    <x v="2"/>
    <n v="84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6"/>
    <x v="0"/>
    <x v="0"/>
    <x v="0"/>
    <n v="210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6"/>
    <x v="1"/>
    <x v="1"/>
    <x v="0"/>
    <n v="158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6"/>
    <x v="2"/>
    <x v="2"/>
    <x v="1"/>
    <n v="71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6"/>
    <x v="3"/>
    <x v="3"/>
    <x v="1"/>
    <n v="0.93222836893822703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6"/>
    <x v="4"/>
    <x v="2"/>
    <x v="1"/>
    <n v="131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6"/>
    <x v="5"/>
    <x v="3"/>
    <x v="1"/>
    <n v="0.98279294374320203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6"/>
    <x v="6"/>
    <x v="1"/>
    <x v="2"/>
    <n v="97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7"/>
    <x v="0"/>
    <x v="0"/>
    <x v="0"/>
    <n v="15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7"/>
    <x v="1"/>
    <x v="1"/>
    <x v="0"/>
    <n v="144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7"/>
    <x v="2"/>
    <x v="2"/>
    <x v="1"/>
    <n v="61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7"/>
    <x v="3"/>
    <x v="3"/>
    <x v="1"/>
    <n v="0.7326894531300800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7"/>
    <x v="4"/>
    <x v="2"/>
    <x v="1"/>
    <n v="11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7"/>
    <x v="5"/>
    <x v="3"/>
    <x v="1"/>
    <n v="0.89876365143109904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7"/>
    <x v="6"/>
    <x v="1"/>
    <x v="2"/>
    <n v="89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8"/>
    <x v="0"/>
    <x v="0"/>
    <x v="0"/>
    <n v="179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8"/>
    <x v="1"/>
    <x v="1"/>
    <x v="0"/>
    <n v="159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8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8"/>
    <x v="3"/>
    <x v="3"/>
    <x v="1"/>
    <n v="0.832385103835939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8"/>
    <x v="4"/>
    <x v="2"/>
    <x v="1"/>
    <n v="125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8"/>
    <x v="5"/>
    <x v="3"/>
    <x v="1"/>
    <n v="0.95525235919117102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8"/>
    <x v="6"/>
    <x v="1"/>
    <x v="2"/>
    <n v="100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19"/>
    <x v="0"/>
    <x v="0"/>
    <x v="0"/>
    <n v="17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19"/>
    <x v="1"/>
    <x v="1"/>
    <x v="0"/>
    <n v="146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19"/>
    <x v="2"/>
    <x v="2"/>
    <x v="1"/>
    <n v="64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19"/>
    <x v="3"/>
    <x v="3"/>
    <x v="1"/>
    <n v="0.67320188724686003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19"/>
    <x v="4"/>
    <x v="2"/>
    <x v="1"/>
    <n v="11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19"/>
    <x v="5"/>
    <x v="3"/>
    <x v="1"/>
    <n v="0.90115313610103298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19"/>
    <x v="6"/>
    <x v="1"/>
    <x v="2"/>
    <n v="92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0"/>
    <x v="0"/>
    <x v="0"/>
    <x v="0"/>
    <n v="187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0"/>
    <x v="1"/>
    <x v="1"/>
    <x v="0"/>
    <n v="165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0"/>
    <x v="2"/>
    <x v="2"/>
    <x v="1"/>
    <n v="71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0"/>
    <x v="3"/>
    <x v="3"/>
    <x v="1"/>
    <n v="0.94258947757024703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0"/>
    <x v="4"/>
    <x v="2"/>
    <x v="1"/>
    <n v="131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0"/>
    <x v="5"/>
    <x v="3"/>
    <x v="1"/>
    <n v="0.98365627064592598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0"/>
    <x v="6"/>
    <x v="1"/>
    <x v="2"/>
    <n v="104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1"/>
    <x v="0"/>
    <x v="0"/>
    <x v="0"/>
    <n v="174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1"/>
    <x v="1"/>
    <x v="1"/>
    <x v="0"/>
    <n v="148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1"/>
    <x v="2"/>
    <x v="2"/>
    <x v="1"/>
    <n v="65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1"/>
    <x v="3"/>
    <x v="3"/>
    <x v="1"/>
    <n v="0.73384064341835598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1"/>
    <x v="4"/>
    <x v="2"/>
    <x v="1"/>
    <n v="120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1"/>
    <x v="5"/>
    <x v="3"/>
    <x v="1"/>
    <n v="0.899497778484178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1"/>
    <x v="6"/>
    <x v="1"/>
    <x v="2"/>
    <n v="93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2"/>
    <x v="0"/>
    <x v="0"/>
    <x v="0"/>
    <n v="208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2"/>
    <x v="1"/>
    <x v="1"/>
    <x v="0"/>
    <n v="150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2"/>
    <x v="2"/>
    <x v="2"/>
    <x v="1"/>
    <n v="68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2"/>
    <x v="3"/>
    <x v="3"/>
    <x v="1"/>
    <n v="0.9336935415086109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2"/>
    <x v="4"/>
    <x v="2"/>
    <x v="1"/>
    <n v="123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2"/>
    <x v="5"/>
    <x v="3"/>
    <x v="1"/>
    <n v="0.96455292571416196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2"/>
    <x v="6"/>
    <x v="1"/>
    <x v="2"/>
    <n v="92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3"/>
    <x v="0"/>
    <x v="0"/>
    <x v="0"/>
    <n v="201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3"/>
    <x v="1"/>
    <x v="1"/>
    <x v="0"/>
    <n v="163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3"/>
    <x v="2"/>
    <x v="2"/>
    <x v="1"/>
    <n v="70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3"/>
    <x v="3"/>
    <x v="3"/>
    <x v="1"/>
    <n v="0.87759472141823203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3"/>
    <x v="4"/>
    <x v="2"/>
    <x v="1"/>
    <n v="12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3"/>
    <x v="5"/>
    <x v="3"/>
    <x v="1"/>
    <n v="0.98736166658268698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3"/>
    <x v="6"/>
    <x v="1"/>
    <x v="2"/>
    <n v="103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4"/>
    <x v="0"/>
    <x v="0"/>
    <x v="0"/>
    <n v="150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4"/>
    <x v="1"/>
    <x v="1"/>
    <x v="0"/>
    <n v="142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4"/>
    <x v="2"/>
    <x v="2"/>
    <x v="1"/>
    <n v="57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4"/>
    <x v="3"/>
    <x v="3"/>
    <x v="1"/>
    <n v="0.51812957617942801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4"/>
    <x v="4"/>
    <x v="2"/>
    <x v="1"/>
    <n v="112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4"/>
    <x v="5"/>
    <x v="3"/>
    <x v="1"/>
    <n v="0.85142723778581297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4"/>
    <x v="6"/>
    <x v="1"/>
    <x v="2"/>
    <n v="89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5"/>
    <x v="0"/>
    <x v="0"/>
    <x v="0"/>
    <n v="184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5"/>
    <x v="1"/>
    <x v="1"/>
    <x v="0"/>
    <n v="156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5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5"/>
    <x v="3"/>
    <x v="3"/>
    <x v="1"/>
    <n v="0.8527939102554390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5"/>
    <x v="4"/>
    <x v="2"/>
    <x v="1"/>
    <n v="12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5"/>
    <x v="5"/>
    <x v="3"/>
    <x v="1"/>
    <n v="0.96008705717843601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5"/>
    <x v="6"/>
    <x v="1"/>
    <x v="2"/>
    <n v="97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6"/>
    <x v="0"/>
    <x v="0"/>
    <x v="0"/>
    <n v="155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6"/>
    <x v="1"/>
    <x v="1"/>
    <x v="0"/>
    <n v="147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6"/>
    <x v="2"/>
    <x v="2"/>
    <x v="1"/>
    <n v="58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6"/>
    <x v="3"/>
    <x v="3"/>
    <x v="1"/>
    <n v="0.54696580987079702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6"/>
    <x v="4"/>
    <x v="2"/>
    <x v="1"/>
    <n v="113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6"/>
    <x v="5"/>
    <x v="3"/>
    <x v="1"/>
    <n v="0.858934986077176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6"/>
    <x v="6"/>
    <x v="1"/>
    <x v="2"/>
    <n v="93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7"/>
    <x v="0"/>
    <x v="0"/>
    <x v="0"/>
    <n v="165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7"/>
    <x v="1"/>
    <x v="1"/>
    <x v="0"/>
    <n v="143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7"/>
    <x v="2"/>
    <x v="2"/>
    <x v="1"/>
    <n v="63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7"/>
    <x v="3"/>
    <x v="3"/>
    <x v="1"/>
    <n v="0.6290328189593320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7"/>
    <x v="4"/>
    <x v="2"/>
    <x v="1"/>
    <n v="114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7"/>
    <x v="5"/>
    <x v="3"/>
    <x v="1"/>
    <n v="0.86553190913134703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7"/>
    <x v="6"/>
    <x v="1"/>
    <x v="2"/>
    <n v="90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8"/>
    <x v="0"/>
    <x v="0"/>
    <x v="0"/>
    <n v="190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8"/>
    <x v="1"/>
    <x v="1"/>
    <x v="0"/>
    <n v="162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8"/>
    <x v="2"/>
    <x v="2"/>
    <x v="1"/>
    <n v="71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8"/>
    <x v="3"/>
    <x v="3"/>
    <x v="1"/>
    <n v="0.83455902249267899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8"/>
    <x v="4"/>
    <x v="2"/>
    <x v="1"/>
    <n v="130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8"/>
    <x v="5"/>
    <x v="3"/>
    <x v="1"/>
    <n v="0.96941615829127303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8"/>
    <x v="6"/>
    <x v="1"/>
    <x v="2"/>
    <n v="101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29"/>
    <x v="0"/>
    <x v="0"/>
    <x v="0"/>
    <n v="162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29"/>
    <x v="1"/>
    <x v="1"/>
    <x v="0"/>
    <n v="150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29"/>
    <x v="2"/>
    <x v="2"/>
    <x v="1"/>
    <n v="62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29"/>
    <x v="3"/>
    <x v="3"/>
    <x v="1"/>
    <n v="0.6322037605742879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29"/>
    <x v="4"/>
    <x v="2"/>
    <x v="1"/>
    <n v="119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29"/>
    <x v="5"/>
    <x v="3"/>
    <x v="1"/>
    <n v="0.900480429636215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29"/>
    <x v="6"/>
    <x v="1"/>
    <x v="2"/>
    <n v="94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0"/>
    <x v="0"/>
    <x v="0"/>
    <x v="0"/>
    <n v="15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0"/>
    <x v="1"/>
    <x v="1"/>
    <x v="0"/>
    <n v="132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0"/>
    <x v="2"/>
    <x v="2"/>
    <x v="1"/>
    <n v="5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0"/>
    <x v="3"/>
    <x v="3"/>
    <x v="1"/>
    <n v="0.54670517319079004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0"/>
    <x v="4"/>
    <x v="2"/>
    <x v="1"/>
    <n v="105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0"/>
    <x v="5"/>
    <x v="3"/>
    <x v="1"/>
    <n v="0.78808827046509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0"/>
    <x v="6"/>
    <x v="1"/>
    <x v="2"/>
    <n v="83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1"/>
    <x v="0"/>
    <x v="0"/>
    <x v="0"/>
    <n v="185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1"/>
    <x v="1"/>
    <x v="1"/>
    <x v="0"/>
    <n v="153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1"/>
    <x v="2"/>
    <x v="2"/>
    <x v="1"/>
    <n v="66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1"/>
    <x v="3"/>
    <x v="3"/>
    <x v="1"/>
    <n v="0.698218477250794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1"/>
    <x v="4"/>
    <x v="2"/>
    <x v="1"/>
    <n v="123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1"/>
    <x v="5"/>
    <x v="3"/>
    <x v="1"/>
    <n v="0.93495576307238004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1"/>
    <x v="6"/>
    <x v="1"/>
    <x v="2"/>
    <n v="97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2"/>
    <x v="0"/>
    <x v="0"/>
    <x v="0"/>
    <n v="179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2"/>
    <x v="1"/>
    <x v="1"/>
    <x v="0"/>
    <n v="149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2"/>
    <x v="2"/>
    <x v="2"/>
    <x v="1"/>
    <n v="64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2"/>
    <x v="3"/>
    <x v="3"/>
    <x v="1"/>
    <n v="0.821487735419834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2"/>
    <x v="4"/>
    <x v="2"/>
    <x v="1"/>
    <n v="120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2"/>
    <x v="5"/>
    <x v="3"/>
    <x v="1"/>
    <n v="0.91177526916440399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2"/>
    <x v="6"/>
    <x v="1"/>
    <x v="2"/>
    <n v="95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3"/>
    <x v="0"/>
    <x v="0"/>
    <x v="0"/>
    <n v="177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3"/>
    <x v="1"/>
    <x v="1"/>
    <x v="0"/>
    <n v="143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3"/>
    <x v="2"/>
    <x v="2"/>
    <x v="1"/>
    <n v="63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3"/>
    <x v="3"/>
    <x v="3"/>
    <x v="1"/>
    <n v="0.57025463384971697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3"/>
    <x v="4"/>
    <x v="2"/>
    <x v="1"/>
    <n v="117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3"/>
    <x v="5"/>
    <x v="3"/>
    <x v="1"/>
    <n v="0.87488966189842998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3"/>
    <x v="6"/>
    <x v="1"/>
    <x v="2"/>
    <n v="90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4"/>
    <x v="0"/>
    <x v="0"/>
    <x v="0"/>
    <n v="190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4"/>
    <x v="1"/>
    <x v="1"/>
    <x v="0"/>
    <n v="164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4"/>
    <x v="2"/>
    <x v="2"/>
    <x v="1"/>
    <n v="70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4"/>
    <x v="3"/>
    <x v="3"/>
    <x v="1"/>
    <n v="0.94761048741129605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4"/>
    <x v="4"/>
    <x v="2"/>
    <x v="1"/>
    <n v="129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4"/>
    <x v="5"/>
    <x v="3"/>
    <x v="1"/>
    <n v="0.98065534561896295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4"/>
    <x v="6"/>
    <x v="1"/>
    <x v="2"/>
    <n v="104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5"/>
    <x v="0"/>
    <x v="0"/>
    <x v="0"/>
    <n v="18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5"/>
    <x v="1"/>
    <x v="1"/>
    <x v="0"/>
    <n v="158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5"/>
    <x v="2"/>
    <x v="2"/>
    <x v="1"/>
    <n v="69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5"/>
    <x v="3"/>
    <x v="3"/>
    <x v="1"/>
    <n v="0.925499887680577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5"/>
    <x v="4"/>
    <x v="2"/>
    <x v="1"/>
    <n v="128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5"/>
    <x v="5"/>
    <x v="3"/>
    <x v="1"/>
    <n v="0.98088254999798097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5"/>
    <x v="6"/>
    <x v="1"/>
    <x v="2"/>
    <n v="99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6"/>
    <x v="0"/>
    <x v="0"/>
    <x v="0"/>
    <n v="17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6"/>
    <x v="1"/>
    <x v="1"/>
    <x v="0"/>
    <n v="146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6"/>
    <x v="2"/>
    <x v="2"/>
    <x v="1"/>
    <n v="64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6"/>
    <x v="3"/>
    <x v="3"/>
    <x v="1"/>
    <n v="0.65898027049434404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6"/>
    <x v="4"/>
    <x v="2"/>
    <x v="1"/>
    <n v="117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6"/>
    <x v="5"/>
    <x v="3"/>
    <x v="1"/>
    <n v="0.88174549003369895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6"/>
    <x v="6"/>
    <x v="1"/>
    <x v="2"/>
    <n v="92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7"/>
    <x v="0"/>
    <x v="0"/>
    <x v="0"/>
    <n v="19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7"/>
    <x v="1"/>
    <x v="1"/>
    <x v="0"/>
    <n v="160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7"/>
    <x v="2"/>
    <x v="2"/>
    <x v="1"/>
    <n v="70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7"/>
    <x v="3"/>
    <x v="3"/>
    <x v="1"/>
    <n v="0.92953509751594099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7"/>
    <x v="4"/>
    <x v="2"/>
    <x v="1"/>
    <n v="129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7"/>
    <x v="5"/>
    <x v="3"/>
    <x v="1"/>
    <n v="0.96751742004251495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7"/>
    <x v="6"/>
    <x v="1"/>
    <x v="2"/>
    <n v="100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8"/>
    <x v="0"/>
    <x v="0"/>
    <x v="0"/>
    <n v="204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8"/>
    <x v="1"/>
    <x v="1"/>
    <x v="0"/>
    <n v="162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8"/>
    <x v="2"/>
    <x v="2"/>
    <x v="1"/>
    <n v="71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8"/>
    <x v="3"/>
    <x v="3"/>
    <x v="1"/>
    <n v="0.94711350711076303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8"/>
    <x v="4"/>
    <x v="2"/>
    <x v="1"/>
    <n v="130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8"/>
    <x v="5"/>
    <x v="3"/>
    <x v="1"/>
    <n v="0.98052983529714399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8"/>
    <x v="6"/>
    <x v="1"/>
    <x v="2"/>
    <n v="101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39"/>
    <x v="0"/>
    <x v="0"/>
    <x v="0"/>
    <n v="173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39"/>
    <x v="1"/>
    <x v="1"/>
    <x v="0"/>
    <n v="145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39"/>
    <x v="2"/>
    <x v="2"/>
    <x v="1"/>
    <n v="64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39"/>
    <x v="3"/>
    <x v="3"/>
    <x v="1"/>
    <n v="0.73156211541801897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39"/>
    <x v="4"/>
    <x v="2"/>
    <x v="1"/>
    <n v="116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39"/>
    <x v="5"/>
    <x v="3"/>
    <x v="1"/>
    <n v="0.88117832519740902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39"/>
    <x v="6"/>
    <x v="1"/>
    <x v="2"/>
    <n v="91"/>
    <n v="0"/>
    <s v="Unnamed ProjectSystem.NumberOutNumber OutSystem"/>
    <n v="40"/>
    <n v="95.95"/>
    <n v="5.6566276081633564"/>
    <n v="0.95"/>
    <n v="1.8090772744560404"/>
    <n v="83"/>
    <n v="104"/>
  </r>
  <r>
    <x v="0"/>
    <s v="2023-12-09 10:19:43"/>
    <n v="40"/>
    <x v="0"/>
    <x v="0"/>
    <x v="0"/>
    <n v="146"/>
    <n v="0"/>
    <s v="Unnamed ProjectCliente.NumberInNumber InEntity"/>
    <n v="40"/>
    <n v="181.25"/>
    <n v="15.97393710600698"/>
    <n v="0.95"/>
    <n v="5.1087129300085214"/>
    <n v="146"/>
    <n v="210"/>
  </r>
  <r>
    <x v="0"/>
    <s v="2023-12-09 10:19:43"/>
    <n v="40"/>
    <x v="1"/>
    <x v="1"/>
    <x v="0"/>
    <n v="136"/>
    <n v="0"/>
    <s v="Unnamed ProjectCliente.NumberOutNumber OutEntity"/>
    <n v="40"/>
    <n v="153.05000000000001"/>
    <n v="8.8490184882351901"/>
    <n v="0.95"/>
    <n v="2.8300534094209939"/>
    <n v="132"/>
    <n v="166"/>
  </r>
  <r>
    <x v="0"/>
    <s v="2023-12-09 10:19:43"/>
    <n v="40"/>
    <x v="2"/>
    <x v="2"/>
    <x v="1"/>
    <n v="56"/>
    <n v="0"/>
    <s v="Unnamed ProjectCopo.NumberSeizedTotal Number SeizedResource"/>
    <n v="40"/>
    <n v="66.349999999999994"/>
    <n v="4.3237566761870161"/>
    <n v="0.95"/>
    <n v="1.3828044702605471"/>
    <n v="56"/>
    <n v="72"/>
  </r>
  <r>
    <x v="0"/>
    <s v="2023-12-09 10:19:43"/>
    <n v="40"/>
    <x v="3"/>
    <x v="3"/>
    <x v="1"/>
    <n v="0.56418053243738198"/>
    <n v="0"/>
    <s v="Unnamed ProjectCopo.ScheduledUtilizationScheduled UtilizationResource"/>
    <n v="40"/>
    <n v="0.78200153326291699"/>
    <n v="0.13637038930703246"/>
    <n v="0.95"/>
    <n v="4.36133663541938E-2"/>
    <n v="0.51812957617942801"/>
    <n v="0.95110098058067905"/>
  </r>
  <r>
    <x v="0"/>
    <s v="2023-12-09 10:19:43"/>
    <n v="40"/>
    <x v="4"/>
    <x v="2"/>
    <x v="1"/>
    <n v="107"/>
    <n v="0"/>
    <s v="Unnamed ProjectGarçonete.NumberSeizedTotal Number SeizedResource"/>
    <n v="40"/>
    <n v="122.625"/>
    <n v="7.0116661028932015"/>
    <n v="0.95"/>
    <n v="2.2424396091607668"/>
    <n v="105"/>
    <n v="132"/>
  </r>
  <r>
    <x v="0"/>
    <s v="2023-12-09 10:19:43"/>
    <n v="40"/>
    <x v="5"/>
    <x v="3"/>
    <x v="1"/>
    <n v="0.81458809388551801"/>
    <n v="0"/>
    <s v="Unnamed ProjectGarçonete.ScheduledUtilizationScheduled UtilizationResource"/>
    <n v="40"/>
    <n v="0.92906032745742695"/>
    <n v="5.2243343646514992E-2"/>
    <n v="0.95"/>
    <n v="1.6708231879382054E-2"/>
    <n v="0.78808827046509"/>
    <n v="0.99381255473469199"/>
  </r>
  <r>
    <x v="0"/>
    <s v="2023-12-09 10:19:43"/>
    <n v="40"/>
    <x v="6"/>
    <x v="1"/>
    <x v="2"/>
    <n v="85"/>
    <n v="0"/>
    <s v="Unnamed ProjectSystem.NumberOutNumber OutSystem"/>
    <n v="40"/>
    <n v="95.95"/>
    <n v="5.6566276081633564"/>
    <n v="0.95"/>
    <n v="1.8090772744560404"/>
    <n v="83"/>
    <n v="1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3-12-09 10:19:43"/>
    <n v="1"/>
    <x v="0"/>
    <x v="0"/>
    <x v="0"/>
    <n v="59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"/>
    <x v="1"/>
    <x v="0"/>
    <x v="0"/>
    <n v="59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"/>
    <x v="2"/>
    <x v="0"/>
    <x v="0"/>
    <n v="38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"/>
    <x v="0"/>
    <x v="0"/>
    <x v="0"/>
    <n v="66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"/>
    <x v="1"/>
    <x v="0"/>
    <x v="0"/>
    <n v="66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"/>
    <x v="2"/>
    <x v="0"/>
    <x v="0"/>
    <n v="42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"/>
    <x v="0"/>
    <x v="0"/>
    <x v="0"/>
    <n v="64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"/>
    <x v="1"/>
    <x v="0"/>
    <x v="0"/>
    <n v="64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"/>
    <x v="2"/>
    <x v="0"/>
    <x v="0"/>
    <n v="43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4"/>
    <x v="0"/>
    <x v="0"/>
    <x v="0"/>
    <n v="6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4"/>
    <x v="1"/>
    <x v="0"/>
    <x v="0"/>
    <n v="6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4"/>
    <x v="2"/>
    <x v="0"/>
    <x v="0"/>
    <n v="40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5"/>
    <x v="0"/>
    <x v="0"/>
    <x v="0"/>
    <n v="61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5"/>
    <x v="1"/>
    <x v="0"/>
    <x v="0"/>
    <n v="61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5"/>
    <x v="2"/>
    <x v="0"/>
    <x v="0"/>
    <n v="39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6"/>
    <x v="0"/>
    <x v="0"/>
    <x v="0"/>
    <n v="6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6"/>
    <x v="1"/>
    <x v="0"/>
    <x v="0"/>
    <n v="6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6"/>
    <x v="2"/>
    <x v="0"/>
    <x v="0"/>
    <n v="41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7"/>
    <x v="0"/>
    <x v="0"/>
    <x v="0"/>
    <n v="56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7"/>
    <x v="1"/>
    <x v="0"/>
    <x v="0"/>
    <n v="56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7"/>
    <x v="2"/>
    <x v="0"/>
    <x v="0"/>
    <n v="37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8"/>
    <x v="0"/>
    <x v="0"/>
    <x v="0"/>
    <n v="63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8"/>
    <x v="1"/>
    <x v="0"/>
    <x v="0"/>
    <n v="63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8"/>
    <x v="2"/>
    <x v="0"/>
    <x v="0"/>
    <n v="39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9"/>
    <x v="0"/>
    <x v="0"/>
    <x v="0"/>
    <n v="64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9"/>
    <x v="1"/>
    <x v="0"/>
    <x v="0"/>
    <n v="64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9"/>
    <x v="2"/>
    <x v="0"/>
    <x v="0"/>
    <n v="41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0"/>
    <x v="0"/>
    <x v="0"/>
    <x v="0"/>
    <n v="63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0"/>
    <x v="1"/>
    <x v="0"/>
    <x v="0"/>
    <n v="63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0"/>
    <x v="2"/>
    <x v="0"/>
    <x v="0"/>
    <n v="42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1"/>
    <x v="0"/>
    <x v="0"/>
    <x v="0"/>
    <n v="66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1"/>
    <x v="1"/>
    <x v="0"/>
    <x v="0"/>
    <n v="66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1"/>
    <x v="2"/>
    <x v="0"/>
    <x v="0"/>
    <n v="40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2"/>
    <x v="0"/>
    <x v="0"/>
    <x v="0"/>
    <n v="6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2"/>
    <x v="1"/>
    <x v="0"/>
    <x v="0"/>
    <n v="6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2"/>
    <x v="2"/>
    <x v="0"/>
    <x v="0"/>
    <n v="39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3"/>
    <x v="0"/>
    <x v="0"/>
    <x v="0"/>
    <n v="64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3"/>
    <x v="1"/>
    <x v="0"/>
    <x v="0"/>
    <n v="64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3"/>
    <x v="2"/>
    <x v="0"/>
    <x v="0"/>
    <n v="39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4"/>
    <x v="0"/>
    <x v="0"/>
    <x v="0"/>
    <n v="6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4"/>
    <x v="1"/>
    <x v="0"/>
    <x v="0"/>
    <n v="6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4"/>
    <x v="2"/>
    <x v="0"/>
    <x v="0"/>
    <n v="41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5"/>
    <x v="0"/>
    <x v="0"/>
    <x v="0"/>
    <n v="56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5"/>
    <x v="1"/>
    <x v="0"/>
    <x v="0"/>
    <n v="56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5"/>
    <x v="2"/>
    <x v="0"/>
    <x v="0"/>
    <n v="32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6"/>
    <x v="0"/>
    <x v="0"/>
    <x v="0"/>
    <n v="65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6"/>
    <x v="1"/>
    <x v="0"/>
    <x v="0"/>
    <n v="65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6"/>
    <x v="2"/>
    <x v="0"/>
    <x v="0"/>
    <n v="36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7"/>
    <x v="0"/>
    <x v="0"/>
    <x v="0"/>
    <n v="58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7"/>
    <x v="1"/>
    <x v="0"/>
    <x v="0"/>
    <n v="58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7"/>
    <x v="2"/>
    <x v="0"/>
    <x v="0"/>
    <n v="34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8"/>
    <x v="0"/>
    <x v="0"/>
    <x v="0"/>
    <n v="6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8"/>
    <x v="1"/>
    <x v="0"/>
    <x v="0"/>
    <n v="6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8"/>
    <x v="2"/>
    <x v="0"/>
    <x v="0"/>
    <n v="41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19"/>
    <x v="0"/>
    <x v="0"/>
    <x v="0"/>
    <n v="59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19"/>
    <x v="1"/>
    <x v="0"/>
    <x v="0"/>
    <n v="59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19"/>
    <x v="2"/>
    <x v="0"/>
    <x v="0"/>
    <n v="38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0"/>
    <x v="0"/>
    <x v="0"/>
    <x v="0"/>
    <n v="65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0"/>
    <x v="1"/>
    <x v="0"/>
    <x v="0"/>
    <n v="65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0"/>
    <x v="2"/>
    <x v="0"/>
    <x v="0"/>
    <n v="43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1"/>
    <x v="0"/>
    <x v="0"/>
    <x v="0"/>
    <n v="58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1"/>
    <x v="1"/>
    <x v="0"/>
    <x v="0"/>
    <n v="58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1"/>
    <x v="2"/>
    <x v="0"/>
    <x v="0"/>
    <n v="38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2"/>
    <x v="0"/>
    <x v="0"/>
    <x v="0"/>
    <n v="6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2"/>
    <x v="1"/>
    <x v="0"/>
    <x v="0"/>
    <n v="6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2"/>
    <x v="2"/>
    <x v="0"/>
    <x v="0"/>
    <n v="34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3"/>
    <x v="0"/>
    <x v="0"/>
    <x v="0"/>
    <n v="63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3"/>
    <x v="1"/>
    <x v="0"/>
    <x v="0"/>
    <n v="63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3"/>
    <x v="2"/>
    <x v="0"/>
    <x v="0"/>
    <n v="43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4"/>
    <x v="0"/>
    <x v="0"/>
    <x v="0"/>
    <n v="55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4"/>
    <x v="1"/>
    <x v="0"/>
    <x v="0"/>
    <n v="55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4"/>
    <x v="2"/>
    <x v="0"/>
    <x v="0"/>
    <n v="36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5"/>
    <x v="0"/>
    <x v="0"/>
    <x v="0"/>
    <n v="64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5"/>
    <x v="1"/>
    <x v="0"/>
    <x v="0"/>
    <n v="64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5"/>
    <x v="2"/>
    <x v="0"/>
    <x v="0"/>
    <n v="38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6"/>
    <x v="0"/>
    <x v="0"/>
    <x v="0"/>
    <n v="55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6"/>
    <x v="1"/>
    <x v="0"/>
    <x v="0"/>
    <n v="55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6"/>
    <x v="2"/>
    <x v="0"/>
    <x v="0"/>
    <n v="39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7"/>
    <x v="0"/>
    <x v="0"/>
    <x v="0"/>
    <n v="56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7"/>
    <x v="1"/>
    <x v="0"/>
    <x v="0"/>
    <n v="56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7"/>
    <x v="2"/>
    <x v="0"/>
    <x v="0"/>
    <n v="37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8"/>
    <x v="0"/>
    <x v="0"/>
    <x v="0"/>
    <n v="63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8"/>
    <x v="1"/>
    <x v="0"/>
    <x v="0"/>
    <n v="63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8"/>
    <x v="2"/>
    <x v="0"/>
    <x v="0"/>
    <n v="40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29"/>
    <x v="0"/>
    <x v="0"/>
    <x v="0"/>
    <n v="59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29"/>
    <x v="1"/>
    <x v="0"/>
    <x v="0"/>
    <n v="59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29"/>
    <x v="2"/>
    <x v="0"/>
    <x v="0"/>
    <n v="38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0"/>
    <x v="0"/>
    <x v="0"/>
    <x v="0"/>
    <n v="5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0"/>
    <x v="1"/>
    <x v="0"/>
    <x v="0"/>
    <n v="5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0"/>
    <x v="2"/>
    <x v="0"/>
    <x v="0"/>
    <n v="34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1"/>
    <x v="0"/>
    <x v="0"/>
    <x v="0"/>
    <n v="6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1"/>
    <x v="1"/>
    <x v="0"/>
    <x v="0"/>
    <n v="6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1"/>
    <x v="2"/>
    <x v="0"/>
    <x v="0"/>
    <n v="41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2"/>
    <x v="0"/>
    <x v="0"/>
    <x v="0"/>
    <n v="60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2"/>
    <x v="1"/>
    <x v="0"/>
    <x v="0"/>
    <n v="60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2"/>
    <x v="2"/>
    <x v="0"/>
    <x v="0"/>
    <n v="41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3"/>
    <x v="0"/>
    <x v="0"/>
    <x v="0"/>
    <n v="59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3"/>
    <x v="1"/>
    <x v="0"/>
    <x v="0"/>
    <n v="59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3"/>
    <x v="2"/>
    <x v="0"/>
    <x v="0"/>
    <n v="37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4"/>
    <x v="0"/>
    <x v="0"/>
    <x v="0"/>
    <n v="64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4"/>
    <x v="1"/>
    <x v="0"/>
    <x v="0"/>
    <n v="64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4"/>
    <x v="2"/>
    <x v="0"/>
    <x v="0"/>
    <n v="44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5"/>
    <x v="0"/>
    <x v="0"/>
    <x v="0"/>
    <n v="64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5"/>
    <x v="1"/>
    <x v="0"/>
    <x v="0"/>
    <n v="64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5"/>
    <x v="2"/>
    <x v="0"/>
    <x v="0"/>
    <n v="40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6"/>
    <x v="0"/>
    <x v="0"/>
    <x v="0"/>
    <n v="58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6"/>
    <x v="1"/>
    <x v="0"/>
    <x v="0"/>
    <n v="58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6"/>
    <x v="2"/>
    <x v="0"/>
    <x v="0"/>
    <n v="38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7"/>
    <x v="0"/>
    <x v="0"/>
    <x v="0"/>
    <n v="64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7"/>
    <x v="1"/>
    <x v="0"/>
    <x v="0"/>
    <n v="64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7"/>
    <x v="2"/>
    <x v="0"/>
    <x v="0"/>
    <n v="40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8"/>
    <x v="0"/>
    <x v="0"/>
    <x v="0"/>
    <n v="65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8"/>
    <x v="1"/>
    <x v="0"/>
    <x v="0"/>
    <n v="65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8"/>
    <x v="2"/>
    <x v="0"/>
    <x v="0"/>
    <n v="40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39"/>
    <x v="0"/>
    <x v="0"/>
    <x v="0"/>
    <n v="58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39"/>
    <x v="1"/>
    <x v="0"/>
    <x v="0"/>
    <n v="58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39"/>
    <x v="2"/>
    <x v="0"/>
    <x v="0"/>
    <n v="37"/>
    <s v="Unnamed ProjectcontaClientesSatisfeitosCountUser Specified"/>
    <n v="40"/>
    <n v="38.85"/>
    <n v="2.8152515030883167"/>
    <n v="0.95"/>
    <n v="0.90036111070230518"/>
    <n v="32"/>
    <n v="44"/>
  </r>
  <r>
    <x v="0"/>
    <s v="2023-12-09 10:19:43"/>
    <n v="40"/>
    <x v="0"/>
    <x v="0"/>
    <x v="0"/>
    <n v="52"/>
    <s v="Unnamed ProjectccontaCoposLavadosCountUser Specified"/>
    <n v="40"/>
    <n v="60.8"/>
    <n v="3.7361710826693093"/>
    <n v="0.95"/>
    <n v="1.1948854807734899"/>
    <n v="52"/>
    <n v="66"/>
  </r>
  <r>
    <x v="0"/>
    <s v="2023-12-09 10:19:43"/>
    <n v="40"/>
    <x v="1"/>
    <x v="0"/>
    <x v="0"/>
    <n v="52"/>
    <s v="Unnamed ProjectcontaBebidaCountUser Specified"/>
    <n v="40"/>
    <n v="60.8"/>
    <n v="3.7361710826693093"/>
    <n v="0.95"/>
    <n v="1.1948854807734899"/>
    <n v="52"/>
    <n v="66"/>
  </r>
  <r>
    <x v="0"/>
    <s v="2023-12-09 10:19:43"/>
    <n v="40"/>
    <x v="2"/>
    <x v="0"/>
    <x v="0"/>
    <n v="34"/>
    <s v="Unnamed ProjectcontaClientesSatisfeitosCountUser Specified"/>
    <n v="40"/>
    <n v="38.85"/>
    <n v="2.8152515030883167"/>
    <n v="0.95"/>
    <n v="0.90036111070230518"/>
    <n v="32"/>
    <n v="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x v="0"/>
    <s v="2023-12-09 10:19:43"/>
    <n v="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"/>
    <x v="1"/>
    <x v="0"/>
    <x v="0"/>
    <n v="1.6099819288383701"/>
    <n v="2E+20"/>
    <n v="0"/>
    <n v="9"/>
    <n v="8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"/>
    <x v="2"/>
    <x v="1"/>
    <x v="1"/>
    <n v="18.127268147471899"/>
    <n v="2E+20"/>
    <n v="0"/>
    <n v="38"/>
    <n v="36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"/>
    <x v="3"/>
    <x v="2"/>
    <x v="2"/>
    <n v="0.74536521448976001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"/>
    <x v="3"/>
    <x v="3"/>
    <x v="2"/>
    <n v="7.4536521448975996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"/>
    <x v="4"/>
    <x v="0"/>
    <x v="0"/>
    <n v="1.5891467633996099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"/>
    <x v="5"/>
    <x v="2"/>
    <x v="2"/>
    <n v="0.90230663504619701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"/>
    <x v="5"/>
    <x v="3"/>
    <x v="2"/>
    <n v="2.70691990513858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"/>
    <x v="6"/>
    <x v="0"/>
    <x v="0"/>
    <n v="1.5238718375645399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"/>
    <x v="1"/>
    <x v="0"/>
    <x v="0"/>
    <n v="1.5796559313974401"/>
    <n v="2E+20"/>
    <n v="0"/>
    <n v="8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"/>
    <x v="2"/>
    <x v="1"/>
    <x v="1"/>
    <n v="21.455340804529001"/>
    <n v="2E+20"/>
    <n v="0"/>
    <n v="36"/>
    <n v="2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"/>
    <x v="3"/>
    <x v="2"/>
    <x v="2"/>
    <n v="0.91480144708670696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"/>
    <x v="3"/>
    <x v="3"/>
    <x v="2"/>
    <n v="9.1480144708670608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"/>
    <x v="4"/>
    <x v="0"/>
    <x v="0"/>
    <n v="2.1818924913294899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"/>
    <x v="5"/>
    <x v="2"/>
    <x v="2"/>
    <n v="0.99381255473469199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"/>
    <x v="5"/>
    <x v="3"/>
    <x v="2"/>
    <n v="2.98143766420407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"/>
    <x v="6"/>
    <x v="0"/>
    <x v="0"/>
    <n v="2.1870870134908098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"/>
    <x v="1"/>
    <x v="0"/>
    <x v="0"/>
    <n v="5.8590398452024202"/>
    <n v="2E+20"/>
    <n v="0"/>
    <n v="12"/>
    <n v="6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"/>
    <x v="2"/>
    <x v="1"/>
    <x v="1"/>
    <n v="30.7400993020184"/>
    <n v="2E+20"/>
    <n v="0"/>
    <n v="44"/>
    <n v="3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"/>
    <x v="3"/>
    <x v="2"/>
    <x v="2"/>
    <n v="0.95110098058068004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"/>
    <x v="3"/>
    <x v="3"/>
    <x v="2"/>
    <n v="9.5110098058068004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"/>
    <x v="4"/>
    <x v="0"/>
    <x v="0"/>
    <n v="2.4118749748214801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"/>
    <x v="5"/>
    <x v="2"/>
    <x v="2"/>
    <n v="0.98431243867609397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"/>
    <x v="5"/>
    <x v="3"/>
    <x v="2"/>
    <n v="2.95293731602827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"/>
    <x v="6"/>
    <x v="0"/>
    <x v="0"/>
    <n v="2.3906241335347702"/>
    <n v="2E+20"/>
    <n v="0"/>
    <n v="6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4"/>
    <x v="1"/>
    <x v="0"/>
    <x v="0"/>
    <n v="4.3344504759916402"/>
    <n v="2E+20"/>
    <n v="0"/>
    <n v="10"/>
    <n v="1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4"/>
    <x v="2"/>
    <x v="1"/>
    <x v="1"/>
    <n v="27.4406384624521"/>
    <n v="2E+20"/>
    <n v="0"/>
    <n v="40"/>
    <n v="2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4"/>
    <x v="3"/>
    <x v="2"/>
    <x v="2"/>
    <n v="0.93858687552344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4"/>
    <x v="3"/>
    <x v="3"/>
    <x v="2"/>
    <n v="9.3858687552343998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4"/>
    <x v="4"/>
    <x v="0"/>
    <x v="0"/>
    <n v="2.3697062625709302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4"/>
    <x v="5"/>
    <x v="2"/>
    <x v="2"/>
    <n v="0.96427531549243795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4"/>
    <x v="5"/>
    <x v="3"/>
    <x v="2"/>
    <n v="2.89282594647731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4"/>
    <x v="6"/>
    <x v="0"/>
    <x v="0"/>
    <n v="2.4106764695994398"/>
    <n v="2E+20"/>
    <n v="0"/>
    <n v="5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5"/>
    <x v="1"/>
    <x v="0"/>
    <x v="0"/>
    <n v="2.6754541373983001"/>
    <n v="2E+20"/>
    <n v="0"/>
    <n v="9"/>
    <n v="8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5"/>
    <x v="2"/>
    <x v="1"/>
    <x v="1"/>
    <n v="20.5447108677823"/>
    <n v="2E+20"/>
    <n v="0"/>
    <n v="39"/>
    <n v="36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5"/>
    <x v="3"/>
    <x v="2"/>
    <x v="2"/>
    <n v="0.7596901296492869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5"/>
    <x v="3"/>
    <x v="3"/>
    <x v="2"/>
    <n v="7.5969012964928702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5"/>
    <x v="4"/>
    <x v="0"/>
    <x v="0"/>
    <n v="1.6065284346326201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5"/>
    <x v="5"/>
    <x v="2"/>
    <x v="2"/>
    <n v="0.917512263881757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5"/>
    <x v="5"/>
    <x v="3"/>
    <x v="2"/>
    <n v="2.75253679164526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5"/>
    <x v="6"/>
    <x v="0"/>
    <x v="0"/>
    <n v="1.5778342532352301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6"/>
    <x v="1"/>
    <x v="0"/>
    <x v="0"/>
    <n v="0.60413759636202602"/>
    <n v="2E+20"/>
    <n v="0"/>
    <n v="5"/>
    <n v="4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6"/>
    <x v="2"/>
    <x v="1"/>
    <x v="1"/>
    <n v="17.2767198285609"/>
    <n v="2E+20"/>
    <n v="0"/>
    <n v="30"/>
    <n v="2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6"/>
    <x v="3"/>
    <x v="2"/>
    <x v="2"/>
    <n v="0.80342223179184102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6"/>
    <x v="3"/>
    <x v="3"/>
    <x v="2"/>
    <n v="8.0342223179184007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6"/>
    <x v="4"/>
    <x v="0"/>
    <x v="0"/>
    <n v="1.8505145641452601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6"/>
    <x v="5"/>
    <x v="2"/>
    <x v="2"/>
    <n v="0.97021575387435199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6"/>
    <x v="5"/>
    <x v="3"/>
    <x v="2"/>
    <n v="2.91064726162306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6"/>
    <x v="6"/>
    <x v="0"/>
    <x v="0"/>
    <n v="1.5863063374039501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7"/>
    <x v="1"/>
    <x v="0"/>
    <x v="0"/>
    <n v="5.6650794018698901E-2"/>
    <n v="2E+20"/>
    <n v="0"/>
    <n v="1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7"/>
    <x v="2"/>
    <x v="1"/>
    <x v="1"/>
    <n v="12.193772634463601"/>
    <n v="2E+20"/>
    <n v="0"/>
    <n v="23"/>
    <n v="1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7"/>
    <x v="3"/>
    <x v="2"/>
    <x v="2"/>
    <n v="0.60402355232131"/>
    <n v="2E+20"/>
    <n v="0"/>
    <n v="1"/>
    <n v="0.9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7"/>
    <x v="3"/>
    <x v="3"/>
    <x v="2"/>
    <n v="6.0402355232131004"/>
    <n v="2E+20"/>
    <n v="0"/>
    <n v="10"/>
    <n v="9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7"/>
    <x v="4"/>
    <x v="0"/>
    <x v="0"/>
    <n v="0.95939329820991304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7"/>
    <x v="5"/>
    <x v="2"/>
    <x v="2"/>
    <n v="0.89085833203617903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7"/>
    <x v="5"/>
    <x v="3"/>
    <x v="2"/>
    <n v="2.67257499610854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7"/>
    <x v="6"/>
    <x v="0"/>
    <x v="0"/>
    <n v="0.85276210830555199"/>
    <n v="2E+20"/>
    <n v="0"/>
    <n v="5"/>
    <n v="1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8"/>
    <x v="1"/>
    <x v="0"/>
    <x v="0"/>
    <n v="0.245672778369005"/>
    <n v="2E+20"/>
    <n v="0"/>
    <n v="4"/>
    <n v="4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8"/>
    <x v="2"/>
    <x v="1"/>
    <x v="1"/>
    <n v="15.6076463366204"/>
    <n v="2E+20"/>
    <n v="0"/>
    <n v="28"/>
    <n v="2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8"/>
    <x v="3"/>
    <x v="2"/>
    <x v="2"/>
    <n v="0.7558150389941179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8"/>
    <x v="3"/>
    <x v="3"/>
    <x v="2"/>
    <n v="7.5581503899411802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8"/>
    <x v="4"/>
    <x v="0"/>
    <x v="0"/>
    <n v="1.6070402431177599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8"/>
    <x v="5"/>
    <x v="2"/>
    <x v="2"/>
    <n v="0.968220727707787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8"/>
    <x v="5"/>
    <x v="3"/>
    <x v="2"/>
    <n v="2.90466218312336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8"/>
    <x v="6"/>
    <x v="0"/>
    <x v="0"/>
    <n v="1.28230534415847"/>
    <n v="2E+20"/>
    <n v="0"/>
    <n v="4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9"/>
    <x v="1"/>
    <x v="0"/>
    <x v="0"/>
    <n v="3.4244428157418199"/>
    <n v="2E+20"/>
    <n v="0"/>
    <n v="9"/>
    <n v="1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9"/>
    <x v="2"/>
    <x v="1"/>
    <x v="1"/>
    <n v="25.204044005291401"/>
    <n v="2E+20"/>
    <n v="0"/>
    <n v="38"/>
    <n v="2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9"/>
    <x v="3"/>
    <x v="2"/>
    <x v="2"/>
    <n v="0.91775791869039003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9"/>
    <x v="3"/>
    <x v="3"/>
    <x v="2"/>
    <n v="9.1775791869039001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9"/>
    <x v="4"/>
    <x v="0"/>
    <x v="0"/>
    <n v="2.2770049928238998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9"/>
    <x v="5"/>
    <x v="2"/>
    <x v="2"/>
    <n v="0.95876078410296905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9"/>
    <x v="5"/>
    <x v="3"/>
    <x v="2"/>
    <n v="2.87628235230890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9"/>
    <x v="6"/>
    <x v="0"/>
    <x v="0"/>
    <n v="2.2646699220569499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0"/>
    <x v="1"/>
    <x v="0"/>
    <x v="0"/>
    <n v="1.86811899186068"/>
    <n v="2E+20"/>
    <n v="0"/>
    <n v="11"/>
    <n v="11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0"/>
    <x v="2"/>
    <x v="1"/>
    <x v="1"/>
    <n v="20.100148558503399"/>
    <n v="2E+20"/>
    <n v="0"/>
    <n v="42"/>
    <n v="4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0"/>
    <x v="3"/>
    <x v="2"/>
    <x v="2"/>
    <n v="0.8181955287391019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0"/>
    <x v="3"/>
    <x v="3"/>
    <x v="2"/>
    <n v="8.1819552873910197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0"/>
    <x v="4"/>
    <x v="0"/>
    <x v="0"/>
    <n v="1.8598639273017601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0"/>
    <x v="5"/>
    <x v="2"/>
    <x v="2"/>
    <n v="0.95719012306114204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0"/>
    <x v="5"/>
    <x v="3"/>
    <x v="2"/>
    <n v="2.87157036918342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0"/>
    <x v="6"/>
    <x v="0"/>
    <x v="0"/>
    <n v="1.7499865442417799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1"/>
    <x v="1"/>
    <x v="0"/>
    <x v="0"/>
    <n v="2.94850129406217"/>
    <n v="2E+20"/>
    <n v="0"/>
    <n v="10"/>
    <n v="1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1"/>
    <x v="2"/>
    <x v="1"/>
    <x v="1"/>
    <n v="24.1414099543905"/>
    <n v="2E+20"/>
    <n v="0"/>
    <n v="40"/>
    <n v="4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1"/>
    <x v="3"/>
    <x v="2"/>
    <x v="2"/>
    <n v="0.912220368313307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1"/>
    <x v="3"/>
    <x v="3"/>
    <x v="2"/>
    <n v="9.1222036831330602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1"/>
    <x v="4"/>
    <x v="0"/>
    <x v="0"/>
    <n v="2.1692056242612199"/>
    <n v="2E+20"/>
    <n v="0"/>
    <n v="3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1"/>
    <x v="5"/>
    <x v="2"/>
    <x v="2"/>
    <n v="0.96318627477283303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1"/>
    <x v="5"/>
    <x v="3"/>
    <x v="2"/>
    <n v="2.8895588243185002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1"/>
    <x v="6"/>
    <x v="0"/>
    <x v="0"/>
    <n v="2.2877313830485302"/>
    <n v="2E+20"/>
    <n v="0"/>
    <n v="4"/>
    <n v="4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2"/>
    <x v="1"/>
    <x v="0"/>
    <x v="0"/>
    <n v="1.0024689063413601"/>
    <n v="2E+20"/>
    <n v="0"/>
    <n v="6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2"/>
    <x v="2"/>
    <x v="1"/>
    <x v="1"/>
    <n v="17.913143500002199"/>
    <n v="2E+20"/>
    <n v="0"/>
    <n v="32"/>
    <n v="1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2"/>
    <x v="3"/>
    <x v="2"/>
    <x v="2"/>
    <n v="0.79541028436597505"/>
    <n v="2E+20"/>
    <n v="0"/>
    <n v="1"/>
    <n v="0.6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2"/>
    <x v="3"/>
    <x v="3"/>
    <x v="2"/>
    <n v="7.9541028436597498"/>
    <n v="2E+20"/>
    <n v="0"/>
    <n v="10"/>
    <n v="6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2"/>
    <x v="4"/>
    <x v="0"/>
    <x v="0"/>
    <n v="1.6984871348614501"/>
    <n v="2E+20"/>
    <n v="0"/>
    <n v="5"/>
    <n v="1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2"/>
    <x v="5"/>
    <x v="2"/>
    <x v="2"/>
    <n v="0.93055670412302804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2"/>
    <x v="5"/>
    <x v="3"/>
    <x v="2"/>
    <n v="2.79167011236908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2"/>
    <x v="6"/>
    <x v="0"/>
    <x v="0"/>
    <n v="1.74222377870625"/>
    <n v="2E+20"/>
    <n v="0"/>
    <n v="5"/>
    <n v="1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3"/>
    <x v="1"/>
    <x v="0"/>
    <x v="0"/>
    <n v="3.1881189125945699"/>
    <n v="2E+20"/>
    <n v="0"/>
    <n v="8"/>
    <n v="7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3"/>
    <x v="2"/>
    <x v="1"/>
    <x v="1"/>
    <n v="24.862371952677702"/>
    <n v="2E+20"/>
    <n v="0"/>
    <n v="37"/>
    <n v="34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3"/>
    <x v="3"/>
    <x v="2"/>
    <x v="2"/>
    <n v="0.92430670637442602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3"/>
    <x v="3"/>
    <x v="3"/>
    <x v="2"/>
    <n v="9.2430670637442596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3"/>
    <x v="4"/>
    <x v="0"/>
    <x v="0"/>
    <n v="2.3025405004681998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3"/>
    <x v="5"/>
    <x v="2"/>
    <x v="2"/>
    <n v="0.98005968359153794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3"/>
    <x v="5"/>
    <x v="3"/>
    <x v="2"/>
    <n v="2.94017905077460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3"/>
    <x v="6"/>
    <x v="0"/>
    <x v="0"/>
    <n v="2.2582645247630202"/>
    <n v="2E+20"/>
    <n v="0"/>
    <n v="4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4"/>
    <x v="1"/>
    <x v="0"/>
    <x v="0"/>
    <n v="3.1321813374944099"/>
    <n v="2E+20"/>
    <n v="0"/>
    <n v="11"/>
    <n v="7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4"/>
    <x v="2"/>
    <x v="1"/>
    <x v="1"/>
    <n v="21.443498922001599"/>
    <n v="2E+20"/>
    <n v="0"/>
    <n v="42"/>
    <n v="34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4"/>
    <x v="3"/>
    <x v="2"/>
    <x v="2"/>
    <n v="0.7589568123506380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4"/>
    <x v="3"/>
    <x v="3"/>
    <x v="2"/>
    <n v="7.5895681235063899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4"/>
    <x v="4"/>
    <x v="0"/>
    <x v="0"/>
    <n v="1.5402911589680199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4"/>
    <x v="5"/>
    <x v="2"/>
    <x v="2"/>
    <n v="0.94253215813659197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4"/>
    <x v="5"/>
    <x v="3"/>
    <x v="2"/>
    <n v="2.82759647440978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4"/>
    <x v="6"/>
    <x v="0"/>
    <x v="0"/>
    <n v="1.51284972117564"/>
    <n v="2E+20"/>
    <n v="0"/>
    <n v="4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5"/>
    <x v="1"/>
    <x v="0"/>
    <x v="0"/>
    <n v="1.86499579638993"/>
    <n v="2E+20"/>
    <n v="0"/>
    <n v="10"/>
    <n v="1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5"/>
    <x v="2"/>
    <x v="1"/>
    <x v="1"/>
    <n v="17.077036154134301"/>
    <n v="2E+20"/>
    <n v="0"/>
    <n v="40"/>
    <n v="4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5"/>
    <x v="3"/>
    <x v="2"/>
    <x v="2"/>
    <n v="0.66735222806772099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5"/>
    <x v="3"/>
    <x v="3"/>
    <x v="2"/>
    <n v="6.6735222806772097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5"/>
    <x v="4"/>
    <x v="0"/>
    <x v="0"/>
    <n v="1.36845397457106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5"/>
    <x v="5"/>
    <x v="2"/>
    <x v="2"/>
    <n v="0.86289881439222504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5"/>
    <x v="5"/>
    <x v="3"/>
    <x v="2"/>
    <n v="2.58869644317667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5"/>
    <x v="6"/>
    <x v="0"/>
    <x v="0"/>
    <n v="1.17153929600738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6"/>
    <x v="1"/>
    <x v="0"/>
    <x v="0"/>
    <n v="6.8215694864643597"/>
    <n v="2E+20"/>
    <n v="0"/>
    <n v="17"/>
    <n v="16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6"/>
    <x v="2"/>
    <x v="1"/>
    <x v="1"/>
    <n v="32.287706351693302"/>
    <n v="2E+20"/>
    <n v="0"/>
    <n v="54"/>
    <n v="5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6"/>
    <x v="3"/>
    <x v="2"/>
    <x v="2"/>
    <n v="0.93222836893822703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6"/>
    <x v="3"/>
    <x v="3"/>
    <x v="2"/>
    <n v="9.3222836893822691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6"/>
    <x v="4"/>
    <x v="0"/>
    <x v="0"/>
    <n v="2.26699319012867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6"/>
    <x v="5"/>
    <x v="2"/>
    <x v="2"/>
    <n v="0.98279294374320203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6"/>
    <x v="5"/>
    <x v="3"/>
    <x v="2"/>
    <n v="2.9483788312296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6"/>
    <x v="6"/>
    <x v="0"/>
    <x v="0"/>
    <n v="2.2946844425753401"/>
    <n v="2E+20"/>
    <n v="0"/>
    <n v="5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7"/>
    <x v="1"/>
    <x v="0"/>
    <x v="0"/>
    <n v="9.0102996571131605E-2"/>
    <n v="2E+20"/>
    <n v="0"/>
    <n v="2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7"/>
    <x v="2"/>
    <x v="1"/>
    <x v="1"/>
    <n v="14.8339950557439"/>
    <n v="2E+20"/>
    <n v="0"/>
    <n v="24"/>
    <n v="1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7"/>
    <x v="3"/>
    <x v="2"/>
    <x v="2"/>
    <n v="0.73268945313008005"/>
    <n v="2E+20"/>
    <n v="0"/>
    <n v="1"/>
    <n v="0.6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7"/>
    <x v="3"/>
    <x v="3"/>
    <x v="2"/>
    <n v="7.3268945313008"/>
    <n v="2E+20"/>
    <n v="0"/>
    <n v="10"/>
    <n v="6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7"/>
    <x v="4"/>
    <x v="0"/>
    <x v="0"/>
    <n v="1.5732030460616699"/>
    <n v="2E+20"/>
    <n v="0"/>
    <n v="4"/>
    <n v="0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7"/>
    <x v="5"/>
    <x v="2"/>
    <x v="2"/>
    <n v="0.89876365143109904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7"/>
    <x v="5"/>
    <x v="3"/>
    <x v="2"/>
    <n v="2.69629095429329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7"/>
    <x v="6"/>
    <x v="0"/>
    <x v="0"/>
    <n v="1.4994584002089399"/>
    <n v="2E+20"/>
    <n v="0"/>
    <n v="4"/>
    <n v="1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8"/>
    <x v="1"/>
    <x v="0"/>
    <x v="0"/>
    <n v="1.0885150319311601"/>
    <n v="2E+20"/>
    <n v="0"/>
    <n v="6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8"/>
    <x v="2"/>
    <x v="1"/>
    <x v="1"/>
    <n v="18.824732140581101"/>
    <n v="2E+20"/>
    <n v="0"/>
    <n v="32"/>
    <n v="2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8"/>
    <x v="3"/>
    <x v="2"/>
    <x v="2"/>
    <n v="0.832385103835939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8"/>
    <x v="3"/>
    <x v="3"/>
    <x v="2"/>
    <n v="8.3238510383593898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8"/>
    <x v="4"/>
    <x v="0"/>
    <x v="0"/>
    <n v="1.96779607605831"/>
    <n v="2E+20"/>
    <n v="0"/>
    <n v="5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8"/>
    <x v="5"/>
    <x v="2"/>
    <x v="2"/>
    <n v="0.95525235919117102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8"/>
    <x v="5"/>
    <x v="3"/>
    <x v="2"/>
    <n v="2.8657570775735102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8"/>
    <x v="6"/>
    <x v="0"/>
    <x v="0"/>
    <n v="1.8131611870164399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1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19"/>
    <x v="1"/>
    <x v="0"/>
    <x v="0"/>
    <n v="0.157691053174845"/>
    <n v="2E+20"/>
    <n v="0"/>
    <n v="5"/>
    <n v="5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19"/>
    <x v="2"/>
    <x v="1"/>
    <x v="1"/>
    <n v="13.7794198512869"/>
    <n v="2E+20"/>
    <n v="0"/>
    <n v="31"/>
    <n v="3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19"/>
    <x v="3"/>
    <x v="2"/>
    <x v="2"/>
    <n v="0.67320188724686003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19"/>
    <x v="3"/>
    <x v="3"/>
    <x v="2"/>
    <n v="6.7320188724685996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1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19"/>
    <x v="4"/>
    <x v="0"/>
    <x v="0"/>
    <n v="1.3100809451669999"/>
    <n v="2E+20"/>
    <n v="0"/>
    <n v="4"/>
    <n v="1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19"/>
    <x v="5"/>
    <x v="2"/>
    <x v="2"/>
    <n v="0.90115313610103298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19"/>
    <x v="5"/>
    <x v="3"/>
    <x v="2"/>
    <n v="2.70345940830309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1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19"/>
    <x v="6"/>
    <x v="0"/>
    <x v="0"/>
    <n v="1.1633342935800499"/>
    <n v="2E+20"/>
    <n v="0"/>
    <n v="5"/>
    <n v="4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0"/>
    <x v="1"/>
    <x v="0"/>
    <x v="0"/>
    <n v="4.17824951353073"/>
    <n v="2E+20"/>
    <n v="0"/>
    <n v="11"/>
    <n v="1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0"/>
    <x v="2"/>
    <x v="1"/>
    <x v="1"/>
    <n v="27.208288578466401"/>
    <n v="2E+20"/>
    <n v="0"/>
    <n v="42"/>
    <n v="2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0"/>
    <x v="3"/>
    <x v="2"/>
    <x v="2"/>
    <n v="0.94258947757024703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0"/>
    <x v="3"/>
    <x v="3"/>
    <x v="2"/>
    <n v="9.4258947757024707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0"/>
    <x v="4"/>
    <x v="0"/>
    <x v="0"/>
    <n v="2.3307949322470498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0"/>
    <x v="5"/>
    <x v="2"/>
    <x v="2"/>
    <n v="0.98365627064592498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0"/>
    <x v="5"/>
    <x v="3"/>
    <x v="2"/>
    <n v="2.9509688119377802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0"/>
    <x v="6"/>
    <x v="0"/>
    <x v="0"/>
    <n v="2.3344035164249002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1"/>
    <x v="1"/>
    <x v="0"/>
    <x v="0"/>
    <n v="1.20753891284812"/>
    <n v="2E+20"/>
    <n v="0"/>
    <n v="5"/>
    <n v="3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1"/>
    <x v="2"/>
    <x v="1"/>
    <x v="1"/>
    <n v="17.091890694063402"/>
    <n v="2E+20"/>
    <n v="0"/>
    <n v="31"/>
    <n v="26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1"/>
    <x v="3"/>
    <x v="2"/>
    <x v="2"/>
    <n v="0.73384064341835598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1"/>
    <x v="3"/>
    <x v="3"/>
    <x v="2"/>
    <n v="7.3384064341835602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1"/>
    <x v="4"/>
    <x v="0"/>
    <x v="0"/>
    <n v="1.5900193424111999"/>
    <n v="2E+20"/>
    <n v="0"/>
    <n v="5"/>
    <n v="1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1"/>
    <x v="5"/>
    <x v="2"/>
    <x v="2"/>
    <n v="0.899497778484179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1"/>
    <x v="5"/>
    <x v="3"/>
    <x v="2"/>
    <n v="2.69849333545254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1"/>
    <x v="6"/>
    <x v="0"/>
    <x v="0"/>
    <n v="1.47310059173305"/>
    <n v="2E+20"/>
    <n v="0"/>
    <n v="5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2"/>
    <x v="1"/>
    <x v="0"/>
    <x v="0"/>
    <n v="6.6269643935738198"/>
    <n v="2E+20"/>
    <n v="0"/>
    <n v="21"/>
    <n v="19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2"/>
    <x v="2"/>
    <x v="1"/>
    <x v="1"/>
    <n v="31.927799617319899"/>
    <n v="2E+20"/>
    <n v="0"/>
    <n v="62"/>
    <n v="5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2"/>
    <x v="3"/>
    <x v="2"/>
    <x v="2"/>
    <n v="0.9336935415086109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2"/>
    <x v="3"/>
    <x v="3"/>
    <x v="2"/>
    <n v="9.3369354150861099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2"/>
    <x v="4"/>
    <x v="0"/>
    <x v="0"/>
    <n v="2.4594543622635499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2"/>
    <x v="5"/>
    <x v="2"/>
    <x v="2"/>
    <n v="0.96455292571416196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2"/>
    <x v="5"/>
    <x v="3"/>
    <x v="2"/>
    <n v="2.8936587771424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2"/>
    <x v="6"/>
    <x v="0"/>
    <x v="0"/>
    <n v="2.2725246564704"/>
    <n v="2E+20"/>
    <n v="0"/>
    <n v="5"/>
    <n v="4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3"/>
    <x v="1"/>
    <x v="0"/>
    <x v="0"/>
    <n v="3.6071883023028701"/>
    <n v="2E+20"/>
    <n v="0"/>
    <n v="11"/>
    <n v="9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3"/>
    <x v="2"/>
    <x v="1"/>
    <x v="1"/>
    <n v="24.766271032970401"/>
    <n v="2E+20"/>
    <n v="0"/>
    <n v="43"/>
    <n v="3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3"/>
    <x v="3"/>
    <x v="2"/>
    <x v="2"/>
    <n v="0.87759472141823203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3"/>
    <x v="3"/>
    <x v="3"/>
    <x v="2"/>
    <n v="8.7759472141823203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3"/>
    <x v="4"/>
    <x v="0"/>
    <x v="0"/>
    <n v="1.9963030034851399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3"/>
    <x v="5"/>
    <x v="2"/>
    <x v="2"/>
    <n v="0.98736166658268698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3"/>
    <x v="5"/>
    <x v="3"/>
    <x v="2"/>
    <n v="2.96208499974805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3"/>
    <x v="6"/>
    <x v="0"/>
    <x v="0"/>
    <n v="2.0558443677848901"/>
    <n v="2E+20"/>
    <n v="0"/>
    <n v="5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4"/>
    <x v="1"/>
    <x v="0"/>
    <x v="0"/>
    <n v="0"/>
    <n v="2E+20"/>
    <n v="0"/>
    <n v="0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4"/>
    <x v="2"/>
    <x v="1"/>
    <x v="1"/>
    <n v="10.3625915235886"/>
    <n v="2E+20"/>
    <n v="0"/>
    <n v="20"/>
    <n v="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4"/>
    <x v="3"/>
    <x v="2"/>
    <x v="2"/>
    <n v="0.51812957617942801"/>
    <n v="2E+20"/>
    <n v="0"/>
    <n v="1"/>
    <n v="0.4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4"/>
    <x v="3"/>
    <x v="3"/>
    <x v="2"/>
    <n v="5.1812957617942796"/>
    <n v="2E+20"/>
    <n v="0"/>
    <n v="10"/>
    <n v="4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4"/>
    <x v="4"/>
    <x v="0"/>
    <x v="0"/>
    <n v="0.56541157258789199"/>
    <n v="2E+20"/>
    <n v="0"/>
    <n v="3"/>
    <n v="0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4"/>
    <x v="5"/>
    <x v="2"/>
    <x v="2"/>
    <n v="0.85142723778581297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4"/>
    <x v="5"/>
    <x v="3"/>
    <x v="2"/>
    <n v="2.55428171335743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4"/>
    <x v="6"/>
    <x v="0"/>
    <x v="0"/>
    <n v="0.52883875458038598"/>
    <n v="2E+20"/>
    <n v="0"/>
    <n v="3"/>
    <n v="0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5"/>
    <x v="1"/>
    <x v="0"/>
    <x v="0"/>
    <n v="2.10526789457428"/>
    <n v="2E+20"/>
    <n v="0"/>
    <n v="8"/>
    <n v="4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5"/>
    <x v="2"/>
    <x v="1"/>
    <x v="1"/>
    <n v="21.266413994257299"/>
    <n v="2E+20"/>
    <n v="0"/>
    <n v="36"/>
    <n v="2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5"/>
    <x v="3"/>
    <x v="2"/>
    <x v="2"/>
    <n v="0.8527939102554380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5"/>
    <x v="3"/>
    <x v="3"/>
    <x v="2"/>
    <n v="8.5279391025543898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5"/>
    <x v="4"/>
    <x v="0"/>
    <x v="0"/>
    <n v="1.97974106465328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5"/>
    <x v="5"/>
    <x v="2"/>
    <x v="2"/>
    <n v="0.96008705717843701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5"/>
    <x v="5"/>
    <x v="3"/>
    <x v="2"/>
    <n v="2.88026117153530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5"/>
    <x v="6"/>
    <x v="0"/>
    <x v="0"/>
    <n v="1.92559382493947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6"/>
    <x v="1"/>
    <x v="0"/>
    <x v="0"/>
    <n v="2.9395401303432201E-2"/>
    <n v="2E+20"/>
    <n v="0"/>
    <n v="1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6"/>
    <x v="2"/>
    <x v="1"/>
    <x v="1"/>
    <n v="10.998107000022801"/>
    <n v="2E+20"/>
    <n v="0"/>
    <n v="23"/>
    <n v="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6"/>
    <x v="3"/>
    <x v="2"/>
    <x v="2"/>
    <n v="0.54696580987079702"/>
    <n v="2E+20"/>
    <n v="0"/>
    <n v="1"/>
    <n v="0.4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6"/>
    <x v="3"/>
    <x v="3"/>
    <x v="2"/>
    <n v="5.4696580987079697"/>
    <n v="2E+20"/>
    <n v="0"/>
    <n v="10"/>
    <n v="4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6"/>
    <x v="4"/>
    <x v="0"/>
    <x v="0"/>
    <n v="0.68797705592666103"/>
    <n v="2E+20"/>
    <n v="0"/>
    <n v="4"/>
    <n v="0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6"/>
    <x v="5"/>
    <x v="2"/>
    <x v="2"/>
    <n v="0.858934986077175"/>
    <n v="2E+20"/>
    <n v="0"/>
    <n v="1"/>
    <n v="0.66666666666666696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6"/>
    <x v="5"/>
    <x v="3"/>
    <x v="2"/>
    <n v="2.5768049582315302"/>
    <n v="2E+20"/>
    <n v="0"/>
    <n v="3"/>
    <n v="2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6"/>
    <x v="6"/>
    <x v="0"/>
    <x v="0"/>
    <n v="0.67940067876008603"/>
    <n v="2E+20"/>
    <n v="0"/>
    <n v="4"/>
    <n v="0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7"/>
    <x v="1"/>
    <x v="0"/>
    <x v="0"/>
    <n v="0.31665856303078999"/>
    <n v="2E+20"/>
    <n v="0"/>
    <n v="3"/>
    <n v="1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7"/>
    <x v="2"/>
    <x v="1"/>
    <x v="1"/>
    <n v="13.2139735052482"/>
    <n v="2E+20"/>
    <n v="0"/>
    <n v="27"/>
    <n v="2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7"/>
    <x v="3"/>
    <x v="2"/>
    <x v="2"/>
    <n v="0.6290328189593310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7"/>
    <x v="3"/>
    <x v="3"/>
    <x v="2"/>
    <n v="6.2903281895933203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7"/>
    <x v="4"/>
    <x v="0"/>
    <x v="0"/>
    <n v="1.17389312753778"/>
    <n v="2E+20"/>
    <n v="0"/>
    <n v="5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7"/>
    <x v="5"/>
    <x v="2"/>
    <x v="2"/>
    <n v="0.86553190913134703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7"/>
    <x v="5"/>
    <x v="3"/>
    <x v="2"/>
    <n v="2.59659572739403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7"/>
    <x v="6"/>
    <x v="0"/>
    <x v="0"/>
    <n v="0.99761585698590205"/>
    <n v="2E+20"/>
    <n v="0"/>
    <n v="5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8"/>
    <x v="1"/>
    <x v="0"/>
    <x v="0"/>
    <n v="1.3687252715174301"/>
    <n v="2E+20"/>
    <n v="0"/>
    <n v="7"/>
    <n v="4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8"/>
    <x v="2"/>
    <x v="1"/>
    <x v="1"/>
    <n v="19.428630992888401"/>
    <n v="2E+20"/>
    <n v="0"/>
    <n v="34"/>
    <n v="2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8"/>
    <x v="3"/>
    <x v="2"/>
    <x v="2"/>
    <n v="0.83455902249267899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8"/>
    <x v="3"/>
    <x v="3"/>
    <x v="2"/>
    <n v="8.3455902249267897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8"/>
    <x v="4"/>
    <x v="0"/>
    <x v="0"/>
    <n v="1.8672405779613801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8"/>
    <x v="5"/>
    <x v="2"/>
    <x v="2"/>
    <n v="0.96941615829127303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8"/>
    <x v="5"/>
    <x v="3"/>
    <x v="2"/>
    <n v="2.9082484748738202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8"/>
    <x v="6"/>
    <x v="0"/>
    <x v="0"/>
    <n v="1.78749541092284"/>
    <n v="2E+20"/>
    <n v="0"/>
    <n v="5"/>
    <n v="1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2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29"/>
    <x v="1"/>
    <x v="0"/>
    <x v="0"/>
    <n v="0.19946921605308901"/>
    <n v="2E+20"/>
    <n v="0"/>
    <n v="4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29"/>
    <x v="2"/>
    <x v="1"/>
    <x v="1"/>
    <n v="13.0430136435919"/>
    <n v="2E+20"/>
    <n v="0"/>
    <n v="28"/>
    <n v="1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29"/>
    <x v="3"/>
    <x v="2"/>
    <x v="2"/>
    <n v="0.63220376057428895"/>
    <n v="2E+20"/>
    <n v="0"/>
    <n v="1"/>
    <n v="0.6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29"/>
    <x v="3"/>
    <x v="3"/>
    <x v="2"/>
    <n v="6.3220376057428798"/>
    <n v="2E+20"/>
    <n v="0"/>
    <n v="10"/>
    <n v="6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2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29"/>
    <x v="4"/>
    <x v="0"/>
    <x v="0"/>
    <n v="1.0151339194930999"/>
    <n v="2E+20"/>
    <n v="0"/>
    <n v="4"/>
    <n v="1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29"/>
    <x v="5"/>
    <x v="2"/>
    <x v="2"/>
    <n v="0.900480429636215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29"/>
    <x v="5"/>
    <x v="3"/>
    <x v="2"/>
    <n v="2.70144128890864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2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29"/>
    <x v="6"/>
    <x v="0"/>
    <x v="0"/>
    <n v="1.01366382285372"/>
    <n v="2E+20"/>
    <n v="0"/>
    <n v="4"/>
    <n v="1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0"/>
    <x v="1"/>
    <x v="0"/>
    <x v="0"/>
    <n v="0.43704771559282002"/>
    <n v="2E+20"/>
    <n v="0"/>
    <n v="6"/>
    <n v="2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0"/>
    <x v="2"/>
    <x v="1"/>
    <x v="1"/>
    <n v="11.8081988950014"/>
    <n v="2E+20"/>
    <n v="0"/>
    <n v="33"/>
    <n v="24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0"/>
    <x v="3"/>
    <x v="2"/>
    <x v="2"/>
    <n v="0.54670517319079004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0"/>
    <x v="3"/>
    <x v="3"/>
    <x v="2"/>
    <n v="5.4670517319079002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0"/>
    <x v="4"/>
    <x v="0"/>
    <x v="0"/>
    <n v="0.93911493931235401"/>
    <n v="2E+20"/>
    <n v="0"/>
    <n v="4"/>
    <n v="4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0"/>
    <x v="5"/>
    <x v="2"/>
    <x v="2"/>
    <n v="0.78808827046509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0"/>
    <x v="5"/>
    <x v="3"/>
    <x v="2"/>
    <n v="2.36426481139527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0"/>
    <x v="6"/>
    <x v="0"/>
    <x v="0"/>
    <n v="0.75823411183356404"/>
    <n v="2E+20"/>
    <n v="0"/>
    <n v="4"/>
    <n v="2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1"/>
    <x v="1"/>
    <x v="0"/>
    <x v="0"/>
    <n v="0.87853301992358701"/>
    <n v="2E+20"/>
    <n v="0"/>
    <n v="7"/>
    <n v="6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1"/>
    <x v="2"/>
    <x v="1"/>
    <x v="1"/>
    <n v="15.721435584863"/>
    <n v="2E+20"/>
    <n v="0"/>
    <n v="35"/>
    <n v="3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1"/>
    <x v="3"/>
    <x v="2"/>
    <x v="2"/>
    <n v="0.698218477250794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1"/>
    <x v="3"/>
    <x v="3"/>
    <x v="2"/>
    <n v="6.9821847725079396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1"/>
    <x v="4"/>
    <x v="0"/>
    <x v="0"/>
    <n v="1.31960897863536"/>
    <n v="2E+20"/>
    <n v="0"/>
    <n v="5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1"/>
    <x v="5"/>
    <x v="2"/>
    <x v="2"/>
    <n v="0.93495576307238104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1"/>
    <x v="5"/>
    <x v="3"/>
    <x v="2"/>
    <n v="2.80486728921713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1"/>
    <x v="6"/>
    <x v="0"/>
    <x v="0"/>
    <n v="1.1826567706297999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2"/>
    <x v="1"/>
    <x v="0"/>
    <x v="0"/>
    <n v="1.7697059155514301"/>
    <n v="2E+20"/>
    <n v="0"/>
    <n v="5"/>
    <n v="5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2"/>
    <x v="2"/>
    <x v="1"/>
    <x v="1"/>
    <n v="19.9691665394996"/>
    <n v="2E+20"/>
    <n v="0"/>
    <n v="31"/>
    <n v="3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2"/>
    <x v="3"/>
    <x v="2"/>
    <x v="2"/>
    <n v="0.821487735419834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2"/>
    <x v="3"/>
    <x v="3"/>
    <x v="2"/>
    <n v="8.2148773541983395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2"/>
    <x v="4"/>
    <x v="0"/>
    <x v="0"/>
    <n v="1.91660870393458"/>
    <n v="2E+20"/>
    <n v="0"/>
    <n v="4"/>
    <n v="1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2"/>
    <x v="5"/>
    <x v="2"/>
    <x v="2"/>
    <n v="0.91177526916440399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2"/>
    <x v="5"/>
    <x v="3"/>
    <x v="2"/>
    <n v="2.73532580749321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2"/>
    <x v="6"/>
    <x v="0"/>
    <x v="0"/>
    <n v="1.9155630872623699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3"/>
    <x v="1"/>
    <x v="0"/>
    <x v="0"/>
    <n v="0.39274812421067201"/>
    <n v="2E+20"/>
    <n v="0"/>
    <n v="7"/>
    <n v="7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3"/>
    <x v="2"/>
    <x v="1"/>
    <x v="1"/>
    <n v="12.1905889254157"/>
    <n v="2E+20"/>
    <n v="0"/>
    <n v="34"/>
    <n v="34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3"/>
    <x v="3"/>
    <x v="2"/>
    <x v="2"/>
    <n v="0.57025463384971697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3"/>
    <x v="3"/>
    <x v="3"/>
    <x v="2"/>
    <n v="5.7025463384971697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3"/>
    <x v="4"/>
    <x v="0"/>
    <x v="0"/>
    <n v="0.74751454551029795"/>
    <n v="2E+20"/>
    <n v="0"/>
    <n v="4"/>
    <n v="1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3"/>
    <x v="5"/>
    <x v="2"/>
    <x v="2"/>
    <n v="0.87488966189842998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3"/>
    <x v="5"/>
    <x v="3"/>
    <x v="2"/>
    <n v="2.62466898569529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3"/>
    <x v="6"/>
    <x v="0"/>
    <x v="0"/>
    <n v="0.70378956995097197"/>
    <n v="2E+20"/>
    <n v="0"/>
    <n v="5"/>
    <n v="4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4"/>
    <x v="1"/>
    <x v="0"/>
    <x v="0"/>
    <n v="3.9390555897606299"/>
    <n v="2E+20"/>
    <n v="0"/>
    <n v="11"/>
    <n v="3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4"/>
    <x v="2"/>
    <x v="1"/>
    <x v="1"/>
    <n v="26.830320927747199"/>
    <n v="2E+20"/>
    <n v="0"/>
    <n v="42"/>
    <n v="26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4"/>
    <x v="3"/>
    <x v="2"/>
    <x v="2"/>
    <n v="0.94761048741129605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4"/>
    <x v="3"/>
    <x v="3"/>
    <x v="2"/>
    <n v="9.4761048741129592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4"/>
    <x v="4"/>
    <x v="0"/>
    <x v="0"/>
    <n v="2.3038757538179202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4"/>
    <x v="5"/>
    <x v="2"/>
    <x v="2"/>
    <n v="0.98065534561896295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4"/>
    <x v="5"/>
    <x v="3"/>
    <x v="2"/>
    <n v="2.9419660368568898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4"/>
    <x v="6"/>
    <x v="0"/>
    <x v="0"/>
    <n v="2.4798758861082799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5"/>
    <x v="1"/>
    <x v="0"/>
    <x v="0"/>
    <n v="2.41147915830655"/>
    <n v="2E+20"/>
    <n v="0"/>
    <n v="8"/>
    <n v="4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5"/>
    <x v="2"/>
    <x v="1"/>
    <x v="1"/>
    <n v="23.3329560702247"/>
    <n v="2E+20"/>
    <n v="0"/>
    <n v="36"/>
    <n v="2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5"/>
    <x v="3"/>
    <x v="2"/>
    <x v="2"/>
    <n v="0.925499887680577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5"/>
    <x v="3"/>
    <x v="3"/>
    <x v="2"/>
    <n v="9.2549988768057698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5"/>
    <x v="4"/>
    <x v="0"/>
    <x v="0"/>
    <n v="2.3858509908827701"/>
    <n v="2E+20"/>
    <n v="0"/>
    <n v="5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5"/>
    <x v="5"/>
    <x v="2"/>
    <x v="2"/>
    <n v="0.98088254999798097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5"/>
    <x v="5"/>
    <x v="3"/>
    <x v="2"/>
    <n v="2.94264764999394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5"/>
    <x v="6"/>
    <x v="0"/>
    <x v="0"/>
    <n v="2.1650393111255601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6"/>
    <x v="1"/>
    <x v="0"/>
    <x v="0"/>
    <n v="0.58812259127376298"/>
    <n v="2E+20"/>
    <n v="0"/>
    <n v="6"/>
    <n v="5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6"/>
    <x v="2"/>
    <x v="1"/>
    <x v="1"/>
    <n v="14.3558505924344"/>
    <n v="2E+20"/>
    <n v="0"/>
    <n v="32"/>
    <n v="3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6"/>
    <x v="3"/>
    <x v="2"/>
    <x v="2"/>
    <n v="0.65898027049434404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6"/>
    <x v="3"/>
    <x v="3"/>
    <x v="2"/>
    <n v="6.5898027049434402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6"/>
    <x v="4"/>
    <x v="0"/>
    <x v="0"/>
    <n v="1.2091715491664801"/>
    <n v="2E+20"/>
    <n v="0"/>
    <n v="5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6"/>
    <x v="5"/>
    <x v="2"/>
    <x v="2"/>
    <n v="0.88174549003369995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6"/>
    <x v="5"/>
    <x v="3"/>
    <x v="2"/>
    <n v="2.645236470101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6"/>
    <x v="6"/>
    <x v="0"/>
    <x v="0"/>
    <n v="1.1622259009360201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7"/>
    <x v="1"/>
    <x v="0"/>
    <x v="0"/>
    <n v="5.54244550826155"/>
    <n v="2E+20"/>
    <n v="0"/>
    <n v="12"/>
    <n v="8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7"/>
    <x v="2"/>
    <x v="1"/>
    <x v="1"/>
    <n v="29.675592966841901"/>
    <n v="2E+20"/>
    <n v="0"/>
    <n v="44"/>
    <n v="36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7"/>
    <x v="3"/>
    <x v="2"/>
    <x v="2"/>
    <n v="0.92953509751594099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7"/>
    <x v="3"/>
    <x v="3"/>
    <x v="2"/>
    <n v="9.2953509751594101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7"/>
    <x v="4"/>
    <x v="0"/>
    <x v="0"/>
    <n v="2.3880237382985499"/>
    <n v="2E+20"/>
    <n v="0"/>
    <n v="4"/>
    <n v="2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7"/>
    <x v="5"/>
    <x v="2"/>
    <x v="2"/>
    <n v="0.96751742004251495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7"/>
    <x v="5"/>
    <x v="3"/>
    <x v="2"/>
    <n v="2.9025522601275502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7"/>
    <x v="6"/>
    <x v="0"/>
    <x v="0"/>
    <n v="2.31681299001254"/>
    <n v="2E+20"/>
    <n v="0"/>
    <n v="4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8"/>
    <x v="1"/>
    <x v="0"/>
    <x v="0"/>
    <n v="9.63804241981207"/>
    <n v="2E+20"/>
    <n v="0"/>
    <n v="17"/>
    <n v="11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8"/>
    <x v="2"/>
    <x v="1"/>
    <x v="1"/>
    <n v="38.218354981839397"/>
    <n v="2E+20"/>
    <n v="0"/>
    <n v="54"/>
    <n v="42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8"/>
    <x v="3"/>
    <x v="2"/>
    <x v="2"/>
    <n v="0.94711350711076303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8"/>
    <x v="3"/>
    <x v="3"/>
    <x v="2"/>
    <n v="9.4711350711076303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8"/>
    <x v="4"/>
    <x v="0"/>
    <x v="0"/>
    <n v="2.39145473073666"/>
    <n v="2E+20"/>
    <n v="0"/>
    <n v="4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8"/>
    <x v="5"/>
    <x v="2"/>
    <x v="2"/>
    <n v="0.98052983529714399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8"/>
    <x v="5"/>
    <x v="3"/>
    <x v="2"/>
    <n v="2.9415895058914301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8"/>
    <x v="6"/>
    <x v="0"/>
    <x v="0"/>
    <n v="2.37983492552496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3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39"/>
    <x v="1"/>
    <x v="0"/>
    <x v="0"/>
    <n v="2.3343855125535198"/>
    <n v="2E+20"/>
    <n v="0"/>
    <n v="7"/>
    <n v="4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39"/>
    <x v="2"/>
    <x v="1"/>
    <x v="1"/>
    <n v="19.300013333467401"/>
    <n v="2E+20"/>
    <n v="0"/>
    <n v="35"/>
    <n v="28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39"/>
    <x v="3"/>
    <x v="2"/>
    <x v="2"/>
    <n v="0.73156211541801897"/>
    <n v="2E+20"/>
    <n v="0"/>
    <n v="1"/>
    <n v="1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39"/>
    <x v="3"/>
    <x v="3"/>
    <x v="2"/>
    <n v="7.3156211541801897"/>
    <n v="2E+20"/>
    <n v="0"/>
    <n v="10"/>
    <n v="10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3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39"/>
    <x v="4"/>
    <x v="0"/>
    <x v="0"/>
    <n v="1.60208965038796"/>
    <n v="2E+20"/>
    <n v="0"/>
    <n v="5"/>
    <n v="3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39"/>
    <x v="5"/>
    <x v="2"/>
    <x v="2"/>
    <n v="0.88117832519740902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39"/>
    <x v="5"/>
    <x v="3"/>
    <x v="2"/>
    <n v="2.64353497559222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3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39"/>
    <x v="6"/>
    <x v="0"/>
    <x v="0"/>
    <n v="1.5270232221842901"/>
    <n v="2E+20"/>
    <n v="0"/>
    <n v="5"/>
    <n v="3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  <r>
    <x v="0"/>
    <s v="2023-12-09 10:19:43"/>
    <n v="4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9:43"/>
    <n v="40"/>
    <x v="1"/>
    <x v="0"/>
    <x v="0"/>
    <n v="0.108912196621157"/>
    <n v="2E+20"/>
    <n v="0"/>
    <n v="2"/>
    <n v="0"/>
    <n v="0"/>
    <s v="Unnamed ProjectAtribui copo.QueueNumber WaitingQueue"/>
    <n v="40"/>
    <n v="2.255792133270166"/>
    <n v="2.2398175485683995"/>
    <n v="0.95"/>
    <n v="0.71632840390540931"/>
    <n v="0"/>
    <n v="9.63804241981207"/>
    <n v="0.71632840390540931"/>
  </r>
  <r>
    <x v="0"/>
    <s v="2023-12-09 10:19:43"/>
    <n v="40"/>
    <x v="2"/>
    <x v="1"/>
    <x v="1"/>
    <n v="11.50143504199"/>
    <n v="2E+20"/>
    <n v="0"/>
    <n v="25"/>
    <n v="10"/>
    <n v="0"/>
    <s v="Unnamed ProjectClienteWIPEntity"/>
    <n v="40"/>
    <n v="20.151614931798672"/>
    <n v="6.7822186912145863"/>
    <n v="0.95"/>
    <n v="2.1690587669162626"/>
    <n v="10.3625915235886"/>
    <n v="38.218354981839397"/>
    <n v="2.1690587669162626"/>
  </r>
  <r>
    <x v="0"/>
    <s v="2023-12-09 10:19:43"/>
    <n v="40"/>
    <x v="3"/>
    <x v="2"/>
    <x v="2"/>
    <n v="0.56418053243738198"/>
    <n v="2E+20"/>
    <n v="0"/>
    <n v="1"/>
    <n v="0.5"/>
    <n v="0"/>
    <s v="Unnamed ProjectCopoInstantaneous UtilizationResource"/>
    <n v="40"/>
    <n v="0.78200153326291699"/>
    <n v="0.13637038930703346"/>
    <n v="0.95"/>
    <n v="4.3613366354194112E-2"/>
    <n v="0.51812957617942801"/>
    <n v="0.95110098058068004"/>
    <n v="4.3613366354194112E-2"/>
  </r>
  <r>
    <x v="0"/>
    <s v="2023-12-09 10:19:43"/>
    <n v="40"/>
    <x v="3"/>
    <x v="3"/>
    <x v="2"/>
    <n v="5.64180532437382"/>
    <n v="2E+20"/>
    <n v="0"/>
    <n v="10"/>
    <n v="5"/>
    <n v="0"/>
    <s v="Unnamed ProjectCopoNumber BusyResource"/>
    <n v="40"/>
    <n v="7.8200153326291666"/>
    <n v="1.3637038930703482"/>
    <n v="0.95"/>
    <n v="0.43613366354194549"/>
    <n v="5.1812957617942796"/>
    <n v="9.5110098058068004"/>
    <n v="0.43613366354194549"/>
  </r>
  <r>
    <x v="0"/>
    <s v="2023-12-09 10:19:43"/>
    <n v="4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9:43"/>
    <n v="40"/>
    <x v="4"/>
    <x v="0"/>
    <x v="0"/>
    <n v="0.92513730364885405"/>
    <n v="2E+20"/>
    <n v="0"/>
    <n v="4"/>
    <n v="0"/>
    <n v="0"/>
    <s v="Unnamed ProjectEncher.QueueNumber WaitingQueue"/>
    <n v="40"/>
    <n v="1.7176109361449288"/>
    <n v="0.55395306335372529"/>
    <n v="0.95"/>
    <n v="0.1771627845153336"/>
    <n v="0.56541157258789199"/>
    <n v="2.4594543622635499"/>
    <n v="0.1771627845153336"/>
  </r>
  <r>
    <x v="0"/>
    <s v="2023-12-09 10:19:43"/>
    <n v="40"/>
    <x v="5"/>
    <x v="2"/>
    <x v="2"/>
    <n v="0.81458809388551801"/>
    <n v="2E+20"/>
    <n v="0"/>
    <n v="1"/>
    <n v="1"/>
    <n v="0"/>
    <s v="Unnamed ProjectGarçoneteInstantaneous UtilizationResource"/>
    <n v="40"/>
    <n v="0.92906032745742684"/>
    <n v="5.2243343646514895E-2"/>
    <n v="0.95"/>
    <n v="1.6708231879382019E-2"/>
    <n v="0.78808827046509"/>
    <n v="0.99381255473469199"/>
    <n v="1.6708231879382019E-2"/>
  </r>
  <r>
    <x v="0"/>
    <s v="2023-12-09 10:19:43"/>
    <n v="40"/>
    <x v="5"/>
    <x v="3"/>
    <x v="2"/>
    <n v="2.4437642816565499"/>
    <n v="2E+20"/>
    <n v="0"/>
    <n v="3"/>
    <n v="3"/>
    <n v="0"/>
    <s v="Unnamed ProjectGarçoneteNumber BusyResource"/>
    <n v="40"/>
    <n v="2.7871809823722815"/>
    <n v="0.15673003093954493"/>
    <n v="0.95"/>
    <n v="5.0124695638146144E-2"/>
    <n v="2.36426481139527"/>
    <n v="2.9814376642040799"/>
    <n v="5.0124695638146144E-2"/>
  </r>
  <r>
    <x v="0"/>
    <s v="2023-12-09 10:19:43"/>
    <n v="4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10:19:43"/>
    <n v="40"/>
    <x v="6"/>
    <x v="0"/>
    <x v="0"/>
    <n v="0.79901917211462303"/>
    <n v="2E+20"/>
    <n v="0"/>
    <n v="4"/>
    <n v="1"/>
    <n v="0"/>
    <s v="Unnamed ProjectLava copo.QueueNumber WaitingQueue"/>
    <n v="40"/>
    <n v="1.6506981854952929"/>
    <n v="0.58613056886384474"/>
    <n v="0.95"/>
    <n v="0.18745365002732756"/>
    <n v="0.52883875458038598"/>
    <n v="2.4798758861082799"/>
    <n v="0.1874536500273275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1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1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 v="3"/>
      <x v="1"/>
    </i>
    <i r="1">
      <x v="125"/>
      <x v="3"/>
      <x v="1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2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01" tableType="queryTable" totalsRowShown="0">
  <autoFilter ref="A1:Y401" xr:uid="{C3D003CA-1AFF-426C-A03D-D3AF5760DF1A}"/>
  <sortState xmlns:xlrd2="http://schemas.microsoft.com/office/spreadsheetml/2017/richdata2" ref="A2:Y401">
    <sortCondition ref="D1:D4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41" tableType="queryTable" totalsRowShown="0">
  <autoFilter ref="A1:U44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21" tableType="queryTable" totalsRowShown="0">
  <autoFilter ref="A1:O1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1" tableType="queryTable" totalsRowShown="0">
  <autoFilter ref="A1:P2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40</v>
      </c>
      <c r="F2">
        <v>240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3"/>
  <sheetViews>
    <sheetView tabSelected="1" topLeftCell="Z1" workbookViewId="0">
      <selection activeCell="S10" sqref="S10"/>
    </sheetView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71.2</v>
      </c>
      <c r="O3" t="s">
        <v>66</v>
      </c>
      <c r="P3" t="s">
        <v>70</v>
      </c>
      <c r="Q3" t="s">
        <v>84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66</v>
      </c>
      <c r="AB3" t="s">
        <v>92</v>
      </c>
      <c r="AC3" t="s">
        <v>93</v>
      </c>
      <c r="AD3" t="s">
        <v>94</v>
      </c>
      <c r="AE3" s="5">
        <v>60.8</v>
      </c>
      <c r="AF3" s="5">
        <v>1.1948854807734899</v>
      </c>
      <c r="AG3" s="5">
        <v>3.7361710826693093</v>
      </c>
      <c r="AH3" s="5">
        <v>52</v>
      </c>
      <c r="AI3" s="5">
        <v>66</v>
      </c>
      <c r="AK3" t="s">
        <v>66</v>
      </c>
      <c r="AL3" t="s">
        <v>107</v>
      </c>
      <c r="AM3" t="s">
        <v>100</v>
      </c>
      <c r="AN3" t="s">
        <v>108</v>
      </c>
      <c r="AO3" s="5">
        <v>95.95</v>
      </c>
      <c r="AP3" s="5">
        <v>1.8090772744560404</v>
      </c>
      <c r="AQ3" s="5">
        <v>5.6566276081633564</v>
      </c>
      <c r="AR3" s="5">
        <v>83</v>
      </c>
      <c r="AS3" s="5">
        <v>104</v>
      </c>
      <c r="AU3" t="s">
        <v>109</v>
      </c>
      <c r="AV3" t="s">
        <v>109</v>
      </c>
      <c r="AW3" t="s">
        <v>109</v>
      </c>
      <c r="AX3" t="s">
        <v>109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6.9614526686546796</v>
      </c>
      <c r="F4" s="5">
        <v>1</v>
      </c>
      <c r="G4" s="5">
        <v>2.17008245271948</v>
      </c>
      <c r="H4" s="5">
        <v>6.7854195546925196</v>
      </c>
      <c r="I4" s="5">
        <v>0</v>
      </c>
      <c r="J4" s="5">
        <v>30.065629687075901</v>
      </c>
      <c r="K4" s="5">
        <v>0</v>
      </c>
      <c r="L4" s="5">
        <v>63.417738655601099</v>
      </c>
      <c r="M4" s="5">
        <v>66.349999999999994</v>
      </c>
      <c r="P4" t="s">
        <v>73</v>
      </c>
      <c r="Q4" t="s">
        <v>84</v>
      </c>
      <c r="R4" t="s">
        <v>72</v>
      </c>
      <c r="S4" s="5">
        <v>2.255792133270166</v>
      </c>
      <c r="T4" s="5">
        <v>0.71632840390540931</v>
      </c>
      <c r="U4" s="5">
        <v>2.2398175485683995</v>
      </c>
      <c r="V4" s="5">
        <v>0</v>
      </c>
      <c r="W4" s="5">
        <v>9.63804241981207</v>
      </c>
      <c r="X4" s="5">
        <v>0</v>
      </c>
      <c r="Y4" s="5">
        <v>21</v>
      </c>
      <c r="AB4" t="s">
        <v>95</v>
      </c>
      <c r="AC4" t="s">
        <v>93</v>
      </c>
      <c r="AD4" t="s">
        <v>94</v>
      </c>
      <c r="AE4" s="5">
        <v>60.8</v>
      </c>
      <c r="AF4" s="5">
        <v>1.1948854807734899</v>
      </c>
      <c r="AG4" s="5">
        <v>3.7361710826693093</v>
      </c>
      <c r="AH4" s="5">
        <v>52</v>
      </c>
      <c r="AI4" s="5">
        <v>66</v>
      </c>
      <c r="AL4" t="s">
        <v>97</v>
      </c>
      <c r="AM4" t="s">
        <v>98</v>
      </c>
      <c r="AN4" t="s">
        <v>76</v>
      </c>
      <c r="AO4" s="5">
        <v>181.25</v>
      </c>
      <c r="AP4" s="5">
        <v>5.1087129300085214</v>
      </c>
      <c r="AQ4" s="5">
        <v>15.97393710600698</v>
      </c>
      <c r="AR4" s="5">
        <v>146</v>
      </c>
      <c r="AS4" s="5">
        <v>210</v>
      </c>
    </row>
    <row r="5" spans="1:52" x14ac:dyDescent="0.35">
      <c r="B5" t="s">
        <v>74</v>
      </c>
      <c r="C5" t="s">
        <v>75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95.95</v>
      </c>
      <c r="P5" t="s">
        <v>74</v>
      </c>
      <c r="Q5" t="s">
        <v>85</v>
      </c>
      <c r="R5" t="s">
        <v>76</v>
      </c>
      <c r="S5" s="5">
        <v>20.151614931798672</v>
      </c>
      <c r="T5" s="5">
        <v>2.1690587669162626</v>
      </c>
      <c r="U5" s="5">
        <v>6.7822186912145863</v>
      </c>
      <c r="V5" s="5">
        <v>10.3625915235886</v>
      </c>
      <c r="W5" s="5">
        <v>38.218354981839397</v>
      </c>
      <c r="X5" s="5">
        <v>0</v>
      </c>
      <c r="Y5" s="5">
        <v>62</v>
      </c>
      <c r="AB5" t="s">
        <v>96</v>
      </c>
      <c r="AC5" t="s">
        <v>93</v>
      </c>
      <c r="AD5" t="s">
        <v>94</v>
      </c>
      <c r="AE5" s="5">
        <v>38.85</v>
      </c>
      <c r="AF5" s="5">
        <v>0.90036111070230518</v>
      </c>
      <c r="AG5" s="5">
        <v>2.8152515030883167</v>
      </c>
      <c r="AH5" s="5">
        <v>32</v>
      </c>
      <c r="AI5" s="5">
        <v>44</v>
      </c>
      <c r="AL5" t="s">
        <v>99</v>
      </c>
      <c r="AM5" t="s">
        <v>100</v>
      </c>
      <c r="AN5" t="s">
        <v>76</v>
      </c>
      <c r="AO5" s="5">
        <v>153.05000000000001</v>
      </c>
      <c r="AP5" s="5">
        <v>2.8300534094209939</v>
      </c>
      <c r="AQ5" s="5">
        <v>8.8490184882351901</v>
      </c>
      <c r="AR5" s="5">
        <v>132</v>
      </c>
      <c r="AS5" s="5">
        <v>166</v>
      </c>
    </row>
    <row r="6" spans="1:52" x14ac:dyDescent="0.35"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95.95</v>
      </c>
      <c r="P6" t="s">
        <v>86</v>
      </c>
      <c r="Q6" t="s">
        <v>87</v>
      </c>
      <c r="R6" t="s">
        <v>88</v>
      </c>
      <c r="S6" s="5">
        <v>0.78200153326291699</v>
      </c>
      <c r="T6" s="5">
        <v>4.3613366354194112E-2</v>
      </c>
      <c r="U6" s="5">
        <v>0.13637038930703346</v>
      </c>
      <c r="V6" s="5">
        <v>0.51812957617942801</v>
      </c>
      <c r="W6" s="5">
        <v>0.95110098058068004</v>
      </c>
      <c r="X6" s="5">
        <v>0</v>
      </c>
      <c r="Y6" s="5">
        <v>1</v>
      </c>
      <c r="AL6" t="s">
        <v>101</v>
      </c>
      <c r="AM6" t="s">
        <v>102</v>
      </c>
      <c r="AN6" t="s">
        <v>88</v>
      </c>
      <c r="AO6" s="5">
        <v>66.349999999999994</v>
      </c>
      <c r="AP6" s="5">
        <v>1.3828044702605471</v>
      </c>
      <c r="AQ6" s="5">
        <v>4.3237566761870161</v>
      </c>
      <c r="AR6" s="5">
        <v>56</v>
      </c>
      <c r="AS6" s="5">
        <v>72</v>
      </c>
    </row>
    <row r="7" spans="1:52" x14ac:dyDescent="0.35">
      <c r="C7" t="s">
        <v>78</v>
      </c>
      <c r="D7" t="s">
        <v>76</v>
      </c>
      <c r="E7" s="5">
        <v>21.25502150828871</v>
      </c>
      <c r="F7" s="5">
        <v>1</v>
      </c>
      <c r="G7" s="5">
        <v>1.9159862883122878</v>
      </c>
      <c r="H7" s="5">
        <v>5.9909109955452493</v>
      </c>
      <c r="I7" s="5">
        <v>13.009471754106</v>
      </c>
      <c r="J7" s="5">
        <v>37.750916018623599</v>
      </c>
      <c r="K7" s="5">
        <v>0</v>
      </c>
      <c r="L7" s="5">
        <v>98.172752532264994</v>
      </c>
      <c r="M7" s="5">
        <v>95.95</v>
      </c>
      <c r="Q7" t="s">
        <v>89</v>
      </c>
      <c r="R7" t="s">
        <v>88</v>
      </c>
      <c r="S7" s="5">
        <v>7.8200153326291666</v>
      </c>
      <c r="T7" s="5">
        <v>0.43613366354194549</v>
      </c>
      <c r="U7" s="5">
        <v>1.3637038930703482</v>
      </c>
      <c r="V7" s="5">
        <v>5.1812957617942796</v>
      </c>
      <c r="W7" s="5">
        <v>9.5110098058068004</v>
      </c>
      <c r="X7" s="5">
        <v>0</v>
      </c>
      <c r="Y7" s="5">
        <v>10</v>
      </c>
      <c r="AL7" t="s">
        <v>103</v>
      </c>
      <c r="AM7" t="s">
        <v>104</v>
      </c>
      <c r="AN7" t="s">
        <v>88</v>
      </c>
      <c r="AO7" s="5">
        <v>0.78200153326291699</v>
      </c>
      <c r="AP7" s="5">
        <v>4.36133663541938E-2</v>
      </c>
      <c r="AQ7" s="5">
        <v>0.13637038930703246</v>
      </c>
      <c r="AR7" s="5">
        <v>0.51812957617942801</v>
      </c>
      <c r="AS7" s="5">
        <v>0.95110098058067905</v>
      </c>
    </row>
    <row r="8" spans="1:52" x14ac:dyDescent="0.35">
      <c r="C8" t="s">
        <v>79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95.95</v>
      </c>
      <c r="Q8" t="s">
        <v>90</v>
      </c>
      <c r="R8" t="s">
        <v>88</v>
      </c>
      <c r="S8" s="5">
        <v>10</v>
      </c>
      <c r="T8" s="5">
        <v>0</v>
      </c>
      <c r="U8" s="5">
        <v>0</v>
      </c>
      <c r="V8" s="5">
        <v>10</v>
      </c>
      <c r="W8" s="5">
        <v>10</v>
      </c>
      <c r="X8" s="5">
        <v>10</v>
      </c>
      <c r="Y8" s="5">
        <v>10</v>
      </c>
      <c r="AL8" t="s">
        <v>105</v>
      </c>
      <c r="AM8" t="s">
        <v>102</v>
      </c>
      <c r="AN8" t="s">
        <v>88</v>
      </c>
      <c r="AO8" s="5">
        <v>122.625</v>
      </c>
      <c r="AP8" s="5">
        <v>2.2424396091607668</v>
      </c>
      <c r="AQ8" s="5">
        <v>7.0116661028932015</v>
      </c>
      <c r="AR8" s="5">
        <v>105</v>
      </c>
      <c r="AS8" s="5">
        <v>132</v>
      </c>
    </row>
    <row r="9" spans="1:52" x14ac:dyDescent="0.35">
      <c r="C9" t="s">
        <v>80</v>
      </c>
      <c r="D9" t="s">
        <v>76</v>
      </c>
      <c r="E9" s="5">
        <v>10.400210408810217</v>
      </c>
      <c r="F9" s="5">
        <v>1</v>
      </c>
      <c r="G9" s="5">
        <v>8.2742502257138958E-2</v>
      </c>
      <c r="H9" s="5">
        <v>0.25871947497487852</v>
      </c>
      <c r="I9" s="5">
        <v>10.0253890325213</v>
      </c>
      <c r="J9" s="5">
        <v>11.3008442212181</v>
      </c>
      <c r="K9" s="5">
        <v>0</v>
      </c>
      <c r="L9" s="5">
        <v>21.961443046297202</v>
      </c>
      <c r="M9" s="5">
        <v>95.95</v>
      </c>
      <c r="P9" t="s">
        <v>82</v>
      </c>
      <c r="Q9" t="s">
        <v>84</v>
      </c>
      <c r="R9" t="s">
        <v>72</v>
      </c>
      <c r="S9" s="5">
        <v>1.7176109361449288</v>
      </c>
      <c r="T9" s="5">
        <v>0.1771627845153336</v>
      </c>
      <c r="U9" s="5">
        <v>0.55395306335372529</v>
      </c>
      <c r="V9" s="5">
        <v>0.56541157258789199</v>
      </c>
      <c r="W9" s="5">
        <v>2.4594543622635499</v>
      </c>
      <c r="X9" s="5">
        <v>0</v>
      </c>
      <c r="Y9" s="5">
        <v>5</v>
      </c>
      <c r="AL9" t="s">
        <v>106</v>
      </c>
      <c r="AM9" t="s">
        <v>104</v>
      </c>
      <c r="AN9" t="s">
        <v>88</v>
      </c>
      <c r="AO9" s="5">
        <v>0.92906032745742695</v>
      </c>
      <c r="AP9" s="5">
        <v>1.6708231879382054E-2</v>
      </c>
      <c r="AQ9" s="5">
        <v>5.2243343646514992E-2</v>
      </c>
      <c r="AR9" s="5">
        <v>0.78808827046509</v>
      </c>
      <c r="AS9" s="5">
        <v>0.99381255473469199</v>
      </c>
    </row>
    <row r="10" spans="1:52" x14ac:dyDescent="0.35">
      <c r="C10" t="s">
        <v>81</v>
      </c>
      <c r="D10" t="s">
        <v>76</v>
      </c>
      <c r="E10" s="5">
        <v>10.8548110994785</v>
      </c>
      <c r="F10" s="5">
        <v>1</v>
      </c>
      <c r="G10" s="5">
        <v>1.8992626106758985</v>
      </c>
      <c r="H10" s="5">
        <v>5.9386193560648586</v>
      </c>
      <c r="I10" s="5">
        <v>2.75851527565887</v>
      </c>
      <c r="J10" s="5">
        <v>27.332850578638499</v>
      </c>
      <c r="K10" s="5">
        <v>0</v>
      </c>
      <c r="L10" s="5">
        <v>78.979701179035303</v>
      </c>
      <c r="M10" s="5">
        <v>95.95</v>
      </c>
      <c r="P10" t="s">
        <v>91</v>
      </c>
      <c r="Q10" t="s">
        <v>87</v>
      </c>
      <c r="R10" t="s">
        <v>88</v>
      </c>
      <c r="S10" s="5">
        <v>0.92906032745742684</v>
      </c>
      <c r="T10" s="5">
        <v>1.6708231879382019E-2</v>
      </c>
      <c r="U10" s="5">
        <v>5.2243343646514895E-2</v>
      </c>
      <c r="V10" s="5">
        <v>0.78808827046509</v>
      </c>
      <c r="W10" s="5">
        <v>0.99381255473469199</v>
      </c>
      <c r="X10" s="5">
        <v>0</v>
      </c>
      <c r="Y10" s="5">
        <v>1</v>
      </c>
    </row>
    <row r="11" spans="1:52" x14ac:dyDescent="0.35">
      <c r="B11" t="s">
        <v>82</v>
      </c>
      <c r="C11" t="s">
        <v>71</v>
      </c>
      <c r="D11" t="s">
        <v>72</v>
      </c>
      <c r="E11" s="5">
        <v>6.1788991965606304</v>
      </c>
      <c r="F11" s="5">
        <v>1</v>
      </c>
      <c r="G11" s="5">
        <v>0.56771215421034726</v>
      </c>
      <c r="H11" s="5">
        <v>1.7751238658181356</v>
      </c>
      <c r="I11" s="5">
        <v>2.3806803056332302</v>
      </c>
      <c r="J11" s="5">
        <v>8.8229655911748104</v>
      </c>
      <c r="K11" s="5">
        <v>0</v>
      </c>
      <c r="L11" s="5">
        <v>13.9648319773901</v>
      </c>
      <c r="M11" s="5">
        <v>64.25</v>
      </c>
      <c r="Q11" t="s">
        <v>89</v>
      </c>
      <c r="R11" t="s">
        <v>88</v>
      </c>
      <c r="S11" s="5">
        <v>2.7871809823722815</v>
      </c>
      <c r="T11" s="5">
        <v>5.0124695638146144E-2</v>
      </c>
      <c r="U11" s="5">
        <v>0.15673003093954493</v>
      </c>
      <c r="V11" s="5">
        <v>2.36426481139527</v>
      </c>
      <c r="W11" s="5">
        <v>2.9814376642040799</v>
      </c>
      <c r="X11" s="5">
        <v>0</v>
      </c>
      <c r="Y11" s="5">
        <v>3</v>
      </c>
    </row>
    <row r="12" spans="1:52" x14ac:dyDescent="0.35">
      <c r="B12" t="s">
        <v>83</v>
      </c>
      <c r="C12" t="s">
        <v>71</v>
      </c>
      <c r="D12" t="s">
        <v>72</v>
      </c>
      <c r="E12" s="5">
        <v>6.491350975302578</v>
      </c>
      <c r="F12" s="5">
        <v>1</v>
      </c>
      <c r="G12" s="5">
        <v>0.6695980404094769</v>
      </c>
      <c r="H12" s="5">
        <v>2.0937009243517353</v>
      </c>
      <c r="I12" s="5">
        <v>2.3076600199871402</v>
      </c>
      <c r="J12" s="5">
        <v>9.5262519161464994</v>
      </c>
      <c r="K12" s="5">
        <v>0</v>
      </c>
      <c r="L12" s="5">
        <v>14.285713175524</v>
      </c>
      <c r="M12" s="5">
        <v>58.375</v>
      </c>
      <c r="Q12" t="s">
        <v>90</v>
      </c>
      <c r="R12" t="s">
        <v>88</v>
      </c>
      <c r="S12" s="5">
        <v>3</v>
      </c>
      <c r="T12" s="5">
        <v>0</v>
      </c>
      <c r="U12" s="5">
        <v>0</v>
      </c>
      <c r="V12" s="5">
        <v>3</v>
      </c>
      <c r="W12" s="5">
        <v>3</v>
      </c>
      <c r="X12" s="5">
        <v>3</v>
      </c>
      <c r="Y12" s="5">
        <v>3</v>
      </c>
    </row>
    <row r="13" spans="1:52" x14ac:dyDescent="0.35">
      <c r="P13" t="s">
        <v>83</v>
      </c>
      <c r="Q13" t="s">
        <v>84</v>
      </c>
      <c r="R13" t="s">
        <v>72</v>
      </c>
      <c r="S13" s="5">
        <v>1.6506981854952929</v>
      </c>
      <c r="T13" s="5">
        <v>0.18745365002732756</v>
      </c>
      <c r="U13" s="5">
        <v>0.58613056886384474</v>
      </c>
      <c r="V13" s="5">
        <v>0.52883875458038598</v>
      </c>
      <c r="W13" s="5">
        <v>2.4798758861082799</v>
      </c>
      <c r="X13" s="5">
        <v>0</v>
      </c>
      <c r="Y13" s="5">
        <v>6</v>
      </c>
    </row>
  </sheetData>
  <dataConsolidate/>
  <conditionalFormatting pivot="1" sqref="G3:G12">
    <cfRule type="expression" dxfId="31" priority="14">
      <formula>G3=200000000000000000000</formula>
    </cfRule>
  </conditionalFormatting>
  <conditionalFormatting pivot="1" sqref="T3:T13">
    <cfRule type="expression" dxfId="30" priority="13">
      <formula>T3=200000000000000000000</formula>
    </cfRule>
  </conditionalFormatting>
  <conditionalFormatting pivot="1" sqref="T3:T13">
    <cfRule type="expression" dxfId="29" priority="12">
      <formula>T3=300000000000000000000</formula>
    </cfRule>
  </conditionalFormatting>
  <conditionalFormatting pivot="1" sqref="G3:G12">
    <cfRule type="expression" dxfId="28" priority="11">
      <formula>G3=300000000000000000000</formula>
    </cfRule>
  </conditionalFormatting>
  <conditionalFormatting pivot="1" sqref="F3:F12">
    <cfRule type="expression" dxfId="27" priority="10">
      <formula>F3=0</formula>
    </cfRule>
  </conditionalFormatting>
  <conditionalFormatting pivot="1" sqref="F3:F12">
    <cfRule type="expression" dxfId="26" priority="9">
      <formula>F3=1</formula>
    </cfRule>
  </conditionalFormatting>
  <conditionalFormatting pivot="1" sqref="T3:T13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:AF5">
    <cfRule type="expression" dxfId="23" priority="6">
      <formula>AF3=400000000000000000000</formula>
    </cfRule>
  </conditionalFormatting>
  <conditionalFormatting pivot="1" sqref="G3:G1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0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8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73</v>
      </c>
      <c r="L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71.2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72</v>
      </c>
      <c r="L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71.2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76</v>
      </c>
      <c r="L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71.2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70</v>
      </c>
      <c r="L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71.2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75</v>
      </c>
      <c r="L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71.2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73</v>
      </c>
      <c r="L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71.2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63</v>
      </c>
      <c r="L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71.2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73</v>
      </c>
      <c r="L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71.2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71</v>
      </c>
      <c r="L1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71.2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80</v>
      </c>
      <c r="L1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71.2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11</v>
      </c>
      <c r="D12" t="s">
        <v>70</v>
      </c>
      <c r="E12" t="s">
        <v>71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81</v>
      </c>
      <c r="L1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71.2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12</v>
      </c>
      <c r="D13" t="s">
        <v>70</v>
      </c>
      <c r="E13" t="s">
        <v>71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64</v>
      </c>
      <c r="L1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71.2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77</v>
      </c>
      <c r="L1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71.2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14</v>
      </c>
      <c r="D15" t="s">
        <v>70</v>
      </c>
      <c r="E15" t="s">
        <v>71</v>
      </c>
      <c r="F15" t="s">
        <v>72</v>
      </c>
      <c r="G15">
        <v>0</v>
      </c>
      <c r="H15">
        <v>2E+20</v>
      </c>
      <c r="I15">
        <v>0</v>
      </c>
      <c r="J15">
        <v>0</v>
      </c>
      <c r="K15">
        <v>76</v>
      </c>
      <c r="L1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71.2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15</v>
      </c>
      <c r="D16" t="s">
        <v>70</v>
      </c>
      <c r="E16" t="s">
        <v>71</v>
      </c>
      <c r="F16" t="s">
        <v>72</v>
      </c>
      <c r="G16">
        <v>0</v>
      </c>
      <c r="H16">
        <v>2E+20</v>
      </c>
      <c r="I16">
        <v>0</v>
      </c>
      <c r="J16">
        <v>0</v>
      </c>
      <c r="K16">
        <v>72</v>
      </c>
      <c r="L1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71.2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16</v>
      </c>
      <c r="D17" t="s">
        <v>70</v>
      </c>
      <c r="E17" t="s">
        <v>71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87</v>
      </c>
      <c r="L1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71.2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17</v>
      </c>
      <c r="D18" t="s">
        <v>70</v>
      </c>
      <c r="E18" t="s">
        <v>71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61</v>
      </c>
      <c r="L1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71.2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69</v>
      </c>
      <c r="C19">
        <v>18</v>
      </c>
      <c r="D19" t="s">
        <v>70</v>
      </c>
      <c r="E19" t="s">
        <v>71</v>
      </c>
      <c r="F19" t="s">
        <v>72</v>
      </c>
      <c r="G19">
        <v>0</v>
      </c>
      <c r="H19">
        <v>2E+20</v>
      </c>
      <c r="I19">
        <v>0</v>
      </c>
      <c r="J19">
        <v>0</v>
      </c>
      <c r="K19">
        <v>69</v>
      </c>
      <c r="L1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71.2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69</v>
      </c>
      <c r="C20">
        <v>19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69</v>
      </c>
      <c r="L2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71.2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69</v>
      </c>
      <c r="C21">
        <v>20</v>
      </c>
      <c r="D21" t="s">
        <v>70</v>
      </c>
      <c r="E21" t="s">
        <v>71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72</v>
      </c>
      <c r="L2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71.2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69</v>
      </c>
      <c r="C22">
        <v>21</v>
      </c>
      <c r="D22" t="s">
        <v>70</v>
      </c>
      <c r="E22" t="s">
        <v>71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68</v>
      </c>
      <c r="L2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71.2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69</v>
      </c>
      <c r="C23">
        <v>22</v>
      </c>
      <c r="D23" t="s">
        <v>70</v>
      </c>
      <c r="E23" t="s">
        <v>71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87</v>
      </c>
      <c r="L2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71.2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69</v>
      </c>
      <c r="C24">
        <v>23</v>
      </c>
      <c r="D24" t="s">
        <v>70</v>
      </c>
      <c r="E24" t="s">
        <v>71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79</v>
      </c>
      <c r="L2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71.2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69</v>
      </c>
      <c r="C25">
        <v>24</v>
      </c>
      <c r="D25" t="s">
        <v>70</v>
      </c>
      <c r="E25" t="s">
        <v>71</v>
      </c>
      <c r="F25" t="s">
        <v>72</v>
      </c>
      <c r="G25">
        <v>0</v>
      </c>
      <c r="H25">
        <v>2E+20</v>
      </c>
      <c r="I25">
        <v>0</v>
      </c>
      <c r="J25">
        <v>0</v>
      </c>
      <c r="K25">
        <v>57</v>
      </c>
      <c r="L2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71.2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69</v>
      </c>
      <c r="C26">
        <v>25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73</v>
      </c>
      <c r="L2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71.2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69</v>
      </c>
      <c r="C27">
        <v>26</v>
      </c>
      <c r="D27" t="s">
        <v>70</v>
      </c>
      <c r="E27" t="s">
        <v>71</v>
      </c>
      <c r="F27" t="s">
        <v>72</v>
      </c>
      <c r="G27">
        <v>0</v>
      </c>
      <c r="H27">
        <v>2E+20</v>
      </c>
      <c r="I27">
        <v>0</v>
      </c>
      <c r="J27">
        <v>0</v>
      </c>
      <c r="K27">
        <v>58</v>
      </c>
      <c r="L2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71.2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69</v>
      </c>
      <c r="C28">
        <v>27</v>
      </c>
      <c r="D28" t="s">
        <v>70</v>
      </c>
      <c r="E28" t="s">
        <v>71</v>
      </c>
      <c r="F28" t="s">
        <v>72</v>
      </c>
      <c r="G28">
        <v>0</v>
      </c>
      <c r="H28">
        <v>2E+20</v>
      </c>
      <c r="I28">
        <v>0</v>
      </c>
      <c r="J28">
        <v>0</v>
      </c>
      <c r="K28">
        <v>64</v>
      </c>
      <c r="L2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71.2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69</v>
      </c>
      <c r="C29">
        <v>28</v>
      </c>
      <c r="D29" t="s">
        <v>70</v>
      </c>
      <c r="E29" t="s">
        <v>71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75</v>
      </c>
      <c r="L2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71.2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69</v>
      </c>
      <c r="C30">
        <v>29</v>
      </c>
      <c r="D30" t="s">
        <v>70</v>
      </c>
      <c r="E30" t="s">
        <v>71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62</v>
      </c>
      <c r="L3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71.2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69</v>
      </c>
      <c r="C31">
        <v>30</v>
      </c>
      <c r="D31" t="s">
        <v>70</v>
      </c>
      <c r="E31" t="s">
        <v>71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61</v>
      </c>
      <c r="L3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71.2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69</v>
      </c>
      <c r="C32">
        <v>31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72</v>
      </c>
      <c r="L3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71.2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69</v>
      </c>
      <c r="C33">
        <v>32</v>
      </c>
      <c r="D33" t="s">
        <v>70</v>
      </c>
      <c r="E33" t="s">
        <v>71</v>
      </c>
      <c r="F33" t="s">
        <v>72</v>
      </c>
      <c r="G33">
        <v>0</v>
      </c>
      <c r="H33">
        <v>2E+20</v>
      </c>
      <c r="I33">
        <v>0</v>
      </c>
      <c r="J33">
        <v>0</v>
      </c>
      <c r="K33">
        <v>69</v>
      </c>
      <c r="L3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71.2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69</v>
      </c>
      <c r="C34">
        <v>33</v>
      </c>
      <c r="D34" t="s">
        <v>70</v>
      </c>
      <c r="E34" t="s">
        <v>71</v>
      </c>
      <c r="F34" t="s">
        <v>72</v>
      </c>
      <c r="G34">
        <v>0</v>
      </c>
      <c r="H34">
        <v>2E+20</v>
      </c>
      <c r="I34">
        <v>0</v>
      </c>
      <c r="J34">
        <v>0</v>
      </c>
      <c r="K34">
        <v>70</v>
      </c>
      <c r="L3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71.2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69</v>
      </c>
      <c r="C35">
        <v>34</v>
      </c>
      <c r="D35" t="s">
        <v>70</v>
      </c>
      <c r="E35" t="s">
        <v>71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73</v>
      </c>
      <c r="L3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71.2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69</v>
      </c>
      <c r="C36">
        <v>35</v>
      </c>
      <c r="D36" t="s">
        <v>70</v>
      </c>
      <c r="E36" t="s">
        <v>71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73</v>
      </c>
      <c r="L3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71.2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69</v>
      </c>
      <c r="C37">
        <v>36</v>
      </c>
      <c r="D37" t="s">
        <v>70</v>
      </c>
      <c r="E37" t="s">
        <v>71</v>
      </c>
      <c r="F37" t="s">
        <v>72</v>
      </c>
      <c r="G37">
        <v>0</v>
      </c>
      <c r="H37">
        <v>2E+20</v>
      </c>
      <c r="I37">
        <v>0</v>
      </c>
      <c r="J37">
        <v>0</v>
      </c>
      <c r="K37">
        <v>69</v>
      </c>
      <c r="L3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71.2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69</v>
      </c>
      <c r="C38">
        <v>37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78</v>
      </c>
      <c r="L3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71.2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69</v>
      </c>
      <c r="C39">
        <v>38</v>
      </c>
      <c r="D39" t="s">
        <v>70</v>
      </c>
      <c r="E39" t="s">
        <v>71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82</v>
      </c>
      <c r="L3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71.2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69</v>
      </c>
      <c r="C40">
        <v>39</v>
      </c>
      <c r="D40" t="s">
        <v>70</v>
      </c>
      <c r="E40" t="s">
        <v>71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68</v>
      </c>
      <c r="L4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71.2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69</v>
      </c>
      <c r="C41">
        <v>40</v>
      </c>
      <c r="D41" t="s">
        <v>70</v>
      </c>
      <c r="E41" t="s">
        <v>71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56</v>
      </c>
      <c r="L4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71.2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69</v>
      </c>
      <c r="C42">
        <v>1</v>
      </c>
      <c r="D42" t="s">
        <v>73</v>
      </c>
      <c r="E42" t="s">
        <v>71</v>
      </c>
      <c r="F42" t="s">
        <v>72</v>
      </c>
      <c r="G42">
        <v>4.58293905706714</v>
      </c>
      <c r="H42">
        <v>2E+20</v>
      </c>
      <c r="I42">
        <v>0</v>
      </c>
      <c r="J42">
        <v>17.976101769934601</v>
      </c>
      <c r="K42">
        <v>65</v>
      </c>
      <c r="L4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6.9614526686546796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6.7854195546925196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30.065629687075901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63.417738655601099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2">
        <f>IF((DiscreteStatsTable[[#This Row],[RepsRequested]]&gt;1),DiscreteStatsTable[[#This Row],[HalfWidth]],DiscreteStatsTable[[#This Row],[BatchMeansHalfWidth]])</f>
        <v>2.17008245271948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69</v>
      </c>
      <c r="C43">
        <v>2</v>
      </c>
      <c r="D43" t="s">
        <v>73</v>
      </c>
      <c r="E43" t="s">
        <v>71</v>
      </c>
      <c r="F43" t="s">
        <v>72</v>
      </c>
      <c r="G43">
        <v>5.2655197713248096</v>
      </c>
      <c r="H43">
        <v>2E+20</v>
      </c>
      <c r="I43">
        <v>0</v>
      </c>
      <c r="J43">
        <v>22.920601412011099</v>
      </c>
      <c r="K43">
        <v>72</v>
      </c>
      <c r="L4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6.9614526686546796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6.7854195546925196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30.065629687075901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63.417738655601099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3">
        <f>IF((DiscreteStatsTable[[#This Row],[RepsRequested]]&gt;1),DiscreteStatsTable[[#This Row],[HalfWidth]],DiscreteStatsTable[[#This Row],[BatchMeansHalfWidth]])</f>
        <v>2.17008245271948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69</v>
      </c>
      <c r="C44">
        <v>3</v>
      </c>
      <c r="D44" t="s">
        <v>73</v>
      </c>
      <c r="E44" t="s">
        <v>71</v>
      </c>
      <c r="F44" t="s">
        <v>72</v>
      </c>
      <c r="G44">
        <v>18.194344371836301</v>
      </c>
      <c r="H44">
        <v>2E+20</v>
      </c>
      <c r="I44">
        <v>0</v>
      </c>
      <c r="J44">
        <v>39.707643014617503</v>
      </c>
      <c r="K44">
        <v>70</v>
      </c>
      <c r="L4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6.9614526686546796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6.7854195546925196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30.065629687075901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63.417738655601099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4">
        <f>IF((DiscreteStatsTable[[#This Row],[RepsRequested]]&gt;1),DiscreteStatsTable[[#This Row],[HalfWidth]],DiscreteStatsTable[[#This Row],[BatchMeansHalfWidth]])</f>
        <v>2.17008245271948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69</v>
      </c>
      <c r="C45">
        <v>4</v>
      </c>
      <c r="D45" t="s">
        <v>73</v>
      </c>
      <c r="E45" t="s">
        <v>71</v>
      </c>
      <c r="F45" t="s">
        <v>72</v>
      </c>
      <c r="G45">
        <v>15.0192461988395</v>
      </c>
      <c r="H45">
        <v>2E+20</v>
      </c>
      <c r="I45">
        <v>0</v>
      </c>
      <c r="J45">
        <v>31.849247913349</v>
      </c>
      <c r="K45">
        <v>69</v>
      </c>
      <c r="L4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6.9614526686546796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6.7854195546925196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30.065629687075901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63.417738655601099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5">
        <f>IF((DiscreteStatsTable[[#This Row],[RepsRequested]]&gt;1),DiscreteStatsTable[[#This Row],[HalfWidth]],DiscreteStatsTable[[#This Row],[BatchMeansHalfWidth]])</f>
        <v>2.17008245271948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69</v>
      </c>
      <c r="C46">
        <v>5</v>
      </c>
      <c r="D46" t="s">
        <v>73</v>
      </c>
      <c r="E46" t="s">
        <v>71</v>
      </c>
      <c r="F46" t="s">
        <v>72</v>
      </c>
      <c r="G46">
        <v>8.3399307384406693</v>
      </c>
      <c r="H46">
        <v>2E+20</v>
      </c>
      <c r="I46">
        <v>0</v>
      </c>
      <c r="J46">
        <v>26.301979422950001</v>
      </c>
      <c r="K46">
        <v>67</v>
      </c>
      <c r="L4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6.9614526686546796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6.7854195546925196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30.065629687075901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63.417738655601099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6">
        <f>IF((DiscreteStatsTable[[#This Row],[RepsRequested]]&gt;1),DiscreteStatsTable[[#This Row],[HalfWidth]],DiscreteStatsTable[[#This Row],[BatchMeansHalfWidth]])</f>
        <v>2.17008245271948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69</v>
      </c>
      <c r="C47">
        <v>6</v>
      </c>
      <c r="D47" t="s">
        <v>73</v>
      </c>
      <c r="E47" t="s">
        <v>71</v>
      </c>
      <c r="F47" t="s">
        <v>72</v>
      </c>
      <c r="G47">
        <v>1.82953394021552</v>
      </c>
      <c r="H47">
        <v>2E+20</v>
      </c>
      <c r="I47">
        <v>0</v>
      </c>
      <c r="J47">
        <v>13.152225888402199</v>
      </c>
      <c r="K47">
        <v>69</v>
      </c>
      <c r="L4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6.9614526686546796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6.7854195546925196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30.065629687075901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63.417738655601099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7">
        <f>IF((DiscreteStatsTable[[#This Row],[RepsRequested]]&gt;1),DiscreteStatsTable[[#This Row],[HalfWidth]],DiscreteStatsTable[[#This Row],[BatchMeansHalfWidth]])</f>
        <v>2.17008245271948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69</v>
      </c>
      <c r="C48">
        <v>7</v>
      </c>
      <c r="D48" t="s">
        <v>73</v>
      </c>
      <c r="E48" t="s">
        <v>71</v>
      </c>
      <c r="F48" t="s">
        <v>72</v>
      </c>
      <c r="G48">
        <v>0.215812548642662</v>
      </c>
      <c r="H48">
        <v>2E+20</v>
      </c>
      <c r="I48">
        <v>0</v>
      </c>
      <c r="J48">
        <v>7.8014492038573504</v>
      </c>
      <c r="K48">
        <v>63</v>
      </c>
      <c r="L4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6.9614526686546796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6.7854195546925196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30.065629687075901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63.417738655601099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8">
        <f>IF((DiscreteStatsTable[[#This Row],[RepsRequested]]&gt;1),DiscreteStatsTable[[#This Row],[HalfWidth]],DiscreteStatsTable[[#This Row],[BatchMeansHalfWidth]])</f>
        <v>2.17008245271948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69</v>
      </c>
      <c r="C49">
        <v>8</v>
      </c>
      <c r="D49" t="s">
        <v>73</v>
      </c>
      <c r="E49" t="s">
        <v>71</v>
      </c>
      <c r="F49" t="s">
        <v>72</v>
      </c>
      <c r="G49">
        <v>0.499541189437475</v>
      </c>
      <c r="H49">
        <v>2E+20</v>
      </c>
      <c r="I49">
        <v>0</v>
      </c>
      <c r="J49">
        <v>8.4544656351420109</v>
      </c>
      <c r="K49">
        <v>69</v>
      </c>
      <c r="L4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6.9614526686546796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6.7854195546925196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30.065629687075901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63.417738655601099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49">
        <f>IF((DiscreteStatsTable[[#This Row],[RepsRequested]]&gt;1),DiscreteStatsTable[[#This Row],[HalfWidth]],DiscreteStatsTable[[#This Row],[BatchMeansHalfWidth]])</f>
        <v>2.17008245271948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69</v>
      </c>
      <c r="C50">
        <v>9</v>
      </c>
      <c r="D50" t="s">
        <v>73</v>
      </c>
      <c r="E50" t="s">
        <v>71</v>
      </c>
      <c r="F50" t="s">
        <v>72</v>
      </c>
      <c r="G50">
        <v>11.6941288393389</v>
      </c>
      <c r="H50">
        <v>2E+20</v>
      </c>
      <c r="I50">
        <v>0</v>
      </c>
      <c r="J50">
        <v>29.526457070135798</v>
      </c>
      <c r="K50">
        <v>70</v>
      </c>
      <c r="L5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6.9614526686546796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6.7854195546925196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30.065629687075901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63.417738655601099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0">
        <f>IF((DiscreteStatsTable[[#This Row],[RepsRequested]]&gt;1),DiscreteStatsTable[[#This Row],[HalfWidth]],DiscreteStatsTable[[#This Row],[BatchMeansHalfWidth]])</f>
        <v>2.17008245271948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69</v>
      </c>
      <c r="C51">
        <v>10</v>
      </c>
      <c r="D51" t="s">
        <v>73</v>
      </c>
      <c r="E51" t="s">
        <v>71</v>
      </c>
      <c r="F51" t="s">
        <v>72</v>
      </c>
      <c r="G51">
        <v>5.5419586922028801</v>
      </c>
      <c r="H51">
        <v>2E+20</v>
      </c>
      <c r="I51">
        <v>0</v>
      </c>
      <c r="J51">
        <v>24.866047510310299</v>
      </c>
      <c r="K51">
        <v>69</v>
      </c>
      <c r="L5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6.9614526686546796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6.7854195546925196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30.065629687075901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63.417738655601099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1">
        <f>IF((DiscreteStatsTable[[#This Row],[RepsRequested]]&gt;1),DiscreteStatsTable[[#This Row],[HalfWidth]],DiscreteStatsTable[[#This Row],[BatchMeansHalfWidth]])</f>
        <v>2.17008245271948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69</v>
      </c>
      <c r="C52">
        <v>11</v>
      </c>
      <c r="D52" t="s">
        <v>73</v>
      </c>
      <c r="E52" t="s">
        <v>71</v>
      </c>
      <c r="F52" t="s">
        <v>72</v>
      </c>
      <c r="G52">
        <v>8.1713371723708796</v>
      </c>
      <c r="H52">
        <v>2E+20</v>
      </c>
      <c r="I52">
        <v>0</v>
      </c>
      <c r="J52">
        <v>28.684568206882702</v>
      </c>
      <c r="K52">
        <v>71</v>
      </c>
      <c r="L5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6.9614526686546796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6.7854195546925196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30.065629687075901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63.417738655601099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2">
        <f>IF((DiscreteStatsTable[[#This Row],[RepsRequested]]&gt;1),DiscreteStatsTable[[#This Row],[HalfWidth]],DiscreteStatsTable[[#This Row],[BatchMeansHalfWidth]])</f>
        <v>2.17008245271948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69</v>
      </c>
      <c r="C53">
        <v>12</v>
      </c>
      <c r="D53" t="s">
        <v>73</v>
      </c>
      <c r="E53" t="s">
        <v>71</v>
      </c>
      <c r="F53" t="s">
        <v>72</v>
      </c>
      <c r="G53">
        <v>3.7592583987801</v>
      </c>
      <c r="H53">
        <v>2E+20</v>
      </c>
      <c r="I53">
        <v>0</v>
      </c>
      <c r="J53">
        <v>19.001437671297399</v>
      </c>
      <c r="K53">
        <v>64</v>
      </c>
      <c r="L5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6.9614526686546796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6.7854195546925196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30.065629687075901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63.417738655601099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3">
        <f>IF((DiscreteStatsTable[[#This Row],[RepsRequested]]&gt;1),DiscreteStatsTable[[#This Row],[HalfWidth]],DiscreteStatsTable[[#This Row],[BatchMeansHalfWidth]])</f>
        <v>2.17008245271948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69</v>
      </c>
      <c r="C54">
        <v>13</v>
      </c>
      <c r="D54" t="s">
        <v>73</v>
      </c>
      <c r="E54" t="s">
        <v>71</v>
      </c>
      <c r="F54" t="s">
        <v>72</v>
      </c>
      <c r="G54">
        <v>9.7724720010170305</v>
      </c>
      <c r="H54">
        <v>2E+20</v>
      </c>
      <c r="I54">
        <v>0</v>
      </c>
      <c r="J54">
        <v>29.2101116876565</v>
      </c>
      <c r="K54">
        <v>70</v>
      </c>
      <c r="L5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6.9614526686546796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6.7854195546925196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30.065629687075901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63.417738655601099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4">
        <f>IF((DiscreteStatsTable[[#This Row],[RepsRequested]]&gt;1),DiscreteStatsTable[[#This Row],[HalfWidth]],DiscreteStatsTable[[#This Row],[BatchMeansHalfWidth]])</f>
        <v>2.17008245271948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69</v>
      </c>
      <c r="C55">
        <v>14</v>
      </c>
      <c r="D55" t="s">
        <v>73</v>
      </c>
      <c r="E55" t="s">
        <v>71</v>
      </c>
      <c r="F55" t="s">
        <v>72</v>
      </c>
      <c r="G55">
        <v>9.5331655605977108</v>
      </c>
      <c r="H55">
        <v>2E+20</v>
      </c>
      <c r="I55">
        <v>0</v>
      </c>
      <c r="J55">
        <v>33.196211218463098</v>
      </c>
      <c r="K55">
        <v>69</v>
      </c>
      <c r="L5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6.9614526686546796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6.7854195546925196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30.065629687075901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63.417738655601099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5">
        <f>IF((DiscreteStatsTable[[#This Row],[RepsRequested]]&gt;1),DiscreteStatsTable[[#This Row],[HalfWidth]],DiscreteStatsTable[[#This Row],[BatchMeansHalfWidth]])</f>
        <v>2.17008245271948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69</v>
      </c>
      <c r="C56">
        <v>15</v>
      </c>
      <c r="D56" t="s">
        <v>73</v>
      </c>
      <c r="E56" t="s">
        <v>71</v>
      </c>
      <c r="F56" t="s">
        <v>72</v>
      </c>
      <c r="G56">
        <v>5.7032991901913404</v>
      </c>
      <c r="H56">
        <v>2E+20</v>
      </c>
      <c r="I56">
        <v>0</v>
      </c>
      <c r="J56">
        <v>30.437424922834001</v>
      </c>
      <c r="K56">
        <v>62</v>
      </c>
      <c r="L5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6.9614526686546796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6.7854195546925196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30.065629687075901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63.417738655601099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6">
        <f>IF((DiscreteStatsTable[[#This Row],[RepsRequested]]&gt;1),DiscreteStatsTable[[#This Row],[HalfWidth]],DiscreteStatsTable[[#This Row],[BatchMeansHalfWidth]])</f>
        <v>2.17008245271948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69</v>
      </c>
      <c r="C57">
        <v>16</v>
      </c>
      <c r="D57" t="s">
        <v>73</v>
      </c>
      <c r="E57" t="s">
        <v>71</v>
      </c>
      <c r="F57" t="s">
        <v>72</v>
      </c>
      <c r="G57">
        <v>18.454338211701899</v>
      </c>
      <c r="H57">
        <v>2E+20</v>
      </c>
      <c r="I57">
        <v>0</v>
      </c>
      <c r="J57">
        <v>45.687090654972998</v>
      </c>
      <c r="K57">
        <v>71</v>
      </c>
      <c r="L5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6.9614526686546796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6.7854195546925196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30.065629687075901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63.417738655601099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7">
        <f>IF((DiscreteStatsTable[[#This Row],[RepsRequested]]&gt;1),DiscreteStatsTable[[#This Row],[HalfWidth]],DiscreteStatsTable[[#This Row],[BatchMeansHalfWidth]])</f>
        <v>2.17008245271948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69</v>
      </c>
      <c r="C58">
        <v>17</v>
      </c>
      <c r="D58" t="s">
        <v>73</v>
      </c>
      <c r="E58" t="s">
        <v>71</v>
      </c>
      <c r="F58" t="s">
        <v>72</v>
      </c>
      <c r="G58">
        <v>0.354503593066748</v>
      </c>
      <c r="H58">
        <v>2E+20</v>
      </c>
      <c r="I58">
        <v>0</v>
      </c>
      <c r="J58">
        <v>6.41828634355016</v>
      </c>
      <c r="K58">
        <v>61</v>
      </c>
      <c r="L5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6.9614526686546796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6.7854195546925196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30.065629687075901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63.417738655601099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8">
        <f>IF((DiscreteStatsTable[[#This Row],[RepsRequested]]&gt;1),DiscreteStatsTable[[#This Row],[HalfWidth]],DiscreteStatsTable[[#This Row],[BatchMeansHalfWidth]])</f>
        <v>2.17008245271948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69</v>
      </c>
      <c r="C59">
        <v>18</v>
      </c>
      <c r="D59" t="s">
        <v>73</v>
      </c>
      <c r="E59" t="s">
        <v>71</v>
      </c>
      <c r="F59" t="s">
        <v>72</v>
      </c>
      <c r="G59">
        <v>3.7861392414996802</v>
      </c>
      <c r="H59">
        <v>2E+20</v>
      </c>
      <c r="I59">
        <v>0</v>
      </c>
      <c r="J59">
        <v>26.7282538416355</v>
      </c>
      <c r="K59">
        <v>69</v>
      </c>
      <c r="L5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6.9614526686546796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6.7854195546925196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30.065629687075901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63.417738655601099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59">
        <f>IF((DiscreteStatsTable[[#This Row],[RepsRequested]]&gt;1),DiscreteStatsTable[[#This Row],[HalfWidth]],DiscreteStatsTable[[#This Row],[BatchMeansHalfWidth]])</f>
        <v>2.17008245271948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69</v>
      </c>
      <c r="C60">
        <v>19</v>
      </c>
      <c r="D60" t="s">
        <v>73</v>
      </c>
      <c r="E60" t="s">
        <v>71</v>
      </c>
      <c r="F60" t="s">
        <v>72</v>
      </c>
      <c r="G60">
        <v>0.26393777855909401</v>
      </c>
      <c r="H60">
        <v>2E+20</v>
      </c>
      <c r="I60">
        <v>0</v>
      </c>
      <c r="J60">
        <v>4.9017492627593002</v>
      </c>
      <c r="K60">
        <v>64</v>
      </c>
      <c r="L6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6.9614526686546796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6.7854195546925196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30.065629687075901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63.417738655601099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0">
        <f>IF((DiscreteStatsTable[[#This Row],[RepsRequested]]&gt;1),DiscreteStatsTable[[#This Row],[HalfWidth]],DiscreteStatsTable[[#This Row],[BatchMeansHalfWidth]])</f>
        <v>2.17008245271948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69</v>
      </c>
      <c r="C61">
        <v>20</v>
      </c>
      <c r="D61" t="s">
        <v>73</v>
      </c>
      <c r="E61" t="s">
        <v>71</v>
      </c>
      <c r="F61" t="s">
        <v>72</v>
      </c>
      <c r="G61">
        <v>14.062376283139599</v>
      </c>
      <c r="H61">
        <v>2E+20</v>
      </c>
      <c r="I61">
        <v>0</v>
      </c>
      <c r="J61">
        <v>37.105703462388803</v>
      </c>
      <c r="K61">
        <v>71</v>
      </c>
      <c r="L6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6.9614526686546796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6.7854195546925196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30.065629687075901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63.417738655601099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1">
        <f>IF((DiscreteStatsTable[[#This Row],[RepsRequested]]&gt;1),DiscreteStatsTable[[#This Row],[HalfWidth]],DiscreteStatsTable[[#This Row],[BatchMeansHalfWidth]])</f>
        <v>2.17008245271948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69</v>
      </c>
      <c r="C62">
        <v>21</v>
      </c>
      <c r="D62" t="s">
        <v>73</v>
      </c>
      <c r="E62" t="s">
        <v>71</v>
      </c>
      <c r="F62" t="s">
        <v>72</v>
      </c>
      <c r="G62">
        <v>4.1175361415907599</v>
      </c>
      <c r="H62">
        <v>2E+20</v>
      </c>
      <c r="I62">
        <v>0</v>
      </c>
      <c r="J62">
        <v>17.493488718898998</v>
      </c>
      <c r="K62">
        <v>65</v>
      </c>
      <c r="L6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6.9614526686546796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6.7854195546925196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30.065629687075901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63.417738655601099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2" s="5">
        <f>IF((DiscreteStatsTable[[#This Row],[RepsRequested]]&gt;1),DiscreteStatsTable[[#This Row],[HalfWidth]],DiscreteStatsTable[[#This Row],[BatchMeansHalfWidth]])</f>
        <v>2.17008245271948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69</v>
      </c>
      <c r="C63">
        <v>22</v>
      </c>
      <c r="D63" t="s">
        <v>73</v>
      </c>
      <c r="E63" t="s">
        <v>71</v>
      </c>
      <c r="F63" t="s">
        <v>72</v>
      </c>
      <c r="G63">
        <v>17.263030607433599</v>
      </c>
      <c r="H63">
        <v>2E+20</v>
      </c>
      <c r="I63">
        <v>0</v>
      </c>
      <c r="J63">
        <v>37.293765765350699</v>
      </c>
      <c r="K63">
        <v>68</v>
      </c>
      <c r="L6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6.9614526686546796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6.7854195546925196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30.065629687075901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63.417738655601099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3" s="5">
        <f>IF((DiscreteStatsTable[[#This Row],[RepsRequested]]&gt;1),DiscreteStatsTable[[#This Row],[HalfWidth]],DiscreteStatsTable[[#This Row],[BatchMeansHalfWidth]])</f>
        <v>2.17008245271948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69</v>
      </c>
      <c r="C64">
        <v>23</v>
      </c>
      <c r="D64" t="s">
        <v>73</v>
      </c>
      <c r="E64" t="s">
        <v>71</v>
      </c>
      <c r="F64" t="s">
        <v>72</v>
      </c>
      <c r="G64">
        <v>9.9554217833881395</v>
      </c>
      <c r="H64">
        <v>2E+20</v>
      </c>
      <c r="I64">
        <v>0</v>
      </c>
      <c r="J64">
        <v>38.088914772800102</v>
      </c>
      <c r="K64">
        <v>70</v>
      </c>
      <c r="L6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6.9614526686546796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6.7854195546925196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30.065629687075901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63.417738655601099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4" s="5">
        <f>IF((DiscreteStatsTable[[#This Row],[RepsRequested]]&gt;1),DiscreteStatsTable[[#This Row],[HalfWidth]],DiscreteStatsTable[[#This Row],[BatchMeansHalfWidth]])</f>
        <v>2.17008245271948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69</v>
      </c>
      <c r="C65">
        <v>24</v>
      </c>
      <c r="D65" t="s">
        <v>73</v>
      </c>
      <c r="E65" t="s">
        <v>71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57</v>
      </c>
      <c r="L6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6.9614526686546796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6.7854195546925196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30.065629687075901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63.417738655601099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5" s="5">
        <f>IF((DiscreteStatsTable[[#This Row],[RepsRequested]]&gt;1),DiscreteStatsTable[[#This Row],[HalfWidth]],DiscreteStatsTable[[#This Row],[BatchMeansHalfWidth]])</f>
        <v>2.17008245271948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69</v>
      </c>
      <c r="C66">
        <v>25</v>
      </c>
      <c r="D66" t="s">
        <v>73</v>
      </c>
      <c r="E66" t="s">
        <v>71</v>
      </c>
      <c r="F66" t="s">
        <v>72</v>
      </c>
      <c r="G66">
        <v>6.8547913721756899</v>
      </c>
      <c r="H66">
        <v>2E+20</v>
      </c>
      <c r="I66">
        <v>0</v>
      </c>
      <c r="J66">
        <v>25.6113076257198</v>
      </c>
      <c r="K66">
        <v>69</v>
      </c>
      <c r="L6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6.9614526686546796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6.7854195546925196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30.065629687075901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63.417738655601099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6" s="5">
        <f>IF((DiscreteStatsTable[[#This Row],[RepsRequested]]&gt;1),DiscreteStatsTable[[#This Row],[HalfWidth]],DiscreteStatsTable[[#This Row],[BatchMeansHalfWidth]])</f>
        <v>2.17008245271948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69</v>
      </c>
      <c r="C67">
        <v>26</v>
      </c>
      <c r="D67" t="s">
        <v>73</v>
      </c>
      <c r="E67" t="s">
        <v>71</v>
      </c>
      <c r="F67" t="s">
        <v>72</v>
      </c>
      <c r="G67">
        <v>0.121636143324547</v>
      </c>
      <c r="H67">
        <v>2E+20</v>
      </c>
      <c r="I67">
        <v>0</v>
      </c>
      <c r="J67">
        <v>5.9172110901895101</v>
      </c>
      <c r="K67">
        <v>58</v>
      </c>
      <c r="L6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6.9614526686546796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6.7854195546925196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30.065629687075901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63.417738655601099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7" s="5">
        <f>IF((DiscreteStatsTable[[#This Row],[RepsRequested]]&gt;1),DiscreteStatsTable[[#This Row],[HalfWidth]],DiscreteStatsTable[[#This Row],[BatchMeansHalfWidth]])</f>
        <v>2.17008245271948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69</v>
      </c>
      <c r="C68">
        <v>27</v>
      </c>
      <c r="D68" t="s">
        <v>73</v>
      </c>
      <c r="E68" t="s">
        <v>71</v>
      </c>
      <c r="F68" t="s">
        <v>72</v>
      </c>
      <c r="G68">
        <v>1.18770348300581</v>
      </c>
      <c r="H68">
        <v>2E+20</v>
      </c>
      <c r="I68">
        <v>0</v>
      </c>
      <c r="J68">
        <v>14.1341734071106</v>
      </c>
      <c r="K68">
        <v>63</v>
      </c>
      <c r="L6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6.9614526686546796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6.7854195546925196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30.065629687075901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63.417738655601099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8" s="5">
        <f>IF((DiscreteStatsTable[[#This Row],[RepsRequested]]&gt;1),DiscreteStatsTable[[#This Row],[HalfWidth]],DiscreteStatsTable[[#This Row],[BatchMeansHalfWidth]])</f>
        <v>2.17008245271948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69</v>
      </c>
      <c r="C69">
        <v>28</v>
      </c>
      <c r="D69" t="s">
        <v>73</v>
      </c>
      <c r="E69" t="s">
        <v>71</v>
      </c>
      <c r="F69" t="s">
        <v>72</v>
      </c>
      <c r="G69">
        <v>4.0010461980747403</v>
      </c>
      <c r="H69">
        <v>2E+20</v>
      </c>
      <c r="I69">
        <v>0</v>
      </c>
      <c r="J69">
        <v>23.439519609721199</v>
      </c>
      <c r="K69">
        <v>71</v>
      </c>
      <c r="L6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6.9614526686546796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6.7854195546925196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30.065629687075901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63.417738655601099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69" s="5">
        <f>IF((DiscreteStatsTable[[#This Row],[RepsRequested]]&gt;1),DiscreteStatsTable[[#This Row],[HalfWidth]],DiscreteStatsTable[[#This Row],[BatchMeansHalfWidth]])</f>
        <v>2.17008245271948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69</v>
      </c>
      <c r="C70">
        <v>29</v>
      </c>
      <c r="D70" t="s">
        <v>73</v>
      </c>
      <c r="E70" t="s">
        <v>71</v>
      </c>
      <c r="F70" t="s">
        <v>72</v>
      </c>
      <c r="G70">
        <v>0.77213890085066805</v>
      </c>
      <c r="H70">
        <v>2E+20</v>
      </c>
      <c r="I70">
        <v>0</v>
      </c>
      <c r="J70">
        <v>10.4396393561079</v>
      </c>
      <c r="K70">
        <v>62</v>
      </c>
      <c r="L7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6.9614526686546796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6.7854195546925196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30.065629687075901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63.417738655601099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0" s="5">
        <f>IF((DiscreteStatsTable[[#This Row],[RepsRequested]]&gt;1),DiscreteStatsTable[[#This Row],[HalfWidth]],DiscreteStatsTable[[#This Row],[BatchMeansHalfWidth]])</f>
        <v>2.17008245271948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69</v>
      </c>
      <c r="C71">
        <v>30</v>
      </c>
      <c r="D71" t="s">
        <v>73</v>
      </c>
      <c r="E71" t="s">
        <v>71</v>
      </c>
      <c r="F71" t="s">
        <v>72</v>
      </c>
      <c r="G71">
        <v>1.49939552471432</v>
      </c>
      <c r="H71">
        <v>2E+20</v>
      </c>
      <c r="I71">
        <v>0</v>
      </c>
      <c r="J71">
        <v>13.3949677896517</v>
      </c>
      <c r="K71">
        <v>59</v>
      </c>
      <c r="L7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6.9614526686546796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6.7854195546925196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30.065629687075901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63.417738655601099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1" s="5">
        <f>IF((DiscreteStatsTable[[#This Row],[RepsRequested]]&gt;1),DiscreteStatsTable[[#This Row],[HalfWidth]],DiscreteStatsTable[[#This Row],[BatchMeansHalfWidth]])</f>
        <v>2.17008245271948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69</v>
      </c>
      <c r="C72">
        <v>31</v>
      </c>
      <c r="D72" t="s">
        <v>73</v>
      </c>
      <c r="E72" t="s">
        <v>71</v>
      </c>
      <c r="F72" t="s">
        <v>72</v>
      </c>
      <c r="G72">
        <v>2.0638358284018401</v>
      </c>
      <c r="H72">
        <v>2E+20</v>
      </c>
      <c r="I72">
        <v>0</v>
      </c>
      <c r="J72">
        <v>16.294796577242899</v>
      </c>
      <c r="K72">
        <v>66</v>
      </c>
      <c r="L7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6.9614526686546796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6.7854195546925196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30.065629687075901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63.417738655601099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2" s="5">
        <f>IF((DiscreteStatsTable[[#This Row],[RepsRequested]]&gt;1),DiscreteStatsTable[[#This Row],[HalfWidth]],DiscreteStatsTable[[#This Row],[BatchMeansHalfWidth]])</f>
        <v>2.17008245271948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69</v>
      </c>
      <c r="C73">
        <v>32</v>
      </c>
      <c r="D73" t="s">
        <v>73</v>
      </c>
      <c r="E73" t="s">
        <v>71</v>
      </c>
      <c r="F73" t="s">
        <v>72</v>
      </c>
      <c r="G73">
        <v>6.0100574911504703</v>
      </c>
      <c r="H73">
        <v>2E+20</v>
      </c>
      <c r="I73">
        <v>0</v>
      </c>
      <c r="J73">
        <v>19.761121146526101</v>
      </c>
      <c r="K73">
        <v>64</v>
      </c>
      <c r="L7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6.9614526686546796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6.7854195546925196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30.065629687075901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63.417738655601099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3" s="5">
        <f>IF((DiscreteStatsTable[[#This Row],[RepsRequested]]&gt;1),DiscreteStatsTable[[#This Row],[HalfWidth]],DiscreteStatsTable[[#This Row],[BatchMeansHalfWidth]])</f>
        <v>2.17008245271948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69</v>
      </c>
      <c r="C74">
        <v>33</v>
      </c>
      <c r="D74" t="s">
        <v>73</v>
      </c>
      <c r="E74" t="s">
        <v>71</v>
      </c>
      <c r="F74" t="s">
        <v>72</v>
      </c>
      <c r="G74">
        <v>0.52583142489817802</v>
      </c>
      <c r="H74">
        <v>2E+20</v>
      </c>
      <c r="I74">
        <v>0</v>
      </c>
      <c r="J74">
        <v>13.891781221846101</v>
      </c>
      <c r="K74">
        <v>63</v>
      </c>
      <c r="L7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6.9614526686546796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6.7854195546925196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30.065629687075901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63.417738655601099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4" s="5">
        <f>IF((DiscreteStatsTable[[#This Row],[RepsRequested]]&gt;1),DiscreteStatsTable[[#This Row],[HalfWidth]],DiscreteStatsTable[[#This Row],[BatchMeansHalfWidth]])</f>
        <v>2.17008245271948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69</v>
      </c>
      <c r="C75">
        <v>34</v>
      </c>
      <c r="D75" t="s">
        <v>73</v>
      </c>
      <c r="E75" t="s">
        <v>71</v>
      </c>
      <c r="F75" t="s">
        <v>72</v>
      </c>
      <c r="G75">
        <v>13.3209610702165</v>
      </c>
      <c r="H75">
        <v>2E+20</v>
      </c>
      <c r="I75">
        <v>0</v>
      </c>
      <c r="J75">
        <v>39.344634621942902</v>
      </c>
      <c r="K75">
        <v>70</v>
      </c>
      <c r="L7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6.9614526686546796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6.7854195546925196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30.065629687075901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63.417738655601099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5" s="5">
        <f>IF((DiscreteStatsTable[[#This Row],[RepsRequested]]&gt;1),DiscreteStatsTable[[#This Row],[HalfWidth]],DiscreteStatsTable[[#This Row],[BatchMeansHalfWidth]])</f>
        <v>2.17008245271948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69</v>
      </c>
      <c r="C76">
        <v>35</v>
      </c>
      <c r="D76" t="s">
        <v>73</v>
      </c>
      <c r="E76" t="s">
        <v>71</v>
      </c>
      <c r="F76" t="s">
        <v>72</v>
      </c>
      <c r="G76">
        <v>7.9435062196852</v>
      </c>
      <c r="H76">
        <v>2E+20</v>
      </c>
      <c r="I76">
        <v>0</v>
      </c>
      <c r="J76">
        <v>28.578672344210599</v>
      </c>
      <c r="K76">
        <v>69</v>
      </c>
      <c r="L7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6.9614526686546796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6.7854195546925196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30.065629687075901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63.417738655601099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6" s="5">
        <f>IF((DiscreteStatsTable[[#This Row],[RepsRequested]]&gt;1),DiscreteStatsTable[[#This Row],[HalfWidth]],DiscreteStatsTable[[#This Row],[BatchMeansHalfWidth]])</f>
        <v>2.17008245271948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69</v>
      </c>
      <c r="C77">
        <v>36</v>
      </c>
      <c r="D77" t="s">
        <v>73</v>
      </c>
      <c r="E77" t="s">
        <v>71</v>
      </c>
      <c r="F77" t="s">
        <v>72</v>
      </c>
      <c r="G77">
        <v>1.8329900589482999</v>
      </c>
      <c r="H77">
        <v>2E+20</v>
      </c>
      <c r="I77">
        <v>0</v>
      </c>
      <c r="J77">
        <v>12.189110115585301</v>
      </c>
      <c r="K77">
        <v>64</v>
      </c>
      <c r="L7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6.9614526686546796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6.7854195546925196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30.065629687075901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63.417738655601099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7" s="5">
        <f>IF((DiscreteStatsTable[[#This Row],[RepsRequested]]&gt;1),DiscreteStatsTable[[#This Row],[HalfWidth]],DiscreteStatsTable[[#This Row],[BatchMeansHalfWidth]])</f>
        <v>2.17008245271948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69</v>
      </c>
      <c r="C78">
        <v>37</v>
      </c>
      <c r="D78" t="s">
        <v>73</v>
      </c>
      <c r="E78" t="s">
        <v>71</v>
      </c>
      <c r="F78" t="s">
        <v>72</v>
      </c>
      <c r="G78">
        <v>17.3154736655707</v>
      </c>
      <c r="H78">
        <v>2E+20</v>
      </c>
      <c r="I78">
        <v>0</v>
      </c>
      <c r="J78">
        <v>38.688698561791803</v>
      </c>
      <c r="K78">
        <v>70</v>
      </c>
      <c r="L7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6.9614526686546796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6.7854195546925196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30.065629687075901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63.417738655601099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8" s="5">
        <f>IF((DiscreteStatsTable[[#This Row],[RepsRequested]]&gt;1),DiscreteStatsTable[[#This Row],[HalfWidth]],DiscreteStatsTable[[#This Row],[BatchMeansHalfWidth]])</f>
        <v>2.17008245271948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69</v>
      </c>
      <c r="C79">
        <v>38</v>
      </c>
      <c r="D79" t="s">
        <v>73</v>
      </c>
      <c r="E79" t="s">
        <v>71</v>
      </c>
      <c r="F79" t="s">
        <v>72</v>
      </c>
      <c r="G79">
        <v>30.065629687075901</v>
      </c>
      <c r="H79">
        <v>2E+20</v>
      </c>
      <c r="I79">
        <v>0</v>
      </c>
      <c r="J79">
        <v>63.417738655601099</v>
      </c>
      <c r="K79">
        <v>71</v>
      </c>
      <c r="L7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6.9614526686546796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6.7854195546925196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30.065629687075901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63.417738655601099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79" s="5">
        <f>IF((DiscreteStatsTable[[#This Row],[RepsRequested]]&gt;1),DiscreteStatsTable[[#This Row],[HalfWidth]],DiscreteStatsTable[[#This Row],[BatchMeansHalfWidth]])</f>
        <v>2.17008245271948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69</v>
      </c>
      <c r="C80">
        <v>39</v>
      </c>
      <c r="D80" t="s">
        <v>73</v>
      </c>
      <c r="E80" t="s">
        <v>71</v>
      </c>
      <c r="F80" t="s">
        <v>72</v>
      </c>
      <c r="G80">
        <v>8.0965718104641198</v>
      </c>
      <c r="H80">
        <v>2E+20</v>
      </c>
      <c r="I80">
        <v>0</v>
      </c>
      <c r="J80">
        <v>26.763660445965002</v>
      </c>
      <c r="K80">
        <v>64</v>
      </c>
      <c r="L8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6.9614526686546796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6.7854195546925196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30.065629687075901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63.417738655601099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80" s="5">
        <f>IF((DiscreteStatsTable[[#This Row],[RepsRequested]]&gt;1),DiscreteStatsTable[[#This Row],[HalfWidth]],DiscreteStatsTable[[#This Row],[BatchMeansHalfWidth]])</f>
        <v>2.17008245271948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69</v>
      </c>
      <c r="C81">
        <v>40</v>
      </c>
      <c r="D81" t="s">
        <v>73</v>
      </c>
      <c r="E81" t="s">
        <v>71</v>
      </c>
      <c r="F81" t="s">
        <v>72</v>
      </c>
      <c r="G81">
        <v>0.46676655694781399</v>
      </c>
      <c r="H81">
        <v>2E+20</v>
      </c>
      <c r="I81">
        <v>0</v>
      </c>
      <c r="J81">
        <v>7.4801423510212697</v>
      </c>
      <c r="K81">
        <v>56</v>
      </c>
      <c r="L8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6.9614526686546796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6.7854195546925196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2.17008245271948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30.065629687075901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63.417738655601099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66.349999999999994</v>
      </c>
      <c r="W81" s="5">
        <f>IF((DiscreteStatsTable[[#This Row],[RepsRequested]]&gt;1),DiscreteStatsTable[[#This Row],[HalfWidth]],DiscreteStatsTable[[#This Row],[BatchMeansHalfWidth]])</f>
        <v>2.17008245271948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69</v>
      </c>
      <c r="C82">
        <v>1</v>
      </c>
      <c r="D82" t="s">
        <v>74</v>
      </c>
      <c r="E82" t="s">
        <v>75</v>
      </c>
      <c r="F82" t="s">
        <v>76</v>
      </c>
      <c r="G82">
        <v>0</v>
      </c>
      <c r="H82">
        <v>2E+20</v>
      </c>
      <c r="I82">
        <v>0</v>
      </c>
      <c r="J82">
        <v>0</v>
      </c>
      <c r="K82">
        <v>93</v>
      </c>
      <c r="L8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95.95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69</v>
      </c>
      <c r="C83">
        <v>1</v>
      </c>
      <c r="D83" t="s">
        <v>74</v>
      </c>
      <c r="E83" t="s">
        <v>77</v>
      </c>
      <c r="F83" t="s">
        <v>76</v>
      </c>
      <c r="G83">
        <v>0</v>
      </c>
      <c r="H83">
        <v>2E+20</v>
      </c>
      <c r="I83">
        <v>0</v>
      </c>
      <c r="J83">
        <v>0</v>
      </c>
      <c r="K83">
        <v>93</v>
      </c>
      <c r="L8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95.95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69</v>
      </c>
      <c r="C84">
        <v>1</v>
      </c>
      <c r="D84" t="s">
        <v>74</v>
      </c>
      <c r="E84" t="s">
        <v>78</v>
      </c>
      <c r="F84" t="s">
        <v>76</v>
      </c>
      <c r="G84">
        <v>19.181029084932199</v>
      </c>
      <c r="H84">
        <v>2E+20</v>
      </c>
      <c r="I84">
        <v>0</v>
      </c>
      <c r="J84">
        <v>55.843595362670698</v>
      </c>
      <c r="K84">
        <v>93</v>
      </c>
      <c r="L8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21.25502150828871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5.9909109955452493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13.009471754106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37.750916018623599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98.172752532264994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95.95</v>
      </c>
      <c r="W84" s="5">
        <f>IF((DiscreteStatsTable[[#This Row],[RepsRequested]]&gt;1),DiscreteStatsTable[[#This Row],[HalfWidth]],DiscreteStatsTable[[#This Row],[BatchMeansHalfWidth]])</f>
        <v>1.9159862883122878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69</v>
      </c>
      <c r="C85">
        <v>1</v>
      </c>
      <c r="D85" t="s">
        <v>74</v>
      </c>
      <c r="E85" t="s">
        <v>79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93</v>
      </c>
      <c r="L8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95.95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69</v>
      </c>
      <c r="C86">
        <v>1</v>
      </c>
      <c r="D86" t="s">
        <v>74</v>
      </c>
      <c r="E86" t="s">
        <v>80</v>
      </c>
      <c r="F86" t="s">
        <v>76</v>
      </c>
      <c r="G86">
        <v>10.4780224849851</v>
      </c>
      <c r="H86">
        <v>2E+20</v>
      </c>
      <c r="I86">
        <v>0</v>
      </c>
      <c r="J86">
        <v>20.256013450315599</v>
      </c>
      <c r="K86">
        <v>93</v>
      </c>
      <c r="L8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10.400210408810217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10.0253890325213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11.3008442212181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21.961443046297202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95.95</v>
      </c>
      <c r="W86" s="5">
        <f>IF((DiscreteStatsTable[[#This Row],[RepsRequested]]&gt;1),DiscreteStatsTable[[#This Row],[HalfWidth]],DiscreteStatsTable[[#This Row],[BatchMeansHalfWidth]])</f>
        <v>8.2742502257138958E-2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69</v>
      </c>
      <c r="C87">
        <v>1</v>
      </c>
      <c r="D87" t="s">
        <v>74</v>
      </c>
      <c r="E87" t="s">
        <v>81</v>
      </c>
      <c r="F87" t="s">
        <v>76</v>
      </c>
      <c r="G87">
        <v>8.7030065999470505</v>
      </c>
      <c r="H87">
        <v>2E+20</v>
      </c>
      <c r="I87">
        <v>0</v>
      </c>
      <c r="J87">
        <v>36.674656812573197</v>
      </c>
      <c r="K87">
        <v>93</v>
      </c>
      <c r="L8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10.8548110994785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5.9386193560648586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2.75851527565887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27.332850578638499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78.979701179035303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95.95</v>
      </c>
      <c r="W87" s="5">
        <f>IF((DiscreteStatsTable[[#This Row],[RepsRequested]]&gt;1),DiscreteStatsTable[[#This Row],[HalfWidth]],DiscreteStatsTable[[#This Row],[BatchMeansHalfWidth]])</f>
        <v>1.8992626106758985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69</v>
      </c>
      <c r="C88">
        <v>2</v>
      </c>
      <c r="D88" t="s">
        <v>74</v>
      </c>
      <c r="E88" t="s">
        <v>75</v>
      </c>
      <c r="F88" t="s">
        <v>76</v>
      </c>
      <c r="G88">
        <v>0</v>
      </c>
      <c r="H88">
        <v>2E+20</v>
      </c>
      <c r="I88">
        <v>0</v>
      </c>
      <c r="J88">
        <v>0</v>
      </c>
      <c r="K88">
        <v>104</v>
      </c>
      <c r="L8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95.95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69</v>
      </c>
      <c r="C89">
        <v>2</v>
      </c>
      <c r="D89" t="s">
        <v>74</v>
      </c>
      <c r="E89" t="s">
        <v>77</v>
      </c>
      <c r="F89" t="s">
        <v>76</v>
      </c>
      <c r="G89">
        <v>0</v>
      </c>
      <c r="H89">
        <v>2E+20</v>
      </c>
      <c r="I89">
        <v>0</v>
      </c>
      <c r="J89">
        <v>0</v>
      </c>
      <c r="K89">
        <v>104</v>
      </c>
      <c r="L8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95.95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69</v>
      </c>
      <c r="C90">
        <v>2</v>
      </c>
      <c r="D90" t="s">
        <v>74</v>
      </c>
      <c r="E90" t="s">
        <v>78</v>
      </c>
      <c r="F90" t="s">
        <v>76</v>
      </c>
      <c r="G90">
        <v>22.0327415418461</v>
      </c>
      <c r="H90">
        <v>2E+20</v>
      </c>
      <c r="I90">
        <v>0</v>
      </c>
      <c r="J90">
        <v>57.732529743615999</v>
      </c>
      <c r="K90">
        <v>104</v>
      </c>
      <c r="L9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21.25502150828871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5.9909109955452493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13.009471754106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37.750916018623599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98.172752532264994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95.95</v>
      </c>
      <c r="W90" s="5">
        <f>IF((DiscreteStatsTable[[#This Row],[RepsRequested]]&gt;1),DiscreteStatsTable[[#This Row],[HalfWidth]],DiscreteStatsTable[[#This Row],[BatchMeansHalfWidth]])</f>
        <v>1.9159862883122878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69</v>
      </c>
      <c r="C91">
        <v>2</v>
      </c>
      <c r="D91" t="s">
        <v>74</v>
      </c>
      <c r="E91" t="s">
        <v>79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104</v>
      </c>
      <c r="L9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95.95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69</v>
      </c>
      <c r="C92">
        <v>2</v>
      </c>
      <c r="D92" t="s">
        <v>74</v>
      </c>
      <c r="E92" t="s">
        <v>80</v>
      </c>
      <c r="F92" t="s">
        <v>76</v>
      </c>
      <c r="G92">
        <v>10.4701001409694</v>
      </c>
      <c r="H92">
        <v>2E+20</v>
      </c>
      <c r="I92">
        <v>0</v>
      </c>
      <c r="J92">
        <v>20.715593997553899</v>
      </c>
      <c r="K92">
        <v>104</v>
      </c>
      <c r="L9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10.400210408810217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10.0253890325213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11.3008442212181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21.961443046297202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95.95</v>
      </c>
      <c r="W92" s="5">
        <f>IF((DiscreteStatsTable[[#This Row],[RepsRequested]]&gt;1),DiscreteStatsTable[[#This Row],[HalfWidth]],DiscreteStatsTable[[#This Row],[BatchMeansHalfWidth]])</f>
        <v>8.2742502257138958E-2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69</v>
      </c>
      <c r="C93">
        <v>2</v>
      </c>
      <c r="D93" t="s">
        <v>74</v>
      </c>
      <c r="E93" t="s">
        <v>81</v>
      </c>
      <c r="F93" t="s">
        <v>76</v>
      </c>
      <c r="G93">
        <v>11.562641400876799</v>
      </c>
      <c r="H93">
        <v>2E+20</v>
      </c>
      <c r="I93">
        <v>0</v>
      </c>
      <c r="J93">
        <v>41.223706334366902</v>
      </c>
      <c r="K93">
        <v>104</v>
      </c>
      <c r="L9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10.8548110994785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5.9386193560648586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2.75851527565887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27.332850578638499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78.979701179035303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95.95</v>
      </c>
      <c r="W93" s="5">
        <f>IF((DiscreteStatsTable[[#This Row],[RepsRequested]]&gt;1),DiscreteStatsTable[[#This Row],[HalfWidth]],DiscreteStatsTable[[#This Row],[BatchMeansHalfWidth]])</f>
        <v>1.8992626106758985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69</v>
      </c>
      <c r="C94">
        <v>3</v>
      </c>
      <c r="D94" t="s">
        <v>74</v>
      </c>
      <c r="E94" t="s">
        <v>75</v>
      </c>
      <c r="F94" t="s">
        <v>76</v>
      </c>
      <c r="G94">
        <v>0</v>
      </c>
      <c r="H94">
        <v>2E+20</v>
      </c>
      <c r="I94">
        <v>0</v>
      </c>
      <c r="J94">
        <v>0</v>
      </c>
      <c r="K94">
        <v>103</v>
      </c>
      <c r="L9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95.95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69</v>
      </c>
      <c r="C95">
        <v>3</v>
      </c>
      <c r="D95" t="s">
        <v>74</v>
      </c>
      <c r="E95" t="s">
        <v>77</v>
      </c>
      <c r="F95" t="s">
        <v>76</v>
      </c>
      <c r="G95">
        <v>0</v>
      </c>
      <c r="H95">
        <v>2E+20</v>
      </c>
      <c r="I95">
        <v>0</v>
      </c>
      <c r="J95">
        <v>0</v>
      </c>
      <c r="K95">
        <v>103</v>
      </c>
      <c r="L9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95.95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69</v>
      </c>
      <c r="C96">
        <v>3</v>
      </c>
      <c r="D96" t="s">
        <v>74</v>
      </c>
      <c r="E96" t="s">
        <v>78</v>
      </c>
      <c r="F96" t="s">
        <v>76</v>
      </c>
      <c r="G96">
        <v>29.701245264559802</v>
      </c>
      <c r="H96">
        <v>2E+20</v>
      </c>
      <c r="I96">
        <v>0</v>
      </c>
      <c r="J96">
        <v>73.195035256058404</v>
      </c>
      <c r="K96">
        <v>103</v>
      </c>
      <c r="L9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21.25502150828871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5.9909109955452493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13.009471754106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37.750916018623599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98.172752532264994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95.95</v>
      </c>
      <c r="W96" s="5">
        <f>IF((DiscreteStatsTable[[#This Row],[RepsRequested]]&gt;1),DiscreteStatsTable[[#This Row],[HalfWidth]],DiscreteStatsTable[[#This Row],[BatchMeansHalfWidth]])</f>
        <v>1.9159862883122878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69</v>
      </c>
      <c r="C97">
        <v>3</v>
      </c>
      <c r="D97" t="s">
        <v>74</v>
      </c>
      <c r="E97" t="s">
        <v>79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103</v>
      </c>
      <c r="L9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95.95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69</v>
      </c>
      <c r="C98">
        <v>3</v>
      </c>
      <c r="D98" t="s">
        <v>74</v>
      </c>
      <c r="E98" t="s">
        <v>80</v>
      </c>
      <c r="F98" t="s">
        <v>76</v>
      </c>
      <c r="G98">
        <v>10.260067425653601</v>
      </c>
      <c r="H98">
        <v>2E+20</v>
      </c>
      <c r="I98">
        <v>0</v>
      </c>
      <c r="J98">
        <v>20.409859828711799</v>
      </c>
      <c r="K98">
        <v>103</v>
      </c>
      <c r="L9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10.400210408810217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10.0253890325213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11.3008442212181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21.961443046297202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95.95</v>
      </c>
      <c r="W98" s="5">
        <f>IF((DiscreteStatsTable[[#This Row],[RepsRequested]]&gt;1),DiscreteStatsTable[[#This Row],[HalfWidth]],DiscreteStatsTable[[#This Row],[BatchMeansHalfWidth]])</f>
        <v>8.2742502257138958E-2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69</v>
      </c>
      <c r="C99">
        <v>3</v>
      </c>
      <c r="D99" t="s">
        <v>74</v>
      </c>
      <c r="E99" t="s">
        <v>81</v>
      </c>
      <c r="F99" t="s">
        <v>76</v>
      </c>
      <c r="G99">
        <v>19.441177838906199</v>
      </c>
      <c r="H99">
        <v>2E+20</v>
      </c>
      <c r="I99">
        <v>0</v>
      </c>
      <c r="J99">
        <v>53.205452603305098</v>
      </c>
      <c r="K99">
        <v>103</v>
      </c>
      <c r="L9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10.8548110994785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5.9386193560648586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2.75851527565887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27.332850578638499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78.979701179035303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95.95</v>
      </c>
      <c r="W99" s="5">
        <f>IF((DiscreteStatsTable[[#This Row],[RepsRequested]]&gt;1),DiscreteStatsTable[[#This Row],[HalfWidth]],DiscreteStatsTable[[#This Row],[BatchMeansHalfWidth]])</f>
        <v>1.8992626106758985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69</v>
      </c>
      <c r="C100">
        <v>4</v>
      </c>
      <c r="D100" t="s">
        <v>74</v>
      </c>
      <c r="E100" t="s">
        <v>75</v>
      </c>
      <c r="F100" t="s">
        <v>76</v>
      </c>
      <c r="G100">
        <v>0</v>
      </c>
      <c r="H100">
        <v>2E+20</v>
      </c>
      <c r="I100">
        <v>0</v>
      </c>
      <c r="J100">
        <v>0</v>
      </c>
      <c r="K100">
        <v>99</v>
      </c>
      <c r="L10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95.95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69</v>
      </c>
      <c r="C101">
        <v>4</v>
      </c>
      <c r="D101" t="s">
        <v>74</v>
      </c>
      <c r="E101" t="s">
        <v>77</v>
      </c>
      <c r="F101" t="s">
        <v>76</v>
      </c>
      <c r="G101">
        <v>0</v>
      </c>
      <c r="H101">
        <v>2E+20</v>
      </c>
      <c r="I101">
        <v>0</v>
      </c>
      <c r="J101">
        <v>0</v>
      </c>
      <c r="K101">
        <v>99</v>
      </c>
      <c r="L10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95.95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69</v>
      </c>
      <c r="C102">
        <v>4</v>
      </c>
      <c r="D102" t="s">
        <v>74</v>
      </c>
      <c r="E102" t="s">
        <v>78</v>
      </c>
      <c r="F102" t="s">
        <v>76</v>
      </c>
      <c r="G102">
        <v>29.702442388098099</v>
      </c>
      <c r="H102">
        <v>2E+20</v>
      </c>
      <c r="I102">
        <v>0</v>
      </c>
      <c r="J102">
        <v>67.2146641572823</v>
      </c>
      <c r="K102">
        <v>99</v>
      </c>
      <c r="L10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21.25502150828871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5.9909109955452493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13.009471754106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37.750916018623599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98.172752532264994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95.95</v>
      </c>
      <c r="W102" s="5">
        <f>IF((DiscreteStatsTable[[#This Row],[RepsRequested]]&gt;1),DiscreteStatsTable[[#This Row],[HalfWidth]],DiscreteStatsTable[[#This Row],[BatchMeansHalfWidth]])</f>
        <v>1.9159862883122878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69</v>
      </c>
      <c r="C103">
        <v>4</v>
      </c>
      <c r="D103" t="s">
        <v>74</v>
      </c>
      <c r="E103" t="s">
        <v>79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99</v>
      </c>
      <c r="L10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95.95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69</v>
      </c>
      <c r="C104">
        <v>4</v>
      </c>
      <c r="D104" t="s">
        <v>74</v>
      </c>
      <c r="E104" t="s">
        <v>80</v>
      </c>
      <c r="F104" t="s">
        <v>76</v>
      </c>
      <c r="G104">
        <v>10.477753035225099</v>
      </c>
      <c r="H104">
        <v>2E+20</v>
      </c>
      <c r="I104">
        <v>0</v>
      </c>
      <c r="J104">
        <v>20.267733551009599</v>
      </c>
      <c r="K104">
        <v>99</v>
      </c>
      <c r="L10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10.400210408810217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10.0253890325213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11.3008442212181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21.961443046297202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95.95</v>
      </c>
      <c r="W104" s="5">
        <f>IF((DiscreteStatsTable[[#This Row],[RepsRequested]]&gt;1),DiscreteStatsTable[[#This Row],[HalfWidth]],DiscreteStatsTable[[#This Row],[BatchMeansHalfWidth]])</f>
        <v>8.2742502257138958E-2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69</v>
      </c>
      <c r="C105">
        <v>4</v>
      </c>
      <c r="D105" t="s">
        <v>74</v>
      </c>
      <c r="E105" t="s">
        <v>81</v>
      </c>
      <c r="F105" t="s">
        <v>76</v>
      </c>
      <c r="G105">
        <v>19.224689352873</v>
      </c>
      <c r="H105">
        <v>2E+20</v>
      </c>
      <c r="I105">
        <v>0</v>
      </c>
      <c r="J105">
        <v>51.2060796967085</v>
      </c>
      <c r="K105">
        <v>99</v>
      </c>
      <c r="L10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10.8548110994785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5.9386193560648586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2.75851527565887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27.332850578638499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78.979701179035303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95.95</v>
      </c>
      <c r="W105" s="5">
        <f>IF((DiscreteStatsTable[[#This Row],[RepsRequested]]&gt;1),DiscreteStatsTable[[#This Row],[HalfWidth]],DiscreteStatsTable[[#This Row],[BatchMeansHalfWidth]])</f>
        <v>1.8992626106758985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69</v>
      </c>
      <c r="C106">
        <v>5</v>
      </c>
      <c r="D106" t="s">
        <v>74</v>
      </c>
      <c r="E106" t="s">
        <v>75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96</v>
      </c>
      <c r="L10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95.95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69</v>
      </c>
      <c r="C107">
        <v>5</v>
      </c>
      <c r="D107" t="s">
        <v>74</v>
      </c>
      <c r="E107" t="s">
        <v>77</v>
      </c>
      <c r="F107" t="s">
        <v>76</v>
      </c>
      <c r="G107">
        <v>0</v>
      </c>
      <c r="H107">
        <v>2E+20</v>
      </c>
      <c r="I107">
        <v>0</v>
      </c>
      <c r="J107">
        <v>0</v>
      </c>
      <c r="K107">
        <v>96</v>
      </c>
      <c r="L10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95.95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69</v>
      </c>
      <c r="C108">
        <v>5</v>
      </c>
      <c r="D108" t="s">
        <v>74</v>
      </c>
      <c r="E108" t="s">
        <v>78</v>
      </c>
      <c r="F108" t="s">
        <v>76</v>
      </c>
      <c r="G108">
        <v>20.683088155082402</v>
      </c>
      <c r="H108">
        <v>2E+20</v>
      </c>
      <c r="I108">
        <v>0</v>
      </c>
      <c r="J108">
        <v>60.384627871856203</v>
      </c>
      <c r="K108">
        <v>96</v>
      </c>
      <c r="L10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21.25502150828871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5.9909109955452493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13.009471754106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37.750916018623599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98.172752532264994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95.95</v>
      </c>
      <c r="W108" s="5">
        <f>IF((DiscreteStatsTable[[#This Row],[RepsRequested]]&gt;1),DiscreteStatsTable[[#This Row],[HalfWidth]],DiscreteStatsTable[[#This Row],[BatchMeansHalfWidth]])</f>
        <v>1.9159862883122878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69</v>
      </c>
      <c r="C109">
        <v>5</v>
      </c>
      <c r="D109" t="s">
        <v>74</v>
      </c>
      <c r="E109" t="s">
        <v>79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96</v>
      </c>
      <c r="L10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95.95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69</v>
      </c>
      <c r="C110">
        <v>5</v>
      </c>
      <c r="D110" t="s">
        <v>74</v>
      </c>
      <c r="E110" t="s">
        <v>80</v>
      </c>
      <c r="F110" t="s">
        <v>76</v>
      </c>
      <c r="G110">
        <v>10.237959738417601</v>
      </c>
      <c r="H110">
        <v>2E+20</v>
      </c>
      <c r="I110">
        <v>0</v>
      </c>
      <c r="J110">
        <v>20.6388165281151</v>
      </c>
      <c r="K110">
        <v>96</v>
      </c>
      <c r="L11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10.400210408810217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10.0253890325213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11.3008442212181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21.961443046297202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95.95</v>
      </c>
      <c r="W110" s="5">
        <f>IF((DiscreteStatsTable[[#This Row],[RepsRequested]]&gt;1),DiscreteStatsTable[[#This Row],[HalfWidth]],DiscreteStatsTable[[#This Row],[BatchMeansHalfWidth]])</f>
        <v>8.2742502257138958E-2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69</v>
      </c>
      <c r="C111">
        <v>5</v>
      </c>
      <c r="D111" t="s">
        <v>74</v>
      </c>
      <c r="E111" t="s">
        <v>81</v>
      </c>
      <c r="F111" t="s">
        <v>76</v>
      </c>
      <c r="G111">
        <v>10.445128416664801</v>
      </c>
      <c r="H111">
        <v>2E+20</v>
      </c>
      <c r="I111">
        <v>0</v>
      </c>
      <c r="J111">
        <v>43.0936595758279</v>
      </c>
      <c r="K111">
        <v>96</v>
      </c>
      <c r="L11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10.8548110994785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5.9386193560648586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2.75851527565887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27.332850578638499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78.979701179035303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95.95</v>
      </c>
      <c r="W111" s="5">
        <f>IF((DiscreteStatsTable[[#This Row],[RepsRequested]]&gt;1),DiscreteStatsTable[[#This Row],[HalfWidth]],DiscreteStatsTable[[#This Row],[BatchMeansHalfWidth]])</f>
        <v>1.8992626106758985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69</v>
      </c>
      <c r="C112">
        <v>6</v>
      </c>
      <c r="D112" t="s">
        <v>74</v>
      </c>
      <c r="E112" t="s">
        <v>75</v>
      </c>
      <c r="F112" t="s">
        <v>76</v>
      </c>
      <c r="G112">
        <v>0</v>
      </c>
      <c r="H112">
        <v>2E+20</v>
      </c>
      <c r="I112">
        <v>0</v>
      </c>
      <c r="J112">
        <v>0</v>
      </c>
      <c r="K112">
        <v>100</v>
      </c>
      <c r="L11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95.95</v>
      </c>
      <c r="W112" s="5">
        <f>IF((DiscreteStatsTable[[#This Row],[RepsRequested]]&gt;1),DiscreteStatsTable[[#This Row],[HalfWidth]],DiscreteStatsTable[[#This Row],[BatchMeansHalfWidth]])</f>
        <v>0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69</v>
      </c>
      <c r="C113">
        <v>6</v>
      </c>
      <c r="D113" t="s">
        <v>74</v>
      </c>
      <c r="E113" t="s">
        <v>77</v>
      </c>
      <c r="F113" t="s">
        <v>76</v>
      </c>
      <c r="G113">
        <v>0</v>
      </c>
      <c r="H113">
        <v>2E+20</v>
      </c>
      <c r="I113">
        <v>0</v>
      </c>
      <c r="J113">
        <v>0</v>
      </c>
      <c r="K113">
        <v>100</v>
      </c>
      <c r="L11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95.95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69</v>
      </c>
      <c r="C114">
        <v>6</v>
      </c>
      <c r="D114" t="s">
        <v>74</v>
      </c>
      <c r="E114" t="s">
        <v>78</v>
      </c>
      <c r="F114" t="s">
        <v>76</v>
      </c>
      <c r="G114">
        <v>17.687605303359199</v>
      </c>
      <c r="H114">
        <v>2E+20</v>
      </c>
      <c r="I114">
        <v>0</v>
      </c>
      <c r="J114">
        <v>44.310140894186198</v>
      </c>
      <c r="K114">
        <v>100</v>
      </c>
      <c r="L11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21.25502150828871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5.9909109955452493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13.009471754106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37.750916018623599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98.172752532264994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95.95</v>
      </c>
      <c r="W114" s="5">
        <f>IF((DiscreteStatsTable[[#This Row],[RepsRequested]]&gt;1),DiscreteStatsTable[[#This Row],[HalfWidth]],DiscreteStatsTable[[#This Row],[BatchMeansHalfWidth]])</f>
        <v>1.9159862883122878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69</v>
      </c>
      <c r="C115">
        <v>6</v>
      </c>
      <c r="D115" t="s">
        <v>74</v>
      </c>
      <c r="E115" t="s">
        <v>79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100</v>
      </c>
      <c r="L11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95.95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69</v>
      </c>
      <c r="C116">
        <v>6</v>
      </c>
      <c r="D116" t="s">
        <v>74</v>
      </c>
      <c r="E116" t="s">
        <v>80</v>
      </c>
      <c r="F116" t="s">
        <v>76</v>
      </c>
      <c r="G116">
        <v>10.3521542507763</v>
      </c>
      <c r="H116">
        <v>2E+20</v>
      </c>
      <c r="I116">
        <v>0</v>
      </c>
      <c r="J116">
        <v>19.669265539644801</v>
      </c>
      <c r="K116">
        <v>100</v>
      </c>
      <c r="L11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10.400210408810217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10.0253890325213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11.3008442212181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21.961443046297202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95.95</v>
      </c>
      <c r="W116" s="5">
        <f>IF((DiscreteStatsTable[[#This Row],[RepsRequested]]&gt;1),DiscreteStatsTable[[#This Row],[HalfWidth]],DiscreteStatsTable[[#This Row],[BatchMeansHalfWidth]])</f>
        <v>8.2742502257138958E-2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69</v>
      </c>
      <c r="C117">
        <v>6</v>
      </c>
      <c r="D117" t="s">
        <v>74</v>
      </c>
      <c r="E117" t="s">
        <v>81</v>
      </c>
      <c r="F117" t="s">
        <v>76</v>
      </c>
      <c r="G117">
        <v>7.3354510525829699</v>
      </c>
      <c r="H117">
        <v>2E+20</v>
      </c>
      <c r="I117">
        <v>0</v>
      </c>
      <c r="J117">
        <v>25.9420734643478</v>
      </c>
      <c r="K117">
        <v>100</v>
      </c>
      <c r="L11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10.8548110994785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5.9386193560648586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2.75851527565887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27.332850578638499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78.979701179035303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95.95</v>
      </c>
      <c r="W117" s="5">
        <f>IF((DiscreteStatsTable[[#This Row],[RepsRequested]]&gt;1),DiscreteStatsTable[[#This Row],[HalfWidth]],DiscreteStatsTable[[#This Row],[BatchMeansHalfWidth]])</f>
        <v>1.8992626106758985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69</v>
      </c>
      <c r="C118">
        <v>7</v>
      </c>
      <c r="D118" t="s">
        <v>74</v>
      </c>
      <c r="E118" t="s">
        <v>75</v>
      </c>
      <c r="F118" t="s">
        <v>76</v>
      </c>
      <c r="G118">
        <v>0</v>
      </c>
      <c r="H118">
        <v>2E+20</v>
      </c>
      <c r="I118">
        <v>0</v>
      </c>
      <c r="J118">
        <v>0</v>
      </c>
      <c r="K118">
        <v>91</v>
      </c>
      <c r="L11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95.95</v>
      </c>
      <c r="W118" s="5">
        <f>IF((DiscreteStatsTable[[#This Row],[RepsRequested]]&gt;1),DiscreteStatsTable[[#This Row],[HalfWidth]],DiscreteStatsTable[[#This Row],[BatchMeansHalfWidth]])</f>
        <v>0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69</v>
      </c>
      <c r="C119">
        <v>7</v>
      </c>
      <c r="D119" t="s">
        <v>74</v>
      </c>
      <c r="E119" t="s">
        <v>77</v>
      </c>
      <c r="F119" t="s">
        <v>76</v>
      </c>
      <c r="G119">
        <v>0</v>
      </c>
      <c r="H119">
        <v>2E+20</v>
      </c>
      <c r="I119">
        <v>0</v>
      </c>
      <c r="J119">
        <v>0</v>
      </c>
      <c r="K119">
        <v>91</v>
      </c>
      <c r="L11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95.95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69</v>
      </c>
      <c r="C120">
        <v>7</v>
      </c>
      <c r="D120" t="s">
        <v>74</v>
      </c>
      <c r="E120" t="s">
        <v>78</v>
      </c>
      <c r="F120" t="s">
        <v>76</v>
      </c>
      <c r="G120">
        <v>15.1966173515483</v>
      </c>
      <c r="H120">
        <v>2E+20</v>
      </c>
      <c r="I120">
        <v>0</v>
      </c>
      <c r="J120">
        <v>36.0885116229408</v>
      </c>
      <c r="K120">
        <v>91</v>
      </c>
      <c r="L12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21.25502150828871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5.9909109955452493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13.009471754106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37.750916018623599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98.172752532264994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95.95</v>
      </c>
      <c r="W120" s="5">
        <f>IF((DiscreteStatsTable[[#This Row],[RepsRequested]]&gt;1),DiscreteStatsTable[[#This Row],[HalfWidth]],DiscreteStatsTable[[#This Row],[BatchMeansHalfWidth]])</f>
        <v>1.9159862883122878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69</v>
      </c>
      <c r="C121">
        <v>7</v>
      </c>
      <c r="D121" t="s">
        <v>74</v>
      </c>
      <c r="E121" t="s">
        <v>79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91</v>
      </c>
      <c r="L12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95.95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69</v>
      </c>
      <c r="C122">
        <v>7</v>
      </c>
      <c r="D122" t="s">
        <v>74</v>
      </c>
      <c r="E122" t="s">
        <v>80</v>
      </c>
      <c r="F122" t="s">
        <v>76</v>
      </c>
      <c r="G122">
        <v>10.478858143721</v>
      </c>
      <c r="H122">
        <v>2E+20</v>
      </c>
      <c r="I122">
        <v>0</v>
      </c>
      <c r="J122">
        <v>20.188317690781901</v>
      </c>
      <c r="K122">
        <v>91</v>
      </c>
      <c r="L12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10.400210408810217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10.0253890325213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11.3008442212181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21.961443046297202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95.95</v>
      </c>
      <c r="W122" s="5">
        <f>IF((DiscreteStatsTable[[#This Row],[RepsRequested]]&gt;1),DiscreteStatsTable[[#This Row],[HalfWidth]],DiscreteStatsTable[[#This Row],[BatchMeansHalfWidth]])</f>
        <v>8.2742502257138958E-2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69</v>
      </c>
      <c r="C123">
        <v>7</v>
      </c>
      <c r="D123" t="s">
        <v>74</v>
      </c>
      <c r="E123" t="s">
        <v>81</v>
      </c>
      <c r="F123" t="s">
        <v>76</v>
      </c>
      <c r="G123">
        <v>4.7177592078273296</v>
      </c>
      <c r="H123">
        <v>2E+20</v>
      </c>
      <c r="I123">
        <v>0</v>
      </c>
      <c r="J123">
        <v>18.862393550751701</v>
      </c>
      <c r="K123">
        <v>91</v>
      </c>
      <c r="L12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10.8548110994785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5.9386193560648586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2.75851527565887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27.332850578638499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78.979701179035303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95.95</v>
      </c>
      <c r="W123" s="5">
        <f>IF((DiscreteStatsTable[[#This Row],[RepsRequested]]&gt;1),DiscreteStatsTable[[#This Row],[HalfWidth]],DiscreteStatsTable[[#This Row],[BatchMeansHalfWidth]])</f>
        <v>1.8992626106758985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69</v>
      </c>
      <c r="C124">
        <v>8</v>
      </c>
      <c r="D124" t="s">
        <v>74</v>
      </c>
      <c r="E124" t="s">
        <v>75</v>
      </c>
      <c r="F124" t="s">
        <v>76</v>
      </c>
      <c r="G124">
        <v>0</v>
      </c>
      <c r="H124">
        <v>2E+20</v>
      </c>
      <c r="I124">
        <v>0</v>
      </c>
      <c r="J124">
        <v>0</v>
      </c>
      <c r="K124">
        <v>98</v>
      </c>
      <c r="L12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95.95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69</v>
      </c>
      <c r="C125">
        <v>8</v>
      </c>
      <c r="D125" t="s">
        <v>74</v>
      </c>
      <c r="E125" t="s">
        <v>77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98</v>
      </c>
      <c r="L12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95.95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69</v>
      </c>
      <c r="C126">
        <v>8</v>
      </c>
      <c r="D126" t="s">
        <v>74</v>
      </c>
      <c r="E126" t="s">
        <v>78</v>
      </c>
      <c r="F126" t="s">
        <v>76</v>
      </c>
      <c r="G126">
        <v>16.637237972887899</v>
      </c>
      <c r="H126">
        <v>2E+20</v>
      </c>
      <c r="I126">
        <v>0</v>
      </c>
      <c r="J126">
        <v>36.716119358593801</v>
      </c>
      <c r="K126">
        <v>98</v>
      </c>
      <c r="L12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21.25502150828871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5.9909109955452493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13.009471754106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37.750916018623599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98.172752532264994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95.95</v>
      </c>
      <c r="W126" s="5">
        <f>IF((DiscreteStatsTable[[#This Row],[RepsRequested]]&gt;1),DiscreteStatsTable[[#This Row],[HalfWidth]],DiscreteStatsTable[[#This Row],[BatchMeansHalfWidth]])</f>
        <v>1.9159862883122878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69</v>
      </c>
      <c r="C127">
        <v>8</v>
      </c>
      <c r="D127" t="s">
        <v>74</v>
      </c>
      <c r="E127" t="s">
        <v>79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98</v>
      </c>
      <c r="L12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95.95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69</v>
      </c>
      <c r="C128">
        <v>8</v>
      </c>
      <c r="D128" t="s">
        <v>74</v>
      </c>
      <c r="E128" t="s">
        <v>80</v>
      </c>
      <c r="F128" t="s">
        <v>76</v>
      </c>
      <c r="G128">
        <v>10.584886009602</v>
      </c>
      <c r="H128">
        <v>2E+20</v>
      </c>
      <c r="I128">
        <v>0</v>
      </c>
      <c r="J128">
        <v>20.146992660936601</v>
      </c>
      <c r="K128">
        <v>98</v>
      </c>
      <c r="L12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10.400210408810217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10.0253890325213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11.3008442212181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21.961443046297202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95.95</v>
      </c>
      <c r="W128" s="5">
        <f>IF((DiscreteStatsTable[[#This Row],[RepsRequested]]&gt;1),DiscreteStatsTable[[#This Row],[HalfWidth]],DiscreteStatsTable[[#This Row],[BatchMeansHalfWidth]])</f>
        <v>8.2742502257138958E-2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69</v>
      </c>
      <c r="C129">
        <v>8</v>
      </c>
      <c r="D129" t="s">
        <v>74</v>
      </c>
      <c r="E129" t="s">
        <v>81</v>
      </c>
      <c r="F129" t="s">
        <v>76</v>
      </c>
      <c r="G129">
        <v>6.0523519632858402</v>
      </c>
      <c r="H129">
        <v>2E+20</v>
      </c>
      <c r="I129">
        <v>0</v>
      </c>
      <c r="J129">
        <v>19.940280053835998</v>
      </c>
      <c r="K129">
        <v>98</v>
      </c>
      <c r="L12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10.8548110994785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5.9386193560648586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2.75851527565887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27.332850578638499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78.979701179035303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95.95</v>
      </c>
      <c r="W129" s="5">
        <f>IF((DiscreteStatsTable[[#This Row],[RepsRequested]]&gt;1),DiscreteStatsTable[[#This Row],[HalfWidth]],DiscreteStatsTable[[#This Row],[BatchMeansHalfWidth]])</f>
        <v>1.8992626106758985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69</v>
      </c>
      <c r="C130">
        <v>9</v>
      </c>
      <c r="D130" t="s">
        <v>74</v>
      </c>
      <c r="E130" t="s">
        <v>75</v>
      </c>
      <c r="F130" t="s">
        <v>76</v>
      </c>
      <c r="G130">
        <v>0</v>
      </c>
      <c r="H130">
        <v>2E+20</v>
      </c>
      <c r="I130">
        <v>0</v>
      </c>
      <c r="J130">
        <v>0</v>
      </c>
      <c r="K130">
        <v>101</v>
      </c>
      <c r="L13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95.95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69</v>
      </c>
      <c r="C131">
        <v>9</v>
      </c>
      <c r="D131" t="s">
        <v>74</v>
      </c>
      <c r="E131" t="s">
        <v>77</v>
      </c>
      <c r="F131" t="s">
        <v>76</v>
      </c>
      <c r="G131">
        <v>0</v>
      </c>
      <c r="H131">
        <v>2E+20</v>
      </c>
      <c r="I131">
        <v>0</v>
      </c>
      <c r="J131">
        <v>0</v>
      </c>
      <c r="K131">
        <v>101</v>
      </c>
      <c r="L13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95.95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69</v>
      </c>
      <c r="C132">
        <v>9</v>
      </c>
      <c r="D132" t="s">
        <v>74</v>
      </c>
      <c r="E132" t="s">
        <v>78</v>
      </c>
      <c r="F132" t="s">
        <v>76</v>
      </c>
      <c r="G132">
        <v>27.903184539571399</v>
      </c>
      <c r="H132">
        <v>2E+20</v>
      </c>
      <c r="I132">
        <v>0</v>
      </c>
      <c r="J132">
        <v>69.467475771901704</v>
      </c>
      <c r="K132">
        <v>101</v>
      </c>
      <c r="L13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21.25502150828871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5.9909109955452493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13.009471754106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37.750916018623599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98.172752532264994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95.95</v>
      </c>
      <c r="W132" s="5">
        <f>IF((DiscreteStatsTable[[#This Row],[RepsRequested]]&gt;1),DiscreteStatsTable[[#This Row],[HalfWidth]],DiscreteStatsTable[[#This Row],[BatchMeansHalfWidth]])</f>
        <v>1.9159862883122878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69</v>
      </c>
      <c r="C133">
        <v>9</v>
      </c>
      <c r="D133" t="s">
        <v>74</v>
      </c>
      <c r="E133" t="s">
        <v>79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101</v>
      </c>
      <c r="L13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95.95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69</v>
      </c>
      <c r="C134">
        <v>9</v>
      </c>
      <c r="D134" t="s">
        <v>74</v>
      </c>
      <c r="E134" t="s">
        <v>80</v>
      </c>
      <c r="F134" t="s">
        <v>76</v>
      </c>
      <c r="G134">
        <v>10.3592816231853</v>
      </c>
      <c r="H134">
        <v>2E+20</v>
      </c>
      <c r="I134">
        <v>0</v>
      </c>
      <c r="J134">
        <v>20.908413671362201</v>
      </c>
      <c r="K134">
        <v>101</v>
      </c>
      <c r="L13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10.400210408810217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10.0253890325213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11.3008442212181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21.961443046297202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95.95</v>
      </c>
      <c r="W134" s="5">
        <f>IF((DiscreteStatsTable[[#This Row],[RepsRequested]]&gt;1),DiscreteStatsTable[[#This Row],[HalfWidth]],DiscreteStatsTable[[#This Row],[BatchMeansHalfWidth]])</f>
        <v>8.2742502257138958E-2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69</v>
      </c>
      <c r="C135">
        <v>9</v>
      </c>
      <c r="D135" t="s">
        <v>74</v>
      </c>
      <c r="E135" t="s">
        <v>81</v>
      </c>
      <c r="F135" t="s">
        <v>76</v>
      </c>
      <c r="G135">
        <v>17.543902916386099</v>
      </c>
      <c r="H135">
        <v>2E+20</v>
      </c>
      <c r="I135">
        <v>0</v>
      </c>
      <c r="J135">
        <v>48.901304535402403</v>
      </c>
      <c r="K135">
        <v>101</v>
      </c>
      <c r="L13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10.8548110994785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5.9386193560648586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2.75851527565887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27.332850578638499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78.979701179035303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95.95</v>
      </c>
      <c r="W135" s="5">
        <f>IF((DiscreteStatsTable[[#This Row],[RepsRequested]]&gt;1),DiscreteStatsTable[[#This Row],[HalfWidth]],DiscreteStatsTable[[#This Row],[BatchMeansHalfWidth]])</f>
        <v>1.8992626106758985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69</v>
      </c>
      <c r="C136">
        <v>10</v>
      </c>
      <c r="D136" t="s">
        <v>74</v>
      </c>
      <c r="E136" t="s">
        <v>75</v>
      </c>
      <c r="F136" t="s">
        <v>76</v>
      </c>
      <c r="G136">
        <v>0</v>
      </c>
      <c r="H136">
        <v>2E+20</v>
      </c>
      <c r="I136">
        <v>0</v>
      </c>
      <c r="J136">
        <v>0</v>
      </c>
      <c r="K136">
        <v>101</v>
      </c>
      <c r="L13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95.95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69</v>
      </c>
      <c r="C137">
        <v>10</v>
      </c>
      <c r="D137" t="s">
        <v>74</v>
      </c>
      <c r="E137" t="s">
        <v>77</v>
      </c>
      <c r="F137" t="s">
        <v>76</v>
      </c>
      <c r="G137">
        <v>0</v>
      </c>
      <c r="H137">
        <v>2E+20</v>
      </c>
      <c r="I137">
        <v>0</v>
      </c>
      <c r="J137">
        <v>0</v>
      </c>
      <c r="K137">
        <v>101</v>
      </c>
      <c r="L13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95.95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69</v>
      </c>
      <c r="C138">
        <v>10</v>
      </c>
      <c r="D138" t="s">
        <v>74</v>
      </c>
      <c r="E138" t="s">
        <v>78</v>
      </c>
      <c r="F138" t="s">
        <v>76</v>
      </c>
      <c r="G138">
        <v>19.614708121547899</v>
      </c>
      <c r="H138">
        <v>2E+20</v>
      </c>
      <c r="I138">
        <v>0</v>
      </c>
      <c r="J138">
        <v>52.221572110312003</v>
      </c>
      <c r="K138">
        <v>101</v>
      </c>
      <c r="L13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21.25502150828871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5.9909109955452493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13.009471754106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37.750916018623599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98.172752532264994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95.95</v>
      </c>
      <c r="W138" s="5">
        <f>IF((DiscreteStatsTable[[#This Row],[RepsRequested]]&gt;1),DiscreteStatsTable[[#This Row],[HalfWidth]],DiscreteStatsTable[[#This Row],[BatchMeansHalfWidth]])</f>
        <v>1.9159862883122878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69</v>
      </c>
      <c r="C139">
        <v>10</v>
      </c>
      <c r="D139" t="s">
        <v>74</v>
      </c>
      <c r="E139" t="s">
        <v>79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101</v>
      </c>
      <c r="L13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95.95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69</v>
      </c>
      <c r="C140">
        <v>10</v>
      </c>
      <c r="D140" t="s">
        <v>74</v>
      </c>
      <c r="E140" t="s">
        <v>80</v>
      </c>
      <c r="F140" t="s">
        <v>76</v>
      </c>
      <c r="G140">
        <v>10.1537634582343</v>
      </c>
      <c r="H140">
        <v>2E+20</v>
      </c>
      <c r="I140">
        <v>0</v>
      </c>
      <c r="J140">
        <v>20.1029776822568</v>
      </c>
      <c r="K140">
        <v>101</v>
      </c>
      <c r="L14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10.400210408810217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10.0253890325213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11.3008442212181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21.961443046297202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95.95</v>
      </c>
      <c r="W140" s="5">
        <f>IF((DiscreteStatsTable[[#This Row],[RepsRequested]]&gt;1),DiscreteStatsTable[[#This Row],[HalfWidth]],DiscreteStatsTable[[#This Row],[BatchMeansHalfWidth]])</f>
        <v>8.2742502257138958E-2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69</v>
      </c>
      <c r="C141">
        <v>10</v>
      </c>
      <c r="D141" t="s">
        <v>74</v>
      </c>
      <c r="E141" t="s">
        <v>81</v>
      </c>
      <c r="F141" t="s">
        <v>76</v>
      </c>
      <c r="G141">
        <v>9.4609446633135903</v>
      </c>
      <c r="H141">
        <v>2E+20</v>
      </c>
      <c r="I141">
        <v>0</v>
      </c>
      <c r="J141">
        <v>36.099809503234901</v>
      </c>
      <c r="K141">
        <v>101</v>
      </c>
      <c r="L14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10.8548110994785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5.9386193560648586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2.75851527565887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27.332850578638499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78.979701179035303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95.95</v>
      </c>
      <c r="W141" s="5">
        <f>IF((DiscreteStatsTable[[#This Row],[RepsRequested]]&gt;1),DiscreteStatsTable[[#This Row],[HalfWidth]],DiscreteStatsTable[[#This Row],[BatchMeansHalfWidth]])</f>
        <v>1.8992626106758985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69</v>
      </c>
      <c r="C142">
        <v>11</v>
      </c>
      <c r="D142" t="s">
        <v>74</v>
      </c>
      <c r="E142" t="s">
        <v>75</v>
      </c>
      <c r="F142" t="s">
        <v>76</v>
      </c>
      <c r="G142">
        <v>0</v>
      </c>
      <c r="H142">
        <v>2E+20</v>
      </c>
      <c r="I142">
        <v>0</v>
      </c>
      <c r="J142">
        <v>0</v>
      </c>
      <c r="K142">
        <v>101</v>
      </c>
      <c r="L14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95.95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69</v>
      </c>
      <c r="C143">
        <v>11</v>
      </c>
      <c r="D143" t="s">
        <v>74</v>
      </c>
      <c r="E143" t="s">
        <v>77</v>
      </c>
      <c r="F143" t="s">
        <v>76</v>
      </c>
      <c r="G143">
        <v>0</v>
      </c>
      <c r="H143">
        <v>2E+20</v>
      </c>
      <c r="I143">
        <v>0</v>
      </c>
      <c r="J143">
        <v>0</v>
      </c>
      <c r="K143">
        <v>101</v>
      </c>
      <c r="L14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95.95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69</v>
      </c>
      <c r="C144">
        <v>11</v>
      </c>
      <c r="D144" t="s">
        <v>74</v>
      </c>
      <c r="E144" t="s">
        <v>78</v>
      </c>
      <c r="F144" t="s">
        <v>76</v>
      </c>
      <c r="G144">
        <v>23.510984184172699</v>
      </c>
      <c r="H144">
        <v>2E+20</v>
      </c>
      <c r="I144">
        <v>0</v>
      </c>
      <c r="J144">
        <v>56.0610789682327</v>
      </c>
      <c r="K144">
        <v>101</v>
      </c>
      <c r="L14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21.25502150828871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5.9909109955452493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13.009471754106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37.750916018623599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98.172752532264994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95.95</v>
      </c>
      <c r="W144" s="5">
        <f>IF((DiscreteStatsTable[[#This Row],[RepsRequested]]&gt;1),DiscreteStatsTable[[#This Row],[HalfWidth]],DiscreteStatsTable[[#This Row],[BatchMeansHalfWidth]])</f>
        <v>1.9159862883122878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69</v>
      </c>
      <c r="C145">
        <v>11</v>
      </c>
      <c r="D145" t="s">
        <v>74</v>
      </c>
      <c r="E145" t="s">
        <v>79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101</v>
      </c>
      <c r="L14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95.95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69</v>
      </c>
      <c r="C146">
        <v>11</v>
      </c>
      <c r="D146" t="s">
        <v>74</v>
      </c>
      <c r="E146" t="s">
        <v>80</v>
      </c>
      <c r="F146" t="s">
        <v>76</v>
      </c>
      <c r="G146">
        <v>10.3177994626311</v>
      </c>
      <c r="H146">
        <v>2E+20</v>
      </c>
      <c r="I146">
        <v>0</v>
      </c>
      <c r="J146">
        <v>19.947252189314302</v>
      </c>
      <c r="K146">
        <v>101</v>
      </c>
      <c r="L14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10.400210408810217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10.0253890325213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11.3008442212181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21.961443046297202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95.95</v>
      </c>
      <c r="W146" s="5">
        <f>IF((DiscreteStatsTable[[#This Row],[RepsRequested]]&gt;1),DiscreteStatsTable[[#This Row],[HalfWidth]],DiscreteStatsTable[[#This Row],[BatchMeansHalfWidth]])</f>
        <v>8.2742502257138958E-2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69</v>
      </c>
      <c r="C147">
        <v>11</v>
      </c>
      <c r="D147" t="s">
        <v>74</v>
      </c>
      <c r="E147" t="s">
        <v>81</v>
      </c>
      <c r="F147" t="s">
        <v>76</v>
      </c>
      <c r="G147">
        <v>13.1931847215416</v>
      </c>
      <c r="H147">
        <v>2E+20</v>
      </c>
      <c r="I147">
        <v>0</v>
      </c>
      <c r="J147">
        <v>38.885569235055499</v>
      </c>
      <c r="K147">
        <v>101</v>
      </c>
      <c r="L14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10.8548110994785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5.9386193560648586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2.75851527565887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27.332850578638499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78.979701179035303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95.95</v>
      </c>
      <c r="W147" s="5">
        <f>IF((DiscreteStatsTable[[#This Row],[RepsRequested]]&gt;1),DiscreteStatsTable[[#This Row],[HalfWidth]],DiscreteStatsTable[[#This Row],[BatchMeansHalfWidth]])</f>
        <v>1.8992626106758985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69</v>
      </c>
      <c r="C148">
        <v>12</v>
      </c>
      <c r="D148" t="s">
        <v>74</v>
      </c>
      <c r="E148" t="s">
        <v>75</v>
      </c>
      <c r="F148" t="s">
        <v>76</v>
      </c>
      <c r="G148">
        <v>0</v>
      </c>
      <c r="H148">
        <v>2E+20</v>
      </c>
      <c r="I148">
        <v>0</v>
      </c>
      <c r="J148">
        <v>0</v>
      </c>
      <c r="K148">
        <v>97</v>
      </c>
      <c r="L14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95.95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69</v>
      </c>
      <c r="C149">
        <v>12</v>
      </c>
      <c r="D149" t="s">
        <v>74</v>
      </c>
      <c r="E149" t="s">
        <v>77</v>
      </c>
      <c r="F149" t="s">
        <v>76</v>
      </c>
      <c r="G149">
        <v>0</v>
      </c>
      <c r="H149">
        <v>2E+20</v>
      </c>
      <c r="I149">
        <v>0</v>
      </c>
      <c r="J149">
        <v>0</v>
      </c>
      <c r="K149">
        <v>97</v>
      </c>
      <c r="L14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95.95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69</v>
      </c>
      <c r="C150">
        <v>12</v>
      </c>
      <c r="D150" t="s">
        <v>74</v>
      </c>
      <c r="E150" t="s">
        <v>78</v>
      </c>
      <c r="F150" t="s">
        <v>76</v>
      </c>
      <c r="G150">
        <v>20.664567466811501</v>
      </c>
      <c r="H150">
        <v>2E+20</v>
      </c>
      <c r="I150">
        <v>0</v>
      </c>
      <c r="J150">
        <v>55.572050920886198</v>
      </c>
      <c r="K150">
        <v>97</v>
      </c>
      <c r="L15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21.25502150828871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5.9909109955452493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13.009471754106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37.750916018623599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98.172752532264994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95.95</v>
      </c>
      <c r="W150" s="5">
        <f>IF((DiscreteStatsTable[[#This Row],[RepsRequested]]&gt;1),DiscreteStatsTable[[#This Row],[HalfWidth]],DiscreteStatsTable[[#This Row],[BatchMeansHalfWidth]])</f>
        <v>1.9159862883122878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69</v>
      </c>
      <c r="C151">
        <v>12</v>
      </c>
      <c r="D151" t="s">
        <v>74</v>
      </c>
      <c r="E151" t="s">
        <v>79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97</v>
      </c>
      <c r="L15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95.95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69</v>
      </c>
      <c r="C152">
        <v>12</v>
      </c>
      <c r="D152" t="s">
        <v>74</v>
      </c>
      <c r="E152" t="s">
        <v>80</v>
      </c>
      <c r="F152" t="s">
        <v>76</v>
      </c>
      <c r="G152">
        <v>10.477405767401001</v>
      </c>
      <c r="H152">
        <v>2E+20</v>
      </c>
      <c r="I152">
        <v>0</v>
      </c>
      <c r="J152">
        <v>19.958835591650299</v>
      </c>
      <c r="K152">
        <v>97</v>
      </c>
      <c r="L15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10.400210408810217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10.0253890325213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11.3008442212181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21.961443046297202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95.95</v>
      </c>
      <c r="W152" s="5">
        <f>IF((DiscreteStatsTable[[#This Row],[RepsRequested]]&gt;1),DiscreteStatsTable[[#This Row],[HalfWidth]],DiscreteStatsTable[[#This Row],[BatchMeansHalfWidth]])</f>
        <v>8.2742502257138958E-2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69</v>
      </c>
      <c r="C153">
        <v>12</v>
      </c>
      <c r="D153" t="s">
        <v>74</v>
      </c>
      <c r="E153" t="s">
        <v>81</v>
      </c>
      <c r="F153" t="s">
        <v>76</v>
      </c>
      <c r="G153">
        <v>10.1871616994104</v>
      </c>
      <c r="H153">
        <v>2E+20</v>
      </c>
      <c r="I153">
        <v>0</v>
      </c>
      <c r="J153">
        <v>37.641818020429199</v>
      </c>
      <c r="K153">
        <v>97</v>
      </c>
      <c r="L15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10.8548110994785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5.9386193560648586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2.75851527565887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27.332850578638499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78.979701179035303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95.95</v>
      </c>
      <c r="W153" s="5">
        <f>IF((DiscreteStatsTable[[#This Row],[RepsRequested]]&gt;1),DiscreteStatsTable[[#This Row],[HalfWidth]],DiscreteStatsTable[[#This Row],[BatchMeansHalfWidth]])</f>
        <v>1.8992626106758985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69</v>
      </c>
      <c r="C154">
        <v>13</v>
      </c>
      <c r="D154" t="s">
        <v>74</v>
      </c>
      <c r="E154" t="s">
        <v>75</v>
      </c>
      <c r="F154" t="s">
        <v>76</v>
      </c>
      <c r="G154">
        <v>0</v>
      </c>
      <c r="H154">
        <v>2E+20</v>
      </c>
      <c r="I154">
        <v>0</v>
      </c>
      <c r="J154">
        <v>0</v>
      </c>
      <c r="K154">
        <v>99</v>
      </c>
      <c r="L15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95.95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69</v>
      </c>
      <c r="C155">
        <v>13</v>
      </c>
      <c r="D155" t="s">
        <v>74</v>
      </c>
      <c r="E155" t="s">
        <v>77</v>
      </c>
      <c r="F155" t="s">
        <v>76</v>
      </c>
      <c r="G155">
        <v>0</v>
      </c>
      <c r="H155">
        <v>2E+20</v>
      </c>
      <c r="I155">
        <v>0</v>
      </c>
      <c r="J155">
        <v>0</v>
      </c>
      <c r="K155">
        <v>99</v>
      </c>
      <c r="L15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95.95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69</v>
      </c>
      <c r="C156">
        <v>13</v>
      </c>
      <c r="D156" t="s">
        <v>74</v>
      </c>
      <c r="E156" t="s">
        <v>78</v>
      </c>
      <c r="F156" t="s">
        <v>76</v>
      </c>
      <c r="G156">
        <v>25.622080047749701</v>
      </c>
      <c r="H156">
        <v>2E+20</v>
      </c>
      <c r="I156">
        <v>0</v>
      </c>
      <c r="J156">
        <v>63.124474612249401</v>
      </c>
      <c r="K156">
        <v>99</v>
      </c>
      <c r="L15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21.25502150828871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5.9909109955452493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13.009471754106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37.750916018623599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98.172752532264994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95.95</v>
      </c>
      <c r="W156" s="5">
        <f>IF((DiscreteStatsTable[[#This Row],[RepsRequested]]&gt;1),DiscreteStatsTable[[#This Row],[HalfWidth]],DiscreteStatsTable[[#This Row],[BatchMeansHalfWidth]])</f>
        <v>1.9159862883122878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69</v>
      </c>
      <c r="C157">
        <v>13</v>
      </c>
      <c r="D157" t="s">
        <v>74</v>
      </c>
      <c r="E157" t="s">
        <v>79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99</v>
      </c>
      <c r="L15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95.95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69</v>
      </c>
      <c r="C158">
        <v>13</v>
      </c>
      <c r="D158" t="s">
        <v>74</v>
      </c>
      <c r="E158" t="s">
        <v>80</v>
      </c>
      <c r="F158" t="s">
        <v>76</v>
      </c>
      <c r="G158">
        <v>10.539847694125701</v>
      </c>
      <c r="H158">
        <v>2E+20</v>
      </c>
      <c r="I158">
        <v>0</v>
      </c>
      <c r="J158">
        <v>20.3703261678289</v>
      </c>
      <c r="K158">
        <v>99</v>
      </c>
      <c r="L15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10.400210408810217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10.0253890325213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11.3008442212181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21.961443046297202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95.95</v>
      </c>
      <c r="W158" s="5">
        <f>IF((DiscreteStatsTable[[#This Row],[RepsRequested]]&gt;1),DiscreteStatsTable[[#This Row],[HalfWidth]],DiscreteStatsTable[[#This Row],[BatchMeansHalfWidth]])</f>
        <v>8.2742502257138958E-2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69</v>
      </c>
      <c r="C159">
        <v>13</v>
      </c>
      <c r="D159" t="s">
        <v>74</v>
      </c>
      <c r="E159" t="s">
        <v>81</v>
      </c>
      <c r="F159" t="s">
        <v>76</v>
      </c>
      <c r="G159">
        <v>15.082232353624001</v>
      </c>
      <c r="H159">
        <v>2E+20</v>
      </c>
      <c r="I159">
        <v>0</v>
      </c>
      <c r="J159">
        <v>47.3700774256274</v>
      </c>
      <c r="K159">
        <v>99</v>
      </c>
      <c r="L15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10.8548110994785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5.9386193560648586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2.75851527565887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27.332850578638499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78.979701179035303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95.95</v>
      </c>
      <c r="W159" s="5">
        <f>IF((DiscreteStatsTable[[#This Row],[RepsRequested]]&gt;1),DiscreteStatsTable[[#This Row],[HalfWidth]],DiscreteStatsTable[[#This Row],[BatchMeansHalfWidth]])</f>
        <v>1.8992626106758985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69</v>
      </c>
      <c r="C160">
        <v>14</v>
      </c>
      <c r="D160" t="s">
        <v>74</v>
      </c>
      <c r="E160" t="s">
        <v>75</v>
      </c>
      <c r="F160" t="s">
        <v>76</v>
      </c>
      <c r="G160">
        <v>0</v>
      </c>
      <c r="H160">
        <v>2E+20</v>
      </c>
      <c r="I160">
        <v>0</v>
      </c>
      <c r="J160">
        <v>0</v>
      </c>
      <c r="K160">
        <v>100</v>
      </c>
      <c r="L16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95.95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69</v>
      </c>
      <c r="C161">
        <v>14</v>
      </c>
      <c r="D161" t="s">
        <v>74</v>
      </c>
      <c r="E161" t="s">
        <v>77</v>
      </c>
      <c r="F161" t="s">
        <v>76</v>
      </c>
      <c r="G161">
        <v>0</v>
      </c>
      <c r="H161">
        <v>2E+20</v>
      </c>
      <c r="I161">
        <v>0</v>
      </c>
      <c r="J161">
        <v>0</v>
      </c>
      <c r="K161">
        <v>100</v>
      </c>
      <c r="L16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95.95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69</v>
      </c>
      <c r="C162">
        <v>14</v>
      </c>
      <c r="D162" t="s">
        <v>74</v>
      </c>
      <c r="E162" t="s">
        <v>78</v>
      </c>
      <c r="F162" t="s">
        <v>76</v>
      </c>
      <c r="G162">
        <v>20.378520622448601</v>
      </c>
      <c r="H162">
        <v>2E+20</v>
      </c>
      <c r="I162">
        <v>0</v>
      </c>
      <c r="J162">
        <v>68.780140584091995</v>
      </c>
      <c r="K162">
        <v>100</v>
      </c>
      <c r="L16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21.25502150828871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5.9909109955452493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13.009471754106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37.750916018623599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98.172752532264994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95.95</v>
      </c>
      <c r="W162" s="5">
        <f>IF((DiscreteStatsTable[[#This Row],[RepsRequested]]&gt;1),DiscreteStatsTable[[#This Row],[HalfWidth]],DiscreteStatsTable[[#This Row],[BatchMeansHalfWidth]])</f>
        <v>1.9159862883122878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69</v>
      </c>
      <c r="C163">
        <v>14</v>
      </c>
      <c r="D163" t="s">
        <v>74</v>
      </c>
      <c r="E163" t="s">
        <v>79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100</v>
      </c>
      <c r="L16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95.95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69</v>
      </c>
      <c r="C164">
        <v>14</v>
      </c>
      <c r="D164" t="s">
        <v>74</v>
      </c>
      <c r="E164" t="s">
        <v>80</v>
      </c>
      <c r="F164" t="s">
        <v>76</v>
      </c>
      <c r="G164">
        <v>10.2956102560756</v>
      </c>
      <c r="H164">
        <v>2E+20</v>
      </c>
      <c r="I164">
        <v>0</v>
      </c>
      <c r="J164">
        <v>20.858134131684199</v>
      </c>
      <c r="K164">
        <v>100</v>
      </c>
      <c r="L16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10.400210408810217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10.0253890325213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11.3008442212181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21.961443046297202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95.95</v>
      </c>
      <c r="W164" s="5">
        <f>IF((DiscreteStatsTable[[#This Row],[RepsRequested]]&gt;1),DiscreteStatsTable[[#This Row],[HalfWidth]],DiscreteStatsTable[[#This Row],[BatchMeansHalfWidth]])</f>
        <v>8.2742502257138958E-2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69</v>
      </c>
      <c r="C165">
        <v>14</v>
      </c>
      <c r="D165" t="s">
        <v>74</v>
      </c>
      <c r="E165" t="s">
        <v>81</v>
      </c>
      <c r="F165" t="s">
        <v>76</v>
      </c>
      <c r="G165">
        <v>10.082910366373101</v>
      </c>
      <c r="H165">
        <v>2E+20</v>
      </c>
      <c r="I165">
        <v>0</v>
      </c>
      <c r="J165">
        <v>52.757170967036998</v>
      </c>
      <c r="K165">
        <v>100</v>
      </c>
      <c r="L16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10.8548110994785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5.9386193560648586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2.75851527565887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27.332850578638499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78.979701179035303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95.95</v>
      </c>
      <c r="W165" s="5">
        <f>IF((DiscreteStatsTable[[#This Row],[RepsRequested]]&gt;1),DiscreteStatsTable[[#This Row],[HalfWidth]],DiscreteStatsTable[[#This Row],[BatchMeansHalfWidth]])</f>
        <v>1.8992626106758985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69</v>
      </c>
      <c r="C166">
        <v>15</v>
      </c>
      <c r="D166" t="s">
        <v>74</v>
      </c>
      <c r="E166" t="s">
        <v>75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84</v>
      </c>
      <c r="L16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95.95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69</v>
      </c>
      <c r="C167">
        <v>15</v>
      </c>
      <c r="D167" t="s">
        <v>74</v>
      </c>
      <c r="E167" t="s">
        <v>77</v>
      </c>
      <c r="F167" t="s">
        <v>76</v>
      </c>
      <c r="G167">
        <v>0</v>
      </c>
      <c r="H167">
        <v>2E+20</v>
      </c>
      <c r="I167">
        <v>0</v>
      </c>
      <c r="J167">
        <v>0</v>
      </c>
      <c r="K167">
        <v>84</v>
      </c>
      <c r="L16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95.95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69</v>
      </c>
      <c r="C168">
        <v>15</v>
      </c>
      <c r="D168" t="s">
        <v>74</v>
      </c>
      <c r="E168" t="s">
        <v>78</v>
      </c>
      <c r="F168" t="s">
        <v>76</v>
      </c>
      <c r="G168">
        <v>18.1275600140664</v>
      </c>
      <c r="H168">
        <v>2E+20</v>
      </c>
      <c r="I168">
        <v>0</v>
      </c>
      <c r="J168">
        <v>53.885401522396101</v>
      </c>
      <c r="K168">
        <v>84</v>
      </c>
      <c r="L16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21.25502150828871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5.9909109955452493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13.009471754106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37.750916018623599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98.172752532264994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95.95</v>
      </c>
      <c r="W168" s="5">
        <f>IF((DiscreteStatsTable[[#This Row],[RepsRequested]]&gt;1),DiscreteStatsTable[[#This Row],[HalfWidth]],DiscreteStatsTable[[#This Row],[BatchMeansHalfWidth]])</f>
        <v>1.9159862883122878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69</v>
      </c>
      <c r="C169">
        <v>15</v>
      </c>
      <c r="D169" t="s">
        <v>74</v>
      </c>
      <c r="E169" t="s">
        <v>79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84</v>
      </c>
      <c r="L16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95.95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69</v>
      </c>
      <c r="C170">
        <v>15</v>
      </c>
      <c r="D170" t="s">
        <v>74</v>
      </c>
      <c r="E170" t="s">
        <v>80</v>
      </c>
      <c r="F170" t="s">
        <v>76</v>
      </c>
      <c r="G170">
        <v>10.8561296435721</v>
      </c>
      <c r="H170">
        <v>2E+20</v>
      </c>
      <c r="I170">
        <v>0</v>
      </c>
      <c r="J170">
        <v>21.527818253747999</v>
      </c>
      <c r="K170">
        <v>84</v>
      </c>
      <c r="L17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10.400210408810217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10.0253890325213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11.3008442212181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21.961443046297202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95.95</v>
      </c>
      <c r="W170" s="5">
        <f>IF((DiscreteStatsTable[[#This Row],[RepsRequested]]&gt;1),DiscreteStatsTable[[#This Row],[HalfWidth]],DiscreteStatsTable[[#This Row],[BatchMeansHalfWidth]])</f>
        <v>8.2742502257138958E-2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69</v>
      </c>
      <c r="C171">
        <v>15</v>
      </c>
      <c r="D171" t="s">
        <v>74</v>
      </c>
      <c r="E171" t="s">
        <v>81</v>
      </c>
      <c r="F171" t="s">
        <v>76</v>
      </c>
      <c r="G171">
        <v>7.2714303704942704</v>
      </c>
      <c r="H171">
        <v>2E+20</v>
      </c>
      <c r="I171">
        <v>0</v>
      </c>
      <c r="J171">
        <v>35.890638889310701</v>
      </c>
      <c r="K171">
        <v>84</v>
      </c>
      <c r="L17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10.8548110994785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5.9386193560648586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2.75851527565887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27.332850578638499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78.979701179035303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95.95</v>
      </c>
      <c r="W171" s="5">
        <f>IF((DiscreteStatsTable[[#This Row],[RepsRequested]]&gt;1),DiscreteStatsTable[[#This Row],[HalfWidth]],DiscreteStatsTable[[#This Row],[BatchMeansHalfWidth]])</f>
        <v>1.8992626106758985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69</v>
      </c>
      <c r="C172">
        <v>16</v>
      </c>
      <c r="D172" t="s">
        <v>74</v>
      </c>
      <c r="E172" t="s">
        <v>75</v>
      </c>
      <c r="F172" t="s">
        <v>76</v>
      </c>
      <c r="G172">
        <v>0</v>
      </c>
      <c r="H172">
        <v>2E+20</v>
      </c>
      <c r="I172">
        <v>0</v>
      </c>
      <c r="J172">
        <v>0</v>
      </c>
      <c r="K172">
        <v>97</v>
      </c>
      <c r="L17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95.95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69</v>
      </c>
      <c r="C173">
        <v>16</v>
      </c>
      <c r="D173" t="s">
        <v>74</v>
      </c>
      <c r="E173" t="s">
        <v>77</v>
      </c>
      <c r="F173" t="s">
        <v>76</v>
      </c>
      <c r="G173">
        <v>0</v>
      </c>
      <c r="H173">
        <v>2E+20</v>
      </c>
      <c r="I173">
        <v>0</v>
      </c>
      <c r="J173">
        <v>0</v>
      </c>
      <c r="K173">
        <v>97</v>
      </c>
      <c r="L17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95.95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69</v>
      </c>
      <c r="C174">
        <v>16</v>
      </c>
      <c r="D174" t="s">
        <v>74</v>
      </c>
      <c r="E174" t="s">
        <v>78</v>
      </c>
      <c r="F174" t="s">
        <v>76</v>
      </c>
      <c r="G174">
        <v>30.2117432636439</v>
      </c>
      <c r="H174">
        <v>2E+20</v>
      </c>
      <c r="I174">
        <v>0</v>
      </c>
      <c r="J174">
        <v>78.171854095848801</v>
      </c>
      <c r="K174">
        <v>97</v>
      </c>
      <c r="L17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21.25502150828871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5.9909109955452493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13.009471754106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37.750916018623599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98.172752532264994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95.95</v>
      </c>
      <c r="W174" s="5">
        <f>IF((DiscreteStatsTable[[#This Row],[RepsRequested]]&gt;1),DiscreteStatsTable[[#This Row],[HalfWidth]],DiscreteStatsTable[[#This Row],[BatchMeansHalfWidth]])</f>
        <v>1.9159862883122878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69</v>
      </c>
      <c r="C175">
        <v>16</v>
      </c>
      <c r="D175" t="s">
        <v>74</v>
      </c>
      <c r="E175" t="s">
        <v>79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97</v>
      </c>
      <c r="L17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95.95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69</v>
      </c>
      <c r="C176">
        <v>16</v>
      </c>
      <c r="D176" t="s">
        <v>74</v>
      </c>
      <c r="E176" t="s">
        <v>80</v>
      </c>
      <c r="F176" t="s">
        <v>76</v>
      </c>
      <c r="G176">
        <v>11.015353970671701</v>
      </c>
      <c r="H176">
        <v>2E+20</v>
      </c>
      <c r="I176">
        <v>0</v>
      </c>
      <c r="J176">
        <v>20.717518976821999</v>
      </c>
      <c r="K176">
        <v>97</v>
      </c>
      <c r="L17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10.400210408810217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10.0253890325213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11.3008442212181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21.961443046297202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95.95</v>
      </c>
      <c r="W176" s="5">
        <f>IF((DiscreteStatsTable[[#This Row],[RepsRequested]]&gt;1),DiscreteStatsTable[[#This Row],[HalfWidth]],DiscreteStatsTable[[#This Row],[BatchMeansHalfWidth]])</f>
        <v>8.2742502257138958E-2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69</v>
      </c>
      <c r="C177">
        <v>16</v>
      </c>
      <c r="D177" t="s">
        <v>74</v>
      </c>
      <c r="E177" t="s">
        <v>81</v>
      </c>
      <c r="F177" t="s">
        <v>76</v>
      </c>
      <c r="G177">
        <v>19.196389292972199</v>
      </c>
      <c r="H177">
        <v>2E+20</v>
      </c>
      <c r="I177">
        <v>0</v>
      </c>
      <c r="J177">
        <v>62.351873480716797</v>
      </c>
      <c r="K177">
        <v>97</v>
      </c>
      <c r="L17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10.8548110994785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5.9386193560648586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2.75851527565887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27.332850578638499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78.979701179035303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95.95</v>
      </c>
      <c r="W177" s="5">
        <f>IF((DiscreteStatsTable[[#This Row],[RepsRequested]]&gt;1),DiscreteStatsTable[[#This Row],[HalfWidth]],DiscreteStatsTable[[#This Row],[BatchMeansHalfWidth]])</f>
        <v>1.8992626106758985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69</v>
      </c>
      <c r="C178">
        <v>17</v>
      </c>
      <c r="D178" t="s">
        <v>74</v>
      </c>
      <c r="E178" t="s">
        <v>75</v>
      </c>
      <c r="F178" t="s">
        <v>76</v>
      </c>
      <c r="G178">
        <v>0</v>
      </c>
      <c r="H178">
        <v>2E+20</v>
      </c>
      <c r="I178">
        <v>0</v>
      </c>
      <c r="J178">
        <v>0</v>
      </c>
      <c r="K178">
        <v>89</v>
      </c>
      <c r="L17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95.95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69</v>
      </c>
      <c r="C179">
        <v>17</v>
      </c>
      <c r="D179" t="s">
        <v>74</v>
      </c>
      <c r="E179" t="s">
        <v>77</v>
      </c>
      <c r="F179" t="s">
        <v>76</v>
      </c>
      <c r="G179">
        <v>0</v>
      </c>
      <c r="H179">
        <v>2E+20</v>
      </c>
      <c r="I179">
        <v>0</v>
      </c>
      <c r="J179">
        <v>0</v>
      </c>
      <c r="K179">
        <v>89</v>
      </c>
      <c r="L17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95.95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69</v>
      </c>
      <c r="C180">
        <v>17</v>
      </c>
      <c r="D180" t="s">
        <v>74</v>
      </c>
      <c r="E180" t="s">
        <v>78</v>
      </c>
      <c r="F180" t="s">
        <v>76</v>
      </c>
      <c r="G180">
        <v>18.414591729841302</v>
      </c>
      <c r="H180">
        <v>2E+20</v>
      </c>
      <c r="I180">
        <v>0</v>
      </c>
      <c r="J180">
        <v>39.927726246848898</v>
      </c>
      <c r="K180">
        <v>89</v>
      </c>
      <c r="L18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21.25502150828871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5.9909109955452493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13.009471754106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37.750916018623599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98.172752532264994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95.95</v>
      </c>
      <c r="W180" s="5">
        <f>IF((DiscreteStatsTable[[#This Row],[RepsRequested]]&gt;1),DiscreteStatsTable[[#This Row],[HalfWidth]],DiscreteStatsTable[[#This Row],[BatchMeansHalfWidth]])</f>
        <v>1.9159862883122878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69</v>
      </c>
      <c r="C181">
        <v>17</v>
      </c>
      <c r="D181" t="s">
        <v>74</v>
      </c>
      <c r="E181" t="s">
        <v>79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89</v>
      </c>
      <c r="L18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95.95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69</v>
      </c>
      <c r="C182">
        <v>17</v>
      </c>
      <c r="D182" t="s">
        <v>74</v>
      </c>
      <c r="E182" t="s">
        <v>80</v>
      </c>
      <c r="F182" t="s">
        <v>76</v>
      </c>
      <c r="G182">
        <v>10.757541858852299</v>
      </c>
      <c r="H182">
        <v>2E+20</v>
      </c>
      <c r="I182">
        <v>0</v>
      </c>
      <c r="J182">
        <v>21.961443046297202</v>
      </c>
      <c r="K182">
        <v>89</v>
      </c>
      <c r="L18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10.400210408810217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10.0253890325213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11.3008442212181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21.961443046297202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95.95</v>
      </c>
      <c r="W182" s="5">
        <f>IF((DiscreteStatsTable[[#This Row],[RepsRequested]]&gt;1),DiscreteStatsTable[[#This Row],[HalfWidth]],DiscreteStatsTable[[#This Row],[BatchMeansHalfWidth]])</f>
        <v>8.2742502257138958E-2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69</v>
      </c>
      <c r="C183">
        <v>17</v>
      </c>
      <c r="D183" t="s">
        <v>74</v>
      </c>
      <c r="E183" t="s">
        <v>81</v>
      </c>
      <c r="F183" t="s">
        <v>76</v>
      </c>
      <c r="G183">
        <v>7.6570498709890504</v>
      </c>
      <c r="H183">
        <v>2E+20</v>
      </c>
      <c r="I183">
        <v>0</v>
      </c>
      <c r="J183">
        <v>25.329560746576401</v>
      </c>
      <c r="K183">
        <v>89</v>
      </c>
      <c r="L18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10.8548110994785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5.9386193560648586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2.75851527565887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27.332850578638499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78.979701179035303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95.95</v>
      </c>
      <c r="W183" s="5">
        <f>IF((DiscreteStatsTable[[#This Row],[RepsRequested]]&gt;1),DiscreteStatsTable[[#This Row],[HalfWidth]],DiscreteStatsTable[[#This Row],[BatchMeansHalfWidth]])</f>
        <v>1.8992626106758985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69</v>
      </c>
      <c r="C184">
        <v>18</v>
      </c>
      <c r="D184" t="s">
        <v>74</v>
      </c>
      <c r="E184" t="s">
        <v>75</v>
      </c>
      <c r="F184" t="s">
        <v>76</v>
      </c>
      <c r="G184">
        <v>0</v>
      </c>
      <c r="H184">
        <v>2E+20</v>
      </c>
      <c r="I184">
        <v>0</v>
      </c>
      <c r="J184">
        <v>0</v>
      </c>
      <c r="K184">
        <v>100</v>
      </c>
      <c r="L18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95.95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69</v>
      </c>
      <c r="C185">
        <v>18</v>
      </c>
      <c r="D185" t="s">
        <v>74</v>
      </c>
      <c r="E185" t="s">
        <v>77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100</v>
      </c>
      <c r="L18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95.95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69</v>
      </c>
      <c r="C186">
        <v>18</v>
      </c>
      <c r="D186" t="s">
        <v>74</v>
      </c>
      <c r="E186" t="s">
        <v>78</v>
      </c>
      <c r="F186" t="s">
        <v>76</v>
      </c>
      <c r="G186">
        <v>20.575886768723699</v>
      </c>
      <c r="H186">
        <v>2E+20</v>
      </c>
      <c r="I186">
        <v>0</v>
      </c>
      <c r="J186">
        <v>61.570910774179502</v>
      </c>
      <c r="K186">
        <v>100</v>
      </c>
      <c r="L18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21.25502150828871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5.9909109955452493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13.009471754106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37.750916018623599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98.172752532264994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95.95</v>
      </c>
      <c r="W186" s="5">
        <f>IF((DiscreteStatsTable[[#This Row],[RepsRequested]]&gt;1),DiscreteStatsTable[[#This Row],[HalfWidth]],DiscreteStatsTable[[#This Row],[BatchMeansHalfWidth]])</f>
        <v>1.9159862883122878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69</v>
      </c>
      <c r="C187">
        <v>18</v>
      </c>
      <c r="D187" t="s">
        <v>74</v>
      </c>
      <c r="E187" t="s">
        <v>79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100</v>
      </c>
      <c r="L18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95.95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69</v>
      </c>
      <c r="C188">
        <v>18</v>
      </c>
      <c r="D188" t="s">
        <v>74</v>
      </c>
      <c r="E188" t="s">
        <v>80</v>
      </c>
      <c r="F188" t="s">
        <v>76</v>
      </c>
      <c r="G188">
        <v>10.313699493114701</v>
      </c>
      <c r="H188">
        <v>2E+20</v>
      </c>
      <c r="I188">
        <v>0</v>
      </c>
      <c r="J188">
        <v>21.704567881009499</v>
      </c>
      <c r="K188">
        <v>100</v>
      </c>
      <c r="L18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10.400210408810217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10.0253890325213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11.3008442212181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21.961443046297202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95.95</v>
      </c>
      <c r="W188" s="5">
        <f>IF((DiscreteStatsTable[[#This Row],[RepsRequested]]&gt;1),DiscreteStatsTable[[#This Row],[HalfWidth]],DiscreteStatsTable[[#This Row],[BatchMeansHalfWidth]])</f>
        <v>8.2742502257138958E-2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69</v>
      </c>
      <c r="C189">
        <v>18</v>
      </c>
      <c r="D189" t="s">
        <v>74</v>
      </c>
      <c r="E189" t="s">
        <v>81</v>
      </c>
      <c r="F189" t="s">
        <v>76</v>
      </c>
      <c r="G189">
        <v>10.262187275609</v>
      </c>
      <c r="H189">
        <v>2E+20</v>
      </c>
      <c r="I189">
        <v>0</v>
      </c>
      <c r="J189">
        <v>44.631940347810598</v>
      </c>
      <c r="K189">
        <v>100</v>
      </c>
      <c r="L18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10.8548110994785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5.9386193560648586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2.75851527565887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27.332850578638499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78.979701179035303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95.95</v>
      </c>
      <c r="W189" s="5">
        <f>IF((DiscreteStatsTable[[#This Row],[RepsRequested]]&gt;1),DiscreteStatsTable[[#This Row],[HalfWidth]],DiscreteStatsTable[[#This Row],[BatchMeansHalfWidth]])</f>
        <v>1.8992626106758985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69</v>
      </c>
      <c r="C190">
        <v>19</v>
      </c>
      <c r="D190" t="s">
        <v>74</v>
      </c>
      <c r="E190" t="s">
        <v>75</v>
      </c>
      <c r="F190" t="s">
        <v>76</v>
      </c>
      <c r="G190">
        <v>0</v>
      </c>
      <c r="H190">
        <v>2E+20</v>
      </c>
      <c r="I190">
        <v>0</v>
      </c>
      <c r="J190">
        <v>0</v>
      </c>
      <c r="K190">
        <v>92</v>
      </c>
      <c r="L19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95.95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69</v>
      </c>
      <c r="C191">
        <v>19</v>
      </c>
      <c r="D191" t="s">
        <v>74</v>
      </c>
      <c r="E191" t="s">
        <v>77</v>
      </c>
      <c r="F191" t="s">
        <v>76</v>
      </c>
      <c r="G191">
        <v>0</v>
      </c>
      <c r="H191">
        <v>2E+20</v>
      </c>
      <c r="I191">
        <v>0</v>
      </c>
      <c r="J191">
        <v>0</v>
      </c>
      <c r="K191">
        <v>92</v>
      </c>
      <c r="L19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95.95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69</v>
      </c>
      <c r="C192">
        <v>19</v>
      </c>
      <c r="D192" t="s">
        <v>74</v>
      </c>
      <c r="E192" t="s">
        <v>78</v>
      </c>
      <c r="F192" t="s">
        <v>76</v>
      </c>
      <c r="G192">
        <v>15.582208804605299</v>
      </c>
      <c r="H192">
        <v>2E+20</v>
      </c>
      <c r="I192">
        <v>0</v>
      </c>
      <c r="J192">
        <v>40.857290292990101</v>
      </c>
      <c r="K192">
        <v>92</v>
      </c>
      <c r="L19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21.25502150828871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5.9909109955452493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13.009471754106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37.750916018623599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98.172752532264994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95.95</v>
      </c>
      <c r="W192" s="5">
        <f>IF((DiscreteStatsTable[[#This Row],[RepsRequested]]&gt;1),DiscreteStatsTable[[#This Row],[HalfWidth]],DiscreteStatsTable[[#This Row],[BatchMeansHalfWidth]])</f>
        <v>1.9159862883122878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69</v>
      </c>
      <c r="C193">
        <v>19</v>
      </c>
      <c r="D193" t="s">
        <v>74</v>
      </c>
      <c r="E193" t="s">
        <v>79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92</v>
      </c>
      <c r="L19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95.95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69</v>
      </c>
      <c r="C194">
        <v>19</v>
      </c>
      <c r="D194" t="s">
        <v>74</v>
      </c>
      <c r="E194" t="s">
        <v>80</v>
      </c>
      <c r="F194" t="s">
        <v>76</v>
      </c>
      <c r="G194">
        <v>10.148487123336601</v>
      </c>
      <c r="H194">
        <v>2E+20</v>
      </c>
      <c r="I194">
        <v>0</v>
      </c>
      <c r="J194">
        <v>20.116181167766499</v>
      </c>
      <c r="K194">
        <v>92</v>
      </c>
      <c r="L19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10.400210408810217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10.0253890325213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11.3008442212181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21.961443046297202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95.95</v>
      </c>
      <c r="W194" s="5">
        <f>IF((DiscreteStatsTable[[#This Row],[RepsRequested]]&gt;1),DiscreteStatsTable[[#This Row],[HalfWidth]],DiscreteStatsTable[[#This Row],[BatchMeansHalfWidth]])</f>
        <v>8.2742502257138958E-2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69</v>
      </c>
      <c r="C195">
        <v>19</v>
      </c>
      <c r="D195" t="s">
        <v>74</v>
      </c>
      <c r="E195" t="s">
        <v>81</v>
      </c>
      <c r="F195" t="s">
        <v>76</v>
      </c>
      <c r="G195">
        <v>5.4337216812687403</v>
      </c>
      <c r="H195">
        <v>2E+20</v>
      </c>
      <c r="I195">
        <v>0</v>
      </c>
      <c r="J195">
        <v>22.342413500157001</v>
      </c>
      <c r="K195">
        <v>92</v>
      </c>
      <c r="L19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10.8548110994785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5.9386193560648586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2.75851527565887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27.332850578638499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78.979701179035303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95.95</v>
      </c>
      <c r="W195" s="5">
        <f>IF((DiscreteStatsTable[[#This Row],[RepsRequested]]&gt;1),DiscreteStatsTable[[#This Row],[HalfWidth]],DiscreteStatsTable[[#This Row],[BatchMeansHalfWidth]])</f>
        <v>1.8992626106758985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69</v>
      </c>
      <c r="C196">
        <v>20</v>
      </c>
      <c r="D196" t="s">
        <v>74</v>
      </c>
      <c r="E196" t="s">
        <v>75</v>
      </c>
      <c r="F196" t="s">
        <v>76</v>
      </c>
      <c r="G196">
        <v>0</v>
      </c>
      <c r="H196">
        <v>2E+20</v>
      </c>
      <c r="I196">
        <v>0</v>
      </c>
      <c r="J196">
        <v>0</v>
      </c>
      <c r="K196">
        <v>104</v>
      </c>
      <c r="L19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95.95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69</v>
      </c>
      <c r="C197">
        <v>20</v>
      </c>
      <c r="D197" t="s">
        <v>74</v>
      </c>
      <c r="E197" t="s">
        <v>77</v>
      </c>
      <c r="F197" t="s">
        <v>76</v>
      </c>
      <c r="G197">
        <v>0</v>
      </c>
      <c r="H197">
        <v>2E+20</v>
      </c>
      <c r="I197">
        <v>0</v>
      </c>
      <c r="J197">
        <v>0</v>
      </c>
      <c r="K197">
        <v>104</v>
      </c>
      <c r="L19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95.95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69</v>
      </c>
      <c r="C198">
        <v>20</v>
      </c>
      <c r="D198" t="s">
        <v>74</v>
      </c>
      <c r="E198" t="s">
        <v>78</v>
      </c>
      <c r="F198" t="s">
        <v>76</v>
      </c>
      <c r="G198">
        <v>28.1477074090432</v>
      </c>
      <c r="H198">
        <v>2E+20</v>
      </c>
      <c r="I198">
        <v>0</v>
      </c>
      <c r="J198">
        <v>72.434911532923195</v>
      </c>
      <c r="K198">
        <v>104</v>
      </c>
      <c r="L19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21.25502150828871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5.9909109955452493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13.009471754106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37.750916018623599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98.172752532264994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95.95</v>
      </c>
      <c r="W198" s="5">
        <f>IF((DiscreteStatsTable[[#This Row],[RepsRequested]]&gt;1),DiscreteStatsTable[[#This Row],[HalfWidth]],DiscreteStatsTable[[#This Row],[BatchMeansHalfWidth]])</f>
        <v>1.9159862883122878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69</v>
      </c>
      <c r="C199">
        <v>20</v>
      </c>
      <c r="D199" t="s">
        <v>74</v>
      </c>
      <c r="E199" t="s">
        <v>79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104</v>
      </c>
      <c r="L19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95.95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69</v>
      </c>
      <c r="C200">
        <v>20</v>
      </c>
      <c r="D200" t="s">
        <v>74</v>
      </c>
      <c r="E200" t="s">
        <v>80</v>
      </c>
      <c r="F200" t="s">
        <v>76</v>
      </c>
      <c r="G200">
        <v>10.2306688729592</v>
      </c>
      <c r="H200">
        <v>2E+20</v>
      </c>
      <c r="I200">
        <v>0</v>
      </c>
      <c r="J200">
        <v>20.7662970270692</v>
      </c>
      <c r="K200">
        <v>104</v>
      </c>
      <c r="L20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10.400210408810217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10.0253890325213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11.3008442212181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21.961443046297202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95.95</v>
      </c>
      <c r="W200" s="5">
        <f>IF((DiscreteStatsTable[[#This Row],[RepsRequested]]&gt;1),DiscreteStatsTable[[#This Row],[HalfWidth]],DiscreteStatsTable[[#This Row],[BatchMeansHalfWidth]])</f>
        <v>8.2742502257138958E-2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69</v>
      </c>
      <c r="C201">
        <v>20</v>
      </c>
      <c r="D201" t="s">
        <v>74</v>
      </c>
      <c r="E201" t="s">
        <v>81</v>
      </c>
      <c r="F201" t="s">
        <v>76</v>
      </c>
      <c r="G201">
        <v>17.917038536084</v>
      </c>
      <c r="H201">
        <v>2E+20</v>
      </c>
      <c r="I201">
        <v>0</v>
      </c>
      <c r="J201">
        <v>56.265708918814603</v>
      </c>
      <c r="K201">
        <v>104</v>
      </c>
      <c r="L20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10.8548110994785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5.9386193560648586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2.75851527565887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27.332850578638499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78.979701179035303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95.95</v>
      </c>
      <c r="W201" s="5">
        <f>IF((DiscreteStatsTable[[#This Row],[RepsRequested]]&gt;1),DiscreteStatsTable[[#This Row],[HalfWidth]],DiscreteStatsTable[[#This Row],[BatchMeansHalfWidth]])</f>
        <v>1.8992626106758985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69</v>
      </c>
      <c r="C202">
        <v>21</v>
      </c>
      <c r="D202" t="s">
        <v>74</v>
      </c>
      <c r="E202" t="s">
        <v>75</v>
      </c>
      <c r="F202" t="s">
        <v>76</v>
      </c>
      <c r="G202">
        <v>0</v>
      </c>
      <c r="H202">
        <v>2E+20</v>
      </c>
      <c r="I202">
        <v>0</v>
      </c>
      <c r="J202">
        <v>0</v>
      </c>
      <c r="K202">
        <v>93</v>
      </c>
      <c r="L20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95.95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69</v>
      </c>
      <c r="C203">
        <v>21</v>
      </c>
      <c r="D203" t="s">
        <v>74</v>
      </c>
      <c r="E203" t="s">
        <v>77</v>
      </c>
      <c r="F203" t="s">
        <v>76</v>
      </c>
      <c r="G203">
        <v>0</v>
      </c>
      <c r="H203">
        <v>2E+20</v>
      </c>
      <c r="I203">
        <v>0</v>
      </c>
      <c r="J203">
        <v>0</v>
      </c>
      <c r="K203">
        <v>93</v>
      </c>
      <c r="L20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95.95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69</v>
      </c>
      <c r="C204">
        <v>21</v>
      </c>
      <c r="D204" t="s">
        <v>74</v>
      </c>
      <c r="E204" t="s">
        <v>78</v>
      </c>
      <c r="F204" t="s">
        <v>76</v>
      </c>
      <c r="G204">
        <v>18.636370366381001</v>
      </c>
      <c r="H204">
        <v>2E+20</v>
      </c>
      <c r="I204">
        <v>0</v>
      </c>
      <c r="J204">
        <v>52.9539089173185</v>
      </c>
      <c r="K204">
        <v>93</v>
      </c>
      <c r="L20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21.25502150828871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5.9909109955452493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13.009471754106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37.750916018623599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98.172752532264994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95.95</v>
      </c>
      <c r="W204" s="5">
        <f>IF((DiscreteStatsTable[[#This Row],[RepsRequested]]&gt;1),DiscreteStatsTable[[#This Row],[HalfWidth]],DiscreteStatsTable[[#This Row],[BatchMeansHalfWidth]])</f>
        <v>1.9159862883122878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69</v>
      </c>
      <c r="C205">
        <v>21</v>
      </c>
      <c r="D205" t="s">
        <v>74</v>
      </c>
      <c r="E205" t="s">
        <v>79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93</v>
      </c>
      <c r="L20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95.95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69</v>
      </c>
      <c r="C206">
        <v>21</v>
      </c>
      <c r="D206" t="s">
        <v>74</v>
      </c>
      <c r="E206" t="s">
        <v>80</v>
      </c>
      <c r="F206" t="s">
        <v>76</v>
      </c>
      <c r="G206">
        <v>10.1433886281071</v>
      </c>
      <c r="H206">
        <v>2E+20</v>
      </c>
      <c r="I206">
        <v>0</v>
      </c>
      <c r="J206">
        <v>20.444776232288898</v>
      </c>
      <c r="K206">
        <v>93</v>
      </c>
      <c r="L20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10.400210408810217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10.0253890325213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11.3008442212181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21.961443046297202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95.95</v>
      </c>
      <c r="W206" s="5">
        <f>IF((DiscreteStatsTable[[#This Row],[RepsRequested]]&gt;1),DiscreteStatsTable[[#This Row],[HalfWidth]],DiscreteStatsTable[[#This Row],[BatchMeansHalfWidth]])</f>
        <v>8.2742502257138958E-2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69</v>
      </c>
      <c r="C207">
        <v>21</v>
      </c>
      <c r="D207" t="s">
        <v>74</v>
      </c>
      <c r="E207" t="s">
        <v>81</v>
      </c>
      <c r="F207" t="s">
        <v>76</v>
      </c>
      <c r="G207">
        <v>8.4929817382739508</v>
      </c>
      <c r="H207">
        <v>2E+20</v>
      </c>
      <c r="I207">
        <v>0</v>
      </c>
      <c r="J207">
        <v>34.409942785522702</v>
      </c>
      <c r="K207">
        <v>93</v>
      </c>
      <c r="L20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10.8548110994785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5.9386193560648586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2.75851527565887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27.332850578638499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78.979701179035303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95.95</v>
      </c>
      <c r="W207" s="5">
        <f>IF((DiscreteStatsTable[[#This Row],[RepsRequested]]&gt;1),DiscreteStatsTable[[#This Row],[HalfWidth]],DiscreteStatsTable[[#This Row],[BatchMeansHalfWidth]])</f>
        <v>1.8992626106758985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69</v>
      </c>
      <c r="C208">
        <v>22</v>
      </c>
      <c r="D208" t="s">
        <v>74</v>
      </c>
      <c r="E208" t="s">
        <v>75</v>
      </c>
      <c r="F208" t="s">
        <v>76</v>
      </c>
      <c r="G208">
        <v>0</v>
      </c>
      <c r="H208">
        <v>2E+20</v>
      </c>
      <c r="I208">
        <v>0</v>
      </c>
      <c r="J208">
        <v>0</v>
      </c>
      <c r="K208">
        <v>92</v>
      </c>
      <c r="L20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95.95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69</v>
      </c>
      <c r="C209">
        <v>22</v>
      </c>
      <c r="D209" t="s">
        <v>74</v>
      </c>
      <c r="E209" t="s">
        <v>77</v>
      </c>
      <c r="F209" t="s">
        <v>76</v>
      </c>
      <c r="G209">
        <v>0</v>
      </c>
      <c r="H209">
        <v>2E+20</v>
      </c>
      <c r="I209">
        <v>0</v>
      </c>
      <c r="J209">
        <v>0</v>
      </c>
      <c r="K209">
        <v>92</v>
      </c>
      <c r="L20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95.95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69</v>
      </c>
      <c r="C210">
        <v>22</v>
      </c>
      <c r="D210" t="s">
        <v>74</v>
      </c>
      <c r="E210" t="s">
        <v>78</v>
      </c>
      <c r="F210" t="s">
        <v>76</v>
      </c>
      <c r="G210">
        <v>31.694943913944101</v>
      </c>
      <c r="H210">
        <v>2E+20</v>
      </c>
      <c r="I210">
        <v>0</v>
      </c>
      <c r="J210">
        <v>69.742415621306904</v>
      </c>
      <c r="K210">
        <v>92</v>
      </c>
      <c r="L21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21.25502150828871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5.9909109955452493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13.009471754106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37.750916018623599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98.172752532264994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95.95</v>
      </c>
      <c r="W210" s="5">
        <f>IF((DiscreteStatsTable[[#This Row],[RepsRequested]]&gt;1),DiscreteStatsTable[[#This Row],[HalfWidth]],DiscreteStatsTable[[#This Row],[BatchMeansHalfWidth]])</f>
        <v>1.9159862883122878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69</v>
      </c>
      <c r="C211">
        <v>22</v>
      </c>
      <c r="D211" t="s">
        <v>74</v>
      </c>
      <c r="E211" t="s">
        <v>79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92</v>
      </c>
      <c r="L21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95.95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69</v>
      </c>
      <c r="C212">
        <v>22</v>
      </c>
      <c r="D212" t="s">
        <v>74</v>
      </c>
      <c r="E212" t="s">
        <v>80</v>
      </c>
      <c r="F212" t="s">
        <v>76</v>
      </c>
      <c r="G212">
        <v>11.3008442212181</v>
      </c>
      <c r="H212">
        <v>2E+20</v>
      </c>
      <c r="I212">
        <v>0</v>
      </c>
      <c r="J212">
        <v>20.639493323443499</v>
      </c>
      <c r="K212">
        <v>92</v>
      </c>
      <c r="L21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10.400210408810217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10.0253890325213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11.3008442212181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21.961443046297202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95.95</v>
      </c>
      <c r="W212" s="5">
        <f>IF((DiscreteStatsTable[[#This Row],[RepsRequested]]&gt;1),DiscreteStatsTable[[#This Row],[HalfWidth]],DiscreteStatsTable[[#This Row],[BatchMeansHalfWidth]])</f>
        <v>8.2742502257138958E-2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69</v>
      </c>
      <c r="C213">
        <v>22</v>
      </c>
      <c r="D213" t="s">
        <v>74</v>
      </c>
      <c r="E213" t="s">
        <v>81</v>
      </c>
      <c r="F213" t="s">
        <v>76</v>
      </c>
      <c r="G213">
        <v>20.394099692726002</v>
      </c>
      <c r="H213">
        <v>2E+20</v>
      </c>
      <c r="I213">
        <v>0</v>
      </c>
      <c r="J213">
        <v>51.643858379192203</v>
      </c>
      <c r="K213">
        <v>92</v>
      </c>
      <c r="L21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10.8548110994785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5.9386193560648586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2.75851527565887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27.332850578638499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78.979701179035303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95.95</v>
      </c>
      <c r="W213" s="5">
        <f>IF((DiscreteStatsTable[[#This Row],[RepsRequested]]&gt;1),DiscreteStatsTable[[#This Row],[HalfWidth]],DiscreteStatsTable[[#This Row],[BatchMeansHalfWidth]])</f>
        <v>1.8992626106758985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69</v>
      </c>
      <c r="C214">
        <v>23</v>
      </c>
      <c r="D214" t="s">
        <v>74</v>
      </c>
      <c r="E214" t="s">
        <v>75</v>
      </c>
      <c r="F214" t="s">
        <v>76</v>
      </c>
      <c r="G214">
        <v>0</v>
      </c>
      <c r="H214">
        <v>2E+20</v>
      </c>
      <c r="I214">
        <v>0</v>
      </c>
      <c r="J214">
        <v>0</v>
      </c>
      <c r="K214">
        <v>103</v>
      </c>
      <c r="L21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95.95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69</v>
      </c>
      <c r="C215">
        <v>23</v>
      </c>
      <c r="D215" t="s">
        <v>74</v>
      </c>
      <c r="E215" t="s">
        <v>77</v>
      </c>
      <c r="F215" t="s">
        <v>76</v>
      </c>
      <c r="G215">
        <v>0</v>
      </c>
      <c r="H215">
        <v>2E+20</v>
      </c>
      <c r="I215">
        <v>0</v>
      </c>
      <c r="J215">
        <v>0</v>
      </c>
      <c r="K215">
        <v>103</v>
      </c>
      <c r="L21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95.95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69</v>
      </c>
      <c r="C216">
        <v>23</v>
      </c>
      <c r="D216" t="s">
        <v>74</v>
      </c>
      <c r="E216" t="s">
        <v>78</v>
      </c>
      <c r="F216" t="s">
        <v>76</v>
      </c>
      <c r="G216">
        <v>22.458751215772502</v>
      </c>
      <c r="H216">
        <v>2E+20</v>
      </c>
      <c r="I216">
        <v>0</v>
      </c>
      <c r="J216">
        <v>66.369867282109198</v>
      </c>
      <c r="K216">
        <v>103</v>
      </c>
      <c r="L21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21.25502150828871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5.9909109955452493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13.009471754106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37.750916018623599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98.172752532264994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95.95</v>
      </c>
      <c r="W216" s="5">
        <f>IF((DiscreteStatsTable[[#This Row],[RepsRequested]]&gt;1),DiscreteStatsTable[[#This Row],[HalfWidth]],DiscreteStatsTable[[#This Row],[BatchMeansHalfWidth]])</f>
        <v>1.9159862883122878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69</v>
      </c>
      <c r="C217">
        <v>23</v>
      </c>
      <c r="D217" t="s">
        <v>74</v>
      </c>
      <c r="E217" t="s">
        <v>79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103</v>
      </c>
      <c r="L21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95.95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69</v>
      </c>
      <c r="C218">
        <v>23</v>
      </c>
      <c r="D218" t="s">
        <v>74</v>
      </c>
      <c r="E218" t="s">
        <v>80</v>
      </c>
      <c r="F218" t="s">
        <v>76</v>
      </c>
      <c r="G218">
        <v>10.320673838345501</v>
      </c>
      <c r="H218">
        <v>2E+20</v>
      </c>
      <c r="I218">
        <v>0</v>
      </c>
      <c r="J218">
        <v>21.057760786999101</v>
      </c>
      <c r="K218">
        <v>103</v>
      </c>
      <c r="L21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10.400210408810217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10.0253890325213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11.3008442212181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21.961443046297202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95.95</v>
      </c>
      <c r="W218" s="5">
        <f>IF((DiscreteStatsTable[[#This Row],[RepsRequested]]&gt;1),DiscreteStatsTable[[#This Row],[HalfWidth]],DiscreteStatsTable[[#This Row],[BatchMeansHalfWidth]])</f>
        <v>8.2742502257138958E-2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69</v>
      </c>
      <c r="C219">
        <v>23</v>
      </c>
      <c r="D219" t="s">
        <v>74</v>
      </c>
      <c r="E219" t="s">
        <v>81</v>
      </c>
      <c r="F219" t="s">
        <v>76</v>
      </c>
      <c r="G219">
        <v>12.1380773774269</v>
      </c>
      <c r="H219">
        <v>2E+20</v>
      </c>
      <c r="I219">
        <v>0</v>
      </c>
      <c r="J219">
        <v>49.078483234925798</v>
      </c>
      <c r="K219">
        <v>103</v>
      </c>
      <c r="L21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10.8548110994785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5.9386193560648586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2.75851527565887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27.332850578638499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78.979701179035303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95.95</v>
      </c>
      <c r="W219" s="5">
        <f>IF((DiscreteStatsTable[[#This Row],[RepsRequested]]&gt;1),DiscreteStatsTable[[#This Row],[HalfWidth]],DiscreteStatsTable[[#This Row],[BatchMeansHalfWidth]])</f>
        <v>1.8992626106758985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69</v>
      </c>
      <c r="C220">
        <v>24</v>
      </c>
      <c r="D220" t="s">
        <v>74</v>
      </c>
      <c r="E220" t="s">
        <v>75</v>
      </c>
      <c r="F220" t="s">
        <v>76</v>
      </c>
      <c r="G220">
        <v>0</v>
      </c>
      <c r="H220">
        <v>2E+20</v>
      </c>
      <c r="I220">
        <v>0</v>
      </c>
      <c r="J220">
        <v>0</v>
      </c>
      <c r="K220">
        <v>89</v>
      </c>
      <c r="L22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95.95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69</v>
      </c>
      <c r="C221">
        <v>24</v>
      </c>
      <c r="D221" t="s">
        <v>74</v>
      </c>
      <c r="E221" t="s">
        <v>77</v>
      </c>
      <c r="F221" t="s">
        <v>76</v>
      </c>
      <c r="G221">
        <v>0</v>
      </c>
      <c r="H221">
        <v>2E+20</v>
      </c>
      <c r="I221">
        <v>0</v>
      </c>
      <c r="J221">
        <v>0</v>
      </c>
      <c r="K221">
        <v>89</v>
      </c>
      <c r="L22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95.95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69</v>
      </c>
      <c r="C222">
        <v>24</v>
      </c>
      <c r="D222" t="s">
        <v>74</v>
      </c>
      <c r="E222" t="s">
        <v>78</v>
      </c>
      <c r="F222" t="s">
        <v>76</v>
      </c>
      <c r="G222">
        <v>13.497756700468999</v>
      </c>
      <c r="H222">
        <v>2E+20</v>
      </c>
      <c r="I222">
        <v>0</v>
      </c>
      <c r="J222">
        <v>36.102145669928198</v>
      </c>
      <c r="K222">
        <v>89</v>
      </c>
      <c r="L22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21.25502150828871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5.9909109955452493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13.009471754106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37.750916018623599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98.172752532264994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95.95</v>
      </c>
      <c r="W222" s="5">
        <f>IF((DiscreteStatsTable[[#This Row],[RepsRequested]]&gt;1),DiscreteStatsTable[[#This Row],[HalfWidth]],DiscreteStatsTable[[#This Row],[BatchMeansHalfWidth]])</f>
        <v>1.9159862883122878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69</v>
      </c>
      <c r="C223">
        <v>24</v>
      </c>
      <c r="D223" t="s">
        <v>74</v>
      </c>
      <c r="E223" t="s">
        <v>79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89</v>
      </c>
      <c r="L22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95.95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69</v>
      </c>
      <c r="C224">
        <v>24</v>
      </c>
      <c r="D224" t="s">
        <v>74</v>
      </c>
      <c r="E224" t="s">
        <v>80</v>
      </c>
      <c r="F224" t="s">
        <v>76</v>
      </c>
      <c r="G224">
        <v>10.5551480585729</v>
      </c>
      <c r="H224">
        <v>2E+20</v>
      </c>
      <c r="I224">
        <v>0</v>
      </c>
      <c r="J224">
        <v>21.0777203361116</v>
      </c>
      <c r="K224">
        <v>89</v>
      </c>
      <c r="L22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10.400210408810217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10.0253890325213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11.3008442212181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21.961443046297202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95.95</v>
      </c>
      <c r="W224" s="5">
        <f>IF((DiscreteStatsTable[[#This Row],[RepsRequested]]&gt;1),DiscreteStatsTable[[#This Row],[HalfWidth]],DiscreteStatsTable[[#This Row],[BatchMeansHalfWidth]])</f>
        <v>8.2742502257138958E-2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69</v>
      </c>
      <c r="C225">
        <v>24</v>
      </c>
      <c r="D225" t="s">
        <v>74</v>
      </c>
      <c r="E225" t="s">
        <v>81</v>
      </c>
      <c r="F225" t="s">
        <v>76</v>
      </c>
      <c r="G225">
        <v>2.9426086418961099</v>
      </c>
      <c r="H225">
        <v>2E+20</v>
      </c>
      <c r="I225">
        <v>0</v>
      </c>
      <c r="J225">
        <v>17.662058140687499</v>
      </c>
      <c r="K225">
        <v>89</v>
      </c>
      <c r="L22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10.8548110994785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5.9386193560648586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2.75851527565887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27.332850578638499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78.979701179035303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95.95</v>
      </c>
      <c r="W225" s="5">
        <f>IF((DiscreteStatsTable[[#This Row],[RepsRequested]]&gt;1),DiscreteStatsTable[[#This Row],[HalfWidth]],DiscreteStatsTable[[#This Row],[BatchMeansHalfWidth]])</f>
        <v>1.8992626106758985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69</v>
      </c>
      <c r="C226">
        <v>25</v>
      </c>
      <c r="D226" t="s">
        <v>74</v>
      </c>
      <c r="E226" t="s">
        <v>75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97</v>
      </c>
      <c r="L22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95.95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69</v>
      </c>
      <c r="C227">
        <v>25</v>
      </c>
      <c r="D227" t="s">
        <v>74</v>
      </c>
      <c r="E227" t="s">
        <v>77</v>
      </c>
      <c r="F227" t="s">
        <v>76</v>
      </c>
      <c r="G227">
        <v>0</v>
      </c>
      <c r="H227">
        <v>2E+20</v>
      </c>
      <c r="I227">
        <v>0</v>
      </c>
      <c r="J227">
        <v>0</v>
      </c>
      <c r="K227">
        <v>97</v>
      </c>
      <c r="L22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95.95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69</v>
      </c>
      <c r="C228">
        <v>25</v>
      </c>
      <c r="D228" t="s">
        <v>74</v>
      </c>
      <c r="E228" t="s">
        <v>78</v>
      </c>
      <c r="F228" t="s">
        <v>76</v>
      </c>
      <c r="G228">
        <v>23.490506882479401</v>
      </c>
      <c r="H228">
        <v>2E+20</v>
      </c>
      <c r="I228">
        <v>0</v>
      </c>
      <c r="J228">
        <v>61.412576728737299</v>
      </c>
      <c r="K228">
        <v>97</v>
      </c>
      <c r="L22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21.25502150828871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5.9909109955452493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13.009471754106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37.750916018623599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98.172752532264994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95.95</v>
      </c>
      <c r="W228" s="5">
        <f>IF((DiscreteStatsTable[[#This Row],[RepsRequested]]&gt;1),DiscreteStatsTable[[#This Row],[HalfWidth]],DiscreteStatsTable[[#This Row],[BatchMeansHalfWidth]])</f>
        <v>1.9159862883122878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69</v>
      </c>
      <c r="C229">
        <v>25</v>
      </c>
      <c r="D229" t="s">
        <v>74</v>
      </c>
      <c r="E229" t="s">
        <v>79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97</v>
      </c>
      <c r="L22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95.95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69</v>
      </c>
      <c r="C230">
        <v>25</v>
      </c>
      <c r="D230" t="s">
        <v>74</v>
      </c>
      <c r="E230" t="s">
        <v>80</v>
      </c>
      <c r="F230" t="s">
        <v>76</v>
      </c>
      <c r="G230">
        <v>10.489540967761901</v>
      </c>
      <c r="H230">
        <v>2E+20</v>
      </c>
      <c r="I230">
        <v>0</v>
      </c>
      <c r="J230">
        <v>20.445711389454299</v>
      </c>
      <c r="K230">
        <v>97</v>
      </c>
      <c r="L23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10.400210408810217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10.0253890325213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11.3008442212181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21.961443046297202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95.95</v>
      </c>
      <c r="W230" s="5">
        <f>IF((DiscreteStatsTable[[#This Row],[RepsRequested]]&gt;1),DiscreteStatsTable[[#This Row],[HalfWidth]],DiscreteStatsTable[[#This Row],[BatchMeansHalfWidth]])</f>
        <v>8.2742502257138958E-2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69</v>
      </c>
      <c r="C231">
        <v>25</v>
      </c>
      <c r="D231" t="s">
        <v>74</v>
      </c>
      <c r="E231" t="s">
        <v>81</v>
      </c>
      <c r="F231" t="s">
        <v>76</v>
      </c>
      <c r="G231">
        <v>13.000965914717501</v>
      </c>
      <c r="H231">
        <v>2E+20</v>
      </c>
      <c r="I231">
        <v>0</v>
      </c>
      <c r="J231">
        <v>45.464438842913701</v>
      </c>
      <c r="K231">
        <v>97</v>
      </c>
      <c r="L23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10.8548110994785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5.9386193560648586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2.75851527565887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27.332850578638499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78.979701179035303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95.95</v>
      </c>
      <c r="W231" s="5">
        <f>IF((DiscreteStatsTable[[#This Row],[RepsRequested]]&gt;1),DiscreteStatsTable[[#This Row],[HalfWidth]],DiscreteStatsTable[[#This Row],[BatchMeansHalfWidth]])</f>
        <v>1.8992626106758985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69</v>
      </c>
      <c r="C232">
        <v>26</v>
      </c>
      <c r="D232" t="s">
        <v>74</v>
      </c>
      <c r="E232" t="s">
        <v>75</v>
      </c>
      <c r="F232" t="s">
        <v>76</v>
      </c>
      <c r="G232">
        <v>0</v>
      </c>
      <c r="H232">
        <v>2E+20</v>
      </c>
      <c r="I232">
        <v>0</v>
      </c>
      <c r="J232">
        <v>0</v>
      </c>
      <c r="K232">
        <v>93</v>
      </c>
      <c r="L23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95.95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69</v>
      </c>
      <c r="C233">
        <v>26</v>
      </c>
      <c r="D233" t="s">
        <v>74</v>
      </c>
      <c r="E233" t="s">
        <v>77</v>
      </c>
      <c r="F233" t="s">
        <v>76</v>
      </c>
      <c r="G233">
        <v>0</v>
      </c>
      <c r="H233">
        <v>2E+20</v>
      </c>
      <c r="I233">
        <v>0</v>
      </c>
      <c r="J233">
        <v>0</v>
      </c>
      <c r="K233">
        <v>93</v>
      </c>
      <c r="L23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95.95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69</v>
      </c>
      <c r="C234">
        <v>26</v>
      </c>
      <c r="D234" t="s">
        <v>74</v>
      </c>
      <c r="E234" t="s">
        <v>78</v>
      </c>
      <c r="F234" t="s">
        <v>76</v>
      </c>
      <c r="G234">
        <v>13.7808505837135</v>
      </c>
      <c r="H234">
        <v>2E+20</v>
      </c>
      <c r="I234">
        <v>0</v>
      </c>
      <c r="J234">
        <v>34.138929200526</v>
      </c>
      <c r="K234">
        <v>93</v>
      </c>
      <c r="L23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21.25502150828871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5.9909109955452493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13.009471754106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37.750916018623599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98.172752532264994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95.95</v>
      </c>
      <c r="W234" s="5">
        <f>IF((DiscreteStatsTable[[#This Row],[RepsRequested]]&gt;1),DiscreteStatsTable[[#This Row],[HalfWidth]],DiscreteStatsTable[[#This Row],[BatchMeansHalfWidth]])</f>
        <v>1.9159862883122878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69</v>
      </c>
      <c r="C235">
        <v>26</v>
      </c>
      <c r="D235" t="s">
        <v>74</v>
      </c>
      <c r="E235" t="s">
        <v>79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93</v>
      </c>
      <c r="L23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95.95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69</v>
      </c>
      <c r="C236">
        <v>26</v>
      </c>
      <c r="D236" t="s">
        <v>74</v>
      </c>
      <c r="E236" t="s">
        <v>80</v>
      </c>
      <c r="F236" t="s">
        <v>76</v>
      </c>
      <c r="G236">
        <v>10.191898183015899</v>
      </c>
      <c r="H236">
        <v>2E+20</v>
      </c>
      <c r="I236">
        <v>0</v>
      </c>
      <c r="J236">
        <v>20.6940899883651</v>
      </c>
      <c r="K236">
        <v>93</v>
      </c>
      <c r="L23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10.400210408810217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10.0253890325213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11.3008442212181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21.961443046297202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95.95</v>
      </c>
      <c r="W236" s="5">
        <f>IF((DiscreteStatsTable[[#This Row],[RepsRequested]]&gt;1),DiscreteStatsTable[[#This Row],[HalfWidth]],DiscreteStatsTable[[#This Row],[BatchMeansHalfWidth]])</f>
        <v>8.2742502257138958E-2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69</v>
      </c>
      <c r="C237">
        <v>26</v>
      </c>
      <c r="D237" t="s">
        <v>74</v>
      </c>
      <c r="E237" t="s">
        <v>81</v>
      </c>
      <c r="F237" t="s">
        <v>76</v>
      </c>
      <c r="G237">
        <v>3.5889524006975702</v>
      </c>
      <c r="H237">
        <v>2E+20</v>
      </c>
      <c r="I237">
        <v>0</v>
      </c>
      <c r="J237">
        <v>17.466979020130001</v>
      </c>
      <c r="K237">
        <v>93</v>
      </c>
      <c r="L23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10.8548110994785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5.9386193560648586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2.75851527565887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27.332850578638499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78.979701179035303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95.95</v>
      </c>
      <c r="W237" s="5">
        <f>IF((DiscreteStatsTable[[#This Row],[RepsRequested]]&gt;1),DiscreteStatsTable[[#This Row],[HalfWidth]],DiscreteStatsTable[[#This Row],[BatchMeansHalfWidth]])</f>
        <v>1.8992626106758985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69</v>
      </c>
      <c r="C238">
        <v>27</v>
      </c>
      <c r="D238" t="s">
        <v>74</v>
      </c>
      <c r="E238" t="s">
        <v>75</v>
      </c>
      <c r="F238" t="s">
        <v>76</v>
      </c>
      <c r="G238">
        <v>0</v>
      </c>
      <c r="H238">
        <v>2E+20</v>
      </c>
      <c r="I238">
        <v>0</v>
      </c>
      <c r="J238">
        <v>0</v>
      </c>
      <c r="K238">
        <v>90</v>
      </c>
      <c r="L23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95.95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69</v>
      </c>
      <c r="C239">
        <v>27</v>
      </c>
      <c r="D239" t="s">
        <v>74</v>
      </c>
      <c r="E239" t="s">
        <v>77</v>
      </c>
      <c r="F239" t="s">
        <v>76</v>
      </c>
      <c r="G239">
        <v>0</v>
      </c>
      <c r="H239">
        <v>2E+20</v>
      </c>
      <c r="I239">
        <v>0</v>
      </c>
      <c r="J239">
        <v>0</v>
      </c>
      <c r="K239">
        <v>90</v>
      </c>
      <c r="L23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95.95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69</v>
      </c>
      <c r="C240">
        <v>27</v>
      </c>
      <c r="D240" t="s">
        <v>74</v>
      </c>
      <c r="E240" t="s">
        <v>78</v>
      </c>
      <c r="F240" t="s">
        <v>76</v>
      </c>
      <c r="G240">
        <v>15.0012728056467</v>
      </c>
      <c r="H240">
        <v>2E+20</v>
      </c>
      <c r="I240">
        <v>0</v>
      </c>
      <c r="J240">
        <v>40.989785123448002</v>
      </c>
      <c r="K240">
        <v>90</v>
      </c>
      <c r="L24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21.25502150828871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5.9909109955452493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13.009471754106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37.750916018623599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98.172752532264994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95.95</v>
      </c>
      <c r="W240" s="5">
        <f>IF((DiscreteStatsTable[[#This Row],[RepsRequested]]&gt;1),DiscreteStatsTable[[#This Row],[HalfWidth]],DiscreteStatsTable[[#This Row],[BatchMeansHalfWidth]])</f>
        <v>1.9159862883122878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69</v>
      </c>
      <c r="C241">
        <v>27</v>
      </c>
      <c r="D241" t="s">
        <v>74</v>
      </c>
      <c r="E241" t="s">
        <v>79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90</v>
      </c>
      <c r="L24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95.95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69</v>
      </c>
      <c r="C242">
        <v>27</v>
      </c>
      <c r="D242" t="s">
        <v>74</v>
      </c>
      <c r="E242" t="s">
        <v>80</v>
      </c>
      <c r="F242" t="s">
        <v>76</v>
      </c>
      <c r="G242">
        <v>10.3333999341928</v>
      </c>
      <c r="H242">
        <v>2E+20</v>
      </c>
      <c r="I242">
        <v>0</v>
      </c>
      <c r="J242">
        <v>20.652328578999299</v>
      </c>
      <c r="K242">
        <v>90</v>
      </c>
      <c r="L24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10.400210408810217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10.0253890325213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11.3008442212181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21.961443046297202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95.95</v>
      </c>
      <c r="W242" s="5">
        <f>IF((DiscreteStatsTable[[#This Row],[RepsRequested]]&gt;1),DiscreteStatsTable[[#This Row],[HalfWidth]],DiscreteStatsTable[[#This Row],[BatchMeansHalfWidth]])</f>
        <v>8.2742502257138958E-2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69</v>
      </c>
      <c r="C243">
        <v>27</v>
      </c>
      <c r="D243" t="s">
        <v>74</v>
      </c>
      <c r="E243" t="s">
        <v>81</v>
      </c>
      <c r="F243" t="s">
        <v>76</v>
      </c>
      <c r="G243">
        <v>4.6678728714538398</v>
      </c>
      <c r="H243">
        <v>2E+20</v>
      </c>
      <c r="I243">
        <v>0</v>
      </c>
      <c r="J243">
        <v>23.621988832717498</v>
      </c>
      <c r="K243">
        <v>90</v>
      </c>
      <c r="L24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10.8548110994785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5.9386193560648586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2.75851527565887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27.332850578638499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78.979701179035303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95.95</v>
      </c>
      <c r="W243" s="5">
        <f>IF((DiscreteStatsTable[[#This Row],[RepsRequested]]&gt;1),DiscreteStatsTable[[#This Row],[HalfWidth]],DiscreteStatsTable[[#This Row],[BatchMeansHalfWidth]])</f>
        <v>1.8992626106758985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69</v>
      </c>
      <c r="C244">
        <v>28</v>
      </c>
      <c r="D244" t="s">
        <v>74</v>
      </c>
      <c r="E244" t="s">
        <v>75</v>
      </c>
      <c r="F244" t="s">
        <v>76</v>
      </c>
      <c r="G244">
        <v>0</v>
      </c>
      <c r="H244">
        <v>2E+20</v>
      </c>
      <c r="I244">
        <v>0</v>
      </c>
      <c r="J244">
        <v>0</v>
      </c>
      <c r="K244">
        <v>101</v>
      </c>
      <c r="L24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95.95</v>
      </c>
      <c r="W244" s="5">
        <f>IF((DiscreteStatsTable[[#This Row],[RepsRequested]]&gt;1),DiscreteStatsTable[[#This Row],[HalfWidth]],DiscreteStatsTable[[#This Row],[BatchMeansHalfWidth]])</f>
        <v>0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69</v>
      </c>
      <c r="C245">
        <v>28</v>
      </c>
      <c r="D245" t="s">
        <v>74</v>
      </c>
      <c r="E245" t="s">
        <v>77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101</v>
      </c>
      <c r="L24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95.95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69</v>
      </c>
      <c r="C246">
        <v>28</v>
      </c>
      <c r="D246" t="s">
        <v>74</v>
      </c>
      <c r="E246" t="s">
        <v>78</v>
      </c>
      <c r="F246" t="s">
        <v>76</v>
      </c>
      <c r="G246">
        <v>19.386176553469902</v>
      </c>
      <c r="H246">
        <v>2E+20</v>
      </c>
      <c r="I246">
        <v>0</v>
      </c>
      <c r="J246">
        <v>47.750320855645903</v>
      </c>
      <c r="K246">
        <v>101</v>
      </c>
      <c r="L24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21.25502150828871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5.9909109955452493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13.009471754106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37.750916018623599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98.172752532264994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95.95</v>
      </c>
      <c r="W246" s="5">
        <f>IF((DiscreteStatsTable[[#This Row],[RepsRequested]]&gt;1),DiscreteStatsTable[[#This Row],[HalfWidth]],DiscreteStatsTable[[#This Row],[BatchMeansHalfWidth]])</f>
        <v>1.9159862883122878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69</v>
      </c>
      <c r="C247">
        <v>28</v>
      </c>
      <c r="D247" t="s">
        <v>74</v>
      </c>
      <c r="E247" t="s">
        <v>79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101</v>
      </c>
      <c r="L24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95.95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69</v>
      </c>
      <c r="C248">
        <v>28</v>
      </c>
      <c r="D248" t="s">
        <v>74</v>
      </c>
      <c r="E248" t="s">
        <v>80</v>
      </c>
      <c r="F248" t="s">
        <v>76</v>
      </c>
      <c r="G248">
        <v>10.5736752479899</v>
      </c>
      <c r="H248">
        <v>2E+20</v>
      </c>
      <c r="I248">
        <v>0</v>
      </c>
      <c r="J248">
        <v>20.585947202684601</v>
      </c>
      <c r="K248">
        <v>101</v>
      </c>
      <c r="L24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10.400210408810217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10.0253890325213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11.3008442212181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21.961443046297202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95.95</v>
      </c>
      <c r="W248" s="5">
        <f>IF((DiscreteStatsTable[[#This Row],[RepsRequested]]&gt;1),DiscreteStatsTable[[#This Row],[HalfWidth]],DiscreteStatsTable[[#This Row],[BatchMeansHalfWidth]])</f>
        <v>8.2742502257138958E-2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69</v>
      </c>
      <c r="C249">
        <v>28</v>
      </c>
      <c r="D249" t="s">
        <v>74</v>
      </c>
      <c r="E249" t="s">
        <v>81</v>
      </c>
      <c r="F249" t="s">
        <v>76</v>
      </c>
      <c r="G249">
        <v>8.8125013054799695</v>
      </c>
      <c r="H249">
        <v>2E+20</v>
      </c>
      <c r="I249">
        <v>0</v>
      </c>
      <c r="J249">
        <v>29.803952031897801</v>
      </c>
      <c r="K249">
        <v>101</v>
      </c>
      <c r="L24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10.8548110994785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5.9386193560648586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2.75851527565887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27.332850578638499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78.979701179035303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95.95</v>
      </c>
      <c r="W249" s="5">
        <f>IF((DiscreteStatsTable[[#This Row],[RepsRequested]]&gt;1),DiscreteStatsTable[[#This Row],[HalfWidth]],DiscreteStatsTable[[#This Row],[BatchMeansHalfWidth]])</f>
        <v>1.8992626106758985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69</v>
      </c>
      <c r="C250">
        <v>29</v>
      </c>
      <c r="D250" t="s">
        <v>74</v>
      </c>
      <c r="E250" t="s">
        <v>75</v>
      </c>
      <c r="F250" t="s">
        <v>76</v>
      </c>
      <c r="G250">
        <v>0</v>
      </c>
      <c r="H250">
        <v>2E+20</v>
      </c>
      <c r="I250">
        <v>0</v>
      </c>
      <c r="J250">
        <v>0</v>
      </c>
      <c r="K250">
        <v>94</v>
      </c>
      <c r="L25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95.95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69</v>
      </c>
      <c r="C251">
        <v>29</v>
      </c>
      <c r="D251" t="s">
        <v>74</v>
      </c>
      <c r="E251" t="s">
        <v>77</v>
      </c>
      <c r="F251" t="s">
        <v>76</v>
      </c>
      <c r="G251">
        <v>0</v>
      </c>
      <c r="H251">
        <v>2E+20</v>
      </c>
      <c r="I251">
        <v>0</v>
      </c>
      <c r="J251">
        <v>0</v>
      </c>
      <c r="K251">
        <v>94</v>
      </c>
      <c r="L25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95.95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69</v>
      </c>
      <c r="C252">
        <v>29</v>
      </c>
      <c r="D252" t="s">
        <v>74</v>
      </c>
      <c r="E252" t="s">
        <v>78</v>
      </c>
      <c r="F252" t="s">
        <v>76</v>
      </c>
      <c r="G252">
        <v>15.7883627861448</v>
      </c>
      <c r="H252">
        <v>2E+20</v>
      </c>
      <c r="I252">
        <v>0</v>
      </c>
      <c r="J252">
        <v>45.570059159208903</v>
      </c>
      <c r="K252">
        <v>94</v>
      </c>
      <c r="L25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21.25502150828871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5.9909109955452493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13.009471754106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37.750916018623599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98.172752532264994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95.95</v>
      </c>
      <c r="W252" s="5">
        <f>IF((DiscreteStatsTable[[#This Row],[RepsRequested]]&gt;1),DiscreteStatsTable[[#This Row],[HalfWidth]],DiscreteStatsTable[[#This Row],[BatchMeansHalfWidth]])</f>
        <v>1.9159862883122878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69</v>
      </c>
      <c r="C253">
        <v>29</v>
      </c>
      <c r="D253" t="s">
        <v>74</v>
      </c>
      <c r="E253" t="s">
        <v>79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94</v>
      </c>
      <c r="L25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95.95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69</v>
      </c>
      <c r="C254">
        <v>29</v>
      </c>
      <c r="D254" t="s">
        <v>74</v>
      </c>
      <c r="E254" t="s">
        <v>80</v>
      </c>
      <c r="F254" t="s">
        <v>76</v>
      </c>
      <c r="G254">
        <v>10.377261077427701</v>
      </c>
      <c r="H254">
        <v>2E+20</v>
      </c>
      <c r="I254">
        <v>0</v>
      </c>
      <c r="J254">
        <v>21.282042770175</v>
      </c>
      <c r="K254">
        <v>94</v>
      </c>
      <c r="L25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10.400210408810217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10.0253890325213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11.3008442212181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21.961443046297202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95.95</v>
      </c>
      <c r="W254" s="5">
        <f>IF((DiscreteStatsTable[[#This Row],[RepsRequested]]&gt;1),DiscreteStatsTable[[#This Row],[HalfWidth]],DiscreteStatsTable[[#This Row],[BatchMeansHalfWidth]])</f>
        <v>8.2742502257138958E-2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69</v>
      </c>
      <c r="C255">
        <v>29</v>
      </c>
      <c r="D255" t="s">
        <v>74</v>
      </c>
      <c r="E255" t="s">
        <v>81</v>
      </c>
      <c r="F255" t="s">
        <v>76</v>
      </c>
      <c r="G255">
        <v>5.4111017087170499</v>
      </c>
      <c r="H255">
        <v>2E+20</v>
      </c>
      <c r="I255">
        <v>0</v>
      </c>
      <c r="J255">
        <v>28.309586043639701</v>
      </c>
      <c r="K255">
        <v>94</v>
      </c>
      <c r="L25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10.8548110994785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5.9386193560648586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2.75851527565887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27.332850578638499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78.979701179035303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95.95</v>
      </c>
      <c r="W255" s="5">
        <f>IF((DiscreteStatsTable[[#This Row],[RepsRequested]]&gt;1),DiscreteStatsTable[[#This Row],[HalfWidth]],DiscreteStatsTable[[#This Row],[BatchMeansHalfWidth]])</f>
        <v>1.8992626106758985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69</v>
      </c>
      <c r="C256">
        <v>30</v>
      </c>
      <c r="D256" t="s">
        <v>74</v>
      </c>
      <c r="E256" t="s">
        <v>75</v>
      </c>
      <c r="F256" t="s">
        <v>76</v>
      </c>
      <c r="G256">
        <v>0</v>
      </c>
      <c r="H256">
        <v>2E+20</v>
      </c>
      <c r="I256">
        <v>0</v>
      </c>
      <c r="J256">
        <v>0</v>
      </c>
      <c r="K256">
        <v>83</v>
      </c>
      <c r="L25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95.95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69</v>
      </c>
      <c r="C257">
        <v>30</v>
      </c>
      <c r="D257" t="s">
        <v>74</v>
      </c>
      <c r="E257" t="s">
        <v>77</v>
      </c>
      <c r="F257" t="s">
        <v>76</v>
      </c>
      <c r="G257">
        <v>0</v>
      </c>
      <c r="H257">
        <v>2E+20</v>
      </c>
      <c r="I257">
        <v>0</v>
      </c>
      <c r="J257">
        <v>0</v>
      </c>
      <c r="K257">
        <v>83</v>
      </c>
      <c r="L25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95.95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69</v>
      </c>
      <c r="C258">
        <v>30</v>
      </c>
      <c r="D258" t="s">
        <v>74</v>
      </c>
      <c r="E258" t="s">
        <v>78</v>
      </c>
      <c r="F258" t="s">
        <v>76</v>
      </c>
      <c r="G258">
        <v>13.846827794364501</v>
      </c>
      <c r="H258">
        <v>2E+20</v>
      </c>
      <c r="I258">
        <v>0</v>
      </c>
      <c r="J258">
        <v>36.017553492389503</v>
      </c>
      <c r="K258">
        <v>83</v>
      </c>
      <c r="L25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21.25502150828871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5.9909109955452493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13.009471754106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37.750916018623599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98.172752532264994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95.95</v>
      </c>
      <c r="W258" s="5">
        <f>IF((DiscreteStatsTable[[#This Row],[RepsRequested]]&gt;1),DiscreteStatsTable[[#This Row],[HalfWidth]],DiscreteStatsTable[[#This Row],[BatchMeansHalfWidth]])</f>
        <v>1.9159862883122878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69</v>
      </c>
      <c r="C259">
        <v>30</v>
      </c>
      <c r="D259" t="s">
        <v>74</v>
      </c>
      <c r="E259" t="s">
        <v>79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83</v>
      </c>
      <c r="L25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95.95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69</v>
      </c>
      <c r="C260">
        <v>30</v>
      </c>
      <c r="D260" t="s">
        <v>74</v>
      </c>
      <c r="E260" t="s">
        <v>80</v>
      </c>
      <c r="F260" t="s">
        <v>76</v>
      </c>
      <c r="G260">
        <v>10.2497292125383</v>
      </c>
      <c r="H260">
        <v>2E+20</v>
      </c>
      <c r="I260">
        <v>0</v>
      </c>
      <c r="J260">
        <v>20.9044053825288</v>
      </c>
      <c r="K260">
        <v>83</v>
      </c>
      <c r="L26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10.400210408810217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10.0253890325213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11.3008442212181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21.961443046297202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95.95</v>
      </c>
      <c r="W260" s="5">
        <f>IF((DiscreteStatsTable[[#This Row],[RepsRequested]]&gt;1),DiscreteStatsTable[[#This Row],[HalfWidth]],DiscreteStatsTable[[#This Row],[BatchMeansHalfWidth]])</f>
        <v>8.2742502257138958E-2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69</v>
      </c>
      <c r="C261">
        <v>30</v>
      </c>
      <c r="D261" t="s">
        <v>74</v>
      </c>
      <c r="E261" t="s">
        <v>81</v>
      </c>
      <c r="F261" t="s">
        <v>76</v>
      </c>
      <c r="G261">
        <v>3.5970985818261698</v>
      </c>
      <c r="H261">
        <v>2E+20</v>
      </c>
      <c r="I261">
        <v>0</v>
      </c>
      <c r="J261">
        <v>17.773424293019801</v>
      </c>
      <c r="K261">
        <v>83</v>
      </c>
      <c r="L26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10.8548110994785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5.9386193560648586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2.75851527565887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27.332850578638499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78.979701179035303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95.95</v>
      </c>
      <c r="W261" s="5">
        <f>IF((DiscreteStatsTable[[#This Row],[RepsRequested]]&gt;1),DiscreteStatsTable[[#This Row],[HalfWidth]],DiscreteStatsTable[[#This Row],[BatchMeansHalfWidth]])</f>
        <v>1.8992626106758985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69</v>
      </c>
      <c r="C262">
        <v>31</v>
      </c>
      <c r="D262" t="s">
        <v>74</v>
      </c>
      <c r="E262" t="s">
        <v>75</v>
      </c>
      <c r="F262" t="s">
        <v>76</v>
      </c>
      <c r="G262">
        <v>0</v>
      </c>
      <c r="H262">
        <v>2E+20</v>
      </c>
      <c r="I262">
        <v>0</v>
      </c>
      <c r="J262">
        <v>0</v>
      </c>
      <c r="K262">
        <v>97</v>
      </c>
      <c r="L26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95.95</v>
      </c>
      <c r="W262" s="5">
        <f>IF((DiscreteStatsTable[[#This Row],[RepsRequested]]&gt;1),DiscreteStatsTable[[#This Row],[HalfWidth]],DiscreteStatsTable[[#This Row],[BatchMeansHalfWidth]])</f>
        <v>0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69</v>
      </c>
      <c r="C263">
        <v>31</v>
      </c>
      <c r="D263" t="s">
        <v>74</v>
      </c>
      <c r="E263" t="s">
        <v>77</v>
      </c>
      <c r="F263" t="s">
        <v>76</v>
      </c>
      <c r="G263">
        <v>0</v>
      </c>
      <c r="H263">
        <v>2E+20</v>
      </c>
      <c r="I263">
        <v>0</v>
      </c>
      <c r="J263">
        <v>0</v>
      </c>
      <c r="K263">
        <v>97</v>
      </c>
      <c r="L26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95.95</v>
      </c>
      <c r="W263" s="5">
        <f>IF((DiscreteStatsTable[[#This Row],[RepsRequested]]&gt;1),DiscreteStatsTable[[#This Row],[HalfWidth]],DiscreteStatsTable[[#This Row],[BatchMeansHalfWidth]])</f>
        <v>0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69</v>
      </c>
      <c r="C264">
        <v>31</v>
      </c>
      <c r="D264" t="s">
        <v>74</v>
      </c>
      <c r="E264" t="s">
        <v>78</v>
      </c>
      <c r="F264" t="s">
        <v>76</v>
      </c>
      <c r="G264">
        <v>15.1320525969488</v>
      </c>
      <c r="H264">
        <v>2E+20</v>
      </c>
      <c r="I264">
        <v>0</v>
      </c>
      <c r="J264">
        <v>46.187628180744902</v>
      </c>
      <c r="K264">
        <v>97</v>
      </c>
      <c r="L26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21.25502150828871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5.9909109955452493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13.009471754106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37.750916018623599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98.172752532264994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95.95</v>
      </c>
      <c r="W264" s="5">
        <f>IF((DiscreteStatsTable[[#This Row],[RepsRequested]]&gt;1),DiscreteStatsTable[[#This Row],[HalfWidth]],DiscreteStatsTable[[#This Row],[BatchMeansHalfWidth]])</f>
        <v>1.9159862883122878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69</v>
      </c>
      <c r="C265">
        <v>31</v>
      </c>
      <c r="D265" t="s">
        <v>74</v>
      </c>
      <c r="E265" t="s">
        <v>79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97</v>
      </c>
      <c r="L26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95.95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69</v>
      </c>
      <c r="C266">
        <v>31</v>
      </c>
      <c r="D266" t="s">
        <v>74</v>
      </c>
      <c r="E266" t="s">
        <v>80</v>
      </c>
      <c r="F266" t="s">
        <v>76</v>
      </c>
      <c r="G266">
        <v>10.093848691970599</v>
      </c>
      <c r="H266">
        <v>2E+20</v>
      </c>
      <c r="I266">
        <v>0</v>
      </c>
      <c r="J266">
        <v>19.988596602266501</v>
      </c>
      <c r="K266">
        <v>97</v>
      </c>
      <c r="L26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10.400210408810217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10.0253890325213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11.3008442212181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21.961443046297202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95.95</v>
      </c>
      <c r="W266" s="5">
        <f>IF((DiscreteStatsTable[[#This Row],[RepsRequested]]&gt;1),DiscreteStatsTable[[#This Row],[HalfWidth]],DiscreteStatsTable[[#This Row],[BatchMeansHalfWidth]])</f>
        <v>8.2742502257138958E-2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69</v>
      </c>
      <c r="C267">
        <v>31</v>
      </c>
      <c r="D267" t="s">
        <v>74</v>
      </c>
      <c r="E267" t="s">
        <v>81</v>
      </c>
      <c r="F267" t="s">
        <v>76</v>
      </c>
      <c r="G267">
        <v>5.0382039049782303</v>
      </c>
      <c r="H267">
        <v>2E+20</v>
      </c>
      <c r="I267">
        <v>0</v>
      </c>
      <c r="J267">
        <v>27.427152683203001</v>
      </c>
      <c r="K267">
        <v>97</v>
      </c>
      <c r="L26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10.8548110994785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5.9386193560648586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2.75851527565887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27.332850578638499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78.979701179035303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95.95</v>
      </c>
      <c r="W267" s="5">
        <f>IF((DiscreteStatsTable[[#This Row],[RepsRequested]]&gt;1),DiscreteStatsTable[[#This Row],[HalfWidth]],DiscreteStatsTable[[#This Row],[BatchMeansHalfWidth]])</f>
        <v>1.8992626106758985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69</v>
      </c>
      <c r="C268">
        <v>32</v>
      </c>
      <c r="D268" t="s">
        <v>74</v>
      </c>
      <c r="E268" t="s">
        <v>75</v>
      </c>
      <c r="F268" t="s">
        <v>76</v>
      </c>
      <c r="G268">
        <v>0</v>
      </c>
      <c r="H268">
        <v>2E+20</v>
      </c>
      <c r="I268">
        <v>0</v>
      </c>
      <c r="J268">
        <v>0</v>
      </c>
      <c r="K268">
        <v>95</v>
      </c>
      <c r="L26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95.95</v>
      </c>
      <c r="W268" s="5">
        <f>IF((DiscreteStatsTable[[#This Row],[RepsRequested]]&gt;1),DiscreteStatsTable[[#This Row],[HalfWidth]],DiscreteStatsTable[[#This Row],[BatchMeansHalfWidth]])</f>
        <v>0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69</v>
      </c>
      <c r="C269">
        <v>32</v>
      </c>
      <c r="D269" t="s">
        <v>74</v>
      </c>
      <c r="E269" t="s">
        <v>77</v>
      </c>
      <c r="F269" t="s">
        <v>76</v>
      </c>
      <c r="G269">
        <v>0</v>
      </c>
      <c r="H269">
        <v>2E+20</v>
      </c>
      <c r="I269">
        <v>0</v>
      </c>
      <c r="J269">
        <v>0</v>
      </c>
      <c r="K269">
        <v>95</v>
      </c>
      <c r="L26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95.95</v>
      </c>
      <c r="W269" s="5">
        <f>IF((DiscreteStatsTable[[#This Row],[RepsRequested]]&gt;1),DiscreteStatsTable[[#This Row],[HalfWidth]],DiscreteStatsTable[[#This Row],[BatchMeansHalfWidth]])</f>
        <v>0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69</v>
      </c>
      <c r="C270">
        <v>32</v>
      </c>
      <c r="D270" t="s">
        <v>74</v>
      </c>
      <c r="E270" t="s">
        <v>78</v>
      </c>
      <c r="F270" t="s">
        <v>76</v>
      </c>
      <c r="G270">
        <v>22.656152430849499</v>
      </c>
      <c r="H270">
        <v>2E+20</v>
      </c>
      <c r="I270">
        <v>0</v>
      </c>
      <c r="J270">
        <v>56.7027379887355</v>
      </c>
      <c r="K270">
        <v>95</v>
      </c>
      <c r="L27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21.25502150828871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5.9909109955452493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13.009471754106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37.750916018623599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98.172752532264994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95.95</v>
      </c>
      <c r="W270" s="5">
        <f>IF((DiscreteStatsTable[[#This Row],[RepsRequested]]&gt;1),DiscreteStatsTable[[#This Row],[HalfWidth]],DiscreteStatsTable[[#This Row],[BatchMeansHalfWidth]])</f>
        <v>1.9159862883122878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69</v>
      </c>
      <c r="C271">
        <v>32</v>
      </c>
      <c r="D271" t="s">
        <v>74</v>
      </c>
      <c r="E271" t="s">
        <v>79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95</v>
      </c>
      <c r="L27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95.95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69</v>
      </c>
      <c r="C272">
        <v>32</v>
      </c>
      <c r="D272" t="s">
        <v>74</v>
      </c>
      <c r="E272" t="s">
        <v>80</v>
      </c>
      <c r="F272" t="s">
        <v>76</v>
      </c>
      <c r="G272">
        <v>10.0253890325213</v>
      </c>
      <c r="H272">
        <v>2E+20</v>
      </c>
      <c r="I272">
        <v>0</v>
      </c>
      <c r="J272">
        <v>21.314772457912699</v>
      </c>
      <c r="K272">
        <v>95</v>
      </c>
      <c r="L27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10.400210408810217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10.0253890325213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11.3008442212181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21.961443046297202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95.95</v>
      </c>
      <c r="W272" s="5">
        <f>IF((DiscreteStatsTable[[#This Row],[RepsRequested]]&gt;1),DiscreteStatsTable[[#This Row],[HalfWidth]],DiscreteStatsTable[[#This Row],[BatchMeansHalfWidth]])</f>
        <v>8.2742502257138958E-2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69</v>
      </c>
      <c r="C273">
        <v>32</v>
      </c>
      <c r="D273" t="s">
        <v>74</v>
      </c>
      <c r="E273" t="s">
        <v>81</v>
      </c>
      <c r="F273" t="s">
        <v>76</v>
      </c>
      <c r="G273">
        <v>12.630763398328201</v>
      </c>
      <c r="H273">
        <v>2E+20</v>
      </c>
      <c r="I273">
        <v>0</v>
      </c>
      <c r="J273">
        <v>39.022838284655798</v>
      </c>
      <c r="K273">
        <v>95</v>
      </c>
      <c r="L27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10.8548110994785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5.9386193560648586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2.75851527565887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27.332850578638499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78.979701179035303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95.95</v>
      </c>
      <c r="W273" s="5">
        <f>IF((DiscreteStatsTable[[#This Row],[RepsRequested]]&gt;1),DiscreteStatsTable[[#This Row],[HalfWidth]],DiscreteStatsTable[[#This Row],[BatchMeansHalfWidth]])</f>
        <v>1.8992626106758985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69</v>
      </c>
      <c r="C274">
        <v>33</v>
      </c>
      <c r="D274" t="s">
        <v>74</v>
      </c>
      <c r="E274" t="s">
        <v>75</v>
      </c>
      <c r="F274" t="s">
        <v>76</v>
      </c>
      <c r="G274">
        <v>0</v>
      </c>
      <c r="H274">
        <v>2E+20</v>
      </c>
      <c r="I274">
        <v>0</v>
      </c>
      <c r="J274">
        <v>0</v>
      </c>
      <c r="K274">
        <v>90</v>
      </c>
      <c r="L27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95.95</v>
      </c>
      <c r="W274" s="5">
        <f>IF((DiscreteStatsTable[[#This Row],[RepsRequested]]&gt;1),DiscreteStatsTable[[#This Row],[HalfWidth]],DiscreteStatsTable[[#This Row],[BatchMeansHalfWidth]])</f>
        <v>0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69</v>
      </c>
      <c r="C275">
        <v>33</v>
      </c>
      <c r="D275" t="s">
        <v>74</v>
      </c>
      <c r="E275" t="s">
        <v>77</v>
      </c>
      <c r="F275" t="s">
        <v>76</v>
      </c>
      <c r="G275">
        <v>0</v>
      </c>
      <c r="H275">
        <v>2E+20</v>
      </c>
      <c r="I275">
        <v>0</v>
      </c>
      <c r="J275">
        <v>0</v>
      </c>
      <c r="K275">
        <v>90</v>
      </c>
      <c r="L27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95.95</v>
      </c>
      <c r="W275" s="5">
        <f>IF((DiscreteStatsTable[[#This Row],[RepsRequested]]&gt;1),DiscreteStatsTable[[#This Row],[HalfWidth]],DiscreteStatsTable[[#This Row],[BatchMeansHalfWidth]])</f>
        <v>0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69</v>
      </c>
      <c r="C276">
        <v>33</v>
      </c>
      <c r="D276" t="s">
        <v>74</v>
      </c>
      <c r="E276" t="s">
        <v>78</v>
      </c>
      <c r="F276" t="s">
        <v>76</v>
      </c>
      <c r="G276">
        <v>13.009471754106</v>
      </c>
      <c r="H276">
        <v>2E+20</v>
      </c>
      <c r="I276">
        <v>0</v>
      </c>
      <c r="J276">
        <v>29.7020580761776</v>
      </c>
      <c r="K276">
        <v>90</v>
      </c>
      <c r="L27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21.25502150828871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5.9909109955452493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13.009471754106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37.750916018623599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98.172752532264994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95.95</v>
      </c>
      <c r="W276" s="5">
        <f>IF((DiscreteStatsTable[[#This Row],[RepsRequested]]&gt;1),DiscreteStatsTable[[#This Row],[HalfWidth]],DiscreteStatsTable[[#This Row],[BatchMeansHalfWidth]])</f>
        <v>1.9159862883122878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69</v>
      </c>
      <c r="C277">
        <v>33</v>
      </c>
      <c r="D277" t="s">
        <v>74</v>
      </c>
      <c r="E277" t="s">
        <v>79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90</v>
      </c>
      <c r="L27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95.95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69</v>
      </c>
      <c r="C278">
        <v>33</v>
      </c>
      <c r="D278" t="s">
        <v>74</v>
      </c>
      <c r="E278" t="s">
        <v>80</v>
      </c>
      <c r="F278" t="s">
        <v>76</v>
      </c>
      <c r="G278">
        <v>10.2509564784472</v>
      </c>
      <c r="H278">
        <v>2E+20</v>
      </c>
      <c r="I278">
        <v>0</v>
      </c>
      <c r="J278">
        <v>20.105987701904802</v>
      </c>
      <c r="K278">
        <v>90</v>
      </c>
      <c r="L27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10.400210408810217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10.0253890325213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11.3008442212181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21.961443046297202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95.95</v>
      </c>
      <c r="W278" s="5">
        <f>IF((DiscreteStatsTable[[#This Row],[RepsRequested]]&gt;1),DiscreteStatsTable[[#This Row],[HalfWidth]],DiscreteStatsTable[[#This Row],[BatchMeansHalfWidth]])</f>
        <v>8.2742502257138958E-2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69</v>
      </c>
      <c r="C279">
        <v>33</v>
      </c>
      <c r="D279" t="s">
        <v>74</v>
      </c>
      <c r="E279" t="s">
        <v>81</v>
      </c>
      <c r="F279" t="s">
        <v>76</v>
      </c>
      <c r="G279">
        <v>2.75851527565887</v>
      </c>
      <c r="H279">
        <v>2E+20</v>
      </c>
      <c r="I279">
        <v>0</v>
      </c>
      <c r="J279">
        <v>12.904337211012599</v>
      </c>
      <c r="K279">
        <v>90</v>
      </c>
      <c r="L27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10.8548110994785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5.9386193560648586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2.75851527565887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27.332850578638499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78.979701179035303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95.95</v>
      </c>
      <c r="W279" s="5">
        <f>IF((DiscreteStatsTable[[#This Row],[RepsRequested]]&gt;1),DiscreteStatsTable[[#This Row],[HalfWidth]],DiscreteStatsTable[[#This Row],[BatchMeansHalfWidth]])</f>
        <v>1.8992626106758985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69</v>
      </c>
      <c r="C280">
        <v>34</v>
      </c>
      <c r="D280" t="s">
        <v>74</v>
      </c>
      <c r="E280" t="s">
        <v>75</v>
      </c>
      <c r="F280" t="s">
        <v>76</v>
      </c>
      <c r="G280">
        <v>0</v>
      </c>
      <c r="H280">
        <v>2E+20</v>
      </c>
      <c r="I280">
        <v>0</v>
      </c>
      <c r="J280">
        <v>0</v>
      </c>
      <c r="K280">
        <v>104</v>
      </c>
      <c r="L28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95.95</v>
      </c>
      <c r="W280" s="5">
        <f>IF((DiscreteStatsTable[[#This Row],[RepsRequested]]&gt;1),DiscreteStatsTable[[#This Row],[HalfWidth]],DiscreteStatsTable[[#This Row],[BatchMeansHalfWidth]])</f>
        <v>0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69</v>
      </c>
      <c r="C281">
        <v>34</v>
      </c>
      <c r="D281" t="s">
        <v>74</v>
      </c>
      <c r="E281" t="s">
        <v>77</v>
      </c>
      <c r="F281" t="s">
        <v>76</v>
      </c>
      <c r="G281">
        <v>0</v>
      </c>
      <c r="H281">
        <v>2E+20</v>
      </c>
      <c r="I281">
        <v>0</v>
      </c>
      <c r="J281">
        <v>0</v>
      </c>
      <c r="K281">
        <v>104</v>
      </c>
      <c r="L28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95.95</v>
      </c>
      <c r="W281" s="5">
        <f>IF((DiscreteStatsTable[[#This Row],[RepsRequested]]&gt;1),DiscreteStatsTable[[#This Row],[HalfWidth]],DiscreteStatsTable[[#This Row],[BatchMeansHalfWidth]])</f>
        <v>0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69</v>
      </c>
      <c r="C282">
        <v>34</v>
      </c>
      <c r="D282" t="s">
        <v>74</v>
      </c>
      <c r="E282" t="s">
        <v>78</v>
      </c>
      <c r="F282" t="s">
        <v>76</v>
      </c>
      <c r="G282">
        <v>28.0917150402163</v>
      </c>
      <c r="H282">
        <v>2E+20</v>
      </c>
      <c r="I282">
        <v>0</v>
      </c>
      <c r="J282">
        <v>74.989132435298799</v>
      </c>
      <c r="K282">
        <v>104</v>
      </c>
      <c r="L28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21.25502150828871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5.9909109955452493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13.009471754106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37.750916018623599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98.172752532264994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95.95</v>
      </c>
      <c r="W282" s="5">
        <f>IF((DiscreteStatsTable[[#This Row],[RepsRequested]]&gt;1),DiscreteStatsTable[[#This Row],[HalfWidth]],DiscreteStatsTable[[#This Row],[BatchMeansHalfWidth]])</f>
        <v>1.9159862883122878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69</v>
      </c>
      <c r="C283">
        <v>34</v>
      </c>
      <c r="D283" t="s">
        <v>74</v>
      </c>
      <c r="E283" t="s">
        <v>79</v>
      </c>
      <c r="F283" t="s">
        <v>76</v>
      </c>
      <c r="G283">
        <v>0</v>
      </c>
      <c r="H283">
        <v>2E+20</v>
      </c>
      <c r="I283">
        <v>0</v>
      </c>
      <c r="J283">
        <v>0</v>
      </c>
      <c r="K283">
        <v>104</v>
      </c>
      <c r="L28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95.95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69</v>
      </c>
      <c r="C284">
        <v>34</v>
      </c>
      <c r="D284" t="s">
        <v>74</v>
      </c>
      <c r="E284" t="s">
        <v>80</v>
      </c>
      <c r="F284" t="s">
        <v>76</v>
      </c>
      <c r="G284">
        <v>10.044395079616001</v>
      </c>
      <c r="H284">
        <v>2E+20</v>
      </c>
      <c r="I284">
        <v>0</v>
      </c>
      <c r="J284">
        <v>20.224992280288099</v>
      </c>
      <c r="K284">
        <v>104</v>
      </c>
      <c r="L28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10.400210408810217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10.0253890325213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11.3008442212181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21.961443046297202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95.95</v>
      </c>
      <c r="W284" s="5">
        <f>IF((DiscreteStatsTable[[#This Row],[RepsRequested]]&gt;1),DiscreteStatsTable[[#This Row],[HalfWidth]],DiscreteStatsTable[[#This Row],[BatchMeansHalfWidth]])</f>
        <v>8.2742502257138958E-2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69</v>
      </c>
      <c r="C285">
        <v>34</v>
      </c>
      <c r="D285" t="s">
        <v>74</v>
      </c>
      <c r="E285" t="s">
        <v>81</v>
      </c>
      <c r="F285" t="s">
        <v>76</v>
      </c>
      <c r="G285">
        <v>18.047319960600301</v>
      </c>
      <c r="H285">
        <v>2E+20</v>
      </c>
      <c r="I285">
        <v>0</v>
      </c>
      <c r="J285">
        <v>57.882187024958199</v>
      </c>
      <c r="K285">
        <v>104</v>
      </c>
      <c r="L28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10.8548110994785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5.9386193560648586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2.75851527565887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27.332850578638499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78.979701179035303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95.95</v>
      </c>
      <c r="W285" s="5">
        <f>IF((DiscreteStatsTable[[#This Row],[RepsRequested]]&gt;1),DiscreteStatsTable[[#This Row],[HalfWidth]],DiscreteStatsTable[[#This Row],[BatchMeansHalfWidth]])</f>
        <v>1.8992626106758985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69</v>
      </c>
      <c r="C286">
        <v>35</v>
      </c>
      <c r="D286" t="s">
        <v>74</v>
      </c>
      <c r="E286" t="s">
        <v>75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99</v>
      </c>
      <c r="L28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95.95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69</v>
      </c>
      <c r="C287">
        <v>35</v>
      </c>
      <c r="D287" t="s">
        <v>74</v>
      </c>
      <c r="E287" t="s">
        <v>77</v>
      </c>
      <c r="F287" t="s">
        <v>76</v>
      </c>
      <c r="G287">
        <v>0</v>
      </c>
      <c r="H287">
        <v>2E+20</v>
      </c>
      <c r="I287">
        <v>0</v>
      </c>
      <c r="J287">
        <v>0</v>
      </c>
      <c r="K287">
        <v>99</v>
      </c>
      <c r="L28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95.95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69</v>
      </c>
      <c r="C288">
        <v>35</v>
      </c>
      <c r="D288" t="s">
        <v>74</v>
      </c>
      <c r="E288" t="s">
        <v>78</v>
      </c>
      <c r="F288" t="s">
        <v>76</v>
      </c>
      <c r="G288">
        <v>24.371499998855001</v>
      </c>
      <c r="H288">
        <v>2E+20</v>
      </c>
      <c r="I288">
        <v>0</v>
      </c>
      <c r="J288">
        <v>67.820987199683501</v>
      </c>
      <c r="K288">
        <v>99</v>
      </c>
      <c r="L28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21.25502150828871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5.9909109955452493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13.009471754106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37.750916018623599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98.172752532264994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95.95</v>
      </c>
      <c r="W288" s="5">
        <f>IF((DiscreteStatsTable[[#This Row],[RepsRequested]]&gt;1),DiscreteStatsTable[[#This Row],[HalfWidth]],DiscreteStatsTable[[#This Row],[BatchMeansHalfWidth]])</f>
        <v>1.9159862883122878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69</v>
      </c>
      <c r="C289">
        <v>35</v>
      </c>
      <c r="D289" t="s">
        <v>74</v>
      </c>
      <c r="E289" t="s">
        <v>79</v>
      </c>
      <c r="F289" t="s">
        <v>76</v>
      </c>
      <c r="G289">
        <v>0</v>
      </c>
      <c r="H289">
        <v>2E+20</v>
      </c>
      <c r="I289">
        <v>0</v>
      </c>
      <c r="J289">
        <v>0</v>
      </c>
      <c r="K289">
        <v>99</v>
      </c>
      <c r="L28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95.95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69</v>
      </c>
      <c r="C290">
        <v>35</v>
      </c>
      <c r="D290" t="s">
        <v>74</v>
      </c>
      <c r="E290" t="s">
        <v>80</v>
      </c>
      <c r="F290" t="s">
        <v>76</v>
      </c>
      <c r="G290">
        <v>10.4513050933516</v>
      </c>
      <c r="H290">
        <v>2E+20</v>
      </c>
      <c r="I290">
        <v>0</v>
      </c>
      <c r="J290">
        <v>20.709560508964302</v>
      </c>
      <c r="K290">
        <v>99</v>
      </c>
      <c r="L29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10.400210408810217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10.0253890325213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11.3008442212181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21.961443046297202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95.95</v>
      </c>
      <c r="W290" s="5">
        <f>IF((DiscreteStatsTable[[#This Row],[RepsRequested]]&gt;1),DiscreteStatsTable[[#This Row],[HalfWidth]],DiscreteStatsTable[[#This Row],[BatchMeansHalfWidth]])</f>
        <v>8.2742502257138958E-2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69</v>
      </c>
      <c r="C291">
        <v>35</v>
      </c>
      <c r="D291" t="s">
        <v>74</v>
      </c>
      <c r="E291" t="s">
        <v>81</v>
      </c>
      <c r="F291" t="s">
        <v>76</v>
      </c>
      <c r="G291">
        <v>13.920194905503401</v>
      </c>
      <c r="H291">
        <v>2E+20</v>
      </c>
      <c r="I291">
        <v>0</v>
      </c>
      <c r="J291">
        <v>50.963791897716398</v>
      </c>
      <c r="K291">
        <v>99</v>
      </c>
      <c r="L29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10.8548110994785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5.9386193560648586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2.75851527565887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27.332850578638499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78.979701179035303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95.95</v>
      </c>
      <c r="W291" s="5">
        <f>IF((DiscreteStatsTable[[#This Row],[RepsRequested]]&gt;1),DiscreteStatsTable[[#This Row],[HalfWidth]],DiscreteStatsTable[[#This Row],[BatchMeansHalfWidth]])</f>
        <v>1.8992626106758985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69</v>
      </c>
      <c r="C292">
        <v>36</v>
      </c>
      <c r="D292" t="s">
        <v>74</v>
      </c>
      <c r="E292" t="s">
        <v>75</v>
      </c>
      <c r="F292" t="s">
        <v>76</v>
      </c>
      <c r="G292">
        <v>0</v>
      </c>
      <c r="H292">
        <v>2E+20</v>
      </c>
      <c r="I292">
        <v>0</v>
      </c>
      <c r="J292">
        <v>0</v>
      </c>
      <c r="K292">
        <v>92</v>
      </c>
      <c r="L29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95.95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69</v>
      </c>
      <c r="C293">
        <v>36</v>
      </c>
      <c r="D293" t="s">
        <v>74</v>
      </c>
      <c r="E293" t="s">
        <v>77</v>
      </c>
      <c r="F293" t="s">
        <v>76</v>
      </c>
      <c r="G293">
        <v>0</v>
      </c>
      <c r="H293">
        <v>2E+20</v>
      </c>
      <c r="I293">
        <v>0</v>
      </c>
      <c r="J293">
        <v>0</v>
      </c>
      <c r="K293">
        <v>92</v>
      </c>
      <c r="L29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95.95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69</v>
      </c>
      <c r="C294">
        <v>36</v>
      </c>
      <c r="D294" t="s">
        <v>74</v>
      </c>
      <c r="E294" t="s">
        <v>78</v>
      </c>
      <c r="F294" t="s">
        <v>76</v>
      </c>
      <c r="G294">
        <v>15.9741897340396</v>
      </c>
      <c r="H294">
        <v>2E+20</v>
      </c>
      <c r="I294">
        <v>0</v>
      </c>
      <c r="J294">
        <v>48.722424362218703</v>
      </c>
      <c r="K294">
        <v>92</v>
      </c>
      <c r="L29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21.25502150828871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5.9909109955452493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13.009471754106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37.750916018623599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98.172752532264994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95.95</v>
      </c>
      <c r="W294" s="5">
        <f>IF((DiscreteStatsTable[[#This Row],[RepsRequested]]&gt;1),DiscreteStatsTable[[#This Row],[HalfWidth]],DiscreteStatsTable[[#This Row],[BatchMeansHalfWidth]])</f>
        <v>1.9159862883122878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69</v>
      </c>
      <c r="C295">
        <v>36</v>
      </c>
      <c r="D295" t="s">
        <v>74</v>
      </c>
      <c r="E295" t="s">
        <v>79</v>
      </c>
      <c r="F295" t="s">
        <v>76</v>
      </c>
      <c r="G295">
        <v>0</v>
      </c>
      <c r="H295">
        <v>2E+20</v>
      </c>
      <c r="I295">
        <v>0</v>
      </c>
      <c r="J295">
        <v>0</v>
      </c>
      <c r="K295">
        <v>92</v>
      </c>
      <c r="L29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95.95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69</v>
      </c>
      <c r="C296">
        <v>36</v>
      </c>
      <c r="D296" t="s">
        <v>74</v>
      </c>
      <c r="E296" t="s">
        <v>80</v>
      </c>
      <c r="F296" t="s">
        <v>76</v>
      </c>
      <c r="G296">
        <v>10.167070925699401</v>
      </c>
      <c r="H296">
        <v>2E+20</v>
      </c>
      <c r="I296">
        <v>0</v>
      </c>
      <c r="J296">
        <v>20.275523970249701</v>
      </c>
      <c r="K296">
        <v>92</v>
      </c>
      <c r="L29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10.400210408810217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0.25871947497487852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10.0253890325213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11.3008442212181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21.961443046297202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95.95</v>
      </c>
      <c r="W296" s="5">
        <f>IF((DiscreteStatsTable[[#This Row],[RepsRequested]]&gt;1),DiscreteStatsTable[[#This Row],[HalfWidth]],DiscreteStatsTable[[#This Row],[BatchMeansHalfWidth]])</f>
        <v>8.2742502257138958E-2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69</v>
      </c>
      <c r="C297">
        <v>36</v>
      </c>
      <c r="D297" t="s">
        <v>74</v>
      </c>
      <c r="E297" t="s">
        <v>81</v>
      </c>
      <c r="F297" t="s">
        <v>76</v>
      </c>
      <c r="G297">
        <v>5.8071188083402898</v>
      </c>
      <c r="H297">
        <v>2E+20</v>
      </c>
      <c r="I297">
        <v>0</v>
      </c>
      <c r="J297">
        <v>31.5646401521144</v>
      </c>
      <c r="K297">
        <v>92</v>
      </c>
      <c r="L29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10.8548110994785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5.9386193560648586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2.75851527565887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27.332850578638499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78.979701179035303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95.95</v>
      </c>
      <c r="W297" s="5">
        <f>IF((DiscreteStatsTable[[#This Row],[RepsRequested]]&gt;1),DiscreteStatsTable[[#This Row],[HalfWidth]],DiscreteStatsTable[[#This Row],[BatchMeansHalfWidth]])</f>
        <v>1.8992626106758985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69</v>
      </c>
      <c r="C298">
        <v>37</v>
      </c>
      <c r="D298" t="s">
        <v>74</v>
      </c>
      <c r="E298" t="s">
        <v>75</v>
      </c>
      <c r="F298" t="s">
        <v>76</v>
      </c>
      <c r="G298">
        <v>0</v>
      </c>
      <c r="H298">
        <v>2E+20</v>
      </c>
      <c r="I298">
        <v>0</v>
      </c>
      <c r="J298">
        <v>0</v>
      </c>
      <c r="K298">
        <v>100</v>
      </c>
      <c r="L29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95.95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69</v>
      </c>
      <c r="C299">
        <v>37</v>
      </c>
      <c r="D299" t="s">
        <v>74</v>
      </c>
      <c r="E299" t="s">
        <v>77</v>
      </c>
      <c r="F299" t="s">
        <v>76</v>
      </c>
      <c r="G299">
        <v>0</v>
      </c>
      <c r="H299">
        <v>2E+20</v>
      </c>
      <c r="I299">
        <v>0</v>
      </c>
      <c r="J299">
        <v>0</v>
      </c>
      <c r="K299">
        <v>100</v>
      </c>
      <c r="L29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95.95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69</v>
      </c>
      <c r="C300">
        <v>37</v>
      </c>
      <c r="D300" t="s">
        <v>74</v>
      </c>
      <c r="E300" t="s">
        <v>78</v>
      </c>
      <c r="F300" t="s">
        <v>76</v>
      </c>
      <c r="G300">
        <v>29.448368370113801</v>
      </c>
      <c r="H300">
        <v>2E+20</v>
      </c>
      <c r="I300">
        <v>0</v>
      </c>
      <c r="J300">
        <v>70.801394670782699</v>
      </c>
      <c r="K300">
        <v>100</v>
      </c>
      <c r="L30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21.25502150828871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5.9909109955452493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13.009471754106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37.750916018623599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98.172752532264994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95.95</v>
      </c>
      <c r="W300" s="5">
        <f>IF((DiscreteStatsTable[[#This Row],[RepsRequested]]&gt;1),DiscreteStatsTable[[#This Row],[HalfWidth]],DiscreteStatsTable[[#This Row],[BatchMeansHalfWidth]])</f>
        <v>1.9159862883122878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69</v>
      </c>
      <c r="C301">
        <v>37</v>
      </c>
      <c r="D301" t="s">
        <v>74</v>
      </c>
      <c r="E301" t="s">
        <v>79</v>
      </c>
      <c r="F301" t="s">
        <v>76</v>
      </c>
      <c r="G301">
        <v>0</v>
      </c>
      <c r="H301">
        <v>2E+20</v>
      </c>
      <c r="I301">
        <v>0</v>
      </c>
      <c r="J301">
        <v>0</v>
      </c>
      <c r="K301">
        <v>100</v>
      </c>
      <c r="L30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95.95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69</v>
      </c>
      <c r="C302">
        <v>37</v>
      </c>
      <c r="D302" t="s">
        <v>74</v>
      </c>
      <c r="E302" t="s">
        <v>80</v>
      </c>
      <c r="F302" t="s">
        <v>76</v>
      </c>
      <c r="G302">
        <v>10.3004133949582</v>
      </c>
      <c r="H302">
        <v>2E+20</v>
      </c>
      <c r="I302">
        <v>0</v>
      </c>
      <c r="J302">
        <v>19.9079575550474</v>
      </c>
      <c r="K302">
        <v>100</v>
      </c>
      <c r="L30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10.400210408810217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0.25871947497487852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10.0253890325213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11.3008442212181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21.961443046297202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95.95</v>
      </c>
      <c r="W302" s="5">
        <f>IF((DiscreteStatsTable[[#This Row],[RepsRequested]]&gt;1),DiscreteStatsTable[[#This Row],[HalfWidth]],DiscreteStatsTable[[#This Row],[BatchMeansHalfWidth]])</f>
        <v>8.2742502257138958E-2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69</v>
      </c>
      <c r="C303">
        <v>37</v>
      </c>
      <c r="D303" t="s">
        <v>74</v>
      </c>
      <c r="E303" t="s">
        <v>81</v>
      </c>
      <c r="F303" t="s">
        <v>76</v>
      </c>
      <c r="G303">
        <v>19.147954975155599</v>
      </c>
      <c r="H303">
        <v>2E+20</v>
      </c>
      <c r="I303">
        <v>0</v>
      </c>
      <c r="J303">
        <v>53.083990469164497</v>
      </c>
      <c r="K303">
        <v>100</v>
      </c>
      <c r="L30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10.8548110994785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5.9386193560648586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2.75851527565887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27.332850578638499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78.979701179035303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95.95</v>
      </c>
      <c r="W303" s="5">
        <f>IF((DiscreteStatsTable[[#This Row],[RepsRequested]]&gt;1),DiscreteStatsTable[[#This Row],[HalfWidth]],DiscreteStatsTable[[#This Row],[BatchMeansHalfWidth]])</f>
        <v>1.8992626106758985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69</v>
      </c>
      <c r="C304">
        <v>38</v>
      </c>
      <c r="D304" t="s">
        <v>74</v>
      </c>
      <c r="E304" t="s">
        <v>75</v>
      </c>
      <c r="F304" t="s">
        <v>76</v>
      </c>
      <c r="G304">
        <v>0</v>
      </c>
      <c r="H304">
        <v>2E+20</v>
      </c>
      <c r="I304">
        <v>0</v>
      </c>
      <c r="J304">
        <v>0</v>
      </c>
      <c r="K304">
        <v>101</v>
      </c>
      <c r="L30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95.95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69</v>
      </c>
      <c r="C305">
        <v>38</v>
      </c>
      <c r="D305" t="s">
        <v>74</v>
      </c>
      <c r="E305" t="s">
        <v>77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101</v>
      </c>
      <c r="L30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95.95</v>
      </c>
      <c r="W305" s="5">
        <f>IF((DiscreteStatsTable[[#This Row],[RepsRequested]]&gt;1),DiscreteStatsTable[[#This Row],[HalfWidth]],DiscreteStatsTable[[#This Row],[BatchMeansHalfWidth]])</f>
        <v>0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69</v>
      </c>
      <c r="C306">
        <v>38</v>
      </c>
      <c r="D306" t="s">
        <v>74</v>
      </c>
      <c r="E306" t="s">
        <v>78</v>
      </c>
      <c r="F306" t="s">
        <v>76</v>
      </c>
      <c r="G306">
        <v>37.750916018623599</v>
      </c>
      <c r="H306">
        <v>2E+20</v>
      </c>
      <c r="I306">
        <v>0</v>
      </c>
      <c r="J306">
        <v>98.172752532264994</v>
      </c>
      <c r="K306">
        <v>101</v>
      </c>
      <c r="L30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21.25502150828871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5.9909109955452493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13.009471754106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37.750916018623599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98.172752532264994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95.95</v>
      </c>
      <c r="W306" s="5">
        <f>IF((DiscreteStatsTable[[#This Row],[RepsRequested]]&gt;1),DiscreteStatsTable[[#This Row],[HalfWidth]],DiscreteStatsTable[[#This Row],[BatchMeansHalfWidth]])</f>
        <v>1.9159862883122878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69</v>
      </c>
      <c r="C307">
        <v>38</v>
      </c>
      <c r="D307" t="s">
        <v>74</v>
      </c>
      <c r="E307" t="s">
        <v>79</v>
      </c>
      <c r="F307" t="s">
        <v>76</v>
      </c>
      <c r="G307">
        <v>0</v>
      </c>
      <c r="H307">
        <v>2E+20</v>
      </c>
      <c r="I307">
        <v>0</v>
      </c>
      <c r="J307">
        <v>0</v>
      </c>
      <c r="K307">
        <v>101</v>
      </c>
      <c r="L30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95.95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69</v>
      </c>
      <c r="C308">
        <v>38</v>
      </c>
      <c r="D308" t="s">
        <v>74</v>
      </c>
      <c r="E308" t="s">
        <v>80</v>
      </c>
      <c r="F308" t="s">
        <v>76</v>
      </c>
      <c r="G308">
        <v>10.418065439985099</v>
      </c>
      <c r="H308">
        <v>2E+20</v>
      </c>
      <c r="I308">
        <v>0</v>
      </c>
      <c r="J308">
        <v>19.948466449972599</v>
      </c>
      <c r="K308">
        <v>101</v>
      </c>
      <c r="L30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10.400210408810217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0.25871947497487852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10.0253890325213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11.3008442212181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21.961443046297202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95.95</v>
      </c>
      <c r="W308" s="5">
        <f>IF((DiscreteStatsTable[[#This Row],[RepsRequested]]&gt;1),DiscreteStatsTable[[#This Row],[HalfWidth]],DiscreteStatsTable[[#This Row],[BatchMeansHalfWidth]])</f>
        <v>8.2742502257138958E-2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69</v>
      </c>
      <c r="C309">
        <v>38</v>
      </c>
      <c r="D309" t="s">
        <v>74</v>
      </c>
      <c r="E309" t="s">
        <v>81</v>
      </c>
      <c r="F309" t="s">
        <v>76</v>
      </c>
      <c r="G309">
        <v>27.332850578638499</v>
      </c>
      <c r="H309">
        <v>2E+20</v>
      </c>
      <c r="I309">
        <v>0</v>
      </c>
      <c r="J309">
        <v>78.979701179035303</v>
      </c>
      <c r="K309">
        <v>101</v>
      </c>
      <c r="L30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10.8548110994785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5.9386193560648586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2.75851527565887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27.332850578638499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78.979701179035303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95.95</v>
      </c>
      <c r="W309" s="5">
        <f>IF((DiscreteStatsTable[[#This Row],[RepsRequested]]&gt;1),DiscreteStatsTable[[#This Row],[HalfWidth]],DiscreteStatsTable[[#This Row],[BatchMeansHalfWidth]])</f>
        <v>1.8992626106758985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69</v>
      </c>
      <c r="C310">
        <v>39</v>
      </c>
      <c r="D310" t="s">
        <v>74</v>
      </c>
      <c r="E310" t="s">
        <v>75</v>
      </c>
      <c r="F310" t="s">
        <v>76</v>
      </c>
      <c r="G310">
        <v>0</v>
      </c>
      <c r="H310">
        <v>2E+20</v>
      </c>
      <c r="I310">
        <v>0</v>
      </c>
      <c r="J310">
        <v>0</v>
      </c>
      <c r="K310">
        <v>91</v>
      </c>
      <c r="L31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95.95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69</v>
      </c>
      <c r="C311">
        <v>39</v>
      </c>
      <c r="D311" t="s">
        <v>74</v>
      </c>
      <c r="E311" t="s">
        <v>77</v>
      </c>
      <c r="F311" t="s">
        <v>76</v>
      </c>
      <c r="G311">
        <v>0</v>
      </c>
      <c r="H311">
        <v>2E+20</v>
      </c>
      <c r="I311">
        <v>0</v>
      </c>
      <c r="J311">
        <v>0</v>
      </c>
      <c r="K311">
        <v>91</v>
      </c>
      <c r="L31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95.95</v>
      </c>
      <c r="W311" s="5">
        <f>IF((DiscreteStatsTable[[#This Row],[RepsRequested]]&gt;1),DiscreteStatsTable[[#This Row],[HalfWidth]],DiscreteStatsTable[[#This Row],[BatchMeansHalfWidth]])</f>
        <v>0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69</v>
      </c>
      <c r="C312">
        <v>39</v>
      </c>
      <c r="D312" t="s">
        <v>74</v>
      </c>
      <c r="E312" t="s">
        <v>78</v>
      </c>
      <c r="F312" t="s">
        <v>76</v>
      </c>
      <c r="G312">
        <v>21.179605793510198</v>
      </c>
      <c r="H312">
        <v>2E+20</v>
      </c>
      <c r="I312">
        <v>0</v>
      </c>
      <c r="J312">
        <v>60.625630782459098</v>
      </c>
      <c r="K312">
        <v>91</v>
      </c>
      <c r="L31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21.25502150828871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5.9909109955452493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13.009471754106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37.750916018623599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98.172752532264994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95.95</v>
      </c>
      <c r="W312" s="5">
        <f>IF((DiscreteStatsTable[[#This Row],[RepsRequested]]&gt;1),DiscreteStatsTable[[#This Row],[HalfWidth]],DiscreteStatsTable[[#This Row],[BatchMeansHalfWidth]])</f>
        <v>1.9159862883122878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69</v>
      </c>
      <c r="C313">
        <v>39</v>
      </c>
      <c r="D313" t="s">
        <v>74</v>
      </c>
      <c r="E313" t="s">
        <v>79</v>
      </c>
      <c r="F313" t="s">
        <v>76</v>
      </c>
      <c r="G313">
        <v>0</v>
      </c>
      <c r="H313">
        <v>2E+20</v>
      </c>
      <c r="I313">
        <v>0</v>
      </c>
      <c r="J313">
        <v>0</v>
      </c>
      <c r="K313">
        <v>91</v>
      </c>
      <c r="L31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95.95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69</v>
      </c>
      <c r="C314">
        <v>39</v>
      </c>
      <c r="D314" t="s">
        <v>74</v>
      </c>
      <c r="E314" t="s">
        <v>80</v>
      </c>
      <c r="F314" t="s">
        <v>76</v>
      </c>
      <c r="G314">
        <v>10.2212106466223</v>
      </c>
      <c r="H314">
        <v>2E+20</v>
      </c>
      <c r="I314">
        <v>0</v>
      </c>
      <c r="J314">
        <v>19.594016602726501</v>
      </c>
      <c r="K314">
        <v>91</v>
      </c>
      <c r="L31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10.400210408810217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0.25871947497487852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10.0253890325213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11.3008442212181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21.961443046297202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95.95</v>
      </c>
      <c r="W314" s="5">
        <f>IF((DiscreteStatsTable[[#This Row],[RepsRequested]]&gt;1),DiscreteStatsTable[[#This Row],[HalfWidth]],DiscreteStatsTable[[#This Row],[BatchMeansHalfWidth]])</f>
        <v>8.2742502257138958E-2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69</v>
      </c>
      <c r="C315">
        <v>39</v>
      </c>
      <c r="D315" t="s">
        <v>74</v>
      </c>
      <c r="E315" t="s">
        <v>81</v>
      </c>
      <c r="F315" t="s">
        <v>76</v>
      </c>
      <c r="G315">
        <v>10.9583951468879</v>
      </c>
      <c r="H315">
        <v>2E+20</v>
      </c>
      <c r="I315">
        <v>0</v>
      </c>
      <c r="J315">
        <v>41.955846669410803</v>
      </c>
      <c r="K315">
        <v>91</v>
      </c>
      <c r="L31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10.8548110994785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5.9386193560648586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2.75851527565887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27.332850578638499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78.979701179035303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95.95</v>
      </c>
      <c r="W315" s="5">
        <f>IF((DiscreteStatsTable[[#This Row],[RepsRequested]]&gt;1),DiscreteStatsTable[[#This Row],[HalfWidth]],DiscreteStatsTable[[#This Row],[BatchMeansHalfWidth]])</f>
        <v>1.8992626106758985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69</v>
      </c>
      <c r="C316">
        <v>40</v>
      </c>
      <c r="D316" t="s">
        <v>74</v>
      </c>
      <c r="E316" t="s">
        <v>75</v>
      </c>
      <c r="F316" t="s">
        <v>76</v>
      </c>
      <c r="G316">
        <v>0</v>
      </c>
      <c r="H316">
        <v>2E+20</v>
      </c>
      <c r="I316">
        <v>0</v>
      </c>
      <c r="J316">
        <v>0</v>
      </c>
      <c r="K316">
        <v>85</v>
      </c>
      <c r="L31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95.95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69</v>
      </c>
      <c r="C317">
        <v>40</v>
      </c>
      <c r="D317" t="s">
        <v>74</v>
      </c>
      <c r="E317" t="s">
        <v>77</v>
      </c>
      <c r="F317" t="s">
        <v>76</v>
      </c>
      <c r="G317">
        <v>0</v>
      </c>
      <c r="H317">
        <v>2E+20</v>
      </c>
      <c r="I317">
        <v>0</v>
      </c>
      <c r="J317">
        <v>0</v>
      </c>
      <c r="K317">
        <v>85</v>
      </c>
      <c r="L31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95.95</v>
      </c>
      <c r="W317" s="5">
        <f>IF((DiscreteStatsTable[[#This Row],[RepsRequested]]&gt;1),DiscreteStatsTable[[#This Row],[HalfWidth]],DiscreteStatsTable[[#This Row],[BatchMeansHalfWidth]])</f>
        <v>0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69</v>
      </c>
      <c r="C318">
        <v>40</v>
      </c>
      <c r="D318" t="s">
        <v>74</v>
      </c>
      <c r="E318" t="s">
        <v>78</v>
      </c>
      <c r="F318" t="s">
        <v>76</v>
      </c>
      <c r="G318">
        <v>15.429318957360699</v>
      </c>
      <c r="H318">
        <v>2E+20</v>
      </c>
      <c r="I318">
        <v>0</v>
      </c>
      <c r="J318">
        <v>40.884388487151497</v>
      </c>
      <c r="K318">
        <v>85</v>
      </c>
      <c r="L31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21.25502150828871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5.9909109955452493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1.9159862883122878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13.009471754106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37.750916018623599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98.172752532264994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95.95</v>
      </c>
      <c r="W318" s="5">
        <f>IF((DiscreteStatsTable[[#This Row],[RepsRequested]]&gt;1),DiscreteStatsTable[[#This Row],[HalfWidth]],DiscreteStatsTable[[#This Row],[BatchMeansHalfWidth]])</f>
        <v>1.9159862883122878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69</v>
      </c>
      <c r="C319">
        <v>40</v>
      </c>
      <c r="D319" t="s">
        <v>74</v>
      </c>
      <c r="E319" t="s">
        <v>79</v>
      </c>
      <c r="F319" t="s">
        <v>76</v>
      </c>
      <c r="G319">
        <v>0</v>
      </c>
      <c r="H319">
        <v>2E+20</v>
      </c>
      <c r="I319">
        <v>0</v>
      </c>
      <c r="J319">
        <v>0</v>
      </c>
      <c r="K319">
        <v>85</v>
      </c>
      <c r="L31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95.95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69</v>
      </c>
      <c r="C320">
        <v>40</v>
      </c>
      <c r="D320" t="s">
        <v>74</v>
      </c>
      <c r="E320" t="s">
        <v>80</v>
      </c>
      <c r="F320" t="s">
        <v>76</v>
      </c>
      <c r="G320">
        <v>10.6948117465572</v>
      </c>
      <c r="H320">
        <v>2E+20</v>
      </c>
      <c r="I320">
        <v>0</v>
      </c>
      <c r="J320">
        <v>20.865539326874501</v>
      </c>
      <c r="K320">
        <v>85</v>
      </c>
      <c r="L32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10.400210408810217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0.25871947497487852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8.2742502257138958E-2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10.0253890325213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11.3008442212181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21.961443046297202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95.95</v>
      </c>
      <c r="W320" s="5">
        <f>IF((DiscreteStatsTable[[#This Row],[RepsRequested]]&gt;1),DiscreteStatsTable[[#This Row],[HalfWidth]],DiscreteStatsTable[[#This Row],[BatchMeansHalfWidth]])</f>
        <v>8.2742502257138958E-2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69</v>
      </c>
      <c r="C321">
        <v>40</v>
      </c>
      <c r="D321" t="s">
        <v>74</v>
      </c>
      <c r="E321" t="s">
        <v>81</v>
      </c>
      <c r="F321" t="s">
        <v>76</v>
      </c>
      <c r="G321">
        <v>4.73450721080357</v>
      </c>
      <c r="H321">
        <v>2E+20</v>
      </c>
      <c r="I321">
        <v>0</v>
      </c>
      <c r="J321">
        <v>22.743366069948799</v>
      </c>
      <c r="K321">
        <v>85</v>
      </c>
      <c r="L32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10.8548110994785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5.9386193560648586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1.8992626106758985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2.75851527565887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27.332850578638499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78.979701179035303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95.95</v>
      </c>
      <c r="W321" s="5">
        <f>IF((DiscreteStatsTable[[#This Row],[RepsRequested]]&gt;1),DiscreteStatsTable[[#This Row],[HalfWidth]],DiscreteStatsTable[[#This Row],[BatchMeansHalfWidth]])</f>
        <v>1.8992626106758985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69</v>
      </c>
      <c r="C322">
        <v>1</v>
      </c>
      <c r="D322" t="s">
        <v>82</v>
      </c>
      <c r="E322" t="s">
        <v>71</v>
      </c>
      <c r="F322" t="s">
        <v>72</v>
      </c>
      <c r="G322">
        <v>5.8962990255746401</v>
      </c>
      <c r="H322">
        <v>2E+20</v>
      </c>
      <c r="I322">
        <v>0</v>
      </c>
      <c r="J322">
        <v>12.354889450683901</v>
      </c>
      <c r="K322">
        <v>62</v>
      </c>
      <c r="L32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6.1788991965606304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2.3806803056332302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8.8229655911748104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13.9648319773901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64.25</v>
      </c>
      <c r="W322" s="5">
        <f>IF((DiscreteStatsTable[[#This Row],[RepsRequested]]&gt;1),DiscreteStatsTable[[#This Row],[HalfWidth]],DiscreteStatsTable[[#This Row],[BatchMeansHalfWidth]])</f>
        <v>0.56771215421034726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69</v>
      </c>
      <c r="C323">
        <v>2</v>
      </c>
      <c r="D323" t="s">
        <v>82</v>
      </c>
      <c r="E323" t="s">
        <v>71</v>
      </c>
      <c r="F323" t="s">
        <v>72</v>
      </c>
      <c r="G323">
        <v>7.4276799569087899</v>
      </c>
      <c r="H323">
        <v>2E+20</v>
      </c>
      <c r="I323">
        <v>0</v>
      </c>
      <c r="J323">
        <v>11.367222577184</v>
      </c>
      <c r="K323">
        <v>69</v>
      </c>
      <c r="L32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6.1788991965606304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2.3806803056332302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8.8229655911748104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13.9648319773901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64.25</v>
      </c>
      <c r="W323" s="5">
        <f>IF((DiscreteStatsTable[[#This Row],[RepsRequested]]&gt;1),DiscreteStatsTable[[#This Row],[HalfWidth]],DiscreteStatsTable[[#This Row],[BatchMeansHalfWidth]])</f>
        <v>0.56771215421034726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69</v>
      </c>
      <c r="C324">
        <v>3</v>
      </c>
      <c r="D324" t="s">
        <v>82</v>
      </c>
      <c r="E324" t="s">
        <v>71</v>
      </c>
      <c r="F324" t="s">
        <v>72</v>
      </c>
      <c r="G324">
        <v>8.3748632756759598</v>
      </c>
      <c r="H324">
        <v>2E+20</v>
      </c>
      <c r="I324">
        <v>0</v>
      </c>
      <c r="J324">
        <v>12.160020890022601</v>
      </c>
      <c r="K324">
        <v>67</v>
      </c>
      <c r="L32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6.1788991965606304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2.3806803056332302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8.8229655911748104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13.9648319773901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64.25</v>
      </c>
      <c r="W324" s="5">
        <f>IF((DiscreteStatsTable[[#This Row],[RepsRequested]]&gt;1),DiscreteStatsTable[[#This Row],[HalfWidth]],DiscreteStatsTable[[#This Row],[BatchMeansHalfWidth]])</f>
        <v>0.56771215421034726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69</v>
      </c>
      <c r="C325">
        <v>4</v>
      </c>
      <c r="D325" t="s">
        <v>82</v>
      </c>
      <c r="E325" t="s">
        <v>71</v>
      </c>
      <c r="F325" t="s">
        <v>72</v>
      </c>
      <c r="G325">
        <v>8.4144336201605707</v>
      </c>
      <c r="H325">
        <v>2E+20</v>
      </c>
      <c r="I325">
        <v>0</v>
      </c>
      <c r="J325">
        <v>12.1884088151886</v>
      </c>
      <c r="K325">
        <v>66</v>
      </c>
      <c r="L32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6.1788991965606304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2.3806803056332302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8.8229655911748104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13.9648319773901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64.25</v>
      </c>
      <c r="W325" s="5">
        <f>IF((DiscreteStatsTable[[#This Row],[RepsRequested]]&gt;1),DiscreteStatsTable[[#This Row],[HalfWidth]],DiscreteStatsTable[[#This Row],[BatchMeansHalfWidth]])</f>
        <v>0.56771215421034726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69</v>
      </c>
      <c r="C326">
        <v>5</v>
      </c>
      <c r="D326" t="s">
        <v>82</v>
      </c>
      <c r="E326" t="s">
        <v>71</v>
      </c>
      <c r="F326" t="s">
        <v>72</v>
      </c>
      <c r="G326">
        <v>5.8592680071563397</v>
      </c>
      <c r="H326">
        <v>2E+20</v>
      </c>
      <c r="I326">
        <v>0</v>
      </c>
      <c r="J326">
        <v>12.6514836854753</v>
      </c>
      <c r="K326">
        <v>65</v>
      </c>
      <c r="L32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6.1788991965606304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2.3806803056332302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8.8229655911748104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13.9648319773901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64.25</v>
      </c>
      <c r="W326" s="5">
        <f>IF((DiscreteStatsTable[[#This Row],[RepsRequested]]&gt;1),DiscreteStatsTable[[#This Row],[HalfWidth]],DiscreteStatsTable[[#This Row],[BatchMeansHalfWidth]])</f>
        <v>0.56771215421034726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69</v>
      </c>
      <c r="C327">
        <v>6</v>
      </c>
      <c r="D327" t="s">
        <v>82</v>
      </c>
      <c r="E327" t="s">
        <v>71</v>
      </c>
      <c r="F327" t="s">
        <v>72</v>
      </c>
      <c r="G327">
        <v>6.5037820355767204</v>
      </c>
      <c r="H327">
        <v>2E+20</v>
      </c>
      <c r="I327">
        <v>0</v>
      </c>
      <c r="J327">
        <v>11.791322252877</v>
      </c>
      <c r="K327">
        <v>67</v>
      </c>
      <c r="L32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6.1788991965606304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2.3806803056332302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8.8229655911748104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13.9648319773901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64.25</v>
      </c>
      <c r="W327" s="5">
        <f>IF((DiscreteStatsTable[[#This Row],[RepsRequested]]&gt;1),DiscreteStatsTable[[#This Row],[HalfWidth]],DiscreteStatsTable[[#This Row],[BatchMeansHalfWidth]])</f>
        <v>0.56771215421034726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69</v>
      </c>
      <c r="C328">
        <v>7</v>
      </c>
      <c r="D328" t="s">
        <v>82</v>
      </c>
      <c r="E328" t="s">
        <v>71</v>
      </c>
      <c r="F328" t="s">
        <v>72</v>
      </c>
      <c r="G328">
        <v>3.6487299597574001</v>
      </c>
      <c r="H328">
        <v>2E+20</v>
      </c>
      <c r="I328">
        <v>0</v>
      </c>
      <c r="J328">
        <v>9.9999966666666804</v>
      </c>
      <c r="K328">
        <v>61</v>
      </c>
      <c r="L32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6.1788991965606304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2.3806803056332302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8.8229655911748104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13.9648319773901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64.25</v>
      </c>
      <c r="W328" s="5">
        <f>IF((DiscreteStatsTable[[#This Row],[RepsRequested]]&gt;1),DiscreteStatsTable[[#This Row],[HalfWidth]],DiscreteStatsTable[[#This Row],[BatchMeansHalfWidth]])</f>
        <v>0.56771215421034726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69</v>
      </c>
      <c r="C329">
        <v>8</v>
      </c>
      <c r="D329" t="s">
        <v>82</v>
      </c>
      <c r="E329" t="s">
        <v>71</v>
      </c>
      <c r="F329" t="s">
        <v>72</v>
      </c>
      <c r="G329">
        <v>5.5659849788560596</v>
      </c>
      <c r="H329">
        <v>2E+20</v>
      </c>
      <c r="I329">
        <v>0</v>
      </c>
      <c r="J329">
        <v>11.1989081264375</v>
      </c>
      <c r="K329">
        <v>67</v>
      </c>
      <c r="L32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6.1788991965606304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1.7751238658181356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2.3806803056332302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8.8229655911748104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13.9648319773901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64.25</v>
      </c>
      <c r="W329" s="5">
        <f>IF((DiscreteStatsTable[[#This Row],[RepsRequested]]&gt;1),DiscreteStatsTable[[#This Row],[HalfWidth]],DiscreteStatsTable[[#This Row],[BatchMeansHalfWidth]])</f>
        <v>0.56771215421034726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69</v>
      </c>
      <c r="C330">
        <v>9</v>
      </c>
      <c r="D330" t="s">
        <v>82</v>
      </c>
      <c r="E330" t="s">
        <v>71</v>
      </c>
      <c r="F330" t="s">
        <v>72</v>
      </c>
      <c r="G330">
        <v>8.0424694014837392</v>
      </c>
      <c r="H330">
        <v>2E+20</v>
      </c>
      <c r="I330">
        <v>0</v>
      </c>
      <c r="J330">
        <v>13.1342887690691</v>
      </c>
      <c r="K330">
        <v>67</v>
      </c>
      <c r="L33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6.1788991965606304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2.3806803056332302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8.8229655911748104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13.9648319773901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64.25</v>
      </c>
      <c r="W330" s="5">
        <f>IF((DiscreteStatsTable[[#This Row],[RepsRequested]]&gt;1),DiscreteStatsTable[[#This Row],[HalfWidth]],DiscreteStatsTable[[#This Row],[BatchMeansHalfWidth]])</f>
        <v>0.56771215421034726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69</v>
      </c>
      <c r="C331">
        <v>10</v>
      </c>
      <c r="D331" t="s">
        <v>82</v>
      </c>
      <c r="E331" t="s">
        <v>71</v>
      </c>
      <c r="F331" t="s">
        <v>72</v>
      </c>
      <c r="G331">
        <v>6.5778856917544699</v>
      </c>
      <c r="H331">
        <v>2E+20</v>
      </c>
      <c r="I331">
        <v>0</v>
      </c>
      <c r="J331">
        <v>11.973470451584999</v>
      </c>
      <c r="K331">
        <v>67</v>
      </c>
      <c r="L33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6.1788991965606304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2.3806803056332302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8.8229655911748104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13.9648319773901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64.25</v>
      </c>
      <c r="W331" s="5">
        <f>IF((DiscreteStatsTable[[#This Row],[RepsRequested]]&gt;1),DiscreteStatsTable[[#This Row],[HalfWidth]],DiscreteStatsTable[[#This Row],[BatchMeansHalfWidth]])</f>
        <v>0.56771215421034726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69</v>
      </c>
      <c r="C332">
        <v>11</v>
      </c>
      <c r="D332" t="s">
        <v>82</v>
      </c>
      <c r="E332" t="s">
        <v>71</v>
      </c>
      <c r="F332" t="s">
        <v>72</v>
      </c>
      <c r="G332">
        <v>7.3470851256118097</v>
      </c>
      <c r="H332">
        <v>2E+20</v>
      </c>
      <c r="I332">
        <v>0</v>
      </c>
      <c r="J332">
        <v>11.315691199602201</v>
      </c>
      <c r="K332">
        <v>68</v>
      </c>
      <c r="L33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6.1788991965606304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2.3806803056332302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8.8229655911748104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13.9648319773901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64.25</v>
      </c>
      <c r="W332" s="5">
        <f>IF((DiscreteStatsTable[[#This Row],[RepsRequested]]&gt;1),DiscreteStatsTable[[#This Row],[HalfWidth]],DiscreteStatsTable[[#This Row],[BatchMeansHalfWidth]])</f>
        <v>0.56771215421034726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69</v>
      </c>
      <c r="C333">
        <v>12</v>
      </c>
      <c r="D333" t="s">
        <v>82</v>
      </c>
      <c r="E333" t="s">
        <v>71</v>
      </c>
      <c r="F333" t="s">
        <v>72</v>
      </c>
      <c r="G333">
        <v>6.4226076417615001</v>
      </c>
      <c r="H333">
        <v>2E+20</v>
      </c>
      <c r="I333">
        <v>0</v>
      </c>
      <c r="J333">
        <v>12.601025626786599</v>
      </c>
      <c r="K333">
        <v>63</v>
      </c>
      <c r="L33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6.1788991965606304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2.3806803056332302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8.8229655911748104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13.9648319773901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64.25</v>
      </c>
      <c r="W333" s="5">
        <f>IF((DiscreteStatsTable[[#This Row],[RepsRequested]]&gt;1),DiscreteStatsTable[[#This Row],[HalfWidth]],DiscreteStatsTable[[#This Row],[BatchMeansHalfWidth]])</f>
        <v>0.56771215421034726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69</v>
      </c>
      <c r="C334">
        <v>13</v>
      </c>
      <c r="D334" t="s">
        <v>82</v>
      </c>
      <c r="E334" t="s">
        <v>71</v>
      </c>
      <c r="F334" t="s">
        <v>72</v>
      </c>
      <c r="G334">
        <v>7.9114884193748098</v>
      </c>
      <c r="H334">
        <v>2E+20</v>
      </c>
      <c r="I334">
        <v>0</v>
      </c>
      <c r="J334">
        <v>11.825230693172699</v>
      </c>
      <c r="K334">
        <v>67</v>
      </c>
      <c r="L33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6.1788991965606304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2.3806803056332302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8.8229655911748104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13.9648319773901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64.25</v>
      </c>
      <c r="W334" s="5">
        <f>IF((DiscreteStatsTable[[#This Row],[RepsRequested]]&gt;1),DiscreteStatsTable[[#This Row],[HalfWidth]],DiscreteStatsTable[[#This Row],[BatchMeansHalfWidth]])</f>
        <v>0.56771215421034726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69</v>
      </c>
      <c r="C335">
        <v>14</v>
      </c>
      <c r="D335" t="s">
        <v>82</v>
      </c>
      <c r="E335" t="s">
        <v>71</v>
      </c>
      <c r="F335" t="s">
        <v>72</v>
      </c>
      <c r="G335">
        <v>5.4467513277941499</v>
      </c>
      <c r="H335">
        <v>2E+20</v>
      </c>
      <c r="I335">
        <v>0</v>
      </c>
      <c r="J335">
        <v>11.426145014075599</v>
      </c>
      <c r="K335">
        <v>66</v>
      </c>
      <c r="L33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6.1788991965606304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2.3806803056332302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8.8229655911748104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13.9648319773901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64.25</v>
      </c>
      <c r="W335" s="5">
        <f>IF((DiscreteStatsTable[[#This Row],[RepsRequested]]&gt;1),DiscreteStatsTable[[#This Row],[HalfWidth]],DiscreteStatsTable[[#This Row],[BatchMeansHalfWidth]])</f>
        <v>0.56771215421034726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69</v>
      </c>
      <c r="C336">
        <v>15</v>
      </c>
      <c r="D336" t="s">
        <v>82</v>
      </c>
      <c r="E336" t="s">
        <v>71</v>
      </c>
      <c r="F336" t="s">
        <v>72</v>
      </c>
      <c r="G336">
        <v>5.2708907901278499</v>
      </c>
      <c r="H336">
        <v>2E+20</v>
      </c>
      <c r="I336">
        <v>0</v>
      </c>
      <c r="J336">
        <v>11.6314052919383</v>
      </c>
      <c r="K336">
        <v>60</v>
      </c>
      <c r="L33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6.1788991965606304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2.3806803056332302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8.8229655911748104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13.9648319773901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64.25</v>
      </c>
      <c r="W336" s="5">
        <f>IF((DiscreteStatsTable[[#This Row],[RepsRequested]]&gt;1),DiscreteStatsTable[[#This Row],[HalfWidth]],DiscreteStatsTable[[#This Row],[BatchMeansHalfWidth]])</f>
        <v>0.56771215421034726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69</v>
      </c>
      <c r="C337">
        <v>16</v>
      </c>
      <c r="D337" t="s">
        <v>82</v>
      </c>
      <c r="E337" t="s">
        <v>71</v>
      </c>
      <c r="F337" t="s">
        <v>72</v>
      </c>
      <c r="G337">
        <v>7.7970492199276196</v>
      </c>
      <c r="H337">
        <v>2E+20</v>
      </c>
      <c r="I337">
        <v>0</v>
      </c>
      <c r="J337">
        <v>12.8521648394021</v>
      </c>
      <c r="K337">
        <v>68</v>
      </c>
      <c r="L33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6.1788991965606304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2.3806803056332302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8.8229655911748104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13.9648319773901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64.25</v>
      </c>
      <c r="W337" s="5">
        <f>IF((DiscreteStatsTable[[#This Row],[RepsRequested]]&gt;1),DiscreteStatsTable[[#This Row],[HalfWidth]],DiscreteStatsTable[[#This Row],[BatchMeansHalfWidth]])</f>
        <v>0.56771215421034726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69</v>
      </c>
      <c r="C338">
        <v>17</v>
      </c>
      <c r="D338" t="s">
        <v>82</v>
      </c>
      <c r="E338" t="s">
        <v>71</v>
      </c>
      <c r="F338" t="s">
        <v>72</v>
      </c>
      <c r="G338">
        <v>6.1896513287672201</v>
      </c>
      <c r="H338">
        <v>2E+20</v>
      </c>
      <c r="I338">
        <v>0</v>
      </c>
      <c r="J338">
        <v>12.845774929581101</v>
      </c>
      <c r="K338">
        <v>61</v>
      </c>
      <c r="L33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6.1788991965606304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2.3806803056332302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8.8229655911748104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13.9648319773901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64.25</v>
      </c>
      <c r="W338" s="5">
        <f>IF((DiscreteStatsTable[[#This Row],[RepsRequested]]&gt;1),DiscreteStatsTable[[#This Row],[HalfWidth]],DiscreteStatsTable[[#This Row],[BatchMeansHalfWidth]])</f>
        <v>0.56771215421034726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69</v>
      </c>
      <c r="C339">
        <v>18</v>
      </c>
      <c r="D339" t="s">
        <v>82</v>
      </c>
      <c r="E339" t="s">
        <v>71</v>
      </c>
      <c r="F339" t="s">
        <v>72</v>
      </c>
      <c r="G339">
        <v>7.0212437384679296</v>
      </c>
      <c r="H339">
        <v>2E+20</v>
      </c>
      <c r="I339">
        <v>0</v>
      </c>
      <c r="J339">
        <v>12.648354819258</v>
      </c>
      <c r="K339">
        <v>66</v>
      </c>
      <c r="L33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6.1788991965606304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1.7751238658181356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2.3806803056332302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8.8229655911748104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13.9648319773901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64.25</v>
      </c>
      <c r="W339" s="5">
        <f>IF((DiscreteStatsTable[[#This Row],[RepsRequested]]&gt;1),DiscreteStatsTable[[#This Row],[HalfWidth]],DiscreteStatsTable[[#This Row],[BatchMeansHalfWidth]])</f>
        <v>0.56771215421034726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69</v>
      </c>
      <c r="C340">
        <v>19</v>
      </c>
      <c r="D340" t="s">
        <v>82</v>
      </c>
      <c r="E340" t="s">
        <v>71</v>
      </c>
      <c r="F340" t="s">
        <v>72</v>
      </c>
      <c r="G340">
        <v>4.9371505586525002</v>
      </c>
      <c r="H340">
        <v>2E+20</v>
      </c>
      <c r="I340">
        <v>0</v>
      </c>
      <c r="J340">
        <v>11.4720386405094</v>
      </c>
      <c r="K340">
        <v>63</v>
      </c>
      <c r="L34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6.1788991965606304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2.3806803056332302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8.8229655911748104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13.9648319773901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64.25</v>
      </c>
      <c r="W340" s="5">
        <f>IF((DiscreteStatsTable[[#This Row],[RepsRequested]]&gt;1),DiscreteStatsTable[[#This Row],[HalfWidth]],DiscreteStatsTable[[#This Row],[BatchMeansHalfWidth]])</f>
        <v>0.56771215421034726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69</v>
      </c>
      <c r="C341">
        <v>20</v>
      </c>
      <c r="D341" t="s">
        <v>82</v>
      </c>
      <c r="E341" t="s">
        <v>71</v>
      </c>
      <c r="F341" t="s">
        <v>72</v>
      </c>
      <c r="G341">
        <v>7.9901255873715504</v>
      </c>
      <c r="H341">
        <v>2E+20</v>
      </c>
      <c r="I341">
        <v>0</v>
      </c>
      <c r="J341">
        <v>13.110108097276299</v>
      </c>
      <c r="K341">
        <v>69</v>
      </c>
      <c r="L34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6.1788991965606304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2.3806803056332302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8.8229655911748104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13.9648319773901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64.25</v>
      </c>
      <c r="W341" s="5">
        <f>IF((DiscreteStatsTable[[#This Row],[RepsRequested]]&gt;1),DiscreteStatsTable[[#This Row],[HalfWidth]],DiscreteStatsTable[[#This Row],[BatchMeansHalfWidth]])</f>
        <v>0.56771215421034726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69</v>
      </c>
      <c r="C342">
        <v>21</v>
      </c>
      <c r="D342" t="s">
        <v>82</v>
      </c>
      <c r="E342" t="s">
        <v>71</v>
      </c>
      <c r="F342" t="s">
        <v>72</v>
      </c>
      <c r="G342">
        <v>5.9371689932502001</v>
      </c>
      <c r="H342">
        <v>2E+20</v>
      </c>
      <c r="I342">
        <v>0</v>
      </c>
      <c r="J342">
        <v>12.896019357859601</v>
      </c>
      <c r="K342">
        <v>64</v>
      </c>
      <c r="L34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6.1788991965606304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2.3806803056332302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8.8229655911748104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13.9648319773901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64.25</v>
      </c>
      <c r="W342" s="5">
        <f>IF((DiscreteStatsTable[[#This Row],[RepsRequested]]&gt;1),DiscreteStatsTable[[#This Row],[HalfWidth]],DiscreteStatsTable[[#This Row],[BatchMeansHalfWidth]])</f>
        <v>0.56771215421034726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69</v>
      </c>
      <c r="C343">
        <v>22</v>
      </c>
      <c r="D343" t="s">
        <v>82</v>
      </c>
      <c r="E343" t="s">
        <v>71</v>
      </c>
      <c r="F343" t="s">
        <v>72</v>
      </c>
      <c r="G343">
        <v>8.8229655911748104</v>
      </c>
      <c r="H343">
        <v>2E+20</v>
      </c>
      <c r="I343">
        <v>0</v>
      </c>
      <c r="J343">
        <v>13.9648319773901</v>
      </c>
      <c r="K343">
        <v>65</v>
      </c>
      <c r="L34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6.1788991965606304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2.3806803056332302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8.8229655911748104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13.9648319773901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64.25</v>
      </c>
      <c r="W343" s="5">
        <f>IF((DiscreteStatsTable[[#This Row],[RepsRequested]]&gt;1),DiscreteStatsTable[[#This Row],[HalfWidth]],DiscreteStatsTable[[#This Row],[BatchMeansHalfWidth]])</f>
        <v>0.56771215421034726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69</v>
      </c>
      <c r="C344">
        <v>23</v>
      </c>
      <c r="D344" t="s">
        <v>82</v>
      </c>
      <c r="E344" t="s">
        <v>71</v>
      </c>
      <c r="F344" t="s">
        <v>72</v>
      </c>
      <c r="G344">
        <v>7.0199600020523896</v>
      </c>
      <c r="H344">
        <v>2E+20</v>
      </c>
      <c r="I344">
        <v>0</v>
      </c>
      <c r="J344">
        <v>12.0337595785427</v>
      </c>
      <c r="K344">
        <v>67</v>
      </c>
      <c r="L34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6.1788991965606304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2.3806803056332302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8.8229655911748104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13.9648319773901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64.25</v>
      </c>
      <c r="W344" s="5">
        <f>IF((DiscreteStatsTable[[#This Row],[RepsRequested]]&gt;1),DiscreteStatsTable[[#This Row],[HalfWidth]],DiscreteStatsTable[[#This Row],[BatchMeansHalfWidth]])</f>
        <v>0.56771215421034726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69</v>
      </c>
      <c r="C345">
        <v>24</v>
      </c>
      <c r="D345" t="s">
        <v>82</v>
      </c>
      <c r="E345" t="s">
        <v>71</v>
      </c>
      <c r="F345" t="s">
        <v>72</v>
      </c>
      <c r="G345">
        <v>2.3806803056332302</v>
      </c>
      <c r="H345">
        <v>2E+20</v>
      </c>
      <c r="I345">
        <v>0</v>
      </c>
      <c r="J345">
        <v>8.8885496727857394</v>
      </c>
      <c r="K345">
        <v>57</v>
      </c>
      <c r="L34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6.1788991965606304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2.3806803056332302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8.8229655911748104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13.9648319773901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64.25</v>
      </c>
      <c r="W345" s="5">
        <f>IF((DiscreteStatsTable[[#This Row],[RepsRequested]]&gt;1),DiscreteStatsTable[[#This Row],[HalfWidth]],DiscreteStatsTable[[#This Row],[BatchMeansHalfWidth]])</f>
        <v>0.56771215421034726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69</v>
      </c>
      <c r="C346">
        <v>25</v>
      </c>
      <c r="D346" t="s">
        <v>82</v>
      </c>
      <c r="E346" t="s">
        <v>71</v>
      </c>
      <c r="F346" t="s">
        <v>72</v>
      </c>
      <c r="G346">
        <v>6.9003478669896596</v>
      </c>
      <c r="H346">
        <v>2E+20</v>
      </c>
      <c r="I346">
        <v>0</v>
      </c>
      <c r="J346">
        <v>11.107032972384999</v>
      </c>
      <c r="K346">
        <v>67</v>
      </c>
      <c r="L34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6.1788991965606304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2.3806803056332302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8.8229655911748104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13.9648319773901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64.25</v>
      </c>
      <c r="W346" s="5">
        <f>IF((DiscreteStatsTable[[#This Row],[RepsRequested]]&gt;1),DiscreteStatsTable[[#This Row],[HalfWidth]],DiscreteStatsTable[[#This Row],[BatchMeansHalfWidth]])</f>
        <v>0.56771215421034726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69</v>
      </c>
      <c r="C347">
        <v>26</v>
      </c>
      <c r="D347" t="s">
        <v>82</v>
      </c>
      <c r="E347" t="s">
        <v>71</v>
      </c>
      <c r="F347" t="s">
        <v>72</v>
      </c>
      <c r="G347">
        <v>2.8468016107310099</v>
      </c>
      <c r="H347">
        <v>2E+20</v>
      </c>
      <c r="I347">
        <v>0</v>
      </c>
      <c r="J347">
        <v>11.612348084627699</v>
      </c>
      <c r="K347">
        <v>58</v>
      </c>
      <c r="L34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6.1788991965606304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2.3806803056332302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8.8229655911748104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13.9648319773901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64.25</v>
      </c>
      <c r="W347" s="5">
        <f>IF((DiscreteStatsTable[[#This Row],[RepsRequested]]&gt;1),DiscreteStatsTable[[#This Row],[HalfWidth]],DiscreteStatsTable[[#This Row],[BatchMeansHalfWidth]])</f>
        <v>0.56771215421034726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69</v>
      </c>
      <c r="C348">
        <v>27</v>
      </c>
      <c r="D348" t="s">
        <v>82</v>
      </c>
      <c r="E348" t="s">
        <v>71</v>
      </c>
      <c r="F348" t="s">
        <v>72</v>
      </c>
      <c r="G348">
        <v>4.4220727984253498</v>
      </c>
      <c r="H348">
        <v>2E+20</v>
      </c>
      <c r="I348">
        <v>0</v>
      </c>
      <c r="J348">
        <v>12.243790775759599</v>
      </c>
      <c r="K348">
        <v>60</v>
      </c>
      <c r="L34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6.1788991965606304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2.3806803056332302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8.8229655911748104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13.9648319773901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64.25</v>
      </c>
      <c r="W348" s="5">
        <f>IF((DiscreteStatsTable[[#This Row],[RepsRequested]]&gt;1),DiscreteStatsTable[[#This Row],[HalfWidth]],DiscreteStatsTable[[#This Row],[BatchMeansHalfWidth]])</f>
        <v>0.56771215421034726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69</v>
      </c>
      <c r="C349">
        <v>28</v>
      </c>
      <c r="D349" t="s">
        <v>82</v>
      </c>
      <c r="E349" t="s">
        <v>71</v>
      </c>
      <c r="F349" t="s">
        <v>72</v>
      </c>
      <c r="G349">
        <v>6.4566226167904404</v>
      </c>
      <c r="H349">
        <v>2E+20</v>
      </c>
      <c r="I349">
        <v>0</v>
      </c>
      <c r="J349">
        <v>11.8757396667002</v>
      </c>
      <c r="K349">
        <v>68</v>
      </c>
      <c r="L34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6.1788991965606304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1.7751238658181356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2.3806803056332302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8.8229655911748104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13.9648319773901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64.25</v>
      </c>
      <c r="W349" s="5">
        <f>IF((DiscreteStatsTable[[#This Row],[RepsRequested]]&gt;1),DiscreteStatsTable[[#This Row],[HalfWidth]],DiscreteStatsTable[[#This Row],[BatchMeansHalfWidth]])</f>
        <v>0.56771215421034726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69</v>
      </c>
      <c r="C350">
        <v>29</v>
      </c>
      <c r="D350" t="s">
        <v>82</v>
      </c>
      <c r="E350" t="s">
        <v>71</v>
      </c>
      <c r="F350" t="s">
        <v>72</v>
      </c>
      <c r="G350">
        <v>3.9405849110353399</v>
      </c>
      <c r="H350">
        <v>2E+20</v>
      </c>
      <c r="I350">
        <v>0</v>
      </c>
      <c r="J350">
        <v>13.3317263833983</v>
      </c>
      <c r="K350">
        <v>61</v>
      </c>
      <c r="L35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6.1788991965606304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2.3806803056332302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8.8229655911748104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13.9648319773901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64.25</v>
      </c>
      <c r="W350" s="5">
        <f>IF((DiscreteStatsTable[[#This Row],[RepsRequested]]&gt;1),DiscreteStatsTable[[#This Row],[HalfWidth]],DiscreteStatsTable[[#This Row],[BatchMeansHalfWidth]])</f>
        <v>0.56771215421034726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69</v>
      </c>
      <c r="C351">
        <v>30</v>
      </c>
      <c r="D351" t="s">
        <v>82</v>
      </c>
      <c r="E351" t="s">
        <v>71</v>
      </c>
      <c r="F351" t="s">
        <v>72</v>
      </c>
      <c r="G351">
        <v>3.63069171508945</v>
      </c>
      <c r="H351">
        <v>2E+20</v>
      </c>
      <c r="I351">
        <v>0</v>
      </c>
      <c r="J351">
        <v>12.559192476859399</v>
      </c>
      <c r="K351">
        <v>55</v>
      </c>
      <c r="L35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6.1788991965606304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2.3806803056332302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8.8229655911748104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13.9648319773901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64.25</v>
      </c>
      <c r="W351" s="5">
        <f>IF((DiscreteStatsTable[[#This Row],[RepsRequested]]&gt;1),DiscreteStatsTable[[#This Row],[HalfWidth]],DiscreteStatsTable[[#This Row],[BatchMeansHalfWidth]])</f>
        <v>0.56771215421034726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66</v>
      </c>
      <c r="B352" t="s">
        <v>69</v>
      </c>
      <c r="C352">
        <v>31</v>
      </c>
      <c r="D352" t="s">
        <v>82</v>
      </c>
      <c r="E352" t="s">
        <v>71</v>
      </c>
      <c r="F352" t="s">
        <v>72</v>
      </c>
      <c r="G352">
        <v>4.7774254597395904</v>
      </c>
      <c r="H352">
        <v>2E+20</v>
      </c>
      <c r="I352">
        <v>0</v>
      </c>
      <c r="J352">
        <v>11.242540389002899</v>
      </c>
      <c r="K352">
        <v>64</v>
      </c>
      <c r="L35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6.1788991965606304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2.3806803056332302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8.8229655911748104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13.9648319773901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64.25</v>
      </c>
      <c r="W352" s="5">
        <f>IF((DiscreteStatsTable[[#This Row],[RepsRequested]]&gt;1),DiscreteStatsTable[[#This Row],[HalfWidth]],DiscreteStatsTable[[#This Row],[BatchMeansHalfWidth]])</f>
        <v>0.56771215421034726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66</v>
      </c>
      <c r="B353" t="s">
        <v>69</v>
      </c>
      <c r="C353">
        <v>32</v>
      </c>
      <c r="D353" t="s">
        <v>82</v>
      </c>
      <c r="E353" t="s">
        <v>71</v>
      </c>
      <c r="F353" t="s">
        <v>72</v>
      </c>
      <c r="G353">
        <v>7.2495493411830898</v>
      </c>
      <c r="H353">
        <v>2E+20</v>
      </c>
      <c r="I353">
        <v>0</v>
      </c>
      <c r="J353">
        <v>13.891183244210501</v>
      </c>
      <c r="K353">
        <v>63</v>
      </c>
      <c r="L35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6.1788991965606304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2.3806803056332302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8.8229655911748104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13.9648319773901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64.25</v>
      </c>
      <c r="W353" s="5">
        <f>IF((DiscreteStatsTable[[#This Row],[RepsRequested]]&gt;1),DiscreteStatsTable[[#This Row],[HalfWidth]],DiscreteStatsTable[[#This Row],[BatchMeansHalfWidth]])</f>
        <v>0.56771215421034726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66</v>
      </c>
      <c r="B354" t="s">
        <v>69</v>
      </c>
      <c r="C354">
        <v>33</v>
      </c>
      <c r="D354" t="s">
        <v>82</v>
      </c>
      <c r="E354" t="s">
        <v>71</v>
      </c>
      <c r="F354" t="s">
        <v>72</v>
      </c>
      <c r="G354">
        <v>2.8426888370724499</v>
      </c>
      <c r="H354">
        <v>2E+20</v>
      </c>
      <c r="I354">
        <v>0</v>
      </c>
      <c r="J354">
        <v>8.8781888227753107</v>
      </c>
      <c r="K354">
        <v>62</v>
      </c>
      <c r="L35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6.1788991965606304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2.3806803056332302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8.8229655911748104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13.9648319773901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64.25</v>
      </c>
      <c r="W354" s="5">
        <f>IF((DiscreteStatsTable[[#This Row],[RepsRequested]]&gt;1),DiscreteStatsTable[[#This Row],[HalfWidth]],DiscreteStatsTable[[#This Row],[BatchMeansHalfWidth]])</f>
        <v>0.56771215421034726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66</v>
      </c>
      <c r="B355" t="s">
        <v>69</v>
      </c>
      <c r="C355">
        <v>34</v>
      </c>
      <c r="D355" t="s">
        <v>82</v>
      </c>
      <c r="E355" t="s">
        <v>71</v>
      </c>
      <c r="F355" t="s">
        <v>72</v>
      </c>
      <c r="G355">
        <v>8.0661619258710395</v>
      </c>
      <c r="H355">
        <v>2E+20</v>
      </c>
      <c r="I355">
        <v>0</v>
      </c>
      <c r="J355">
        <v>12.4364323747438</v>
      </c>
      <c r="K355">
        <v>68</v>
      </c>
      <c r="L35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6.1788991965606304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2.3806803056332302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8.8229655911748104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13.9648319773901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64.25</v>
      </c>
      <c r="W355" s="5">
        <f>IF((DiscreteStatsTable[[#This Row],[RepsRequested]]&gt;1),DiscreteStatsTable[[#This Row],[HalfWidth]],DiscreteStatsTable[[#This Row],[BatchMeansHalfWidth]])</f>
        <v>0.56771215421034726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66</v>
      </c>
      <c r="B356" t="s">
        <v>69</v>
      </c>
      <c r="C356">
        <v>35</v>
      </c>
      <c r="D356" t="s">
        <v>82</v>
      </c>
      <c r="E356" t="s">
        <v>71</v>
      </c>
      <c r="F356" t="s">
        <v>72</v>
      </c>
      <c r="G356">
        <v>8.3328361622529705</v>
      </c>
      <c r="H356">
        <v>2E+20</v>
      </c>
      <c r="I356">
        <v>0</v>
      </c>
      <c r="J356">
        <v>13.5060268804594</v>
      </c>
      <c r="K356">
        <v>67</v>
      </c>
      <c r="L35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6.1788991965606304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2.3806803056332302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8.8229655911748104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13.9648319773901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64.25</v>
      </c>
      <c r="W356" s="5">
        <f>IF((DiscreteStatsTable[[#This Row],[RepsRequested]]&gt;1),DiscreteStatsTable[[#This Row],[HalfWidth]],DiscreteStatsTable[[#This Row],[BatchMeansHalfWidth]])</f>
        <v>0.56771215421034726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66</v>
      </c>
      <c r="B357" t="s">
        <v>69</v>
      </c>
      <c r="C357">
        <v>36</v>
      </c>
      <c r="D357" t="s">
        <v>82</v>
      </c>
      <c r="E357" t="s">
        <v>71</v>
      </c>
      <c r="F357" t="s">
        <v>72</v>
      </c>
      <c r="G357">
        <v>4.5330149624274902</v>
      </c>
      <c r="H357">
        <v>2E+20</v>
      </c>
      <c r="I357">
        <v>0</v>
      </c>
      <c r="J357">
        <v>11.8051328829862</v>
      </c>
      <c r="K357">
        <v>62</v>
      </c>
      <c r="L35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6.1788991965606304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2.3806803056332302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8.8229655911748104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13.9648319773901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64.25</v>
      </c>
      <c r="W357" s="5">
        <f>IF((DiscreteStatsTable[[#This Row],[RepsRequested]]&gt;1),DiscreteStatsTable[[#This Row],[HalfWidth]],DiscreteStatsTable[[#This Row],[BatchMeansHalfWidth]])</f>
        <v>0.56771215421034726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66</v>
      </c>
      <c r="B358" t="s">
        <v>69</v>
      </c>
      <c r="C358">
        <v>37</v>
      </c>
      <c r="D358" t="s">
        <v>82</v>
      </c>
      <c r="E358" t="s">
        <v>71</v>
      </c>
      <c r="F358" t="s">
        <v>72</v>
      </c>
      <c r="G358">
        <v>8.2988918409930399</v>
      </c>
      <c r="H358">
        <v>2E+20</v>
      </c>
      <c r="I358">
        <v>0</v>
      </c>
      <c r="J358">
        <v>12.9550747073932</v>
      </c>
      <c r="K358">
        <v>68</v>
      </c>
      <c r="L35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6.1788991965606304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2.3806803056332302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8.8229655911748104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13.9648319773901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64.25</v>
      </c>
      <c r="W358" s="5">
        <f>IF((DiscreteStatsTable[[#This Row],[RepsRequested]]&gt;1),DiscreteStatsTable[[#This Row],[HalfWidth]],DiscreteStatsTable[[#This Row],[BatchMeansHalfWidth]])</f>
        <v>0.56771215421034726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66</v>
      </c>
      <c r="B359" t="s">
        <v>69</v>
      </c>
      <c r="C359">
        <v>38</v>
      </c>
      <c r="D359" t="s">
        <v>82</v>
      </c>
      <c r="E359" t="s">
        <v>71</v>
      </c>
      <c r="F359" t="s">
        <v>72</v>
      </c>
      <c r="G359">
        <v>8.1303063463302099</v>
      </c>
      <c r="H359">
        <v>2E+20</v>
      </c>
      <c r="I359">
        <v>0</v>
      </c>
      <c r="J359">
        <v>12.5282982513255</v>
      </c>
      <c r="K359">
        <v>68</v>
      </c>
      <c r="L35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6.1788991965606304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1.7751238658181356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2.3806803056332302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8.8229655911748104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13.9648319773901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64.25</v>
      </c>
      <c r="W359" s="5">
        <f>IF((DiscreteStatsTable[[#This Row],[RepsRequested]]&gt;1),DiscreteStatsTable[[#This Row],[HalfWidth]],DiscreteStatsTable[[#This Row],[BatchMeansHalfWidth]])</f>
        <v>0.56771215421034726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66</v>
      </c>
      <c r="B360" t="s">
        <v>69</v>
      </c>
      <c r="C360">
        <v>39</v>
      </c>
      <c r="D360" t="s">
        <v>82</v>
      </c>
      <c r="E360" t="s">
        <v>71</v>
      </c>
      <c r="F360" t="s">
        <v>72</v>
      </c>
      <c r="G360">
        <v>5.9568827261267803</v>
      </c>
      <c r="H360">
        <v>2E+20</v>
      </c>
      <c r="I360">
        <v>0</v>
      </c>
      <c r="J360">
        <v>12.1024679039277</v>
      </c>
      <c r="K360">
        <v>61</v>
      </c>
      <c r="L36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6.1788991965606304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1.7751238658181356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2.3806803056332302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8.8229655911748104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13.9648319773901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64.25</v>
      </c>
      <c r="W360" s="5">
        <f>IF((DiscreteStatsTable[[#This Row],[RepsRequested]]&gt;1),DiscreteStatsTable[[#This Row],[HalfWidth]],DiscreteStatsTable[[#This Row],[BatchMeansHalfWidth]])</f>
        <v>0.56771215421034726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66</v>
      </c>
      <c r="B361" t="s">
        <v>69</v>
      </c>
      <c r="C361">
        <v>40</v>
      </c>
      <c r="D361" t="s">
        <v>82</v>
      </c>
      <c r="E361" t="s">
        <v>71</v>
      </c>
      <c r="F361" t="s">
        <v>72</v>
      </c>
      <c r="G361">
        <v>3.96487415849509</v>
      </c>
      <c r="H361">
        <v>2E+20</v>
      </c>
      <c r="I361">
        <v>0</v>
      </c>
      <c r="J361">
        <v>11.9503391292765</v>
      </c>
      <c r="K361">
        <v>56</v>
      </c>
      <c r="L36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6.1788991965606304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1.7751238658181356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0.56771215421034726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2.3806803056332302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8.8229655911748104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13.9648319773901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64.25</v>
      </c>
      <c r="W361" s="5">
        <f>IF((DiscreteStatsTable[[#This Row],[RepsRequested]]&gt;1),DiscreteStatsTable[[#This Row],[HalfWidth]],DiscreteStatsTable[[#This Row],[BatchMeansHalfWidth]])</f>
        <v>0.56771215421034726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66</v>
      </c>
      <c r="B362" t="s">
        <v>69</v>
      </c>
      <c r="C362">
        <v>1</v>
      </c>
      <c r="D362" t="s">
        <v>83</v>
      </c>
      <c r="E362" t="s">
        <v>71</v>
      </c>
      <c r="F362" t="s">
        <v>72</v>
      </c>
      <c r="G362">
        <v>6.2593595104025503</v>
      </c>
      <c r="H362">
        <v>2E+20</v>
      </c>
      <c r="I362">
        <v>0</v>
      </c>
      <c r="J362">
        <v>12.6257674222527</v>
      </c>
      <c r="K362">
        <v>56</v>
      </c>
      <c r="L36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6.491350975302578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2.3076600199871402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9.5262519161464994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14.285713175524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58.375</v>
      </c>
      <c r="W362" s="5">
        <f>IF((DiscreteStatsTable[[#This Row],[RepsRequested]]&gt;1),DiscreteStatsTable[[#This Row],[HalfWidth]],DiscreteStatsTable[[#This Row],[BatchMeansHalfWidth]])</f>
        <v>0.6695980404094769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66</v>
      </c>
      <c r="B363" t="s">
        <v>69</v>
      </c>
      <c r="C363">
        <v>2</v>
      </c>
      <c r="D363" t="s">
        <v>83</v>
      </c>
      <c r="E363" t="s">
        <v>71</v>
      </c>
      <c r="F363" t="s">
        <v>72</v>
      </c>
      <c r="G363">
        <v>8.2289806329713606</v>
      </c>
      <c r="H363">
        <v>2E+20</v>
      </c>
      <c r="I363">
        <v>0.36757820028772098</v>
      </c>
      <c r="J363">
        <v>12.1341884344964</v>
      </c>
      <c r="K363">
        <v>63</v>
      </c>
      <c r="L36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6.491350975302578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2.3076600199871402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9.5262519161464994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14.285713175524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58.375</v>
      </c>
      <c r="W363" s="5">
        <f>IF((DiscreteStatsTable[[#This Row],[RepsRequested]]&gt;1),DiscreteStatsTable[[#This Row],[HalfWidth]],DiscreteStatsTable[[#This Row],[BatchMeansHalfWidth]])</f>
        <v>0.6695980404094769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66</v>
      </c>
      <c r="B364" t="s">
        <v>69</v>
      </c>
      <c r="C364">
        <v>3</v>
      </c>
      <c r="D364" t="s">
        <v>83</v>
      </c>
      <c r="E364" t="s">
        <v>71</v>
      </c>
      <c r="F364" t="s">
        <v>72</v>
      </c>
      <c r="G364">
        <v>9.0885181382133808</v>
      </c>
      <c r="H364">
        <v>2E+20</v>
      </c>
      <c r="I364">
        <v>0.333069715825836</v>
      </c>
      <c r="J364">
        <v>13.795253947657599</v>
      </c>
      <c r="K364">
        <v>61</v>
      </c>
      <c r="L36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6.491350975302578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2.3076600199871402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9.5262519161464994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14.285713175524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58.375</v>
      </c>
      <c r="W364" s="5">
        <f>IF((DiscreteStatsTable[[#This Row],[RepsRequested]]&gt;1),DiscreteStatsTable[[#This Row],[HalfWidth]],DiscreteStatsTable[[#This Row],[BatchMeansHalfWidth]])</f>
        <v>0.6695980404094769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66</v>
      </c>
      <c r="B365" t="s">
        <v>69</v>
      </c>
      <c r="C365">
        <v>4</v>
      </c>
      <c r="D365" t="s">
        <v>83</v>
      </c>
      <c r="E365" t="s">
        <v>71</v>
      </c>
      <c r="F365" t="s">
        <v>72</v>
      </c>
      <c r="G365">
        <v>9.4289691144018608</v>
      </c>
      <c r="H365">
        <v>2E+20</v>
      </c>
      <c r="I365">
        <v>2.9658695680747802</v>
      </c>
      <c r="J365">
        <v>12.366190668775699</v>
      </c>
      <c r="K365">
        <v>60</v>
      </c>
      <c r="L36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6.491350975302578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2.3076600199871402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9.5262519161464994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14.285713175524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58.375</v>
      </c>
      <c r="W365" s="5">
        <f>IF((DiscreteStatsTable[[#This Row],[RepsRequested]]&gt;1),DiscreteStatsTable[[#This Row],[HalfWidth]],DiscreteStatsTable[[#This Row],[BatchMeansHalfWidth]])</f>
        <v>0.6695980404094769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66</v>
      </c>
      <c r="B366" t="s">
        <v>69</v>
      </c>
      <c r="C366">
        <v>5</v>
      </c>
      <c r="D366" t="s">
        <v>83</v>
      </c>
      <c r="E366" t="s">
        <v>71</v>
      </c>
      <c r="F366" t="s">
        <v>72</v>
      </c>
      <c r="G366">
        <v>6.2148296501504801</v>
      </c>
      <c r="H366">
        <v>2E+20</v>
      </c>
      <c r="I366">
        <v>0</v>
      </c>
      <c r="J366">
        <v>13.4922175651137</v>
      </c>
      <c r="K366">
        <v>58</v>
      </c>
      <c r="L36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6.491350975302578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2.3076600199871402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9.5262519161464994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14.285713175524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58.375</v>
      </c>
      <c r="W366" s="5">
        <f>IF((DiscreteStatsTable[[#This Row],[RepsRequested]]&gt;1),DiscreteStatsTable[[#This Row],[HalfWidth]],DiscreteStatsTable[[#This Row],[BatchMeansHalfWidth]])</f>
        <v>0.6695980404094769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66</v>
      </c>
      <c r="B367" t="s">
        <v>69</v>
      </c>
      <c r="C367">
        <v>6</v>
      </c>
      <c r="D367" t="s">
        <v>83</v>
      </c>
      <c r="E367" t="s">
        <v>71</v>
      </c>
      <c r="F367" t="s">
        <v>72</v>
      </c>
      <c r="G367">
        <v>6.1446443038116998</v>
      </c>
      <c r="H367">
        <v>2E+20</v>
      </c>
      <c r="I367">
        <v>0</v>
      </c>
      <c r="J367">
        <v>12.630760380860901</v>
      </c>
      <c r="K367">
        <v>59</v>
      </c>
      <c r="L36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6.491350975302578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2.3076600199871402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9.5262519161464994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14.285713175524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58.375</v>
      </c>
      <c r="W367" s="5">
        <f>IF((DiscreteStatsTable[[#This Row],[RepsRequested]]&gt;1),DiscreteStatsTable[[#This Row],[HalfWidth]],DiscreteStatsTable[[#This Row],[BatchMeansHalfWidth]])</f>
        <v>0.6695980404094769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66</v>
      </c>
      <c r="B368" t="s">
        <v>69</v>
      </c>
      <c r="C368">
        <v>7</v>
      </c>
      <c r="D368" t="s">
        <v>83</v>
      </c>
      <c r="E368" t="s">
        <v>71</v>
      </c>
      <c r="F368" t="s">
        <v>72</v>
      </c>
      <c r="G368">
        <v>3.6465169674214799</v>
      </c>
      <c r="H368">
        <v>2E+20</v>
      </c>
      <c r="I368">
        <v>0</v>
      </c>
      <c r="J368">
        <v>10.633590482972</v>
      </c>
      <c r="K368">
        <v>55</v>
      </c>
      <c r="L36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6.491350975302578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2.3076600199871402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9.5262519161464994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14.285713175524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58.375</v>
      </c>
      <c r="W368" s="5">
        <f>IF((DiscreteStatsTable[[#This Row],[RepsRequested]]&gt;1),DiscreteStatsTable[[#This Row],[HalfWidth]],DiscreteStatsTable[[#This Row],[BatchMeansHalfWidth]])</f>
        <v>0.6695980404094769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66</v>
      </c>
      <c r="B369" t="s">
        <v>69</v>
      </c>
      <c r="C369">
        <v>8</v>
      </c>
      <c r="D369" t="s">
        <v>83</v>
      </c>
      <c r="E369" t="s">
        <v>71</v>
      </c>
      <c r="F369" t="s">
        <v>72</v>
      </c>
      <c r="G369">
        <v>4.9229961489010803</v>
      </c>
      <c r="H369">
        <v>2E+20</v>
      </c>
      <c r="I369">
        <v>0</v>
      </c>
      <c r="J369">
        <v>10.9388483453454</v>
      </c>
      <c r="K369">
        <v>61</v>
      </c>
      <c r="L36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6.491350975302578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2.0937009243517353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2.3076600199871402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9.5262519161464994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14.285713175524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58.375</v>
      </c>
      <c r="W369" s="5">
        <f>IF((DiscreteStatsTable[[#This Row],[RepsRequested]]&gt;1),DiscreteStatsTable[[#This Row],[HalfWidth]],DiscreteStatsTable[[#This Row],[BatchMeansHalfWidth]])</f>
        <v>0.6695980404094769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66</v>
      </c>
      <c r="B370" t="s">
        <v>69</v>
      </c>
      <c r="C370">
        <v>9</v>
      </c>
      <c r="D370" t="s">
        <v>83</v>
      </c>
      <c r="E370" t="s">
        <v>71</v>
      </c>
      <c r="F370" t="s">
        <v>72</v>
      </c>
      <c r="G370">
        <v>8.6670856365741606</v>
      </c>
      <c r="H370">
        <v>2E+20</v>
      </c>
      <c r="I370">
        <v>0</v>
      </c>
      <c r="J370">
        <v>12.7823014085061</v>
      </c>
      <c r="K370">
        <v>61</v>
      </c>
      <c r="L37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6.491350975302578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2.3076600199871402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9.5262519161464994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14.285713175524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58.375</v>
      </c>
      <c r="W370" s="5">
        <f>IF((DiscreteStatsTable[[#This Row],[RepsRequested]]&gt;1),DiscreteStatsTable[[#This Row],[HalfWidth]],DiscreteStatsTable[[#This Row],[BatchMeansHalfWidth]])</f>
        <v>0.6695980404094769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66</v>
      </c>
      <c r="B371" t="s">
        <v>69</v>
      </c>
      <c r="C371">
        <v>10</v>
      </c>
      <c r="D371" t="s">
        <v>83</v>
      </c>
      <c r="E371" t="s">
        <v>71</v>
      </c>
      <c r="F371" t="s">
        <v>72</v>
      </c>
      <c r="G371">
        <v>6.8118537157053396</v>
      </c>
      <c r="H371">
        <v>2E+20</v>
      </c>
      <c r="I371">
        <v>0</v>
      </c>
      <c r="J371">
        <v>13.6288888565013</v>
      </c>
      <c r="K371">
        <v>60</v>
      </c>
      <c r="L37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6.491350975302578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2.3076600199871402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9.5262519161464994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14.285713175524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58.375</v>
      </c>
      <c r="W371" s="5">
        <f>IF((DiscreteStatsTable[[#This Row],[RepsRequested]]&gt;1),DiscreteStatsTable[[#This Row],[HalfWidth]],DiscreteStatsTable[[#This Row],[BatchMeansHalfWidth]])</f>
        <v>0.6695980404094769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66</v>
      </c>
      <c r="B372" t="s">
        <v>69</v>
      </c>
      <c r="C372">
        <v>11</v>
      </c>
      <c r="D372" t="s">
        <v>83</v>
      </c>
      <c r="E372" t="s">
        <v>71</v>
      </c>
      <c r="F372" t="s">
        <v>72</v>
      </c>
      <c r="G372">
        <v>8.5112376099928397</v>
      </c>
      <c r="H372">
        <v>2E+20</v>
      </c>
      <c r="I372">
        <v>0</v>
      </c>
      <c r="J372">
        <v>13.364095681009101</v>
      </c>
      <c r="K372">
        <v>62</v>
      </c>
      <c r="L37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6.491350975302578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2.3076600199871402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9.5262519161464994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14.285713175524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58.375</v>
      </c>
      <c r="W372" s="5">
        <f>IF((DiscreteStatsTable[[#This Row],[RepsRequested]]&gt;1),DiscreteStatsTable[[#This Row],[HalfWidth]],DiscreteStatsTable[[#This Row],[BatchMeansHalfWidth]])</f>
        <v>0.6695980404094769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66</v>
      </c>
      <c r="B373" t="s">
        <v>69</v>
      </c>
      <c r="C373">
        <v>12</v>
      </c>
      <c r="D373" t="s">
        <v>83</v>
      </c>
      <c r="E373" t="s">
        <v>71</v>
      </c>
      <c r="F373" t="s">
        <v>72</v>
      </c>
      <c r="G373">
        <v>6.8269325944795201</v>
      </c>
      <c r="H373">
        <v>2E+20</v>
      </c>
      <c r="I373">
        <v>0</v>
      </c>
      <c r="J373">
        <v>12.962553759055201</v>
      </c>
      <c r="K373">
        <v>61</v>
      </c>
      <c r="L37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6.491350975302578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2.3076600199871402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9.5262519161464994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14.285713175524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58.375</v>
      </c>
      <c r="W373" s="5">
        <f>IF((DiscreteStatsTable[[#This Row],[RepsRequested]]&gt;1),DiscreteStatsTable[[#This Row],[HalfWidth]],DiscreteStatsTable[[#This Row],[BatchMeansHalfWidth]])</f>
        <v>0.6695980404094769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66</v>
      </c>
      <c r="B374" t="s">
        <v>69</v>
      </c>
      <c r="C374">
        <v>13</v>
      </c>
      <c r="D374" t="s">
        <v>83</v>
      </c>
      <c r="E374" t="s">
        <v>71</v>
      </c>
      <c r="F374" t="s">
        <v>72</v>
      </c>
      <c r="G374">
        <v>8.5310706290016096</v>
      </c>
      <c r="H374">
        <v>2E+20</v>
      </c>
      <c r="I374">
        <v>0</v>
      </c>
      <c r="J374">
        <v>12.5891568100042</v>
      </c>
      <c r="K374">
        <v>62</v>
      </c>
      <c r="L37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6.491350975302578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2.3076600199871402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9.5262519161464994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14.285713175524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58.375</v>
      </c>
      <c r="W374" s="5">
        <f>IF((DiscreteStatsTable[[#This Row],[RepsRequested]]&gt;1),DiscreteStatsTable[[#This Row],[HalfWidth]],DiscreteStatsTable[[#This Row],[BatchMeansHalfWidth]])</f>
        <v>0.6695980404094769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66</v>
      </c>
      <c r="B375" t="s">
        <v>69</v>
      </c>
      <c r="C375">
        <v>14</v>
      </c>
      <c r="D375" t="s">
        <v>83</v>
      </c>
      <c r="E375" t="s">
        <v>71</v>
      </c>
      <c r="F375" t="s">
        <v>72</v>
      </c>
      <c r="G375">
        <v>5.8589991920641697</v>
      </c>
      <c r="H375">
        <v>2E+20</v>
      </c>
      <c r="I375">
        <v>0</v>
      </c>
      <c r="J375">
        <v>11.9073996307012</v>
      </c>
      <c r="K375">
        <v>60</v>
      </c>
      <c r="L37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6.491350975302578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2.3076600199871402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9.5262519161464994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14.285713175524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58.375</v>
      </c>
      <c r="W375" s="5">
        <f>IF((DiscreteStatsTable[[#This Row],[RepsRequested]]&gt;1),DiscreteStatsTable[[#This Row],[HalfWidth]],DiscreteStatsTable[[#This Row],[BatchMeansHalfWidth]])</f>
        <v>0.6695980404094769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66</v>
      </c>
      <c r="B376" t="s">
        <v>69</v>
      </c>
      <c r="C376">
        <v>15</v>
      </c>
      <c r="D376" t="s">
        <v>83</v>
      </c>
      <c r="E376" t="s">
        <v>71</v>
      </c>
      <c r="F376" t="s">
        <v>72</v>
      </c>
      <c r="G376">
        <v>5.0931857274879402</v>
      </c>
      <c r="H376">
        <v>2E+20</v>
      </c>
      <c r="I376">
        <v>0</v>
      </c>
      <c r="J376">
        <v>14.285713175524</v>
      </c>
      <c r="K376">
        <v>53</v>
      </c>
      <c r="L37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6.491350975302578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2.3076600199871402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9.5262519161464994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14.285713175524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58.375</v>
      </c>
      <c r="W376" s="5">
        <f>IF((DiscreteStatsTable[[#This Row],[RepsRequested]]&gt;1),DiscreteStatsTable[[#This Row],[HalfWidth]],DiscreteStatsTable[[#This Row],[BatchMeansHalfWidth]])</f>
        <v>0.6695980404094769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66</v>
      </c>
      <c r="B377" t="s">
        <v>69</v>
      </c>
      <c r="C377">
        <v>16</v>
      </c>
      <c r="D377" t="s">
        <v>83</v>
      </c>
      <c r="E377" t="s">
        <v>71</v>
      </c>
      <c r="F377" t="s">
        <v>72</v>
      </c>
      <c r="G377">
        <v>8.5953429483624308</v>
      </c>
      <c r="H377">
        <v>2E+20</v>
      </c>
      <c r="I377">
        <v>0</v>
      </c>
      <c r="J377">
        <v>11.7648199604611</v>
      </c>
      <c r="K377">
        <v>63</v>
      </c>
      <c r="L37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6.491350975302578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2.3076600199871402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9.5262519161464994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14.285713175524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58.375</v>
      </c>
      <c r="W377" s="5">
        <f>IF((DiscreteStatsTable[[#This Row],[RepsRequested]]&gt;1),DiscreteStatsTable[[#This Row],[HalfWidth]],DiscreteStatsTable[[#This Row],[BatchMeansHalfWidth]])</f>
        <v>0.6695980404094769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66</v>
      </c>
      <c r="B378" t="s">
        <v>69</v>
      </c>
      <c r="C378">
        <v>17</v>
      </c>
      <c r="D378" t="s">
        <v>83</v>
      </c>
      <c r="E378" t="s">
        <v>71</v>
      </c>
      <c r="F378" t="s">
        <v>72</v>
      </c>
      <c r="G378">
        <v>6.2778847779190601</v>
      </c>
      <c r="H378">
        <v>2E+20</v>
      </c>
      <c r="I378">
        <v>0</v>
      </c>
      <c r="J378">
        <v>11.750953398542199</v>
      </c>
      <c r="K378">
        <v>57</v>
      </c>
      <c r="L37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6.491350975302578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2.3076600199871402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9.5262519161464994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14.285713175524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58.375</v>
      </c>
      <c r="W378" s="5">
        <f>IF((DiscreteStatsTable[[#This Row],[RepsRequested]]&gt;1),DiscreteStatsTable[[#This Row],[HalfWidth]],DiscreteStatsTable[[#This Row],[BatchMeansHalfWidth]])</f>
        <v>0.6695980404094769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66</v>
      </c>
      <c r="B379" t="s">
        <v>69</v>
      </c>
      <c r="C379">
        <v>18</v>
      </c>
      <c r="D379" t="s">
        <v>83</v>
      </c>
      <c r="E379" t="s">
        <v>71</v>
      </c>
      <c r="F379" t="s">
        <v>72</v>
      </c>
      <c r="G379">
        <v>7.0404658809322598</v>
      </c>
      <c r="H379">
        <v>2E+20</v>
      </c>
      <c r="I379">
        <v>0</v>
      </c>
      <c r="J379">
        <v>13.7638551612523</v>
      </c>
      <c r="K379">
        <v>59</v>
      </c>
      <c r="L37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6.491350975302578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2.0937009243517353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2.3076600199871402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9.5262519161464994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14.285713175524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58.375</v>
      </c>
      <c r="W379" s="5">
        <f>IF((DiscreteStatsTable[[#This Row],[RepsRequested]]&gt;1),DiscreteStatsTable[[#This Row],[HalfWidth]],DiscreteStatsTable[[#This Row],[BatchMeansHalfWidth]])</f>
        <v>0.6695980404094769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66</v>
      </c>
      <c r="B380" t="s">
        <v>69</v>
      </c>
      <c r="C380">
        <v>19</v>
      </c>
      <c r="D380" t="s">
        <v>83</v>
      </c>
      <c r="E380" t="s">
        <v>71</v>
      </c>
      <c r="F380" t="s">
        <v>72</v>
      </c>
      <c r="G380">
        <v>4.7213192045375898</v>
      </c>
      <c r="H380">
        <v>2E+20</v>
      </c>
      <c r="I380">
        <v>0</v>
      </c>
      <c r="J380">
        <v>11.351225144297899</v>
      </c>
      <c r="K380">
        <v>55</v>
      </c>
      <c r="L38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6.491350975302578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2.3076600199871402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9.5262519161464994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14.285713175524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58.375</v>
      </c>
      <c r="W380" s="5">
        <f>IF((DiscreteStatsTable[[#This Row],[RepsRequested]]&gt;1),DiscreteStatsTable[[#This Row],[HalfWidth]],DiscreteStatsTable[[#This Row],[BatchMeansHalfWidth]])</f>
        <v>0.6695980404094769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66</v>
      </c>
      <c r="B381" t="s">
        <v>69</v>
      </c>
      <c r="C381">
        <v>20</v>
      </c>
      <c r="D381" t="s">
        <v>83</v>
      </c>
      <c r="E381" t="s">
        <v>71</v>
      </c>
      <c r="F381" t="s">
        <v>72</v>
      </c>
      <c r="G381">
        <v>8.7240657252040208</v>
      </c>
      <c r="H381">
        <v>2E+20</v>
      </c>
      <c r="I381">
        <v>0</v>
      </c>
      <c r="J381">
        <v>13.1937928434062</v>
      </c>
      <c r="K381">
        <v>62</v>
      </c>
      <c r="L38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6.491350975302578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2.3076600199871402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9.5262519161464994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14.285713175524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58.375</v>
      </c>
      <c r="W381" s="5">
        <f>IF((DiscreteStatsTable[[#This Row],[RepsRequested]]&gt;1),DiscreteStatsTable[[#This Row],[HalfWidth]],DiscreteStatsTable[[#This Row],[BatchMeansHalfWidth]])</f>
        <v>0.6695980404094769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66</v>
      </c>
      <c r="B382" t="s">
        <v>69</v>
      </c>
      <c r="C382">
        <v>21</v>
      </c>
      <c r="D382" t="s">
        <v>83</v>
      </c>
      <c r="E382" t="s">
        <v>71</v>
      </c>
      <c r="F382" t="s">
        <v>72</v>
      </c>
      <c r="G382">
        <v>6.0359729159792899</v>
      </c>
      <c r="H382">
        <v>2E+20</v>
      </c>
      <c r="I382">
        <v>0</v>
      </c>
      <c r="J382">
        <v>12.4934870522324</v>
      </c>
      <c r="K382">
        <v>56</v>
      </c>
      <c r="L38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6.491350975302578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2.3076600199871402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9.5262519161464994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14.285713175524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58.375</v>
      </c>
      <c r="W382" s="5">
        <f>IF((DiscreteStatsTable[[#This Row],[RepsRequested]]&gt;1),DiscreteStatsTable[[#This Row],[HalfWidth]],DiscreteStatsTable[[#This Row],[BatchMeansHalfWidth]])</f>
        <v>0.6695980404094769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66</v>
      </c>
      <c r="B383" t="s">
        <v>69</v>
      </c>
      <c r="C383">
        <v>22</v>
      </c>
      <c r="D383" t="s">
        <v>83</v>
      </c>
      <c r="E383" t="s">
        <v>71</v>
      </c>
      <c r="F383" t="s">
        <v>72</v>
      </c>
      <c r="G383">
        <v>9.0110357149282301</v>
      </c>
      <c r="H383">
        <v>2E+20</v>
      </c>
      <c r="I383">
        <v>0</v>
      </c>
      <c r="J383">
        <v>13.735315503260599</v>
      </c>
      <c r="K383">
        <v>58</v>
      </c>
      <c r="L38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6.491350975302578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2.3076600199871402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9.5262519161464994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14.285713175524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58.375</v>
      </c>
      <c r="W383" s="5">
        <f>IF((DiscreteStatsTable[[#This Row],[RepsRequested]]&gt;1),DiscreteStatsTable[[#This Row],[HalfWidth]],DiscreteStatsTable[[#This Row],[BatchMeansHalfWidth]])</f>
        <v>0.6695980404094769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66</v>
      </c>
      <c r="B384" t="s">
        <v>69</v>
      </c>
      <c r="C384">
        <v>23</v>
      </c>
      <c r="D384" t="s">
        <v>83</v>
      </c>
      <c r="E384" t="s">
        <v>71</v>
      </c>
      <c r="F384" t="s">
        <v>72</v>
      </c>
      <c r="G384">
        <v>7.8556325883440197</v>
      </c>
      <c r="H384">
        <v>2E+20</v>
      </c>
      <c r="I384">
        <v>0</v>
      </c>
      <c r="J384">
        <v>12.8465794219206</v>
      </c>
      <c r="K384">
        <v>61</v>
      </c>
      <c r="L38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6.491350975302578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2.3076600199871402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9.5262519161464994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14.285713175524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58.375</v>
      </c>
      <c r="W384" s="5">
        <f>IF((DiscreteStatsTable[[#This Row],[RepsRequested]]&gt;1),DiscreteStatsTable[[#This Row],[HalfWidth]],DiscreteStatsTable[[#This Row],[BatchMeansHalfWidth]])</f>
        <v>0.6695980404094769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66</v>
      </c>
      <c r="B385" t="s">
        <v>69</v>
      </c>
      <c r="C385">
        <v>24</v>
      </c>
      <c r="D385" t="s">
        <v>83</v>
      </c>
      <c r="E385" t="s">
        <v>71</v>
      </c>
      <c r="F385" t="s">
        <v>72</v>
      </c>
      <c r="G385">
        <v>2.3076600199871402</v>
      </c>
      <c r="H385">
        <v>2E+20</v>
      </c>
      <c r="I385">
        <v>0</v>
      </c>
      <c r="J385">
        <v>8.7735084679017596</v>
      </c>
      <c r="K385">
        <v>55</v>
      </c>
      <c r="L38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6.491350975302578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2.3076600199871402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9.5262519161464994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14.285713175524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58.375</v>
      </c>
      <c r="W385" s="5">
        <f>IF((DiscreteStatsTable[[#This Row],[RepsRequested]]&gt;1),DiscreteStatsTable[[#This Row],[HalfWidth]],DiscreteStatsTable[[#This Row],[BatchMeansHalfWidth]])</f>
        <v>0.6695980404094769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66</v>
      </c>
      <c r="B386" t="s">
        <v>69</v>
      </c>
      <c r="C386">
        <v>25</v>
      </c>
      <c r="D386" t="s">
        <v>83</v>
      </c>
      <c r="E386" t="s">
        <v>71</v>
      </c>
      <c r="F386" t="s">
        <v>72</v>
      </c>
      <c r="G386">
        <v>7.3424604416188801</v>
      </c>
      <c r="H386">
        <v>2E+20</v>
      </c>
      <c r="I386">
        <v>0</v>
      </c>
      <c r="J386">
        <v>11.6957666743441</v>
      </c>
      <c r="K386">
        <v>61</v>
      </c>
      <c r="L38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6.491350975302578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2.3076600199871402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9.5262519161464994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14.285713175524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58.375</v>
      </c>
      <c r="W386" s="5">
        <f>IF((DiscreteStatsTable[[#This Row],[RepsRequested]]&gt;1),DiscreteStatsTable[[#This Row],[HalfWidth]],DiscreteStatsTable[[#This Row],[BatchMeansHalfWidth]])</f>
        <v>0.6695980404094769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66</v>
      </c>
      <c r="B387" t="s">
        <v>69</v>
      </c>
      <c r="C387">
        <v>26</v>
      </c>
      <c r="D387" t="s">
        <v>83</v>
      </c>
      <c r="E387" t="s">
        <v>71</v>
      </c>
      <c r="F387" t="s">
        <v>72</v>
      </c>
      <c r="G387">
        <v>2.96465750731674</v>
      </c>
      <c r="H387">
        <v>2E+20</v>
      </c>
      <c r="I387">
        <v>0</v>
      </c>
      <c r="J387">
        <v>9.9689369486751591</v>
      </c>
      <c r="K387">
        <v>55</v>
      </c>
      <c r="L38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6.491350975302578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2.3076600199871402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9.5262519161464994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14.285713175524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58.375</v>
      </c>
      <c r="W387" s="5">
        <f>IF((DiscreteStatsTable[[#This Row],[RepsRequested]]&gt;1),DiscreteStatsTable[[#This Row],[HalfWidth]],DiscreteStatsTable[[#This Row],[BatchMeansHalfWidth]])</f>
        <v>0.6695980404094769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66</v>
      </c>
      <c r="B388" t="s">
        <v>69</v>
      </c>
      <c r="C388">
        <v>27</v>
      </c>
      <c r="D388" t="s">
        <v>83</v>
      </c>
      <c r="E388" t="s">
        <v>71</v>
      </c>
      <c r="F388" t="s">
        <v>72</v>
      </c>
      <c r="G388">
        <v>4.3130871552360404</v>
      </c>
      <c r="H388">
        <v>2E+20</v>
      </c>
      <c r="I388">
        <v>0</v>
      </c>
      <c r="J388">
        <v>12.1421241176366</v>
      </c>
      <c r="K388">
        <v>54</v>
      </c>
      <c r="L38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6.491350975302578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2.3076600199871402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9.5262519161464994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14.285713175524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58.375</v>
      </c>
      <c r="W388" s="5">
        <f>IF((DiscreteStatsTable[[#This Row],[RepsRequested]]&gt;1),DiscreteStatsTable[[#This Row],[HalfWidth]],DiscreteStatsTable[[#This Row],[BatchMeansHalfWidth]])</f>
        <v>0.6695980404094769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66</v>
      </c>
      <c r="B389" t="s">
        <v>69</v>
      </c>
      <c r="C389">
        <v>28</v>
      </c>
      <c r="D389" t="s">
        <v>83</v>
      </c>
      <c r="E389" t="s">
        <v>71</v>
      </c>
      <c r="F389" t="s">
        <v>72</v>
      </c>
      <c r="G389">
        <v>6.8438507045741899</v>
      </c>
      <c r="H389">
        <v>2E+20</v>
      </c>
      <c r="I389">
        <v>0.61533206167148102</v>
      </c>
      <c r="J389">
        <v>13.397247958449601</v>
      </c>
      <c r="K389">
        <v>62</v>
      </c>
      <c r="L38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6.491350975302578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2.0937009243517353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2.3076600199871402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9.5262519161464994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14.285713175524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58.375</v>
      </c>
      <c r="W389" s="5">
        <f>IF((DiscreteStatsTable[[#This Row],[RepsRequested]]&gt;1),DiscreteStatsTable[[#This Row],[HalfWidth]],DiscreteStatsTable[[#This Row],[BatchMeansHalfWidth]])</f>
        <v>0.6695980404094769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66</v>
      </c>
      <c r="B390" t="s">
        <v>69</v>
      </c>
      <c r="C390">
        <v>29</v>
      </c>
      <c r="D390" t="s">
        <v>83</v>
      </c>
      <c r="E390" t="s">
        <v>71</v>
      </c>
      <c r="F390" t="s">
        <v>72</v>
      </c>
      <c r="G390">
        <v>4.1869135086705098</v>
      </c>
      <c r="H390">
        <v>2E+20</v>
      </c>
      <c r="I390">
        <v>0</v>
      </c>
      <c r="J390">
        <v>11.3384757559786</v>
      </c>
      <c r="K390">
        <v>58</v>
      </c>
      <c r="L39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6.491350975302578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2.3076600199871402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9.5262519161464994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14.285713175524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58.375</v>
      </c>
      <c r="W390" s="5">
        <f>IF((DiscreteStatsTable[[#This Row],[RepsRequested]]&gt;1),DiscreteStatsTable[[#This Row],[HalfWidth]],DiscreteStatsTable[[#This Row],[BatchMeansHalfWidth]])</f>
        <v>0.6695980404094769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66</v>
      </c>
      <c r="B391" t="s">
        <v>69</v>
      </c>
      <c r="C391">
        <v>30</v>
      </c>
      <c r="D391" t="s">
        <v>83</v>
      </c>
      <c r="E391" t="s">
        <v>71</v>
      </c>
      <c r="F391" t="s">
        <v>72</v>
      </c>
      <c r="G391">
        <v>3.38789103104373</v>
      </c>
      <c r="H391">
        <v>2E+20</v>
      </c>
      <c r="I391">
        <v>0</v>
      </c>
      <c r="J391">
        <v>11.4160587867845</v>
      </c>
      <c r="K391">
        <v>50</v>
      </c>
      <c r="L39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6.491350975302578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2.3076600199871402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9.5262519161464994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14.285713175524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58.375</v>
      </c>
      <c r="W391" s="5">
        <f>IF((DiscreteStatsTable[[#This Row],[RepsRequested]]&gt;1),DiscreteStatsTable[[#This Row],[HalfWidth]],DiscreteStatsTable[[#This Row],[BatchMeansHalfWidth]])</f>
        <v>0.6695980404094769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66</v>
      </c>
      <c r="B392" t="s">
        <v>69</v>
      </c>
      <c r="C392">
        <v>31</v>
      </c>
      <c r="D392" t="s">
        <v>83</v>
      </c>
      <c r="E392" t="s">
        <v>71</v>
      </c>
      <c r="F392" t="s">
        <v>72</v>
      </c>
      <c r="G392">
        <v>4.7102821939237796</v>
      </c>
      <c r="H392">
        <v>2E+20</v>
      </c>
      <c r="I392">
        <v>0</v>
      </c>
      <c r="J392">
        <v>10.9219248028351</v>
      </c>
      <c r="K392">
        <v>59</v>
      </c>
      <c r="L39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6.491350975302578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2.3076600199871402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9.5262519161464994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14.285713175524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58.375</v>
      </c>
      <c r="W392" s="5">
        <f>IF((DiscreteStatsTable[[#This Row],[RepsRequested]]&gt;1),DiscreteStatsTable[[#This Row],[HalfWidth]],DiscreteStatsTable[[#This Row],[BatchMeansHalfWidth]])</f>
        <v>0.6695980404094769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66</v>
      </c>
      <c r="B393" t="s">
        <v>69</v>
      </c>
      <c r="C393">
        <v>32</v>
      </c>
      <c r="D393" t="s">
        <v>83</v>
      </c>
      <c r="E393" t="s">
        <v>71</v>
      </c>
      <c r="F393" t="s">
        <v>72</v>
      </c>
      <c r="G393">
        <v>7.94225051047819</v>
      </c>
      <c r="H393">
        <v>2E+20</v>
      </c>
      <c r="I393">
        <v>0</v>
      </c>
      <c r="J393">
        <v>13.650283351217499</v>
      </c>
      <c r="K393">
        <v>57</v>
      </c>
      <c r="L39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6.491350975302578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2.3076600199871402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9.5262519161464994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14.285713175524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58.375</v>
      </c>
      <c r="W393" s="5">
        <f>IF((DiscreteStatsTable[[#This Row],[RepsRequested]]&gt;1),DiscreteStatsTable[[#This Row],[HalfWidth]],DiscreteStatsTable[[#This Row],[BatchMeansHalfWidth]])</f>
        <v>0.6695980404094769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66</v>
      </c>
      <c r="B394" t="s">
        <v>69</v>
      </c>
      <c r="C394">
        <v>33</v>
      </c>
      <c r="D394" t="s">
        <v>83</v>
      </c>
      <c r="E394" t="s">
        <v>71</v>
      </c>
      <c r="F394" t="s">
        <v>72</v>
      </c>
      <c r="G394">
        <v>2.7131063884975299</v>
      </c>
      <c r="H394">
        <v>2E+20</v>
      </c>
      <c r="I394">
        <v>0</v>
      </c>
      <c r="J394">
        <v>11.2419026753018</v>
      </c>
      <c r="K394">
        <v>55</v>
      </c>
      <c r="L39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6.491350975302578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2.3076600199871402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9.5262519161464994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14.285713175524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58.375</v>
      </c>
      <c r="W394" s="5">
        <f>IF((DiscreteStatsTable[[#This Row],[RepsRequested]]&gt;1),DiscreteStatsTable[[#This Row],[HalfWidth]],DiscreteStatsTable[[#This Row],[BatchMeansHalfWidth]])</f>
        <v>0.6695980404094769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66</v>
      </c>
      <c r="B395" t="s">
        <v>69</v>
      </c>
      <c r="C395">
        <v>34</v>
      </c>
      <c r="D395" t="s">
        <v>83</v>
      </c>
      <c r="E395" t="s">
        <v>71</v>
      </c>
      <c r="F395" t="s">
        <v>72</v>
      </c>
      <c r="G395">
        <v>9.5262519161464994</v>
      </c>
      <c r="H395">
        <v>2E+20</v>
      </c>
      <c r="I395">
        <v>0</v>
      </c>
      <c r="J395">
        <v>12.7013889247114</v>
      </c>
      <c r="K395">
        <v>61</v>
      </c>
      <c r="L39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6.491350975302578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2.3076600199871402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9.5262519161464994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14.285713175524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58.375</v>
      </c>
      <c r="W395" s="5">
        <f>IF((DiscreteStatsTable[[#This Row],[RepsRequested]]&gt;1),DiscreteStatsTable[[#This Row],[HalfWidth]],DiscreteStatsTable[[#This Row],[BatchMeansHalfWidth]])</f>
        <v>0.6695980404094769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66</v>
      </c>
      <c r="B396" t="s">
        <v>69</v>
      </c>
      <c r="C396">
        <v>35</v>
      </c>
      <c r="D396" t="s">
        <v>83</v>
      </c>
      <c r="E396" t="s">
        <v>71</v>
      </c>
      <c r="F396" t="s">
        <v>72</v>
      </c>
      <c r="G396">
        <v>8.2949939010606908</v>
      </c>
      <c r="H396">
        <v>2E+20</v>
      </c>
      <c r="I396">
        <v>0</v>
      </c>
      <c r="J396">
        <v>12.7394330499073</v>
      </c>
      <c r="K396">
        <v>61</v>
      </c>
      <c r="L39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6.491350975302578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2.3076600199871402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9.5262519161464994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14.285713175524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58.375</v>
      </c>
      <c r="W396" s="5">
        <f>IF((DiscreteStatsTable[[#This Row],[RepsRequested]]&gt;1),DiscreteStatsTable[[#This Row],[HalfWidth]],DiscreteStatsTable[[#This Row],[BatchMeansHalfWidth]])</f>
        <v>0.6695980404094769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66</v>
      </c>
      <c r="B397" t="s">
        <v>69</v>
      </c>
      <c r="C397">
        <v>36</v>
      </c>
      <c r="D397" t="s">
        <v>83</v>
      </c>
      <c r="E397" t="s">
        <v>71</v>
      </c>
      <c r="F397" t="s">
        <v>72</v>
      </c>
      <c r="G397">
        <v>4.7807689077035596</v>
      </c>
      <c r="H397">
        <v>2E+20</v>
      </c>
      <c r="I397">
        <v>0</v>
      </c>
      <c r="J397">
        <v>12.7560033882603</v>
      </c>
      <c r="K397">
        <v>55</v>
      </c>
      <c r="L39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6.491350975302578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2.3076600199871402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9.5262519161464994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14.285713175524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58.375</v>
      </c>
      <c r="W397" s="5">
        <f>IF((DiscreteStatsTable[[#This Row],[RepsRequested]]&gt;1),DiscreteStatsTable[[#This Row],[HalfWidth]],DiscreteStatsTable[[#This Row],[BatchMeansHalfWidth]])</f>
        <v>0.6695980404094769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66</v>
      </c>
      <c r="B398" t="s">
        <v>69</v>
      </c>
      <c r="C398">
        <v>37</v>
      </c>
      <c r="D398" t="s">
        <v>83</v>
      </c>
      <c r="E398" t="s">
        <v>71</v>
      </c>
      <c r="F398" t="s">
        <v>72</v>
      </c>
      <c r="G398">
        <v>8.8647004374299296</v>
      </c>
      <c r="H398">
        <v>2E+20</v>
      </c>
      <c r="I398">
        <v>0</v>
      </c>
      <c r="J398">
        <v>12.629700321099101</v>
      </c>
      <c r="K398">
        <v>61</v>
      </c>
      <c r="L39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6.491350975302578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2.3076600199871402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9.5262519161464994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14.285713175524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58.375</v>
      </c>
      <c r="W398" s="5">
        <f>IF((DiscreteStatsTable[[#This Row],[RepsRequested]]&gt;1),DiscreteStatsTable[[#This Row],[HalfWidth]],DiscreteStatsTable[[#This Row],[BatchMeansHalfWidth]])</f>
        <v>0.6695980404094769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66</v>
      </c>
      <c r="B399" t="s">
        <v>69</v>
      </c>
      <c r="C399">
        <v>38</v>
      </c>
      <c r="D399" t="s">
        <v>83</v>
      </c>
      <c r="E399" t="s">
        <v>71</v>
      </c>
      <c r="F399" t="s">
        <v>72</v>
      </c>
      <c r="G399">
        <v>8.9411861225974807</v>
      </c>
      <c r="H399">
        <v>2E+20</v>
      </c>
      <c r="I399">
        <v>0</v>
      </c>
      <c r="J399">
        <v>13.200946840322301</v>
      </c>
      <c r="K399">
        <v>62</v>
      </c>
      <c r="L39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6.491350975302578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2.0937009243517353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2.3076600199871402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9.5262519161464994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14.285713175524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58.375</v>
      </c>
      <c r="W399" s="5">
        <f>IF((DiscreteStatsTable[[#This Row],[RepsRequested]]&gt;1),DiscreteStatsTable[[#This Row],[HalfWidth]],DiscreteStatsTable[[#This Row],[BatchMeansHalfWidth]])</f>
        <v>0.6695980404094769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66</v>
      </c>
      <c r="B400" t="s">
        <v>69</v>
      </c>
      <c r="C400">
        <v>39</v>
      </c>
      <c r="D400" t="s">
        <v>83</v>
      </c>
      <c r="E400" t="s">
        <v>71</v>
      </c>
      <c r="F400" t="s">
        <v>72</v>
      </c>
      <c r="G400">
        <v>6.3446710165867</v>
      </c>
      <c r="H400">
        <v>2E+20</v>
      </c>
      <c r="I400">
        <v>0</v>
      </c>
      <c r="J400">
        <v>12.5654867167052</v>
      </c>
      <c r="K400">
        <v>55</v>
      </c>
      <c r="L40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6.491350975302578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2.0937009243517353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2.3076600199871402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9.5262519161464994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14.285713175524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58.375</v>
      </c>
      <c r="W400" s="5">
        <f>IF((DiscreteStatsTable[[#This Row],[RepsRequested]]&gt;1),DiscreteStatsTable[[#This Row],[HalfWidth]],DiscreteStatsTable[[#This Row],[BatchMeansHalfWidth]])</f>
        <v>0.6695980404094769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66</v>
      </c>
      <c r="B401" t="s">
        <v>69</v>
      </c>
      <c r="C401">
        <v>40</v>
      </c>
      <c r="D401" t="s">
        <v>83</v>
      </c>
      <c r="E401" t="s">
        <v>71</v>
      </c>
      <c r="F401" t="s">
        <v>72</v>
      </c>
      <c r="G401">
        <v>3.6924079214452799</v>
      </c>
      <c r="H401">
        <v>2E+20</v>
      </c>
      <c r="I401">
        <v>0</v>
      </c>
      <c r="J401">
        <v>10.7975041464131</v>
      </c>
      <c r="K401">
        <v>51</v>
      </c>
      <c r="L40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6.491350975302578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2.0937009243517353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0.6695980404094769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2.3076600199871402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9.5262519161464994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14.285713175524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58.375</v>
      </c>
      <c r="W401" s="5">
        <f>IF((DiscreteStatsTable[[#This Row],[RepsRequested]]&gt;1),DiscreteStatsTable[[#This Row],[HalfWidth]],DiscreteStatsTable[[#This Row],[BatchMeansHalfWidth]])</f>
        <v>0.6695980404094769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</sheetData>
  <phoneticPr fontId="2" type="noConversion"/>
  <conditionalFormatting sqref="H2:H401 Q2:Q401">
    <cfRule type="expression" dxfId="20" priority="23">
      <formula>H2=200000000000000000000</formula>
    </cfRule>
  </conditionalFormatting>
  <conditionalFormatting sqref="H2:H401">
    <cfRule type="expression" dxfId="19" priority="21">
      <formula>H2=300000000000000000000</formula>
    </cfRule>
  </conditionalFormatting>
  <conditionalFormatting sqref="L2:Y401">
    <cfRule type="expression" dxfId="18" priority="19">
      <formula>MOD(ROW(),2)=0</formula>
    </cfRule>
  </conditionalFormatting>
  <conditionalFormatting sqref="Y2:Y401">
    <cfRule type="expression" dxfId="17" priority="14">
      <formula>Y2=0</formula>
    </cfRule>
    <cfRule type="expression" dxfId="16" priority="16">
      <formula>Y2=1</formula>
    </cfRule>
  </conditionalFormatting>
  <conditionalFormatting sqref="Y3:Y401">
    <cfRule type="expression" dxfId="15" priority="15">
      <formula>Y3=1</formula>
    </cfRule>
  </conditionalFormatting>
  <conditionalFormatting sqref="W2:W40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01 W2:W40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4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089843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84</v>
      </c>
      <c r="F2" t="s">
        <v>72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84</v>
      </c>
      <c r="F3" t="s">
        <v>72</v>
      </c>
      <c r="G3">
        <v>1.6099819288383701</v>
      </c>
      <c r="H3">
        <v>2E+20</v>
      </c>
      <c r="I3">
        <v>0</v>
      </c>
      <c r="J3">
        <v>9</v>
      </c>
      <c r="K3">
        <v>8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9.63804241981207</v>
      </c>
      <c r="U3">
        <f>IF((ContinuousStatsTable[[#This Row],[RepsRequested]]&gt;1),ContinuousStatsTable[[#This Row],[HalfWidth]],ContinuousStatsTable[[#This Row],[BatchMeansHalfWidth]])</f>
        <v>0.71632840390540931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85</v>
      </c>
      <c r="F4" t="s">
        <v>76</v>
      </c>
      <c r="G4">
        <v>18.127268147471899</v>
      </c>
      <c r="H4">
        <v>2E+20</v>
      </c>
      <c r="I4">
        <v>0</v>
      </c>
      <c r="J4">
        <v>38</v>
      </c>
      <c r="K4">
        <v>36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10.3625915235886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38.218354981839397</v>
      </c>
      <c r="U4">
        <f>IF((ContinuousStatsTable[[#This Row],[RepsRequested]]&gt;1),ContinuousStatsTable[[#This Row],[HalfWidth]],ContinuousStatsTable[[#This Row],[BatchMeansHalfWidth]])</f>
        <v>2.1690587669162626</v>
      </c>
    </row>
    <row r="5" spans="1:21" x14ac:dyDescent="0.35">
      <c r="A5" t="s">
        <v>66</v>
      </c>
      <c r="B5" t="s">
        <v>69</v>
      </c>
      <c r="C5">
        <v>1</v>
      </c>
      <c r="D5" t="s">
        <v>86</v>
      </c>
      <c r="E5" t="s">
        <v>87</v>
      </c>
      <c r="F5" t="s">
        <v>88</v>
      </c>
      <c r="G5">
        <v>0.74536521448976001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0.51812957617942801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0.95110098058068004</v>
      </c>
      <c r="U5">
        <f>IF((ContinuousStatsTable[[#This Row],[RepsRequested]]&gt;1),ContinuousStatsTable[[#This Row],[HalfWidth]],ContinuousStatsTable[[#This Row],[BatchMeansHalfWidth]])</f>
        <v>4.3613366354194112E-2</v>
      </c>
    </row>
    <row r="6" spans="1:21" x14ac:dyDescent="0.35">
      <c r="A6" t="s">
        <v>66</v>
      </c>
      <c r="B6" t="s">
        <v>69</v>
      </c>
      <c r="C6">
        <v>1</v>
      </c>
      <c r="D6" t="s">
        <v>86</v>
      </c>
      <c r="E6" t="s">
        <v>89</v>
      </c>
      <c r="F6" t="s">
        <v>88</v>
      </c>
      <c r="G6">
        <v>7.4536521448975996</v>
      </c>
      <c r="H6">
        <v>2E+20</v>
      </c>
      <c r="I6">
        <v>0</v>
      </c>
      <c r="J6">
        <v>10</v>
      </c>
      <c r="K6">
        <v>10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5.1812957617942796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9.5110098058068004</v>
      </c>
      <c r="U6">
        <f>IF((ContinuousStatsTable[[#This Row],[RepsRequested]]&gt;1),ContinuousStatsTable[[#This Row],[HalfWidth]],ContinuousStatsTable[[#This Row],[BatchMeansHalfWidth]])</f>
        <v>0.43613366354194549</v>
      </c>
    </row>
    <row r="7" spans="1:21" x14ac:dyDescent="0.35">
      <c r="A7" t="s">
        <v>66</v>
      </c>
      <c r="B7" t="s">
        <v>69</v>
      </c>
      <c r="C7">
        <v>1</v>
      </c>
      <c r="D7" t="s">
        <v>86</v>
      </c>
      <c r="E7" t="s">
        <v>90</v>
      </c>
      <c r="F7" t="s">
        <v>88</v>
      </c>
      <c r="G7">
        <v>10</v>
      </c>
      <c r="H7">
        <v>2E+20</v>
      </c>
      <c r="I7">
        <v>10</v>
      </c>
      <c r="J7">
        <v>10</v>
      </c>
      <c r="K7">
        <v>10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5">
      <c r="A8" t="s">
        <v>66</v>
      </c>
      <c r="B8" t="s">
        <v>69</v>
      </c>
      <c r="C8">
        <v>1</v>
      </c>
      <c r="D8" t="s">
        <v>82</v>
      </c>
      <c r="E8" t="s">
        <v>84</v>
      </c>
      <c r="F8" t="s">
        <v>72</v>
      </c>
      <c r="G8">
        <v>1.5891467633996099</v>
      </c>
      <c r="H8">
        <v>2E+20</v>
      </c>
      <c r="I8">
        <v>0</v>
      </c>
      <c r="J8">
        <v>4</v>
      </c>
      <c r="K8">
        <v>3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0.56541157258789199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2.4594543622635499</v>
      </c>
      <c r="U8">
        <f>IF((ContinuousStatsTable[[#This Row],[RepsRequested]]&gt;1),ContinuousStatsTable[[#This Row],[HalfWidth]],ContinuousStatsTable[[#This Row],[BatchMeansHalfWidth]])</f>
        <v>0.1771627845153336</v>
      </c>
    </row>
    <row r="9" spans="1:21" x14ac:dyDescent="0.35">
      <c r="A9" t="s">
        <v>66</v>
      </c>
      <c r="B9" t="s">
        <v>69</v>
      </c>
      <c r="C9">
        <v>1</v>
      </c>
      <c r="D9" t="s">
        <v>91</v>
      </c>
      <c r="E9" t="s">
        <v>87</v>
      </c>
      <c r="F9" t="s">
        <v>88</v>
      </c>
      <c r="G9">
        <v>0.90230663504619701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0.78808827046509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0.99381255473469199</v>
      </c>
      <c r="U9">
        <f>IF((ContinuousStatsTable[[#This Row],[RepsRequested]]&gt;1),ContinuousStatsTable[[#This Row],[HalfWidth]],ContinuousStatsTable[[#This Row],[BatchMeansHalfWidth]])</f>
        <v>1.6708231879382019E-2</v>
      </c>
    </row>
    <row r="10" spans="1:21" x14ac:dyDescent="0.35">
      <c r="A10" t="s">
        <v>66</v>
      </c>
      <c r="B10" t="s">
        <v>69</v>
      </c>
      <c r="C10">
        <v>1</v>
      </c>
      <c r="D10" t="s">
        <v>91</v>
      </c>
      <c r="E10" t="s">
        <v>89</v>
      </c>
      <c r="F10" t="s">
        <v>88</v>
      </c>
      <c r="G10">
        <v>2.7069199051385899</v>
      </c>
      <c r="H10">
        <v>2E+20</v>
      </c>
      <c r="I10">
        <v>0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2.36426481139527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2.9814376642040799</v>
      </c>
      <c r="U10">
        <f>IF((ContinuousStatsTable[[#This Row],[RepsRequested]]&gt;1),ContinuousStatsTable[[#This Row],[HalfWidth]],ContinuousStatsTable[[#This Row],[BatchMeansHalfWidth]])</f>
        <v>5.0124695638146144E-2</v>
      </c>
    </row>
    <row r="11" spans="1:21" x14ac:dyDescent="0.35">
      <c r="A11" t="s">
        <v>66</v>
      </c>
      <c r="B11" t="s">
        <v>69</v>
      </c>
      <c r="C11">
        <v>1</v>
      </c>
      <c r="D11" t="s">
        <v>91</v>
      </c>
      <c r="E11" t="s">
        <v>90</v>
      </c>
      <c r="F11" t="s">
        <v>88</v>
      </c>
      <c r="G11">
        <v>3</v>
      </c>
      <c r="H11">
        <v>2E+20</v>
      </c>
      <c r="I11">
        <v>3</v>
      </c>
      <c r="J11">
        <v>3</v>
      </c>
      <c r="K11">
        <v>3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69</v>
      </c>
      <c r="C12">
        <v>1</v>
      </c>
      <c r="D12" t="s">
        <v>83</v>
      </c>
      <c r="E12" t="s">
        <v>84</v>
      </c>
      <c r="F12" t="s">
        <v>72</v>
      </c>
      <c r="G12">
        <v>1.5238718375645399</v>
      </c>
      <c r="H12">
        <v>2E+20</v>
      </c>
      <c r="I12">
        <v>0</v>
      </c>
      <c r="J12">
        <v>4</v>
      </c>
      <c r="K12">
        <v>3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0.52883875458038598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2.4798758861082799</v>
      </c>
      <c r="U12" s="5">
        <f>IF((ContinuousStatsTable[[#This Row],[RepsRequested]]&gt;1),ContinuousStatsTable[[#This Row],[HalfWidth]],ContinuousStatsTable[[#This Row],[BatchMeansHalfWidth]])</f>
        <v>0.18745365002732756</v>
      </c>
    </row>
    <row r="13" spans="1:21" x14ac:dyDescent="0.35">
      <c r="A13" t="s">
        <v>66</v>
      </c>
      <c r="B13" t="s">
        <v>69</v>
      </c>
      <c r="C13">
        <v>2</v>
      </c>
      <c r="D13" t="s">
        <v>70</v>
      </c>
      <c r="E13" t="s">
        <v>84</v>
      </c>
      <c r="F13" t="s">
        <v>72</v>
      </c>
      <c r="G13">
        <v>0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66</v>
      </c>
      <c r="B14" t="s">
        <v>69</v>
      </c>
      <c r="C14">
        <v>2</v>
      </c>
      <c r="D14" t="s">
        <v>73</v>
      </c>
      <c r="E14" t="s">
        <v>84</v>
      </c>
      <c r="F14" t="s">
        <v>72</v>
      </c>
      <c r="G14">
        <v>1.5796559313974401</v>
      </c>
      <c r="H14">
        <v>2E+20</v>
      </c>
      <c r="I14">
        <v>0</v>
      </c>
      <c r="J14">
        <v>8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9.63804241981207</v>
      </c>
      <c r="U14" s="5">
        <f>IF((ContinuousStatsTable[[#This Row],[RepsRequested]]&gt;1),ContinuousStatsTable[[#This Row],[HalfWidth]],ContinuousStatsTable[[#This Row],[BatchMeansHalfWidth]])</f>
        <v>0.71632840390540931</v>
      </c>
    </row>
    <row r="15" spans="1:21" x14ac:dyDescent="0.35">
      <c r="A15" t="s">
        <v>66</v>
      </c>
      <c r="B15" t="s">
        <v>69</v>
      </c>
      <c r="C15">
        <v>2</v>
      </c>
      <c r="D15" t="s">
        <v>74</v>
      </c>
      <c r="E15" t="s">
        <v>85</v>
      </c>
      <c r="F15" t="s">
        <v>76</v>
      </c>
      <c r="G15">
        <v>21.455340804529001</v>
      </c>
      <c r="H15">
        <v>2E+20</v>
      </c>
      <c r="I15">
        <v>0</v>
      </c>
      <c r="J15">
        <v>36</v>
      </c>
      <c r="K15">
        <v>20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10.3625915235886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38.218354981839397</v>
      </c>
      <c r="U15" s="5">
        <f>IF((ContinuousStatsTable[[#This Row],[RepsRequested]]&gt;1),ContinuousStatsTable[[#This Row],[HalfWidth]],ContinuousStatsTable[[#This Row],[BatchMeansHalfWidth]])</f>
        <v>2.1690587669162626</v>
      </c>
    </row>
    <row r="16" spans="1:21" x14ac:dyDescent="0.35">
      <c r="A16" t="s">
        <v>66</v>
      </c>
      <c r="B16" t="s">
        <v>69</v>
      </c>
      <c r="C16">
        <v>2</v>
      </c>
      <c r="D16" t="s">
        <v>86</v>
      </c>
      <c r="E16" t="s">
        <v>87</v>
      </c>
      <c r="F16" t="s">
        <v>88</v>
      </c>
      <c r="G16">
        <v>0.91480144708670696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0.51812957617942801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0.95110098058068004</v>
      </c>
      <c r="U16" s="5">
        <f>IF((ContinuousStatsTable[[#This Row],[RepsRequested]]&gt;1),ContinuousStatsTable[[#This Row],[HalfWidth]],ContinuousStatsTable[[#This Row],[BatchMeansHalfWidth]])</f>
        <v>4.3613366354194112E-2</v>
      </c>
    </row>
    <row r="17" spans="1:21" x14ac:dyDescent="0.35">
      <c r="A17" t="s">
        <v>66</v>
      </c>
      <c r="B17" t="s">
        <v>69</v>
      </c>
      <c r="C17">
        <v>2</v>
      </c>
      <c r="D17" t="s">
        <v>86</v>
      </c>
      <c r="E17" t="s">
        <v>89</v>
      </c>
      <c r="F17" t="s">
        <v>88</v>
      </c>
      <c r="G17">
        <v>9.1480144708670608</v>
      </c>
      <c r="H17">
        <v>2E+20</v>
      </c>
      <c r="I17">
        <v>0</v>
      </c>
      <c r="J17">
        <v>10</v>
      </c>
      <c r="K17">
        <v>10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5.1812957617942796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9.5110098058068004</v>
      </c>
      <c r="U17" s="5">
        <f>IF((ContinuousStatsTable[[#This Row],[RepsRequested]]&gt;1),ContinuousStatsTable[[#This Row],[HalfWidth]],ContinuousStatsTable[[#This Row],[BatchMeansHalfWidth]])</f>
        <v>0.43613366354194549</v>
      </c>
    </row>
    <row r="18" spans="1:21" x14ac:dyDescent="0.35">
      <c r="A18" t="s">
        <v>66</v>
      </c>
      <c r="B18" t="s">
        <v>69</v>
      </c>
      <c r="C18">
        <v>2</v>
      </c>
      <c r="D18" t="s">
        <v>86</v>
      </c>
      <c r="E18" t="s">
        <v>90</v>
      </c>
      <c r="F18" t="s">
        <v>88</v>
      </c>
      <c r="G18">
        <v>10</v>
      </c>
      <c r="H18">
        <v>2E+20</v>
      </c>
      <c r="I18">
        <v>10</v>
      </c>
      <c r="J18">
        <v>10</v>
      </c>
      <c r="K18">
        <v>10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35">
      <c r="A19" t="s">
        <v>66</v>
      </c>
      <c r="B19" t="s">
        <v>69</v>
      </c>
      <c r="C19">
        <v>2</v>
      </c>
      <c r="D19" t="s">
        <v>82</v>
      </c>
      <c r="E19" t="s">
        <v>84</v>
      </c>
      <c r="F19" t="s">
        <v>72</v>
      </c>
      <c r="G19">
        <v>2.1818924913294899</v>
      </c>
      <c r="H19">
        <v>2E+20</v>
      </c>
      <c r="I19">
        <v>0</v>
      </c>
      <c r="J19">
        <v>4</v>
      </c>
      <c r="K19">
        <v>3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0.56541157258789199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2.4594543622635499</v>
      </c>
      <c r="U19" s="5">
        <f>IF((ContinuousStatsTable[[#This Row],[RepsRequested]]&gt;1),ContinuousStatsTable[[#This Row],[HalfWidth]],ContinuousStatsTable[[#This Row],[BatchMeansHalfWidth]])</f>
        <v>0.1771627845153336</v>
      </c>
    </row>
    <row r="20" spans="1:21" x14ac:dyDescent="0.35">
      <c r="A20" t="s">
        <v>66</v>
      </c>
      <c r="B20" t="s">
        <v>69</v>
      </c>
      <c r="C20">
        <v>2</v>
      </c>
      <c r="D20" t="s">
        <v>91</v>
      </c>
      <c r="E20" t="s">
        <v>87</v>
      </c>
      <c r="F20" t="s">
        <v>88</v>
      </c>
      <c r="G20">
        <v>0.99381255473469199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0.78808827046509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0.99381255473469199</v>
      </c>
      <c r="U20" s="5">
        <f>IF((ContinuousStatsTable[[#This Row],[RepsRequested]]&gt;1),ContinuousStatsTable[[#This Row],[HalfWidth]],ContinuousStatsTable[[#This Row],[BatchMeansHalfWidth]])</f>
        <v>1.6708231879382019E-2</v>
      </c>
    </row>
    <row r="21" spans="1:21" x14ac:dyDescent="0.35">
      <c r="A21" t="s">
        <v>66</v>
      </c>
      <c r="B21" t="s">
        <v>69</v>
      </c>
      <c r="C21">
        <v>2</v>
      </c>
      <c r="D21" t="s">
        <v>91</v>
      </c>
      <c r="E21" t="s">
        <v>89</v>
      </c>
      <c r="F21" t="s">
        <v>88</v>
      </c>
      <c r="G21">
        <v>2.9814376642040799</v>
      </c>
      <c r="H21">
        <v>2E+20</v>
      </c>
      <c r="I21">
        <v>0</v>
      </c>
      <c r="J21">
        <v>3</v>
      </c>
      <c r="K21">
        <v>3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2.36426481139527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2.9814376642040799</v>
      </c>
      <c r="U21" s="5">
        <f>IF((ContinuousStatsTable[[#This Row],[RepsRequested]]&gt;1),ContinuousStatsTable[[#This Row],[HalfWidth]],ContinuousStatsTable[[#This Row],[BatchMeansHalfWidth]])</f>
        <v>5.0124695638146144E-2</v>
      </c>
    </row>
    <row r="22" spans="1:21" x14ac:dyDescent="0.35">
      <c r="A22" t="s">
        <v>66</v>
      </c>
      <c r="B22" t="s">
        <v>69</v>
      </c>
      <c r="C22">
        <v>2</v>
      </c>
      <c r="D22" t="s">
        <v>91</v>
      </c>
      <c r="E22" t="s">
        <v>90</v>
      </c>
      <c r="F22" t="s">
        <v>88</v>
      </c>
      <c r="G22">
        <v>3</v>
      </c>
      <c r="H22">
        <v>2E+20</v>
      </c>
      <c r="I22">
        <v>3</v>
      </c>
      <c r="J22">
        <v>3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3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3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3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35">
      <c r="A23" t="s">
        <v>66</v>
      </c>
      <c r="B23" t="s">
        <v>69</v>
      </c>
      <c r="C23">
        <v>2</v>
      </c>
      <c r="D23" t="s">
        <v>83</v>
      </c>
      <c r="E23" t="s">
        <v>84</v>
      </c>
      <c r="F23" t="s">
        <v>72</v>
      </c>
      <c r="G23">
        <v>2.1870870134908098</v>
      </c>
      <c r="H23">
        <v>2E+20</v>
      </c>
      <c r="I23">
        <v>0</v>
      </c>
      <c r="J23">
        <v>5</v>
      </c>
      <c r="K23">
        <v>3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0.52883875458038598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2.4798758861082799</v>
      </c>
      <c r="U23" s="5">
        <f>IF((ContinuousStatsTable[[#This Row],[RepsRequested]]&gt;1),ContinuousStatsTable[[#This Row],[HalfWidth]],ContinuousStatsTable[[#This Row],[BatchMeansHalfWidth]])</f>
        <v>0.18745365002732756</v>
      </c>
    </row>
    <row r="24" spans="1:21" x14ac:dyDescent="0.35">
      <c r="A24" t="s">
        <v>66</v>
      </c>
      <c r="B24" t="s">
        <v>69</v>
      </c>
      <c r="C24">
        <v>3</v>
      </c>
      <c r="D24" t="s">
        <v>70</v>
      </c>
      <c r="E24" t="s">
        <v>84</v>
      </c>
      <c r="F24" t="s">
        <v>72</v>
      </c>
      <c r="G24">
        <v>0</v>
      </c>
      <c r="H24">
        <v>2E+20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66</v>
      </c>
      <c r="B25" t="s">
        <v>69</v>
      </c>
      <c r="C25">
        <v>3</v>
      </c>
      <c r="D25" t="s">
        <v>73</v>
      </c>
      <c r="E25" t="s">
        <v>84</v>
      </c>
      <c r="F25" t="s">
        <v>72</v>
      </c>
      <c r="G25">
        <v>5.8590398452024202</v>
      </c>
      <c r="H25">
        <v>2E+20</v>
      </c>
      <c r="I25">
        <v>0</v>
      </c>
      <c r="J25">
        <v>12</v>
      </c>
      <c r="K25">
        <v>6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9.63804241981207</v>
      </c>
      <c r="U25" s="5">
        <f>IF((ContinuousStatsTable[[#This Row],[RepsRequested]]&gt;1),ContinuousStatsTable[[#This Row],[HalfWidth]],ContinuousStatsTable[[#This Row],[BatchMeansHalfWidth]])</f>
        <v>0.71632840390540931</v>
      </c>
    </row>
    <row r="26" spans="1:21" x14ac:dyDescent="0.35">
      <c r="A26" t="s">
        <v>66</v>
      </c>
      <c r="B26" t="s">
        <v>69</v>
      </c>
      <c r="C26">
        <v>3</v>
      </c>
      <c r="D26" t="s">
        <v>74</v>
      </c>
      <c r="E26" t="s">
        <v>85</v>
      </c>
      <c r="F26" t="s">
        <v>76</v>
      </c>
      <c r="G26">
        <v>30.7400993020184</v>
      </c>
      <c r="H26">
        <v>2E+20</v>
      </c>
      <c r="I26">
        <v>0</v>
      </c>
      <c r="J26">
        <v>44</v>
      </c>
      <c r="K26">
        <v>32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10.3625915235886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38.218354981839397</v>
      </c>
      <c r="U26" s="5">
        <f>IF((ContinuousStatsTable[[#This Row],[RepsRequested]]&gt;1),ContinuousStatsTable[[#This Row],[HalfWidth]],ContinuousStatsTable[[#This Row],[BatchMeansHalfWidth]])</f>
        <v>2.1690587669162626</v>
      </c>
    </row>
    <row r="27" spans="1:21" x14ac:dyDescent="0.35">
      <c r="A27" t="s">
        <v>66</v>
      </c>
      <c r="B27" t="s">
        <v>69</v>
      </c>
      <c r="C27">
        <v>3</v>
      </c>
      <c r="D27" t="s">
        <v>86</v>
      </c>
      <c r="E27" t="s">
        <v>87</v>
      </c>
      <c r="F27" t="s">
        <v>88</v>
      </c>
      <c r="G27">
        <v>0.95110098058068004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0.51812957617942801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0.95110098058068004</v>
      </c>
      <c r="U27" s="5">
        <f>IF((ContinuousStatsTable[[#This Row],[RepsRequested]]&gt;1),ContinuousStatsTable[[#This Row],[HalfWidth]],ContinuousStatsTable[[#This Row],[BatchMeansHalfWidth]])</f>
        <v>4.3613366354194112E-2</v>
      </c>
    </row>
    <row r="28" spans="1:21" x14ac:dyDescent="0.35">
      <c r="A28" t="s">
        <v>66</v>
      </c>
      <c r="B28" t="s">
        <v>69</v>
      </c>
      <c r="C28">
        <v>3</v>
      </c>
      <c r="D28" t="s">
        <v>86</v>
      </c>
      <c r="E28" t="s">
        <v>89</v>
      </c>
      <c r="F28" t="s">
        <v>88</v>
      </c>
      <c r="G28">
        <v>9.5110098058068004</v>
      </c>
      <c r="H28">
        <v>2E+20</v>
      </c>
      <c r="I28">
        <v>0</v>
      </c>
      <c r="J28">
        <v>10</v>
      </c>
      <c r="K28">
        <v>10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5.1812957617942796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9.5110098058068004</v>
      </c>
      <c r="U28" s="5">
        <f>IF((ContinuousStatsTable[[#This Row],[RepsRequested]]&gt;1),ContinuousStatsTable[[#This Row],[HalfWidth]],ContinuousStatsTable[[#This Row],[BatchMeansHalfWidth]])</f>
        <v>0.43613366354194549</v>
      </c>
    </row>
    <row r="29" spans="1:21" x14ac:dyDescent="0.35">
      <c r="A29" t="s">
        <v>66</v>
      </c>
      <c r="B29" t="s">
        <v>69</v>
      </c>
      <c r="C29">
        <v>3</v>
      </c>
      <c r="D29" t="s">
        <v>86</v>
      </c>
      <c r="E29" t="s">
        <v>90</v>
      </c>
      <c r="F29" t="s">
        <v>88</v>
      </c>
      <c r="G29">
        <v>10</v>
      </c>
      <c r="H29">
        <v>2E+20</v>
      </c>
      <c r="I29">
        <v>10</v>
      </c>
      <c r="J29">
        <v>10</v>
      </c>
      <c r="K29">
        <v>10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10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10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10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35">
      <c r="A30" t="s">
        <v>66</v>
      </c>
      <c r="B30" t="s">
        <v>69</v>
      </c>
      <c r="C30">
        <v>3</v>
      </c>
      <c r="D30" t="s">
        <v>82</v>
      </c>
      <c r="E30" t="s">
        <v>84</v>
      </c>
      <c r="F30" t="s">
        <v>72</v>
      </c>
      <c r="G30">
        <v>2.4118749748214801</v>
      </c>
      <c r="H30">
        <v>2E+20</v>
      </c>
      <c r="I30">
        <v>0</v>
      </c>
      <c r="J30">
        <v>4</v>
      </c>
      <c r="K30">
        <v>3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0.56541157258789199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2.4594543622635499</v>
      </c>
      <c r="U30" s="5">
        <f>IF((ContinuousStatsTable[[#This Row],[RepsRequested]]&gt;1),ContinuousStatsTable[[#This Row],[HalfWidth]],ContinuousStatsTable[[#This Row],[BatchMeansHalfWidth]])</f>
        <v>0.1771627845153336</v>
      </c>
    </row>
    <row r="31" spans="1:21" x14ac:dyDescent="0.35">
      <c r="A31" t="s">
        <v>66</v>
      </c>
      <c r="B31" t="s">
        <v>69</v>
      </c>
      <c r="C31">
        <v>3</v>
      </c>
      <c r="D31" t="s">
        <v>91</v>
      </c>
      <c r="E31" t="s">
        <v>87</v>
      </c>
      <c r="F31" t="s">
        <v>88</v>
      </c>
      <c r="G31">
        <v>0.98431243867609397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0.78808827046509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0.99381255473469199</v>
      </c>
      <c r="U31" s="5">
        <f>IF((ContinuousStatsTable[[#This Row],[RepsRequested]]&gt;1),ContinuousStatsTable[[#This Row],[HalfWidth]],ContinuousStatsTable[[#This Row],[BatchMeansHalfWidth]])</f>
        <v>1.6708231879382019E-2</v>
      </c>
    </row>
    <row r="32" spans="1:21" x14ac:dyDescent="0.35">
      <c r="A32" t="s">
        <v>66</v>
      </c>
      <c r="B32" t="s">
        <v>69</v>
      </c>
      <c r="C32">
        <v>3</v>
      </c>
      <c r="D32" t="s">
        <v>91</v>
      </c>
      <c r="E32" t="s">
        <v>89</v>
      </c>
      <c r="F32" t="s">
        <v>88</v>
      </c>
      <c r="G32">
        <v>2.9529373160282799</v>
      </c>
      <c r="H32">
        <v>2E+20</v>
      </c>
      <c r="I32">
        <v>0</v>
      </c>
      <c r="J32">
        <v>3</v>
      </c>
      <c r="K32">
        <v>3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2.36426481139527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2.9814376642040799</v>
      </c>
      <c r="U32" s="5">
        <f>IF((ContinuousStatsTable[[#This Row],[RepsRequested]]&gt;1),ContinuousStatsTable[[#This Row],[HalfWidth]],ContinuousStatsTable[[#This Row],[BatchMeansHalfWidth]])</f>
        <v>5.0124695638146144E-2</v>
      </c>
    </row>
    <row r="33" spans="1:21" x14ac:dyDescent="0.35">
      <c r="A33" t="s">
        <v>66</v>
      </c>
      <c r="B33" t="s">
        <v>69</v>
      </c>
      <c r="C33">
        <v>3</v>
      </c>
      <c r="D33" t="s">
        <v>91</v>
      </c>
      <c r="E33" t="s">
        <v>90</v>
      </c>
      <c r="F33" t="s">
        <v>88</v>
      </c>
      <c r="G33">
        <v>3</v>
      </c>
      <c r="H33">
        <v>2E+20</v>
      </c>
      <c r="I33">
        <v>3</v>
      </c>
      <c r="J33">
        <v>3</v>
      </c>
      <c r="K33">
        <v>3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3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3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3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66</v>
      </c>
      <c r="B34" t="s">
        <v>69</v>
      </c>
      <c r="C34">
        <v>3</v>
      </c>
      <c r="D34" t="s">
        <v>83</v>
      </c>
      <c r="E34" t="s">
        <v>84</v>
      </c>
      <c r="F34" t="s">
        <v>72</v>
      </c>
      <c r="G34">
        <v>2.3906241335347702</v>
      </c>
      <c r="H34">
        <v>2E+20</v>
      </c>
      <c r="I34">
        <v>0</v>
      </c>
      <c r="J34">
        <v>6</v>
      </c>
      <c r="K34">
        <v>3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0.52883875458038598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2.4798758861082799</v>
      </c>
      <c r="U34" s="5">
        <f>IF((ContinuousStatsTable[[#This Row],[RepsRequested]]&gt;1),ContinuousStatsTable[[#This Row],[HalfWidth]],ContinuousStatsTable[[#This Row],[BatchMeansHalfWidth]])</f>
        <v>0.18745365002732756</v>
      </c>
    </row>
    <row r="35" spans="1:21" x14ac:dyDescent="0.35">
      <c r="A35" t="s">
        <v>66</v>
      </c>
      <c r="B35" t="s">
        <v>69</v>
      </c>
      <c r="C35">
        <v>4</v>
      </c>
      <c r="D35" t="s">
        <v>70</v>
      </c>
      <c r="E35" t="s">
        <v>84</v>
      </c>
      <c r="F35" t="s">
        <v>72</v>
      </c>
      <c r="G35">
        <v>0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66</v>
      </c>
      <c r="B36" t="s">
        <v>69</v>
      </c>
      <c r="C36">
        <v>4</v>
      </c>
      <c r="D36" t="s">
        <v>73</v>
      </c>
      <c r="E36" t="s">
        <v>84</v>
      </c>
      <c r="F36" t="s">
        <v>72</v>
      </c>
      <c r="G36">
        <v>4.3344504759916402</v>
      </c>
      <c r="H36">
        <v>2E+20</v>
      </c>
      <c r="I36">
        <v>0</v>
      </c>
      <c r="J36">
        <v>10</v>
      </c>
      <c r="K36">
        <v>1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9.63804241981207</v>
      </c>
      <c r="U36" s="5">
        <f>IF((ContinuousStatsTable[[#This Row],[RepsRequested]]&gt;1),ContinuousStatsTable[[#This Row],[HalfWidth]],ContinuousStatsTable[[#This Row],[BatchMeansHalfWidth]])</f>
        <v>0.71632840390540931</v>
      </c>
    </row>
    <row r="37" spans="1:21" x14ac:dyDescent="0.35">
      <c r="A37" t="s">
        <v>66</v>
      </c>
      <c r="B37" t="s">
        <v>69</v>
      </c>
      <c r="C37">
        <v>4</v>
      </c>
      <c r="D37" t="s">
        <v>74</v>
      </c>
      <c r="E37" t="s">
        <v>85</v>
      </c>
      <c r="F37" t="s">
        <v>76</v>
      </c>
      <c r="G37">
        <v>27.4406384624521</v>
      </c>
      <c r="H37">
        <v>2E+20</v>
      </c>
      <c r="I37">
        <v>0</v>
      </c>
      <c r="J37">
        <v>40</v>
      </c>
      <c r="K37">
        <v>22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10.3625915235886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38.218354981839397</v>
      </c>
      <c r="U37" s="5">
        <f>IF((ContinuousStatsTable[[#This Row],[RepsRequested]]&gt;1),ContinuousStatsTable[[#This Row],[HalfWidth]],ContinuousStatsTable[[#This Row],[BatchMeansHalfWidth]])</f>
        <v>2.1690587669162626</v>
      </c>
    </row>
    <row r="38" spans="1:21" x14ac:dyDescent="0.35">
      <c r="A38" t="s">
        <v>66</v>
      </c>
      <c r="B38" t="s">
        <v>69</v>
      </c>
      <c r="C38">
        <v>4</v>
      </c>
      <c r="D38" t="s">
        <v>86</v>
      </c>
      <c r="E38" t="s">
        <v>87</v>
      </c>
      <c r="F38" t="s">
        <v>88</v>
      </c>
      <c r="G38">
        <v>0.93858687552344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0.51812957617942801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0.95110098058068004</v>
      </c>
      <c r="U38" s="5">
        <f>IF((ContinuousStatsTable[[#This Row],[RepsRequested]]&gt;1),ContinuousStatsTable[[#This Row],[HalfWidth]],ContinuousStatsTable[[#This Row],[BatchMeansHalfWidth]])</f>
        <v>4.3613366354194112E-2</v>
      </c>
    </row>
    <row r="39" spans="1:21" x14ac:dyDescent="0.35">
      <c r="A39" t="s">
        <v>66</v>
      </c>
      <c r="B39" t="s">
        <v>69</v>
      </c>
      <c r="C39">
        <v>4</v>
      </c>
      <c r="D39" t="s">
        <v>86</v>
      </c>
      <c r="E39" t="s">
        <v>89</v>
      </c>
      <c r="F39" t="s">
        <v>88</v>
      </c>
      <c r="G39">
        <v>9.3858687552343998</v>
      </c>
      <c r="H39">
        <v>2E+20</v>
      </c>
      <c r="I39">
        <v>0</v>
      </c>
      <c r="J39">
        <v>10</v>
      </c>
      <c r="K39">
        <v>10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5.1812957617942796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9.5110098058068004</v>
      </c>
      <c r="U39" s="5">
        <f>IF((ContinuousStatsTable[[#This Row],[RepsRequested]]&gt;1),ContinuousStatsTable[[#This Row],[HalfWidth]],ContinuousStatsTable[[#This Row],[BatchMeansHalfWidth]])</f>
        <v>0.43613366354194549</v>
      </c>
    </row>
    <row r="40" spans="1:21" x14ac:dyDescent="0.35">
      <c r="A40" t="s">
        <v>66</v>
      </c>
      <c r="B40" t="s">
        <v>69</v>
      </c>
      <c r="C40">
        <v>4</v>
      </c>
      <c r="D40" t="s">
        <v>86</v>
      </c>
      <c r="E40" t="s">
        <v>90</v>
      </c>
      <c r="F40" t="s">
        <v>88</v>
      </c>
      <c r="G40">
        <v>10</v>
      </c>
      <c r="H40">
        <v>2E+20</v>
      </c>
      <c r="I40">
        <v>10</v>
      </c>
      <c r="J40">
        <v>10</v>
      </c>
      <c r="K40">
        <v>10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10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5">
      <c r="A41" t="s">
        <v>66</v>
      </c>
      <c r="B41" t="s">
        <v>69</v>
      </c>
      <c r="C41">
        <v>4</v>
      </c>
      <c r="D41" t="s">
        <v>82</v>
      </c>
      <c r="E41" t="s">
        <v>84</v>
      </c>
      <c r="F41" t="s">
        <v>72</v>
      </c>
      <c r="G41">
        <v>2.3697062625709302</v>
      </c>
      <c r="H41">
        <v>2E+20</v>
      </c>
      <c r="I41">
        <v>0</v>
      </c>
      <c r="J41">
        <v>4</v>
      </c>
      <c r="K41">
        <v>3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0.56541157258789199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2.4594543622635499</v>
      </c>
      <c r="U41" s="5">
        <f>IF((ContinuousStatsTable[[#This Row],[RepsRequested]]&gt;1),ContinuousStatsTable[[#This Row],[HalfWidth]],ContinuousStatsTable[[#This Row],[BatchMeansHalfWidth]])</f>
        <v>0.1771627845153336</v>
      </c>
    </row>
    <row r="42" spans="1:21" x14ac:dyDescent="0.35">
      <c r="A42" t="s">
        <v>66</v>
      </c>
      <c r="B42" t="s">
        <v>69</v>
      </c>
      <c r="C42">
        <v>4</v>
      </c>
      <c r="D42" t="s">
        <v>91</v>
      </c>
      <c r="E42" t="s">
        <v>87</v>
      </c>
      <c r="F42" t="s">
        <v>88</v>
      </c>
      <c r="G42">
        <v>0.96427531549243795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0.78808827046509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0.99381255473469199</v>
      </c>
      <c r="U42" s="5">
        <f>IF((ContinuousStatsTable[[#This Row],[RepsRequested]]&gt;1),ContinuousStatsTable[[#This Row],[HalfWidth]],ContinuousStatsTable[[#This Row],[BatchMeansHalfWidth]])</f>
        <v>1.6708231879382019E-2</v>
      </c>
    </row>
    <row r="43" spans="1:21" x14ac:dyDescent="0.35">
      <c r="A43" t="s">
        <v>66</v>
      </c>
      <c r="B43" t="s">
        <v>69</v>
      </c>
      <c r="C43">
        <v>4</v>
      </c>
      <c r="D43" t="s">
        <v>91</v>
      </c>
      <c r="E43" t="s">
        <v>89</v>
      </c>
      <c r="F43" t="s">
        <v>88</v>
      </c>
      <c r="G43">
        <v>2.8928259464773101</v>
      </c>
      <c r="H43">
        <v>2E+20</v>
      </c>
      <c r="I43">
        <v>0</v>
      </c>
      <c r="J43">
        <v>3</v>
      </c>
      <c r="K43">
        <v>3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2.36426481139527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2.9814376642040799</v>
      </c>
      <c r="U43" s="5">
        <f>IF((ContinuousStatsTable[[#This Row],[RepsRequested]]&gt;1),ContinuousStatsTable[[#This Row],[HalfWidth]],ContinuousStatsTable[[#This Row],[BatchMeansHalfWidth]])</f>
        <v>5.0124695638146144E-2</v>
      </c>
    </row>
    <row r="44" spans="1:21" x14ac:dyDescent="0.35">
      <c r="A44" t="s">
        <v>66</v>
      </c>
      <c r="B44" t="s">
        <v>69</v>
      </c>
      <c r="C44">
        <v>4</v>
      </c>
      <c r="D44" t="s">
        <v>91</v>
      </c>
      <c r="E44" t="s">
        <v>90</v>
      </c>
      <c r="F44" t="s">
        <v>88</v>
      </c>
      <c r="G44">
        <v>3</v>
      </c>
      <c r="H44">
        <v>2E+20</v>
      </c>
      <c r="I44">
        <v>3</v>
      </c>
      <c r="J44">
        <v>3</v>
      </c>
      <c r="K44">
        <v>3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3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3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3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66</v>
      </c>
      <c r="B45" t="s">
        <v>69</v>
      </c>
      <c r="C45">
        <v>4</v>
      </c>
      <c r="D45" t="s">
        <v>83</v>
      </c>
      <c r="E45" t="s">
        <v>84</v>
      </c>
      <c r="F45" t="s">
        <v>72</v>
      </c>
      <c r="G45">
        <v>2.4106764695994398</v>
      </c>
      <c r="H45">
        <v>2E+20</v>
      </c>
      <c r="I45">
        <v>0</v>
      </c>
      <c r="J45">
        <v>5</v>
      </c>
      <c r="K45">
        <v>2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0.52883875458038598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2.4798758861082799</v>
      </c>
      <c r="U45" s="5">
        <f>IF((ContinuousStatsTable[[#This Row],[RepsRequested]]&gt;1),ContinuousStatsTable[[#This Row],[HalfWidth]],ContinuousStatsTable[[#This Row],[BatchMeansHalfWidth]])</f>
        <v>0.18745365002732756</v>
      </c>
    </row>
    <row r="46" spans="1:21" x14ac:dyDescent="0.35">
      <c r="A46" t="s">
        <v>66</v>
      </c>
      <c r="B46" t="s">
        <v>69</v>
      </c>
      <c r="C46">
        <v>5</v>
      </c>
      <c r="D46" t="s">
        <v>70</v>
      </c>
      <c r="E46" t="s">
        <v>84</v>
      </c>
      <c r="F46" t="s">
        <v>72</v>
      </c>
      <c r="G46">
        <v>0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69</v>
      </c>
      <c r="C47">
        <v>5</v>
      </c>
      <c r="D47" t="s">
        <v>73</v>
      </c>
      <c r="E47" t="s">
        <v>84</v>
      </c>
      <c r="F47" t="s">
        <v>72</v>
      </c>
      <c r="G47">
        <v>2.6754541373983001</v>
      </c>
      <c r="H47">
        <v>2E+20</v>
      </c>
      <c r="I47">
        <v>0</v>
      </c>
      <c r="J47">
        <v>9</v>
      </c>
      <c r="K47">
        <v>8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9.63804241981207</v>
      </c>
      <c r="U47" s="5">
        <f>IF((ContinuousStatsTable[[#This Row],[RepsRequested]]&gt;1),ContinuousStatsTable[[#This Row],[HalfWidth]],ContinuousStatsTable[[#This Row],[BatchMeansHalfWidth]])</f>
        <v>0.71632840390540931</v>
      </c>
    </row>
    <row r="48" spans="1:21" x14ac:dyDescent="0.35">
      <c r="A48" t="s">
        <v>66</v>
      </c>
      <c r="B48" t="s">
        <v>69</v>
      </c>
      <c r="C48">
        <v>5</v>
      </c>
      <c r="D48" t="s">
        <v>74</v>
      </c>
      <c r="E48" t="s">
        <v>85</v>
      </c>
      <c r="F48" t="s">
        <v>76</v>
      </c>
      <c r="G48">
        <v>20.5447108677823</v>
      </c>
      <c r="H48">
        <v>2E+20</v>
      </c>
      <c r="I48">
        <v>0</v>
      </c>
      <c r="J48">
        <v>39</v>
      </c>
      <c r="K48">
        <v>36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10.3625915235886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38.218354981839397</v>
      </c>
      <c r="U48" s="5">
        <f>IF((ContinuousStatsTable[[#This Row],[RepsRequested]]&gt;1),ContinuousStatsTable[[#This Row],[HalfWidth]],ContinuousStatsTable[[#This Row],[BatchMeansHalfWidth]])</f>
        <v>2.1690587669162626</v>
      </c>
    </row>
    <row r="49" spans="1:21" x14ac:dyDescent="0.35">
      <c r="A49" t="s">
        <v>66</v>
      </c>
      <c r="B49" t="s">
        <v>69</v>
      </c>
      <c r="C49">
        <v>5</v>
      </c>
      <c r="D49" t="s">
        <v>86</v>
      </c>
      <c r="E49" t="s">
        <v>87</v>
      </c>
      <c r="F49" t="s">
        <v>88</v>
      </c>
      <c r="G49">
        <v>0.75969012964928695</v>
      </c>
      <c r="H49">
        <v>2E+20</v>
      </c>
      <c r="I49">
        <v>0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0.51812957617942801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0.95110098058068004</v>
      </c>
      <c r="U49" s="5">
        <f>IF((ContinuousStatsTable[[#This Row],[RepsRequested]]&gt;1),ContinuousStatsTable[[#This Row],[HalfWidth]],ContinuousStatsTable[[#This Row],[BatchMeansHalfWidth]])</f>
        <v>4.3613366354194112E-2</v>
      </c>
    </row>
    <row r="50" spans="1:21" x14ac:dyDescent="0.35">
      <c r="A50" t="s">
        <v>66</v>
      </c>
      <c r="B50" t="s">
        <v>69</v>
      </c>
      <c r="C50">
        <v>5</v>
      </c>
      <c r="D50" t="s">
        <v>86</v>
      </c>
      <c r="E50" t="s">
        <v>89</v>
      </c>
      <c r="F50" t="s">
        <v>88</v>
      </c>
      <c r="G50">
        <v>7.5969012964928702</v>
      </c>
      <c r="H50">
        <v>2E+20</v>
      </c>
      <c r="I50">
        <v>0</v>
      </c>
      <c r="J50">
        <v>10</v>
      </c>
      <c r="K50">
        <v>10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5.1812957617942796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9.5110098058068004</v>
      </c>
      <c r="U50" s="5">
        <f>IF((ContinuousStatsTable[[#This Row],[RepsRequested]]&gt;1),ContinuousStatsTable[[#This Row],[HalfWidth]],ContinuousStatsTable[[#This Row],[BatchMeansHalfWidth]])</f>
        <v>0.43613366354194549</v>
      </c>
    </row>
    <row r="51" spans="1:21" x14ac:dyDescent="0.35">
      <c r="A51" t="s">
        <v>66</v>
      </c>
      <c r="B51" t="s">
        <v>69</v>
      </c>
      <c r="C51">
        <v>5</v>
      </c>
      <c r="D51" t="s">
        <v>86</v>
      </c>
      <c r="E51" t="s">
        <v>90</v>
      </c>
      <c r="F51" t="s">
        <v>88</v>
      </c>
      <c r="G51">
        <v>10</v>
      </c>
      <c r="H51">
        <v>2E+20</v>
      </c>
      <c r="I51">
        <v>10</v>
      </c>
      <c r="J51">
        <v>10</v>
      </c>
      <c r="K51">
        <v>10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10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69</v>
      </c>
      <c r="C52">
        <v>5</v>
      </c>
      <c r="D52" t="s">
        <v>82</v>
      </c>
      <c r="E52" t="s">
        <v>84</v>
      </c>
      <c r="F52" t="s">
        <v>72</v>
      </c>
      <c r="G52">
        <v>1.6065284346326201</v>
      </c>
      <c r="H52">
        <v>2E+20</v>
      </c>
      <c r="I52">
        <v>0</v>
      </c>
      <c r="J52">
        <v>4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0.56541157258789199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2.4594543622635499</v>
      </c>
      <c r="U52" s="5">
        <f>IF((ContinuousStatsTable[[#This Row],[RepsRequested]]&gt;1),ContinuousStatsTable[[#This Row],[HalfWidth]],ContinuousStatsTable[[#This Row],[BatchMeansHalfWidth]])</f>
        <v>0.1771627845153336</v>
      </c>
    </row>
    <row r="53" spans="1:21" x14ac:dyDescent="0.35">
      <c r="A53" t="s">
        <v>66</v>
      </c>
      <c r="B53" t="s">
        <v>69</v>
      </c>
      <c r="C53">
        <v>5</v>
      </c>
      <c r="D53" t="s">
        <v>91</v>
      </c>
      <c r="E53" t="s">
        <v>87</v>
      </c>
      <c r="F53" t="s">
        <v>88</v>
      </c>
      <c r="G53">
        <v>0.917512263881757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0.78808827046509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0.99381255473469199</v>
      </c>
      <c r="U53" s="5">
        <f>IF((ContinuousStatsTable[[#This Row],[RepsRequested]]&gt;1),ContinuousStatsTable[[#This Row],[HalfWidth]],ContinuousStatsTable[[#This Row],[BatchMeansHalfWidth]])</f>
        <v>1.6708231879382019E-2</v>
      </c>
    </row>
    <row r="54" spans="1:21" x14ac:dyDescent="0.35">
      <c r="A54" t="s">
        <v>66</v>
      </c>
      <c r="B54" t="s">
        <v>69</v>
      </c>
      <c r="C54">
        <v>5</v>
      </c>
      <c r="D54" t="s">
        <v>91</v>
      </c>
      <c r="E54" t="s">
        <v>89</v>
      </c>
      <c r="F54" t="s">
        <v>88</v>
      </c>
      <c r="G54">
        <v>2.7525367916452699</v>
      </c>
      <c r="H54">
        <v>2E+20</v>
      </c>
      <c r="I54">
        <v>0</v>
      </c>
      <c r="J54">
        <v>3</v>
      </c>
      <c r="K54">
        <v>3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2.36426481139527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2.9814376642040799</v>
      </c>
      <c r="U54" s="5">
        <f>IF((ContinuousStatsTable[[#This Row],[RepsRequested]]&gt;1),ContinuousStatsTable[[#This Row],[HalfWidth]],ContinuousStatsTable[[#This Row],[BatchMeansHalfWidth]])</f>
        <v>5.0124695638146144E-2</v>
      </c>
    </row>
    <row r="55" spans="1:21" x14ac:dyDescent="0.35">
      <c r="A55" t="s">
        <v>66</v>
      </c>
      <c r="B55" t="s">
        <v>69</v>
      </c>
      <c r="C55">
        <v>5</v>
      </c>
      <c r="D55" t="s">
        <v>91</v>
      </c>
      <c r="E55" t="s">
        <v>90</v>
      </c>
      <c r="F55" t="s">
        <v>88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5">
      <c r="A56" t="s">
        <v>66</v>
      </c>
      <c r="B56" t="s">
        <v>69</v>
      </c>
      <c r="C56">
        <v>5</v>
      </c>
      <c r="D56" t="s">
        <v>83</v>
      </c>
      <c r="E56" t="s">
        <v>84</v>
      </c>
      <c r="F56" t="s">
        <v>72</v>
      </c>
      <c r="G56">
        <v>1.5778342532352301</v>
      </c>
      <c r="H56">
        <v>2E+20</v>
      </c>
      <c r="I56">
        <v>0</v>
      </c>
      <c r="J56">
        <v>5</v>
      </c>
      <c r="K56">
        <v>3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0.52883875458038598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2.4798758861082799</v>
      </c>
      <c r="U56" s="5">
        <f>IF((ContinuousStatsTable[[#This Row],[RepsRequested]]&gt;1),ContinuousStatsTable[[#This Row],[HalfWidth]],ContinuousStatsTable[[#This Row],[BatchMeansHalfWidth]])</f>
        <v>0.18745365002732756</v>
      </c>
    </row>
    <row r="57" spans="1:21" x14ac:dyDescent="0.35">
      <c r="A57" t="s">
        <v>66</v>
      </c>
      <c r="B57" t="s">
        <v>69</v>
      </c>
      <c r="C57">
        <v>6</v>
      </c>
      <c r="D57" t="s">
        <v>70</v>
      </c>
      <c r="E57" t="s">
        <v>84</v>
      </c>
      <c r="F57" t="s">
        <v>72</v>
      </c>
      <c r="G57">
        <v>0</v>
      </c>
      <c r="H57">
        <v>2E+20</v>
      </c>
      <c r="I57">
        <v>0</v>
      </c>
      <c r="J57">
        <v>1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66</v>
      </c>
      <c r="B58" t="s">
        <v>69</v>
      </c>
      <c r="C58">
        <v>6</v>
      </c>
      <c r="D58" t="s">
        <v>73</v>
      </c>
      <c r="E58" t="s">
        <v>84</v>
      </c>
      <c r="F58" t="s">
        <v>72</v>
      </c>
      <c r="G58">
        <v>0.60413759636202602</v>
      </c>
      <c r="H58">
        <v>2E+20</v>
      </c>
      <c r="I58">
        <v>0</v>
      </c>
      <c r="J58">
        <v>5</v>
      </c>
      <c r="K58">
        <v>4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9.63804241981207</v>
      </c>
      <c r="U58" s="5">
        <f>IF((ContinuousStatsTable[[#This Row],[RepsRequested]]&gt;1),ContinuousStatsTable[[#This Row],[HalfWidth]],ContinuousStatsTable[[#This Row],[BatchMeansHalfWidth]])</f>
        <v>0.71632840390540931</v>
      </c>
    </row>
    <row r="59" spans="1:21" x14ac:dyDescent="0.35">
      <c r="A59" t="s">
        <v>66</v>
      </c>
      <c r="B59" t="s">
        <v>69</v>
      </c>
      <c r="C59">
        <v>6</v>
      </c>
      <c r="D59" t="s">
        <v>74</v>
      </c>
      <c r="E59" t="s">
        <v>85</v>
      </c>
      <c r="F59" t="s">
        <v>76</v>
      </c>
      <c r="G59">
        <v>17.2767198285609</v>
      </c>
      <c r="H59">
        <v>2E+20</v>
      </c>
      <c r="I59">
        <v>0</v>
      </c>
      <c r="J59">
        <v>30</v>
      </c>
      <c r="K59">
        <v>28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10.3625915235886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38.218354981839397</v>
      </c>
      <c r="U59" s="5">
        <f>IF((ContinuousStatsTable[[#This Row],[RepsRequested]]&gt;1),ContinuousStatsTable[[#This Row],[HalfWidth]],ContinuousStatsTable[[#This Row],[BatchMeansHalfWidth]])</f>
        <v>2.1690587669162626</v>
      </c>
    </row>
    <row r="60" spans="1:21" x14ac:dyDescent="0.35">
      <c r="A60" t="s">
        <v>66</v>
      </c>
      <c r="B60" t="s">
        <v>69</v>
      </c>
      <c r="C60">
        <v>6</v>
      </c>
      <c r="D60" t="s">
        <v>86</v>
      </c>
      <c r="E60" t="s">
        <v>87</v>
      </c>
      <c r="F60" t="s">
        <v>88</v>
      </c>
      <c r="G60">
        <v>0.80342223179184102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0.51812957617942801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0.95110098058068004</v>
      </c>
      <c r="U60" s="5">
        <f>IF((ContinuousStatsTable[[#This Row],[RepsRequested]]&gt;1),ContinuousStatsTable[[#This Row],[HalfWidth]],ContinuousStatsTable[[#This Row],[BatchMeansHalfWidth]])</f>
        <v>4.3613366354194112E-2</v>
      </c>
    </row>
    <row r="61" spans="1:21" x14ac:dyDescent="0.35">
      <c r="A61" t="s">
        <v>66</v>
      </c>
      <c r="B61" t="s">
        <v>69</v>
      </c>
      <c r="C61">
        <v>6</v>
      </c>
      <c r="D61" t="s">
        <v>86</v>
      </c>
      <c r="E61" t="s">
        <v>89</v>
      </c>
      <c r="F61" t="s">
        <v>88</v>
      </c>
      <c r="G61">
        <v>8.0342223179184007</v>
      </c>
      <c r="H61">
        <v>2E+20</v>
      </c>
      <c r="I61">
        <v>0</v>
      </c>
      <c r="J61">
        <v>10</v>
      </c>
      <c r="K61">
        <v>10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5.1812957617942796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9.5110098058068004</v>
      </c>
      <c r="U61" s="5">
        <f>IF((ContinuousStatsTable[[#This Row],[RepsRequested]]&gt;1),ContinuousStatsTable[[#This Row],[HalfWidth]],ContinuousStatsTable[[#This Row],[BatchMeansHalfWidth]])</f>
        <v>0.43613366354194549</v>
      </c>
    </row>
    <row r="62" spans="1:21" x14ac:dyDescent="0.35">
      <c r="A62" t="s">
        <v>66</v>
      </c>
      <c r="B62" t="s">
        <v>69</v>
      </c>
      <c r="C62">
        <v>6</v>
      </c>
      <c r="D62" t="s">
        <v>86</v>
      </c>
      <c r="E62" t="s">
        <v>90</v>
      </c>
      <c r="F62" t="s">
        <v>88</v>
      </c>
      <c r="G62">
        <v>10</v>
      </c>
      <c r="H62">
        <v>2E+20</v>
      </c>
      <c r="I62">
        <v>10</v>
      </c>
      <c r="J62">
        <v>10</v>
      </c>
      <c r="K62">
        <v>10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10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10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10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35">
      <c r="A63" t="s">
        <v>66</v>
      </c>
      <c r="B63" t="s">
        <v>69</v>
      </c>
      <c r="C63">
        <v>6</v>
      </c>
      <c r="D63" t="s">
        <v>82</v>
      </c>
      <c r="E63" t="s">
        <v>84</v>
      </c>
      <c r="F63" t="s">
        <v>72</v>
      </c>
      <c r="G63">
        <v>1.8505145641452601</v>
      </c>
      <c r="H63">
        <v>2E+20</v>
      </c>
      <c r="I63">
        <v>0</v>
      </c>
      <c r="J63">
        <v>4</v>
      </c>
      <c r="K63">
        <v>2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0.56541157258789199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2.4594543622635499</v>
      </c>
      <c r="U63" s="5">
        <f>IF((ContinuousStatsTable[[#This Row],[RepsRequested]]&gt;1),ContinuousStatsTable[[#This Row],[HalfWidth]],ContinuousStatsTable[[#This Row],[BatchMeansHalfWidth]])</f>
        <v>0.1771627845153336</v>
      </c>
    </row>
    <row r="64" spans="1:21" x14ac:dyDescent="0.35">
      <c r="A64" t="s">
        <v>66</v>
      </c>
      <c r="B64" t="s">
        <v>69</v>
      </c>
      <c r="C64">
        <v>6</v>
      </c>
      <c r="D64" t="s">
        <v>91</v>
      </c>
      <c r="E64" t="s">
        <v>87</v>
      </c>
      <c r="F64" t="s">
        <v>88</v>
      </c>
      <c r="G64">
        <v>0.97021575387435199</v>
      </c>
      <c r="H64">
        <v>2E+20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0.78808827046509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0.99381255473469199</v>
      </c>
      <c r="U64" s="5">
        <f>IF((ContinuousStatsTable[[#This Row],[RepsRequested]]&gt;1),ContinuousStatsTable[[#This Row],[HalfWidth]],ContinuousStatsTable[[#This Row],[BatchMeansHalfWidth]])</f>
        <v>1.6708231879382019E-2</v>
      </c>
    </row>
    <row r="65" spans="1:21" x14ac:dyDescent="0.35">
      <c r="A65" t="s">
        <v>66</v>
      </c>
      <c r="B65" t="s">
        <v>69</v>
      </c>
      <c r="C65">
        <v>6</v>
      </c>
      <c r="D65" t="s">
        <v>91</v>
      </c>
      <c r="E65" t="s">
        <v>89</v>
      </c>
      <c r="F65" t="s">
        <v>88</v>
      </c>
      <c r="G65">
        <v>2.9106472616230601</v>
      </c>
      <c r="H65">
        <v>2E+20</v>
      </c>
      <c r="I65">
        <v>0</v>
      </c>
      <c r="J65">
        <v>3</v>
      </c>
      <c r="K65">
        <v>3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2.36426481139527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2.9814376642040799</v>
      </c>
      <c r="U65" s="5">
        <f>IF((ContinuousStatsTable[[#This Row],[RepsRequested]]&gt;1),ContinuousStatsTable[[#This Row],[HalfWidth]],ContinuousStatsTable[[#This Row],[BatchMeansHalfWidth]])</f>
        <v>5.0124695638146144E-2</v>
      </c>
    </row>
    <row r="66" spans="1:21" x14ac:dyDescent="0.35">
      <c r="A66" t="s">
        <v>66</v>
      </c>
      <c r="B66" t="s">
        <v>69</v>
      </c>
      <c r="C66">
        <v>6</v>
      </c>
      <c r="D66" t="s">
        <v>91</v>
      </c>
      <c r="E66" t="s">
        <v>90</v>
      </c>
      <c r="F66" t="s">
        <v>88</v>
      </c>
      <c r="G66">
        <v>3</v>
      </c>
      <c r="H66">
        <v>2E+20</v>
      </c>
      <c r="I66">
        <v>3</v>
      </c>
      <c r="J66">
        <v>3</v>
      </c>
      <c r="K66">
        <v>3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3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3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3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69</v>
      </c>
      <c r="C67">
        <v>6</v>
      </c>
      <c r="D67" t="s">
        <v>83</v>
      </c>
      <c r="E67" t="s">
        <v>84</v>
      </c>
      <c r="F67" t="s">
        <v>72</v>
      </c>
      <c r="G67">
        <v>1.5863063374039501</v>
      </c>
      <c r="H67">
        <v>2E+20</v>
      </c>
      <c r="I67">
        <v>0</v>
      </c>
      <c r="J67">
        <v>5</v>
      </c>
      <c r="K67">
        <v>3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0.52883875458038598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2.4798758861082799</v>
      </c>
      <c r="U67" s="5">
        <f>IF((ContinuousStatsTable[[#This Row],[RepsRequested]]&gt;1),ContinuousStatsTable[[#This Row],[HalfWidth]],ContinuousStatsTable[[#This Row],[BatchMeansHalfWidth]])</f>
        <v>0.18745365002732756</v>
      </c>
    </row>
    <row r="68" spans="1:21" x14ac:dyDescent="0.35">
      <c r="A68" t="s">
        <v>66</v>
      </c>
      <c r="B68" t="s">
        <v>69</v>
      </c>
      <c r="C68">
        <v>7</v>
      </c>
      <c r="D68" t="s">
        <v>70</v>
      </c>
      <c r="E68" t="s">
        <v>84</v>
      </c>
      <c r="F68" t="s">
        <v>72</v>
      </c>
      <c r="G68">
        <v>0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35">
      <c r="A69" t="s">
        <v>66</v>
      </c>
      <c r="B69" t="s">
        <v>69</v>
      </c>
      <c r="C69">
        <v>7</v>
      </c>
      <c r="D69" t="s">
        <v>73</v>
      </c>
      <c r="E69" t="s">
        <v>84</v>
      </c>
      <c r="F69" t="s">
        <v>72</v>
      </c>
      <c r="G69">
        <v>5.6650794018698901E-2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9.63804241981207</v>
      </c>
      <c r="U69" s="5">
        <f>IF((ContinuousStatsTable[[#This Row],[RepsRequested]]&gt;1),ContinuousStatsTable[[#This Row],[HalfWidth]],ContinuousStatsTable[[#This Row],[BatchMeansHalfWidth]])</f>
        <v>0.71632840390540931</v>
      </c>
    </row>
    <row r="70" spans="1:21" x14ac:dyDescent="0.35">
      <c r="A70" t="s">
        <v>66</v>
      </c>
      <c r="B70" t="s">
        <v>69</v>
      </c>
      <c r="C70">
        <v>7</v>
      </c>
      <c r="D70" t="s">
        <v>74</v>
      </c>
      <c r="E70" t="s">
        <v>85</v>
      </c>
      <c r="F70" t="s">
        <v>76</v>
      </c>
      <c r="G70">
        <v>12.193772634463601</v>
      </c>
      <c r="H70">
        <v>2E+20</v>
      </c>
      <c r="I70">
        <v>0</v>
      </c>
      <c r="J70">
        <v>23</v>
      </c>
      <c r="K70">
        <v>18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10.3625915235886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38.218354981839397</v>
      </c>
      <c r="U70" s="5">
        <f>IF((ContinuousStatsTable[[#This Row],[RepsRequested]]&gt;1),ContinuousStatsTable[[#This Row],[HalfWidth]],ContinuousStatsTable[[#This Row],[BatchMeansHalfWidth]])</f>
        <v>2.1690587669162626</v>
      </c>
    </row>
    <row r="71" spans="1:21" x14ac:dyDescent="0.35">
      <c r="A71" t="s">
        <v>66</v>
      </c>
      <c r="B71" t="s">
        <v>69</v>
      </c>
      <c r="C71">
        <v>7</v>
      </c>
      <c r="D71" t="s">
        <v>86</v>
      </c>
      <c r="E71" t="s">
        <v>87</v>
      </c>
      <c r="F71" t="s">
        <v>88</v>
      </c>
      <c r="G71">
        <v>0.60402355232131</v>
      </c>
      <c r="H71">
        <v>2E+20</v>
      </c>
      <c r="I71">
        <v>0</v>
      </c>
      <c r="J71">
        <v>1</v>
      </c>
      <c r="K71">
        <v>0.9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0.51812957617942801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0.95110098058068004</v>
      </c>
      <c r="U71" s="5">
        <f>IF((ContinuousStatsTable[[#This Row],[RepsRequested]]&gt;1),ContinuousStatsTable[[#This Row],[HalfWidth]],ContinuousStatsTable[[#This Row],[BatchMeansHalfWidth]])</f>
        <v>4.3613366354194112E-2</v>
      </c>
    </row>
    <row r="72" spans="1:21" x14ac:dyDescent="0.35">
      <c r="A72" t="s">
        <v>66</v>
      </c>
      <c r="B72" t="s">
        <v>69</v>
      </c>
      <c r="C72">
        <v>7</v>
      </c>
      <c r="D72" t="s">
        <v>86</v>
      </c>
      <c r="E72" t="s">
        <v>89</v>
      </c>
      <c r="F72" t="s">
        <v>88</v>
      </c>
      <c r="G72">
        <v>6.0402355232131004</v>
      </c>
      <c r="H72">
        <v>2E+20</v>
      </c>
      <c r="I72">
        <v>0</v>
      </c>
      <c r="J72">
        <v>10</v>
      </c>
      <c r="K72">
        <v>9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5.1812957617942796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9.5110098058068004</v>
      </c>
      <c r="U72" s="5">
        <f>IF((ContinuousStatsTable[[#This Row],[RepsRequested]]&gt;1),ContinuousStatsTable[[#This Row],[HalfWidth]],ContinuousStatsTable[[#This Row],[BatchMeansHalfWidth]])</f>
        <v>0.43613366354194549</v>
      </c>
    </row>
    <row r="73" spans="1:21" x14ac:dyDescent="0.35">
      <c r="A73" t="s">
        <v>66</v>
      </c>
      <c r="B73" t="s">
        <v>69</v>
      </c>
      <c r="C73">
        <v>7</v>
      </c>
      <c r="D73" t="s">
        <v>86</v>
      </c>
      <c r="E73" t="s">
        <v>90</v>
      </c>
      <c r="F73" t="s">
        <v>88</v>
      </c>
      <c r="G73">
        <v>10</v>
      </c>
      <c r="H73">
        <v>2E+20</v>
      </c>
      <c r="I73">
        <v>10</v>
      </c>
      <c r="J73">
        <v>10</v>
      </c>
      <c r="K73">
        <v>10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10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66</v>
      </c>
      <c r="B74" t="s">
        <v>69</v>
      </c>
      <c r="C74">
        <v>7</v>
      </c>
      <c r="D74" t="s">
        <v>82</v>
      </c>
      <c r="E74" t="s">
        <v>84</v>
      </c>
      <c r="F74" t="s">
        <v>72</v>
      </c>
      <c r="G74">
        <v>0.95939329820991304</v>
      </c>
      <c r="H74">
        <v>2E+20</v>
      </c>
      <c r="I74">
        <v>0</v>
      </c>
      <c r="J74">
        <v>4</v>
      </c>
      <c r="K74">
        <v>2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0.56541157258789199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2.4594543622635499</v>
      </c>
      <c r="U74" s="5">
        <f>IF((ContinuousStatsTable[[#This Row],[RepsRequested]]&gt;1),ContinuousStatsTable[[#This Row],[HalfWidth]],ContinuousStatsTable[[#This Row],[BatchMeansHalfWidth]])</f>
        <v>0.1771627845153336</v>
      </c>
    </row>
    <row r="75" spans="1:21" x14ac:dyDescent="0.35">
      <c r="A75" t="s">
        <v>66</v>
      </c>
      <c r="B75" t="s">
        <v>69</v>
      </c>
      <c r="C75">
        <v>7</v>
      </c>
      <c r="D75" t="s">
        <v>91</v>
      </c>
      <c r="E75" t="s">
        <v>87</v>
      </c>
      <c r="F75" t="s">
        <v>88</v>
      </c>
      <c r="G75">
        <v>0.89085833203617903</v>
      </c>
      <c r="H75">
        <v>2E+20</v>
      </c>
      <c r="I75">
        <v>0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0.78808827046509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0.99381255473469199</v>
      </c>
      <c r="U75" s="5">
        <f>IF((ContinuousStatsTable[[#This Row],[RepsRequested]]&gt;1),ContinuousStatsTable[[#This Row],[HalfWidth]],ContinuousStatsTable[[#This Row],[BatchMeansHalfWidth]])</f>
        <v>1.6708231879382019E-2</v>
      </c>
    </row>
    <row r="76" spans="1:21" x14ac:dyDescent="0.35">
      <c r="A76" t="s">
        <v>66</v>
      </c>
      <c r="B76" t="s">
        <v>69</v>
      </c>
      <c r="C76">
        <v>7</v>
      </c>
      <c r="D76" t="s">
        <v>91</v>
      </c>
      <c r="E76" t="s">
        <v>89</v>
      </c>
      <c r="F76" t="s">
        <v>88</v>
      </c>
      <c r="G76">
        <v>2.6725749961085401</v>
      </c>
      <c r="H76">
        <v>2E+20</v>
      </c>
      <c r="I76">
        <v>0</v>
      </c>
      <c r="J76">
        <v>3</v>
      </c>
      <c r="K76">
        <v>3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2.36426481139527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2.9814376642040799</v>
      </c>
      <c r="U76" s="5">
        <f>IF((ContinuousStatsTable[[#This Row],[RepsRequested]]&gt;1),ContinuousStatsTable[[#This Row],[HalfWidth]],ContinuousStatsTable[[#This Row],[BatchMeansHalfWidth]])</f>
        <v>5.0124695638146144E-2</v>
      </c>
    </row>
    <row r="77" spans="1:21" x14ac:dyDescent="0.35">
      <c r="A77" t="s">
        <v>66</v>
      </c>
      <c r="B77" t="s">
        <v>69</v>
      </c>
      <c r="C77">
        <v>7</v>
      </c>
      <c r="D77" t="s">
        <v>91</v>
      </c>
      <c r="E77" t="s">
        <v>90</v>
      </c>
      <c r="F77" t="s">
        <v>88</v>
      </c>
      <c r="G77">
        <v>3</v>
      </c>
      <c r="H77">
        <v>2E+20</v>
      </c>
      <c r="I77">
        <v>3</v>
      </c>
      <c r="J77">
        <v>3</v>
      </c>
      <c r="K77">
        <v>3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3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3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3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35">
      <c r="A78" t="s">
        <v>66</v>
      </c>
      <c r="B78" t="s">
        <v>69</v>
      </c>
      <c r="C78">
        <v>7</v>
      </c>
      <c r="D78" t="s">
        <v>83</v>
      </c>
      <c r="E78" t="s">
        <v>84</v>
      </c>
      <c r="F78" t="s">
        <v>72</v>
      </c>
      <c r="G78">
        <v>0.85276210830555199</v>
      </c>
      <c r="H78">
        <v>2E+20</v>
      </c>
      <c r="I78">
        <v>0</v>
      </c>
      <c r="J78">
        <v>5</v>
      </c>
      <c r="K78">
        <v>1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0.52883875458038598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2.4798758861082799</v>
      </c>
      <c r="U78" s="5">
        <f>IF((ContinuousStatsTable[[#This Row],[RepsRequested]]&gt;1),ContinuousStatsTable[[#This Row],[HalfWidth]],ContinuousStatsTable[[#This Row],[BatchMeansHalfWidth]])</f>
        <v>0.18745365002732756</v>
      </c>
    </row>
    <row r="79" spans="1:21" x14ac:dyDescent="0.35">
      <c r="A79" t="s">
        <v>66</v>
      </c>
      <c r="B79" t="s">
        <v>69</v>
      </c>
      <c r="C79">
        <v>8</v>
      </c>
      <c r="D79" t="s">
        <v>70</v>
      </c>
      <c r="E79" t="s">
        <v>84</v>
      </c>
      <c r="F79" t="s">
        <v>72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66</v>
      </c>
      <c r="B80" t="s">
        <v>69</v>
      </c>
      <c r="C80">
        <v>8</v>
      </c>
      <c r="D80" t="s">
        <v>73</v>
      </c>
      <c r="E80" t="s">
        <v>84</v>
      </c>
      <c r="F80" t="s">
        <v>72</v>
      </c>
      <c r="G80">
        <v>0.245672778369005</v>
      </c>
      <c r="H80">
        <v>2E+20</v>
      </c>
      <c r="I80">
        <v>0</v>
      </c>
      <c r="J80">
        <v>4</v>
      </c>
      <c r="K80">
        <v>4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9.63804241981207</v>
      </c>
      <c r="U80" s="5">
        <f>IF((ContinuousStatsTable[[#This Row],[RepsRequested]]&gt;1),ContinuousStatsTable[[#This Row],[HalfWidth]],ContinuousStatsTable[[#This Row],[BatchMeansHalfWidth]])</f>
        <v>0.71632840390540931</v>
      </c>
    </row>
    <row r="81" spans="1:21" x14ac:dyDescent="0.35">
      <c r="A81" t="s">
        <v>66</v>
      </c>
      <c r="B81" t="s">
        <v>69</v>
      </c>
      <c r="C81">
        <v>8</v>
      </c>
      <c r="D81" t="s">
        <v>74</v>
      </c>
      <c r="E81" t="s">
        <v>85</v>
      </c>
      <c r="F81" t="s">
        <v>76</v>
      </c>
      <c r="G81">
        <v>15.6076463366204</v>
      </c>
      <c r="H81">
        <v>2E+20</v>
      </c>
      <c r="I81">
        <v>0</v>
      </c>
      <c r="J81">
        <v>28</v>
      </c>
      <c r="K81">
        <v>28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10.3625915235886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38.218354981839397</v>
      </c>
      <c r="U81" s="5">
        <f>IF((ContinuousStatsTable[[#This Row],[RepsRequested]]&gt;1),ContinuousStatsTable[[#This Row],[HalfWidth]],ContinuousStatsTable[[#This Row],[BatchMeansHalfWidth]])</f>
        <v>2.1690587669162626</v>
      </c>
    </row>
    <row r="82" spans="1:21" x14ac:dyDescent="0.35">
      <c r="A82" t="s">
        <v>66</v>
      </c>
      <c r="B82" t="s">
        <v>69</v>
      </c>
      <c r="C82">
        <v>8</v>
      </c>
      <c r="D82" t="s">
        <v>86</v>
      </c>
      <c r="E82" t="s">
        <v>87</v>
      </c>
      <c r="F82" t="s">
        <v>88</v>
      </c>
      <c r="G82">
        <v>0.75581503899411795</v>
      </c>
      <c r="H82">
        <v>2E+20</v>
      </c>
      <c r="I82">
        <v>0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0.51812957617942801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0.95110098058068004</v>
      </c>
      <c r="U82" s="5">
        <f>IF((ContinuousStatsTable[[#This Row],[RepsRequested]]&gt;1),ContinuousStatsTable[[#This Row],[HalfWidth]],ContinuousStatsTable[[#This Row],[BatchMeansHalfWidth]])</f>
        <v>4.3613366354194112E-2</v>
      </c>
    </row>
    <row r="83" spans="1:21" x14ac:dyDescent="0.35">
      <c r="A83" t="s">
        <v>66</v>
      </c>
      <c r="B83" t="s">
        <v>69</v>
      </c>
      <c r="C83">
        <v>8</v>
      </c>
      <c r="D83" t="s">
        <v>86</v>
      </c>
      <c r="E83" t="s">
        <v>89</v>
      </c>
      <c r="F83" t="s">
        <v>88</v>
      </c>
      <c r="G83">
        <v>7.5581503899411802</v>
      </c>
      <c r="H83">
        <v>2E+20</v>
      </c>
      <c r="I83">
        <v>0</v>
      </c>
      <c r="J83">
        <v>10</v>
      </c>
      <c r="K83">
        <v>10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5.1812957617942796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9.5110098058068004</v>
      </c>
      <c r="U83" s="5">
        <f>IF((ContinuousStatsTable[[#This Row],[RepsRequested]]&gt;1),ContinuousStatsTable[[#This Row],[HalfWidth]],ContinuousStatsTable[[#This Row],[BatchMeansHalfWidth]])</f>
        <v>0.43613366354194549</v>
      </c>
    </row>
    <row r="84" spans="1:21" x14ac:dyDescent="0.35">
      <c r="A84" t="s">
        <v>66</v>
      </c>
      <c r="B84" t="s">
        <v>69</v>
      </c>
      <c r="C84">
        <v>8</v>
      </c>
      <c r="D84" t="s">
        <v>86</v>
      </c>
      <c r="E84" t="s">
        <v>90</v>
      </c>
      <c r="F84" t="s">
        <v>88</v>
      </c>
      <c r="G84">
        <v>10</v>
      </c>
      <c r="H84">
        <v>2E+20</v>
      </c>
      <c r="I84">
        <v>10</v>
      </c>
      <c r="J84">
        <v>10</v>
      </c>
      <c r="K84">
        <v>10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66</v>
      </c>
      <c r="B85" t="s">
        <v>69</v>
      </c>
      <c r="C85">
        <v>8</v>
      </c>
      <c r="D85" t="s">
        <v>82</v>
      </c>
      <c r="E85" t="s">
        <v>84</v>
      </c>
      <c r="F85" t="s">
        <v>72</v>
      </c>
      <c r="G85">
        <v>1.6070402431177599</v>
      </c>
      <c r="H85">
        <v>2E+20</v>
      </c>
      <c r="I85">
        <v>0</v>
      </c>
      <c r="J85">
        <v>4</v>
      </c>
      <c r="K85">
        <v>2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0.56541157258789199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2.4594543622635499</v>
      </c>
      <c r="U85" s="5">
        <f>IF((ContinuousStatsTable[[#This Row],[RepsRequested]]&gt;1),ContinuousStatsTable[[#This Row],[HalfWidth]],ContinuousStatsTable[[#This Row],[BatchMeansHalfWidth]])</f>
        <v>0.1771627845153336</v>
      </c>
    </row>
    <row r="86" spans="1:21" x14ac:dyDescent="0.35">
      <c r="A86" t="s">
        <v>66</v>
      </c>
      <c r="B86" t="s">
        <v>69</v>
      </c>
      <c r="C86">
        <v>8</v>
      </c>
      <c r="D86" t="s">
        <v>91</v>
      </c>
      <c r="E86" t="s">
        <v>87</v>
      </c>
      <c r="F86" t="s">
        <v>88</v>
      </c>
      <c r="G86">
        <v>0.968220727707787</v>
      </c>
      <c r="H86">
        <v>2E+20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0.78808827046509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0.99381255473469199</v>
      </c>
      <c r="U86" s="5">
        <f>IF((ContinuousStatsTable[[#This Row],[RepsRequested]]&gt;1),ContinuousStatsTable[[#This Row],[HalfWidth]],ContinuousStatsTable[[#This Row],[BatchMeansHalfWidth]])</f>
        <v>1.6708231879382019E-2</v>
      </c>
    </row>
    <row r="87" spans="1:21" x14ac:dyDescent="0.35">
      <c r="A87" t="s">
        <v>66</v>
      </c>
      <c r="B87" t="s">
        <v>69</v>
      </c>
      <c r="C87">
        <v>8</v>
      </c>
      <c r="D87" t="s">
        <v>91</v>
      </c>
      <c r="E87" t="s">
        <v>89</v>
      </c>
      <c r="F87" t="s">
        <v>88</v>
      </c>
      <c r="G87">
        <v>2.9046621831233601</v>
      </c>
      <c r="H87">
        <v>2E+20</v>
      </c>
      <c r="I87">
        <v>0</v>
      </c>
      <c r="J87">
        <v>3</v>
      </c>
      <c r="K87">
        <v>3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2.36426481139527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2.9814376642040799</v>
      </c>
      <c r="U87" s="5">
        <f>IF((ContinuousStatsTable[[#This Row],[RepsRequested]]&gt;1),ContinuousStatsTable[[#This Row],[HalfWidth]],ContinuousStatsTable[[#This Row],[BatchMeansHalfWidth]])</f>
        <v>5.0124695638146144E-2</v>
      </c>
    </row>
    <row r="88" spans="1:21" x14ac:dyDescent="0.35">
      <c r="A88" t="s">
        <v>66</v>
      </c>
      <c r="B88" t="s">
        <v>69</v>
      </c>
      <c r="C88">
        <v>8</v>
      </c>
      <c r="D88" t="s">
        <v>91</v>
      </c>
      <c r="E88" t="s">
        <v>90</v>
      </c>
      <c r="F88" t="s">
        <v>88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35">
      <c r="A89" t="s">
        <v>66</v>
      </c>
      <c r="B89" t="s">
        <v>69</v>
      </c>
      <c r="C89">
        <v>8</v>
      </c>
      <c r="D89" t="s">
        <v>83</v>
      </c>
      <c r="E89" t="s">
        <v>84</v>
      </c>
      <c r="F89" t="s">
        <v>72</v>
      </c>
      <c r="G89">
        <v>1.28230534415847</v>
      </c>
      <c r="H89">
        <v>2E+20</v>
      </c>
      <c r="I89">
        <v>0</v>
      </c>
      <c r="J89">
        <v>4</v>
      </c>
      <c r="K89">
        <v>2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0.52883875458038598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2.4798758861082799</v>
      </c>
      <c r="U89" s="5">
        <f>IF((ContinuousStatsTable[[#This Row],[RepsRequested]]&gt;1),ContinuousStatsTable[[#This Row],[HalfWidth]],ContinuousStatsTable[[#This Row],[BatchMeansHalfWidth]])</f>
        <v>0.18745365002732756</v>
      </c>
    </row>
    <row r="90" spans="1:21" x14ac:dyDescent="0.35">
      <c r="A90" t="s">
        <v>66</v>
      </c>
      <c r="B90" t="s">
        <v>69</v>
      </c>
      <c r="C90">
        <v>9</v>
      </c>
      <c r="D90" t="s">
        <v>70</v>
      </c>
      <c r="E90" t="s">
        <v>84</v>
      </c>
      <c r="F90" t="s">
        <v>72</v>
      </c>
      <c r="G90">
        <v>0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66</v>
      </c>
      <c r="B91" t="s">
        <v>69</v>
      </c>
      <c r="C91">
        <v>9</v>
      </c>
      <c r="D91" t="s">
        <v>73</v>
      </c>
      <c r="E91" t="s">
        <v>84</v>
      </c>
      <c r="F91" t="s">
        <v>72</v>
      </c>
      <c r="G91">
        <v>3.4244428157418199</v>
      </c>
      <c r="H91">
        <v>2E+20</v>
      </c>
      <c r="I91">
        <v>0</v>
      </c>
      <c r="J91">
        <v>9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9.63804241981207</v>
      </c>
      <c r="U91" s="5">
        <f>IF((ContinuousStatsTable[[#This Row],[RepsRequested]]&gt;1),ContinuousStatsTable[[#This Row],[HalfWidth]],ContinuousStatsTable[[#This Row],[BatchMeansHalfWidth]])</f>
        <v>0.71632840390540931</v>
      </c>
    </row>
    <row r="92" spans="1:21" x14ac:dyDescent="0.35">
      <c r="A92" t="s">
        <v>66</v>
      </c>
      <c r="B92" t="s">
        <v>69</v>
      </c>
      <c r="C92">
        <v>9</v>
      </c>
      <c r="D92" t="s">
        <v>74</v>
      </c>
      <c r="E92" t="s">
        <v>85</v>
      </c>
      <c r="F92" t="s">
        <v>76</v>
      </c>
      <c r="G92">
        <v>25.204044005291401</v>
      </c>
      <c r="H92">
        <v>2E+20</v>
      </c>
      <c r="I92">
        <v>0</v>
      </c>
      <c r="J92">
        <v>38</v>
      </c>
      <c r="K92">
        <v>22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10.3625915235886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38.218354981839397</v>
      </c>
      <c r="U92" s="5">
        <f>IF((ContinuousStatsTable[[#This Row],[RepsRequested]]&gt;1),ContinuousStatsTable[[#This Row],[HalfWidth]],ContinuousStatsTable[[#This Row],[BatchMeansHalfWidth]])</f>
        <v>2.1690587669162626</v>
      </c>
    </row>
    <row r="93" spans="1:21" x14ac:dyDescent="0.35">
      <c r="A93" t="s">
        <v>66</v>
      </c>
      <c r="B93" t="s">
        <v>69</v>
      </c>
      <c r="C93">
        <v>9</v>
      </c>
      <c r="D93" t="s">
        <v>86</v>
      </c>
      <c r="E93" t="s">
        <v>87</v>
      </c>
      <c r="F93" t="s">
        <v>88</v>
      </c>
      <c r="G93">
        <v>0.91775791869039003</v>
      </c>
      <c r="H93">
        <v>2E+20</v>
      </c>
      <c r="I93">
        <v>0</v>
      </c>
      <c r="J93">
        <v>1</v>
      </c>
      <c r="K93">
        <v>1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0.51812957617942801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0.95110098058068004</v>
      </c>
      <c r="U93" s="5">
        <f>IF((ContinuousStatsTable[[#This Row],[RepsRequested]]&gt;1),ContinuousStatsTable[[#This Row],[HalfWidth]],ContinuousStatsTable[[#This Row],[BatchMeansHalfWidth]])</f>
        <v>4.3613366354194112E-2</v>
      </c>
    </row>
    <row r="94" spans="1:21" x14ac:dyDescent="0.35">
      <c r="A94" t="s">
        <v>66</v>
      </c>
      <c r="B94" t="s">
        <v>69</v>
      </c>
      <c r="C94">
        <v>9</v>
      </c>
      <c r="D94" t="s">
        <v>86</v>
      </c>
      <c r="E94" t="s">
        <v>89</v>
      </c>
      <c r="F94" t="s">
        <v>88</v>
      </c>
      <c r="G94">
        <v>9.1775791869039001</v>
      </c>
      <c r="H94">
        <v>2E+20</v>
      </c>
      <c r="I94">
        <v>0</v>
      </c>
      <c r="J94">
        <v>10</v>
      </c>
      <c r="K94">
        <v>10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5.1812957617942796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9.5110098058068004</v>
      </c>
      <c r="U94" s="5">
        <f>IF((ContinuousStatsTable[[#This Row],[RepsRequested]]&gt;1),ContinuousStatsTable[[#This Row],[HalfWidth]],ContinuousStatsTable[[#This Row],[BatchMeansHalfWidth]])</f>
        <v>0.43613366354194549</v>
      </c>
    </row>
    <row r="95" spans="1:21" x14ac:dyDescent="0.35">
      <c r="A95" t="s">
        <v>66</v>
      </c>
      <c r="B95" t="s">
        <v>69</v>
      </c>
      <c r="C95">
        <v>9</v>
      </c>
      <c r="D95" t="s">
        <v>86</v>
      </c>
      <c r="E95" t="s">
        <v>90</v>
      </c>
      <c r="F95" t="s">
        <v>88</v>
      </c>
      <c r="G95">
        <v>10</v>
      </c>
      <c r="H95">
        <v>2E+20</v>
      </c>
      <c r="I95">
        <v>10</v>
      </c>
      <c r="J95">
        <v>10</v>
      </c>
      <c r="K95">
        <v>10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10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10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10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35">
      <c r="A96" t="s">
        <v>66</v>
      </c>
      <c r="B96" t="s">
        <v>69</v>
      </c>
      <c r="C96">
        <v>9</v>
      </c>
      <c r="D96" t="s">
        <v>82</v>
      </c>
      <c r="E96" t="s">
        <v>84</v>
      </c>
      <c r="F96" t="s">
        <v>72</v>
      </c>
      <c r="G96">
        <v>2.2770049928238998</v>
      </c>
      <c r="H96">
        <v>2E+20</v>
      </c>
      <c r="I96">
        <v>0</v>
      </c>
      <c r="J96">
        <v>4</v>
      </c>
      <c r="K96">
        <v>3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0.56541157258789199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2.4594543622635499</v>
      </c>
      <c r="U96" s="5">
        <f>IF((ContinuousStatsTable[[#This Row],[RepsRequested]]&gt;1),ContinuousStatsTable[[#This Row],[HalfWidth]],ContinuousStatsTable[[#This Row],[BatchMeansHalfWidth]])</f>
        <v>0.1771627845153336</v>
      </c>
    </row>
    <row r="97" spans="1:21" x14ac:dyDescent="0.35">
      <c r="A97" t="s">
        <v>66</v>
      </c>
      <c r="B97" t="s">
        <v>69</v>
      </c>
      <c r="C97">
        <v>9</v>
      </c>
      <c r="D97" t="s">
        <v>91</v>
      </c>
      <c r="E97" t="s">
        <v>87</v>
      </c>
      <c r="F97" t="s">
        <v>88</v>
      </c>
      <c r="G97">
        <v>0.95876078410296905</v>
      </c>
      <c r="H97">
        <v>2E+20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0.78808827046509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0.99381255473469199</v>
      </c>
      <c r="U97" s="5">
        <f>IF((ContinuousStatsTable[[#This Row],[RepsRequested]]&gt;1),ContinuousStatsTable[[#This Row],[HalfWidth]],ContinuousStatsTable[[#This Row],[BatchMeansHalfWidth]])</f>
        <v>1.6708231879382019E-2</v>
      </c>
    </row>
    <row r="98" spans="1:21" x14ac:dyDescent="0.35">
      <c r="A98" t="s">
        <v>66</v>
      </c>
      <c r="B98" t="s">
        <v>69</v>
      </c>
      <c r="C98">
        <v>9</v>
      </c>
      <c r="D98" t="s">
        <v>91</v>
      </c>
      <c r="E98" t="s">
        <v>89</v>
      </c>
      <c r="F98" t="s">
        <v>88</v>
      </c>
      <c r="G98">
        <v>2.8762823523089098</v>
      </c>
      <c r="H98">
        <v>2E+20</v>
      </c>
      <c r="I98">
        <v>0</v>
      </c>
      <c r="J98">
        <v>3</v>
      </c>
      <c r="K98">
        <v>3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2.36426481139527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2.9814376642040799</v>
      </c>
      <c r="U98" s="5">
        <f>IF((ContinuousStatsTable[[#This Row],[RepsRequested]]&gt;1),ContinuousStatsTable[[#This Row],[HalfWidth]],ContinuousStatsTable[[#This Row],[BatchMeansHalfWidth]])</f>
        <v>5.0124695638146144E-2</v>
      </c>
    </row>
    <row r="99" spans="1:21" x14ac:dyDescent="0.35">
      <c r="A99" t="s">
        <v>66</v>
      </c>
      <c r="B99" t="s">
        <v>69</v>
      </c>
      <c r="C99">
        <v>9</v>
      </c>
      <c r="D99" t="s">
        <v>91</v>
      </c>
      <c r="E99" t="s">
        <v>90</v>
      </c>
      <c r="F99" t="s">
        <v>88</v>
      </c>
      <c r="G99">
        <v>3</v>
      </c>
      <c r="H99">
        <v>2E+20</v>
      </c>
      <c r="I99">
        <v>3</v>
      </c>
      <c r="J99">
        <v>3</v>
      </c>
      <c r="K99">
        <v>3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3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3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3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66</v>
      </c>
      <c r="B100" t="s">
        <v>69</v>
      </c>
      <c r="C100">
        <v>9</v>
      </c>
      <c r="D100" t="s">
        <v>83</v>
      </c>
      <c r="E100" t="s">
        <v>84</v>
      </c>
      <c r="F100" t="s">
        <v>72</v>
      </c>
      <c r="G100">
        <v>2.2646699220569499</v>
      </c>
      <c r="H100">
        <v>2E+20</v>
      </c>
      <c r="I100">
        <v>0</v>
      </c>
      <c r="J100">
        <v>4</v>
      </c>
      <c r="K100">
        <v>3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0.52883875458038598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2.4798758861082799</v>
      </c>
      <c r="U100" s="5">
        <f>IF((ContinuousStatsTable[[#This Row],[RepsRequested]]&gt;1),ContinuousStatsTable[[#This Row],[HalfWidth]],ContinuousStatsTable[[#This Row],[BatchMeansHalfWidth]])</f>
        <v>0.18745365002732756</v>
      </c>
    </row>
    <row r="101" spans="1:21" x14ac:dyDescent="0.35">
      <c r="A101" t="s">
        <v>66</v>
      </c>
      <c r="B101" t="s">
        <v>69</v>
      </c>
      <c r="C101">
        <v>10</v>
      </c>
      <c r="D101" t="s">
        <v>70</v>
      </c>
      <c r="E101" t="s">
        <v>84</v>
      </c>
      <c r="F101" t="s">
        <v>72</v>
      </c>
      <c r="G101">
        <v>0</v>
      </c>
      <c r="H101">
        <v>2E+20</v>
      </c>
      <c r="I101">
        <v>0</v>
      </c>
      <c r="J101">
        <v>1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69</v>
      </c>
      <c r="C102">
        <v>10</v>
      </c>
      <c r="D102" t="s">
        <v>73</v>
      </c>
      <c r="E102" t="s">
        <v>84</v>
      </c>
      <c r="F102" t="s">
        <v>72</v>
      </c>
      <c r="G102">
        <v>1.86811899186068</v>
      </c>
      <c r="H102">
        <v>2E+20</v>
      </c>
      <c r="I102">
        <v>0</v>
      </c>
      <c r="J102">
        <v>11</v>
      </c>
      <c r="K102">
        <v>11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9.63804241981207</v>
      </c>
      <c r="U102" s="5">
        <f>IF((ContinuousStatsTable[[#This Row],[RepsRequested]]&gt;1),ContinuousStatsTable[[#This Row],[HalfWidth]],ContinuousStatsTable[[#This Row],[BatchMeansHalfWidth]])</f>
        <v>0.71632840390540931</v>
      </c>
    </row>
    <row r="103" spans="1:21" x14ac:dyDescent="0.35">
      <c r="A103" t="s">
        <v>66</v>
      </c>
      <c r="B103" t="s">
        <v>69</v>
      </c>
      <c r="C103">
        <v>10</v>
      </c>
      <c r="D103" t="s">
        <v>74</v>
      </c>
      <c r="E103" t="s">
        <v>85</v>
      </c>
      <c r="F103" t="s">
        <v>76</v>
      </c>
      <c r="G103">
        <v>20.100148558503399</v>
      </c>
      <c r="H103">
        <v>2E+20</v>
      </c>
      <c r="I103">
        <v>0</v>
      </c>
      <c r="J103">
        <v>42</v>
      </c>
      <c r="K103">
        <v>42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10.3625915235886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38.218354981839397</v>
      </c>
      <c r="U103" s="5">
        <f>IF((ContinuousStatsTable[[#This Row],[RepsRequested]]&gt;1),ContinuousStatsTable[[#This Row],[HalfWidth]],ContinuousStatsTable[[#This Row],[BatchMeansHalfWidth]])</f>
        <v>2.1690587669162626</v>
      </c>
    </row>
    <row r="104" spans="1:21" x14ac:dyDescent="0.35">
      <c r="A104" t="s">
        <v>66</v>
      </c>
      <c r="B104" t="s">
        <v>69</v>
      </c>
      <c r="C104">
        <v>10</v>
      </c>
      <c r="D104" t="s">
        <v>86</v>
      </c>
      <c r="E104" t="s">
        <v>87</v>
      </c>
      <c r="F104" t="s">
        <v>88</v>
      </c>
      <c r="G104">
        <v>0.81819552873910195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0.51812957617942801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0.95110098058068004</v>
      </c>
      <c r="U104" s="5">
        <f>IF((ContinuousStatsTable[[#This Row],[RepsRequested]]&gt;1),ContinuousStatsTable[[#This Row],[HalfWidth]],ContinuousStatsTable[[#This Row],[BatchMeansHalfWidth]])</f>
        <v>4.3613366354194112E-2</v>
      </c>
    </row>
    <row r="105" spans="1:21" x14ac:dyDescent="0.35">
      <c r="A105" t="s">
        <v>66</v>
      </c>
      <c r="B105" t="s">
        <v>69</v>
      </c>
      <c r="C105">
        <v>10</v>
      </c>
      <c r="D105" t="s">
        <v>86</v>
      </c>
      <c r="E105" t="s">
        <v>89</v>
      </c>
      <c r="F105" t="s">
        <v>88</v>
      </c>
      <c r="G105">
        <v>8.1819552873910197</v>
      </c>
      <c r="H105">
        <v>2E+20</v>
      </c>
      <c r="I105">
        <v>0</v>
      </c>
      <c r="J105">
        <v>10</v>
      </c>
      <c r="K105">
        <v>10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5.1812957617942796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9.5110098058068004</v>
      </c>
      <c r="U105" s="5">
        <f>IF((ContinuousStatsTable[[#This Row],[RepsRequested]]&gt;1),ContinuousStatsTable[[#This Row],[HalfWidth]],ContinuousStatsTable[[#This Row],[BatchMeansHalfWidth]])</f>
        <v>0.43613366354194549</v>
      </c>
    </row>
    <row r="106" spans="1:21" x14ac:dyDescent="0.35">
      <c r="A106" t="s">
        <v>66</v>
      </c>
      <c r="B106" t="s">
        <v>69</v>
      </c>
      <c r="C106">
        <v>10</v>
      </c>
      <c r="D106" t="s">
        <v>86</v>
      </c>
      <c r="E106" t="s">
        <v>90</v>
      </c>
      <c r="F106" t="s">
        <v>88</v>
      </c>
      <c r="G106">
        <v>10</v>
      </c>
      <c r="H106">
        <v>2E+20</v>
      </c>
      <c r="I106">
        <v>10</v>
      </c>
      <c r="J106">
        <v>10</v>
      </c>
      <c r="K106">
        <v>10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69</v>
      </c>
      <c r="C107">
        <v>10</v>
      </c>
      <c r="D107" t="s">
        <v>82</v>
      </c>
      <c r="E107" t="s">
        <v>84</v>
      </c>
      <c r="F107" t="s">
        <v>72</v>
      </c>
      <c r="G107">
        <v>1.8598639273017601</v>
      </c>
      <c r="H107">
        <v>2E+20</v>
      </c>
      <c r="I107">
        <v>0</v>
      </c>
      <c r="J107">
        <v>4</v>
      </c>
      <c r="K107">
        <v>2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0.56541157258789199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2.4594543622635499</v>
      </c>
      <c r="U107" s="5">
        <f>IF((ContinuousStatsTable[[#This Row],[RepsRequested]]&gt;1),ContinuousStatsTable[[#This Row],[HalfWidth]],ContinuousStatsTable[[#This Row],[BatchMeansHalfWidth]])</f>
        <v>0.1771627845153336</v>
      </c>
    </row>
    <row r="108" spans="1:21" x14ac:dyDescent="0.35">
      <c r="A108" t="s">
        <v>66</v>
      </c>
      <c r="B108" t="s">
        <v>69</v>
      </c>
      <c r="C108">
        <v>10</v>
      </c>
      <c r="D108" t="s">
        <v>91</v>
      </c>
      <c r="E108" t="s">
        <v>87</v>
      </c>
      <c r="F108" t="s">
        <v>88</v>
      </c>
      <c r="G108">
        <v>0.95719012306114204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0.78808827046509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0.99381255473469199</v>
      </c>
      <c r="U108" s="5">
        <f>IF((ContinuousStatsTable[[#This Row],[RepsRequested]]&gt;1),ContinuousStatsTable[[#This Row],[HalfWidth]],ContinuousStatsTable[[#This Row],[BatchMeansHalfWidth]])</f>
        <v>1.6708231879382019E-2</v>
      </c>
    </row>
    <row r="109" spans="1:21" x14ac:dyDescent="0.35">
      <c r="A109" t="s">
        <v>66</v>
      </c>
      <c r="B109" t="s">
        <v>69</v>
      </c>
      <c r="C109">
        <v>10</v>
      </c>
      <c r="D109" t="s">
        <v>91</v>
      </c>
      <c r="E109" t="s">
        <v>89</v>
      </c>
      <c r="F109" t="s">
        <v>88</v>
      </c>
      <c r="G109">
        <v>2.8715703691834298</v>
      </c>
      <c r="H109">
        <v>2E+20</v>
      </c>
      <c r="I109">
        <v>0</v>
      </c>
      <c r="J109">
        <v>3</v>
      </c>
      <c r="K109">
        <v>3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2.36426481139527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2.9814376642040799</v>
      </c>
      <c r="U109" s="5">
        <f>IF((ContinuousStatsTable[[#This Row],[RepsRequested]]&gt;1),ContinuousStatsTable[[#This Row],[HalfWidth]],ContinuousStatsTable[[#This Row],[BatchMeansHalfWidth]])</f>
        <v>5.0124695638146144E-2</v>
      </c>
    </row>
    <row r="110" spans="1:21" x14ac:dyDescent="0.35">
      <c r="A110" t="s">
        <v>66</v>
      </c>
      <c r="B110" t="s">
        <v>69</v>
      </c>
      <c r="C110">
        <v>10</v>
      </c>
      <c r="D110" t="s">
        <v>91</v>
      </c>
      <c r="E110" t="s">
        <v>90</v>
      </c>
      <c r="F110" t="s">
        <v>88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66</v>
      </c>
      <c r="B111" t="s">
        <v>69</v>
      </c>
      <c r="C111">
        <v>10</v>
      </c>
      <c r="D111" t="s">
        <v>83</v>
      </c>
      <c r="E111" t="s">
        <v>84</v>
      </c>
      <c r="F111" t="s">
        <v>72</v>
      </c>
      <c r="G111">
        <v>1.7499865442417799</v>
      </c>
      <c r="H111">
        <v>2E+20</v>
      </c>
      <c r="I111">
        <v>0</v>
      </c>
      <c r="J111">
        <v>4</v>
      </c>
      <c r="K111">
        <v>3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0.52883875458038598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2.4798758861082799</v>
      </c>
      <c r="U111" s="5">
        <f>IF((ContinuousStatsTable[[#This Row],[RepsRequested]]&gt;1),ContinuousStatsTable[[#This Row],[HalfWidth]],ContinuousStatsTable[[#This Row],[BatchMeansHalfWidth]])</f>
        <v>0.18745365002732756</v>
      </c>
    </row>
    <row r="112" spans="1:21" x14ac:dyDescent="0.35">
      <c r="A112" t="s">
        <v>66</v>
      </c>
      <c r="B112" t="s">
        <v>69</v>
      </c>
      <c r="C112">
        <v>11</v>
      </c>
      <c r="D112" t="s">
        <v>70</v>
      </c>
      <c r="E112" t="s">
        <v>84</v>
      </c>
      <c r="F112" t="s">
        <v>72</v>
      </c>
      <c r="G112">
        <v>0</v>
      </c>
      <c r="H112">
        <v>2E+20</v>
      </c>
      <c r="I112">
        <v>0</v>
      </c>
      <c r="J112">
        <v>1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35">
      <c r="A113" t="s">
        <v>66</v>
      </c>
      <c r="B113" t="s">
        <v>69</v>
      </c>
      <c r="C113">
        <v>11</v>
      </c>
      <c r="D113" t="s">
        <v>73</v>
      </c>
      <c r="E113" t="s">
        <v>84</v>
      </c>
      <c r="F113" t="s">
        <v>72</v>
      </c>
      <c r="G113">
        <v>2.94850129406217</v>
      </c>
      <c r="H113">
        <v>2E+20</v>
      </c>
      <c r="I113">
        <v>0</v>
      </c>
      <c r="J113">
        <v>10</v>
      </c>
      <c r="K113">
        <v>10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9.63804241981207</v>
      </c>
      <c r="U113" s="5">
        <f>IF((ContinuousStatsTable[[#This Row],[RepsRequested]]&gt;1),ContinuousStatsTable[[#This Row],[HalfWidth]],ContinuousStatsTable[[#This Row],[BatchMeansHalfWidth]])</f>
        <v>0.71632840390540931</v>
      </c>
    </row>
    <row r="114" spans="1:21" x14ac:dyDescent="0.35">
      <c r="A114" t="s">
        <v>66</v>
      </c>
      <c r="B114" t="s">
        <v>69</v>
      </c>
      <c r="C114">
        <v>11</v>
      </c>
      <c r="D114" t="s">
        <v>74</v>
      </c>
      <c r="E114" t="s">
        <v>85</v>
      </c>
      <c r="F114" t="s">
        <v>76</v>
      </c>
      <c r="G114">
        <v>24.1414099543905</v>
      </c>
      <c r="H114">
        <v>2E+20</v>
      </c>
      <c r="I114">
        <v>0</v>
      </c>
      <c r="J114">
        <v>40</v>
      </c>
      <c r="K114">
        <v>40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10.3625915235886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38.218354981839397</v>
      </c>
      <c r="U114" s="5">
        <f>IF((ContinuousStatsTable[[#This Row],[RepsRequested]]&gt;1),ContinuousStatsTable[[#This Row],[HalfWidth]],ContinuousStatsTable[[#This Row],[BatchMeansHalfWidth]])</f>
        <v>2.1690587669162626</v>
      </c>
    </row>
    <row r="115" spans="1:21" x14ac:dyDescent="0.35">
      <c r="A115" t="s">
        <v>66</v>
      </c>
      <c r="B115" t="s">
        <v>69</v>
      </c>
      <c r="C115">
        <v>11</v>
      </c>
      <c r="D115" t="s">
        <v>86</v>
      </c>
      <c r="E115" t="s">
        <v>87</v>
      </c>
      <c r="F115" t="s">
        <v>88</v>
      </c>
      <c r="G115">
        <v>0.912220368313307</v>
      </c>
      <c r="H115">
        <v>2E+20</v>
      </c>
      <c r="I115">
        <v>0</v>
      </c>
      <c r="J115">
        <v>1</v>
      </c>
      <c r="K115">
        <v>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0.51812957617942801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0.95110098058068004</v>
      </c>
      <c r="U115" s="5">
        <f>IF((ContinuousStatsTable[[#This Row],[RepsRequested]]&gt;1),ContinuousStatsTable[[#This Row],[HalfWidth]],ContinuousStatsTable[[#This Row],[BatchMeansHalfWidth]])</f>
        <v>4.3613366354194112E-2</v>
      </c>
    </row>
    <row r="116" spans="1:21" x14ac:dyDescent="0.35">
      <c r="A116" t="s">
        <v>66</v>
      </c>
      <c r="B116" t="s">
        <v>69</v>
      </c>
      <c r="C116">
        <v>11</v>
      </c>
      <c r="D116" t="s">
        <v>86</v>
      </c>
      <c r="E116" t="s">
        <v>89</v>
      </c>
      <c r="F116" t="s">
        <v>88</v>
      </c>
      <c r="G116">
        <v>9.1222036831330602</v>
      </c>
      <c r="H116">
        <v>2E+20</v>
      </c>
      <c r="I116">
        <v>0</v>
      </c>
      <c r="J116">
        <v>10</v>
      </c>
      <c r="K116">
        <v>10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5.1812957617942796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9.5110098058068004</v>
      </c>
      <c r="U116" s="5">
        <f>IF((ContinuousStatsTable[[#This Row],[RepsRequested]]&gt;1),ContinuousStatsTable[[#This Row],[HalfWidth]],ContinuousStatsTable[[#This Row],[BatchMeansHalfWidth]])</f>
        <v>0.43613366354194549</v>
      </c>
    </row>
    <row r="117" spans="1:21" x14ac:dyDescent="0.35">
      <c r="A117" t="s">
        <v>66</v>
      </c>
      <c r="B117" t="s">
        <v>69</v>
      </c>
      <c r="C117">
        <v>11</v>
      </c>
      <c r="D117" t="s">
        <v>86</v>
      </c>
      <c r="E117" t="s">
        <v>90</v>
      </c>
      <c r="F117" t="s">
        <v>88</v>
      </c>
      <c r="G117">
        <v>10</v>
      </c>
      <c r="H117">
        <v>2E+20</v>
      </c>
      <c r="I117">
        <v>10</v>
      </c>
      <c r="J117">
        <v>10</v>
      </c>
      <c r="K117">
        <v>10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66</v>
      </c>
      <c r="B118" t="s">
        <v>69</v>
      </c>
      <c r="C118">
        <v>11</v>
      </c>
      <c r="D118" t="s">
        <v>82</v>
      </c>
      <c r="E118" t="s">
        <v>84</v>
      </c>
      <c r="F118" t="s">
        <v>72</v>
      </c>
      <c r="G118">
        <v>2.1692056242612199</v>
      </c>
      <c r="H118">
        <v>2E+20</v>
      </c>
      <c r="I118">
        <v>0</v>
      </c>
      <c r="J118">
        <v>3</v>
      </c>
      <c r="K118">
        <v>3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0.56541157258789199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2.4594543622635499</v>
      </c>
      <c r="U118" s="5">
        <f>IF((ContinuousStatsTable[[#This Row],[RepsRequested]]&gt;1),ContinuousStatsTable[[#This Row],[HalfWidth]],ContinuousStatsTable[[#This Row],[BatchMeansHalfWidth]])</f>
        <v>0.1771627845153336</v>
      </c>
    </row>
    <row r="119" spans="1:21" x14ac:dyDescent="0.35">
      <c r="A119" t="s">
        <v>66</v>
      </c>
      <c r="B119" t="s">
        <v>69</v>
      </c>
      <c r="C119">
        <v>11</v>
      </c>
      <c r="D119" t="s">
        <v>91</v>
      </c>
      <c r="E119" t="s">
        <v>87</v>
      </c>
      <c r="F119" t="s">
        <v>88</v>
      </c>
      <c r="G119">
        <v>0.96318627477283303</v>
      </c>
      <c r="H119">
        <v>2E+20</v>
      </c>
      <c r="I119">
        <v>0</v>
      </c>
      <c r="J119">
        <v>1</v>
      </c>
      <c r="K119">
        <v>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0.78808827046509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0.99381255473469199</v>
      </c>
      <c r="U119" s="5">
        <f>IF((ContinuousStatsTable[[#This Row],[RepsRequested]]&gt;1),ContinuousStatsTable[[#This Row],[HalfWidth]],ContinuousStatsTable[[#This Row],[BatchMeansHalfWidth]])</f>
        <v>1.6708231879382019E-2</v>
      </c>
    </row>
    <row r="120" spans="1:21" x14ac:dyDescent="0.35">
      <c r="A120" t="s">
        <v>66</v>
      </c>
      <c r="B120" t="s">
        <v>69</v>
      </c>
      <c r="C120">
        <v>11</v>
      </c>
      <c r="D120" t="s">
        <v>91</v>
      </c>
      <c r="E120" t="s">
        <v>89</v>
      </c>
      <c r="F120" t="s">
        <v>88</v>
      </c>
      <c r="G120">
        <v>2.8895588243185002</v>
      </c>
      <c r="H120">
        <v>2E+20</v>
      </c>
      <c r="I120">
        <v>0</v>
      </c>
      <c r="J120">
        <v>3</v>
      </c>
      <c r="K120">
        <v>3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2.36426481139527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2.9814376642040799</v>
      </c>
      <c r="U120" s="5">
        <f>IF((ContinuousStatsTable[[#This Row],[RepsRequested]]&gt;1),ContinuousStatsTable[[#This Row],[HalfWidth]],ContinuousStatsTable[[#This Row],[BatchMeansHalfWidth]])</f>
        <v>5.0124695638146144E-2</v>
      </c>
    </row>
    <row r="121" spans="1:21" x14ac:dyDescent="0.35">
      <c r="A121" t="s">
        <v>66</v>
      </c>
      <c r="B121" t="s">
        <v>69</v>
      </c>
      <c r="C121">
        <v>11</v>
      </c>
      <c r="D121" t="s">
        <v>91</v>
      </c>
      <c r="E121" t="s">
        <v>90</v>
      </c>
      <c r="F121" t="s">
        <v>88</v>
      </c>
      <c r="G121">
        <v>3</v>
      </c>
      <c r="H121">
        <v>2E+20</v>
      </c>
      <c r="I121">
        <v>3</v>
      </c>
      <c r="J121">
        <v>3</v>
      </c>
      <c r="K121">
        <v>3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3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3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69</v>
      </c>
      <c r="C122">
        <v>11</v>
      </c>
      <c r="D122" t="s">
        <v>83</v>
      </c>
      <c r="E122" t="s">
        <v>84</v>
      </c>
      <c r="F122" t="s">
        <v>72</v>
      </c>
      <c r="G122">
        <v>2.2877313830485302</v>
      </c>
      <c r="H122">
        <v>2E+20</v>
      </c>
      <c r="I122">
        <v>0</v>
      </c>
      <c r="J122">
        <v>4</v>
      </c>
      <c r="K122">
        <v>4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0.52883875458038598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2.4798758861082799</v>
      </c>
      <c r="U122" s="5">
        <f>IF((ContinuousStatsTable[[#This Row],[RepsRequested]]&gt;1),ContinuousStatsTable[[#This Row],[HalfWidth]],ContinuousStatsTable[[#This Row],[BatchMeansHalfWidth]])</f>
        <v>0.18745365002732756</v>
      </c>
    </row>
    <row r="123" spans="1:21" x14ac:dyDescent="0.35">
      <c r="A123" t="s">
        <v>66</v>
      </c>
      <c r="B123" t="s">
        <v>69</v>
      </c>
      <c r="C123">
        <v>12</v>
      </c>
      <c r="D123" t="s">
        <v>70</v>
      </c>
      <c r="E123" t="s">
        <v>84</v>
      </c>
      <c r="F123" t="s">
        <v>72</v>
      </c>
      <c r="G123">
        <v>0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35">
      <c r="A124" t="s">
        <v>66</v>
      </c>
      <c r="B124" t="s">
        <v>69</v>
      </c>
      <c r="C124">
        <v>12</v>
      </c>
      <c r="D124" t="s">
        <v>73</v>
      </c>
      <c r="E124" t="s">
        <v>84</v>
      </c>
      <c r="F124" t="s">
        <v>72</v>
      </c>
      <c r="G124">
        <v>1.0024689063413601</v>
      </c>
      <c r="H124">
        <v>2E+20</v>
      </c>
      <c r="I124">
        <v>0</v>
      </c>
      <c r="J124">
        <v>6</v>
      </c>
      <c r="K124">
        <v>0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9.63804241981207</v>
      </c>
      <c r="U124" s="5">
        <f>IF((ContinuousStatsTable[[#This Row],[RepsRequested]]&gt;1),ContinuousStatsTable[[#This Row],[HalfWidth]],ContinuousStatsTable[[#This Row],[BatchMeansHalfWidth]])</f>
        <v>0.71632840390540931</v>
      </c>
    </row>
    <row r="125" spans="1:21" x14ac:dyDescent="0.35">
      <c r="A125" t="s">
        <v>66</v>
      </c>
      <c r="B125" t="s">
        <v>69</v>
      </c>
      <c r="C125">
        <v>12</v>
      </c>
      <c r="D125" t="s">
        <v>74</v>
      </c>
      <c r="E125" t="s">
        <v>85</v>
      </c>
      <c r="F125" t="s">
        <v>76</v>
      </c>
      <c r="G125">
        <v>17.913143500002199</v>
      </c>
      <c r="H125">
        <v>2E+20</v>
      </c>
      <c r="I125">
        <v>0</v>
      </c>
      <c r="J125">
        <v>32</v>
      </c>
      <c r="K125">
        <v>12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10.3625915235886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38.218354981839397</v>
      </c>
      <c r="U125" s="5">
        <f>IF((ContinuousStatsTable[[#This Row],[RepsRequested]]&gt;1),ContinuousStatsTable[[#This Row],[HalfWidth]],ContinuousStatsTable[[#This Row],[BatchMeansHalfWidth]])</f>
        <v>2.1690587669162626</v>
      </c>
    </row>
    <row r="126" spans="1:21" x14ac:dyDescent="0.35">
      <c r="A126" t="s">
        <v>66</v>
      </c>
      <c r="B126" t="s">
        <v>69</v>
      </c>
      <c r="C126">
        <v>12</v>
      </c>
      <c r="D126" t="s">
        <v>86</v>
      </c>
      <c r="E126" t="s">
        <v>87</v>
      </c>
      <c r="F126" t="s">
        <v>88</v>
      </c>
      <c r="G126">
        <v>0.79541028436597505</v>
      </c>
      <c r="H126">
        <v>2E+20</v>
      </c>
      <c r="I126">
        <v>0</v>
      </c>
      <c r="J126">
        <v>1</v>
      </c>
      <c r="K126">
        <v>0.6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0.51812957617942801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0.95110098058068004</v>
      </c>
      <c r="U126" s="5">
        <f>IF((ContinuousStatsTable[[#This Row],[RepsRequested]]&gt;1),ContinuousStatsTable[[#This Row],[HalfWidth]],ContinuousStatsTable[[#This Row],[BatchMeansHalfWidth]])</f>
        <v>4.3613366354194112E-2</v>
      </c>
    </row>
    <row r="127" spans="1:21" x14ac:dyDescent="0.35">
      <c r="A127" t="s">
        <v>66</v>
      </c>
      <c r="B127" t="s">
        <v>69</v>
      </c>
      <c r="C127">
        <v>12</v>
      </c>
      <c r="D127" t="s">
        <v>86</v>
      </c>
      <c r="E127" t="s">
        <v>89</v>
      </c>
      <c r="F127" t="s">
        <v>88</v>
      </c>
      <c r="G127">
        <v>7.9541028436597498</v>
      </c>
      <c r="H127">
        <v>2E+20</v>
      </c>
      <c r="I127">
        <v>0</v>
      </c>
      <c r="J127">
        <v>10</v>
      </c>
      <c r="K127">
        <v>6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5.1812957617942796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9.5110098058068004</v>
      </c>
      <c r="U127" s="5">
        <f>IF((ContinuousStatsTable[[#This Row],[RepsRequested]]&gt;1),ContinuousStatsTable[[#This Row],[HalfWidth]],ContinuousStatsTable[[#This Row],[BatchMeansHalfWidth]])</f>
        <v>0.43613366354194549</v>
      </c>
    </row>
    <row r="128" spans="1:21" x14ac:dyDescent="0.35">
      <c r="A128" t="s">
        <v>66</v>
      </c>
      <c r="B128" t="s">
        <v>69</v>
      </c>
      <c r="C128">
        <v>12</v>
      </c>
      <c r="D128" t="s">
        <v>86</v>
      </c>
      <c r="E128" t="s">
        <v>90</v>
      </c>
      <c r="F128" t="s">
        <v>88</v>
      </c>
      <c r="G128">
        <v>10</v>
      </c>
      <c r="H128">
        <v>2E+20</v>
      </c>
      <c r="I128">
        <v>10</v>
      </c>
      <c r="J128">
        <v>10</v>
      </c>
      <c r="K128">
        <v>10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10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10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10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35">
      <c r="A129" t="s">
        <v>66</v>
      </c>
      <c r="B129" t="s">
        <v>69</v>
      </c>
      <c r="C129">
        <v>12</v>
      </c>
      <c r="D129" t="s">
        <v>82</v>
      </c>
      <c r="E129" t="s">
        <v>84</v>
      </c>
      <c r="F129" t="s">
        <v>72</v>
      </c>
      <c r="G129">
        <v>1.6984871348614501</v>
      </c>
      <c r="H129">
        <v>2E+20</v>
      </c>
      <c r="I129">
        <v>0</v>
      </c>
      <c r="J129">
        <v>5</v>
      </c>
      <c r="K129">
        <v>1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0.56541157258789199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2.4594543622635499</v>
      </c>
      <c r="U129" s="5">
        <f>IF((ContinuousStatsTable[[#This Row],[RepsRequested]]&gt;1),ContinuousStatsTable[[#This Row],[HalfWidth]],ContinuousStatsTable[[#This Row],[BatchMeansHalfWidth]])</f>
        <v>0.1771627845153336</v>
      </c>
    </row>
    <row r="130" spans="1:21" x14ac:dyDescent="0.35">
      <c r="A130" t="s">
        <v>66</v>
      </c>
      <c r="B130" t="s">
        <v>69</v>
      </c>
      <c r="C130">
        <v>12</v>
      </c>
      <c r="D130" t="s">
        <v>91</v>
      </c>
      <c r="E130" t="s">
        <v>87</v>
      </c>
      <c r="F130" t="s">
        <v>88</v>
      </c>
      <c r="G130">
        <v>0.93055670412302804</v>
      </c>
      <c r="H130">
        <v>2E+20</v>
      </c>
      <c r="I130">
        <v>0</v>
      </c>
      <c r="J130">
        <v>1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0.78808827046509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0.99381255473469199</v>
      </c>
      <c r="U130" s="5">
        <f>IF((ContinuousStatsTable[[#This Row],[RepsRequested]]&gt;1),ContinuousStatsTable[[#This Row],[HalfWidth]],ContinuousStatsTable[[#This Row],[BatchMeansHalfWidth]])</f>
        <v>1.6708231879382019E-2</v>
      </c>
    </row>
    <row r="131" spans="1:21" x14ac:dyDescent="0.35">
      <c r="A131" t="s">
        <v>66</v>
      </c>
      <c r="B131" t="s">
        <v>69</v>
      </c>
      <c r="C131">
        <v>12</v>
      </c>
      <c r="D131" t="s">
        <v>91</v>
      </c>
      <c r="E131" t="s">
        <v>89</v>
      </c>
      <c r="F131" t="s">
        <v>88</v>
      </c>
      <c r="G131">
        <v>2.7916701123690801</v>
      </c>
      <c r="H131">
        <v>2E+20</v>
      </c>
      <c r="I131">
        <v>0</v>
      </c>
      <c r="J131">
        <v>3</v>
      </c>
      <c r="K131">
        <v>3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2.36426481139527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2.9814376642040799</v>
      </c>
      <c r="U131" s="5">
        <f>IF((ContinuousStatsTable[[#This Row],[RepsRequested]]&gt;1),ContinuousStatsTable[[#This Row],[HalfWidth]],ContinuousStatsTable[[#This Row],[BatchMeansHalfWidth]])</f>
        <v>5.0124695638146144E-2</v>
      </c>
    </row>
    <row r="132" spans="1:21" x14ac:dyDescent="0.35">
      <c r="A132" t="s">
        <v>66</v>
      </c>
      <c r="B132" t="s">
        <v>69</v>
      </c>
      <c r="C132">
        <v>12</v>
      </c>
      <c r="D132" t="s">
        <v>91</v>
      </c>
      <c r="E132" t="s">
        <v>90</v>
      </c>
      <c r="F132" t="s">
        <v>88</v>
      </c>
      <c r="G132">
        <v>3</v>
      </c>
      <c r="H132">
        <v>2E+20</v>
      </c>
      <c r="I132">
        <v>3</v>
      </c>
      <c r="J132">
        <v>3</v>
      </c>
      <c r="K132">
        <v>3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3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3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3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35">
      <c r="A133" t="s">
        <v>66</v>
      </c>
      <c r="B133" t="s">
        <v>69</v>
      </c>
      <c r="C133">
        <v>12</v>
      </c>
      <c r="D133" t="s">
        <v>83</v>
      </c>
      <c r="E133" t="s">
        <v>84</v>
      </c>
      <c r="F133" t="s">
        <v>72</v>
      </c>
      <c r="G133">
        <v>1.74222377870625</v>
      </c>
      <c r="H133">
        <v>2E+20</v>
      </c>
      <c r="I133">
        <v>0</v>
      </c>
      <c r="J133">
        <v>5</v>
      </c>
      <c r="K133">
        <v>1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0.52883875458038598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2.4798758861082799</v>
      </c>
      <c r="U133" s="5">
        <f>IF((ContinuousStatsTable[[#This Row],[RepsRequested]]&gt;1),ContinuousStatsTable[[#This Row],[HalfWidth]],ContinuousStatsTable[[#This Row],[BatchMeansHalfWidth]])</f>
        <v>0.18745365002732756</v>
      </c>
    </row>
    <row r="134" spans="1:21" x14ac:dyDescent="0.35">
      <c r="A134" t="s">
        <v>66</v>
      </c>
      <c r="B134" t="s">
        <v>69</v>
      </c>
      <c r="C134">
        <v>13</v>
      </c>
      <c r="D134" t="s">
        <v>70</v>
      </c>
      <c r="E134" t="s">
        <v>84</v>
      </c>
      <c r="F134" t="s">
        <v>72</v>
      </c>
      <c r="G134">
        <v>0</v>
      </c>
      <c r="H134">
        <v>2E+20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35">
      <c r="A135" t="s">
        <v>66</v>
      </c>
      <c r="B135" t="s">
        <v>69</v>
      </c>
      <c r="C135">
        <v>13</v>
      </c>
      <c r="D135" t="s">
        <v>73</v>
      </c>
      <c r="E135" t="s">
        <v>84</v>
      </c>
      <c r="F135" t="s">
        <v>72</v>
      </c>
      <c r="G135">
        <v>3.1881189125945699</v>
      </c>
      <c r="H135">
        <v>2E+20</v>
      </c>
      <c r="I135">
        <v>0</v>
      </c>
      <c r="J135">
        <v>8</v>
      </c>
      <c r="K135">
        <v>7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9.63804241981207</v>
      </c>
      <c r="U135" s="5">
        <f>IF((ContinuousStatsTable[[#This Row],[RepsRequested]]&gt;1),ContinuousStatsTable[[#This Row],[HalfWidth]],ContinuousStatsTable[[#This Row],[BatchMeansHalfWidth]])</f>
        <v>0.71632840390540931</v>
      </c>
    </row>
    <row r="136" spans="1:21" x14ac:dyDescent="0.35">
      <c r="A136" t="s">
        <v>66</v>
      </c>
      <c r="B136" t="s">
        <v>69</v>
      </c>
      <c r="C136">
        <v>13</v>
      </c>
      <c r="D136" t="s">
        <v>74</v>
      </c>
      <c r="E136" t="s">
        <v>85</v>
      </c>
      <c r="F136" t="s">
        <v>76</v>
      </c>
      <c r="G136">
        <v>24.862371952677702</v>
      </c>
      <c r="H136">
        <v>2E+20</v>
      </c>
      <c r="I136">
        <v>0</v>
      </c>
      <c r="J136">
        <v>37</v>
      </c>
      <c r="K136">
        <v>34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10.3625915235886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38.218354981839397</v>
      </c>
      <c r="U136" s="5">
        <f>IF((ContinuousStatsTable[[#This Row],[RepsRequested]]&gt;1),ContinuousStatsTable[[#This Row],[HalfWidth]],ContinuousStatsTable[[#This Row],[BatchMeansHalfWidth]])</f>
        <v>2.1690587669162626</v>
      </c>
    </row>
    <row r="137" spans="1:21" x14ac:dyDescent="0.35">
      <c r="A137" t="s">
        <v>66</v>
      </c>
      <c r="B137" t="s">
        <v>69</v>
      </c>
      <c r="C137">
        <v>13</v>
      </c>
      <c r="D137" t="s">
        <v>86</v>
      </c>
      <c r="E137" t="s">
        <v>87</v>
      </c>
      <c r="F137" t="s">
        <v>88</v>
      </c>
      <c r="G137">
        <v>0.92430670637442602</v>
      </c>
      <c r="H137">
        <v>2E+20</v>
      </c>
      <c r="I137">
        <v>0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0.51812957617942801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0.95110098058068004</v>
      </c>
      <c r="U137" s="5">
        <f>IF((ContinuousStatsTable[[#This Row],[RepsRequested]]&gt;1),ContinuousStatsTable[[#This Row],[HalfWidth]],ContinuousStatsTable[[#This Row],[BatchMeansHalfWidth]])</f>
        <v>4.3613366354194112E-2</v>
      </c>
    </row>
    <row r="138" spans="1:21" x14ac:dyDescent="0.35">
      <c r="A138" t="s">
        <v>66</v>
      </c>
      <c r="B138" t="s">
        <v>69</v>
      </c>
      <c r="C138">
        <v>13</v>
      </c>
      <c r="D138" t="s">
        <v>86</v>
      </c>
      <c r="E138" t="s">
        <v>89</v>
      </c>
      <c r="F138" t="s">
        <v>88</v>
      </c>
      <c r="G138">
        <v>9.2430670637442596</v>
      </c>
      <c r="H138">
        <v>2E+20</v>
      </c>
      <c r="I138">
        <v>0</v>
      </c>
      <c r="J138">
        <v>10</v>
      </c>
      <c r="K138">
        <v>10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5.1812957617942796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9.5110098058068004</v>
      </c>
      <c r="U138" s="5">
        <f>IF((ContinuousStatsTable[[#This Row],[RepsRequested]]&gt;1),ContinuousStatsTable[[#This Row],[HalfWidth]],ContinuousStatsTable[[#This Row],[BatchMeansHalfWidth]])</f>
        <v>0.43613366354194549</v>
      </c>
    </row>
    <row r="139" spans="1:21" x14ac:dyDescent="0.35">
      <c r="A139" t="s">
        <v>66</v>
      </c>
      <c r="B139" t="s">
        <v>69</v>
      </c>
      <c r="C139">
        <v>13</v>
      </c>
      <c r="D139" t="s">
        <v>86</v>
      </c>
      <c r="E139" t="s">
        <v>90</v>
      </c>
      <c r="F139" t="s">
        <v>88</v>
      </c>
      <c r="G139">
        <v>10</v>
      </c>
      <c r="H139">
        <v>2E+20</v>
      </c>
      <c r="I139">
        <v>10</v>
      </c>
      <c r="J139">
        <v>10</v>
      </c>
      <c r="K139">
        <v>10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66</v>
      </c>
      <c r="B140" t="s">
        <v>69</v>
      </c>
      <c r="C140">
        <v>13</v>
      </c>
      <c r="D140" t="s">
        <v>82</v>
      </c>
      <c r="E140" t="s">
        <v>84</v>
      </c>
      <c r="F140" t="s">
        <v>72</v>
      </c>
      <c r="G140">
        <v>2.3025405004681998</v>
      </c>
      <c r="H140">
        <v>2E+20</v>
      </c>
      <c r="I140">
        <v>0</v>
      </c>
      <c r="J140">
        <v>4</v>
      </c>
      <c r="K140">
        <v>3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0.56541157258789199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2.4594543622635499</v>
      </c>
      <c r="U140" s="5">
        <f>IF((ContinuousStatsTable[[#This Row],[RepsRequested]]&gt;1),ContinuousStatsTable[[#This Row],[HalfWidth]],ContinuousStatsTable[[#This Row],[BatchMeansHalfWidth]])</f>
        <v>0.1771627845153336</v>
      </c>
    </row>
    <row r="141" spans="1:21" x14ac:dyDescent="0.35">
      <c r="A141" t="s">
        <v>66</v>
      </c>
      <c r="B141" t="s">
        <v>69</v>
      </c>
      <c r="C141">
        <v>13</v>
      </c>
      <c r="D141" t="s">
        <v>91</v>
      </c>
      <c r="E141" t="s">
        <v>87</v>
      </c>
      <c r="F141" t="s">
        <v>88</v>
      </c>
      <c r="G141">
        <v>0.98005968359153794</v>
      </c>
      <c r="H141">
        <v>2E+20</v>
      </c>
      <c r="I141">
        <v>0</v>
      </c>
      <c r="J141">
        <v>1</v>
      </c>
      <c r="K141">
        <v>1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0.78808827046509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0.99381255473469199</v>
      </c>
      <c r="U141" s="5">
        <f>IF((ContinuousStatsTable[[#This Row],[RepsRequested]]&gt;1),ContinuousStatsTable[[#This Row],[HalfWidth]],ContinuousStatsTable[[#This Row],[BatchMeansHalfWidth]])</f>
        <v>1.6708231879382019E-2</v>
      </c>
    </row>
    <row r="142" spans="1:21" x14ac:dyDescent="0.35">
      <c r="A142" t="s">
        <v>66</v>
      </c>
      <c r="B142" t="s">
        <v>69</v>
      </c>
      <c r="C142">
        <v>13</v>
      </c>
      <c r="D142" t="s">
        <v>91</v>
      </c>
      <c r="E142" t="s">
        <v>89</v>
      </c>
      <c r="F142" t="s">
        <v>88</v>
      </c>
      <c r="G142">
        <v>2.9401790507746099</v>
      </c>
      <c r="H142">
        <v>2E+20</v>
      </c>
      <c r="I142">
        <v>0</v>
      </c>
      <c r="J142">
        <v>3</v>
      </c>
      <c r="K142">
        <v>3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2.36426481139527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2.9814376642040799</v>
      </c>
      <c r="U142" s="5">
        <f>IF((ContinuousStatsTable[[#This Row],[RepsRequested]]&gt;1),ContinuousStatsTable[[#This Row],[HalfWidth]],ContinuousStatsTable[[#This Row],[BatchMeansHalfWidth]])</f>
        <v>5.0124695638146144E-2</v>
      </c>
    </row>
    <row r="143" spans="1:21" x14ac:dyDescent="0.35">
      <c r="A143" t="s">
        <v>66</v>
      </c>
      <c r="B143" t="s">
        <v>69</v>
      </c>
      <c r="C143">
        <v>13</v>
      </c>
      <c r="D143" t="s">
        <v>91</v>
      </c>
      <c r="E143" t="s">
        <v>90</v>
      </c>
      <c r="F143" t="s">
        <v>88</v>
      </c>
      <c r="G143">
        <v>3</v>
      </c>
      <c r="H143">
        <v>2E+20</v>
      </c>
      <c r="I143">
        <v>3</v>
      </c>
      <c r="J143">
        <v>3</v>
      </c>
      <c r="K143">
        <v>3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3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3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3</v>
      </c>
      <c r="U143" s="5">
        <f>IF((ContinuousStatsTable[[#This Row],[RepsRequested]]&gt;1),ContinuousStatsTable[[#This Row],[HalfWidth]],ContinuousStatsTable[[#This Row],[BatchMeansHalfWidth]])</f>
        <v>0</v>
      </c>
    </row>
    <row r="144" spans="1:21" x14ac:dyDescent="0.35">
      <c r="A144" t="s">
        <v>66</v>
      </c>
      <c r="B144" t="s">
        <v>69</v>
      </c>
      <c r="C144">
        <v>13</v>
      </c>
      <c r="D144" t="s">
        <v>83</v>
      </c>
      <c r="E144" t="s">
        <v>84</v>
      </c>
      <c r="F144" t="s">
        <v>72</v>
      </c>
      <c r="G144">
        <v>2.2582645247630202</v>
      </c>
      <c r="H144">
        <v>2E+20</v>
      </c>
      <c r="I144">
        <v>0</v>
      </c>
      <c r="J144">
        <v>4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0.52883875458038598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2.4798758861082799</v>
      </c>
      <c r="U144" s="5">
        <f>IF((ContinuousStatsTable[[#This Row],[RepsRequested]]&gt;1),ContinuousStatsTable[[#This Row],[HalfWidth]],ContinuousStatsTable[[#This Row],[BatchMeansHalfWidth]])</f>
        <v>0.18745365002732756</v>
      </c>
    </row>
    <row r="145" spans="1:21" x14ac:dyDescent="0.35">
      <c r="A145" t="s">
        <v>66</v>
      </c>
      <c r="B145" t="s">
        <v>69</v>
      </c>
      <c r="C145">
        <v>14</v>
      </c>
      <c r="D145" t="s">
        <v>70</v>
      </c>
      <c r="E145" t="s">
        <v>84</v>
      </c>
      <c r="F145" t="s">
        <v>72</v>
      </c>
      <c r="G145">
        <v>0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66</v>
      </c>
      <c r="B146" t="s">
        <v>69</v>
      </c>
      <c r="C146">
        <v>14</v>
      </c>
      <c r="D146" t="s">
        <v>73</v>
      </c>
      <c r="E146" t="s">
        <v>84</v>
      </c>
      <c r="F146" t="s">
        <v>72</v>
      </c>
      <c r="G146">
        <v>3.1321813374944099</v>
      </c>
      <c r="H146">
        <v>2E+20</v>
      </c>
      <c r="I146">
        <v>0</v>
      </c>
      <c r="J146">
        <v>11</v>
      </c>
      <c r="K146">
        <v>7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9.63804241981207</v>
      </c>
      <c r="U146" s="5">
        <f>IF((ContinuousStatsTable[[#This Row],[RepsRequested]]&gt;1),ContinuousStatsTable[[#This Row],[HalfWidth]],ContinuousStatsTable[[#This Row],[BatchMeansHalfWidth]])</f>
        <v>0.71632840390540931</v>
      </c>
    </row>
    <row r="147" spans="1:21" x14ac:dyDescent="0.35">
      <c r="A147" t="s">
        <v>66</v>
      </c>
      <c r="B147" t="s">
        <v>69</v>
      </c>
      <c r="C147">
        <v>14</v>
      </c>
      <c r="D147" t="s">
        <v>74</v>
      </c>
      <c r="E147" t="s">
        <v>85</v>
      </c>
      <c r="F147" t="s">
        <v>76</v>
      </c>
      <c r="G147">
        <v>21.443498922001599</v>
      </c>
      <c r="H147">
        <v>2E+20</v>
      </c>
      <c r="I147">
        <v>0</v>
      </c>
      <c r="J147">
        <v>42</v>
      </c>
      <c r="K147">
        <v>34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10.3625915235886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38.218354981839397</v>
      </c>
      <c r="U147" s="5">
        <f>IF((ContinuousStatsTable[[#This Row],[RepsRequested]]&gt;1),ContinuousStatsTable[[#This Row],[HalfWidth]],ContinuousStatsTable[[#This Row],[BatchMeansHalfWidth]])</f>
        <v>2.1690587669162626</v>
      </c>
    </row>
    <row r="148" spans="1:21" x14ac:dyDescent="0.35">
      <c r="A148" t="s">
        <v>66</v>
      </c>
      <c r="B148" t="s">
        <v>69</v>
      </c>
      <c r="C148">
        <v>14</v>
      </c>
      <c r="D148" t="s">
        <v>86</v>
      </c>
      <c r="E148" t="s">
        <v>87</v>
      </c>
      <c r="F148" t="s">
        <v>88</v>
      </c>
      <c r="G148">
        <v>0.75895681235063805</v>
      </c>
      <c r="H148">
        <v>2E+20</v>
      </c>
      <c r="I148">
        <v>0</v>
      </c>
      <c r="J148">
        <v>1</v>
      </c>
      <c r="K148">
        <v>1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0.51812957617942801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0.95110098058068004</v>
      </c>
      <c r="U148" s="5">
        <f>IF((ContinuousStatsTable[[#This Row],[RepsRequested]]&gt;1),ContinuousStatsTable[[#This Row],[HalfWidth]],ContinuousStatsTable[[#This Row],[BatchMeansHalfWidth]])</f>
        <v>4.3613366354194112E-2</v>
      </c>
    </row>
    <row r="149" spans="1:21" x14ac:dyDescent="0.35">
      <c r="A149" t="s">
        <v>66</v>
      </c>
      <c r="B149" t="s">
        <v>69</v>
      </c>
      <c r="C149">
        <v>14</v>
      </c>
      <c r="D149" t="s">
        <v>86</v>
      </c>
      <c r="E149" t="s">
        <v>89</v>
      </c>
      <c r="F149" t="s">
        <v>88</v>
      </c>
      <c r="G149">
        <v>7.5895681235063899</v>
      </c>
      <c r="H149">
        <v>2E+20</v>
      </c>
      <c r="I149">
        <v>0</v>
      </c>
      <c r="J149">
        <v>10</v>
      </c>
      <c r="K149">
        <v>10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5.1812957617942796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9.5110098058068004</v>
      </c>
      <c r="U149" s="5">
        <f>IF((ContinuousStatsTable[[#This Row],[RepsRequested]]&gt;1),ContinuousStatsTable[[#This Row],[HalfWidth]],ContinuousStatsTable[[#This Row],[BatchMeansHalfWidth]])</f>
        <v>0.43613366354194549</v>
      </c>
    </row>
    <row r="150" spans="1:21" x14ac:dyDescent="0.35">
      <c r="A150" t="s">
        <v>66</v>
      </c>
      <c r="B150" t="s">
        <v>69</v>
      </c>
      <c r="C150">
        <v>14</v>
      </c>
      <c r="D150" t="s">
        <v>86</v>
      </c>
      <c r="E150" t="s">
        <v>90</v>
      </c>
      <c r="F150" t="s">
        <v>88</v>
      </c>
      <c r="G150">
        <v>10</v>
      </c>
      <c r="H150">
        <v>2E+20</v>
      </c>
      <c r="I150">
        <v>10</v>
      </c>
      <c r="J150">
        <v>10</v>
      </c>
      <c r="K150">
        <v>10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10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66</v>
      </c>
      <c r="B151" t="s">
        <v>69</v>
      </c>
      <c r="C151">
        <v>14</v>
      </c>
      <c r="D151" t="s">
        <v>82</v>
      </c>
      <c r="E151" t="s">
        <v>84</v>
      </c>
      <c r="F151" t="s">
        <v>72</v>
      </c>
      <c r="G151">
        <v>1.5402911589680199</v>
      </c>
      <c r="H151">
        <v>2E+20</v>
      </c>
      <c r="I151">
        <v>0</v>
      </c>
      <c r="J151">
        <v>4</v>
      </c>
      <c r="K151">
        <v>3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0.56541157258789199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2.4594543622635499</v>
      </c>
      <c r="U151" s="5">
        <f>IF((ContinuousStatsTable[[#This Row],[RepsRequested]]&gt;1),ContinuousStatsTable[[#This Row],[HalfWidth]],ContinuousStatsTable[[#This Row],[BatchMeansHalfWidth]])</f>
        <v>0.1771627845153336</v>
      </c>
    </row>
    <row r="152" spans="1:21" x14ac:dyDescent="0.35">
      <c r="A152" t="s">
        <v>66</v>
      </c>
      <c r="B152" t="s">
        <v>69</v>
      </c>
      <c r="C152">
        <v>14</v>
      </c>
      <c r="D152" t="s">
        <v>91</v>
      </c>
      <c r="E152" t="s">
        <v>87</v>
      </c>
      <c r="F152" t="s">
        <v>88</v>
      </c>
      <c r="G152">
        <v>0.94253215813659197</v>
      </c>
      <c r="H152">
        <v>2E+20</v>
      </c>
      <c r="I152">
        <v>0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0.78808827046509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0.99381255473469199</v>
      </c>
      <c r="U152" s="5">
        <f>IF((ContinuousStatsTable[[#This Row],[RepsRequested]]&gt;1),ContinuousStatsTable[[#This Row],[HalfWidth]],ContinuousStatsTable[[#This Row],[BatchMeansHalfWidth]])</f>
        <v>1.6708231879382019E-2</v>
      </c>
    </row>
    <row r="153" spans="1:21" x14ac:dyDescent="0.35">
      <c r="A153" t="s">
        <v>66</v>
      </c>
      <c r="B153" t="s">
        <v>69</v>
      </c>
      <c r="C153">
        <v>14</v>
      </c>
      <c r="D153" t="s">
        <v>91</v>
      </c>
      <c r="E153" t="s">
        <v>89</v>
      </c>
      <c r="F153" t="s">
        <v>88</v>
      </c>
      <c r="G153">
        <v>2.8275964744097801</v>
      </c>
      <c r="H153">
        <v>2E+20</v>
      </c>
      <c r="I153">
        <v>0</v>
      </c>
      <c r="J153">
        <v>3</v>
      </c>
      <c r="K153">
        <v>3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2.36426481139527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2.9814376642040799</v>
      </c>
      <c r="U153" s="5">
        <f>IF((ContinuousStatsTable[[#This Row],[RepsRequested]]&gt;1),ContinuousStatsTable[[#This Row],[HalfWidth]],ContinuousStatsTable[[#This Row],[BatchMeansHalfWidth]])</f>
        <v>5.0124695638146144E-2</v>
      </c>
    </row>
    <row r="154" spans="1:21" x14ac:dyDescent="0.35">
      <c r="A154" t="s">
        <v>66</v>
      </c>
      <c r="B154" t="s">
        <v>69</v>
      </c>
      <c r="C154">
        <v>14</v>
      </c>
      <c r="D154" t="s">
        <v>91</v>
      </c>
      <c r="E154" t="s">
        <v>90</v>
      </c>
      <c r="F154" t="s">
        <v>88</v>
      </c>
      <c r="G154">
        <v>3</v>
      </c>
      <c r="H154">
        <v>2E+20</v>
      </c>
      <c r="I154">
        <v>3</v>
      </c>
      <c r="J154">
        <v>3</v>
      </c>
      <c r="K154">
        <v>3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3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3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3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 x14ac:dyDescent="0.35">
      <c r="A155" t="s">
        <v>66</v>
      </c>
      <c r="B155" t="s">
        <v>69</v>
      </c>
      <c r="C155">
        <v>14</v>
      </c>
      <c r="D155" t="s">
        <v>83</v>
      </c>
      <c r="E155" t="s">
        <v>84</v>
      </c>
      <c r="F155" t="s">
        <v>72</v>
      </c>
      <c r="G155">
        <v>1.51284972117564</v>
      </c>
      <c r="H155">
        <v>2E+20</v>
      </c>
      <c r="I155">
        <v>0</v>
      </c>
      <c r="J155">
        <v>4</v>
      </c>
      <c r="K155">
        <v>2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0.52883875458038598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2.4798758861082799</v>
      </c>
      <c r="U155" s="5">
        <f>IF((ContinuousStatsTable[[#This Row],[RepsRequested]]&gt;1),ContinuousStatsTable[[#This Row],[HalfWidth]],ContinuousStatsTable[[#This Row],[BatchMeansHalfWidth]])</f>
        <v>0.18745365002732756</v>
      </c>
    </row>
    <row r="156" spans="1:21" x14ac:dyDescent="0.35">
      <c r="A156" t="s">
        <v>66</v>
      </c>
      <c r="B156" t="s">
        <v>69</v>
      </c>
      <c r="C156">
        <v>15</v>
      </c>
      <c r="D156" t="s">
        <v>70</v>
      </c>
      <c r="E156" t="s">
        <v>84</v>
      </c>
      <c r="F156" t="s">
        <v>72</v>
      </c>
      <c r="G156">
        <v>0</v>
      </c>
      <c r="H156">
        <v>2E+20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69</v>
      </c>
      <c r="C157">
        <v>15</v>
      </c>
      <c r="D157" t="s">
        <v>73</v>
      </c>
      <c r="E157" t="s">
        <v>84</v>
      </c>
      <c r="F157" t="s">
        <v>72</v>
      </c>
      <c r="G157">
        <v>1.86499579638993</v>
      </c>
      <c r="H157">
        <v>2E+20</v>
      </c>
      <c r="I157">
        <v>0</v>
      </c>
      <c r="J157">
        <v>10</v>
      </c>
      <c r="K157">
        <v>10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9.63804241981207</v>
      </c>
      <c r="U157" s="5">
        <f>IF((ContinuousStatsTable[[#This Row],[RepsRequested]]&gt;1),ContinuousStatsTable[[#This Row],[HalfWidth]],ContinuousStatsTable[[#This Row],[BatchMeansHalfWidth]])</f>
        <v>0.71632840390540931</v>
      </c>
    </row>
    <row r="158" spans="1:21" x14ac:dyDescent="0.35">
      <c r="A158" t="s">
        <v>66</v>
      </c>
      <c r="B158" t="s">
        <v>69</v>
      </c>
      <c r="C158">
        <v>15</v>
      </c>
      <c r="D158" t="s">
        <v>74</v>
      </c>
      <c r="E158" t="s">
        <v>85</v>
      </c>
      <c r="F158" t="s">
        <v>76</v>
      </c>
      <c r="G158">
        <v>17.077036154134301</v>
      </c>
      <c r="H158">
        <v>2E+20</v>
      </c>
      <c r="I158">
        <v>0</v>
      </c>
      <c r="J158">
        <v>40</v>
      </c>
      <c r="K158">
        <v>40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10.3625915235886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38.218354981839397</v>
      </c>
      <c r="U158" s="5">
        <f>IF((ContinuousStatsTable[[#This Row],[RepsRequested]]&gt;1),ContinuousStatsTable[[#This Row],[HalfWidth]],ContinuousStatsTable[[#This Row],[BatchMeansHalfWidth]])</f>
        <v>2.1690587669162626</v>
      </c>
    </row>
    <row r="159" spans="1:21" x14ac:dyDescent="0.35">
      <c r="A159" t="s">
        <v>66</v>
      </c>
      <c r="B159" t="s">
        <v>69</v>
      </c>
      <c r="C159">
        <v>15</v>
      </c>
      <c r="D159" t="s">
        <v>86</v>
      </c>
      <c r="E159" t="s">
        <v>87</v>
      </c>
      <c r="F159" t="s">
        <v>88</v>
      </c>
      <c r="G159">
        <v>0.66735222806772099</v>
      </c>
      <c r="H159">
        <v>2E+20</v>
      </c>
      <c r="I159">
        <v>0</v>
      </c>
      <c r="J159">
        <v>1</v>
      </c>
      <c r="K159">
        <v>1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0.51812957617942801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0.95110098058068004</v>
      </c>
      <c r="U159" s="5">
        <f>IF((ContinuousStatsTable[[#This Row],[RepsRequested]]&gt;1),ContinuousStatsTable[[#This Row],[HalfWidth]],ContinuousStatsTable[[#This Row],[BatchMeansHalfWidth]])</f>
        <v>4.3613366354194112E-2</v>
      </c>
    </row>
    <row r="160" spans="1:21" x14ac:dyDescent="0.35">
      <c r="A160" t="s">
        <v>66</v>
      </c>
      <c r="B160" t="s">
        <v>69</v>
      </c>
      <c r="C160">
        <v>15</v>
      </c>
      <c r="D160" t="s">
        <v>86</v>
      </c>
      <c r="E160" t="s">
        <v>89</v>
      </c>
      <c r="F160" t="s">
        <v>88</v>
      </c>
      <c r="G160">
        <v>6.6735222806772097</v>
      </c>
      <c r="H160">
        <v>2E+20</v>
      </c>
      <c r="I160">
        <v>0</v>
      </c>
      <c r="J160">
        <v>10</v>
      </c>
      <c r="K160">
        <v>10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5.1812957617942796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9.5110098058068004</v>
      </c>
      <c r="U160" s="5">
        <f>IF((ContinuousStatsTable[[#This Row],[RepsRequested]]&gt;1),ContinuousStatsTable[[#This Row],[HalfWidth]],ContinuousStatsTable[[#This Row],[BatchMeansHalfWidth]])</f>
        <v>0.43613366354194549</v>
      </c>
    </row>
    <row r="161" spans="1:21" x14ac:dyDescent="0.35">
      <c r="A161" t="s">
        <v>66</v>
      </c>
      <c r="B161" t="s">
        <v>69</v>
      </c>
      <c r="C161">
        <v>15</v>
      </c>
      <c r="D161" t="s">
        <v>86</v>
      </c>
      <c r="E161" t="s">
        <v>90</v>
      </c>
      <c r="F161" t="s">
        <v>88</v>
      </c>
      <c r="G161">
        <v>10</v>
      </c>
      <c r="H161">
        <v>2E+20</v>
      </c>
      <c r="I161">
        <v>10</v>
      </c>
      <c r="J161">
        <v>10</v>
      </c>
      <c r="K161">
        <v>10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10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69</v>
      </c>
      <c r="C162">
        <v>15</v>
      </c>
      <c r="D162" t="s">
        <v>82</v>
      </c>
      <c r="E162" t="s">
        <v>84</v>
      </c>
      <c r="F162" t="s">
        <v>72</v>
      </c>
      <c r="G162">
        <v>1.36845397457106</v>
      </c>
      <c r="H162">
        <v>2E+20</v>
      </c>
      <c r="I162">
        <v>0</v>
      </c>
      <c r="J162">
        <v>4</v>
      </c>
      <c r="K162">
        <v>2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0.56541157258789199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2.4594543622635499</v>
      </c>
      <c r="U162" s="5">
        <f>IF((ContinuousStatsTable[[#This Row],[RepsRequested]]&gt;1),ContinuousStatsTable[[#This Row],[HalfWidth]],ContinuousStatsTable[[#This Row],[BatchMeansHalfWidth]])</f>
        <v>0.1771627845153336</v>
      </c>
    </row>
    <row r="163" spans="1:21" x14ac:dyDescent="0.35">
      <c r="A163" t="s">
        <v>66</v>
      </c>
      <c r="B163" t="s">
        <v>69</v>
      </c>
      <c r="C163">
        <v>15</v>
      </c>
      <c r="D163" t="s">
        <v>91</v>
      </c>
      <c r="E163" t="s">
        <v>87</v>
      </c>
      <c r="F163" t="s">
        <v>88</v>
      </c>
      <c r="G163">
        <v>0.86289881439222504</v>
      </c>
      <c r="H163">
        <v>2E+20</v>
      </c>
      <c r="I163">
        <v>0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0.78808827046509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0.99381255473469199</v>
      </c>
      <c r="U163" s="5">
        <f>IF((ContinuousStatsTable[[#This Row],[RepsRequested]]&gt;1),ContinuousStatsTable[[#This Row],[HalfWidth]],ContinuousStatsTable[[#This Row],[BatchMeansHalfWidth]])</f>
        <v>1.6708231879382019E-2</v>
      </c>
    </row>
    <row r="164" spans="1:21" x14ac:dyDescent="0.35">
      <c r="A164" t="s">
        <v>66</v>
      </c>
      <c r="B164" t="s">
        <v>69</v>
      </c>
      <c r="C164">
        <v>15</v>
      </c>
      <c r="D164" t="s">
        <v>91</v>
      </c>
      <c r="E164" t="s">
        <v>89</v>
      </c>
      <c r="F164" t="s">
        <v>88</v>
      </c>
      <c r="G164">
        <v>2.5886964431766701</v>
      </c>
      <c r="H164">
        <v>2E+20</v>
      </c>
      <c r="I164">
        <v>0</v>
      </c>
      <c r="J164">
        <v>3</v>
      </c>
      <c r="K164">
        <v>3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2.36426481139527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2.9814376642040799</v>
      </c>
      <c r="U164" s="5">
        <f>IF((ContinuousStatsTable[[#This Row],[RepsRequested]]&gt;1),ContinuousStatsTable[[#This Row],[HalfWidth]],ContinuousStatsTable[[#This Row],[BatchMeansHalfWidth]])</f>
        <v>5.0124695638146144E-2</v>
      </c>
    </row>
    <row r="165" spans="1:21" x14ac:dyDescent="0.35">
      <c r="A165" t="s">
        <v>66</v>
      </c>
      <c r="B165" t="s">
        <v>69</v>
      </c>
      <c r="C165">
        <v>15</v>
      </c>
      <c r="D165" t="s">
        <v>91</v>
      </c>
      <c r="E165" t="s">
        <v>90</v>
      </c>
      <c r="F165" t="s">
        <v>88</v>
      </c>
      <c r="G165">
        <v>3</v>
      </c>
      <c r="H165">
        <v>2E+20</v>
      </c>
      <c r="I165">
        <v>3</v>
      </c>
      <c r="J165">
        <v>3</v>
      </c>
      <c r="K165">
        <v>3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3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3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3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66</v>
      </c>
      <c r="B166" t="s">
        <v>69</v>
      </c>
      <c r="C166">
        <v>15</v>
      </c>
      <c r="D166" t="s">
        <v>83</v>
      </c>
      <c r="E166" t="s">
        <v>84</v>
      </c>
      <c r="F166" t="s">
        <v>72</v>
      </c>
      <c r="G166">
        <v>1.17153929600738</v>
      </c>
      <c r="H166">
        <v>2E+20</v>
      </c>
      <c r="I166">
        <v>0</v>
      </c>
      <c r="J166">
        <v>5</v>
      </c>
      <c r="K166">
        <v>3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0.52883875458038598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2.4798758861082799</v>
      </c>
      <c r="U166" s="5">
        <f>IF((ContinuousStatsTable[[#This Row],[RepsRequested]]&gt;1),ContinuousStatsTable[[#This Row],[HalfWidth]],ContinuousStatsTable[[#This Row],[BatchMeansHalfWidth]])</f>
        <v>0.18745365002732756</v>
      </c>
    </row>
    <row r="167" spans="1:21" x14ac:dyDescent="0.35">
      <c r="A167" t="s">
        <v>66</v>
      </c>
      <c r="B167" t="s">
        <v>69</v>
      </c>
      <c r="C167">
        <v>16</v>
      </c>
      <c r="D167" t="s">
        <v>70</v>
      </c>
      <c r="E167" t="s">
        <v>84</v>
      </c>
      <c r="F167" t="s">
        <v>72</v>
      </c>
      <c r="G167">
        <v>0</v>
      </c>
      <c r="H167">
        <v>2E+20</v>
      </c>
      <c r="I167">
        <v>0</v>
      </c>
      <c r="J167">
        <v>1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35">
      <c r="A168" t="s">
        <v>66</v>
      </c>
      <c r="B168" t="s">
        <v>69</v>
      </c>
      <c r="C168">
        <v>16</v>
      </c>
      <c r="D168" t="s">
        <v>73</v>
      </c>
      <c r="E168" t="s">
        <v>84</v>
      </c>
      <c r="F168" t="s">
        <v>72</v>
      </c>
      <c r="G168">
        <v>6.8215694864643597</v>
      </c>
      <c r="H168">
        <v>2E+20</v>
      </c>
      <c r="I168">
        <v>0</v>
      </c>
      <c r="J168">
        <v>17</v>
      </c>
      <c r="K168">
        <v>16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9.63804241981207</v>
      </c>
      <c r="U168" s="5">
        <f>IF((ContinuousStatsTable[[#This Row],[RepsRequested]]&gt;1),ContinuousStatsTable[[#This Row],[HalfWidth]],ContinuousStatsTable[[#This Row],[BatchMeansHalfWidth]])</f>
        <v>0.71632840390540931</v>
      </c>
    </row>
    <row r="169" spans="1:21" x14ac:dyDescent="0.35">
      <c r="A169" t="s">
        <v>66</v>
      </c>
      <c r="B169" t="s">
        <v>69</v>
      </c>
      <c r="C169">
        <v>16</v>
      </c>
      <c r="D169" t="s">
        <v>74</v>
      </c>
      <c r="E169" t="s">
        <v>85</v>
      </c>
      <c r="F169" t="s">
        <v>76</v>
      </c>
      <c r="G169">
        <v>32.287706351693302</v>
      </c>
      <c r="H169">
        <v>2E+20</v>
      </c>
      <c r="I169">
        <v>0</v>
      </c>
      <c r="J169">
        <v>54</v>
      </c>
      <c r="K169">
        <v>52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10.3625915235886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38.218354981839397</v>
      </c>
      <c r="U169" s="5">
        <f>IF((ContinuousStatsTable[[#This Row],[RepsRequested]]&gt;1),ContinuousStatsTable[[#This Row],[HalfWidth]],ContinuousStatsTable[[#This Row],[BatchMeansHalfWidth]])</f>
        <v>2.1690587669162626</v>
      </c>
    </row>
    <row r="170" spans="1:21" x14ac:dyDescent="0.35">
      <c r="A170" t="s">
        <v>66</v>
      </c>
      <c r="B170" t="s">
        <v>69</v>
      </c>
      <c r="C170">
        <v>16</v>
      </c>
      <c r="D170" t="s">
        <v>86</v>
      </c>
      <c r="E170" t="s">
        <v>87</v>
      </c>
      <c r="F170" t="s">
        <v>88</v>
      </c>
      <c r="G170">
        <v>0.93222836893822703</v>
      </c>
      <c r="H170">
        <v>2E+20</v>
      </c>
      <c r="I170">
        <v>0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0.51812957617942801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0.95110098058068004</v>
      </c>
      <c r="U170" s="5">
        <f>IF((ContinuousStatsTable[[#This Row],[RepsRequested]]&gt;1),ContinuousStatsTable[[#This Row],[HalfWidth]],ContinuousStatsTable[[#This Row],[BatchMeansHalfWidth]])</f>
        <v>4.3613366354194112E-2</v>
      </c>
    </row>
    <row r="171" spans="1:21" x14ac:dyDescent="0.35">
      <c r="A171" t="s">
        <v>66</v>
      </c>
      <c r="B171" t="s">
        <v>69</v>
      </c>
      <c r="C171">
        <v>16</v>
      </c>
      <c r="D171" t="s">
        <v>86</v>
      </c>
      <c r="E171" t="s">
        <v>89</v>
      </c>
      <c r="F171" t="s">
        <v>88</v>
      </c>
      <c r="G171">
        <v>9.3222836893822691</v>
      </c>
      <c r="H171">
        <v>2E+20</v>
      </c>
      <c r="I171">
        <v>0</v>
      </c>
      <c r="J171">
        <v>10</v>
      </c>
      <c r="K171">
        <v>10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5.1812957617942796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9.5110098058068004</v>
      </c>
      <c r="U171" s="5">
        <f>IF((ContinuousStatsTable[[#This Row],[RepsRequested]]&gt;1),ContinuousStatsTable[[#This Row],[HalfWidth]],ContinuousStatsTable[[#This Row],[BatchMeansHalfWidth]])</f>
        <v>0.43613366354194549</v>
      </c>
    </row>
    <row r="172" spans="1:21" x14ac:dyDescent="0.35">
      <c r="A172" t="s">
        <v>66</v>
      </c>
      <c r="B172" t="s">
        <v>69</v>
      </c>
      <c r="C172">
        <v>16</v>
      </c>
      <c r="D172" t="s">
        <v>86</v>
      </c>
      <c r="E172" t="s">
        <v>90</v>
      </c>
      <c r="F172" t="s">
        <v>88</v>
      </c>
      <c r="G172">
        <v>10</v>
      </c>
      <c r="H172">
        <v>2E+20</v>
      </c>
      <c r="I172">
        <v>10</v>
      </c>
      <c r="J172">
        <v>10</v>
      </c>
      <c r="K172">
        <v>10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10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10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10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35">
      <c r="A173" t="s">
        <v>66</v>
      </c>
      <c r="B173" t="s">
        <v>69</v>
      </c>
      <c r="C173">
        <v>16</v>
      </c>
      <c r="D173" t="s">
        <v>82</v>
      </c>
      <c r="E173" t="s">
        <v>84</v>
      </c>
      <c r="F173" t="s">
        <v>72</v>
      </c>
      <c r="G173">
        <v>2.26699319012867</v>
      </c>
      <c r="H173">
        <v>2E+20</v>
      </c>
      <c r="I173">
        <v>0</v>
      </c>
      <c r="J173">
        <v>4</v>
      </c>
      <c r="K173">
        <v>3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0.56541157258789199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2.4594543622635499</v>
      </c>
      <c r="U173" s="5">
        <f>IF((ContinuousStatsTable[[#This Row],[RepsRequested]]&gt;1),ContinuousStatsTable[[#This Row],[HalfWidth]],ContinuousStatsTable[[#This Row],[BatchMeansHalfWidth]])</f>
        <v>0.1771627845153336</v>
      </c>
    </row>
    <row r="174" spans="1:21" x14ac:dyDescent="0.35">
      <c r="A174" t="s">
        <v>66</v>
      </c>
      <c r="B174" t="s">
        <v>69</v>
      </c>
      <c r="C174">
        <v>16</v>
      </c>
      <c r="D174" t="s">
        <v>91</v>
      </c>
      <c r="E174" t="s">
        <v>87</v>
      </c>
      <c r="F174" t="s">
        <v>88</v>
      </c>
      <c r="G174">
        <v>0.98279294374320203</v>
      </c>
      <c r="H174">
        <v>2E+20</v>
      </c>
      <c r="I174">
        <v>0</v>
      </c>
      <c r="J174">
        <v>1</v>
      </c>
      <c r="K174">
        <v>1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0.78808827046509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0.99381255473469199</v>
      </c>
      <c r="U174" s="5">
        <f>IF((ContinuousStatsTable[[#This Row],[RepsRequested]]&gt;1),ContinuousStatsTable[[#This Row],[HalfWidth]],ContinuousStatsTable[[#This Row],[BatchMeansHalfWidth]])</f>
        <v>1.6708231879382019E-2</v>
      </c>
    </row>
    <row r="175" spans="1:21" x14ac:dyDescent="0.35">
      <c r="A175" t="s">
        <v>66</v>
      </c>
      <c r="B175" t="s">
        <v>69</v>
      </c>
      <c r="C175">
        <v>16</v>
      </c>
      <c r="D175" t="s">
        <v>91</v>
      </c>
      <c r="E175" t="s">
        <v>89</v>
      </c>
      <c r="F175" t="s">
        <v>88</v>
      </c>
      <c r="G175">
        <v>2.94837883122961</v>
      </c>
      <c r="H175">
        <v>2E+20</v>
      </c>
      <c r="I175">
        <v>0</v>
      </c>
      <c r="J175">
        <v>3</v>
      </c>
      <c r="K175">
        <v>3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2.36426481139527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2.9814376642040799</v>
      </c>
      <c r="U175" s="5">
        <f>IF((ContinuousStatsTable[[#This Row],[RepsRequested]]&gt;1),ContinuousStatsTable[[#This Row],[HalfWidth]],ContinuousStatsTable[[#This Row],[BatchMeansHalfWidth]])</f>
        <v>5.0124695638146144E-2</v>
      </c>
    </row>
    <row r="176" spans="1:21" x14ac:dyDescent="0.35">
      <c r="A176" t="s">
        <v>66</v>
      </c>
      <c r="B176" t="s">
        <v>69</v>
      </c>
      <c r="C176">
        <v>16</v>
      </c>
      <c r="D176" t="s">
        <v>91</v>
      </c>
      <c r="E176" t="s">
        <v>90</v>
      </c>
      <c r="F176" t="s">
        <v>88</v>
      </c>
      <c r="G176">
        <v>3</v>
      </c>
      <c r="H176">
        <v>2E+20</v>
      </c>
      <c r="I176">
        <v>3</v>
      </c>
      <c r="J176">
        <v>3</v>
      </c>
      <c r="K176">
        <v>3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3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3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3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69</v>
      </c>
      <c r="C177">
        <v>16</v>
      </c>
      <c r="D177" t="s">
        <v>83</v>
      </c>
      <c r="E177" t="s">
        <v>84</v>
      </c>
      <c r="F177" t="s">
        <v>72</v>
      </c>
      <c r="G177">
        <v>2.2946844425753401</v>
      </c>
      <c r="H177">
        <v>2E+20</v>
      </c>
      <c r="I177">
        <v>0</v>
      </c>
      <c r="J177">
        <v>5</v>
      </c>
      <c r="K177">
        <v>2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0.52883875458038598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2.4798758861082799</v>
      </c>
      <c r="U177" s="5">
        <f>IF((ContinuousStatsTable[[#This Row],[RepsRequested]]&gt;1),ContinuousStatsTable[[#This Row],[HalfWidth]],ContinuousStatsTable[[#This Row],[BatchMeansHalfWidth]])</f>
        <v>0.18745365002732756</v>
      </c>
    </row>
    <row r="178" spans="1:21" x14ac:dyDescent="0.35">
      <c r="A178" t="s">
        <v>66</v>
      </c>
      <c r="B178" t="s">
        <v>69</v>
      </c>
      <c r="C178">
        <v>17</v>
      </c>
      <c r="D178" t="s">
        <v>70</v>
      </c>
      <c r="E178" t="s">
        <v>84</v>
      </c>
      <c r="F178" t="s">
        <v>72</v>
      </c>
      <c r="G178">
        <v>0</v>
      </c>
      <c r="H178">
        <v>2E+20</v>
      </c>
      <c r="I178">
        <v>0</v>
      </c>
      <c r="J178">
        <v>1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0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0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35">
      <c r="A179" t="s">
        <v>66</v>
      </c>
      <c r="B179" t="s">
        <v>69</v>
      </c>
      <c r="C179">
        <v>17</v>
      </c>
      <c r="D179" t="s">
        <v>73</v>
      </c>
      <c r="E179" t="s">
        <v>84</v>
      </c>
      <c r="F179" t="s">
        <v>72</v>
      </c>
      <c r="G179">
        <v>9.0102996571131605E-2</v>
      </c>
      <c r="H179">
        <v>2E+20</v>
      </c>
      <c r="I179">
        <v>0</v>
      </c>
      <c r="J179">
        <v>2</v>
      </c>
      <c r="K179">
        <v>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9.63804241981207</v>
      </c>
      <c r="U179" s="5">
        <f>IF((ContinuousStatsTable[[#This Row],[RepsRequested]]&gt;1),ContinuousStatsTable[[#This Row],[HalfWidth]],ContinuousStatsTable[[#This Row],[BatchMeansHalfWidth]])</f>
        <v>0.71632840390540931</v>
      </c>
    </row>
    <row r="180" spans="1:21" x14ac:dyDescent="0.35">
      <c r="A180" t="s">
        <v>66</v>
      </c>
      <c r="B180" t="s">
        <v>69</v>
      </c>
      <c r="C180">
        <v>17</v>
      </c>
      <c r="D180" t="s">
        <v>74</v>
      </c>
      <c r="E180" t="s">
        <v>85</v>
      </c>
      <c r="F180" t="s">
        <v>76</v>
      </c>
      <c r="G180">
        <v>14.8339950557439</v>
      </c>
      <c r="H180">
        <v>2E+20</v>
      </c>
      <c r="I180">
        <v>0</v>
      </c>
      <c r="J180">
        <v>24</v>
      </c>
      <c r="K180">
        <v>12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10.3625915235886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38.218354981839397</v>
      </c>
      <c r="U180" s="5">
        <f>IF((ContinuousStatsTable[[#This Row],[RepsRequested]]&gt;1),ContinuousStatsTable[[#This Row],[HalfWidth]],ContinuousStatsTable[[#This Row],[BatchMeansHalfWidth]])</f>
        <v>2.1690587669162626</v>
      </c>
    </row>
    <row r="181" spans="1:21" x14ac:dyDescent="0.35">
      <c r="A181" t="s">
        <v>66</v>
      </c>
      <c r="B181" t="s">
        <v>69</v>
      </c>
      <c r="C181">
        <v>17</v>
      </c>
      <c r="D181" t="s">
        <v>86</v>
      </c>
      <c r="E181" t="s">
        <v>87</v>
      </c>
      <c r="F181" t="s">
        <v>88</v>
      </c>
      <c r="G181">
        <v>0.73268945313008005</v>
      </c>
      <c r="H181">
        <v>2E+20</v>
      </c>
      <c r="I181">
        <v>0</v>
      </c>
      <c r="J181">
        <v>1</v>
      </c>
      <c r="K181">
        <v>0.6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0.51812957617942801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0.95110098058068004</v>
      </c>
      <c r="U181" s="5">
        <f>IF((ContinuousStatsTable[[#This Row],[RepsRequested]]&gt;1),ContinuousStatsTable[[#This Row],[HalfWidth]],ContinuousStatsTable[[#This Row],[BatchMeansHalfWidth]])</f>
        <v>4.3613366354194112E-2</v>
      </c>
    </row>
    <row r="182" spans="1:21" x14ac:dyDescent="0.35">
      <c r="A182" t="s">
        <v>66</v>
      </c>
      <c r="B182" t="s">
        <v>69</v>
      </c>
      <c r="C182">
        <v>17</v>
      </c>
      <c r="D182" t="s">
        <v>86</v>
      </c>
      <c r="E182" t="s">
        <v>89</v>
      </c>
      <c r="F182" t="s">
        <v>88</v>
      </c>
      <c r="G182">
        <v>7.3268945313008</v>
      </c>
      <c r="H182">
        <v>2E+20</v>
      </c>
      <c r="I182">
        <v>0</v>
      </c>
      <c r="J182">
        <v>10</v>
      </c>
      <c r="K182">
        <v>6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5.1812957617942796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9.5110098058068004</v>
      </c>
      <c r="U182" s="5">
        <f>IF((ContinuousStatsTable[[#This Row],[RepsRequested]]&gt;1),ContinuousStatsTable[[#This Row],[HalfWidth]],ContinuousStatsTable[[#This Row],[BatchMeansHalfWidth]])</f>
        <v>0.43613366354194549</v>
      </c>
    </row>
    <row r="183" spans="1:21" x14ac:dyDescent="0.35">
      <c r="A183" t="s">
        <v>66</v>
      </c>
      <c r="B183" t="s">
        <v>69</v>
      </c>
      <c r="C183">
        <v>17</v>
      </c>
      <c r="D183" t="s">
        <v>86</v>
      </c>
      <c r="E183" t="s">
        <v>90</v>
      </c>
      <c r="F183" t="s">
        <v>88</v>
      </c>
      <c r="G183">
        <v>10</v>
      </c>
      <c r="H183">
        <v>2E+20</v>
      </c>
      <c r="I183">
        <v>10</v>
      </c>
      <c r="J183">
        <v>10</v>
      </c>
      <c r="K183">
        <v>10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10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10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35">
      <c r="A184" t="s">
        <v>66</v>
      </c>
      <c r="B184" t="s">
        <v>69</v>
      </c>
      <c r="C184">
        <v>17</v>
      </c>
      <c r="D184" t="s">
        <v>82</v>
      </c>
      <c r="E184" t="s">
        <v>84</v>
      </c>
      <c r="F184" t="s">
        <v>72</v>
      </c>
      <c r="G184">
        <v>1.5732030460616699</v>
      </c>
      <c r="H184">
        <v>2E+20</v>
      </c>
      <c r="I184">
        <v>0</v>
      </c>
      <c r="J184">
        <v>4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0.56541157258789199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2.4594543622635499</v>
      </c>
      <c r="U184" s="5">
        <f>IF((ContinuousStatsTable[[#This Row],[RepsRequested]]&gt;1),ContinuousStatsTable[[#This Row],[HalfWidth]],ContinuousStatsTable[[#This Row],[BatchMeansHalfWidth]])</f>
        <v>0.1771627845153336</v>
      </c>
    </row>
    <row r="185" spans="1:21" x14ac:dyDescent="0.35">
      <c r="A185" t="s">
        <v>66</v>
      </c>
      <c r="B185" t="s">
        <v>69</v>
      </c>
      <c r="C185">
        <v>17</v>
      </c>
      <c r="D185" t="s">
        <v>91</v>
      </c>
      <c r="E185" t="s">
        <v>87</v>
      </c>
      <c r="F185" t="s">
        <v>88</v>
      </c>
      <c r="G185">
        <v>0.89876365143109904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0.78808827046509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0.99381255473469199</v>
      </c>
      <c r="U185" s="5">
        <f>IF((ContinuousStatsTable[[#This Row],[RepsRequested]]&gt;1),ContinuousStatsTable[[#This Row],[HalfWidth]],ContinuousStatsTable[[#This Row],[BatchMeansHalfWidth]])</f>
        <v>1.6708231879382019E-2</v>
      </c>
    </row>
    <row r="186" spans="1:21" x14ac:dyDescent="0.35">
      <c r="A186" t="s">
        <v>66</v>
      </c>
      <c r="B186" t="s">
        <v>69</v>
      </c>
      <c r="C186">
        <v>17</v>
      </c>
      <c r="D186" t="s">
        <v>91</v>
      </c>
      <c r="E186" t="s">
        <v>89</v>
      </c>
      <c r="F186" t="s">
        <v>88</v>
      </c>
      <c r="G186">
        <v>2.6962909542932998</v>
      </c>
      <c r="H186">
        <v>2E+20</v>
      </c>
      <c r="I186">
        <v>0</v>
      </c>
      <c r="J186">
        <v>3</v>
      </c>
      <c r="K186">
        <v>3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2.36426481139527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2.9814376642040799</v>
      </c>
      <c r="U186" s="5">
        <f>IF((ContinuousStatsTable[[#This Row],[RepsRequested]]&gt;1),ContinuousStatsTable[[#This Row],[HalfWidth]],ContinuousStatsTable[[#This Row],[BatchMeansHalfWidth]])</f>
        <v>5.0124695638146144E-2</v>
      </c>
    </row>
    <row r="187" spans="1:21" x14ac:dyDescent="0.35">
      <c r="A187" t="s">
        <v>66</v>
      </c>
      <c r="B187" t="s">
        <v>69</v>
      </c>
      <c r="C187">
        <v>17</v>
      </c>
      <c r="D187" t="s">
        <v>91</v>
      </c>
      <c r="E187" t="s">
        <v>90</v>
      </c>
      <c r="F187" t="s">
        <v>88</v>
      </c>
      <c r="G187">
        <v>3</v>
      </c>
      <c r="H187">
        <v>2E+20</v>
      </c>
      <c r="I187">
        <v>3</v>
      </c>
      <c r="J187">
        <v>3</v>
      </c>
      <c r="K187">
        <v>3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3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3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3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35">
      <c r="A188" t="s">
        <v>66</v>
      </c>
      <c r="B188" t="s">
        <v>69</v>
      </c>
      <c r="C188">
        <v>17</v>
      </c>
      <c r="D188" t="s">
        <v>83</v>
      </c>
      <c r="E188" t="s">
        <v>84</v>
      </c>
      <c r="F188" t="s">
        <v>72</v>
      </c>
      <c r="G188">
        <v>1.4994584002089399</v>
      </c>
      <c r="H188">
        <v>2E+20</v>
      </c>
      <c r="I188">
        <v>0</v>
      </c>
      <c r="J188">
        <v>4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0.52883875458038598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2.4798758861082799</v>
      </c>
      <c r="U188" s="5">
        <f>IF((ContinuousStatsTable[[#This Row],[RepsRequested]]&gt;1),ContinuousStatsTable[[#This Row],[HalfWidth]],ContinuousStatsTable[[#This Row],[BatchMeansHalfWidth]])</f>
        <v>0.18745365002732756</v>
      </c>
    </row>
    <row r="189" spans="1:21" x14ac:dyDescent="0.35">
      <c r="A189" t="s">
        <v>66</v>
      </c>
      <c r="B189" t="s">
        <v>69</v>
      </c>
      <c r="C189">
        <v>18</v>
      </c>
      <c r="D189" t="s">
        <v>70</v>
      </c>
      <c r="E189" t="s">
        <v>84</v>
      </c>
      <c r="F189" t="s">
        <v>72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35">
      <c r="A190" t="s">
        <v>66</v>
      </c>
      <c r="B190" t="s">
        <v>69</v>
      </c>
      <c r="C190">
        <v>18</v>
      </c>
      <c r="D190" t="s">
        <v>73</v>
      </c>
      <c r="E190" t="s">
        <v>84</v>
      </c>
      <c r="F190" t="s">
        <v>72</v>
      </c>
      <c r="G190">
        <v>1.0885150319311601</v>
      </c>
      <c r="H190">
        <v>2E+20</v>
      </c>
      <c r="I190">
        <v>0</v>
      </c>
      <c r="J190">
        <v>6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9.63804241981207</v>
      </c>
      <c r="U190" s="5">
        <f>IF((ContinuousStatsTable[[#This Row],[RepsRequested]]&gt;1),ContinuousStatsTable[[#This Row],[HalfWidth]],ContinuousStatsTable[[#This Row],[BatchMeansHalfWidth]])</f>
        <v>0.71632840390540931</v>
      </c>
    </row>
    <row r="191" spans="1:21" x14ac:dyDescent="0.35">
      <c r="A191" t="s">
        <v>66</v>
      </c>
      <c r="B191" t="s">
        <v>69</v>
      </c>
      <c r="C191">
        <v>18</v>
      </c>
      <c r="D191" t="s">
        <v>74</v>
      </c>
      <c r="E191" t="s">
        <v>85</v>
      </c>
      <c r="F191" t="s">
        <v>76</v>
      </c>
      <c r="G191">
        <v>18.824732140581101</v>
      </c>
      <c r="H191">
        <v>2E+20</v>
      </c>
      <c r="I191">
        <v>0</v>
      </c>
      <c r="J191">
        <v>32</v>
      </c>
      <c r="K191">
        <v>20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10.3625915235886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38.218354981839397</v>
      </c>
      <c r="U191" s="5">
        <f>IF((ContinuousStatsTable[[#This Row],[RepsRequested]]&gt;1),ContinuousStatsTable[[#This Row],[HalfWidth]],ContinuousStatsTable[[#This Row],[BatchMeansHalfWidth]])</f>
        <v>2.1690587669162626</v>
      </c>
    </row>
    <row r="192" spans="1:21" x14ac:dyDescent="0.35">
      <c r="A192" t="s">
        <v>66</v>
      </c>
      <c r="B192" t="s">
        <v>69</v>
      </c>
      <c r="C192">
        <v>18</v>
      </c>
      <c r="D192" t="s">
        <v>86</v>
      </c>
      <c r="E192" t="s">
        <v>87</v>
      </c>
      <c r="F192" t="s">
        <v>88</v>
      </c>
      <c r="G192">
        <v>0.832385103835939</v>
      </c>
      <c r="H192">
        <v>2E+20</v>
      </c>
      <c r="I192">
        <v>0</v>
      </c>
      <c r="J192">
        <v>1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0.51812957617942801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0.95110098058068004</v>
      </c>
      <c r="U192" s="5">
        <f>IF((ContinuousStatsTable[[#This Row],[RepsRequested]]&gt;1),ContinuousStatsTable[[#This Row],[HalfWidth]],ContinuousStatsTable[[#This Row],[BatchMeansHalfWidth]])</f>
        <v>4.3613366354194112E-2</v>
      </c>
    </row>
    <row r="193" spans="1:21" x14ac:dyDescent="0.35">
      <c r="A193" t="s">
        <v>66</v>
      </c>
      <c r="B193" t="s">
        <v>69</v>
      </c>
      <c r="C193">
        <v>18</v>
      </c>
      <c r="D193" t="s">
        <v>86</v>
      </c>
      <c r="E193" t="s">
        <v>89</v>
      </c>
      <c r="F193" t="s">
        <v>88</v>
      </c>
      <c r="G193">
        <v>8.3238510383593898</v>
      </c>
      <c r="H193">
        <v>2E+20</v>
      </c>
      <c r="I193">
        <v>0</v>
      </c>
      <c r="J193">
        <v>10</v>
      </c>
      <c r="K193">
        <v>10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5.1812957617942796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9.5110098058068004</v>
      </c>
      <c r="U193" s="5">
        <f>IF((ContinuousStatsTable[[#This Row],[RepsRequested]]&gt;1),ContinuousStatsTable[[#This Row],[HalfWidth]],ContinuousStatsTable[[#This Row],[BatchMeansHalfWidth]])</f>
        <v>0.43613366354194549</v>
      </c>
    </row>
    <row r="194" spans="1:21" x14ac:dyDescent="0.35">
      <c r="A194" t="s">
        <v>66</v>
      </c>
      <c r="B194" t="s">
        <v>69</v>
      </c>
      <c r="C194">
        <v>18</v>
      </c>
      <c r="D194" t="s">
        <v>86</v>
      </c>
      <c r="E194" t="s">
        <v>90</v>
      </c>
      <c r="F194" t="s">
        <v>88</v>
      </c>
      <c r="G194">
        <v>10</v>
      </c>
      <c r="H194">
        <v>2E+20</v>
      </c>
      <c r="I194">
        <v>10</v>
      </c>
      <c r="J194">
        <v>10</v>
      </c>
      <c r="K194">
        <v>10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10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10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10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35">
      <c r="A195" t="s">
        <v>66</v>
      </c>
      <c r="B195" t="s">
        <v>69</v>
      </c>
      <c r="C195">
        <v>18</v>
      </c>
      <c r="D195" t="s">
        <v>82</v>
      </c>
      <c r="E195" t="s">
        <v>84</v>
      </c>
      <c r="F195" t="s">
        <v>72</v>
      </c>
      <c r="G195">
        <v>1.96779607605831</v>
      </c>
      <c r="H195">
        <v>2E+20</v>
      </c>
      <c r="I195">
        <v>0</v>
      </c>
      <c r="J195">
        <v>5</v>
      </c>
      <c r="K195">
        <v>3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0.56541157258789199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2.4594543622635499</v>
      </c>
      <c r="U195" s="5">
        <f>IF((ContinuousStatsTable[[#This Row],[RepsRequested]]&gt;1),ContinuousStatsTable[[#This Row],[HalfWidth]],ContinuousStatsTable[[#This Row],[BatchMeansHalfWidth]])</f>
        <v>0.1771627845153336</v>
      </c>
    </row>
    <row r="196" spans="1:21" x14ac:dyDescent="0.35">
      <c r="A196" t="s">
        <v>66</v>
      </c>
      <c r="B196" t="s">
        <v>69</v>
      </c>
      <c r="C196">
        <v>18</v>
      </c>
      <c r="D196" t="s">
        <v>91</v>
      </c>
      <c r="E196" t="s">
        <v>87</v>
      </c>
      <c r="F196" t="s">
        <v>88</v>
      </c>
      <c r="G196">
        <v>0.95525235919117102</v>
      </c>
      <c r="H196">
        <v>2E+20</v>
      </c>
      <c r="I196">
        <v>0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0.78808827046509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0.99381255473469199</v>
      </c>
      <c r="U196" s="5">
        <f>IF((ContinuousStatsTable[[#This Row],[RepsRequested]]&gt;1),ContinuousStatsTable[[#This Row],[HalfWidth]],ContinuousStatsTable[[#This Row],[BatchMeansHalfWidth]])</f>
        <v>1.6708231879382019E-2</v>
      </c>
    </row>
    <row r="197" spans="1:21" x14ac:dyDescent="0.35">
      <c r="A197" t="s">
        <v>66</v>
      </c>
      <c r="B197" t="s">
        <v>69</v>
      </c>
      <c r="C197">
        <v>18</v>
      </c>
      <c r="D197" t="s">
        <v>91</v>
      </c>
      <c r="E197" t="s">
        <v>89</v>
      </c>
      <c r="F197" t="s">
        <v>88</v>
      </c>
      <c r="G197">
        <v>2.8657570775735102</v>
      </c>
      <c r="H197">
        <v>2E+20</v>
      </c>
      <c r="I197">
        <v>0</v>
      </c>
      <c r="J197">
        <v>3</v>
      </c>
      <c r="K197">
        <v>3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2.36426481139527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2.9814376642040799</v>
      </c>
      <c r="U197" s="5">
        <f>IF((ContinuousStatsTable[[#This Row],[RepsRequested]]&gt;1),ContinuousStatsTable[[#This Row],[HalfWidth]],ContinuousStatsTable[[#This Row],[BatchMeansHalfWidth]])</f>
        <v>5.0124695638146144E-2</v>
      </c>
    </row>
    <row r="198" spans="1:21" x14ac:dyDescent="0.35">
      <c r="A198" t="s">
        <v>66</v>
      </c>
      <c r="B198" t="s">
        <v>69</v>
      </c>
      <c r="C198">
        <v>18</v>
      </c>
      <c r="D198" t="s">
        <v>91</v>
      </c>
      <c r="E198" t="s">
        <v>90</v>
      </c>
      <c r="F198" t="s">
        <v>88</v>
      </c>
      <c r="G198">
        <v>3</v>
      </c>
      <c r="H198">
        <v>2E+20</v>
      </c>
      <c r="I198">
        <v>3</v>
      </c>
      <c r="J198">
        <v>3</v>
      </c>
      <c r="K198">
        <v>3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3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3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3</v>
      </c>
      <c r="U198" s="5">
        <f>IF((ContinuousStatsTable[[#This Row],[RepsRequested]]&gt;1),ContinuousStatsTable[[#This Row],[HalfWidth]],ContinuousStatsTable[[#This Row],[BatchMeansHalfWidth]])</f>
        <v>0</v>
      </c>
    </row>
    <row r="199" spans="1:21" x14ac:dyDescent="0.35">
      <c r="A199" t="s">
        <v>66</v>
      </c>
      <c r="B199" t="s">
        <v>69</v>
      </c>
      <c r="C199">
        <v>18</v>
      </c>
      <c r="D199" t="s">
        <v>83</v>
      </c>
      <c r="E199" t="s">
        <v>84</v>
      </c>
      <c r="F199" t="s">
        <v>72</v>
      </c>
      <c r="G199">
        <v>1.8131611870164399</v>
      </c>
      <c r="H199">
        <v>2E+20</v>
      </c>
      <c r="I199">
        <v>0</v>
      </c>
      <c r="J199">
        <v>4</v>
      </c>
      <c r="K199">
        <v>3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0.52883875458038598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2.4798758861082799</v>
      </c>
      <c r="U199" s="5">
        <f>IF((ContinuousStatsTable[[#This Row],[RepsRequested]]&gt;1),ContinuousStatsTable[[#This Row],[HalfWidth]],ContinuousStatsTable[[#This Row],[BatchMeansHalfWidth]])</f>
        <v>0.18745365002732756</v>
      </c>
    </row>
    <row r="200" spans="1:21" x14ac:dyDescent="0.35">
      <c r="A200" t="s">
        <v>66</v>
      </c>
      <c r="B200" t="s">
        <v>69</v>
      </c>
      <c r="C200">
        <v>19</v>
      </c>
      <c r="D200" t="s">
        <v>70</v>
      </c>
      <c r="E200" t="s">
        <v>84</v>
      </c>
      <c r="F200" t="s">
        <v>72</v>
      </c>
      <c r="G200">
        <v>0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35">
      <c r="A201" t="s">
        <v>66</v>
      </c>
      <c r="B201" t="s">
        <v>69</v>
      </c>
      <c r="C201">
        <v>19</v>
      </c>
      <c r="D201" t="s">
        <v>73</v>
      </c>
      <c r="E201" t="s">
        <v>84</v>
      </c>
      <c r="F201" t="s">
        <v>72</v>
      </c>
      <c r="G201">
        <v>0.157691053174845</v>
      </c>
      <c r="H201">
        <v>2E+20</v>
      </c>
      <c r="I201">
        <v>0</v>
      </c>
      <c r="J201">
        <v>5</v>
      </c>
      <c r="K201">
        <v>5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9.63804241981207</v>
      </c>
      <c r="U201" s="5">
        <f>IF((ContinuousStatsTable[[#This Row],[RepsRequested]]&gt;1),ContinuousStatsTable[[#This Row],[HalfWidth]],ContinuousStatsTable[[#This Row],[BatchMeansHalfWidth]])</f>
        <v>0.71632840390540931</v>
      </c>
    </row>
    <row r="202" spans="1:21" x14ac:dyDescent="0.35">
      <c r="A202" t="s">
        <v>66</v>
      </c>
      <c r="B202" t="s">
        <v>69</v>
      </c>
      <c r="C202">
        <v>19</v>
      </c>
      <c r="D202" t="s">
        <v>74</v>
      </c>
      <c r="E202" t="s">
        <v>85</v>
      </c>
      <c r="F202" t="s">
        <v>76</v>
      </c>
      <c r="G202">
        <v>13.7794198512869</v>
      </c>
      <c r="H202">
        <v>2E+20</v>
      </c>
      <c r="I202">
        <v>0</v>
      </c>
      <c r="J202">
        <v>31</v>
      </c>
      <c r="K202">
        <v>30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10.3625915235886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38.218354981839397</v>
      </c>
      <c r="U202" s="5">
        <f>IF((ContinuousStatsTable[[#This Row],[RepsRequested]]&gt;1),ContinuousStatsTable[[#This Row],[HalfWidth]],ContinuousStatsTable[[#This Row],[BatchMeansHalfWidth]])</f>
        <v>2.1690587669162626</v>
      </c>
    </row>
    <row r="203" spans="1:21" x14ac:dyDescent="0.35">
      <c r="A203" t="s">
        <v>66</v>
      </c>
      <c r="B203" t="s">
        <v>69</v>
      </c>
      <c r="C203">
        <v>19</v>
      </c>
      <c r="D203" t="s">
        <v>86</v>
      </c>
      <c r="E203" t="s">
        <v>87</v>
      </c>
      <c r="F203" t="s">
        <v>88</v>
      </c>
      <c r="G203">
        <v>0.67320188724686003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0.51812957617942801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0.95110098058068004</v>
      </c>
      <c r="U203" s="5">
        <f>IF((ContinuousStatsTable[[#This Row],[RepsRequested]]&gt;1),ContinuousStatsTable[[#This Row],[HalfWidth]],ContinuousStatsTable[[#This Row],[BatchMeansHalfWidth]])</f>
        <v>4.3613366354194112E-2</v>
      </c>
    </row>
    <row r="204" spans="1:21" x14ac:dyDescent="0.35">
      <c r="A204" t="s">
        <v>66</v>
      </c>
      <c r="B204" t="s">
        <v>69</v>
      </c>
      <c r="C204">
        <v>19</v>
      </c>
      <c r="D204" t="s">
        <v>86</v>
      </c>
      <c r="E204" t="s">
        <v>89</v>
      </c>
      <c r="F204" t="s">
        <v>88</v>
      </c>
      <c r="G204">
        <v>6.7320188724685996</v>
      </c>
      <c r="H204">
        <v>2E+20</v>
      </c>
      <c r="I204">
        <v>0</v>
      </c>
      <c r="J204">
        <v>10</v>
      </c>
      <c r="K204">
        <v>10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5.1812957617942796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9.5110098058068004</v>
      </c>
      <c r="U204" s="5">
        <f>IF((ContinuousStatsTable[[#This Row],[RepsRequested]]&gt;1),ContinuousStatsTable[[#This Row],[HalfWidth]],ContinuousStatsTable[[#This Row],[BatchMeansHalfWidth]])</f>
        <v>0.43613366354194549</v>
      </c>
    </row>
    <row r="205" spans="1:21" x14ac:dyDescent="0.35">
      <c r="A205" t="s">
        <v>66</v>
      </c>
      <c r="B205" t="s">
        <v>69</v>
      </c>
      <c r="C205">
        <v>19</v>
      </c>
      <c r="D205" t="s">
        <v>86</v>
      </c>
      <c r="E205" t="s">
        <v>90</v>
      </c>
      <c r="F205" t="s">
        <v>88</v>
      </c>
      <c r="G205">
        <v>10</v>
      </c>
      <c r="H205">
        <v>2E+20</v>
      </c>
      <c r="I205">
        <v>10</v>
      </c>
      <c r="J205">
        <v>10</v>
      </c>
      <c r="K205">
        <v>10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10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10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66</v>
      </c>
      <c r="B206" t="s">
        <v>69</v>
      </c>
      <c r="C206">
        <v>19</v>
      </c>
      <c r="D206" t="s">
        <v>82</v>
      </c>
      <c r="E206" t="s">
        <v>84</v>
      </c>
      <c r="F206" t="s">
        <v>72</v>
      </c>
      <c r="G206">
        <v>1.3100809451669999</v>
      </c>
      <c r="H206">
        <v>2E+20</v>
      </c>
      <c r="I206">
        <v>0</v>
      </c>
      <c r="J206">
        <v>4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0.56541157258789199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2.4594543622635499</v>
      </c>
      <c r="U206" s="5">
        <f>IF((ContinuousStatsTable[[#This Row],[RepsRequested]]&gt;1),ContinuousStatsTable[[#This Row],[HalfWidth]],ContinuousStatsTable[[#This Row],[BatchMeansHalfWidth]])</f>
        <v>0.1771627845153336</v>
      </c>
    </row>
    <row r="207" spans="1:21" x14ac:dyDescent="0.35">
      <c r="A207" t="s">
        <v>66</v>
      </c>
      <c r="B207" t="s">
        <v>69</v>
      </c>
      <c r="C207">
        <v>19</v>
      </c>
      <c r="D207" t="s">
        <v>91</v>
      </c>
      <c r="E207" t="s">
        <v>87</v>
      </c>
      <c r="F207" t="s">
        <v>88</v>
      </c>
      <c r="G207">
        <v>0.90115313610103298</v>
      </c>
      <c r="H207">
        <v>2E+20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0.78808827046509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0.99381255473469199</v>
      </c>
      <c r="U207" s="5">
        <f>IF((ContinuousStatsTable[[#This Row],[RepsRequested]]&gt;1),ContinuousStatsTable[[#This Row],[HalfWidth]],ContinuousStatsTable[[#This Row],[BatchMeansHalfWidth]])</f>
        <v>1.6708231879382019E-2</v>
      </c>
    </row>
    <row r="208" spans="1:21" x14ac:dyDescent="0.35">
      <c r="A208" t="s">
        <v>66</v>
      </c>
      <c r="B208" t="s">
        <v>69</v>
      </c>
      <c r="C208">
        <v>19</v>
      </c>
      <c r="D208" t="s">
        <v>91</v>
      </c>
      <c r="E208" t="s">
        <v>89</v>
      </c>
      <c r="F208" t="s">
        <v>88</v>
      </c>
      <c r="G208">
        <v>2.7034594083030998</v>
      </c>
      <c r="H208">
        <v>2E+20</v>
      </c>
      <c r="I208">
        <v>0</v>
      </c>
      <c r="J208">
        <v>3</v>
      </c>
      <c r="K208">
        <v>3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2.36426481139527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2.9814376642040799</v>
      </c>
      <c r="U208" s="5">
        <f>IF((ContinuousStatsTable[[#This Row],[RepsRequested]]&gt;1),ContinuousStatsTable[[#This Row],[HalfWidth]],ContinuousStatsTable[[#This Row],[BatchMeansHalfWidth]])</f>
        <v>5.0124695638146144E-2</v>
      </c>
    </row>
    <row r="209" spans="1:21" x14ac:dyDescent="0.35">
      <c r="A209" t="s">
        <v>66</v>
      </c>
      <c r="B209" t="s">
        <v>69</v>
      </c>
      <c r="C209">
        <v>19</v>
      </c>
      <c r="D209" t="s">
        <v>91</v>
      </c>
      <c r="E209" t="s">
        <v>90</v>
      </c>
      <c r="F209" t="s">
        <v>88</v>
      </c>
      <c r="G209">
        <v>3</v>
      </c>
      <c r="H209">
        <v>2E+20</v>
      </c>
      <c r="I209">
        <v>3</v>
      </c>
      <c r="J209">
        <v>3</v>
      </c>
      <c r="K209">
        <v>3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3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3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3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35">
      <c r="A210" t="s">
        <v>66</v>
      </c>
      <c r="B210" t="s">
        <v>69</v>
      </c>
      <c r="C210">
        <v>19</v>
      </c>
      <c r="D210" t="s">
        <v>83</v>
      </c>
      <c r="E210" t="s">
        <v>84</v>
      </c>
      <c r="F210" t="s">
        <v>72</v>
      </c>
      <c r="G210">
        <v>1.1633342935800499</v>
      </c>
      <c r="H210">
        <v>2E+20</v>
      </c>
      <c r="I210">
        <v>0</v>
      </c>
      <c r="J210">
        <v>5</v>
      </c>
      <c r="K210">
        <v>4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0.52883875458038598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2.4798758861082799</v>
      </c>
      <c r="U210" s="5">
        <f>IF((ContinuousStatsTable[[#This Row],[RepsRequested]]&gt;1),ContinuousStatsTable[[#This Row],[HalfWidth]],ContinuousStatsTable[[#This Row],[BatchMeansHalfWidth]])</f>
        <v>0.18745365002732756</v>
      </c>
    </row>
    <row r="211" spans="1:21" x14ac:dyDescent="0.35">
      <c r="A211" t="s">
        <v>66</v>
      </c>
      <c r="B211" t="s">
        <v>69</v>
      </c>
      <c r="C211">
        <v>20</v>
      </c>
      <c r="D211" t="s">
        <v>70</v>
      </c>
      <c r="E211" t="s">
        <v>84</v>
      </c>
      <c r="F211" t="s">
        <v>72</v>
      </c>
      <c r="G211">
        <v>0</v>
      </c>
      <c r="H211">
        <v>2E+20</v>
      </c>
      <c r="I211">
        <v>0</v>
      </c>
      <c r="J211">
        <v>1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69</v>
      </c>
      <c r="C212">
        <v>20</v>
      </c>
      <c r="D212" t="s">
        <v>73</v>
      </c>
      <c r="E212" t="s">
        <v>84</v>
      </c>
      <c r="F212" t="s">
        <v>72</v>
      </c>
      <c r="G212">
        <v>4.17824951353073</v>
      </c>
      <c r="H212">
        <v>2E+20</v>
      </c>
      <c r="I212">
        <v>0</v>
      </c>
      <c r="J212">
        <v>11</v>
      </c>
      <c r="K212">
        <v>1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9.63804241981207</v>
      </c>
      <c r="U212" s="5">
        <f>IF((ContinuousStatsTable[[#This Row],[RepsRequested]]&gt;1),ContinuousStatsTable[[#This Row],[HalfWidth]],ContinuousStatsTable[[#This Row],[BatchMeansHalfWidth]])</f>
        <v>0.71632840390540931</v>
      </c>
    </row>
    <row r="213" spans="1:21" x14ac:dyDescent="0.35">
      <c r="A213" t="s">
        <v>66</v>
      </c>
      <c r="B213" t="s">
        <v>69</v>
      </c>
      <c r="C213">
        <v>20</v>
      </c>
      <c r="D213" t="s">
        <v>74</v>
      </c>
      <c r="E213" t="s">
        <v>85</v>
      </c>
      <c r="F213" t="s">
        <v>76</v>
      </c>
      <c r="G213">
        <v>27.208288578466401</v>
      </c>
      <c r="H213">
        <v>2E+20</v>
      </c>
      <c r="I213">
        <v>0</v>
      </c>
      <c r="J213">
        <v>42</v>
      </c>
      <c r="K213">
        <v>22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10.3625915235886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38.218354981839397</v>
      </c>
      <c r="U213" s="5">
        <f>IF((ContinuousStatsTable[[#This Row],[RepsRequested]]&gt;1),ContinuousStatsTable[[#This Row],[HalfWidth]],ContinuousStatsTable[[#This Row],[BatchMeansHalfWidth]])</f>
        <v>2.1690587669162626</v>
      </c>
    </row>
    <row r="214" spans="1:21" x14ac:dyDescent="0.35">
      <c r="A214" t="s">
        <v>66</v>
      </c>
      <c r="B214" t="s">
        <v>69</v>
      </c>
      <c r="C214">
        <v>20</v>
      </c>
      <c r="D214" t="s">
        <v>86</v>
      </c>
      <c r="E214" t="s">
        <v>87</v>
      </c>
      <c r="F214" t="s">
        <v>88</v>
      </c>
      <c r="G214">
        <v>0.94258947757024703</v>
      </c>
      <c r="H214">
        <v>2E+20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0.51812957617942801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0.95110098058068004</v>
      </c>
      <c r="U214" s="5">
        <f>IF((ContinuousStatsTable[[#This Row],[RepsRequested]]&gt;1),ContinuousStatsTable[[#This Row],[HalfWidth]],ContinuousStatsTable[[#This Row],[BatchMeansHalfWidth]])</f>
        <v>4.3613366354194112E-2</v>
      </c>
    </row>
    <row r="215" spans="1:21" x14ac:dyDescent="0.35">
      <c r="A215" t="s">
        <v>66</v>
      </c>
      <c r="B215" t="s">
        <v>69</v>
      </c>
      <c r="C215">
        <v>20</v>
      </c>
      <c r="D215" t="s">
        <v>86</v>
      </c>
      <c r="E215" t="s">
        <v>89</v>
      </c>
      <c r="F215" t="s">
        <v>88</v>
      </c>
      <c r="G215">
        <v>9.4258947757024707</v>
      </c>
      <c r="H215">
        <v>2E+20</v>
      </c>
      <c r="I215">
        <v>0</v>
      </c>
      <c r="J215">
        <v>10</v>
      </c>
      <c r="K215">
        <v>10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5.1812957617942796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9.5110098058068004</v>
      </c>
      <c r="U215" s="5">
        <f>IF((ContinuousStatsTable[[#This Row],[RepsRequested]]&gt;1),ContinuousStatsTable[[#This Row],[HalfWidth]],ContinuousStatsTable[[#This Row],[BatchMeansHalfWidth]])</f>
        <v>0.43613366354194549</v>
      </c>
    </row>
    <row r="216" spans="1:21" x14ac:dyDescent="0.35">
      <c r="A216" t="s">
        <v>66</v>
      </c>
      <c r="B216" t="s">
        <v>69</v>
      </c>
      <c r="C216">
        <v>20</v>
      </c>
      <c r="D216" t="s">
        <v>86</v>
      </c>
      <c r="E216" t="s">
        <v>90</v>
      </c>
      <c r="F216" t="s">
        <v>88</v>
      </c>
      <c r="G216">
        <v>10</v>
      </c>
      <c r="H216">
        <v>2E+20</v>
      </c>
      <c r="I216">
        <v>10</v>
      </c>
      <c r="J216">
        <v>10</v>
      </c>
      <c r="K216">
        <v>10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10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10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69</v>
      </c>
      <c r="C217">
        <v>20</v>
      </c>
      <c r="D217" t="s">
        <v>82</v>
      </c>
      <c r="E217" t="s">
        <v>84</v>
      </c>
      <c r="F217" t="s">
        <v>72</v>
      </c>
      <c r="G217">
        <v>2.3307949322470498</v>
      </c>
      <c r="H217">
        <v>2E+20</v>
      </c>
      <c r="I217">
        <v>0</v>
      </c>
      <c r="J217">
        <v>4</v>
      </c>
      <c r="K217">
        <v>2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0.56541157258789199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2.4594543622635499</v>
      </c>
      <c r="U217" s="5">
        <f>IF((ContinuousStatsTable[[#This Row],[RepsRequested]]&gt;1),ContinuousStatsTable[[#This Row],[HalfWidth]],ContinuousStatsTable[[#This Row],[BatchMeansHalfWidth]])</f>
        <v>0.1771627845153336</v>
      </c>
    </row>
    <row r="218" spans="1:21" x14ac:dyDescent="0.35">
      <c r="A218" t="s">
        <v>66</v>
      </c>
      <c r="B218" t="s">
        <v>69</v>
      </c>
      <c r="C218">
        <v>20</v>
      </c>
      <c r="D218" t="s">
        <v>91</v>
      </c>
      <c r="E218" t="s">
        <v>87</v>
      </c>
      <c r="F218" t="s">
        <v>88</v>
      </c>
      <c r="G218">
        <v>0.98365627064592498</v>
      </c>
      <c r="H218">
        <v>2E+20</v>
      </c>
      <c r="I218">
        <v>0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0.78808827046509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0.99381255473469199</v>
      </c>
      <c r="U218" s="5">
        <f>IF((ContinuousStatsTable[[#This Row],[RepsRequested]]&gt;1),ContinuousStatsTable[[#This Row],[HalfWidth]],ContinuousStatsTable[[#This Row],[BatchMeansHalfWidth]])</f>
        <v>1.6708231879382019E-2</v>
      </c>
    </row>
    <row r="219" spans="1:21" x14ac:dyDescent="0.35">
      <c r="A219" t="s">
        <v>66</v>
      </c>
      <c r="B219" t="s">
        <v>69</v>
      </c>
      <c r="C219">
        <v>20</v>
      </c>
      <c r="D219" t="s">
        <v>91</v>
      </c>
      <c r="E219" t="s">
        <v>89</v>
      </c>
      <c r="F219" t="s">
        <v>88</v>
      </c>
      <c r="G219">
        <v>2.9509688119377802</v>
      </c>
      <c r="H219">
        <v>2E+20</v>
      </c>
      <c r="I219">
        <v>0</v>
      </c>
      <c r="J219">
        <v>3</v>
      </c>
      <c r="K219">
        <v>3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2.36426481139527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2.9814376642040799</v>
      </c>
      <c r="U219" s="5">
        <f>IF((ContinuousStatsTable[[#This Row],[RepsRequested]]&gt;1),ContinuousStatsTable[[#This Row],[HalfWidth]],ContinuousStatsTable[[#This Row],[BatchMeansHalfWidth]])</f>
        <v>5.0124695638146144E-2</v>
      </c>
    </row>
    <row r="220" spans="1:21" x14ac:dyDescent="0.35">
      <c r="A220" t="s">
        <v>66</v>
      </c>
      <c r="B220" t="s">
        <v>69</v>
      </c>
      <c r="C220">
        <v>20</v>
      </c>
      <c r="D220" t="s">
        <v>91</v>
      </c>
      <c r="E220" t="s">
        <v>90</v>
      </c>
      <c r="F220" t="s">
        <v>88</v>
      </c>
      <c r="G220">
        <v>3</v>
      </c>
      <c r="H220">
        <v>2E+20</v>
      </c>
      <c r="I220">
        <v>3</v>
      </c>
      <c r="J220">
        <v>3</v>
      </c>
      <c r="K220">
        <v>3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3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3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3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35">
      <c r="A221" t="s">
        <v>66</v>
      </c>
      <c r="B221" t="s">
        <v>69</v>
      </c>
      <c r="C221">
        <v>20</v>
      </c>
      <c r="D221" t="s">
        <v>83</v>
      </c>
      <c r="E221" t="s">
        <v>84</v>
      </c>
      <c r="F221" t="s">
        <v>72</v>
      </c>
      <c r="G221">
        <v>2.3344035164249002</v>
      </c>
      <c r="H221">
        <v>2E+20</v>
      </c>
      <c r="I221">
        <v>0</v>
      </c>
      <c r="J221">
        <v>4</v>
      </c>
      <c r="K221">
        <v>3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0.52883875458038598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2.4798758861082799</v>
      </c>
      <c r="U221" s="5">
        <f>IF((ContinuousStatsTable[[#This Row],[RepsRequested]]&gt;1),ContinuousStatsTable[[#This Row],[HalfWidth]],ContinuousStatsTable[[#This Row],[BatchMeansHalfWidth]])</f>
        <v>0.18745365002732756</v>
      </c>
    </row>
    <row r="222" spans="1:21" x14ac:dyDescent="0.35">
      <c r="A222" t="s">
        <v>66</v>
      </c>
      <c r="B222" t="s">
        <v>69</v>
      </c>
      <c r="C222">
        <v>21</v>
      </c>
      <c r="D222" t="s">
        <v>70</v>
      </c>
      <c r="E222" t="s">
        <v>84</v>
      </c>
      <c r="F222" t="s">
        <v>72</v>
      </c>
      <c r="G222">
        <v>0</v>
      </c>
      <c r="H222">
        <v>2E+20</v>
      </c>
      <c r="I222">
        <v>0</v>
      </c>
      <c r="J222">
        <v>1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35">
      <c r="A223" t="s">
        <v>66</v>
      </c>
      <c r="B223" t="s">
        <v>69</v>
      </c>
      <c r="C223">
        <v>21</v>
      </c>
      <c r="D223" t="s">
        <v>73</v>
      </c>
      <c r="E223" t="s">
        <v>84</v>
      </c>
      <c r="F223" t="s">
        <v>72</v>
      </c>
      <c r="G223">
        <v>1.20753891284812</v>
      </c>
      <c r="H223">
        <v>2E+20</v>
      </c>
      <c r="I223">
        <v>0</v>
      </c>
      <c r="J223">
        <v>5</v>
      </c>
      <c r="K223">
        <v>3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9.63804241981207</v>
      </c>
      <c r="U223" s="5">
        <f>IF((ContinuousStatsTable[[#This Row],[RepsRequested]]&gt;1),ContinuousStatsTable[[#This Row],[HalfWidth]],ContinuousStatsTable[[#This Row],[BatchMeansHalfWidth]])</f>
        <v>0.71632840390540931</v>
      </c>
    </row>
    <row r="224" spans="1:21" x14ac:dyDescent="0.35">
      <c r="A224" t="s">
        <v>66</v>
      </c>
      <c r="B224" t="s">
        <v>69</v>
      </c>
      <c r="C224">
        <v>21</v>
      </c>
      <c r="D224" t="s">
        <v>74</v>
      </c>
      <c r="E224" t="s">
        <v>85</v>
      </c>
      <c r="F224" t="s">
        <v>76</v>
      </c>
      <c r="G224">
        <v>17.091890694063402</v>
      </c>
      <c r="H224">
        <v>2E+20</v>
      </c>
      <c r="I224">
        <v>0</v>
      </c>
      <c r="J224">
        <v>31</v>
      </c>
      <c r="K224">
        <v>26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10.3625915235886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38.218354981839397</v>
      </c>
      <c r="U224" s="5">
        <f>IF((ContinuousStatsTable[[#This Row],[RepsRequested]]&gt;1),ContinuousStatsTable[[#This Row],[HalfWidth]],ContinuousStatsTable[[#This Row],[BatchMeansHalfWidth]])</f>
        <v>2.1690587669162626</v>
      </c>
    </row>
    <row r="225" spans="1:21" x14ac:dyDescent="0.35">
      <c r="A225" t="s">
        <v>66</v>
      </c>
      <c r="B225" t="s">
        <v>69</v>
      </c>
      <c r="C225">
        <v>21</v>
      </c>
      <c r="D225" t="s">
        <v>86</v>
      </c>
      <c r="E225" t="s">
        <v>87</v>
      </c>
      <c r="F225" t="s">
        <v>88</v>
      </c>
      <c r="G225">
        <v>0.73384064341835598</v>
      </c>
      <c r="H225">
        <v>2E+20</v>
      </c>
      <c r="I225">
        <v>0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0.51812957617942801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0.95110098058068004</v>
      </c>
      <c r="U225" s="5">
        <f>IF((ContinuousStatsTable[[#This Row],[RepsRequested]]&gt;1),ContinuousStatsTable[[#This Row],[HalfWidth]],ContinuousStatsTable[[#This Row],[BatchMeansHalfWidth]])</f>
        <v>4.3613366354194112E-2</v>
      </c>
    </row>
    <row r="226" spans="1:21" x14ac:dyDescent="0.35">
      <c r="A226" t="s">
        <v>66</v>
      </c>
      <c r="B226" t="s">
        <v>69</v>
      </c>
      <c r="C226">
        <v>21</v>
      </c>
      <c r="D226" t="s">
        <v>86</v>
      </c>
      <c r="E226" t="s">
        <v>89</v>
      </c>
      <c r="F226" t="s">
        <v>88</v>
      </c>
      <c r="G226">
        <v>7.3384064341835602</v>
      </c>
      <c r="H226">
        <v>2E+20</v>
      </c>
      <c r="I226">
        <v>0</v>
      </c>
      <c r="J226">
        <v>10</v>
      </c>
      <c r="K226">
        <v>10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5.1812957617942796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9.5110098058068004</v>
      </c>
      <c r="U226" s="5">
        <f>IF((ContinuousStatsTable[[#This Row],[RepsRequested]]&gt;1),ContinuousStatsTable[[#This Row],[HalfWidth]],ContinuousStatsTable[[#This Row],[BatchMeansHalfWidth]])</f>
        <v>0.43613366354194549</v>
      </c>
    </row>
    <row r="227" spans="1:21" x14ac:dyDescent="0.35">
      <c r="A227" t="s">
        <v>66</v>
      </c>
      <c r="B227" t="s">
        <v>69</v>
      </c>
      <c r="C227">
        <v>21</v>
      </c>
      <c r="D227" t="s">
        <v>86</v>
      </c>
      <c r="E227" t="s">
        <v>90</v>
      </c>
      <c r="F227" t="s">
        <v>88</v>
      </c>
      <c r="G227">
        <v>10</v>
      </c>
      <c r="H227">
        <v>2E+20</v>
      </c>
      <c r="I227">
        <v>10</v>
      </c>
      <c r="J227">
        <v>10</v>
      </c>
      <c r="K227">
        <v>10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10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10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35">
      <c r="A228" t="s">
        <v>66</v>
      </c>
      <c r="B228" t="s">
        <v>69</v>
      </c>
      <c r="C228">
        <v>21</v>
      </c>
      <c r="D228" t="s">
        <v>82</v>
      </c>
      <c r="E228" t="s">
        <v>84</v>
      </c>
      <c r="F228" t="s">
        <v>72</v>
      </c>
      <c r="G228">
        <v>1.5900193424111999</v>
      </c>
      <c r="H228">
        <v>2E+20</v>
      </c>
      <c r="I228">
        <v>0</v>
      </c>
      <c r="J228">
        <v>5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0.56541157258789199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2.4594543622635499</v>
      </c>
      <c r="U228" s="5">
        <f>IF((ContinuousStatsTable[[#This Row],[RepsRequested]]&gt;1),ContinuousStatsTable[[#This Row],[HalfWidth]],ContinuousStatsTable[[#This Row],[BatchMeansHalfWidth]])</f>
        <v>0.1771627845153336</v>
      </c>
    </row>
    <row r="229" spans="1:21" x14ac:dyDescent="0.35">
      <c r="A229" t="s">
        <v>66</v>
      </c>
      <c r="B229" t="s">
        <v>69</v>
      </c>
      <c r="C229">
        <v>21</v>
      </c>
      <c r="D229" t="s">
        <v>91</v>
      </c>
      <c r="E229" t="s">
        <v>87</v>
      </c>
      <c r="F229" t="s">
        <v>88</v>
      </c>
      <c r="G229">
        <v>0.899497778484179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0.78808827046509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0.99381255473469199</v>
      </c>
      <c r="U229" s="5">
        <f>IF((ContinuousStatsTable[[#This Row],[RepsRequested]]&gt;1),ContinuousStatsTable[[#This Row],[HalfWidth]],ContinuousStatsTable[[#This Row],[BatchMeansHalfWidth]])</f>
        <v>1.6708231879382019E-2</v>
      </c>
    </row>
    <row r="230" spans="1:21" x14ac:dyDescent="0.35">
      <c r="A230" t="s">
        <v>66</v>
      </c>
      <c r="B230" t="s">
        <v>69</v>
      </c>
      <c r="C230">
        <v>21</v>
      </c>
      <c r="D230" t="s">
        <v>91</v>
      </c>
      <c r="E230" t="s">
        <v>89</v>
      </c>
      <c r="F230" t="s">
        <v>88</v>
      </c>
      <c r="G230">
        <v>2.69849333545254</v>
      </c>
      <c r="H230">
        <v>2E+20</v>
      </c>
      <c r="I230">
        <v>0</v>
      </c>
      <c r="J230">
        <v>3</v>
      </c>
      <c r="K230">
        <v>3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2.36426481139527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2.9814376642040799</v>
      </c>
      <c r="U230" s="5">
        <f>IF((ContinuousStatsTable[[#This Row],[RepsRequested]]&gt;1),ContinuousStatsTable[[#This Row],[HalfWidth]],ContinuousStatsTable[[#This Row],[BatchMeansHalfWidth]])</f>
        <v>5.0124695638146144E-2</v>
      </c>
    </row>
    <row r="231" spans="1:21" x14ac:dyDescent="0.35">
      <c r="A231" t="s">
        <v>66</v>
      </c>
      <c r="B231" t="s">
        <v>69</v>
      </c>
      <c r="C231">
        <v>21</v>
      </c>
      <c r="D231" t="s">
        <v>91</v>
      </c>
      <c r="E231" t="s">
        <v>90</v>
      </c>
      <c r="F231" t="s">
        <v>88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69</v>
      </c>
      <c r="C232">
        <v>21</v>
      </c>
      <c r="D232" t="s">
        <v>83</v>
      </c>
      <c r="E232" t="s">
        <v>84</v>
      </c>
      <c r="F232" t="s">
        <v>72</v>
      </c>
      <c r="G232">
        <v>1.47310059173305</v>
      </c>
      <c r="H232">
        <v>2E+20</v>
      </c>
      <c r="I232">
        <v>0</v>
      </c>
      <c r="J232">
        <v>5</v>
      </c>
      <c r="K232">
        <v>2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0.52883875458038598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2.4798758861082799</v>
      </c>
      <c r="U232" s="5">
        <f>IF((ContinuousStatsTable[[#This Row],[RepsRequested]]&gt;1),ContinuousStatsTable[[#This Row],[HalfWidth]],ContinuousStatsTable[[#This Row],[BatchMeansHalfWidth]])</f>
        <v>0.18745365002732756</v>
      </c>
    </row>
    <row r="233" spans="1:21" x14ac:dyDescent="0.35">
      <c r="A233" t="s">
        <v>66</v>
      </c>
      <c r="B233" t="s">
        <v>69</v>
      </c>
      <c r="C233">
        <v>22</v>
      </c>
      <c r="D233" t="s">
        <v>70</v>
      </c>
      <c r="E233" t="s">
        <v>84</v>
      </c>
      <c r="F233" t="s">
        <v>72</v>
      </c>
      <c r="G233">
        <v>0</v>
      </c>
      <c r="H233">
        <v>2E+20</v>
      </c>
      <c r="I233">
        <v>0</v>
      </c>
      <c r="J233">
        <v>1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66</v>
      </c>
      <c r="B234" t="s">
        <v>69</v>
      </c>
      <c r="C234">
        <v>22</v>
      </c>
      <c r="D234" t="s">
        <v>73</v>
      </c>
      <c r="E234" t="s">
        <v>84</v>
      </c>
      <c r="F234" t="s">
        <v>72</v>
      </c>
      <c r="G234">
        <v>6.6269643935738198</v>
      </c>
      <c r="H234">
        <v>2E+20</v>
      </c>
      <c r="I234">
        <v>0</v>
      </c>
      <c r="J234">
        <v>21</v>
      </c>
      <c r="K234">
        <v>19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9.63804241981207</v>
      </c>
      <c r="U234" s="5">
        <f>IF((ContinuousStatsTable[[#This Row],[RepsRequested]]&gt;1),ContinuousStatsTable[[#This Row],[HalfWidth]],ContinuousStatsTable[[#This Row],[BatchMeansHalfWidth]])</f>
        <v>0.71632840390540931</v>
      </c>
    </row>
    <row r="235" spans="1:21" x14ac:dyDescent="0.35">
      <c r="A235" t="s">
        <v>66</v>
      </c>
      <c r="B235" t="s">
        <v>69</v>
      </c>
      <c r="C235">
        <v>22</v>
      </c>
      <c r="D235" t="s">
        <v>74</v>
      </c>
      <c r="E235" t="s">
        <v>85</v>
      </c>
      <c r="F235" t="s">
        <v>76</v>
      </c>
      <c r="G235">
        <v>31.927799617319899</v>
      </c>
      <c r="H235">
        <v>2E+20</v>
      </c>
      <c r="I235">
        <v>0</v>
      </c>
      <c r="J235">
        <v>62</v>
      </c>
      <c r="K235">
        <v>58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10.3625915235886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38.218354981839397</v>
      </c>
      <c r="U235" s="5">
        <f>IF((ContinuousStatsTable[[#This Row],[RepsRequested]]&gt;1),ContinuousStatsTable[[#This Row],[HalfWidth]],ContinuousStatsTable[[#This Row],[BatchMeansHalfWidth]])</f>
        <v>2.1690587669162626</v>
      </c>
    </row>
    <row r="236" spans="1:21" x14ac:dyDescent="0.35">
      <c r="A236" t="s">
        <v>66</v>
      </c>
      <c r="B236" t="s">
        <v>69</v>
      </c>
      <c r="C236">
        <v>22</v>
      </c>
      <c r="D236" t="s">
        <v>86</v>
      </c>
      <c r="E236" t="s">
        <v>87</v>
      </c>
      <c r="F236" t="s">
        <v>88</v>
      </c>
      <c r="G236">
        <v>0.93369354150861095</v>
      </c>
      <c r="H236">
        <v>2E+20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0.51812957617942801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0.95110098058068004</v>
      </c>
      <c r="U236" s="5">
        <f>IF((ContinuousStatsTable[[#This Row],[RepsRequested]]&gt;1),ContinuousStatsTable[[#This Row],[HalfWidth]],ContinuousStatsTable[[#This Row],[BatchMeansHalfWidth]])</f>
        <v>4.3613366354194112E-2</v>
      </c>
    </row>
    <row r="237" spans="1:21" x14ac:dyDescent="0.35">
      <c r="A237" t="s">
        <v>66</v>
      </c>
      <c r="B237" t="s">
        <v>69</v>
      </c>
      <c r="C237">
        <v>22</v>
      </c>
      <c r="D237" t="s">
        <v>86</v>
      </c>
      <c r="E237" t="s">
        <v>89</v>
      </c>
      <c r="F237" t="s">
        <v>88</v>
      </c>
      <c r="G237">
        <v>9.3369354150861099</v>
      </c>
      <c r="H237">
        <v>2E+20</v>
      </c>
      <c r="I237">
        <v>0</v>
      </c>
      <c r="J237">
        <v>10</v>
      </c>
      <c r="K237">
        <v>10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5.1812957617942796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9.5110098058068004</v>
      </c>
      <c r="U237" s="5">
        <f>IF((ContinuousStatsTable[[#This Row],[RepsRequested]]&gt;1),ContinuousStatsTable[[#This Row],[HalfWidth]],ContinuousStatsTable[[#This Row],[BatchMeansHalfWidth]])</f>
        <v>0.43613366354194549</v>
      </c>
    </row>
    <row r="238" spans="1:21" x14ac:dyDescent="0.35">
      <c r="A238" t="s">
        <v>66</v>
      </c>
      <c r="B238" t="s">
        <v>69</v>
      </c>
      <c r="C238">
        <v>22</v>
      </c>
      <c r="D238" t="s">
        <v>86</v>
      </c>
      <c r="E238" t="s">
        <v>90</v>
      </c>
      <c r="F238" t="s">
        <v>88</v>
      </c>
      <c r="G238">
        <v>10</v>
      </c>
      <c r="H238">
        <v>2E+20</v>
      </c>
      <c r="I238">
        <v>10</v>
      </c>
      <c r="J238">
        <v>10</v>
      </c>
      <c r="K238">
        <v>10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10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35">
      <c r="A239" t="s">
        <v>66</v>
      </c>
      <c r="B239" t="s">
        <v>69</v>
      </c>
      <c r="C239">
        <v>22</v>
      </c>
      <c r="D239" t="s">
        <v>82</v>
      </c>
      <c r="E239" t="s">
        <v>84</v>
      </c>
      <c r="F239" t="s">
        <v>72</v>
      </c>
      <c r="G239">
        <v>2.4594543622635499</v>
      </c>
      <c r="H239">
        <v>2E+20</v>
      </c>
      <c r="I239">
        <v>0</v>
      </c>
      <c r="J239">
        <v>4</v>
      </c>
      <c r="K239">
        <v>3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0.56541157258789199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2.4594543622635499</v>
      </c>
      <c r="U239" s="5">
        <f>IF((ContinuousStatsTable[[#This Row],[RepsRequested]]&gt;1),ContinuousStatsTable[[#This Row],[HalfWidth]],ContinuousStatsTable[[#This Row],[BatchMeansHalfWidth]])</f>
        <v>0.1771627845153336</v>
      </c>
    </row>
    <row r="240" spans="1:21" x14ac:dyDescent="0.35">
      <c r="A240" t="s">
        <v>66</v>
      </c>
      <c r="B240" t="s">
        <v>69</v>
      </c>
      <c r="C240">
        <v>22</v>
      </c>
      <c r="D240" t="s">
        <v>91</v>
      </c>
      <c r="E240" t="s">
        <v>87</v>
      </c>
      <c r="F240" t="s">
        <v>88</v>
      </c>
      <c r="G240">
        <v>0.96455292571416196</v>
      </c>
      <c r="H240">
        <v>2E+20</v>
      </c>
      <c r="I240">
        <v>0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0.78808827046509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0.99381255473469199</v>
      </c>
      <c r="U240" s="5">
        <f>IF((ContinuousStatsTable[[#This Row],[RepsRequested]]&gt;1),ContinuousStatsTable[[#This Row],[HalfWidth]],ContinuousStatsTable[[#This Row],[BatchMeansHalfWidth]])</f>
        <v>1.6708231879382019E-2</v>
      </c>
    </row>
    <row r="241" spans="1:21" x14ac:dyDescent="0.35">
      <c r="A241" t="s">
        <v>66</v>
      </c>
      <c r="B241" t="s">
        <v>69</v>
      </c>
      <c r="C241">
        <v>22</v>
      </c>
      <c r="D241" t="s">
        <v>91</v>
      </c>
      <c r="E241" t="s">
        <v>89</v>
      </c>
      <c r="F241" t="s">
        <v>88</v>
      </c>
      <c r="G241">
        <v>2.89365877714248</v>
      </c>
      <c r="H241">
        <v>2E+20</v>
      </c>
      <c r="I241">
        <v>0</v>
      </c>
      <c r="J241">
        <v>3</v>
      </c>
      <c r="K241">
        <v>3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2.36426481139527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2.9814376642040799</v>
      </c>
      <c r="U241" s="5">
        <f>IF((ContinuousStatsTable[[#This Row],[RepsRequested]]&gt;1),ContinuousStatsTable[[#This Row],[HalfWidth]],ContinuousStatsTable[[#This Row],[BatchMeansHalfWidth]])</f>
        <v>5.0124695638146144E-2</v>
      </c>
    </row>
    <row r="242" spans="1:21" x14ac:dyDescent="0.35">
      <c r="A242" t="s">
        <v>66</v>
      </c>
      <c r="B242" t="s">
        <v>69</v>
      </c>
      <c r="C242">
        <v>22</v>
      </c>
      <c r="D242" t="s">
        <v>91</v>
      </c>
      <c r="E242" t="s">
        <v>90</v>
      </c>
      <c r="F242" t="s">
        <v>88</v>
      </c>
      <c r="G242">
        <v>3</v>
      </c>
      <c r="H242">
        <v>2E+20</v>
      </c>
      <c r="I242">
        <v>3</v>
      </c>
      <c r="J242">
        <v>3</v>
      </c>
      <c r="K242">
        <v>3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3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3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3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35">
      <c r="A243" t="s">
        <v>66</v>
      </c>
      <c r="B243" t="s">
        <v>69</v>
      </c>
      <c r="C243">
        <v>22</v>
      </c>
      <c r="D243" t="s">
        <v>83</v>
      </c>
      <c r="E243" t="s">
        <v>84</v>
      </c>
      <c r="F243" t="s">
        <v>72</v>
      </c>
      <c r="G243">
        <v>2.2725246564704</v>
      </c>
      <c r="H243">
        <v>2E+20</v>
      </c>
      <c r="I243">
        <v>0</v>
      </c>
      <c r="J243">
        <v>5</v>
      </c>
      <c r="K243">
        <v>4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0.52883875458038598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2.4798758861082799</v>
      </c>
      <c r="U243" s="5">
        <f>IF((ContinuousStatsTable[[#This Row],[RepsRequested]]&gt;1),ContinuousStatsTable[[#This Row],[HalfWidth]],ContinuousStatsTable[[#This Row],[BatchMeansHalfWidth]])</f>
        <v>0.18745365002732756</v>
      </c>
    </row>
    <row r="244" spans="1:21" x14ac:dyDescent="0.35">
      <c r="A244" t="s">
        <v>66</v>
      </c>
      <c r="B244" t="s">
        <v>69</v>
      </c>
      <c r="C244">
        <v>23</v>
      </c>
      <c r="D244" t="s">
        <v>70</v>
      </c>
      <c r="E244" t="s">
        <v>84</v>
      </c>
      <c r="F244" t="s">
        <v>72</v>
      </c>
      <c r="G244">
        <v>0</v>
      </c>
      <c r="H244">
        <v>2E+20</v>
      </c>
      <c r="I244">
        <v>0</v>
      </c>
      <c r="J244">
        <v>1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66</v>
      </c>
      <c r="B245" t="s">
        <v>69</v>
      </c>
      <c r="C245">
        <v>23</v>
      </c>
      <c r="D245" t="s">
        <v>73</v>
      </c>
      <c r="E245" t="s">
        <v>84</v>
      </c>
      <c r="F245" t="s">
        <v>72</v>
      </c>
      <c r="G245">
        <v>3.6071883023028701</v>
      </c>
      <c r="H245">
        <v>2E+20</v>
      </c>
      <c r="I245">
        <v>0</v>
      </c>
      <c r="J245">
        <v>11</v>
      </c>
      <c r="K245">
        <v>9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9.63804241981207</v>
      </c>
      <c r="U245" s="5">
        <f>IF((ContinuousStatsTable[[#This Row],[RepsRequested]]&gt;1),ContinuousStatsTable[[#This Row],[HalfWidth]],ContinuousStatsTable[[#This Row],[BatchMeansHalfWidth]])</f>
        <v>0.71632840390540931</v>
      </c>
    </row>
    <row r="246" spans="1:21" x14ac:dyDescent="0.35">
      <c r="A246" t="s">
        <v>66</v>
      </c>
      <c r="B246" t="s">
        <v>69</v>
      </c>
      <c r="C246">
        <v>23</v>
      </c>
      <c r="D246" t="s">
        <v>74</v>
      </c>
      <c r="E246" t="s">
        <v>85</v>
      </c>
      <c r="F246" t="s">
        <v>76</v>
      </c>
      <c r="G246">
        <v>24.766271032970401</v>
      </c>
      <c r="H246">
        <v>2E+20</v>
      </c>
      <c r="I246">
        <v>0</v>
      </c>
      <c r="J246">
        <v>43</v>
      </c>
      <c r="K246">
        <v>38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10.3625915235886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38.218354981839397</v>
      </c>
      <c r="U246" s="5">
        <f>IF((ContinuousStatsTable[[#This Row],[RepsRequested]]&gt;1),ContinuousStatsTable[[#This Row],[HalfWidth]],ContinuousStatsTable[[#This Row],[BatchMeansHalfWidth]])</f>
        <v>2.1690587669162626</v>
      </c>
    </row>
    <row r="247" spans="1:21" x14ac:dyDescent="0.35">
      <c r="A247" t="s">
        <v>66</v>
      </c>
      <c r="B247" t="s">
        <v>69</v>
      </c>
      <c r="C247">
        <v>23</v>
      </c>
      <c r="D247" t="s">
        <v>86</v>
      </c>
      <c r="E247" t="s">
        <v>87</v>
      </c>
      <c r="F247" t="s">
        <v>88</v>
      </c>
      <c r="G247">
        <v>0.87759472141823203</v>
      </c>
      <c r="H247">
        <v>2E+20</v>
      </c>
      <c r="I247">
        <v>0</v>
      </c>
      <c r="J247">
        <v>1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0.51812957617942801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0.95110098058068004</v>
      </c>
      <c r="U247" s="5">
        <f>IF((ContinuousStatsTable[[#This Row],[RepsRequested]]&gt;1),ContinuousStatsTable[[#This Row],[HalfWidth]],ContinuousStatsTable[[#This Row],[BatchMeansHalfWidth]])</f>
        <v>4.3613366354194112E-2</v>
      </c>
    </row>
    <row r="248" spans="1:21" x14ac:dyDescent="0.35">
      <c r="A248" t="s">
        <v>66</v>
      </c>
      <c r="B248" t="s">
        <v>69</v>
      </c>
      <c r="C248">
        <v>23</v>
      </c>
      <c r="D248" t="s">
        <v>86</v>
      </c>
      <c r="E248" t="s">
        <v>89</v>
      </c>
      <c r="F248" t="s">
        <v>88</v>
      </c>
      <c r="G248">
        <v>8.7759472141823203</v>
      </c>
      <c r="H248">
        <v>2E+20</v>
      </c>
      <c r="I248">
        <v>0</v>
      </c>
      <c r="J248">
        <v>10</v>
      </c>
      <c r="K248">
        <v>10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5.1812957617942796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9.5110098058068004</v>
      </c>
      <c r="U248" s="5">
        <f>IF((ContinuousStatsTable[[#This Row],[RepsRequested]]&gt;1),ContinuousStatsTable[[#This Row],[HalfWidth]],ContinuousStatsTable[[#This Row],[BatchMeansHalfWidth]])</f>
        <v>0.43613366354194549</v>
      </c>
    </row>
    <row r="249" spans="1:21" x14ac:dyDescent="0.35">
      <c r="A249" t="s">
        <v>66</v>
      </c>
      <c r="B249" t="s">
        <v>69</v>
      </c>
      <c r="C249">
        <v>23</v>
      </c>
      <c r="D249" t="s">
        <v>86</v>
      </c>
      <c r="E249" t="s">
        <v>90</v>
      </c>
      <c r="F249" t="s">
        <v>88</v>
      </c>
      <c r="G249">
        <v>10</v>
      </c>
      <c r="H249">
        <v>2E+20</v>
      </c>
      <c r="I249">
        <v>10</v>
      </c>
      <c r="J249">
        <v>10</v>
      </c>
      <c r="K249">
        <v>10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10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10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35">
      <c r="A250" t="s">
        <v>66</v>
      </c>
      <c r="B250" t="s">
        <v>69</v>
      </c>
      <c r="C250">
        <v>23</v>
      </c>
      <c r="D250" t="s">
        <v>82</v>
      </c>
      <c r="E250" t="s">
        <v>84</v>
      </c>
      <c r="F250" t="s">
        <v>72</v>
      </c>
      <c r="G250">
        <v>1.9963030034851399</v>
      </c>
      <c r="H250">
        <v>2E+20</v>
      </c>
      <c r="I250">
        <v>0</v>
      </c>
      <c r="J250">
        <v>4</v>
      </c>
      <c r="K250">
        <v>3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0.56541157258789199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2.4594543622635499</v>
      </c>
      <c r="U250" s="5">
        <f>IF((ContinuousStatsTable[[#This Row],[RepsRequested]]&gt;1),ContinuousStatsTable[[#This Row],[HalfWidth]],ContinuousStatsTable[[#This Row],[BatchMeansHalfWidth]])</f>
        <v>0.1771627845153336</v>
      </c>
    </row>
    <row r="251" spans="1:21" x14ac:dyDescent="0.35">
      <c r="A251" t="s">
        <v>66</v>
      </c>
      <c r="B251" t="s">
        <v>69</v>
      </c>
      <c r="C251">
        <v>23</v>
      </c>
      <c r="D251" t="s">
        <v>91</v>
      </c>
      <c r="E251" t="s">
        <v>87</v>
      </c>
      <c r="F251" t="s">
        <v>88</v>
      </c>
      <c r="G251">
        <v>0.98736166658268698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0.78808827046509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0.99381255473469199</v>
      </c>
      <c r="U251" s="5">
        <f>IF((ContinuousStatsTable[[#This Row],[RepsRequested]]&gt;1),ContinuousStatsTable[[#This Row],[HalfWidth]],ContinuousStatsTable[[#This Row],[BatchMeansHalfWidth]])</f>
        <v>1.6708231879382019E-2</v>
      </c>
    </row>
    <row r="252" spans="1:21" x14ac:dyDescent="0.35">
      <c r="A252" t="s">
        <v>66</v>
      </c>
      <c r="B252" t="s">
        <v>69</v>
      </c>
      <c r="C252">
        <v>23</v>
      </c>
      <c r="D252" t="s">
        <v>91</v>
      </c>
      <c r="E252" t="s">
        <v>89</v>
      </c>
      <c r="F252" t="s">
        <v>88</v>
      </c>
      <c r="G252">
        <v>2.9620849997480598</v>
      </c>
      <c r="H252">
        <v>2E+20</v>
      </c>
      <c r="I252">
        <v>0</v>
      </c>
      <c r="J252">
        <v>3</v>
      </c>
      <c r="K252">
        <v>3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2.36426481139527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2.9814376642040799</v>
      </c>
      <c r="U252" s="5">
        <f>IF((ContinuousStatsTable[[#This Row],[RepsRequested]]&gt;1),ContinuousStatsTable[[#This Row],[HalfWidth]],ContinuousStatsTable[[#This Row],[BatchMeansHalfWidth]])</f>
        <v>5.0124695638146144E-2</v>
      </c>
    </row>
    <row r="253" spans="1:21" x14ac:dyDescent="0.35">
      <c r="A253" t="s">
        <v>66</v>
      </c>
      <c r="B253" t="s">
        <v>69</v>
      </c>
      <c r="C253">
        <v>23</v>
      </c>
      <c r="D253" t="s">
        <v>91</v>
      </c>
      <c r="E253" t="s">
        <v>90</v>
      </c>
      <c r="F253" t="s">
        <v>88</v>
      </c>
      <c r="G253">
        <v>3</v>
      </c>
      <c r="H253">
        <v>2E+20</v>
      </c>
      <c r="I253">
        <v>3</v>
      </c>
      <c r="J253">
        <v>3</v>
      </c>
      <c r="K253">
        <v>3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3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3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3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66</v>
      </c>
      <c r="B254" t="s">
        <v>69</v>
      </c>
      <c r="C254">
        <v>23</v>
      </c>
      <c r="D254" t="s">
        <v>83</v>
      </c>
      <c r="E254" t="s">
        <v>84</v>
      </c>
      <c r="F254" t="s">
        <v>72</v>
      </c>
      <c r="G254">
        <v>2.0558443677848901</v>
      </c>
      <c r="H254">
        <v>2E+20</v>
      </c>
      <c r="I254">
        <v>0</v>
      </c>
      <c r="J254">
        <v>5</v>
      </c>
      <c r="K254">
        <v>2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0.52883875458038598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2.4798758861082799</v>
      </c>
      <c r="U254" s="5">
        <f>IF((ContinuousStatsTable[[#This Row],[RepsRequested]]&gt;1),ContinuousStatsTable[[#This Row],[HalfWidth]],ContinuousStatsTable[[#This Row],[BatchMeansHalfWidth]])</f>
        <v>0.18745365002732756</v>
      </c>
    </row>
    <row r="255" spans="1:21" x14ac:dyDescent="0.35">
      <c r="A255" t="s">
        <v>66</v>
      </c>
      <c r="B255" t="s">
        <v>69</v>
      </c>
      <c r="C255">
        <v>24</v>
      </c>
      <c r="D255" t="s">
        <v>70</v>
      </c>
      <c r="E255" t="s">
        <v>84</v>
      </c>
      <c r="F255" t="s">
        <v>72</v>
      </c>
      <c r="G255">
        <v>0</v>
      </c>
      <c r="H255">
        <v>2E+20</v>
      </c>
      <c r="I255">
        <v>0</v>
      </c>
      <c r="J255">
        <v>1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5">
      <c r="A256" t="s">
        <v>66</v>
      </c>
      <c r="B256" t="s">
        <v>69</v>
      </c>
      <c r="C256">
        <v>24</v>
      </c>
      <c r="D256" t="s">
        <v>73</v>
      </c>
      <c r="E256" t="s">
        <v>84</v>
      </c>
      <c r="F256" t="s">
        <v>72</v>
      </c>
      <c r="G256">
        <v>0</v>
      </c>
      <c r="H256">
        <v>2E+20</v>
      </c>
      <c r="I256">
        <v>0</v>
      </c>
      <c r="J256">
        <v>0</v>
      </c>
      <c r="K256">
        <v>0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9.63804241981207</v>
      </c>
      <c r="U256" s="5">
        <f>IF((ContinuousStatsTable[[#This Row],[RepsRequested]]&gt;1),ContinuousStatsTable[[#This Row],[HalfWidth]],ContinuousStatsTable[[#This Row],[BatchMeansHalfWidth]])</f>
        <v>0.71632840390540931</v>
      </c>
    </row>
    <row r="257" spans="1:21" x14ac:dyDescent="0.35">
      <c r="A257" t="s">
        <v>66</v>
      </c>
      <c r="B257" t="s">
        <v>69</v>
      </c>
      <c r="C257">
        <v>24</v>
      </c>
      <c r="D257" t="s">
        <v>74</v>
      </c>
      <c r="E257" t="s">
        <v>85</v>
      </c>
      <c r="F257" t="s">
        <v>76</v>
      </c>
      <c r="G257">
        <v>10.3625915235886</v>
      </c>
      <c r="H257">
        <v>2E+20</v>
      </c>
      <c r="I257">
        <v>0</v>
      </c>
      <c r="J257">
        <v>20</v>
      </c>
      <c r="K257">
        <v>8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10.3625915235886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38.218354981839397</v>
      </c>
      <c r="U257" s="5">
        <f>IF((ContinuousStatsTable[[#This Row],[RepsRequested]]&gt;1),ContinuousStatsTable[[#This Row],[HalfWidth]],ContinuousStatsTable[[#This Row],[BatchMeansHalfWidth]])</f>
        <v>2.1690587669162626</v>
      </c>
    </row>
    <row r="258" spans="1:21" x14ac:dyDescent="0.35">
      <c r="A258" t="s">
        <v>66</v>
      </c>
      <c r="B258" t="s">
        <v>69</v>
      </c>
      <c r="C258">
        <v>24</v>
      </c>
      <c r="D258" t="s">
        <v>86</v>
      </c>
      <c r="E258" t="s">
        <v>87</v>
      </c>
      <c r="F258" t="s">
        <v>88</v>
      </c>
      <c r="G258">
        <v>0.51812957617942801</v>
      </c>
      <c r="H258">
        <v>2E+20</v>
      </c>
      <c r="I258">
        <v>0</v>
      </c>
      <c r="J258">
        <v>1</v>
      </c>
      <c r="K258">
        <v>0.4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0.51812957617942801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0.95110098058068004</v>
      </c>
      <c r="U258" s="5">
        <f>IF((ContinuousStatsTable[[#This Row],[RepsRequested]]&gt;1),ContinuousStatsTable[[#This Row],[HalfWidth]],ContinuousStatsTable[[#This Row],[BatchMeansHalfWidth]])</f>
        <v>4.3613366354194112E-2</v>
      </c>
    </row>
    <row r="259" spans="1:21" x14ac:dyDescent="0.35">
      <c r="A259" t="s">
        <v>66</v>
      </c>
      <c r="B259" t="s">
        <v>69</v>
      </c>
      <c r="C259">
        <v>24</v>
      </c>
      <c r="D259" t="s">
        <v>86</v>
      </c>
      <c r="E259" t="s">
        <v>89</v>
      </c>
      <c r="F259" t="s">
        <v>88</v>
      </c>
      <c r="G259">
        <v>5.1812957617942796</v>
      </c>
      <c r="H259">
        <v>2E+20</v>
      </c>
      <c r="I259">
        <v>0</v>
      </c>
      <c r="J259">
        <v>10</v>
      </c>
      <c r="K259">
        <v>4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5.1812957617942796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9.5110098058068004</v>
      </c>
      <c r="U259" s="5">
        <f>IF((ContinuousStatsTable[[#This Row],[RepsRequested]]&gt;1),ContinuousStatsTable[[#This Row],[HalfWidth]],ContinuousStatsTable[[#This Row],[BatchMeansHalfWidth]])</f>
        <v>0.43613366354194549</v>
      </c>
    </row>
    <row r="260" spans="1:21" x14ac:dyDescent="0.35">
      <c r="A260" t="s">
        <v>66</v>
      </c>
      <c r="B260" t="s">
        <v>69</v>
      </c>
      <c r="C260">
        <v>24</v>
      </c>
      <c r="D260" t="s">
        <v>86</v>
      </c>
      <c r="E260" t="s">
        <v>90</v>
      </c>
      <c r="F260" t="s">
        <v>88</v>
      </c>
      <c r="G260">
        <v>10</v>
      </c>
      <c r="H260">
        <v>2E+20</v>
      </c>
      <c r="I260">
        <v>10</v>
      </c>
      <c r="J260">
        <v>10</v>
      </c>
      <c r="K260">
        <v>10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10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10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35">
      <c r="A261" t="s">
        <v>66</v>
      </c>
      <c r="B261" t="s">
        <v>69</v>
      </c>
      <c r="C261">
        <v>24</v>
      </c>
      <c r="D261" t="s">
        <v>82</v>
      </c>
      <c r="E261" t="s">
        <v>84</v>
      </c>
      <c r="F261" t="s">
        <v>72</v>
      </c>
      <c r="G261">
        <v>0.56541157258789199</v>
      </c>
      <c r="H261">
        <v>2E+20</v>
      </c>
      <c r="I261">
        <v>0</v>
      </c>
      <c r="J261">
        <v>3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0.56541157258789199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2.4594543622635499</v>
      </c>
      <c r="U261" s="5">
        <f>IF((ContinuousStatsTable[[#This Row],[RepsRequested]]&gt;1),ContinuousStatsTable[[#This Row],[HalfWidth]],ContinuousStatsTable[[#This Row],[BatchMeansHalfWidth]])</f>
        <v>0.1771627845153336</v>
      </c>
    </row>
    <row r="262" spans="1:21" x14ac:dyDescent="0.35">
      <c r="A262" t="s">
        <v>66</v>
      </c>
      <c r="B262" t="s">
        <v>69</v>
      </c>
      <c r="C262">
        <v>24</v>
      </c>
      <c r="D262" t="s">
        <v>91</v>
      </c>
      <c r="E262" t="s">
        <v>87</v>
      </c>
      <c r="F262" t="s">
        <v>88</v>
      </c>
      <c r="G262">
        <v>0.85142723778581297</v>
      </c>
      <c r="H262">
        <v>2E+20</v>
      </c>
      <c r="I262">
        <v>0</v>
      </c>
      <c r="J262">
        <v>1</v>
      </c>
      <c r="K262">
        <v>1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0.78808827046509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0.99381255473469199</v>
      </c>
      <c r="U262" s="5">
        <f>IF((ContinuousStatsTable[[#This Row],[RepsRequested]]&gt;1),ContinuousStatsTable[[#This Row],[HalfWidth]],ContinuousStatsTable[[#This Row],[BatchMeansHalfWidth]])</f>
        <v>1.6708231879382019E-2</v>
      </c>
    </row>
    <row r="263" spans="1:21" x14ac:dyDescent="0.35">
      <c r="A263" t="s">
        <v>66</v>
      </c>
      <c r="B263" t="s">
        <v>69</v>
      </c>
      <c r="C263">
        <v>24</v>
      </c>
      <c r="D263" t="s">
        <v>91</v>
      </c>
      <c r="E263" t="s">
        <v>89</v>
      </c>
      <c r="F263" t="s">
        <v>88</v>
      </c>
      <c r="G263">
        <v>2.5542817133574398</v>
      </c>
      <c r="H263">
        <v>2E+20</v>
      </c>
      <c r="I263">
        <v>0</v>
      </c>
      <c r="J263">
        <v>3</v>
      </c>
      <c r="K263">
        <v>3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2.36426481139527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2.9814376642040799</v>
      </c>
      <c r="U263" s="5">
        <f>IF((ContinuousStatsTable[[#This Row],[RepsRequested]]&gt;1),ContinuousStatsTable[[#This Row],[HalfWidth]],ContinuousStatsTable[[#This Row],[BatchMeansHalfWidth]])</f>
        <v>5.0124695638146144E-2</v>
      </c>
    </row>
    <row r="264" spans="1:21" x14ac:dyDescent="0.35">
      <c r="A264" t="s">
        <v>66</v>
      </c>
      <c r="B264" t="s">
        <v>69</v>
      </c>
      <c r="C264">
        <v>24</v>
      </c>
      <c r="D264" t="s">
        <v>91</v>
      </c>
      <c r="E264" t="s">
        <v>90</v>
      </c>
      <c r="F264" t="s">
        <v>88</v>
      </c>
      <c r="G264">
        <v>3</v>
      </c>
      <c r="H264">
        <v>2E+20</v>
      </c>
      <c r="I264">
        <v>3</v>
      </c>
      <c r="J264">
        <v>3</v>
      </c>
      <c r="K264">
        <v>3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3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3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3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66</v>
      </c>
      <c r="B265" t="s">
        <v>69</v>
      </c>
      <c r="C265">
        <v>24</v>
      </c>
      <c r="D265" t="s">
        <v>83</v>
      </c>
      <c r="E265" t="s">
        <v>84</v>
      </c>
      <c r="F265" t="s">
        <v>72</v>
      </c>
      <c r="G265">
        <v>0.52883875458038598</v>
      </c>
      <c r="H265">
        <v>2E+20</v>
      </c>
      <c r="I265">
        <v>0</v>
      </c>
      <c r="J265">
        <v>3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0.52883875458038598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2.4798758861082799</v>
      </c>
      <c r="U265" s="5">
        <f>IF((ContinuousStatsTable[[#This Row],[RepsRequested]]&gt;1),ContinuousStatsTable[[#This Row],[HalfWidth]],ContinuousStatsTable[[#This Row],[BatchMeansHalfWidth]])</f>
        <v>0.18745365002732756</v>
      </c>
    </row>
    <row r="266" spans="1:21" x14ac:dyDescent="0.35">
      <c r="A266" t="s">
        <v>66</v>
      </c>
      <c r="B266" t="s">
        <v>69</v>
      </c>
      <c r="C266">
        <v>25</v>
      </c>
      <c r="D266" t="s">
        <v>70</v>
      </c>
      <c r="E266" t="s">
        <v>84</v>
      </c>
      <c r="F266" t="s">
        <v>72</v>
      </c>
      <c r="G266">
        <v>0</v>
      </c>
      <c r="H266">
        <v>2E+20</v>
      </c>
      <c r="I266">
        <v>0</v>
      </c>
      <c r="J266">
        <v>1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66</v>
      </c>
      <c r="B267" t="s">
        <v>69</v>
      </c>
      <c r="C267">
        <v>25</v>
      </c>
      <c r="D267" t="s">
        <v>73</v>
      </c>
      <c r="E267" t="s">
        <v>84</v>
      </c>
      <c r="F267" t="s">
        <v>72</v>
      </c>
      <c r="G267">
        <v>2.10526789457428</v>
      </c>
      <c r="H267">
        <v>2E+20</v>
      </c>
      <c r="I267">
        <v>0</v>
      </c>
      <c r="J267">
        <v>8</v>
      </c>
      <c r="K267">
        <v>4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9.63804241981207</v>
      </c>
      <c r="U267" s="5">
        <f>IF((ContinuousStatsTable[[#This Row],[RepsRequested]]&gt;1),ContinuousStatsTable[[#This Row],[HalfWidth]],ContinuousStatsTable[[#This Row],[BatchMeansHalfWidth]])</f>
        <v>0.71632840390540931</v>
      </c>
    </row>
    <row r="268" spans="1:21" x14ac:dyDescent="0.35">
      <c r="A268" t="s">
        <v>66</v>
      </c>
      <c r="B268" t="s">
        <v>69</v>
      </c>
      <c r="C268">
        <v>25</v>
      </c>
      <c r="D268" t="s">
        <v>74</v>
      </c>
      <c r="E268" t="s">
        <v>85</v>
      </c>
      <c r="F268" t="s">
        <v>76</v>
      </c>
      <c r="G268">
        <v>21.266413994257299</v>
      </c>
      <c r="H268">
        <v>2E+20</v>
      </c>
      <c r="I268">
        <v>0</v>
      </c>
      <c r="J268">
        <v>36</v>
      </c>
      <c r="K268">
        <v>28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10.3625915235886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38.218354981839397</v>
      </c>
      <c r="U268" s="5">
        <f>IF((ContinuousStatsTable[[#This Row],[RepsRequested]]&gt;1),ContinuousStatsTable[[#This Row],[HalfWidth]],ContinuousStatsTable[[#This Row],[BatchMeansHalfWidth]])</f>
        <v>2.1690587669162626</v>
      </c>
    </row>
    <row r="269" spans="1:21" x14ac:dyDescent="0.35">
      <c r="A269" t="s">
        <v>66</v>
      </c>
      <c r="B269" t="s">
        <v>69</v>
      </c>
      <c r="C269">
        <v>25</v>
      </c>
      <c r="D269" t="s">
        <v>86</v>
      </c>
      <c r="E269" t="s">
        <v>87</v>
      </c>
      <c r="F269" t="s">
        <v>88</v>
      </c>
      <c r="G269">
        <v>0.85279391025543805</v>
      </c>
      <c r="H269">
        <v>2E+20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0.51812957617942801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0.95110098058068004</v>
      </c>
      <c r="U269" s="5">
        <f>IF((ContinuousStatsTable[[#This Row],[RepsRequested]]&gt;1),ContinuousStatsTable[[#This Row],[HalfWidth]],ContinuousStatsTable[[#This Row],[BatchMeansHalfWidth]])</f>
        <v>4.3613366354194112E-2</v>
      </c>
    </row>
    <row r="270" spans="1:21" x14ac:dyDescent="0.35">
      <c r="A270" t="s">
        <v>66</v>
      </c>
      <c r="B270" t="s">
        <v>69</v>
      </c>
      <c r="C270">
        <v>25</v>
      </c>
      <c r="D270" t="s">
        <v>86</v>
      </c>
      <c r="E270" t="s">
        <v>89</v>
      </c>
      <c r="F270" t="s">
        <v>88</v>
      </c>
      <c r="G270">
        <v>8.5279391025543898</v>
      </c>
      <c r="H270">
        <v>2E+20</v>
      </c>
      <c r="I270">
        <v>0</v>
      </c>
      <c r="J270">
        <v>10</v>
      </c>
      <c r="K270">
        <v>10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5.1812957617942796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9.5110098058068004</v>
      </c>
      <c r="U270" s="5">
        <f>IF((ContinuousStatsTable[[#This Row],[RepsRequested]]&gt;1),ContinuousStatsTable[[#This Row],[HalfWidth]],ContinuousStatsTable[[#This Row],[BatchMeansHalfWidth]])</f>
        <v>0.43613366354194549</v>
      </c>
    </row>
    <row r="271" spans="1:21" x14ac:dyDescent="0.35">
      <c r="A271" t="s">
        <v>66</v>
      </c>
      <c r="B271" t="s">
        <v>69</v>
      </c>
      <c r="C271">
        <v>25</v>
      </c>
      <c r="D271" t="s">
        <v>86</v>
      </c>
      <c r="E271" t="s">
        <v>90</v>
      </c>
      <c r="F271" t="s">
        <v>88</v>
      </c>
      <c r="G271">
        <v>10</v>
      </c>
      <c r="H271">
        <v>2E+20</v>
      </c>
      <c r="I271">
        <v>10</v>
      </c>
      <c r="J271">
        <v>10</v>
      </c>
      <c r="K271">
        <v>10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10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10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66</v>
      </c>
      <c r="B272" t="s">
        <v>69</v>
      </c>
      <c r="C272">
        <v>25</v>
      </c>
      <c r="D272" t="s">
        <v>82</v>
      </c>
      <c r="E272" t="s">
        <v>84</v>
      </c>
      <c r="F272" t="s">
        <v>72</v>
      </c>
      <c r="G272">
        <v>1.97974106465328</v>
      </c>
      <c r="H272">
        <v>2E+20</v>
      </c>
      <c r="I272">
        <v>0</v>
      </c>
      <c r="J272">
        <v>4</v>
      </c>
      <c r="K272">
        <v>2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0.56541157258789199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2.4594543622635499</v>
      </c>
      <c r="U272" s="5">
        <f>IF((ContinuousStatsTable[[#This Row],[RepsRequested]]&gt;1),ContinuousStatsTable[[#This Row],[HalfWidth]],ContinuousStatsTable[[#This Row],[BatchMeansHalfWidth]])</f>
        <v>0.1771627845153336</v>
      </c>
    </row>
    <row r="273" spans="1:21" x14ac:dyDescent="0.35">
      <c r="A273" t="s">
        <v>66</v>
      </c>
      <c r="B273" t="s">
        <v>69</v>
      </c>
      <c r="C273">
        <v>25</v>
      </c>
      <c r="D273" t="s">
        <v>91</v>
      </c>
      <c r="E273" t="s">
        <v>87</v>
      </c>
      <c r="F273" t="s">
        <v>88</v>
      </c>
      <c r="G273">
        <v>0.96008705717843701</v>
      </c>
      <c r="H273">
        <v>2E+20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0.78808827046509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0.99381255473469199</v>
      </c>
      <c r="U273" s="5">
        <f>IF((ContinuousStatsTable[[#This Row],[RepsRequested]]&gt;1),ContinuousStatsTable[[#This Row],[HalfWidth]],ContinuousStatsTable[[#This Row],[BatchMeansHalfWidth]])</f>
        <v>1.6708231879382019E-2</v>
      </c>
    </row>
    <row r="274" spans="1:21" x14ac:dyDescent="0.35">
      <c r="A274" t="s">
        <v>66</v>
      </c>
      <c r="B274" t="s">
        <v>69</v>
      </c>
      <c r="C274">
        <v>25</v>
      </c>
      <c r="D274" t="s">
        <v>91</v>
      </c>
      <c r="E274" t="s">
        <v>89</v>
      </c>
      <c r="F274" t="s">
        <v>88</v>
      </c>
      <c r="G274">
        <v>2.8802611715353099</v>
      </c>
      <c r="H274">
        <v>2E+20</v>
      </c>
      <c r="I274">
        <v>0</v>
      </c>
      <c r="J274">
        <v>3</v>
      </c>
      <c r="K274">
        <v>3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2.36426481139527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2.9814376642040799</v>
      </c>
      <c r="U274" s="5">
        <f>IF((ContinuousStatsTable[[#This Row],[RepsRequested]]&gt;1),ContinuousStatsTable[[#This Row],[HalfWidth]],ContinuousStatsTable[[#This Row],[BatchMeansHalfWidth]])</f>
        <v>5.0124695638146144E-2</v>
      </c>
    </row>
    <row r="275" spans="1:21" x14ac:dyDescent="0.35">
      <c r="A275" t="s">
        <v>66</v>
      </c>
      <c r="B275" t="s">
        <v>69</v>
      </c>
      <c r="C275">
        <v>25</v>
      </c>
      <c r="D275" t="s">
        <v>91</v>
      </c>
      <c r="E275" t="s">
        <v>90</v>
      </c>
      <c r="F275" t="s">
        <v>88</v>
      </c>
      <c r="G275">
        <v>3</v>
      </c>
      <c r="H275">
        <v>2E+20</v>
      </c>
      <c r="I275">
        <v>3</v>
      </c>
      <c r="J275">
        <v>3</v>
      </c>
      <c r="K275">
        <v>3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3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3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3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35">
      <c r="A276" t="s">
        <v>66</v>
      </c>
      <c r="B276" t="s">
        <v>69</v>
      </c>
      <c r="C276">
        <v>25</v>
      </c>
      <c r="D276" t="s">
        <v>83</v>
      </c>
      <c r="E276" t="s">
        <v>84</v>
      </c>
      <c r="F276" t="s">
        <v>72</v>
      </c>
      <c r="G276">
        <v>1.92559382493947</v>
      </c>
      <c r="H276">
        <v>2E+20</v>
      </c>
      <c r="I276">
        <v>0</v>
      </c>
      <c r="J276">
        <v>4</v>
      </c>
      <c r="K276">
        <v>3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0.52883875458038598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2.4798758861082799</v>
      </c>
      <c r="U276" s="5">
        <f>IF((ContinuousStatsTable[[#This Row],[RepsRequested]]&gt;1),ContinuousStatsTable[[#This Row],[HalfWidth]],ContinuousStatsTable[[#This Row],[BatchMeansHalfWidth]])</f>
        <v>0.18745365002732756</v>
      </c>
    </row>
    <row r="277" spans="1:21" x14ac:dyDescent="0.35">
      <c r="A277" t="s">
        <v>66</v>
      </c>
      <c r="B277" t="s">
        <v>69</v>
      </c>
      <c r="C277">
        <v>26</v>
      </c>
      <c r="D277" t="s">
        <v>70</v>
      </c>
      <c r="E277" t="s">
        <v>84</v>
      </c>
      <c r="F277" t="s">
        <v>72</v>
      </c>
      <c r="G277">
        <v>0</v>
      </c>
      <c r="H277">
        <v>2E+20</v>
      </c>
      <c r="I277">
        <v>0</v>
      </c>
      <c r="J277">
        <v>1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35">
      <c r="A278" t="s">
        <v>66</v>
      </c>
      <c r="B278" t="s">
        <v>69</v>
      </c>
      <c r="C278">
        <v>26</v>
      </c>
      <c r="D278" t="s">
        <v>73</v>
      </c>
      <c r="E278" t="s">
        <v>84</v>
      </c>
      <c r="F278" t="s">
        <v>72</v>
      </c>
      <c r="G278">
        <v>2.9395401303432201E-2</v>
      </c>
      <c r="H278">
        <v>2E+20</v>
      </c>
      <c r="I278">
        <v>0</v>
      </c>
      <c r="J278">
        <v>1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9.63804241981207</v>
      </c>
      <c r="U278" s="5">
        <f>IF((ContinuousStatsTable[[#This Row],[RepsRequested]]&gt;1),ContinuousStatsTable[[#This Row],[HalfWidth]],ContinuousStatsTable[[#This Row],[BatchMeansHalfWidth]])</f>
        <v>0.71632840390540931</v>
      </c>
    </row>
    <row r="279" spans="1:21" x14ac:dyDescent="0.35">
      <c r="A279" t="s">
        <v>66</v>
      </c>
      <c r="B279" t="s">
        <v>69</v>
      </c>
      <c r="C279">
        <v>26</v>
      </c>
      <c r="D279" t="s">
        <v>74</v>
      </c>
      <c r="E279" t="s">
        <v>85</v>
      </c>
      <c r="F279" t="s">
        <v>76</v>
      </c>
      <c r="G279">
        <v>10.998107000022801</v>
      </c>
      <c r="H279">
        <v>2E+20</v>
      </c>
      <c r="I279">
        <v>0</v>
      </c>
      <c r="J279">
        <v>23</v>
      </c>
      <c r="K279">
        <v>8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10.3625915235886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38.218354981839397</v>
      </c>
      <c r="U279" s="5">
        <f>IF((ContinuousStatsTable[[#This Row],[RepsRequested]]&gt;1),ContinuousStatsTable[[#This Row],[HalfWidth]],ContinuousStatsTable[[#This Row],[BatchMeansHalfWidth]])</f>
        <v>2.1690587669162626</v>
      </c>
    </row>
    <row r="280" spans="1:21" x14ac:dyDescent="0.35">
      <c r="A280" t="s">
        <v>66</v>
      </c>
      <c r="B280" t="s">
        <v>69</v>
      </c>
      <c r="C280">
        <v>26</v>
      </c>
      <c r="D280" t="s">
        <v>86</v>
      </c>
      <c r="E280" t="s">
        <v>87</v>
      </c>
      <c r="F280" t="s">
        <v>88</v>
      </c>
      <c r="G280">
        <v>0.54696580987079702</v>
      </c>
      <c r="H280">
        <v>2E+20</v>
      </c>
      <c r="I280">
        <v>0</v>
      </c>
      <c r="J280">
        <v>1</v>
      </c>
      <c r="K280">
        <v>0.4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0.51812957617942801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0.95110098058068004</v>
      </c>
      <c r="U280" s="5">
        <f>IF((ContinuousStatsTable[[#This Row],[RepsRequested]]&gt;1),ContinuousStatsTable[[#This Row],[HalfWidth]],ContinuousStatsTable[[#This Row],[BatchMeansHalfWidth]])</f>
        <v>4.3613366354194112E-2</v>
      </c>
    </row>
    <row r="281" spans="1:21" x14ac:dyDescent="0.35">
      <c r="A281" t="s">
        <v>66</v>
      </c>
      <c r="B281" t="s">
        <v>69</v>
      </c>
      <c r="C281">
        <v>26</v>
      </c>
      <c r="D281" t="s">
        <v>86</v>
      </c>
      <c r="E281" t="s">
        <v>89</v>
      </c>
      <c r="F281" t="s">
        <v>88</v>
      </c>
      <c r="G281">
        <v>5.4696580987079697</v>
      </c>
      <c r="H281">
        <v>2E+20</v>
      </c>
      <c r="I281">
        <v>0</v>
      </c>
      <c r="J281">
        <v>10</v>
      </c>
      <c r="K281">
        <v>4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5.1812957617942796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9.5110098058068004</v>
      </c>
      <c r="U281" s="5">
        <f>IF((ContinuousStatsTable[[#This Row],[RepsRequested]]&gt;1),ContinuousStatsTable[[#This Row],[HalfWidth]],ContinuousStatsTable[[#This Row],[BatchMeansHalfWidth]])</f>
        <v>0.43613366354194549</v>
      </c>
    </row>
    <row r="282" spans="1:21" x14ac:dyDescent="0.35">
      <c r="A282" t="s">
        <v>66</v>
      </c>
      <c r="B282" t="s">
        <v>69</v>
      </c>
      <c r="C282">
        <v>26</v>
      </c>
      <c r="D282" t="s">
        <v>86</v>
      </c>
      <c r="E282" t="s">
        <v>90</v>
      </c>
      <c r="F282" t="s">
        <v>88</v>
      </c>
      <c r="G282">
        <v>10</v>
      </c>
      <c r="H282">
        <v>2E+20</v>
      </c>
      <c r="I282">
        <v>10</v>
      </c>
      <c r="J282">
        <v>10</v>
      </c>
      <c r="K282">
        <v>10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10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10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10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35">
      <c r="A283" t="s">
        <v>66</v>
      </c>
      <c r="B283" t="s">
        <v>69</v>
      </c>
      <c r="C283">
        <v>26</v>
      </c>
      <c r="D283" t="s">
        <v>82</v>
      </c>
      <c r="E283" t="s">
        <v>84</v>
      </c>
      <c r="F283" t="s">
        <v>72</v>
      </c>
      <c r="G283">
        <v>0.68797705592666103</v>
      </c>
      <c r="H283">
        <v>2E+20</v>
      </c>
      <c r="I283">
        <v>0</v>
      </c>
      <c r="J283">
        <v>4</v>
      </c>
      <c r="K283">
        <v>0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0.56541157258789199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2.4594543622635499</v>
      </c>
      <c r="U283" s="5">
        <f>IF((ContinuousStatsTable[[#This Row],[RepsRequested]]&gt;1),ContinuousStatsTable[[#This Row],[HalfWidth]],ContinuousStatsTable[[#This Row],[BatchMeansHalfWidth]])</f>
        <v>0.1771627845153336</v>
      </c>
    </row>
    <row r="284" spans="1:21" x14ac:dyDescent="0.35">
      <c r="A284" t="s">
        <v>66</v>
      </c>
      <c r="B284" t="s">
        <v>69</v>
      </c>
      <c r="C284">
        <v>26</v>
      </c>
      <c r="D284" t="s">
        <v>91</v>
      </c>
      <c r="E284" t="s">
        <v>87</v>
      </c>
      <c r="F284" t="s">
        <v>88</v>
      </c>
      <c r="G284">
        <v>0.858934986077175</v>
      </c>
      <c r="H284">
        <v>2E+20</v>
      </c>
      <c r="I284">
        <v>0</v>
      </c>
      <c r="J284">
        <v>1</v>
      </c>
      <c r="K284">
        <v>0.66666666666666696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0.78808827046509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0.99381255473469199</v>
      </c>
      <c r="U284" s="5">
        <f>IF((ContinuousStatsTable[[#This Row],[RepsRequested]]&gt;1),ContinuousStatsTable[[#This Row],[HalfWidth]],ContinuousStatsTable[[#This Row],[BatchMeansHalfWidth]])</f>
        <v>1.6708231879382019E-2</v>
      </c>
    </row>
    <row r="285" spans="1:21" x14ac:dyDescent="0.35">
      <c r="A285" t="s">
        <v>66</v>
      </c>
      <c r="B285" t="s">
        <v>69</v>
      </c>
      <c r="C285">
        <v>26</v>
      </c>
      <c r="D285" t="s">
        <v>91</v>
      </c>
      <c r="E285" t="s">
        <v>89</v>
      </c>
      <c r="F285" t="s">
        <v>88</v>
      </c>
      <c r="G285">
        <v>2.5768049582315302</v>
      </c>
      <c r="H285">
        <v>2E+20</v>
      </c>
      <c r="I285">
        <v>0</v>
      </c>
      <c r="J285">
        <v>3</v>
      </c>
      <c r="K285">
        <v>2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2.36426481139527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2.9814376642040799</v>
      </c>
      <c r="U285" s="5">
        <f>IF((ContinuousStatsTable[[#This Row],[RepsRequested]]&gt;1),ContinuousStatsTable[[#This Row],[HalfWidth]],ContinuousStatsTable[[#This Row],[BatchMeansHalfWidth]])</f>
        <v>5.0124695638146144E-2</v>
      </c>
    </row>
    <row r="286" spans="1:21" x14ac:dyDescent="0.35">
      <c r="A286" t="s">
        <v>66</v>
      </c>
      <c r="B286" t="s">
        <v>69</v>
      </c>
      <c r="C286">
        <v>26</v>
      </c>
      <c r="D286" t="s">
        <v>91</v>
      </c>
      <c r="E286" t="s">
        <v>90</v>
      </c>
      <c r="F286" t="s">
        <v>88</v>
      </c>
      <c r="G286">
        <v>3</v>
      </c>
      <c r="H286">
        <v>2E+20</v>
      </c>
      <c r="I286">
        <v>3</v>
      </c>
      <c r="J286">
        <v>3</v>
      </c>
      <c r="K286">
        <v>3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3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3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3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66</v>
      </c>
      <c r="B287" t="s">
        <v>69</v>
      </c>
      <c r="C287">
        <v>26</v>
      </c>
      <c r="D287" t="s">
        <v>83</v>
      </c>
      <c r="E287" t="s">
        <v>84</v>
      </c>
      <c r="F287" t="s">
        <v>72</v>
      </c>
      <c r="G287">
        <v>0.67940067876008603</v>
      </c>
      <c r="H287">
        <v>2E+20</v>
      </c>
      <c r="I287">
        <v>0</v>
      </c>
      <c r="J287">
        <v>4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0.52883875458038598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2.4798758861082799</v>
      </c>
      <c r="U287" s="5">
        <f>IF((ContinuousStatsTable[[#This Row],[RepsRequested]]&gt;1),ContinuousStatsTable[[#This Row],[HalfWidth]],ContinuousStatsTable[[#This Row],[BatchMeansHalfWidth]])</f>
        <v>0.18745365002732756</v>
      </c>
    </row>
    <row r="288" spans="1:21" x14ac:dyDescent="0.35">
      <c r="A288" t="s">
        <v>66</v>
      </c>
      <c r="B288" t="s">
        <v>69</v>
      </c>
      <c r="C288">
        <v>27</v>
      </c>
      <c r="D288" t="s">
        <v>70</v>
      </c>
      <c r="E288" t="s">
        <v>84</v>
      </c>
      <c r="F288" t="s">
        <v>72</v>
      </c>
      <c r="G288">
        <v>0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35">
      <c r="A289" t="s">
        <v>66</v>
      </c>
      <c r="B289" t="s">
        <v>69</v>
      </c>
      <c r="C289">
        <v>27</v>
      </c>
      <c r="D289" t="s">
        <v>73</v>
      </c>
      <c r="E289" t="s">
        <v>84</v>
      </c>
      <c r="F289" t="s">
        <v>72</v>
      </c>
      <c r="G289">
        <v>0.31665856303078999</v>
      </c>
      <c r="H289">
        <v>2E+20</v>
      </c>
      <c r="I289">
        <v>0</v>
      </c>
      <c r="J289">
        <v>3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9.63804241981207</v>
      </c>
      <c r="U289" s="5">
        <f>IF((ContinuousStatsTable[[#This Row],[RepsRequested]]&gt;1),ContinuousStatsTable[[#This Row],[HalfWidth]],ContinuousStatsTable[[#This Row],[BatchMeansHalfWidth]])</f>
        <v>0.71632840390540931</v>
      </c>
    </row>
    <row r="290" spans="1:21" x14ac:dyDescent="0.35">
      <c r="A290" t="s">
        <v>66</v>
      </c>
      <c r="B290" t="s">
        <v>69</v>
      </c>
      <c r="C290">
        <v>27</v>
      </c>
      <c r="D290" t="s">
        <v>74</v>
      </c>
      <c r="E290" t="s">
        <v>85</v>
      </c>
      <c r="F290" t="s">
        <v>76</v>
      </c>
      <c r="G290">
        <v>13.2139735052482</v>
      </c>
      <c r="H290">
        <v>2E+20</v>
      </c>
      <c r="I290">
        <v>0</v>
      </c>
      <c r="J290">
        <v>27</v>
      </c>
      <c r="K290">
        <v>22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10.3625915235886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38.218354981839397</v>
      </c>
      <c r="U290" s="5">
        <f>IF((ContinuousStatsTable[[#This Row],[RepsRequested]]&gt;1),ContinuousStatsTable[[#This Row],[HalfWidth]],ContinuousStatsTable[[#This Row],[BatchMeansHalfWidth]])</f>
        <v>2.1690587669162626</v>
      </c>
    </row>
    <row r="291" spans="1:21" x14ac:dyDescent="0.35">
      <c r="A291" t="s">
        <v>66</v>
      </c>
      <c r="B291" t="s">
        <v>69</v>
      </c>
      <c r="C291">
        <v>27</v>
      </c>
      <c r="D291" t="s">
        <v>86</v>
      </c>
      <c r="E291" t="s">
        <v>87</v>
      </c>
      <c r="F291" t="s">
        <v>88</v>
      </c>
      <c r="G291">
        <v>0.62903281895933105</v>
      </c>
      <c r="H291">
        <v>2E+20</v>
      </c>
      <c r="I291">
        <v>0</v>
      </c>
      <c r="J291">
        <v>1</v>
      </c>
      <c r="K291">
        <v>1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0.51812957617942801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0.95110098058068004</v>
      </c>
      <c r="U291" s="5">
        <f>IF((ContinuousStatsTable[[#This Row],[RepsRequested]]&gt;1),ContinuousStatsTable[[#This Row],[HalfWidth]],ContinuousStatsTable[[#This Row],[BatchMeansHalfWidth]])</f>
        <v>4.3613366354194112E-2</v>
      </c>
    </row>
    <row r="292" spans="1:21" x14ac:dyDescent="0.35">
      <c r="A292" t="s">
        <v>66</v>
      </c>
      <c r="B292" t="s">
        <v>69</v>
      </c>
      <c r="C292">
        <v>27</v>
      </c>
      <c r="D292" t="s">
        <v>86</v>
      </c>
      <c r="E292" t="s">
        <v>89</v>
      </c>
      <c r="F292" t="s">
        <v>88</v>
      </c>
      <c r="G292">
        <v>6.2903281895933203</v>
      </c>
      <c r="H292">
        <v>2E+20</v>
      </c>
      <c r="I292">
        <v>0</v>
      </c>
      <c r="J292">
        <v>10</v>
      </c>
      <c r="K292">
        <v>10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5.1812957617942796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9.5110098058068004</v>
      </c>
      <c r="U292" s="5">
        <f>IF((ContinuousStatsTable[[#This Row],[RepsRequested]]&gt;1),ContinuousStatsTable[[#This Row],[HalfWidth]],ContinuousStatsTable[[#This Row],[BatchMeansHalfWidth]])</f>
        <v>0.43613366354194549</v>
      </c>
    </row>
    <row r="293" spans="1:21" x14ac:dyDescent="0.35">
      <c r="A293" t="s">
        <v>66</v>
      </c>
      <c r="B293" t="s">
        <v>69</v>
      </c>
      <c r="C293">
        <v>27</v>
      </c>
      <c r="D293" t="s">
        <v>86</v>
      </c>
      <c r="E293" t="s">
        <v>90</v>
      </c>
      <c r="F293" t="s">
        <v>88</v>
      </c>
      <c r="G293">
        <v>10</v>
      </c>
      <c r="H293">
        <v>2E+20</v>
      </c>
      <c r="I293">
        <v>10</v>
      </c>
      <c r="J293">
        <v>10</v>
      </c>
      <c r="K293">
        <v>10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66</v>
      </c>
      <c r="B294" t="s">
        <v>69</v>
      </c>
      <c r="C294">
        <v>27</v>
      </c>
      <c r="D294" t="s">
        <v>82</v>
      </c>
      <c r="E294" t="s">
        <v>84</v>
      </c>
      <c r="F294" t="s">
        <v>72</v>
      </c>
      <c r="G294">
        <v>1.17389312753778</v>
      </c>
      <c r="H294">
        <v>2E+20</v>
      </c>
      <c r="I294">
        <v>0</v>
      </c>
      <c r="J294">
        <v>5</v>
      </c>
      <c r="K294">
        <v>3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0.56541157258789199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2.4594543622635499</v>
      </c>
      <c r="U294" s="5">
        <f>IF((ContinuousStatsTable[[#This Row],[RepsRequested]]&gt;1),ContinuousStatsTable[[#This Row],[HalfWidth]],ContinuousStatsTable[[#This Row],[BatchMeansHalfWidth]])</f>
        <v>0.1771627845153336</v>
      </c>
    </row>
    <row r="295" spans="1:21" x14ac:dyDescent="0.35">
      <c r="A295" t="s">
        <v>66</v>
      </c>
      <c r="B295" t="s">
        <v>69</v>
      </c>
      <c r="C295">
        <v>27</v>
      </c>
      <c r="D295" t="s">
        <v>91</v>
      </c>
      <c r="E295" t="s">
        <v>87</v>
      </c>
      <c r="F295" t="s">
        <v>88</v>
      </c>
      <c r="G295">
        <v>0.86553190913134703</v>
      </c>
      <c r="H295">
        <v>2E+20</v>
      </c>
      <c r="I295">
        <v>0</v>
      </c>
      <c r="J295">
        <v>1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0.78808827046509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0.99381255473469199</v>
      </c>
      <c r="U295" s="5">
        <f>IF((ContinuousStatsTable[[#This Row],[RepsRequested]]&gt;1),ContinuousStatsTable[[#This Row],[HalfWidth]],ContinuousStatsTable[[#This Row],[BatchMeansHalfWidth]])</f>
        <v>1.6708231879382019E-2</v>
      </c>
    </row>
    <row r="296" spans="1:21" x14ac:dyDescent="0.35">
      <c r="A296" t="s">
        <v>66</v>
      </c>
      <c r="B296" t="s">
        <v>69</v>
      </c>
      <c r="C296">
        <v>27</v>
      </c>
      <c r="D296" t="s">
        <v>91</v>
      </c>
      <c r="E296" t="s">
        <v>89</v>
      </c>
      <c r="F296" t="s">
        <v>88</v>
      </c>
      <c r="G296">
        <v>2.5965957273940399</v>
      </c>
      <c r="H296">
        <v>2E+20</v>
      </c>
      <c r="I296">
        <v>0</v>
      </c>
      <c r="J296">
        <v>3</v>
      </c>
      <c r="K296">
        <v>3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2.36426481139527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2.9814376642040799</v>
      </c>
      <c r="U296" s="5">
        <f>IF((ContinuousStatsTable[[#This Row],[RepsRequested]]&gt;1),ContinuousStatsTable[[#This Row],[HalfWidth]],ContinuousStatsTable[[#This Row],[BatchMeansHalfWidth]])</f>
        <v>5.0124695638146144E-2</v>
      </c>
    </row>
    <row r="297" spans="1:21" x14ac:dyDescent="0.35">
      <c r="A297" t="s">
        <v>66</v>
      </c>
      <c r="B297" t="s">
        <v>69</v>
      </c>
      <c r="C297">
        <v>27</v>
      </c>
      <c r="D297" t="s">
        <v>91</v>
      </c>
      <c r="E297" t="s">
        <v>90</v>
      </c>
      <c r="F297" t="s">
        <v>88</v>
      </c>
      <c r="G297">
        <v>3</v>
      </c>
      <c r="H297">
        <v>2E+20</v>
      </c>
      <c r="I297">
        <v>3</v>
      </c>
      <c r="J297">
        <v>3</v>
      </c>
      <c r="K297">
        <v>3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3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3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3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5">
      <c r="A298" t="s">
        <v>66</v>
      </c>
      <c r="B298" t="s">
        <v>69</v>
      </c>
      <c r="C298">
        <v>27</v>
      </c>
      <c r="D298" t="s">
        <v>83</v>
      </c>
      <c r="E298" t="s">
        <v>84</v>
      </c>
      <c r="F298" t="s">
        <v>72</v>
      </c>
      <c r="G298">
        <v>0.99761585698590205</v>
      </c>
      <c r="H298">
        <v>2E+20</v>
      </c>
      <c r="I298">
        <v>0</v>
      </c>
      <c r="J298">
        <v>5</v>
      </c>
      <c r="K298">
        <v>2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0.52883875458038598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2.4798758861082799</v>
      </c>
      <c r="U298" s="5">
        <f>IF((ContinuousStatsTable[[#This Row],[RepsRequested]]&gt;1),ContinuousStatsTable[[#This Row],[HalfWidth]],ContinuousStatsTable[[#This Row],[BatchMeansHalfWidth]])</f>
        <v>0.18745365002732756</v>
      </c>
    </row>
    <row r="299" spans="1:21" x14ac:dyDescent="0.35">
      <c r="A299" t="s">
        <v>66</v>
      </c>
      <c r="B299" t="s">
        <v>69</v>
      </c>
      <c r="C299">
        <v>28</v>
      </c>
      <c r="D299" t="s">
        <v>70</v>
      </c>
      <c r="E299" t="s">
        <v>84</v>
      </c>
      <c r="F299" t="s">
        <v>72</v>
      </c>
      <c r="G299">
        <v>0</v>
      </c>
      <c r="H299">
        <v>2E+20</v>
      </c>
      <c r="I299">
        <v>0</v>
      </c>
      <c r="J299">
        <v>1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66</v>
      </c>
      <c r="B300" t="s">
        <v>69</v>
      </c>
      <c r="C300">
        <v>28</v>
      </c>
      <c r="D300" t="s">
        <v>73</v>
      </c>
      <c r="E300" t="s">
        <v>84</v>
      </c>
      <c r="F300" t="s">
        <v>72</v>
      </c>
      <c r="G300">
        <v>1.3687252715174301</v>
      </c>
      <c r="H300">
        <v>2E+20</v>
      </c>
      <c r="I300">
        <v>0</v>
      </c>
      <c r="J300">
        <v>7</v>
      </c>
      <c r="K300">
        <v>4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9.63804241981207</v>
      </c>
      <c r="U300" s="5">
        <f>IF((ContinuousStatsTable[[#This Row],[RepsRequested]]&gt;1),ContinuousStatsTable[[#This Row],[HalfWidth]],ContinuousStatsTable[[#This Row],[BatchMeansHalfWidth]])</f>
        <v>0.71632840390540931</v>
      </c>
    </row>
    <row r="301" spans="1:21" x14ac:dyDescent="0.35">
      <c r="A301" t="s">
        <v>66</v>
      </c>
      <c r="B301" t="s">
        <v>69</v>
      </c>
      <c r="C301">
        <v>28</v>
      </c>
      <c r="D301" t="s">
        <v>74</v>
      </c>
      <c r="E301" t="s">
        <v>85</v>
      </c>
      <c r="F301" t="s">
        <v>76</v>
      </c>
      <c r="G301">
        <v>19.428630992888401</v>
      </c>
      <c r="H301">
        <v>2E+20</v>
      </c>
      <c r="I301">
        <v>0</v>
      </c>
      <c r="J301">
        <v>34</v>
      </c>
      <c r="K301">
        <v>28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10.3625915235886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38.218354981839397</v>
      </c>
      <c r="U301" s="5">
        <f>IF((ContinuousStatsTable[[#This Row],[RepsRequested]]&gt;1),ContinuousStatsTable[[#This Row],[HalfWidth]],ContinuousStatsTable[[#This Row],[BatchMeansHalfWidth]])</f>
        <v>2.1690587669162626</v>
      </c>
    </row>
    <row r="302" spans="1:21" x14ac:dyDescent="0.35">
      <c r="A302" t="s">
        <v>66</v>
      </c>
      <c r="B302" t="s">
        <v>69</v>
      </c>
      <c r="C302">
        <v>28</v>
      </c>
      <c r="D302" t="s">
        <v>86</v>
      </c>
      <c r="E302" t="s">
        <v>87</v>
      </c>
      <c r="F302" t="s">
        <v>88</v>
      </c>
      <c r="G302">
        <v>0.83455902249267899</v>
      </c>
      <c r="H302">
        <v>2E+20</v>
      </c>
      <c r="I302">
        <v>0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0.51812957617942801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0.95110098058068004</v>
      </c>
      <c r="U302" s="5">
        <f>IF((ContinuousStatsTable[[#This Row],[RepsRequested]]&gt;1),ContinuousStatsTable[[#This Row],[HalfWidth]],ContinuousStatsTable[[#This Row],[BatchMeansHalfWidth]])</f>
        <v>4.3613366354194112E-2</v>
      </c>
    </row>
    <row r="303" spans="1:21" x14ac:dyDescent="0.35">
      <c r="A303" t="s">
        <v>66</v>
      </c>
      <c r="B303" t="s">
        <v>69</v>
      </c>
      <c r="C303">
        <v>28</v>
      </c>
      <c r="D303" t="s">
        <v>86</v>
      </c>
      <c r="E303" t="s">
        <v>89</v>
      </c>
      <c r="F303" t="s">
        <v>88</v>
      </c>
      <c r="G303">
        <v>8.3455902249267897</v>
      </c>
      <c r="H303">
        <v>2E+20</v>
      </c>
      <c r="I303">
        <v>0</v>
      </c>
      <c r="J303">
        <v>10</v>
      </c>
      <c r="K303">
        <v>10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5.1812957617942796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9.5110098058068004</v>
      </c>
      <c r="U303" s="5">
        <f>IF((ContinuousStatsTable[[#This Row],[RepsRequested]]&gt;1),ContinuousStatsTable[[#This Row],[HalfWidth]],ContinuousStatsTable[[#This Row],[BatchMeansHalfWidth]])</f>
        <v>0.43613366354194549</v>
      </c>
    </row>
    <row r="304" spans="1:21" x14ac:dyDescent="0.35">
      <c r="A304" t="s">
        <v>66</v>
      </c>
      <c r="B304" t="s">
        <v>69</v>
      </c>
      <c r="C304">
        <v>28</v>
      </c>
      <c r="D304" t="s">
        <v>86</v>
      </c>
      <c r="E304" t="s">
        <v>90</v>
      </c>
      <c r="F304" t="s">
        <v>88</v>
      </c>
      <c r="G304">
        <v>10</v>
      </c>
      <c r="H304">
        <v>2E+20</v>
      </c>
      <c r="I304">
        <v>10</v>
      </c>
      <c r="J304">
        <v>10</v>
      </c>
      <c r="K304">
        <v>10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10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10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10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66</v>
      </c>
      <c r="B305" t="s">
        <v>69</v>
      </c>
      <c r="C305">
        <v>28</v>
      </c>
      <c r="D305" t="s">
        <v>82</v>
      </c>
      <c r="E305" t="s">
        <v>84</v>
      </c>
      <c r="F305" t="s">
        <v>72</v>
      </c>
      <c r="G305">
        <v>1.8672405779613801</v>
      </c>
      <c r="H305">
        <v>2E+20</v>
      </c>
      <c r="I305">
        <v>0</v>
      </c>
      <c r="J305">
        <v>4</v>
      </c>
      <c r="K305">
        <v>3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0.56541157258789199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2.4594543622635499</v>
      </c>
      <c r="U305" s="5">
        <f>IF((ContinuousStatsTable[[#This Row],[RepsRequested]]&gt;1),ContinuousStatsTable[[#This Row],[HalfWidth]],ContinuousStatsTable[[#This Row],[BatchMeansHalfWidth]])</f>
        <v>0.1771627845153336</v>
      </c>
    </row>
    <row r="306" spans="1:21" x14ac:dyDescent="0.35">
      <c r="A306" t="s">
        <v>66</v>
      </c>
      <c r="B306" t="s">
        <v>69</v>
      </c>
      <c r="C306">
        <v>28</v>
      </c>
      <c r="D306" t="s">
        <v>91</v>
      </c>
      <c r="E306" t="s">
        <v>87</v>
      </c>
      <c r="F306" t="s">
        <v>88</v>
      </c>
      <c r="G306">
        <v>0.96941615829127303</v>
      </c>
      <c r="H306">
        <v>2E+20</v>
      </c>
      <c r="I306">
        <v>0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0.78808827046509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0.99381255473469199</v>
      </c>
      <c r="U306" s="5">
        <f>IF((ContinuousStatsTable[[#This Row],[RepsRequested]]&gt;1),ContinuousStatsTable[[#This Row],[HalfWidth]],ContinuousStatsTable[[#This Row],[BatchMeansHalfWidth]])</f>
        <v>1.6708231879382019E-2</v>
      </c>
    </row>
    <row r="307" spans="1:21" x14ac:dyDescent="0.35">
      <c r="A307" t="s">
        <v>66</v>
      </c>
      <c r="B307" t="s">
        <v>69</v>
      </c>
      <c r="C307">
        <v>28</v>
      </c>
      <c r="D307" t="s">
        <v>91</v>
      </c>
      <c r="E307" t="s">
        <v>89</v>
      </c>
      <c r="F307" t="s">
        <v>88</v>
      </c>
      <c r="G307">
        <v>2.9082484748738202</v>
      </c>
      <c r="H307">
        <v>2E+20</v>
      </c>
      <c r="I307">
        <v>0</v>
      </c>
      <c r="J307">
        <v>3</v>
      </c>
      <c r="K307">
        <v>3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2.36426481139527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2.9814376642040799</v>
      </c>
      <c r="U307" s="5">
        <f>IF((ContinuousStatsTable[[#This Row],[RepsRequested]]&gt;1),ContinuousStatsTable[[#This Row],[HalfWidth]],ContinuousStatsTable[[#This Row],[BatchMeansHalfWidth]])</f>
        <v>5.0124695638146144E-2</v>
      </c>
    </row>
    <row r="308" spans="1:21" x14ac:dyDescent="0.35">
      <c r="A308" t="s">
        <v>66</v>
      </c>
      <c r="B308" t="s">
        <v>69</v>
      </c>
      <c r="C308">
        <v>28</v>
      </c>
      <c r="D308" t="s">
        <v>91</v>
      </c>
      <c r="E308" t="s">
        <v>90</v>
      </c>
      <c r="F308" t="s">
        <v>88</v>
      </c>
      <c r="G308">
        <v>3</v>
      </c>
      <c r="H308">
        <v>2E+20</v>
      </c>
      <c r="I308">
        <v>3</v>
      </c>
      <c r="J308">
        <v>3</v>
      </c>
      <c r="K308">
        <v>3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3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3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3</v>
      </c>
      <c r="U308" s="5">
        <f>IF((ContinuousStatsTable[[#This Row],[RepsRequested]]&gt;1),ContinuousStatsTable[[#This Row],[HalfWidth]],ContinuousStatsTable[[#This Row],[BatchMeansHalfWidth]])</f>
        <v>0</v>
      </c>
    </row>
    <row r="309" spans="1:21" x14ac:dyDescent="0.35">
      <c r="A309" t="s">
        <v>66</v>
      </c>
      <c r="B309" t="s">
        <v>69</v>
      </c>
      <c r="C309">
        <v>28</v>
      </c>
      <c r="D309" t="s">
        <v>83</v>
      </c>
      <c r="E309" t="s">
        <v>84</v>
      </c>
      <c r="F309" t="s">
        <v>72</v>
      </c>
      <c r="G309">
        <v>1.78749541092284</v>
      </c>
      <c r="H309">
        <v>2E+20</v>
      </c>
      <c r="I309">
        <v>0</v>
      </c>
      <c r="J309">
        <v>5</v>
      </c>
      <c r="K309">
        <v>1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0.52883875458038598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2.4798758861082799</v>
      </c>
      <c r="U309" s="5">
        <f>IF((ContinuousStatsTable[[#This Row],[RepsRequested]]&gt;1),ContinuousStatsTable[[#This Row],[HalfWidth]],ContinuousStatsTable[[#This Row],[BatchMeansHalfWidth]])</f>
        <v>0.18745365002732756</v>
      </c>
    </row>
    <row r="310" spans="1:21" x14ac:dyDescent="0.35">
      <c r="A310" t="s">
        <v>66</v>
      </c>
      <c r="B310" t="s">
        <v>69</v>
      </c>
      <c r="C310">
        <v>29</v>
      </c>
      <c r="D310" t="s">
        <v>70</v>
      </c>
      <c r="E310" t="s">
        <v>84</v>
      </c>
      <c r="F310" t="s">
        <v>72</v>
      </c>
      <c r="G310">
        <v>0</v>
      </c>
      <c r="H310">
        <v>2E+20</v>
      </c>
      <c r="I310">
        <v>0</v>
      </c>
      <c r="J310">
        <v>1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66</v>
      </c>
      <c r="B311" t="s">
        <v>69</v>
      </c>
      <c r="C311">
        <v>29</v>
      </c>
      <c r="D311" t="s">
        <v>73</v>
      </c>
      <c r="E311" t="s">
        <v>84</v>
      </c>
      <c r="F311" t="s">
        <v>72</v>
      </c>
      <c r="G311">
        <v>0.19946921605308901</v>
      </c>
      <c r="H311">
        <v>2E+20</v>
      </c>
      <c r="I311">
        <v>0</v>
      </c>
      <c r="J311">
        <v>4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9.63804241981207</v>
      </c>
      <c r="U311" s="5">
        <f>IF((ContinuousStatsTable[[#This Row],[RepsRequested]]&gt;1),ContinuousStatsTable[[#This Row],[HalfWidth]],ContinuousStatsTable[[#This Row],[BatchMeansHalfWidth]])</f>
        <v>0.71632840390540931</v>
      </c>
    </row>
    <row r="312" spans="1:21" x14ac:dyDescent="0.35">
      <c r="A312" t="s">
        <v>66</v>
      </c>
      <c r="B312" t="s">
        <v>69</v>
      </c>
      <c r="C312">
        <v>29</v>
      </c>
      <c r="D312" t="s">
        <v>74</v>
      </c>
      <c r="E312" t="s">
        <v>85</v>
      </c>
      <c r="F312" t="s">
        <v>76</v>
      </c>
      <c r="G312">
        <v>13.0430136435919</v>
      </c>
      <c r="H312">
        <v>2E+20</v>
      </c>
      <c r="I312">
        <v>0</v>
      </c>
      <c r="J312">
        <v>28</v>
      </c>
      <c r="K312">
        <v>12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10.3625915235886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38.218354981839397</v>
      </c>
      <c r="U312" s="5">
        <f>IF((ContinuousStatsTable[[#This Row],[RepsRequested]]&gt;1),ContinuousStatsTable[[#This Row],[HalfWidth]],ContinuousStatsTable[[#This Row],[BatchMeansHalfWidth]])</f>
        <v>2.1690587669162626</v>
      </c>
    </row>
    <row r="313" spans="1:21" x14ac:dyDescent="0.35">
      <c r="A313" t="s">
        <v>66</v>
      </c>
      <c r="B313" t="s">
        <v>69</v>
      </c>
      <c r="C313">
        <v>29</v>
      </c>
      <c r="D313" t="s">
        <v>86</v>
      </c>
      <c r="E313" t="s">
        <v>87</v>
      </c>
      <c r="F313" t="s">
        <v>88</v>
      </c>
      <c r="G313">
        <v>0.63220376057428895</v>
      </c>
      <c r="H313">
        <v>2E+20</v>
      </c>
      <c r="I313">
        <v>0</v>
      </c>
      <c r="J313">
        <v>1</v>
      </c>
      <c r="K313">
        <v>0.6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0.51812957617942801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0.95110098058068004</v>
      </c>
      <c r="U313" s="5">
        <f>IF((ContinuousStatsTable[[#This Row],[RepsRequested]]&gt;1),ContinuousStatsTable[[#This Row],[HalfWidth]],ContinuousStatsTable[[#This Row],[BatchMeansHalfWidth]])</f>
        <v>4.3613366354194112E-2</v>
      </c>
    </row>
    <row r="314" spans="1:21" x14ac:dyDescent="0.35">
      <c r="A314" t="s">
        <v>66</v>
      </c>
      <c r="B314" t="s">
        <v>69</v>
      </c>
      <c r="C314">
        <v>29</v>
      </c>
      <c r="D314" t="s">
        <v>86</v>
      </c>
      <c r="E314" t="s">
        <v>89</v>
      </c>
      <c r="F314" t="s">
        <v>88</v>
      </c>
      <c r="G314">
        <v>6.3220376057428798</v>
      </c>
      <c r="H314">
        <v>2E+20</v>
      </c>
      <c r="I314">
        <v>0</v>
      </c>
      <c r="J314">
        <v>10</v>
      </c>
      <c r="K314">
        <v>6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5.1812957617942796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9.5110098058068004</v>
      </c>
      <c r="U314" s="5">
        <f>IF((ContinuousStatsTable[[#This Row],[RepsRequested]]&gt;1),ContinuousStatsTable[[#This Row],[HalfWidth]],ContinuousStatsTable[[#This Row],[BatchMeansHalfWidth]])</f>
        <v>0.43613366354194549</v>
      </c>
    </row>
    <row r="315" spans="1:21" x14ac:dyDescent="0.35">
      <c r="A315" t="s">
        <v>66</v>
      </c>
      <c r="B315" t="s">
        <v>69</v>
      </c>
      <c r="C315">
        <v>29</v>
      </c>
      <c r="D315" t="s">
        <v>86</v>
      </c>
      <c r="E315" t="s">
        <v>90</v>
      </c>
      <c r="F315" t="s">
        <v>88</v>
      </c>
      <c r="G315">
        <v>10</v>
      </c>
      <c r="H315">
        <v>2E+20</v>
      </c>
      <c r="I315">
        <v>10</v>
      </c>
      <c r="J315">
        <v>10</v>
      </c>
      <c r="K315">
        <v>10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10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10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10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35">
      <c r="A316" t="s">
        <v>66</v>
      </c>
      <c r="B316" t="s">
        <v>69</v>
      </c>
      <c r="C316">
        <v>29</v>
      </c>
      <c r="D316" t="s">
        <v>82</v>
      </c>
      <c r="E316" t="s">
        <v>84</v>
      </c>
      <c r="F316" t="s">
        <v>72</v>
      </c>
      <c r="G316">
        <v>1.0151339194930999</v>
      </c>
      <c r="H316">
        <v>2E+20</v>
      </c>
      <c r="I316">
        <v>0</v>
      </c>
      <c r="J316">
        <v>4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0.56541157258789199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2.4594543622635499</v>
      </c>
      <c r="U316" s="5">
        <f>IF((ContinuousStatsTable[[#This Row],[RepsRequested]]&gt;1),ContinuousStatsTable[[#This Row],[HalfWidth]],ContinuousStatsTable[[#This Row],[BatchMeansHalfWidth]])</f>
        <v>0.1771627845153336</v>
      </c>
    </row>
    <row r="317" spans="1:21" x14ac:dyDescent="0.35">
      <c r="A317" t="s">
        <v>66</v>
      </c>
      <c r="B317" t="s">
        <v>69</v>
      </c>
      <c r="C317">
        <v>29</v>
      </c>
      <c r="D317" t="s">
        <v>91</v>
      </c>
      <c r="E317" t="s">
        <v>87</v>
      </c>
      <c r="F317" t="s">
        <v>88</v>
      </c>
      <c r="G317">
        <v>0.900480429636215</v>
      </c>
      <c r="H317">
        <v>2E+20</v>
      </c>
      <c r="I317">
        <v>0</v>
      </c>
      <c r="J317">
        <v>1</v>
      </c>
      <c r="K317">
        <v>1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0.78808827046509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0.99381255473469199</v>
      </c>
      <c r="U317" s="5">
        <f>IF((ContinuousStatsTable[[#This Row],[RepsRequested]]&gt;1),ContinuousStatsTable[[#This Row],[HalfWidth]],ContinuousStatsTable[[#This Row],[BatchMeansHalfWidth]])</f>
        <v>1.6708231879382019E-2</v>
      </c>
    </row>
    <row r="318" spans="1:21" x14ac:dyDescent="0.35">
      <c r="A318" t="s">
        <v>66</v>
      </c>
      <c r="B318" t="s">
        <v>69</v>
      </c>
      <c r="C318">
        <v>29</v>
      </c>
      <c r="D318" t="s">
        <v>91</v>
      </c>
      <c r="E318" t="s">
        <v>89</v>
      </c>
      <c r="F318" t="s">
        <v>88</v>
      </c>
      <c r="G318">
        <v>2.7014412889086401</v>
      </c>
      <c r="H318">
        <v>2E+20</v>
      </c>
      <c r="I318">
        <v>0</v>
      </c>
      <c r="J318">
        <v>3</v>
      </c>
      <c r="K318">
        <v>3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2.36426481139527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2.9814376642040799</v>
      </c>
      <c r="U318" s="5">
        <f>IF((ContinuousStatsTable[[#This Row],[RepsRequested]]&gt;1),ContinuousStatsTable[[#This Row],[HalfWidth]],ContinuousStatsTable[[#This Row],[BatchMeansHalfWidth]])</f>
        <v>5.0124695638146144E-2</v>
      </c>
    </row>
    <row r="319" spans="1:21" x14ac:dyDescent="0.35">
      <c r="A319" t="s">
        <v>66</v>
      </c>
      <c r="B319" t="s">
        <v>69</v>
      </c>
      <c r="C319">
        <v>29</v>
      </c>
      <c r="D319" t="s">
        <v>91</v>
      </c>
      <c r="E319" t="s">
        <v>90</v>
      </c>
      <c r="F319" t="s">
        <v>88</v>
      </c>
      <c r="G319">
        <v>3</v>
      </c>
      <c r="H319">
        <v>2E+20</v>
      </c>
      <c r="I319">
        <v>3</v>
      </c>
      <c r="J319">
        <v>3</v>
      </c>
      <c r="K319">
        <v>3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3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3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3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66</v>
      </c>
      <c r="B320" t="s">
        <v>69</v>
      </c>
      <c r="C320">
        <v>29</v>
      </c>
      <c r="D320" t="s">
        <v>83</v>
      </c>
      <c r="E320" t="s">
        <v>84</v>
      </c>
      <c r="F320" t="s">
        <v>72</v>
      </c>
      <c r="G320">
        <v>1.01366382285372</v>
      </c>
      <c r="H320">
        <v>2E+20</v>
      </c>
      <c r="I320">
        <v>0</v>
      </c>
      <c r="J320">
        <v>4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0.52883875458038598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2.4798758861082799</v>
      </c>
      <c r="U320" s="5">
        <f>IF((ContinuousStatsTable[[#This Row],[RepsRequested]]&gt;1),ContinuousStatsTable[[#This Row],[HalfWidth]],ContinuousStatsTable[[#This Row],[BatchMeansHalfWidth]])</f>
        <v>0.18745365002732756</v>
      </c>
    </row>
    <row r="321" spans="1:21" x14ac:dyDescent="0.35">
      <c r="A321" t="s">
        <v>66</v>
      </c>
      <c r="B321" t="s">
        <v>69</v>
      </c>
      <c r="C321">
        <v>30</v>
      </c>
      <c r="D321" t="s">
        <v>70</v>
      </c>
      <c r="E321" t="s">
        <v>84</v>
      </c>
      <c r="F321" t="s">
        <v>72</v>
      </c>
      <c r="G321">
        <v>0</v>
      </c>
      <c r="H321">
        <v>2E+20</v>
      </c>
      <c r="I321">
        <v>0</v>
      </c>
      <c r="J321">
        <v>1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35">
      <c r="A322" t="s">
        <v>66</v>
      </c>
      <c r="B322" t="s">
        <v>69</v>
      </c>
      <c r="C322">
        <v>30</v>
      </c>
      <c r="D322" t="s">
        <v>73</v>
      </c>
      <c r="E322" t="s">
        <v>84</v>
      </c>
      <c r="F322" t="s">
        <v>72</v>
      </c>
      <c r="G322">
        <v>0.43704771559282002</v>
      </c>
      <c r="H322">
        <v>2E+20</v>
      </c>
      <c r="I322">
        <v>0</v>
      </c>
      <c r="J322">
        <v>6</v>
      </c>
      <c r="K322">
        <v>2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9.63804241981207</v>
      </c>
      <c r="U322" s="5">
        <f>IF((ContinuousStatsTable[[#This Row],[RepsRequested]]&gt;1),ContinuousStatsTable[[#This Row],[HalfWidth]],ContinuousStatsTable[[#This Row],[BatchMeansHalfWidth]])</f>
        <v>0.71632840390540931</v>
      </c>
    </row>
    <row r="323" spans="1:21" x14ac:dyDescent="0.35">
      <c r="A323" t="s">
        <v>66</v>
      </c>
      <c r="B323" t="s">
        <v>69</v>
      </c>
      <c r="C323">
        <v>30</v>
      </c>
      <c r="D323" t="s">
        <v>74</v>
      </c>
      <c r="E323" t="s">
        <v>85</v>
      </c>
      <c r="F323" t="s">
        <v>76</v>
      </c>
      <c r="G323">
        <v>11.8081988950014</v>
      </c>
      <c r="H323">
        <v>2E+20</v>
      </c>
      <c r="I323">
        <v>0</v>
      </c>
      <c r="J323">
        <v>33</v>
      </c>
      <c r="K323">
        <v>24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10.3625915235886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38.218354981839397</v>
      </c>
      <c r="U323" s="5">
        <f>IF((ContinuousStatsTable[[#This Row],[RepsRequested]]&gt;1),ContinuousStatsTable[[#This Row],[HalfWidth]],ContinuousStatsTable[[#This Row],[BatchMeansHalfWidth]])</f>
        <v>2.1690587669162626</v>
      </c>
    </row>
    <row r="324" spans="1:21" x14ac:dyDescent="0.35">
      <c r="A324" t="s">
        <v>66</v>
      </c>
      <c r="B324" t="s">
        <v>69</v>
      </c>
      <c r="C324">
        <v>30</v>
      </c>
      <c r="D324" t="s">
        <v>86</v>
      </c>
      <c r="E324" t="s">
        <v>87</v>
      </c>
      <c r="F324" t="s">
        <v>88</v>
      </c>
      <c r="G324">
        <v>0.54670517319079004</v>
      </c>
      <c r="H324">
        <v>2E+20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0.51812957617942801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0.95110098058068004</v>
      </c>
      <c r="U324" s="5">
        <f>IF((ContinuousStatsTable[[#This Row],[RepsRequested]]&gt;1),ContinuousStatsTable[[#This Row],[HalfWidth]],ContinuousStatsTable[[#This Row],[BatchMeansHalfWidth]])</f>
        <v>4.3613366354194112E-2</v>
      </c>
    </row>
    <row r="325" spans="1:21" x14ac:dyDescent="0.35">
      <c r="A325" t="s">
        <v>66</v>
      </c>
      <c r="B325" t="s">
        <v>69</v>
      </c>
      <c r="C325">
        <v>30</v>
      </c>
      <c r="D325" t="s">
        <v>86</v>
      </c>
      <c r="E325" t="s">
        <v>89</v>
      </c>
      <c r="F325" t="s">
        <v>88</v>
      </c>
      <c r="G325">
        <v>5.4670517319079002</v>
      </c>
      <c r="H325">
        <v>2E+20</v>
      </c>
      <c r="I325">
        <v>0</v>
      </c>
      <c r="J325">
        <v>10</v>
      </c>
      <c r="K325">
        <v>10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5.1812957617942796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9.5110098058068004</v>
      </c>
      <c r="U325" s="5">
        <f>IF((ContinuousStatsTable[[#This Row],[RepsRequested]]&gt;1),ContinuousStatsTable[[#This Row],[HalfWidth]],ContinuousStatsTable[[#This Row],[BatchMeansHalfWidth]])</f>
        <v>0.43613366354194549</v>
      </c>
    </row>
    <row r="326" spans="1:21" x14ac:dyDescent="0.35">
      <c r="A326" t="s">
        <v>66</v>
      </c>
      <c r="B326" t="s">
        <v>69</v>
      </c>
      <c r="C326">
        <v>30</v>
      </c>
      <c r="D326" t="s">
        <v>86</v>
      </c>
      <c r="E326" t="s">
        <v>90</v>
      </c>
      <c r="F326" t="s">
        <v>88</v>
      </c>
      <c r="G326">
        <v>10</v>
      </c>
      <c r="H326">
        <v>2E+20</v>
      </c>
      <c r="I326">
        <v>10</v>
      </c>
      <c r="J326">
        <v>10</v>
      </c>
      <c r="K326">
        <v>10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66</v>
      </c>
      <c r="B327" t="s">
        <v>69</v>
      </c>
      <c r="C327">
        <v>30</v>
      </c>
      <c r="D327" t="s">
        <v>82</v>
      </c>
      <c r="E327" t="s">
        <v>84</v>
      </c>
      <c r="F327" t="s">
        <v>72</v>
      </c>
      <c r="G327">
        <v>0.93911493931235401</v>
      </c>
      <c r="H327">
        <v>2E+20</v>
      </c>
      <c r="I327">
        <v>0</v>
      </c>
      <c r="J327">
        <v>4</v>
      </c>
      <c r="K327">
        <v>4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0.56541157258789199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2.4594543622635499</v>
      </c>
      <c r="U327" s="5">
        <f>IF((ContinuousStatsTable[[#This Row],[RepsRequested]]&gt;1),ContinuousStatsTable[[#This Row],[HalfWidth]],ContinuousStatsTable[[#This Row],[BatchMeansHalfWidth]])</f>
        <v>0.1771627845153336</v>
      </c>
    </row>
    <row r="328" spans="1:21" x14ac:dyDescent="0.35">
      <c r="A328" t="s">
        <v>66</v>
      </c>
      <c r="B328" t="s">
        <v>69</v>
      </c>
      <c r="C328">
        <v>30</v>
      </c>
      <c r="D328" t="s">
        <v>91</v>
      </c>
      <c r="E328" t="s">
        <v>87</v>
      </c>
      <c r="F328" t="s">
        <v>88</v>
      </c>
      <c r="G328">
        <v>0.78808827046509</v>
      </c>
      <c r="H328">
        <v>2E+20</v>
      </c>
      <c r="I328">
        <v>0</v>
      </c>
      <c r="J328">
        <v>1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0.78808827046509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0.99381255473469199</v>
      </c>
      <c r="U328" s="5">
        <f>IF((ContinuousStatsTable[[#This Row],[RepsRequested]]&gt;1),ContinuousStatsTable[[#This Row],[HalfWidth]],ContinuousStatsTable[[#This Row],[BatchMeansHalfWidth]])</f>
        <v>1.6708231879382019E-2</v>
      </c>
    </row>
    <row r="329" spans="1:21" x14ac:dyDescent="0.35">
      <c r="A329" t="s">
        <v>66</v>
      </c>
      <c r="B329" t="s">
        <v>69</v>
      </c>
      <c r="C329">
        <v>30</v>
      </c>
      <c r="D329" t="s">
        <v>91</v>
      </c>
      <c r="E329" t="s">
        <v>89</v>
      </c>
      <c r="F329" t="s">
        <v>88</v>
      </c>
      <c r="G329">
        <v>2.36426481139527</v>
      </c>
      <c r="H329">
        <v>2E+20</v>
      </c>
      <c r="I329">
        <v>0</v>
      </c>
      <c r="J329">
        <v>3</v>
      </c>
      <c r="K329">
        <v>3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2.36426481139527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2.9814376642040799</v>
      </c>
      <c r="U329" s="5">
        <f>IF((ContinuousStatsTable[[#This Row],[RepsRequested]]&gt;1),ContinuousStatsTable[[#This Row],[HalfWidth]],ContinuousStatsTable[[#This Row],[BatchMeansHalfWidth]])</f>
        <v>5.0124695638146144E-2</v>
      </c>
    </row>
    <row r="330" spans="1:21" x14ac:dyDescent="0.35">
      <c r="A330" t="s">
        <v>66</v>
      </c>
      <c r="B330" t="s">
        <v>69</v>
      </c>
      <c r="C330">
        <v>30</v>
      </c>
      <c r="D330" t="s">
        <v>91</v>
      </c>
      <c r="E330" t="s">
        <v>90</v>
      </c>
      <c r="F330" t="s">
        <v>88</v>
      </c>
      <c r="G330">
        <v>3</v>
      </c>
      <c r="H330">
        <v>2E+20</v>
      </c>
      <c r="I330">
        <v>3</v>
      </c>
      <c r="J330">
        <v>3</v>
      </c>
      <c r="K330">
        <v>3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3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3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3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66</v>
      </c>
      <c r="B331" t="s">
        <v>69</v>
      </c>
      <c r="C331">
        <v>30</v>
      </c>
      <c r="D331" t="s">
        <v>83</v>
      </c>
      <c r="E331" t="s">
        <v>84</v>
      </c>
      <c r="F331" t="s">
        <v>72</v>
      </c>
      <c r="G331">
        <v>0.75823411183356404</v>
      </c>
      <c r="H331">
        <v>2E+20</v>
      </c>
      <c r="I331">
        <v>0</v>
      </c>
      <c r="J331">
        <v>4</v>
      </c>
      <c r="K331">
        <v>2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0.52883875458038598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2.4798758861082799</v>
      </c>
      <c r="U331" s="5">
        <f>IF((ContinuousStatsTable[[#This Row],[RepsRequested]]&gt;1),ContinuousStatsTable[[#This Row],[HalfWidth]],ContinuousStatsTable[[#This Row],[BatchMeansHalfWidth]])</f>
        <v>0.18745365002732756</v>
      </c>
    </row>
    <row r="332" spans="1:21" x14ac:dyDescent="0.35">
      <c r="A332" t="s">
        <v>66</v>
      </c>
      <c r="B332" t="s">
        <v>69</v>
      </c>
      <c r="C332">
        <v>31</v>
      </c>
      <c r="D332" t="s">
        <v>70</v>
      </c>
      <c r="E332" t="s">
        <v>84</v>
      </c>
      <c r="F332" t="s">
        <v>72</v>
      </c>
      <c r="G332">
        <v>0</v>
      </c>
      <c r="H332">
        <v>2E+20</v>
      </c>
      <c r="I332">
        <v>0</v>
      </c>
      <c r="J332">
        <v>1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35">
      <c r="A333" t="s">
        <v>66</v>
      </c>
      <c r="B333" t="s">
        <v>69</v>
      </c>
      <c r="C333">
        <v>31</v>
      </c>
      <c r="D333" t="s">
        <v>73</v>
      </c>
      <c r="E333" t="s">
        <v>84</v>
      </c>
      <c r="F333" t="s">
        <v>72</v>
      </c>
      <c r="G333">
        <v>0.87853301992358701</v>
      </c>
      <c r="H333">
        <v>2E+20</v>
      </c>
      <c r="I333">
        <v>0</v>
      </c>
      <c r="J333">
        <v>7</v>
      </c>
      <c r="K333">
        <v>6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9.63804241981207</v>
      </c>
      <c r="U333" s="5">
        <f>IF((ContinuousStatsTable[[#This Row],[RepsRequested]]&gt;1),ContinuousStatsTable[[#This Row],[HalfWidth]],ContinuousStatsTable[[#This Row],[BatchMeansHalfWidth]])</f>
        <v>0.71632840390540931</v>
      </c>
    </row>
    <row r="334" spans="1:21" x14ac:dyDescent="0.35">
      <c r="A334" t="s">
        <v>66</v>
      </c>
      <c r="B334" t="s">
        <v>69</v>
      </c>
      <c r="C334">
        <v>31</v>
      </c>
      <c r="D334" t="s">
        <v>74</v>
      </c>
      <c r="E334" t="s">
        <v>85</v>
      </c>
      <c r="F334" t="s">
        <v>76</v>
      </c>
      <c r="G334">
        <v>15.721435584863</v>
      </c>
      <c r="H334">
        <v>2E+20</v>
      </c>
      <c r="I334">
        <v>0</v>
      </c>
      <c r="J334">
        <v>35</v>
      </c>
      <c r="K334">
        <v>32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10.3625915235886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38.218354981839397</v>
      </c>
      <c r="U334" s="5">
        <f>IF((ContinuousStatsTable[[#This Row],[RepsRequested]]&gt;1),ContinuousStatsTable[[#This Row],[HalfWidth]],ContinuousStatsTable[[#This Row],[BatchMeansHalfWidth]])</f>
        <v>2.1690587669162626</v>
      </c>
    </row>
    <row r="335" spans="1:21" x14ac:dyDescent="0.35">
      <c r="A335" t="s">
        <v>66</v>
      </c>
      <c r="B335" t="s">
        <v>69</v>
      </c>
      <c r="C335">
        <v>31</v>
      </c>
      <c r="D335" t="s">
        <v>86</v>
      </c>
      <c r="E335" t="s">
        <v>87</v>
      </c>
      <c r="F335" t="s">
        <v>88</v>
      </c>
      <c r="G335">
        <v>0.698218477250794</v>
      </c>
      <c r="H335">
        <v>2E+20</v>
      </c>
      <c r="I335">
        <v>0</v>
      </c>
      <c r="J335">
        <v>1</v>
      </c>
      <c r="K335">
        <v>1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0.51812957617942801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0.95110098058068004</v>
      </c>
      <c r="U335" s="5">
        <f>IF((ContinuousStatsTable[[#This Row],[RepsRequested]]&gt;1),ContinuousStatsTable[[#This Row],[HalfWidth]],ContinuousStatsTable[[#This Row],[BatchMeansHalfWidth]])</f>
        <v>4.3613366354194112E-2</v>
      </c>
    </row>
    <row r="336" spans="1:21" x14ac:dyDescent="0.35">
      <c r="A336" t="s">
        <v>66</v>
      </c>
      <c r="B336" t="s">
        <v>69</v>
      </c>
      <c r="C336">
        <v>31</v>
      </c>
      <c r="D336" t="s">
        <v>86</v>
      </c>
      <c r="E336" t="s">
        <v>89</v>
      </c>
      <c r="F336" t="s">
        <v>88</v>
      </c>
      <c r="G336">
        <v>6.9821847725079396</v>
      </c>
      <c r="H336">
        <v>2E+20</v>
      </c>
      <c r="I336">
        <v>0</v>
      </c>
      <c r="J336">
        <v>10</v>
      </c>
      <c r="K336">
        <v>10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5.1812957617942796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9.5110098058068004</v>
      </c>
      <c r="U336" s="5">
        <f>IF((ContinuousStatsTable[[#This Row],[RepsRequested]]&gt;1),ContinuousStatsTable[[#This Row],[HalfWidth]],ContinuousStatsTable[[#This Row],[BatchMeansHalfWidth]])</f>
        <v>0.43613366354194549</v>
      </c>
    </row>
    <row r="337" spans="1:21" x14ac:dyDescent="0.35">
      <c r="A337" t="s">
        <v>66</v>
      </c>
      <c r="B337" t="s">
        <v>69</v>
      </c>
      <c r="C337">
        <v>31</v>
      </c>
      <c r="D337" t="s">
        <v>86</v>
      </c>
      <c r="E337" t="s">
        <v>90</v>
      </c>
      <c r="F337" t="s">
        <v>88</v>
      </c>
      <c r="G337">
        <v>10</v>
      </c>
      <c r="H337">
        <v>2E+20</v>
      </c>
      <c r="I337">
        <v>10</v>
      </c>
      <c r="J337">
        <v>10</v>
      </c>
      <c r="K337">
        <v>10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10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10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10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35">
      <c r="A338" t="s">
        <v>66</v>
      </c>
      <c r="B338" t="s">
        <v>69</v>
      </c>
      <c r="C338">
        <v>31</v>
      </c>
      <c r="D338" t="s">
        <v>82</v>
      </c>
      <c r="E338" t="s">
        <v>84</v>
      </c>
      <c r="F338" t="s">
        <v>72</v>
      </c>
      <c r="G338">
        <v>1.31960897863536</v>
      </c>
      <c r="H338">
        <v>2E+20</v>
      </c>
      <c r="I338">
        <v>0</v>
      </c>
      <c r="J338">
        <v>5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0.56541157258789199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2.4594543622635499</v>
      </c>
      <c r="U338" s="5">
        <f>IF((ContinuousStatsTable[[#This Row],[RepsRequested]]&gt;1),ContinuousStatsTable[[#This Row],[HalfWidth]],ContinuousStatsTable[[#This Row],[BatchMeansHalfWidth]])</f>
        <v>0.1771627845153336</v>
      </c>
    </row>
    <row r="339" spans="1:21" x14ac:dyDescent="0.35">
      <c r="A339" t="s">
        <v>66</v>
      </c>
      <c r="B339" t="s">
        <v>69</v>
      </c>
      <c r="C339">
        <v>31</v>
      </c>
      <c r="D339" t="s">
        <v>91</v>
      </c>
      <c r="E339" t="s">
        <v>87</v>
      </c>
      <c r="F339" t="s">
        <v>88</v>
      </c>
      <c r="G339">
        <v>0.93495576307238104</v>
      </c>
      <c r="H339">
        <v>2E+20</v>
      </c>
      <c r="I339">
        <v>0</v>
      </c>
      <c r="J339">
        <v>1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0.78808827046509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0.99381255473469199</v>
      </c>
      <c r="U339" s="5">
        <f>IF((ContinuousStatsTable[[#This Row],[RepsRequested]]&gt;1),ContinuousStatsTable[[#This Row],[HalfWidth]],ContinuousStatsTable[[#This Row],[BatchMeansHalfWidth]])</f>
        <v>1.6708231879382019E-2</v>
      </c>
    </row>
    <row r="340" spans="1:21" x14ac:dyDescent="0.35">
      <c r="A340" t="s">
        <v>66</v>
      </c>
      <c r="B340" t="s">
        <v>69</v>
      </c>
      <c r="C340">
        <v>31</v>
      </c>
      <c r="D340" t="s">
        <v>91</v>
      </c>
      <c r="E340" t="s">
        <v>89</v>
      </c>
      <c r="F340" t="s">
        <v>88</v>
      </c>
      <c r="G340">
        <v>2.8048672892171398</v>
      </c>
      <c r="H340">
        <v>2E+20</v>
      </c>
      <c r="I340">
        <v>0</v>
      </c>
      <c r="J340">
        <v>3</v>
      </c>
      <c r="K340">
        <v>3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2.36426481139527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2.9814376642040799</v>
      </c>
      <c r="U340" s="5">
        <f>IF((ContinuousStatsTable[[#This Row],[RepsRequested]]&gt;1),ContinuousStatsTable[[#This Row],[HalfWidth]],ContinuousStatsTable[[#This Row],[BatchMeansHalfWidth]])</f>
        <v>5.0124695638146144E-2</v>
      </c>
    </row>
    <row r="341" spans="1:21" x14ac:dyDescent="0.35">
      <c r="A341" t="s">
        <v>66</v>
      </c>
      <c r="B341" t="s">
        <v>69</v>
      </c>
      <c r="C341">
        <v>31</v>
      </c>
      <c r="D341" t="s">
        <v>91</v>
      </c>
      <c r="E341" t="s">
        <v>90</v>
      </c>
      <c r="F341" t="s">
        <v>88</v>
      </c>
      <c r="G341">
        <v>3</v>
      </c>
      <c r="H341">
        <v>2E+20</v>
      </c>
      <c r="I341">
        <v>3</v>
      </c>
      <c r="J341">
        <v>3</v>
      </c>
      <c r="K341">
        <v>3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3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3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3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35">
      <c r="A342" t="s">
        <v>66</v>
      </c>
      <c r="B342" t="s">
        <v>69</v>
      </c>
      <c r="C342">
        <v>31</v>
      </c>
      <c r="D342" t="s">
        <v>83</v>
      </c>
      <c r="E342" t="s">
        <v>84</v>
      </c>
      <c r="F342" t="s">
        <v>72</v>
      </c>
      <c r="G342">
        <v>1.1826567706297999</v>
      </c>
      <c r="H342">
        <v>2E+20</v>
      </c>
      <c r="I342">
        <v>0</v>
      </c>
      <c r="J342">
        <v>4</v>
      </c>
      <c r="K342">
        <v>3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0.52883875458038598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2.4798758861082799</v>
      </c>
      <c r="U342" s="5">
        <f>IF((ContinuousStatsTable[[#This Row],[RepsRequested]]&gt;1),ContinuousStatsTable[[#This Row],[HalfWidth]],ContinuousStatsTable[[#This Row],[BatchMeansHalfWidth]])</f>
        <v>0.18745365002732756</v>
      </c>
    </row>
    <row r="343" spans="1:21" x14ac:dyDescent="0.35">
      <c r="A343" t="s">
        <v>66</v>
      </c>
      <c r="B343" t="s">
        <v>69</v>
      </c>
      <c r="C343">
        <v>32</v>
      </c>
      <c r="D343" t="s">
        <v>70</v>
      </c>
      <c r="E343" t="s">
        <v>84</v>
      </c>
      <c r="F343" t="s">
        <v>72</v>
      </c>
      <c r="G343">
        <v>0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35">
      <c r="A344" t="s">
        <v>66</v>
      </c>
      <c r="B344" t="s">
        <v>69</v>
      </c>
      <c r="C344">
        <v>32</v>
      </c>
      <c r="D344" t="s">
        <v>73</v>
      </c>
      <c r="E344" t="s">
        <v>84</v>
      </c>
      <c r="F344" t="s">
        <v>72</v>
      </c>
      <c r="G344">
        <v>1.7697059155514301</v>
      </c>
      <c r="H344">
        <v>2E+20</v>
      </c>
      <c r="I344">
        <v>0</v>
      </c>
      <c r="J344">
        <v>5</v>
      </c>
      <c r="K344">
        <v>5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9.63804241981207</v>
      </c>
      <c r="U344" s="5">
        <f>IF((ContinuousStatsTable[[#This Row],[RepsRequested]]&gt;1),ContinuousStatsTable[[#This Row],[HalfWidth]],ContinuousStatsTable[[#This Row],[BatchMeansHalfWidth]])</f>
        <v>0.71632840390540931</v>
      </c>
    </row>
    <row r="345" spans="1:21" x14ac:dyDescent="0.35">
      <c r="A345" t="s">
        <v>66</v>
      </c>
      <c r="B345" t="s">
        <v>69</v>
      </c>
      <c r="C345">
        <v>32</v>
      </c>
      <c r="D345" t="s">
        <v>74</v>
      </c>
      <c r="E345" t="s">
        <v>85</v>
      </c>
      <c r="F345" t="s">
        <v>76</v>
      </c>
      <c r="G345">
        <v>19.9691665394996</v>
      </c>
      <c r="H345">
        <v>2E+20</v>
      </c>
      <c r="I345">
        <v>0</v>
      </c>
      <c r="J345">
        <v>31</v>
      </c>
      <c r="K345">
        <v>30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10.3625915235886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38.218354981839397</v>
      </c>
      <c r="U345" s="5">
        <f>IF((ContinuousStatsTable[[#This Row],[RepsRequested]]&gt;1),ContinuousStatsTable[[#This Row],[HalfWidth]],ContinuousStatsTable[[#This Row],[BatchMeansHalfWidth]])</f>
        <v>2.1690587669162626</v>
      </c>
    </row>
    <row r="346" spans="1:21" x14ac:dyDescent="0.35">
      <c r="A346" t="s">
        <v>66</v>
      </c>
      <c r="B346" t="s">
        <v>69</v>
      </c>
      <c r="C346">
        <v>32</v>
      </c>
      <c r="D346" t="s">
        <v>86</v>
      </c>
      <c r="E346" t="s">
        <v>87</v>
      </c>
      <c r="F346" t="s">
        <v>88</v>
      </c>
      <c r="G346">
        <v>0.821487735419834</v>
      </c>
      <c r="H346">
        <v>2E+20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0.51812957617942801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0.95110098058068004</v>
      </c>
      <c r="U346" s="5">
        <f>IF((ContinuousStatsTable[[#This Row],[RepsRequested]]&gt;1),ContinuousStatsTable[[#This Row],[HalfWidth]],ContinuousStatsTable[[#This Row],[BatchMeansHalfWidth]])</f>
        <v>4.3613366354194112E-2</v>
      </c>
    </row>
    <row r="347" spans="1:21" x14ac:dyDescent="0.35">
      <c r="A347" t="s">
        <v>66</v>
      </c>
      <c r="B347" t="s">
        <v>69</v>
      </c>
      <c r="C347">
        <v>32</v>
      </c>
      <c r="D347" t="s">
        <v>86</v>
      </c>
      <c r="E347" t="s">
        <v>89</v>
      </c>
      <c r="F347" t="s">
        <v>88</v>
      </c>
      <c r="G347">
        <v>8.2148773541983395</v>
      </c>
      <c r="H347">
        <v>2E+20</v>
      </c>
      <c r="I347">
        <v>0</v>
      </c>
      <c r="J347">
        <v>10</v>
      </c>
      <c r="K347">
        <v>10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5.1812957617942796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9.5110098058068004</v>
      </c>
      <c r="U347" s="5">
        <f>IF((ContinuousStatsTable[[#This Row],[RepsRequested]]&gt;1),ContinuousStatsTable[[#This Row],[HalfWidth]],ContinuousStatsTable[[#This Row],[BatchMeansHalfWidth]])</f>
        <v>0.43613366354194549</v>
      </c>
    </row>
    <row r="348" spans="1:21" x14ac:dyDescent="0.35">
      <c r="A348" t="s">
        <v>66</v>
      </c>
      <c r="B348" t="s">
        <v>69</v>
      </c>
      <c r="C348">
        <v>32</v>
      </c>
      <c r="D348" t="s">
        <v>86</v>
      </c>
      <c r="E348" t="s">
        <v>90</v>
      </c>
      <c r="F348" t="s">
        <v>88</v>
      </c>
      <c r="G348">
        <v>10</v>
      </c>
      <c r="H348">
        <v>2E+20</v>
      </c>
      <c r="I348">
        <v>10</v>
      </c>
      <c r="J348">
        <v>10</v>
      </c>
      <c r="K348">
        <v>10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10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10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10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35">
      <c r="A349" t="s">
        <v>66</v>
      </c>
      <c r="B349" t="s">
        <v>69</v>
      </c>
      <c r="C349">
        <v>32</v>
      </c>
      <c r="D349" t="s">
        <v>82</v>
      </c>
      <c r="E349" t="s">
        <v>84</v>
      </c>
      <c r="F349" t="s">
        <v>72</v>
      </c>
      <c r="G349">
        <v>1.91660870393458</v>
      </c>
      <c r="H349">
        <v>2E+20</v>
      </c>
      <c r="I349">
        <v>0</v>
      </c>
      <c r="J349">
        <v>4</v>
      </c>
      <c r="K349">
        <v>1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0.56541157258789199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2.4594543622635499</v>
      </c>
      <c r="U349" s="5">
        <f>IF((ContinuousStatsTable[[#This Row],[RepsRequested]]&gt;1),ContinuousStatsTable[[#This Row],[HalfWidth]],ContinuousStatsTable[[#This Row],[BatchMeansHalfWidth]])</f>
        <v>0.1771627845153336</v>
      </c>
    </row>
    <row r="350" spans="1:21" x14ac:dyDescent="0.35">
      <c r="A350" t="s">
        <v>66</v>
      </c>
      <c r="B350" t="s">
        <v>69</v>
      </c>
      <c r="C350">
        <v>32</v>
      </c>
      <c r="D350" t="s">
        <v>91</v>
      </c>
      <c r="E350" t="s">
        <v>87</v>
      </c>
      <c r="F350" t="s">
        <v>88</v>
      </c>
      <c r="G350">
        <v>0.91177526916440399</v>
      </c>
      <c r="H350">
        <v>2E+20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0.78808827046509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0.99381255473469199</v>
      </c>
      <c r="U350" s="5">
        <f>IF((ContinuousStatsTable[[#This Row],[RepsRequested]]&gt;1),ContinuousStatsTable[[#This Row],[HalfWidth]],ContinuousStatsTable[[#This Row],[BatchMeansHalfWidth]])</f>
        <v>1.6708231879382019E-2</v>
      </c>
    </row>
    <row r="351" spans="1:21" x14ac:dyDescent="0.35">
      <c r="A351" t="s">
        <v>66</v>
      </c>
      <c r="B351" t="s">
        <v>69</v>
      </c>
      <c r="C351">
        <v>32</v>
      </c>
      <c r="D351" t="s">
        <v>91</v>
      </c>
      <c r="E351" t="s">
        <v>89</v>
      </c>
      <c r="F351" t="s">
        <v>88</v>
      </c>
      <c r="G351">
        <v>2.7353258074932101</v>
      </c>
      <c r="H351">
        <v>2E+20</v>
      </c>
      <c r="I351">
        <v>0</v>
      </c>
      <c r="J351">
        <v>3</v>
      </c>
      <c r="K351">
        <v>3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2.36426481139527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2.9814376642040799</v>
      </c>
      <c r="U351" s="5">
        <f>IF((ContinuousStatsTable[[#This Row],[RepsRequested]]&gt;1),ContinuousStatsTable[[#This Row],[HalfWidth]],ContinuousStatsTable[[#This Row],[BatchMeansHalfWidth]])</f>
        <v>5.0124695638146144E-2</v>
      </c>
    </row>
    <row r="352" spans="1:21" x14ac:dyDescent="0.35">
      <c r="A352" t="s">
        <v>66</v>
      </c>
      <c r="B352" t="s">
        <v>69</v>
      </c>
      <c r="C352">
        <v>32</v>
      </c>
      <c r="D352" t="s">
        <v>91</v>
      </c>
      <c r="E352" t="s">
        <v>90</v>
      </c>
      <c r="F352" t="s">
        <v>88</v>
      </c>
      <c r="G352">
        <v>3</v>
      </c>
      <c r="H352">
        <v>2E+20</v>
      </c>
      <c r="I352">
        <v>3</v>
      </c>
      <c r="J352">
        <v>3</v>
      </c>
      <c r="K352">
        <v>3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3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3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3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5">
      <c r="A353" t="s">
        <v>66</v>
      </c>
      <c r="B353" t="s">
        <v>69</v>
      </c>
      <c r="C353">
        <v>32</v>
      </c>
      <c r="D353" t="s">
        <v>83</v>
      </c>
      <c r="E353" t="s">
        <v>84</v>
      </c>
      <c r="F353" t="s">
        <v>72</v>
      </c>
      <c r="G353">
        <v>1.9155630872623699</v>
      </c>
      <c r="H353">
        <v>2E+20</v>
      </c>
      <c r="I353">
        <v>0</v>
      </c>
      <c r="J353">
        <v>5</v>
      </c>
      <c r="K353">
        <v>3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0.52883875458038598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2.4798758861082799</v>
      </c>
      <c r="U353" s="5">
        <f>IF((ContinuousStatsTable[[#This Row],[RepsRequested]]&gt;1),ContinuousStatsTable[[#This Row],[HalfWidth]],ContinuousStatsTable[[#This Row],[BatchMeansHalfWidth]])</f>
        <v>0.18745365002732756</v>
      </c>
    </row>
    <row r="354" spans="1:21" x14ac:dyDescent="0.35">
      <c r="A354" t="s">
        <v>66</v>
      </c>
      <c r="B354" t="s">
        <v>69</v>
      </c>
      <c r="C354">
        <v>33</v>
      </c>
      <c r="D354" t="s">
        <v>70</v>
      </c>
      <c r="E354" t="s">
        <v>84</v>
      </c>
      <c r="F354" t="s">
        <v>72</v>
      </c>
      <c r="G354">
        <v>0</v>
      </c>
      <c r="H354">
        <v>2E+20</v>
      </c>
      <c r="I354">
        <v>0</v>
      </c>
      <c r="J354">
        <v>1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0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35">
      <c r="A355" t="s">
        <v>66</v>
      </c>
      <c r="B355" t="s">
        <v>69</v>
      </c>
      <c r="C355">
        <v>33</v>
      </c>
      <c r="D355" t="s">
        <v>73</v>
      </c>
      <c r="E355" t="s">
        <v>84</v>
      </c>
      <c r="F355" t="s">
        <v>72</v>
      </c>
      <c r="G355">
        <v>0.39274812421067201</v>
      </c>
      <c r="H355">
        <v>2E+20</v>
      </c>
      <c r="I355">
        <v>0</v>
      </c>
      <c r="J355">
        <v>7</v>
      </c>
      <c r="K355">
        <v>7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9.63804241981207</v>
      </c>
      <c r="U355" s="5">
        <f>IF((ContinuousStatsTable[[#This Row],[RepsRequested]]&gt;1),ContinuousStatsTable[[#This Row],[HalfWidth]],ContinuousStatsTable[[#This Row],[BatchMeansHalfWidth]])</f>
        <v>0.71632840390540931</v>
      </c>
    </row>
    <row r="356" spans="1:21" x14ac:dyDescent="0.35">
      <c r="A356" t="s">
        <v>66</v>
      </c>
      <c r="B356" t="s">
        <v>69</v>
      </c>
      <c r="C356">
        <v>33</v>
      </c>
      <c r="D356" t="s">
        <v>74</v>
      </c>
      <c r="E356" t="s">
        <v>85</v>
      </c>
      <c r="F356" t="s">
        <v>76</v>
      </c>
      <c r="G356">
        <v>12.1905889254157</v>
      </c>
      <c r="H356">
        <v>2E+20</v>
      </c>
      <c r="I356">
        <v>0</v>
      </c>
      <c r="J356">
        <v>34</v>
      </c>
      <c r="K356">
        <v>34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10.3625915235886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38.218354981839397</v>
      </c>
      <c r="U356" s="5">
        <f>IF((ContinuousStatsTable[[#This Row],[RepsRequested]]&gt;1),ContinuousStatsTable[[#This Row],[HalfWidth]],ContinuousStatsTable[[#This Row],[BatchMeansHalfWidth]])</f>
        <v>2.1690587669162626</v>
      </c>
    </row>
    <row r="357" spans="1:21" x14ac:dyDescent="0.35">
      <c r="A357" t="s">
        <v>66</v>
      </c>
      <c r="B357" t="s">
        <v>69</v>
      </c>
      <c r="C357">
        <v>33</v>
      </c>
      <c r="D357" t="s">
        <v>86</v>
      </c>
      <c r="E357" t="s">
        <v>87</v>
      </c>
      <c r="F357" t="s">
        <v>88</v>
      </c>
      <c r="G357">
        <v>0.57025463384971697</v>
      </c>
      <c r="H357">
        <v>2E+20</v>
      </c>
      <c r="I357">
        <v>0</v>
      </c>
      <c r="J357">
        <v>1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0.51812957617942801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0.95110098058068004</v>
      </c>
      <c r="U357" s="5">
        <f>IF((ContinuousStatsTable[[#This Row],[RepsRequested]]&gt;1),ContinuousStatsTable[[#This Row],[HalfWidth]],ContinuousStatsTable[[#This Row],[BatchMeansHalfWidth]])</f>
        <v>4.3613366354194112E-2</v>
      </c>
    </row>
    <row r="358" spans="1:21" x14ac:dyDescent="0.35">
      <c r="A358" t="s">
        <v>66</v>
      </c>
      <c r="B358" t="s">
        <v>69</v>
      </c>
      <c r="C358">
        <v>33</v>
      </c>
      <c r="D358" t="s">
        <v>86</v>
      </c>
      <c r="E358" t="s">
        <v>89</v>
      </c>
      <c r="F358" t="s">
        <v>88</v>
      </c>
      <c r="G358">
        <v>5.7025463384971697</v>
      </c>
      <c r="H358">
        <v>2E+20</v>
      </c>
      <c r="I358">
        <v>0</v>
      </c>
      <c r="J358">
        <v>10</v>
      </c>
      <c r="K358">
        <v>10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5.1812957617942796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9.5110098058068004</v>
      </c>
      <c r="U358" s="5">
        <f>IF((ContinuousStatsTable[[#This Row],[RepsRequested]]&gt;1),ContinuousStatsTable[[#This Row],[HalfWidth]],ContinuousStatsTable[[#This Row],[BatchMeansHalfWidth]])</f>
        <v>0.43613366354194549</v>
      </c>
    </row>
    <row r="359" spans="1:21" x14ac:dyDescent="0.35">
      <c r="A359" t="s">
        <v>66</v>
      </c>
      <c r="B359" t="s">
        <v>69</v>
      </c>
      <c r="C359">
        <v>33</v>
      </c>
      <c r="D359" t="s">
        <v>86</v>
      </c>
      <c r="E359" t="s">
        <v>90</v>
      </c>
      <c r="F359" t="s">
        <v>88</v>
      </c>
      <c r="G359">
        <v>10</v>
      </c>
      <c r="H359">
        <v>2E+20</v>
      </c>
      <c r="I359">
        <v>10</v>
      </c>
      <c r="J359">
        <v>10</v>
      </c>
      <c r="K359">
        <v>10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10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10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66</v>
      </c>
      <c r="B360" t="s">
        <v>69</v>
      </c>
      <c r="C360">
        <v>33</v>
      </c>
      <c r="D360" t="s">
        <v>82</v>
      </c>
      <c r="E360" t="s">
        <v>84</v>
      </c>
      <c r="F360" t="s">
        <v>72</v>
      </c>
      <c r="G360">
        <v>0.74751454551029795</v>
      </c>
      <c r="H360">
        <v>2E+20</v>
      </c>
      <c r="I360">
        <v>0</v>
      </c>
      <c r="J360">
        <v>4</v>
      </c>
      <c r="K360">
        <v>1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0.56541157258789199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2.4594543622635499</v>
      </c>
      <c r="U360" s="5">
        <f>IF((ContinuousStatsTable[[#This Row],[RepsRequested]]&gt;1),ContinuousStatsTable[[#This Row],[HalfWidth]],ContinuousStatsTable[[#This Row],[BatchMeansHalfWidth]])</f>
        <v>0.1771627845153336</v>
      </c>
    </row>
    <row r="361" spans="1:21" x14ac:dyDescent="0.35">
      <c r="A361" t="s">
        <v>66</v>
      </c>
      <c r="B361" t="s">
        <v>69</v>
      </c>
      <c r="C361">
        <v>33</v>
      </c>
      <c r="D361" t="s">
        <v>91</v>
      </c>
      <c r="E361" t="s">
        <v>87</v>
      </c>
      <c r="F361" t="s">
        <v>88</v>
      </c>
      <c r="G361">
        <v>0.87488966189842998</v>
      </c>
      <c r="H361">
        <v>2E+20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0.78808827046509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0.99381255473469199</v>
      </c>
      <c r="U361" s="5">
        <f>IF((ContinuousStatsTable[[#This Row],[RepsRequested]]&gt;1),ContinuousStatsTable[[#This Row],[HalfWidth]],ContinuousStatsTable[[#This Row],[BatchMeansHalfWidth]])</f>
        <v>1.6708231879382019E-2</v>
      </c>
    </row>
    <row r="362" spans="1:21" x14ac:dyDescent="0.35">
      <c r="A362" t="s">
        <v>66</v>
      </c>
      <c r="B362" t="s">
        <v>69</v>
      </c>
      <c r="C362">
        <v>33</v>
      </c>
      <c r="D362" t="s">
        <v>91</v>
      </c>
      <c r="E362" t="s">
        <v>89</v>
      </c>
      <c r="F362" t="s">
        <v>88</v>
      </c>
      <c r="G362">
        <v>2.6246689856952901</v>
      </c>
      <c r="H362">
        <v>2E+20</v>
      </c>
      <c r="I362">
        <v>0</v>
      </c>
      <c r="J362">
        <v>3</v>
      </c>
      <c r="K362">
        <v>3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2.36426481139527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2.9814376642040799</v>
      </c>
      <c r="U362" s="5">
        <f>IF((ContinuousStatsTable[[#This Row],[RepsRequested]]&gt;1),ContinuousStatsTable[[#This Row],[HalfWidth]],ContinuousStatsTable[[#This Row],[BatchMeansHalfWidth]])</f>
        <v>5.0124695638146144E-2</v>
      </c>
    </row>
    <row r="363" spans="1:21" x14ac:dyDescent="0.35">
      <c r="A363" t="s">
        <v>66</v>
      </c>
      <c r="B363" t="s">
        <v>69</v>
      </c>
      <c r="C363">
        <v>33</v>
      </c>
      <c r="D363" t="s">
        <v>91</v>
      </c>
      <c r="E363" t="s">
        <v>90</v>
      </c>
      <c r="F363" t="s">
        <v>88</v>
      </c>
      <c r="G363">
        <v>3</v>
      </c>
      <c r="H363">
        <v>2E+20</v>
      </c>
      <c r="I363">
        <v>3</v>
      </c>
      <c r="J363">
        <v>3</v>
      </c>
      <c r="K363">
        <v>3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3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3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3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35">
      <c r="A364" t="s">
        <v>66</v>
      </c>
      <c r="B364" t="s">
        <v>69</v>
      </c>
      <c r="C364">
        <v>33</v>
      </c>
      <c r="D364" t="s">
        <v>83</v>
      </c>
      <c r="E364" t="s">
        <v>84</v>
      </c>
      <c r="F364" t="s">
        <v>72</v>
      </c>
      <c r="G364">
        <v>0.70378956995097197</v>
      </c>
      <c r="H364">
        <v>2E+20</v>
      </c>
      <c r="I364">
        <v>0</v>
      </c>
      <c r="J364">
        <v>5</v>
      </c>
      <c r="K364">
        <v>4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0.52883875458038598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2.4798758861082799</v>
      </c>
      <c r="U364" s="5">
        <f>IF((ContinuousStatsTable[[#This Row],[RepsRequested]]&gt;1),ContinuousStatsTable[[#This Row],[HalfWidth]],ContinuousStatsTable[[#This Row],[BatchMeansHalfWidth]])</f>
        <v>0.18745365002732756</v>
      </c>
    </row>
    <row r="365" spans="1:21" x14ac:dyDescent="0.35">
      <c r="A365" t="s">
        <v>66</v>
      </c>
      <c r="B365" t="s">
        <v>69</v>
      </c>
      <c r="C365">
        <v>34</v>
      </c>
      <c r="D365" t="s">
        <v>70</v>
      </c>
      <c r="E365" t="s">
        <v>84</v>
      </c>
      <c r="F365" t="s">
        <v>72</v>
      </c>
      <c r="G365">
        <v>0</v>
      </c>
      <c r="H365">
        <v>2E+20</v>
      </c>
      <c r="I365">
        <v>0</v>
      </c>
      <c r="J365">
        <v>1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66</v>
      </c>
      <c r="B366" t="s">
        <v>69</v>
      </c>
      <c r="C366">
        <v>34</v>
      </c>
      <c r="D366" t="s">
        <v>73</v>
      </c>
      <c r="E366" t="s">
        <v>84</v>
      </c>
      <c r="F366" t="s">
        <v>72</v>
      </c>
      <c r="G366">
        <v>3.9390555897606299</v>
      </c>
      <c r="H366">
        <v>2E+20</v>
      </c>
      <c r="I366">
        <v>0</v>
      </c>
      <c r="J366">
        <v>11</v>
      </c>
      <c r="K366">
        <v>3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9.63804241981207</v>
      </c>
      <c r="U366" s="5">
        <f>IF((ContinuousStatsTable[[#This Row],[RepsRequested]]&gt;1),ContinuousStatsTable[[#This Row],[HalfWidth]],ContinuousStatsTable[[#This Row],[BatchMeansHalfWidth]])</f>
        <v>0.71632840390540931</v>
      </c>
    </row>
    <row r="367" spans="1:21" x14ac:dyDescent="0.35">
      <c r="A367" t="s">
        <v>66</v>
      </c>
      <c r="B367" t="s">
        <v>69</v>
      </c>
      <c r="C367">
        <v>34</v>
      </c>
      <c r="D367" t="s">
        <v>74</v>
      </c>
      <c r="E367" t="s">
        <v>85</v>
      </c>
      <c r="F367" t="s">
        <v>76</v>
      </c>
      <c r="G367">
        <v>26.830320927747199</v>
      </c>
      <c r="H367">
        <v>2E+20</v>
      </c>
      <c r="I367">
        <v>0</v>
      </c>
      <c r="J367">
        <v>42</v>
      </c>
      <c r="K367">
        <v>26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10.3625915235886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38.218354981839397</v>
      </c>
      <c r="U367" s="5">
        <f>IF((ContinuousStatsTable[[#This Row],[RepsRequested]]&gt;1),ContinuousStatsTable[[#This Row],[HalfWidth]],ContinuousStatsTable[[#This Row],[BatchMeansHalfWidth]])</f>
        <v>2.1690587669162626</v>
      </c>
    </row>
    <row r="368" spans="1:21" x14ac:dyDescent="0.35">
      <c r="A368" t="s">
        <v>66</v>
      </c>
      <c r="B368" t="s">
        <v>69</v>
      </c>
      <c r="C368">
        <v>34</v>
      </c>
      <c r="D368" t="s">
        <v>86</v>
      </c>
      <c r="E368" t="s">
        <v>87</v>
      </c>
      <c r="F368" t="s">
        <v>88</v>
      </c>
      <c r="G368">
        <v>0.94761048741129605</v>
      </c>
      <c r="H368">
        <v>2E+20</v>
      </c>
      <c r="I368">
        <v>0</v>
      </c>
      <c r="J368">
        <v>1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0.51812957617942801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0.95110098058068004</v>
      </c>
      <c r="U368" s="5">
        <f>IF((ContinuousStatsTable[[#This Row],[RepsRequested]]&gt;1),ContinuousStatsTable[[#This Row],[HalfWidth]],ContinuousStatsTable[[#This Row],[BatchMeansHalfWidth]])</f>
        <v>4.3613366354194112E-2</v>
      </c>
    </row>
    <row r="369" spans="1:21" x14ac:dyDescent="0.35">
      <c r="A369" t="s">
        <v>66</v>
      </c>
      <c r="B369" t="s">
        <v>69</v>
      </c>
      <c r="C369">
        <v>34</v>
      </c>
      <c r="D369" t="s">
        <v>86</v>
      </c>
      <c r="E369" t="s">
        <v>89</v>
      </c>
      <c r="F369" t="s">
        <v>88</v>
      </c>
      <c r="G369">
        <v>9.4761048741129592</v>
      </c>
      <c r="H369">
        <v>2E+20</v>
      </c>
      <c r="I369">
        <v>0</v>
      </c>
      <c r="J369">
        <v>10</v>
      </c>
      <c r="K369">
        <v>10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5.1812957617942796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9.5110098058068004</v>
      </c>
      <c r="U369" s="5">
        <f>IF((ContinuousStatsTable[[#This Row],[RepsRequested]]&gt;1),ContinuousStatsTable[[#This Row],[HalfWidth]],ContinuousStatsTable[[#This Row],[BatchMeansHalfWidth]])</f>
        <v>0.43613366354194549</v>
      </c>
    </row>
    <row r="370" spans="1:21" x14ac:dyDescent="0.35">
      <c r="A370" t="s">
        <v>66</v>
      </c>
      <c r="B370" t="s">
        <v>69</v>
      </c>
      <c r="C370">
        <v>34</v>
      </c>
      <c r="D370" t="s">
        <v>86</v>
      </c>
      <c r="E370" t="s">
        <v>90</v>
      </c>
      <c r="F370" t="s">
        <v>88</v>
      </c>
      <c r="G370">
        <v>10</v>
      </c>
      <c r="H370">
        <v>2E+20</v>
      </c>
      <c r="I370">
        <v>10</v>
      </c>
      <c r="J370">
        <v>10</v>
      </c>
      <c r="K370">
        <v>10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10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10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10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66</v>
      </c>
      <c r="B371" t="s">
        <v>69</v>
      </c>
      <c r="C371">
        <v>34</v>
      </c>
      <c r="D371" t="s">
        <v>82</v>
      </c>
      <c r="E371" t="s">
        <v>84</v>
      </c>
      <c r="F371" t="s">
        <v>72</v>
      </c>
      <c r="G371">
        <v>2.3038757538179202</v>
      </c>
      <c r="H371">
        <v>2E+20</v>
      </c>
      <c r="I371">
        <v>0</v>
      </c>
      <c r="J371">
        <v>4</v>
      </c>
      <c r="K371">
        <v>2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0.56541157258789199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2.4594543622635499</v>
      </c>
      <c r="U371" s="5">
        <f>IF((ContinuousStatsTable[[#This Row],[RepsRequested]]&gt;1),ContinuousStatsTable[[#This Row],[HalfWidth]],ContinuousStatsTable[[#This Row],[BatchMeansHalfWidth]])</f>
        <v>0.1771627845153336</v>
      </c>
    </row>
    <row r="372" spans="1:21" x14ac:dyDescent="0.35">
      <c r="A372" t="s">
        <v>66</v>
      </c>
      <c r="B372" t="s">
        <v>69</v>
      </c>
      <c r="C372">
        <v>34</v>
      </c>
      <c r="D372" t="s">
        <v>91</v>
      </c>
      <c r="E372" t="s">
        <v>87</v>
      </c>
      <c r="F372" t="s">
        <v>88</v>
      </c>
      <c r="G372">
        <v>0.98065534561896295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0.78808827046509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0.99381255473469199</v>
      </c>
      <c r="U372" s="5">
        <f>IF((ContinuousStatsTable[[#This Row],[RepsRequested]]&gt;1),ContinuousStatsTable[[#This Row],[HalfWidth]],ContinuousStatsTable[[#This Row],[BatchMeansHalfWidth]])</f>
        <v>1.6708231879382019E-2</v>
      </c>
    </row>
    <row r="373" spans="1:21" x14ac:dyDescent="0.35">
      <c r="A373" t="s">
        <v>66</v>
      </c>
      <c r="B373" t="s">
        <v>69</v>
      </c>
      <c r="C373">
        <v>34</v>
      </c>
      <c r="D373" t="s">
        <v>91</v>
      </c>
      <c r="E373" t="s">
        <v>89</v>
      </c>
      <c r="F373" t="s">
        <v>88</v>
      </c>
      <c r="G373">
        <v>2.9419660368568898</v>
      </c>
      <c r="H373">
        <v>2E+20</v>
      </c>
      <c r="I373">
        <v>0</v>
      </c>
      <c r="J373">
        <v>3</v>
      </c>
      <c r="K373">
        <v>3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2.36426481139527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2.9814376642040799</v>
      </c>
      <c r="U373" s="5">
        <f>IF((ContinuousStatsTable[[#This Row],[RepsRequested]]&gt;1),ContinuousStatsTable[[#This Row],[HalfWidth]],ContinuousStatsTable[[#This Row],[BatchMeansHalfWidth]])</f>
        <v>5.0124695638146144E-2</v>
      </c>
    </row>
    <row r="374" spans="1:21" x14ac:dyDescent="0.35">
      <c r="A374" t="s">
        <v>66</v>
      </c>
      <c r="B374" t="s">
        <v>69</v>
      </c>
      <c r="C374">
        <v>34</v>
      </c>
      <c r="D374" t="s">
        <v>91</v>
      </c>
      <c r="E374" t="s">
        <v>90</v>
      </c>
      <c r="F374" t="s">
        <v>88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35">
      <c r="A375" t="s">
        <v>66</v>
      </c>
      <c r="B375" t="s">
        <v>69</v>
      </c>
      <c r="C375">
        <v>34</v>
      </c>
      <c r="D375" t="s">
        <v>83</v>
      </c>
      <c r="E375" t="s">
        <v>84</v>
      </c>
      <c r="F375" t="s">
        <v>72</v>
      </c>
      <c r="G375">
        <v>2.4798758861082799</v>
      </c>
      <c r="H375">
        <v>2E+20</v>
      </c>
      <c r="I375">
        <v>0</v>
      </c>
      <c r="J375">
        <v>5</v>
      </c>
      <c r="K375">
        <v>3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0.52883875458038598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2.4798758861082799</v>
      </c>
      <c r="U375" s="5">
        <f>IF((ContinuousStatsTable[[#This Row],[RepsRequested]]&gt;1),ContinuousStatsTable[[#This Row],[HalfWidth]],ContinuousStatsTable[[#This Row],[BatchMeansHalfWidth]])</f>
        <v>0.18745365002732756</v>
      </c>
    </row>
    <row r="376" spans="1:21" x14ac:dyDescent="0.35">
      <c r="A376" t="s">
        <v>66</v>
      </c>
      <c r="B376" t="s">
        <v>69</v>
      </c>
      <c r="C376">
        <v>35</v>
      </c>
      <c r="D376" t="s">
        <v>70</v>
      </c>
      <c r="E376" t="s">
        <v>84</v>
      </c>
      <c r="F376" t="s">
        <v>72</v>
      </c>
      <c r="G376">
        <v>0</v>
      </c>
      <c r="H376">
        <v>2E+20</v>
      </c>
      <c r="I376">
        <v>0</v>
      </c>
      <c r="J376">
        <v>1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 s="5">
        <f>IF((ContinuousStatsTable[[#This Row],[RepsRequested]]&gt;1),ContinuousStatsTable[[#This Row],[HalfWidth]],ContinuousStatsTable[[#This Row],[BatchMeansHalfWidth]])</f>
        <v>0</v>
      </c>
    </row>
    <row r="377" spans="1:21" x14ac:dyDescent="0.35">
      <c r="A377" t="s">
        <v>66</v>
      </c>
      <c r="B377" t="s">
        <v>69</v>
      </c>
      <c r="C377">
        <v>35</v>
      </c>
      <c r="D377" t="s">
        <v>73</v>
      </c>
      <c r="E377" t="s">
        <v>84</v>
      </c>
      <c r="F377" t="s">
        <v>72</v>
      </c>
      <c r="G377">
        <v>2.41147915830655</v>
      </c>
      <c r="H377">
        <v>2E+20</v>
      </c>
      <c r="I377">
        <v>0</v>
      </c>
      <c r="J377">
        <v>8</v>
      </c>
      <c r="K377">
        <v>4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9.63804241981207</v>
      </c>
      <c r="U377" s="5">
        <f>IF((ContinuousStatsTable[[#This Row],[RepsRequested]]&gt;1),ContinuousStatsTable[[#This Row],[HalfWidth]],ContinuousStatsTable[[#This Row],[BatchMeansHalfWidth]])</f>
        <v>0.71632840390540931</v>
      </c>
    </row>
    <row r="378" spans="1:21" x14ac:dyDescent="0.35">
      <c r="A378" t="s">
        <v>66</v>
      </c>
      <c r="B378" t="s">
        <v>69</v>
      </c>
      <c r="C378">
        <v>35</v>
      </c>
      <c r="D378" t="s">
        <v>74</v>
      </c>
      <c r="E378" t="s">
        <v>85</v>
      </c>
      <c r="F378" t="s">
        <v>76</v>
      </c>
      <c r="G378">
        <v>23.3329560702247</v>
      </c>
      <c r="H378">
        <v>2E+20</v>
      </c>
      <c r="I378">
        <v>0</v>
      </c>
      <c r="J378">
        <v>36</v>
      </c>
      <c r="K378">
        <v>28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10.3625915235886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38.218354981839397</v>
      </c>
      <c r="U378" s="5">
        <f>IF((ContinuousStatsTable[[#This Row],[RepsRequested]]&gt;1),ContinuousStatsTable[[#This Row],[HalfWidth]],ContinuousStatsTable[[#This Row],[BatchMeansHalfWidth]])</f>
        <v>2.1690587669162626</v>
      </c>
    </row>
    <row r="379" spans="1:21" x14ac:dyDescent="0.35">
      <c r="A379" t="s">
        <v>66</v>
      </c>
      <c r="B379" t="s">
        <v>69</v>
      </c>
      <c r="C379">
        <v>35</v>
      </c>
      <c r="D379" t="s">
        <v>86</v>
      </c>
      <c r="E379" t="s">
        <v>87</v>
      </c>
      <c r="F379" t="s">
        <v>88</v>
      </c>
      <c r="G379">
        <v>0.925499887680577</v>
      </c>
      <c r="H379">
        <v>2E+20</v>
      </c>
      <c r="I379">
        <v>0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0.51812957617942801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0.95110098058068004</v>
      </c>
      <c r="U379" s="5">
        <f>IF((ContinuousStatsTable[[#This Row],[RepsRequested]]&gt;1),ContinuousStatsTable[[#This Row],[HalfWidth]],ContinuousStatsTable[[#This Row],[BatchMeansHalfWidth]])</f>
        <v>4.3613366354194112E-2</v>
      </c>
    </row>
    <row r="380" spans="1:21" x14ac:dyDescent="0.35">
      <c r="A380" t="s">
        <v>66</v>
      </c>
      <c r="B380" t="s">
        <v>69</v>
      </c>
      <c r="C380">
        <v>35</v>
      </c>
      <c r="D380" t="s">
        <v>86</v>
      </c>
      <c r="E380" t="s">
        <v>89</v>
      </c>
      <c r="F380" t="s">
        <v>88</v>
      </c>
      <c r="G380">
        <v>9.2549988768057698</v>
      </c>
      <c r="H380">
        <v>2E+20</v>
      </c>
      <c r="I380">
        <v>0</v>
      </c>
      <c r="J380">
        <v>10</v>
      </c>
      <c r="K380">
        <v>10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5.1812957617942796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9.5110098058068004</v>
      </c>
      <c r="U380" s="5">
        <f>IF((ContinuousStatsTable[[#This Row],[RepsRequested]]&gt;1),ContinuousStatsTable[[#This Row],[HalfWidth]],ContinuousStatsTable[[#This Row],[BatchMeansHalfWidth]])</f>
        <v>0.43613366354194549</v>
      </c>
    </row>
    <row r="381" spans="1:21" x14ac:dyDescent="0.35">
      <c r="A381" t="s">
        <v>66</v>
      </c>
      <c r="B381" t="s">
        <v>69</v>
      </c>
      <c r="C381">
        <v>35</v>
      </c>
      <c r="D381" t="s">
        <v>86</v>
      </c>
      <c r="E381" t="s">
        <v>90</v>
      </c>
      <c r="F381" t="s">
        <v>88</v>
      </c>
      <c r="G381">
        <v>10</v>
      </c>
      <c r="H381">
        <v>2E+20</v>
      </c>
      <c r="I381">
        <v>10</v>
      </c>
      <c r="J381">
        <v>10</v>
      </c>
      <c r="K381">
        <v>10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10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35">
      <c r="A382" t="s">
        <v>66</v>
      </c>
      <c r="B382" t="s">
        <v>69</v>
      </c>
      <c r="C382">
        <v>35</v>
      </c>
      <c r="D382" t="s">
        <v>82</v>
      </c>
      <c r="E382" t="s">
        <v>84</v>
      </c>
      <c r="F382" t="s">
        <v>72</v>
      </c>
      <c r="G382">
        <v>2.3858509908827701</v>
      </c>
      <c r="H382">
        <v>2E+20</v>
      </c>
      <c r="I382">
        <v>0</v>
      </c>
      <c r="J382">
        <v>5</v>
      </c>
      <c r="K382">
        <v>2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0.56541157258789199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2.4594543622635499</v>
      </c>
      <c r="U382" s="5">
        <f>IF((ContinuousStatsTable[[#This Row],[RepsRequested]]&gt;1),ContinuousStatsTable[[#This Row],[HalfWidth]],ContinuousStatsTable[[#This Row],[BatchMeansHalfWidth]])</f>
        <v>0.1771627845153336</v>
      </c>
    </row>
    <row r="383" spans="1:21" x14ac:dyDescent="0.35">
      <c r="A383" t="s">
        <v>66</v>
      </c>
      <c r="B383" t="s">
        <v>69</v>
      </c>
      <c r="C383">
        <v>35</v>
      </c>
      <c r="D383" t="s">
        <v>91</v>
      </c>
      <c r="E383" t="s">
        <v>87</v>
      </c>
      <c r="F383" t="s">
        <v>88</v>
      </c>
      <c r="G383">
        <v>0.98088254999798097</v>
      </c>
      <c r="H383">
        <v>2E+20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0.78808827046509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0.99381255473469199</v>
      </c>
      <c r="U383" s="5">
        <f>IF((ContinuousStatsTable[[#This Row],[RepsRequested]]&gt;1),ContinuousStatsTable[[#This Row],[HalfWidth]],ContinuousStatsTable[[#This Row],[BatchMeansHalfWidth]])</f>
        <v>1.6708231879382019E-2</v>
      </c>
    </row>
    <row r="384" spans="1:21" x14ac:dyDescent="0.35">
      <c r="A384" t="s">
        <v>66</v>
      </c>
      <c r="B384" t="s">
        <v>69</v>
      </c>
      <c r="C384">
        <v>35</v>
      </c>
      <c r="D384" t="s">
        <v>91</v>
      </c>
      <c r="E384" t="s">
        <v>89</v>
      </c>
      <c r="F384" t="s">
        <v>88</v>
      </c>
      <c r="G384">
        <v>2.94264764999394</v>
      </c>
      <c r="H384">
        <v>2E+20</v>
      </c>
      <c r="I384">
        <v>0</v>
      </c>
      <c r="J384">
        <v>3</v>
      </c>
      <c r="K384">
        <v>3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2.36426481139527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2.9814376642040799</v>
      </c>
      <c r="U384" s="5">
        <f>IF((ContinuousStatsTable[[#This Row],[RepsRequested]]&gt;1),ContinuousStatsTable[[#This Row],[HalfWidth]],ContinuousStatsTable[[#This Row],[BatchMeansHalfWidth]])</f>
        <v>5.0124695638146144E-2</v>
      </c>
    </row>
    <row r="385" spans="1:21" x14ac:dyDescent="0.35">
      <c r="A385" t="s">
        <v>66</v>
      </c>
      <c r="B385" t="s">
        <v>69</v>
      </c>
      <c r="C385">
        <v>35</v>
      </c>
      <c r="D385" t="s">
        <v>91</v>
      </c>
      <c r="E385" t="s">
        <v>90</v>
      </c>
      <c r="F385" t="s">
        <v>88</v>
      </c>
      <c r="G385">
        <v>3</v>
      </c>
      <c r="H385">
        <v>2E+20</v>
      </c>
      <c r="I385">
        <v>3</v>
      </c>
      <c r="J385">
        <v>3</v>
      </c>
      <c r="K385">
        <v>3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3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3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3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66</v>
      </c>
      <c r="B386" t="s">
        <v>69</v>
      </c>
      <c r="C386">
        <v>35</v>
      </c>
      <c r="D386" t="s">
        <v>83</v>
      </c>
      <c r="E386" t="s">
        <v>84</v>
      </c>
      <c r="F386" t="s">
        <v>72</v>
      </c>
      <c r="G386">
        <v>2.1650393111255601</v>
      </c>
      <c r="H386">
        <v>2E+20</v>
      </c>
      <c r="I386">
        <v>0</v>
      </c>
      <c r="J386">
        <v>5</v>
      </c>
      <c r="K386">
        <v>3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0.52883875458038598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2.4798758861082799</v>
      </c>
      <c r="U386" s="5">
        <f>IF((ContinuousStatsTable[[#This Row],[RepsRequested]]&gt;1),ContinuousStatsTable[[#This Row],[HalfWidth]],ContinuousStatsTable[[#This Row],[BatchMeansHalfWidth]])</f>
        <v>0.18745365002732756</v>
      </c>
    </row>
    <row r="387" spans="1:21" x14ac:dyDescent="0.35">
      <c r="A387" t="s">
        <v>66</v>
      </c>
      <c r="B387" t="s">
        <v>69</v>
      </c>
      <c r="C387">
        <v>36</v>
      </c>
      <c r="D387" t="s">
        <v>70</v>
      </c>
      <c r="E387" t="s">
        <v>84</v>
      </c>
      <c r="F387" t="s">
        <v>72</v>
      </c>
      <c r="G387">
        <v>0</v>
      </c>
      <c r="H387">
        <v>2E+20</v>
      </c>
      <c r="I387">
        <v>0</v>
      </c>
      <c r="J387">
        <v>1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35">
      <c r="A388" t="s">
        <v>66</v>
      </c>
      <c r="B388" t="s">
        <v>69</v>
      </c>
      <c r="C388">
        <v>36</v>
      </c>
      <c r="D388" t="s">
        <v>73</v>
      </c>
      <c r="E388" t="s">
        <v>84</v>
      </c>
      <c r="F388" t="s">
        <v>72</v>
      </c>
      <c r="G388">
        <v>0.58812259127376298</v>
      </c>
      <c r="H388">
        <v>2E+20</v>
      </c>
      <c r="I388">
        <v>0</v>
      </c>
      <c r="J388">
        <v>6</v>
      </c>
      <c r="K388">
        <v>5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0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9.63804241981207</v>
      </c>
      <c r="U388" s="5">
        <f>IF((ContinuousStatsTable[[#This Row],[RepsRequested]]&gt;1),ContinuousStatsTable[[#This Row],[HalfWidth]],ContinuousStatsTable[[#This Row],[BatchMeansHalfWidth]])</f>
        <v>0.71632840390540931</v>
      </c>
    </row>
    <row r="389" spans="1:21" x14ac:dyDescent="0.35">
      <c r="A389" t="s">
        <v>66</v>
      </c>
      <c r="B389" t="s">
        <v>69</v>
      </c>
      <c r="C389">
        <v>36</v>
      </c>
      <c r="D389" t="s">
        <v>74</v>
      </c>
      <c r="E389" t="s">
        <v>85</v>
      </c>
      <c r="F389" t="s">
        <v>76</v>
      </c>
      <c r="G389">
        <v>14.3558505924344</v>
      </c>
      <c r="H389">
        <v>2E+20</v>
      </c>
      <c r="I389">
        <v>0</v>
      </c>
      <c r="J389">
        <v>32</v>
      </c>
      <c r="K389">
        <v>30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10.3625915235886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38.218354981839397</v>
      </c>
      <c r="U389" s="5">
        <f>IF((ContinuousStatsTable[[#This Row],[RepsRequested]]&gt;1),ContinuousStatsTable[[#This Row],[HalfWidth]],ContinuousStatsTable[[#This Row],[BatchMeansHalfWidth]])</f>
        <v>2.1690587669162626</v>
      </c>
    </row>
    <row r="390" spans="1:21" x14ac:dyDescent="0.35">
      <c r="A390" t="s">
        <v>66</v>
      </c>
      <c r="B390" t="s">
        <v>69</v>
      </c>
      <c r="C390">
        <v>36</v>
      </c>
      <c r="D390" t="s">
        <v>86</v>
      </c>
      <c r="E390" t="s">
        <v>87</v>
      </c>
      <c r="F390" t="s">
        <v>88</v>
      </c>
      <c r="G390">
        <v>0.65898027049434404</v>
      </c>
      <c r="H390">
        <v>2E+20</v>
      </c>
      <c r="I390">
        <v>0</v>
      </c>
      <c r="J390">
        <v>1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0.51812957617942801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0.95110098058068004</v>
      </c>
      <c r="U390" s="5">
        <f>IF((ContinuousStatsTable[[#This Row],[RepsRequested]]&gt;1),ContinuousStatsTable[[#This Row],[HalfWidth]],ContinuousStatsTable[[#This Row],[BatchMeansHalfWidth]])</f>
        <v>4.3613366354194112E-2</v>
      </c>
    </row>
    <row r="391" spans="1:21" x14ac:dyDescent="0.35">
      <c r="A391" t="s">
        <v>66</v>
      </c>
      <c r="B391" t="s">
        <v>69</v>
      </c>
      <c r="C391">
        <v>36</v>
      </c>
      <c r="D391" t="s">
        <v>86</v>
      </c>
      <c r="E391" t="s">
        <v>89</v>
      </c>
      <c r="F391" t="s">
        <v>88</v>
      </c>
      <c r="G391">
        <v>6.5898027049434402</v>
      </c>
      <c r="H391">
        <v>2E+20</v>
      </c>
      <c r="I391">
        <v>0</v>
      </c>
      <c r="J391">
        <v>10</v>
      </c>
      <c r="K391">
        <v>10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5.1812957617942796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9.5110098058068004</v>
      </c>
      <c r="U391" s="5">
        <f>IF((ContinuousStatsTable[[#This Row],[RepsRequested]]&gt;1),ContinuousStatsTable[[#This Row],[HalfWidth]],ContinuousStatsTable[[#This Row],[BatchMeansHalfWidth]])</f>
        <v>0.43613366354194549</v>
      </c>
    </row>
    <row r="392" spans="1:21" x14ac:dyDescent="0.35">
      <c r="A392" t="s">
        <v>66</v>
      </c>
      <c r="B392" t="s">
        <v>69</v>
      </c>
      <c r="C392">
        <v>36</v>
      </c>
      <c r="D392" t="s">
        <v>86</v>
      </c>
      <c r="E392" t="s">
        <v>90</v>
      </c>
      <c r="F392" t="s">
        <v>88</v>
      </c>
      <c r="G392">
        <v>10</v>
      </c>
      <c r="H392">
        <v>2E+20</v>
      </c>
      <c r="I392">
        <v>10</v>
      </c>
      <c r="J392">
        <v>10</v>
      </c>
      <c r="K392">
        <v>10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10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35">
      <c r="A393" t="s">
        <v>66</v>
      </c>
      <c r="B393" t="s">
        <v>69</v>
      </c>
      <c r="C393">
        <v>36</v>
      </c>
      <c r="D393" t="s">
        <v>82</v>
      </c>
      <c r="E393" t="s">
        <v>84</v>
      </c>
      <c r="F393" t="s">
        <v>72</v>
      </c>
      <c r="G393">
        <v>1.2091715491664801</v>
      </c>
      <c r="H393">
        <v>2E+20</v>
      </c>
      <c r="I393">
        <v>0</v>
      </c>
      <c r="J393">
        <v>5</v>
      </c>
      <c r="K393">
        <v>2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0.56541157258789199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2.4594543622635499</v>
      </c>
      <c r="U393" s="5">
        <f>IF((ContinuousStatsTable[[#This Row],[RepsRequested]]&gt;1),ContinuousStatsTable[[#This Row],[HalfWidth]],ContinuousStatsTable[[#This Row],[BatchMeansHalfWidth]])</f>
        <v>0.1771627845153336</v>
      </c>
    </row>
    <row r="394" spans="1:21" x14ac:dyDescent="0.35">
      <c r="A394" t="s">
        <v>66</v>
      </c>
      <c r="B394" t="s">
        <v>69</v>
      </c>
      <c r="C394">
        <v>36</v>
      </c>
      <c r="D394" t="s">
        <v>91</v>
      </c>
      <c r="E394" t="s">
        <v>87</v>
      </c>
      <c r="F394" t="s">
        <v>88</v>
      </c>
      <c r="G394">
        <v>0.88174549003369995</v>
      </c>
      <c r="H394">
        <v>2E+20</v>
      </c>
      <c r="I394">
        <v>0</v>
      </c>
      <c r="J394">
        <v>1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0.78808827046509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0.99381255473469199</v>
      </c>
      <c r="U394" s="5">
        <f>IF((ContinuousStatsTable[[#This Row],[RepsRequested]]&gt;1),ContinuousStatsTable[[#This Row],[HalfWidth]],ContinuousStatsTable[[#This Row],[BatchMeansHalfWidth]])</f>
        <v>1.6708231879382019E-2</v>
      </c>
    </row>
    <row r="395" spans="1:21" x14ac:dyDescent="0.35">
      <c r="A395" t="s">
        <v>66</v>
      </c>
      <c r="B395" t="s">
        <v>69</v>
      </c>
      <c r="C395">
        <v>36</v>
      </c>
      <c r="D395" t="s">
        <v>91</v>
      </c>
      <c r="E395" t="s">
        <v>89</v>
      </c>
      <c r="F395" t="s">
        <v>88</v>
      </c>
      <c r="G395">
        <v>2.6452364701011</v>
      </c>
      <c r="H395">
        <v>2E+20</v>
      </c>
      <c r="I395">
        <v>0</v>
      </c>
      <c r="J395">
        <v>3</v>
      </c>
      <c r="K395">
        <v>3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2.36426481139527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2.9814376642040799</v>
      </c>
      <c r="U395" s="5">
        <f>IF((ContinuousStatsTable[[#This Row],[RepsRequested]]&gt;1),ContinuousStatsTable[[#This Row],[HalfWidth]],ContinuousStatsTable[[#This Row],[BatchMeansHalfWidth]])</f>
        <v>5.0124695638146144E-2</v>
      </c>
    </row>
    <row r="396" spans="1:21" x14ac:dyDescent="0.35">
      <c r="A396" t="s">
        <v>66</v>
      </c>
      <c r="B396" t="s">
        <v>69</v>
      </c>
      <c r="C396">
        <v>36</v>
      </c>
      <c r="D396" t="s">
        <v>91</v>
      </c>
      <c r="E396" t="s">
        <v>90</v>
      </c>
      <c r="F396" t="s">
        <v>88</v>
      </c>
      <c r="G396">
        <v>3</v>
      </c>
      <c r="H396">
        <v>2E+20</v>
      </c>
      <c r="I396">
        <v>3</v>
      </c>
      <c r="J396">
        <v>3</v>
      </c>
      <c r="K396">
        <v>3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3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3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3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35">
      <c r="A397" t="s">
        <v>66</v>
      </c>
      <c r="B397" t="s">
        <v>69</v>
      </c>
      <c r="C397">
        <v>36</v>
      </c>
      <c r="D397" t="s">
        <v>83</v>
      </c>
      <c r="E397" t="s">
        <v>84</v>
      </c>
      <c r="F397" t="s">
        <v>72</v>
      </c>
      <c r="G397">
        <v>1.1622259009360201</v>
      </c>
      <c r="H397">
        <v>2E+20</v>
      </c>
      <c r="I397">
        <v>0</v>
      </c>
      <c r="J397">
        <v>5</v>
      </c>
      <c r="K397">
        <v>3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0.52883875458038598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2.4798758861082799</v>
      </c>
      <c r="U397" s="5">
        <f>IF((ContinuousStatsTable[[#This Row],[RepsRequested]]&gt;1),ContinuousStatsTable[[#This Row],[HalfWidth]],ContinuousStatsTable[[#This Row],[BatchMeansHalfWidth]])</f>
        <v>0.18745365002732756</v>
      </c>
    </row>
    <row r="398" spans="1:21" x14ac:dyDescent="0.35">
      <c r="A398" t="s">
        <v>66</v>
      </c>
      <c r="B398" t="s">
        <v>69</v>
      </c>
      <c r="C398">
        <v>37</v>
      </c>
      <c r="D398" t="s">
        <v>70</v>
      </c>
      <c r="E398" t="s">
        <v>84</v>
      </c>
      <c r="F398" t="s">
        <v>72</v>
      </c>
      <c r="G398">
        <v>0</v>
      </c>
      <c r="H398">
        <v>2E+20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35">
      <c r="A399" t="s">
        <v>66</v>
      </c>
      <c r="B399" t="s">
        <v>69</v>
      </c>
      <c r="C399">
        <v>37</v>
      </c>
      <c r="D399" t="s">
        <v>73</v>
      </c>
      <c r="E399" t="s">
        <v>84</v>
      </c>
      <c r="F399" t="s">
        <v>72</v>
      </c>
      <c r="G399">
        <v>5.54244550826155</v>
      </c>
      <c r="H399">
        <v>2E+20</v>
      </c>
      <c r="I399">
        <v>0</v>
      </c>
      <c r="J399">
        <v>12</v>
      </c>
      <c r="K399">
        <v>8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9.63804241981207</v>
      </c>
      <c r="U399" s="5">
        <f>IF((ContinuousStatsTable[[#This Row],[RepsRequested]]&gt;1),ContinuousStatsTable[[#This Row],[HalfWidth]],ContinuousStatsTable[[#This Row],[BatchMeansHalfWidth]])</f>
        <v>0.71632840390540931</v>
      </c>
    </row>
    <row r="400" spans="1:21" x14ac:dyDescent="0.35">
      <c r="A400" t="s">
        <v>66</v>
      </c>
      <c r="B400" t="s">
        <v>69</v>
      </c>
      <c r="C400">
        <v>37</v>
      </c>
      <c r="D400" t="s">
        <v>74</v>
      </c>
      <c r="E400" t="s">
        <v>85</v>
      </c>
      <c r="F400" t="s">
        <v>76</v>
      </c>
      <c r="G400">
        <v>29.675592966841901</v>
      </c>
      <c r="H400">
        <v>2E+20</v>
      </c>
      <c r="I400">
        <v>0</v>
      </c>
      <c r="J400">
        <v>44</v>
      </c>
      <c r="K400">
        <v>36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10.3625915235886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38.218354981839397</v>
      </c>
      <c r="U400" s="5">
        <f>IF((ContinuousStatsTable[[#This Row],[RepsRequested]]&gt;1),ContinuousStatsTable[[#This Row],[HalfWidth]],ContinuousStatsTable[[#This Row],[BatchMeansHalfWidth]])</f>
        <v>2.1690587669162626</v>
      </c>
    </row>
    <row r="401" spans="1:21" x14ac:dyDescent="0.35">
      <c r="A401" t="s">
        <v>66</v>
      </c>
      <c r="B401" t="s">
        <v>69</v>
      </c>
      <c r="C401">
        <v>37</v>
      </c>
      <c r="D401" t="s">
        <v>86</v>
      </c>
      <c r="E401" t="s">
        <v>87</v>
      </c>
      <c r="F401" t="s">
        <v>88</v>
      </c>
      <c r="G401">
        <v>0.92953509751594099</v>
      </c>
      <c r="H401">
        <v>2E+20</v>
      </c>
      <c r="I401">
        <v>0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0.51812957617942801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0.95110098058068004</v>
      </c>
      <c r="U401" s="5">
        <f>IF((ContinuousStatsTable[[#This Row],[RepsRequested]]&gt;1),ContinuousStatsTable[[#This Row],[HalfWidth]],ContinuousStatsTable[[#This Row],[BatchMeansHalfWidth]])</f>
        <v>4.3613366354194112E-2</v>
      </c>
    </row>
    <row r="402" spans="1:21" x14ac:dyDescent="0.35">
      <c r="A402" t="s">
        <v>66</v>
      </c>
      <c r="B402" t="s">
        <v>69</v>
      </c>
      <c r="C402">
        <v>37</v>
      </c>
      <c r="D402" t="s">
        <v>86</v>
      </c>
      <c r="E402" t="s">
        <v>89</v>
      </c>
      <c r="F402" t="s">
        <v>88</v>
      </c>
      <c r="G402">
        <v>9.2953509751594101</v>
      </c>
      <c r="H402">
        <v>2E+20</v>
      </c>
      <c r="I402">
        <v>0</v>
      </c>
      <c r="J402">
        <v>10</v>
      </c>
      <c r="K402">
        <v>10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5.1812957617942796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9.5110098058068004</v>
      </c>
      <c r="U402" s="5">
        <f>IF((ContinuousStatsTable[[#This Row],[RepsRequested]]&gt;1),ContinuousStatsTable[[#This Row],[HalfWidth]],ContinuousStatsTable[[#This Row],[BatchMeansHalfWidth]])</f>
        <v>0.43613366354194549</v>
      </c>
    </row>
    <row r="403" spans="1:21" x14ac:dyDescent="0.35">
      <c r="A403" t="s">
        <v>66</v>
      </c>
      <c r="B403" t="s">
        <v>69</v>
      </c>
      <c r="C403">
        <v>37</v>
      </c>
      <c r="D403" t="s">
        <v>86</v>
      </c>
      <c r="E403" t="s">
        <v>90</v>
      </c>
      <c r="F403" t="s">
        <v>88</v>
      </c>
      <c r="G403">
        <v>10</v>
      </c>
      <c r="H403">
        <v>2E+20</v>
      </c>
      <c r="I403">
        <v>10</v>
      </c>
      <c r="J403">
        <v>10</v>
      </c>
      <c r="K403">
        <v>10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10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10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10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35">
      <c r="A404" t="s">
        <v>66</v>
      </c>
      <c r="B404" t="s">
        <v>69</v>
      </c>
      <c r="C404">
        <v>37</v>
      </c>
      <c r="D404" t="s">
        <v>82</v>
      </c>
      <c r="E404" t="s">
        <v>84</v>
      </c>
      <c r="F404" t="s">
        <v>72</v>
      </c>
      <c r="G404">
        <v>2.3880237382985499</v>
      </c>
      <c r="H404">
        <v>2E+20</v>
      </c>
      <c r="I404">
        <v>0</v>
      </c>
      <c r="J404">
        <v>4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0.56541157258789199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2.4594543622635499</v>
      </c>
      <c r="U404" s="5">
        <f>IF((ContinuousStatsTable[[#This Row],[RepsRequested]]&gt;1),ContinuousStatsTable[[#This Row],[HalfWidth]],ContinuousStatsTable[[#This Row],[BatchMeansHalfWidth]])</f>
        <v>0.1771627845153336</v>
      </c>
    </row>
    <row r="405" spans="1:21" x14ac:dyDescent="0.35">
      <c r="A405" t="s">
        <v>66</v>
      </c>
      <c r="B405" t="s">
        <v>69</v>
      </c>
      <c r="C405">
        <v>37</v>
      </c>
      <c r="D405" t="s">
        <v>91</v>
      </c>
      <c r="E405" t="s">
        <v>87</v>
      </c>
      <c r="F405" t="s">
        <v>88</v>
      </c>
      <c r="G405">
        <v>0.96751742004251495</v>
      </c>
      <c r="H405">
        <v>2E+20</v>
      </c>
      <c r="I405">
        <v>0</v>
      </c>
      <c r="J405">
        <v>1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0.78808827046509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0.99381255473469199</v>
      </c>
      <c r="U405" s="5">
        <f>IF((ContinuousStatsTable[[#This Row],[RepsRequested]]&gt;1),ContinuousStatsTable[[#This Row],[HalfWidth]],ContinuousStatsTable[[#This Row],[BatchMeansHalfWidth]])</f>
        <v>1.6708231879382019E-2</v>
      </c>
    </row>
    <row r="406" spans="1:21" x14ac:dyDescent="0.35">
      <c r="A406" t="s">
        <v>66</v>
      </c>
      <c r="B406" t="s">
        <v>69</v>
      </c>
      <c r="C406">
        <v>37</v>
      </c>
      <c r="D406" t="s">
        <v>91</v>
      </c>
      <c r="E406" t="s">
        <v>89</v>
      </c>
      <c r="F406" t="s">
        <v>88</v>
      </c>
      <c r="G406">
        <v>2.9025522601275502</v>
      </c>
      <c r="H406">
        <v>2E+20</v>
      </c>
      <c r="I406">
        <v>0</v>
      </c>
      <c r="J406">
        <v>3</v>
      </c>
      <c r="K406">
        <v>3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2.36426481139527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2.9814376642040799</v>
      </c>
      <c r="U406" s="5">
        <f>IF((ContinuousStatsTable[[#This Row],[RepsRequested]]&gt;1),ContinuousStatsTable[[#This Row],[HalfWidth]],ContinuousStatsTable[[#This Row],[BatchMeansHalfWidth]])</f>
        <v>5.0124695638146144E-2</v>
      </c>
    </row>
    <row r="407" spans="1:21" x14ac:dyDescent="0.35">
      <c r="A407" t="s">
        <v>66</v>
      </c>
      <c r="B407" t="s">
        <v>69</v>
      </c>
      <c r="C407">
        <v>37</v>
      </c>
      <c r="D407" t="s">
        <v>91</v>
      </c>
      <c r="E407" t="s">
        <v>90</v>
      </c>
      <c r="F407" t="s">
        <v>88</v>
      </c>
      <c r="G407">
        <v>3</v>
      </c>
      <c r="H407">
        <v>2E+20</v>
      </c>
      <c r="I407">
        <v>3</v>
      </c>
      <c r="J407">
        <v>3</v>
      </c>
      <c r="K407">
        <v>3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3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3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3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35">
      <c r="A408" t="s">
        <v>66</v>
      </c>
      <c r="B408" t="s">
        <v>69</v>
      </c>
      <c r="C408">
        <v>37</v>
      </c>
      <c r="D408" t="s">
        <v>83</v>
      </c>
      <c r="E408" t="s">
        <v>84</v>
      </c>
      <c r="F408" t="s">
        <v>72</v>
      </c>
      <c r="G408">
        <v>2.31681299001254</v>
      </c>
      <c r="H408">
        <v>2E+20</v>
      </c>
      <c r="I408">
        <v>0</v>
      </c>
      <c r="J408">
        <v>4</v>
      </c>
      <c r="K408">
        <v>3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0.52883875458038598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2.4798758861082799</v>
      </c>
      <c r="U408" s="5">
        <f>IF((ContinuousStatsTable[[#This Row],[RepsRequested]]&gt;1),ContinuousStatsTable[[#This Row],[HalfWidth]],ContinuousStatsTable[[#This Row],[BatchMeansHalfWidth]])</f>
        <v>0.18745365002732756</v>
      </c>
    </row>
    <row r="409" spans="1:21" x14ac:dyDescent="0.35">
      <c r="A409" t="s">
        <v>66</v>
      </c>
      <c r="B409" t="s">
        <v>69</v>
      </c>
      <c r="C409">
        <v>38</v>
      </c>
      <c r="D409" t="s">
        <v>70</v>
      </c>
      <c r="E409" t="s">
        <v>84</v>
      </c>
      <c r="F409" t="s">
        <v>72</v>
      </c>
      <c r="G409">
        <v>0</v>
      </c>
      <c r="H409">
        <v>2E+20</v>
      </c>
      <c r="I409">
        <v>0</v>
      </c>
      <c r="J409">
        <v>1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35">
      <c r="A410" t="s">
        <v>66</v>
      </c>
      <c r="B410" t="s">
        <v>69</v>
      </c>
      <c r="C410">
        <v>38</v>
      </c>
      <c r="D410" t="s">
        <v>73</v>
      </c>
      <c r="E410" t="s">
        <v>84</v>
      </c>
      <c r="F410" t="s">
        <v>72</v>
      </c>
      <c r="G410">
        <v>9.63804241981207</v>
      </c>
      <c r="H410">
        <v>2E+20</v>
      </c>
      <c r="I410">
        <v>0</v>
      </c>
      <c r="J410">
        <v>17</v>
      </c>
      <c r="K410">
        <v>11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9.63804241981207</v>
      </c>
      <c r="U410" s="5">
        <f>IF((ContinuousStatsTable[[#This Row],[RepsRequested]]&gt;1),ContinuousStatsTable[[#This Row],[HalfWidth]],ContinuousStatsTable[[#This Row],[BatchMeansHalfWidth]])</f>
        <v>0.71632840390540931</v>
      </c>
    </row>
    <row r="411" spans="1:21" x14ac:dyDescent="0.35">
      <c r="A411" t="s">
        <v>66</v>
      </c>
      <c r="B411" t="s">
        <v>69</v>
      </c>
      <c r="C411">
        <v>38</v>
      </c>
      <c r="D411" t="s">
        <v>74</v>
      </c>
      <c r="E411" t="s">
        <v>85</v>
      </c>
      <c r="F411" t="s">
        <v>76</v>
      </c>
      <c r="G411">
        <v>38.218354981839397</v>
      </c>
      <c r="H411">
        <v>2E+20</v>
      </c>
      <c r="I411">
        <v>0</v>
      </c>
      <c r="J411">
        <v>54</v>
      </c>
      <c r="K411">
        <v>42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10.3625915235886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38.218354981839397</v>
      </c>
      <c r="U411" s="5">
        <f>IF((ContinuousStatsTable[[#This Row],[RepsRequested]]&gt;1),ContinuousStatsTable[[#This Row],[HalfWidth]],ContinuousStatsTable[[#This Row],[BatchMeansHalfWidth]])</f>
        <v>2.1690587669162626</v>
      </c>
    </row>
    <row r="412" spans="1:21" x14ac:dyDescent="0.35">
      <c r="A412" t="s">
        <v>66</v>
      </c>
      <c r="B412" t="s">
        <v>69</v>
      </c>
      <c r="C412">
        <v>38</v>
      </c>
      <c r="D412" t="s">
        <v>86</v>
      </c>
      <c r="E412" t="s">
        <v>87</v>
      </c>
      <c r="F412" t="s">
        <v>88</v>
      </c>
      <c r="G412">
        <v>0.94711350711076303</v>
      </c>
      <c r="H412">
        <v>2E+20</v>
      </c>
      <c r="I412">
        <v>0</v>
      </c>
      <c r="J412">
        <v>1</v>
      </c>
      <c r="K412">
        <v>1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0.51812957617942801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0.95110098058068004</v>
      </c>
      <c r="U412" s="5">
        <f>IF((ContinuousStatsTable[[#This Row],[RepsRequested]]&gt;1),ContinuousStatsTable[[#This Row],[HalfWidth]],ContinuousStatsTable[[#This Row],[BatchMeansHalfWidth]])</f>
        <v>4.3613366354194112E-2</v>
      </c>
    </row>
    <row r="413" spans="1:21" x14ac:dyDescent="0.35">
      <c r="A413" t="s">
        <v>66</v>
      </c>
      <c r="B413" t="s">
        <v>69</v>
      </c>
      <c r="C413">
        <v>38</v>
      </c>
      <c r="D413" t="s">
        <v>86</v>
      </c>
      <c r="E413" t="s">
        <v>89</v>
      </c>
      <c r="F413" t="s">
        <v>88</v>
      </c>
      <c r="G413">
        <v>9.4711350711076303</v>
      </c>
      <c r="H413">
        <v>2E+20</v>
      </c>
      <c r="I413">
        <v>0</v>
      </c>
      <c r="J413">
        <v>10</v>
      </c>
      <c r="K413">
        <v>10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5.1812957617942796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9.5110098058068004</v>
      </c>
      <c r="U413" s="5">
        <f>IF((ContinuousStatsTable[[#This Row],[RepsRequested]]&gt;1),ContinuousStatsTable[[#This Row],[HalfWidth]],ContinuousStatsTable[[#This Row],[BatchMeansHalfWidth]])</f>
        <v>0.43613366354194549</v>
      </c>
    </row>
    <row r="414" spans="1:21" x14ac:dyDescent="0.35">
      <c r="A414" t="s">
        <v>66</v>
      </c>
      <c r="B414" t="s">
        <v>69</v>
      </c>
      <c r="C414">
        <v>38</v>
      </c>
      <c r="D414" t="s">
        <v>86</v>
      </c>
      <c r="E414" t="s">
        <v>90</v>
      </c>
      <c r="F414" t="s">
        <v>88</v>
      </c>
      <c r="G414">
        <v>10</v>
      </c>
      <c r="H414">
        <v>2E+20</v>
      </c>
      <c r="I414">
        <v>10</v>
      </c>
      <c r="J414">
        <v>10</v>
      </c>
      <c r="K414">
        <v>10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10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10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10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35">
      <c r="A415" t="s">
        <v>66</v>
      </c>
      <c r="B415" t="s">
        <v>69</v>
      </c>
      <c r="C415">
        <v>38</v>
      </c>
      <c r="D415" t="s">
        <v>82</v>
      </c>
      <c r="E415" t="s">
        <v>84</v>
      </c>
      <c r="F415" t="s">
        <v>72</v>
      </c>
      <c r="G415">
        <v>2.39145473073666</v>
      </c>
      <c r="H415">
        <v>2E+20</v>
      </c>
      <c r="I415">
        <v>0</v>
      </c>
      <c r="J415">
        <v>4</v>
      </c>
      <c r="K415">
        <v>3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0.56541157258789199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2.4594543622635499</v>
      </c>
      <c r="U415" s="5">
        <f>IF((ContinuousStatsTable[[#This Row],[RepsRequested]]&gt;1),ContinuousStatsTable[[#This Row],[HalfWidth]],ContinuousStatsTable[[#This Row],[BatchMeansHalfWidth]])</f>
        <v>0.1771627845153336</v>
      </c>
    </row>
    <row r="416" spans="1:21" x14ac:dyDescent="0.35">
      <c r="A416" t="s">
        <v>66</v>
      </c>
      <c r="B416" t="s">
        <v>69</v>
      </c>
      <c r="C416">
        <v>38</v>
      </c>
      <c r="D416" t="s">
        <v>91</v>
      </c>
      <c r="E416" t="s">
        <v>87</v>
      </c>
      <c r="F416" t="s">
        <v>88</v>
      </c>
      <c r="G416">
        <v>0.98052983529714399</v>
      </c>
      <c r="H416">
        <v>2E+20</v>
      </c>
      <c r="I416">
        <v>0</v>
      </c>
      <c r="J416">
        <v>1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0.78808827046509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0.99381255473469199</v>
      </c>
      <c r="U416" s="5">
        <f>IF((ContinuousStatsTable[[#This Row],[RepsRequested]]&gt;1),ContinuousStatsTable[[#This Row],[HalfWidth]],ContinuousStatsTable[[#This Row],[BatchMeansHalfWidth]])</f>
        <v>1.6708231879382019E-2</v>
      </c>
    </row>
    <row r="417" spans="1:21" x14ac:dyDescent="0.35">
      <c r="A417" t="s">
        <v>66</v>
      </c>
      <c r="B417" t="s">
        <v>69</v>
      </c>
      <c r="C417">
        <v>38</v>
      </c>
      <c r="D417" t="s">
        <v>91</v>
      </c>
      <c r="E417" t="s">
        <v>89</v>
      </c>
      <c r="F417" t="s">
        <v>88</v>
      </c>
      <c r="G417">
        <v>2.9415895058914301</v>
      </c>
      <c r="H417">
        <v>2E+20</v>
      </c>
      <c r="I417">
        <v>0</v>
      </c>
      <c r="J417">
        <v>3</v>
      </c>
      <c r="K417">
        <v>3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2.36426481139527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2.9814376642040799</v>
      </c>
      <c r="U417" s="5">
        <f>IF((ContinuousStatsTable[[#This Row],[RepsRequested]]&gt;1),ContinuousStatsTable[[#This Row],[HalfWidth]],ContinuousStatsTable[[#This Row],[BatchMeansHalfWidth]])</f>
        <v>5.0124695638146144E-2</v>
      </c>
    </row>
    <row r="418" spans="1:21" x14ac:dyDescent="0.35">
      <c r="A418" t="s">
        <v>66</v>
      </c>
      <c r="B418" t="s">
        <v>69</v>
      </c>
      <c r="C418">
        <v>38</v>
      </c>
      <c r="D418" t="s">
        <v>91</v>
      </c>
      <c r="E418" t="s">
        <v>90</v>
      </c>
      <c r="F418" t="s">
        <v>88</v>
      </c>
      <c r="G418">
        <v>3</v>
      </c>
      <c r="H418">
        <v>2E+20</v>
      </c>
      <c r="I418">
        <v>3</v>
      </c>
      <c r="J418">
        <v>3</v>
      </c>
      <c r="K418">
        <v>3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3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3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3</v>
      </c>
      <c r="U418" s="5">
        <f>IF((ContinuousStatsTable[[#This Row],[RepsRequested]]&gt;1),ContinuousStatsTable[[#This Row],[HalfWidth]],ContinuousStatsTable[[#This Row],[BatchMeansHalfWidth]])</f>
        <v>0</v>
      </c>
    </row>
    <row r="419" spans="1:21" x14ac:dyDescent="0.35">
      <c r="A419" t="s">
        <v>66</v>
      </c>
      <c r="B419" t="s">
        <v>69</v>
      </c>
      <c r="C419">
        <v>38</v>
      </c>
      <c r="D419" t="s">
        <v>83</v>
      </c>
      <c r="E419" t="s">
        <v>84</v>
      </c>
      <c r="F419" t="s">
        <v>72</v>
      </c>
      <c r="G419">
        <v>2.37983492552496</v>
      </c>
      <c r="H419">
        <v>2E+20</v>
      </c>
      <c r="I419">
        <v>0</v>
      </c>
      <c r="J419">
        <v>5</v>
      </c>
      <c r="K419">
        <v>3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0.52883875458038598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2.4798758861082799</v>
      </c>
      <c r="U419" s="5">
        <f>IF((ContinuousStatsTable[[#This Row],[RepsRequested]]&gt;1),ContinuousStatsTable[[#This Row],[HalfWidth]],ContinuousStatsTable[[#This Row],[BatchMeansHalfWidth]])</f>
        <v>0.18745365002732756</v>
      </c>
    </row>
    <row r="420" spans="1:21" x14ac:dyDescent="0.35">
      <c r="A420" t="s">
        <v>66</v>
      </c>
      <c r="B420" t="s">
        <v>69</v>
      </c>
      <c r="C420">
        <v>39</v>
      </c>
      <c r="D420" t="s">
        <v>70</v>
      </c>
      <c r="E420" t="s">
        <v>84</v>
      </c>
      <c r="F420" t="s">
        <v>72</v>
      </c>
      <c r="G420">
        <v>0</v>
      </c>
      <c r="H420">
        <v>2E+20</v>
      </c>
      <c r="I420">
        <v>0</v>
      </c>
      <c r="J420">
        <v>1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35">
      <c r="A421" t="s">
        <v>66</v>
      </c>
      <c r="B421" t="s">
        <v>69</v>
      </c>
      <c r="C421">
        <v>39</v>
      </c>
      <c r="D421" t="s">
        <v>73</v>
      </c>
      <c r="E421" t="s">
        <v>84</v>
      </c>
      <c r="F421" t="s">
        <v>72</v>
      </c>
      <c r="G421">
        <v>2.3343855125535198</v>
      </c>
      <c r="H421">
        <v>2E+20</v>
      </c>
      <c r="I421">
        <v>0</v>
      </c>
      <c r="J421">
        <v>7</v>
      </c>
      <c r="K421">
        <v>4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9.63804241981207</v>
      </c>
      <c r="U421" s="5">
        <f>IF((ContinuousStatsTable[[#This Row],[RepsRequested]]&gt;1),ContinuousStatsTable[[#This Row],[HalfWidth]],ContinuousStatsTable[[#This Row],[BatchMeansHalfWidth]])</f>
        <v>0.71632840390540931</v>
      </c>
    </row>
    <row r="422" spans="1:21" x14ac:dyDescent="0.35">
      <c r="A422" t="s">
        <v>66</v>
      </c>
      <c r="B422" t="s">
        <v>69</v>
      </c>
      <c r="C422">
        <v>39</v>
      </c>
      <c r="D422" t="s">
        <v>74</v>
      </c>
      <c r="E422" t="s">
        <v>85</v>
      </c>
      <c r="F422" t="s">
        <v>76</v>
      </c>
      <c r="G422">
        <v>19.300013333467401</v>
      </c>
      <c r="H422">
        <v>2E+20</v>
      </c>
      <c r="I422">
        <v>0</v>
      </c>
      <c r="J422">
        <v>35</v>
      </c>
      <c r="K422">
        <v>28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10.3625915235886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38.218354981839397</v>
      </c>
      <c r="U422" s="5">
        <f>IF((ContinuousStatsTable[[#This Row],[RepsRequested]]&gt;1),ContinuousStatsTable[[#This Row],[HalfWidth]],ContinuousStatsTable[[#This Row],[BatchMeansHalfWidth]])</f>
        <v>2.1690587669162626</v>
      </c>
    </row>
    <row r="423" spans="1:21" x14ac:dyDescent="0.35">
      <c r="A423" t="s">
        <v>66</v>
      </c>
      <c r="B423" t="s">
        <v>69</v>
      </c>
      <c r="C423">
        <v>39</v>
      </c>
      <c r="D423" t="s">
        <v>86</v>
      </c>
      <c r="E423" t="s">
        <v>87</v>
      </c>
      <c r="F423" t="s">
        <v>88</v>
      </c>
      <c r="G423">
        <v>0.73156211541801897</v>
      </c>
      <c r="H423">
        <v>2E+20</v>
      </c>
      <c r="I423">
        <v>0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0.51812957617942801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0.95110098058068004</v>
      </c>
      <c r="U423" s="5">
        <f>IF((ContinuousStatsTable[[#This Row],[RepsRequested]]&gt;1),ContinuousStatsTable[[#This Row],[HalfWidth]],ContinuousStatsTable[[#This Row],[BatchMeansHalfWidth]])</f>
        <v>4.3613366354194112E-2</v>
      </c>
    </row>
    <row r="424" spans="1:21" x14ac:dyDescent="0.35">
      <c r="A424" t="s">
        <v>66</v>
      </c>
      <c r="B424" t="s">
        <v>69</v>
      </c>
      <c r="C424">
        <v>39</v>
      </c>
      <c r="D424" t="s">
        <v>86</v>
      </c>
      <c r="E424" t="s">
        <v>89</v>
      </c>
      <c r="F424" t="s">
        <v>88</v>
      </c>
      <c r="G424">
        <v>7.3156211541801897</v>
      </c>
      <c r="H424">
        <v>2E+20</v>
      </c>
      <c r="I424">
        <v>0</v>
      </c>
      <c r="J424">
        <v>10</v>
      </c>
      <c r="K424">
        <v>10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5.1812957617942796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9.5110098058068004</v>
      </c>
      <c r="U424" s="5">
        <f>IF((ContinuousStatsTable[[#This Row],[RepsRequested]]&gt;1),ContinuousStatsTable[[#This Row],[HalfWidth]],ContinuousStatsTable[[#This Row],[BatchMeansHalfWidth]])</f>
        <v>0.43613366354194549</v>
      </c>
    </row>
    <row r="425" spans="1:21" x14ac:dyDescent="0.35">
      <c r="A425" t="s">
        <v>66</v>
      </c>
      <c r="B425" t="s">
        <v>69</v>
      </c>
      <c r="C425">
        <v>39</v>
      </c>
      <c r="D425" t="s">
        <v>86</v>
      </c>
      <c r="E425" t="s">
        <v>90</v>
      </c>
      <c r="F425" t="s">
        <v>88</v>
      </c>
      <c r="G425">
        <v>10</v>
      </c>
      <c r="H425">
        <v>2E+20</v>
      </c>
      <c r="I425">
        <v>10</v>
      </c>
      <c r="J425">
        <v>10</v>
      </c>
      <c r="K425">
        <v>10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10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10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10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66</v>
      </c>
      <c r="B426" t="s">
        <v>69</v>
      </c>
      <c r="C426">
        <v>39</v>
      </c>
      <c r="D426" t="s">
        <v>82</v>
      </c>
      <c r="E426" t="s">
        <v>84</v>
      </c>
      <c r="F426" t="s">
        <v>72</v>
      </c>
      <c r="G426">
        <v>1.60208965038796</v>
      </c>
      <c r="H426">
        <v>2E+20</v>
      </c>
      <c r="I426">
        <v>0</v>
      </c>
      <c r="J426">
        <v>5</v>
      </c>
      <c r="K426">
        <v>3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0.56541157258789199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2.4594543622635499</v>
      </c>
      <c r="U426" s="5">
        <f>IF((ContinuousStatsTable[[#This Row],[RepsRequested]]&gt;1),ContinuousStatsTable[[#This Row],[HalfWidth]],ContinuousStatsTable[[#This Row],[BatchMeansHalfWidth]])</f>
        <v>0.1771627845153336</v>
      </c>
    </row>
    <row r="427" spans="1:21" x14ac:dyDescent="0.35">
      <c r="A427" t="s">
        <v>66</v>
      </c>
      <c r="B427" t="s">
        <v>69</v>
      </c>
      <c r="C427">
        <v>39</v>
      </c>
      <c r="D427" t="s">
        <v>91</v>
      </c>
      <c r="E427" t="s">
        <v>87</v>
      </c>
      <c r="F427" t="s">
        <v>88</v>
      </c>
      <c r="G427">
        <v>0.88117832519740902</v>
      </c>
      <c r="H427">
        <v>2E+20</v>
      </c>
      <c r="I427">
        <v>0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0.78808827046509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0.99381255473469199</v>
      </c>
      <c r="U427" s="5">
        <f>IF((ContinuousStatsTable[[#This Row],[RepsRequested]]&gt;1),ContinuousStatsTable[[#This Row],[HalfWidth]],ContinuousStatsTable[[#This Row],[BatchMeansHalfWidth]])</f>
        <v>1.6708231879382019E-2</v>
      </c>
    </row>
    <row r="428" spans="1:21" x14ac:dyDescent="0.35">
      <c r="A428" t="s">
        <v>66</v>
      </c>
      <c r="B428" t="s">
        <v>69</v>
      </c>
      <c r="C428">
        <v>39</v>
      </c>
      <c r="D428" t="s">
        <v>91</v>
      </c>
      <c r="E428" t="s">
        <v>89</v>
      </c>
      <c r="F428" t="s">
        <v>88</v>
      </c>
      <c r="G428">
        <v>2.6435349755922299</v>
      </c>
      <c r="H428">
        <v>2E+20</v>
      </c>
      <c r="I428">
        <v>0</v>
      </c>
      <c r="J428">
        <v>3</v>
      </c>
      <c r="K428">
        <v>3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2.36426481139527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2.9814376642040799</v>
      </c>
      <c r="U428" s="5">
        <f>IF((ContinuousStatsTable[[#This Row],[RepsRequested]]&gt;1),ContinuousStatsTable[[#This Row],[HalfWidth]],ContinuousStatsTable[[#This Row],[BatchMeansHalfWidth]])</f>
        <v>5.0124695638146144E-2</v>
      </c>
    </row>
    <row r="429" spans="1:21" x14ac:dyDescent="0.35">
      <c r="A429" t="s">
        <v>66</v>
      </c>
      <c r="B429" t="s">
        <v>69</v>
      </c>
      <c r="C429">
        <v>39</v>
      </c>
      <c r="D429" t="s">
        <v>91</v>
      </c>
      <c r="E429" t="s">
        <v>90</v>
      </c>
      <c r="F429" t="s">
        <v>88</v>
      </c>
      <c r="G429">
        <v>3</v>
      </c>
      <c r="H429">
        <v>2E+20</v>
      </c>
      <c r="I429">
        <v>3</v>
      </c>
      <c r="J429">
        <v>3</v>
      </c>
      <c r="K429">
        <v>3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3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3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3</v>
      </c>
      <c r="U429" s="5">
        <f>IF((ContinuousStatsTable[[#This Row],[RepsRequested]]&gt;1),ContinuousStatsTable[[#This Row],[HalfWidth]],ContinuousStatsTable[[#This Row],[BatchMeansHalfWidth]])</f>
        <v>0</v>
      </c>
    </row>
    <row r="430" spans="1:21" x14ac:dyDescent="0.35">
      <c r="A430" t="s">
        <v>66</v>
      </c>
      <c r="B430" t="s">
        <v>69</v>
      </c>
      <c r="C430">
        <v>39</v>
      </c>
      <c r="D430" t="s">
        <v>83</v>
      </c>
      <c r="E430" t="s">
        <v>84</v>
      </c>
      <c r="F430" t="s">
        <v>72</v>
      </c>
      <c r="G430">
        <v>1.5270232221842901</v>
      </c>
      <c r="H430">
        <v>2E+20</v>
      </c>
      <c r="I430">
        <v>0</v>
      </c>
      <c r="J430">
        <v>5</v>
      </c>
      <c r="K430">
        <v>3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0.52883875458038598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2.4798758861082799</v>
      </c>
      <c r="U430" s="5">
        <f>IF((ContinuousStatsTable[[#This Row],[RepsRequested]]&gt;1),ContinuousStatsTable[[#This Row],[HalfWidth]],ContinuousStatsTable[[#This Row],[BatchMeansHalfWidth]])</f>
        <v>0.18745365002732756</v>
      </c>
    </row>
    <row r="431" spans="1:21" x14ac:dyDescent="0.35">
      <c r="A431" t="s">
        <v>66</v>
      </c>
      <c r="B431" t="s">
        <v>69</v>
      </c>
      <c r="C431">
        <v>40</v>
      </c>
      <c r="D431" t="s">
        <v>70</v>
      </c>
      <c r="E431" t="s">
        <v>84</v>
      </c>
      <c r="F431" t="s">
        <v>72</v>
      </c>
      <c r="G431">
        <v>0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66</v>
      </c>
      <c r="B432" t="s">
        <v>69</v>
      </c>
      <c r="C432">
        <v>40</v>
      </c>
      <c r="D432" t="s">
        <v>73</v>
      </c>
      <c r="E432" t="s">
        <v>84</v>
      </c>
      <c r="F432" t="s">
        <v>72</v>
      </c>
      <c r="G432">
        <v>0.108912196621157</v>
      </c>
      <c r="H432">
        <v>2E+20</v>
      </c>
      <c r="I432">
        <v>0</v>
      </c>
      <c r="J432">
        <v>2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2.255792133270166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2.2398175485683995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0.71632840390540931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9.63804241981207</v>
      </c>
      <c r="U432" s="5">
        <f>IF((ContinuousStatsTable[[#This Row],[RepsRequested]]&gt;1),ContinuousStatsTable[[#This Row],[HalfWidth]],ContinuousStatsTable[[#This Row],[BatchMeansHalfWidth]])</f>
        <v>0.71632840390540931</v>
      </c>
    </row>
    <row r="433" spans="1:21" x14ac:dyDescent="0.35">
      <c r="A433" t="s">
        <v>66</v>
      </c>
      <c r="B433" t="s">
        <v>69</v>
      </c>
      <c r="C433">
        <v>40</v>
      </c>
      <c r="D433" t="s">
        <v>74</v>
      </c>
      <c r="E433" t="s">
        <v>85</v>
      </c>
      <c r="F433" t="s">
        <v>76</v>
      </c>
      <c r="G433">
        <v>11.50143504199</v>
      </c>
      <c r="H433">
        <v>2E+20</v>
      </c>
      <c r="I433">
        <v>0</v>
      </c>
      <c r="J433">
        <v>25</v>
      </c>
      <c r="K433">
        <v>10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20.151614931798672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6.7822186912145863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2.1690587669162626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10.3625915235886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38.218354981839397</v>
      </c>
      <c r="U433" s="5">
        <f>IF((ContinuousStatsTable[[#This Row],[RepsRequested]]&gt;1),ContinuousStatsTable[[#This Row],[HalfWidth]],ContinuousStatsTable[[#This Row],[BatchMeansHalfWidth]])</f>
        <v>2.1690587669162626</v>
      </c>
    </row>
    <row r="434" spans="1:21" x14ac:dyDescent="0.35">
      <c r="A434" t="s">
        <v>66</v>
      </c>
      <c r="B434" t="s">
        <v>69</v>
      </c>
      <c r="C434">
        <v>40</v>
      </c>
      <c r="D434" t="s">
        <v>86</v>
      </c>
      <c r="E434" t="s">
        <v>87</v>
      </c>
      <c r="F434" t="s">
        <v>88</v>
      </c>
      <c r="G434">
        <v>0.56418053243738198</v>
      </c>
      <c r="H434">
        <v>2E+20</v>
      </c>
      <c r="I434">
        <v>0</v>
      </c>
      <c r="J434">
        <v>1</v>
      </c>
      <c r="K434">
        <v>0.5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0.78200153326291699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0.13637038930703346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4.3613366354194112E-2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0.51812957617942801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0.95110098058068004</v>
      </c>
      <c r="U434" s="5">
        <f>IF((ContinuousStatsTable[[#This Row],[RepsRequested]]&gt;1),ContinuousStatsTable[[#This Row],[HalfWidth]],ContinuousStatsTable[[#This Row],[BatchMeansHalfWidth]])</f>
        <v>4.3613366354194112E-2</v>
      </c>
    </row>
    <row r="435" spans="1:21" x14ac:dyDescent="0.35">
      <c r="A435" t="s">
        <v>66</v>
      </c>
      <c r="B435" t="s">
        <v>69</v>
      </c>
      <c r="C435">
        <v>40</v>
      </c>
      <c r="D435" t="s">
        <v>86</v>
      </c>
      <c r="E435" t="s">
        <v>89</v>
      </c>
      <c r="F435" t="s">
        <v>88</v>
      </c>
      <c r="G435">
        <v>5.64180532437382</v>
      </c>
      <c r="H435">
        <v>2E+20</v>
      </c>
      <c r="I435">
        <v>0</v>
      </c>
      <c r="J435">
        <v>10</v>
      </c>
      <c r="K435">
        <v>5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7.8200153326291666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1.3637038930703482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0.43613366354194549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5.1812957617942796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9.5110098058068004</v>
      </c>
      <c r="U435" s="5">
        <f>IF((ContinuousStatsTable[[#This Row],[RepsRequested]]&gt;1),ContinuousStatsTable[[#This Row],[HalfWidth]],ContinuousStatsTable[[#This Row],[BatchMeansHalfWidth]])</f>
        <v>0.43613366354194549</v>
      </c>
    </row>
    <row r="436" spans="1:21" x14ac:dyDescent="0.35">
      <c r="A436" t="s">
        <v>66</v>
      </c>
      <c r="B436" t="s">
        <v>69</v>
      </c>
      <c r="C436">
        <v>40</v>
      </c>
      <c r="D436" t="s">
        <v>86</v>
      </c>
      <c r="E436" t="s">
        <v>90</v>
      </c>
      <c r="F436" t="s">
        <v>88</v>
      </c>
      <c r="G436">
        <v>10</v>
      </c>
      <c r="H436">
        <v>2E+20</v>
      </c>
      <c r="I436">
        <v>10</v>
      </c>
      <c r="J436">
        <v>10</v>
      </c>
      <c r="K436">
        <v>10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10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10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10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35">
      <c r="A437" t="s">
        <v>66</v>
      </c>
      <c r="B437" t="s">
        <v>69</v>
      </c>
      <c r="C437">
        <v>40</v>
      </c>
      <c r="D437" t="s">
        <v>82</v>
      </c>
      <c r="E437" t="s">
        <v>84</v>
      </c>
      <c r="F437" t="s">
        <v>72</v>
      </c>
      <c r="G437">
        <v>0.92513730364885405</v>
      </c>
      <c r="H437">
        <v>2E+20</v>
      </c>
      <c r="I437">
        <v>0</v>
      </c>
      <c r="J437">
        <v>4</v>
      </c>
      <c r="K437">
        <v>0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1.7176109361449288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0.55395306335372529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0.1771627845153336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0.56541157258789199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2.4594543622635499</v>
      </c>
      <c r="U437" s="5">
        <f>IF((ContinuousStatsTable[[#This Row],[RepsRequested]]&gt;1),ContinuousStatsTable[[#This Row],[HalfWidth]],ContinuousStatsTable[[#This Row],[BatchMeansHalfWidth]])</f>
        <v>0.1771627845153336</v>
      </c>
    </row>
    <row r="438" spans="1:21" x14ac:dyDescent="0.35">
      <c r="A438" t="s">
        <v>66</v>
      </c>
      <c r="B438" t="s">
        <v>69</v>
      </c>
      <c r="C438">
        <v>40</v>
      </c>
      <c r="D438" t="s">
        <v>91</v>
      </c>
      <c r="E438" t="s">
        <v>87</v>
      </c>
      <c r="F438" t="s">
        <v>88</v>
      </c>
      <c r="G438">
        <v>0.81458809388551801</v>
      </c>
      <c r="H438">
        <v>2E+20</v>
      </c>
      <c r="I438">
        <v>0</v>
      </c>
      <c r="J438">
        <v>1</v>
      </c>
      <c r="K438">
        <v>1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0.92906032745742684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5.2243343646514895E-2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1.6708231879382019E-2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0.78808827046509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0.99381255473469199</v>
      </c>
      <c r="U438" s="5">
        <f>IF((ContinuousStatsTable[[#This Row],[RepsRequested]]&gt;1),ContinuousStatsTable[[#This Row],[HalfWidth]],ContinuousStatsTable[[#This Row],[BatchMeansHalfWidth]])</f>
        <v>1.6708231879382019E-2</v>
      </c>
    </row>
    <row r="439" spans="1:21" x14ac:dyDescent="0.35">
      <c r="A439" t="s">
        <v>66</v>
      </c>
      <c r="B439" t="s">
        <v>69</v>
      </c>
      <c r="C439">
        <v>40</v>
      </c>
      <c r="D439" t="s">
        <v>91</v>
      </c>
      <c r="E439" t="s">
        <v>89</v>
      </c>
      <c r="F439" t="s">
        <v>88</v>
      </c>
      <c r="G439">
        <v>2.4437642816565499</v>
      </c>
      <c r="H439">
        <v>2E+20</v>
      </c>
      <c r="I439">
        <v>0</v>
      </c>
      <c r="J439">
        <v>3</v>
      </c>
      <c r="K439">
        <v>3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2.7871809823722815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0.15673003093954493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5.0124695638146144E-2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2.36426481139527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2.9814376642040799</v>
      </c>
      <c r="U439" s="5">
        <f>IF((ContinuousStatsTable[[#This Row],[RepsRequested]]&gt;1),ContinuousStatsTable[[#This Row],[HalfWidth]],ContinuousStatsTable[[#This Row],[BatchMeansHalfWidth]])</f>
        <v>5.0124695638146144E-2</v>
      </c>
    </row>
    <row r="440" spans="1:21" x14ac:dyDescent="0.35">
      <c r="A440" t="s">
        <v>66</v>
      </c>
      <c r="B440" t="s">
        <v>69</v>
      </c>
      <c r="C440">
        <v>40</v>
      </c>
      <c r="D440" t="s">
        <v>91</v>
      </c>
      <c r="E440" t="s">
        <v>90</v>
      </c>
      <c r="F440" t="s">
        <v>88</v>
      </c>
      <c r="G440">
        <v>3</v>
      </c>
      <c r="H440">
        <v>2E+20</v>
      </c>
      <c r="I440">
        <v>3</v>
      </c>
      <c r="J440">
        <v>3</v>
      </c>
      <c r="K440">
        <v>3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3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3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3</v>
      </c>
      <c r="U440" s="5">
        <f>IF((ContinuousStatsTable[[#This Row],[RepsRequested]]&gt;1),ContinuousStatsTable[[#This Row],[HalfWidth]],ContinuousStatsTable[[#This Row],[BatchMeansHalfWidth]])</f>
        <v>0</v>
      </c>
    </row>
    <row r="441" spans="1:21" x14ac:dyDescent="0.35">
      <c r="A441" t="s">
        <v>66</v>
      </c>
      <c r="B441" t="s">
        <v>69</v>
      </c>
      <c r="C441">
        <v>40</v>
      </c>
      <c r="D441" t="s">
        <v>83</v>
      </c>
      <c r="E441" t="s">
        <v>84</v>
      </c>
      <c r="F441" t="s">
        <v>72</v>
      </c>
      <c r="G441">
        <v>0.79901917211462303</v>
      </c>
      <c r="H441">
        <v>2E+20</v>
      </c>
      <c r="I441">
        <v>0</v>
      </c>
      <c r="J441">
        <v>4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1.6506981854952929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0.58613056886384474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0.18745365002732756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0.52883875458038598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2.4798758861082799</v>
      </c>
      <c r="U441" s="5">
        <f>IF((ContinuousStatsTable[[#This Row],[RepsRequested]]&gt;1),ContinuousStatsTable[[#This Row],[HalfWidth]],ContinuousStatsTable[[#This Row],[BatchMeansHalfWidth]])</f>
        <v>0.18745365002732756</v>
      </c>
    </row>
  </sheetData>
  <phoneticPr fontId="2" type="noConversion"/>
  <conditionalFormatting sqref="H2:H441">
    <cfRule type="expression" dxfId="11" priority="9">
      <formula>H2=200000000000000000000</formula>
    </cfRule>
  </conditionalFormatting>
  <conditionalFormatting sqref="H2:H441">
    <cfRule type="expression" dxfId="10" priority="7">
      <formula>H2=300000000000000000000</formula>
    </cfRule>
  </conditionalFormatting>
  <conditionalFormatting sqref="M2:U441">
    <cfRule type="expression" dxfId="9" priority="5">
      <formula>MOD(ROW(),2)=0</formula>
    </cfRule>
  </conditionalFormatting>
  <conditionalFormatting sqref="U2:U44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41 U2:U44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21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0.6328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52.453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94</v>
      </c>
      <c r="G2">
        <v>59</v>
      </c>
      <c r="H2" t="str">
        <f>CountersTable[[#This Row],[ProjectName]]&amp;CountersTable[[#This Row],[Name]]&amp;CountersTable[[#This Row],[Type]]&amp;CountersTable[[#This Row],[Source]]</f>
        <v>Unnamed ProjectccontaCoposLavadosCountUser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60.8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3.7361710826693093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" cm="1">
        <f t="array" ref="N2">MIN(IF((CountersTable[GroupByKey]=CountersTable[[#This Row],[GroupByKey]]),(CountersTable[GroupByKey]=CountersTable[[#This Row],[GroupByKey]])*CountersTable[RecordedValue]))</f>
        <v>52</v>
      </c>
      <c r="O2" cm="1">
        <f t="array" ref="O2">MAX(IF((CountersTable[GroupByKey]=CountersTable[[#This Row],[GroupByKey]]),(CountersTable[GroupByKey]=CountersTable[[#This Row],[GroupByKey]])*CountersTable[RecordedValue]))</f>
        <v>66</v>
      </c>
    </row>
    <row r="3" spans="1:15" x14ac:dyDescent="0.35">
      <c r="A3" t="s">
        <v>66</v>
      </c>
      <c r="B3" t="s">
        <v>69</v>
      </c>
      <c r="C3">
        <v>1</v>
      </c>
      <c r="D3" t="s">
        <v>95</v>
      </c>
      <c r="E3" t="s">
        <v>93</v>
      </c>
      <c r="F3" t="s">
        <v>94</v>
      </c>
      <c r="G3">
        <v>59</v>
      </c>
      <c r="H3" t="str">
        <f>CountersTable[[#This Row],[ProjectName]]&amp;CountersTable[[#This Row],[Name]]&amp;CountersTable[[#This Row],[Type]]&amp;CountersTable[[#This Row],[Source]]</f>
        <v>Unnamed ProjectcontaBebidaCountUser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60.8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3.7361710826693093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" cm="1">
        <f t="array" ref="N3">MIN(IF((CountersTable[GroupByKey]=CountersTable[[#This Row],[GroupByKey]]),(CountersTable[GroupByKey]=CountersTable[[#This Row],[GroupByKey]])*CountersTable[RecordedValue]))</f>
        <v>52</v>
      </c>
      <c r="O3" cm="1">
        <f t="array" ref="O3">MAX(IF((CountersTable[GroupByKey]=CountersTable[[#This Row],[GroupByKey]]),(CountersTable[GroupByKey]=CountersTable[[#This Row],[GroupByKey]])*CountersTable[RecordedValue]))</f>
        <v>66</v>
      </c>
    </row>
    <row r="4" spans="1:15" x14ac:dyDescent="0.35">
      <c r="A4" t="s">
        <v>66</v>
      </c>
      <c r="B4" t="s">
        <v>69</v>
      </c>
      <c r="C4">
        <v>1</v>
      </c>
      <c r="D4" t="s">
        <v>96</v>
      </c>
      <c r="E4" t="s">
        <v>93</v>
      </c>
      <c r="F4" t="s">
        <v>94</v>
      </c>
      <c r="G4">
        <v>38</v>
      </c>
      <c r="H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38.85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2.8152515030883167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4" cm="1">
        <f t="array" ref="N4">MIN(IF((CountersTable[GroupByKey]=CountersTable[[#This Row],[GroupByKey]]),(CountersTable[GroupByKey]=CountersTable[[#This Row],[GroupByKey]])*CountersTable[RecordedValue]))</f>
        <v>32</v>
      </c>
      <c r="O4" cm="1">
        <f t="array" ref="O4">MAX(IF((CountersTable[GroupByKey]=CountersTable[[#This Row],[GroupByKey]]),(CountersTable[GroupByKey]=CountersTable[[#This Row],[GroupByKey]])*CountersTable[RecordedValue]))</f>
        <v>44</v>
      </c>
    </row>
    <row r="5" spans="1:15" x14ac:dyDescent="0.35">
      <c r="A5" t="s">
        <v>66</v>
      </c>
      <c r="B5" t="s">
        <v>69</v>
      </c>
      <c r="C5">
        <v>2</v>
      </c>
      <c r="D5" t="s">
        <v>92</v>
      </c>
      <c r="E5" t="s">
        <v>93</v>
      </c>
      <c r="F5" t="s">
        <v>94</v>
      </c>
      <c r="G5">
        <v>66</v>
      </c>
      <c r="H5" t="str">
        <f>CountersTable[[#This Row],[ProjectName]]&amp;CountersTable[[#This Row],[Name]]&amp;CountersTable[[#This Row],[Type]]&amp;CountersTable[[#This Row],[Source]]</f>
        <v>Unnamed ProjectccontaCoposLavadosCountUser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60.8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3.7361710826693093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" cm="1">
        <f t="array" ref="N5">MIN(IF((CountersTable[GroupByKey]=CountersTable[[#This Row],[GroupByKey]]),(CountersTable[GroupByKey]=CountersTable[[#This Row],[GroupByKey]])*CountersTable[RecordedValue]))</f>
        <v>52</v>
      </c>
      <c r="O5" cm="1">
        <f t="array" ref="O5">MAX(IF((CountersTable[GroupByKey]=CountersTable[[#This Row],[GroupByKey]]),(CountersTable[GroupByKey]=CountersTable[[#This Row],[GroupByKey]])*CountersTable[RecordedValue]))</f>
        <v>66</v>
      </c>
    </row>
    <row r="6" spans="1:15" x14ac:dyDescent="0.35">
      <c r="A6" t="s">
        <v>66</v>
      </c>
      <c r="B6" t="s">
        <v>69</v>
      </c>
      <c r="C6">
        <v>2</v>
      </c>
      <c r="D6" t="s">
        <v>95</v>
      </c>
      <c r="E6" t="s">
        <v>93</v>
      </c>
      <c r="F6" t="s">
        <v>94</v>
      </c>
      <c r="G6">
        <v>66</v>
      </c>
      <c r="H6" t="str">
        <f>CountersTable[[#This Row],[ProjectName]]&amp;CountersTable[[#This Row],[Name]]&amp;CountersTable[[#This Row],[Type]]&amp;CountersTable[[#This Row],[Source]]</f>
        <v>Unnamed ProjectcontaBebidaCountUser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60.8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3.7361710826693093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" cm="1">
        <f t="array" ref="N6">MIN(IF((CountersTable[GroupByKey]=CountersTable[[#This Row],[GroupByKey]]),(CountersTable[GroupByKey]=CountersTable[[#This Row],[GroupByKey]])*CountersTable[RecordedValue]))</f>
        <v>52</v>
      </c>
      <c r="O6" cm="1">
        <f t="array" ref="O6">MAX(IF((CountersTable[GroupByKey]=CountersTable[[#This Row],[GroupByKey]]),(CountersTable[GroupByKey]=CountersTable[[#This Row],[GroupByKey]])*CountersTable[RecordedValue]))</f>
        <v>66</v>
      </c>
    </row>
    <row r="7" spans="1:15" x14ac:dyDescent="0.35">
      <c r="A7" t="s">
        <v>66</v>
      </c>
      <c r="B7" t="s">
        <v>69</v>
      </c>
      <c r="C7">
        <v>2</v>
      </c>
      <c r="D7" t="s">
        <v>96</v>
      </c>
      <c r="E7" t="s">
        <v>93</v>
      </c>
      <c r="F7" t="s">
        <v>94</v>
      </c>
      <c r="G7">
        <v>42</v>
      </c>
      <c r="H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38.85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2.8152515030883167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7" cm="1">
        <f t="array" ref="N7">MIN(IF((CountersTable[GroupByKey]=CountersTable[[#This Row],[GroupByKey]]),(CountersTable[GroupByKey]=CountersTable[[#This Row],[GroupByKey]])*CountersTable[RecordedValue]))</f>
        <v>32</v>
      </c>
      <c r="O7" cm="1">
        <f t="array" ref="O7">MAX(IF((CountersTable[GroupByKey]=CountersTable[[#This Row],[GroupByKey]]),(CountersTable[GroupByKey]=CountersTable[[#This Row],[GroupByKey]])*CountersTable[RecordedValue]))</f>
        <v>44</v>
      </c>
    </row>
    <row r="8" spans="1:15" x14ac:dyDescent="0.35">
      <c r="A8" t="s">
        <v>66</v>
      </c>
      <c r="B8" t="s">
        <v>69</v>
      </c>
      <c r="C8">
        <v>3</v>
      </c>
      <c r="D8" t="s">
        <v>92</v>
      </c>
      <c r="E8" t="s">
        <v>93</v>
      </c>
      <c r="F8" t="s">
        <v>94</v>
      </c>
      <c r="G8">
        <v>64</v>
      </c>
      <c r="H8" t="str">
        <f>CountersTable[[#This Row],[ProjectName]]&amp;CountersTable[[#This Row],[Name]]&amp;CountersTable[[#This Row],[Type]]&amp;CountersTable[[#This Row],[Source]]</f>
        <v>Unnamed ProjectccontaCoposLavadosCountUser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60.8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3.7361710826693093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" cm="1">
        <f t="array" ref="N8">MIN(IF((CountersTable[GroupByKey]=CountersTable[[#This Row],[GroupByKey]]),(CountersTable[GroupByKey]=CountersTable[[#This Row],[GroupByKey]])*CountersTable[RecordedValue]))</f>
        <v>52</v>
      </c>
      <c r="O8" cm="1">
        <f t="array" ref="O8">MAX(IF((CountersTable[GroupByKey]=CountersTable[[#This Row],[GroupByKey]]),(CountersTable[GroupByKey]=CountersTable[[#This Row],[GroupByKey]])*CountersTable[RecordedValue]))</f>
        <v>66</v>
      </c>
    </row>
    <row r="9" spans="1:15" x14ac:dyDescent="0.35">
      <c r="A9" t="s">
        <v>66</v>
      </c>
      <c r="B9" t="s">
        <v>69</v>
      </c>
      <c r="C9">
        <v>3</v>
      </c>
      <c r="D9" t="s">
        <v>95</v>
      </c>
      <c r="E9" t="s">
        <v>93</v>
      </c>
      <c r="F9" t="s">
        <v>94</v>
      </c>
      <c r="G9">
        <v>64</v>
      </c>
      <c r="H9" t="str">
        <f>CountersTable[[#This Row],[ProjectName]]&amp;CountersTable[[#This Row],[Name]]&amp;CountersTable[[#This Row],[Type]]&amp;CountersTable[[#This Row],[Source]]</f>
        <v>Unnamed ProjectcontaBebidaCountUser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60.8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3.7361710826693093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" cm="1">
        <f t="array" ref="N9">MIN(IF((CountersTable[GroupByKey]=CountersTable[[#This Row],[GroupByKey]]),(CountersTable[GroupByKey]=CountersTable[[#This Row],[GroupByKey]])*CountersTable[RecordedValue]))</f>
        <v>52</v>
      </c>
      <c r="O9" cm="1">
        <f t="array" ref="O9">MAX(IF((CountersTable[GroupByKey]=CountersTable[[#This Row],[GroupByKey]]),(CountersTable[GroupByKey]=CountersTable[[#This Row],[GroupByKey]])*CountersTable[RecordedValue]))</f>
        <v>66</v>
      </c>
    </row>
    <row r="10" spans="1:15" x14ac:dyDescent="0.35">
      <c r="A10" t="s">
        <v>66</v>
      </c>
      <c r="B10" t="s">
        <v>69</v>
      </c>
      <c r="C10">
        <v>3</v>
      </c>
      <c r="D10" t="s">
        <v>96</v>
      </c>
      <c r="E10" t="s">
        <v>93</v>
      </c>
      <c r="F10" t="s">
        <v>94</v>
      </c>
      <c r="G10">
        <v>43</v>
      </c>
      <c r="H1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38.85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2.8152515030883167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0" cm="1">
        <f t="array" ref="N10">MIN(IF((CountersTable[GroupByKey]=CountersTable[[#This Row],[GroupByKey]]),(CountersTable[GroupByKey]=CountersTable[[#This Row],[GroupByKey]])*CountersTable[RecordedValue]))</f>
        <v>32</v>
      </c>
      <c r="O10" cm="1">
        <f t="array" ref="O10">MAX(IF((CountersTable[GroupByKey]=CountersTable[[#This Row],[GroupByKey]]),(CountersTable[GroupByKey]=CountersTable[[#This Row],[GroupByKey]])*CountersTable[RecordedValue]))</f>
        <v>44</v>
      </c>
    </row>
    <row r="11" spans="1:15" x14ac:dyDescent="0.35">
      <c r="A11" t="s">
        <v>66</v>
      </c>
      <c r="B11" t="s">
        <v>69</v>
      </c>
      <c r="C11">
        <v>4</v>
      </c>
      <c r="D11" t="s">
        <v>92</v>
      </c>
      <c r="E11" t="s">
        <v>93</v>
      </c>
      <c r="F11" t="s">
        <v>94</v>
      </c>
      <c r="G11">
        <v>62</v>
      </c>
      <c r="H11" t="str">
        <f>CountersTable[[#This Row],[ProjectName]]&amp;CountersTable[[#This Row],[Name]]&amp;CountersTable[[#This Row],[Type]]&amp;CountersTable[[#This Row],[Source]]</f>
        <v>Unnamed ProjectccontaCoposLavadosCountUser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60.8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3.7361710826693093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" cm="1">
        <f t="array" ref="N11">MIN(IF((CountersTable[GroupByKey]=CountersTable[[#This Row],[GroupByKey]]),(CountersTable[GroupByKey]=CountersTable[[#This Row],[GroupByKey]])*CountersTable[RecordedValue]))</f>
        <v>52</v>
      </c>
      <c r="O11" cm="1">
        <f t="array" ref="O11">MAX(IF((CountersTable[GroupByKey]=CountersTable[[#This Row],[GroupByKey]]),(CountersTable[GroupByKey]=CountersTable[[#This Row],[GroupByKey]])*CountersTable[RecordedValue]))</f>
        <v>66</v>
      </c>
    </row>
    <row r="12" spans="1:15" x14ac:dyDescent="0.35">
      <c r="A12" t="s">
        <v>66</v>
      </c>
      <c r="B12" t="s">
        <v>69</v>
      </c>
      <c r="C12">
        <v>4</v>
      </c>
      <c r="D12" t="s">
        <v>95</v>
      </c>
      <c r="E12" t="s">
        <v>93</v>
      </c>
      <c r="F12" t="s">
        <v>94</v>
      </c>
      <c r="G12">
        <v>62</v>
      </c>
      <c r="H12" t="str">
        <f>CountersTable[[#This Row],[ProjectName]]&amp;CountersTable[[#This Row],[Name]]&amp;CountersTable[[#This Row],[Type]]&amp;CountersTable[[#This Row],[Source]]</f>
        <v>Unnamed ProjectcontaBebidaCountUser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60.8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3.7361710826693093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2" cm="1">
        <f t="array" ref="N12">MIN(IF((CountersTable[GroupByKey]=CountersTable[[#This Row],[GroupByKey]]),(CountersTable[GroupByKey]=CountersTable[[#This Row],[GroupByKey]])*CountersTable[RecordedValue]))</f>
        <v>52</v>
      </c>
      <c r="O12" cm="1">
        <f t="array" ref="O12">MAX(IF((CountersTable[GroupByKey]=CountersTable[[#This Row],[GroupByKey]]),(CountersTable[GroupByKey]=CountersTable[[#This Row],[GroupByKey]])*CountersTable[RecordedValue]))</f>
        <v>66</v>
      </c>
    </row>
    <row r="13" spans="1:15" x14ac:dyDescent="0.35">
      <c r="A13" t="s">
        <v>66</v>
      </c>
      <c r="B13" t="s">
        <v>69</v>
      </c>
      <c r="C13">
        <v>4</v>
      </c>
      <c r="D13" t="s">
        <v>96</v>
      </c>
      <c r="E13" t="s">
        <v>93</v>
      </c>
      <c r="F13" t="s">
        <v>94</v>
      </c>
      <c r="G13">
        <v>40</v>
      </c>
      <c r="H1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38.85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2.8152515030883167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3" cm="1">
        <f t="array" ref="N13">MIN(IF((CountersTable[GroupByKey]=CountersTable[[#This Row],[GroupByKey]]),(CountersTable[GroupByKey]=CountersTable[[#This Row],[GroupByKey]])*CountersTable[RecordedValue]))</f>
        <v>32</v>
      </c>
      <c r="O13" cm="1">
        <f t="array" ref="O13">MAX(IF((CountersTable[GroupByKey]=CountersTable[[#This Row],[GroupByKey]]),(CountersTable[GroupByKey]=CountersTable[[#This Row],[GroupByKey]])*CountersTable[RecordedValue]))</f>
        <v>44</v>
      </c>
    </row>
    <row r="14" spans="1:15" x14ac:dyDescent="0.35">
      <c r="A14" t="s">
        <v>66</v>
      </c>
      <c r="B14" t="s">
        <v>69</v>
      </c>
      <c r="C14">
        <v>5</v>
      </c>
      <c r="D14" t="s">
        <v>92</v>
      </c>
      <c r="E14" t="s">
        <v>93</v>
      </c>
      <c r="F14" t="s">
        <v>94</v>
      </c>
      <c r="G14">
        <v>61</v>
      </c>
      <c r="H14" t="str">
        <f>CountersTable[[#This Row],[ProjectName]]&amp;CountersTable[[#This Row],[Name]]&amp;CountersTable[[#This Row],[Type]]&amp;CountersTable[[#This Row],[Source]]</f>
        <v>Unnamed ProjectccontaCoposLavadosCountUser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60.8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3.7361710826693093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4" cm="1">
        <f t="array" ref="N14">MIN(IF((CountersTable[GroupByKey]=CountersTable[[#This Row],[GroupByKey]]),(CountersTable[GroupByKey]=CountersTable[[#This Row],[GroupByKey]])*CountersTable[RecordedValue]))</f>
        <v>52</v>
      </c>
      <c r="O14" cm="1">
        <f t="array" ref="O14">MAX(IF((CountersTable[GroupByKey]=CountersTable[[#This Row],[GroupByKey]]),(CountersTable[GroupByKey]=CountersTable[[#This Row],[GroupByKey]])*CountersTable[RecordedValue]))</f>
        <v>66</v>
      </c>
    </row>
    <row r="15" spans="1:15" x14ac:dyDescent="0.35">
      <c r="A15" t="s">
        <v>66</v>
      </c>
      <c r="B15" t="s">
        <v>69</v>
      </c>
      <c r="C15">
        <v>5</v>
      </c>
      <c r="D15" t="s">
        <v>95</v>
      </c>
      <c r="E15" t="s">
        <v>93</v>
      </c>
      <c r="F15" t="s">
        <v>94</v>
      </c>
      <c r="G15">
        <v>61</v>
      </c>
      <c r="H15" t="str">
        <f>CountersTable[[#This Row],[ProjectName]]&amp;CountersTable[[#This Row],[Name]]&amp;CountersTable[[#This Row],[Type]]&amp;CountersTable[[#This Row],[Source]]</f>
        <v>Unnamed ProjectcontaBebidaCountUser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60.8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3.7361710826693093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5" cm="1">
        <f t="array" ref="N15">MIN(IF((CountersTable[GroupByKey]=CountersTable[[#This Row],[GroupByKey]]),(CountersTable[GroupByKey]=CountersTable[[#This Row],[GroupByKey]])*CountersTable[RecordedValue]))</f>
        <v>52</v>
      </c>
      <c r="O15" cm="1">
        <f t="array" ref="O15">MAX(IF((CountersTable[GroupByKey]=CountersTable[[#This Row],[GroupByKey]]),(CountersTable[GroupByKey]=CountersTable[[#This Row],[GroupByKey]])*CountersTable[RecordedValue]))</f>
        <v>66</v>
      </c>
    </row>
    <row r="16" spans="1:15" x14ac:dyDescent="0.35">
      <c r="A16" t="s">
        <v>66</v>
      </c>
      <c r="B16" t="s">
        <v>69</v>
      </c>
      <c r="C16">
        <v>5</v>
      </c>
      <c r="D16" t="s">
        <v>96</v>
      </c>
      <c r="E16" t="s">
        <v>93</v>
      </c>
      <c r="F16" t="s">
        <v>94</v>
      </c>
      <c r="G16">
        <v>39</v>
      </c>
      <c r="H1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38.85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2.8152515030883167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6" cm="1">
        <f t="array" ref="N16">MIN(IF((CountersTable[GroupByKey]=CountersTable[[#This Row],[GroupByKey]]),(CountersTable[GroupByKey]=CountersTable[[#This Row],[GroupByKey]])*CountersTable[RecordedValue]))</f>
        <v>32</v>
      </c>
      <c r="O16" cm="1">
        <f t="array" ref="O16">MAX(IF((CountersTable[GroupByKey]=CountersTable[[#This Row],[GroupByKey]]),(CountersTable[GroupByKey]=CountersTable[[#This Row],[GroupByKey]])*CountersTable[RecordedValue]))</f>
        <v>44</v>
      </c>
    </row>
    <row r="17" spans="1:15" x14ac:dyDescent="0.35">
      <c r="A17" t="s">
        <v>66</v>
      </c>
      <c r="B17" t="s">
        <v>69</v>
      </c>
      <c r="C17">
        <v>6</v>
      </c>
      <c r="D17" t="s">
        <v>92</v>
      </c>
      <c r="E17" t="s">
        <v>93</v>
      </c>
      <c r="F17" t="s">
        <v>94</v>
      </c>
      <c r="G17">
        <v>62</v>
      </c>
      <c r="H17" t="str">
        <f>CountersTable[[#This Row],[ProjectName]]&amp;CountersTable[[#This Row],[Name]]&amp;CountersTable[[#This Row],[Type]]&amp;CountersTable[[#This Row],[Source]]</f>
        <v>Unnamed ProjectccontaCoposLavadosCountUser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60.8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3.7361710826693093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7" cm="1">
        <f t="array" ref="N17">MIN(IF((CountersTable[GroupByKey]=CountersTable[[#This Row],[GroupByKey]]),(CountersTable[GroupByKey]=CountersTable[[#This Row],[GroupByKey]])*CountersTable[RecordedValue]))</f>
        <v>52</v>
      </c>
      <c r="O17" cm="1">
        <f t="array" ref="O17">MAX(IF((CountersTable[GroupByKey]=CountersTable[[#This Row],[GroupByKey]]),(CountersTable[GroupByKey]=CountersTable[[#This Row],[GroupByKey]])*CountersTable[RecordedValue]))</f>
        <v>66</v>
      </c>
    </row>
    <row r="18" spans="1:15" x14ac:dyDescent="0.35">
      <c r="A18" t="s">
        <v>66</v>
      </c>
      <c r="B18" t="s">
        <v>69</v>
      </c>
      <c r="C18">
        <v>6</v>
      </c>
      <c r="D18" t="s">
        <v>95</v>
      </c>
      <c r="E18" t="s">
        <v>93</v>
      </c>
      <c r="F18" t="s">
        <v>94</v>
      </c>
      <c r="G18">
        <v>62</v>
      </c>
      <c r="H18" t="str">
        <f>CountersTable[[#This Row],[ProjectName]]&amp;CountersTable[[#This Row],[Name]]&amp;CountersTable[[#This Row],[Type]]&amp;CountersTable[[#This Row],[Source]]</f>
        <v>Unnamed ProjectcontaBebidaCountUser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60.8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3.7361710826693093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8" cm="1">
        <f t="array" ref="N18">MIN(IF((CountersTable[GroupByKey]=CountersTable[[#This Row],[GroupByKey]]),(CountersTable[GroupByKey]=CountersTable[[#This Row],[GroupByKey]])*CountersTable[RecordedValue]))</f>
        <v>52</v>
      </c>
      <c r="O18" cm="1">
        <f t="array" ref="O18">MAX(IF((CountersTable[GroupByKey]=CountersTable[[#This Row],[GroupByKey]]),(CountersTable[GroupByKey]=CountersTable[[#This Row],[GroupByKey]])*CountersTable[RecordedValue]))</f>
        <v>66</v>
      </c>
    </row>
    <row r="19" spans="1:15" x14ac:dyDescent="0.35">
      <c r="A19" t="s">
        <v>66</v>
      </c>
      <c r="B19" t="s">
        <v>69</v>
      </c>
      <c r="C19">
        <v>6</v>
      </c>
      <c r="D19" t="s">
        <v>96</v>
      </c>
      <c r="E19" t="s">
        <v>93</v>
      </c>
      <c r="F19" t="s">
        <v>94</v>
      </c>
      <c r="G19">
        <v>41</v>
      </c>
      <c r="H1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38.85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2.8152515030883167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9" cm="1">
        <f t="array" ref="N19">MIN(IF((CountersTable[GroupByKey]=CountersTable[[#This Row],[GroupByKey]]),(CountersTable[GroupByKey]=CountersTable[[#This Row],[GroupByKey]])*CountersTable[RecordedValue]))</f>
        <v>32</v>
      </c>
      <c r="O19" cm="1">
        <f t="array" ref="O19">MAX(IF((CountersTable[GroupByKey]=CountersTable[[#This Row],[GroupByKey]]),(CountersTable[GroupByKey]=CountersTable[[#This Row],[GroupByKey]])*CountersTable[RecordedValue]))</f>
        <v>44</v>
      </c>
    </row>
    <row r="20" spans="1:15" x14ac:dyDescent="0.35">
      <c r="A20" t="s">
        <v>66</v>
      </c>
      <c r="B20" t="s">
        <v>69</v>
      </c>
      <c r="C20">
        <v>7</v>
      </c>
      <c r="D20" t="s">
        <v>92</v>
      </c>
      <c r="E20" t="s">
        <v>93</v>
      </c>
      <c r="F20" t="s">
        <v>94</v>
      </c>
      <c r="G20">
        <v>56</v>
      </c>
      <c r="H20" t="str">
        <f>CountersTable[[#This Row],[ProjectName]]&amp;CountersTable[[#This Row],[Name]]&amp;CountersTable[[#This Row],[Type]]&amp;CountersTable[[#This Row],[Source]]</f>
        <v>Unnamed ProjectccontaCoposLavadosCountUser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60.8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3.7361710826693093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0" cm="1">
        <f t="array" ref="N20">MIN(IF((CountersTable[GroupByKey]=CountersTable[[#This Row],[GroupByKey]]),(CountersTable[GroupByKey]=CountersTable[[#This Row],[GroupByKey]])*CountersTable[RecordedValue]))</f>
        <v>52</v>
      </c>
      <c r="O20" cm="1">
        <f t="array" ref="O20">MAX(IF((CountersTable[GroupByKey]=CountersTable[[#This Row],[GroupByKey]]),(CountersTable[GroupByKey]=CountersTable[[#This Row],[GroupByKey]])*CountersTable[RecordedValue]))</f>
        <v>66</v>
      </c>
    </row>
    <row r="21" spans="1:15" x14ac:dyDescent="0.35">
      <c r="A21" t="s">
        <v>66</v>
      </c>
      <c r="B21" t="s">
        <v>69</v>
      </c>
      <c r="C21">
        <v>7</v>
      </c>
      <c r="D21" t="s">
        <v>95</v>
      </c>
      <c r="E21" t="s">
        <v>93</v>
      </c>
      <c r="F21" t="s">
        <v>94</v>
      </c>
      <c r="G21">
        <v>56</v>
      </c>
      <c r="H21" t="str">
        <f>CountersTable[[#This Row],[ProjectName]]&amp;CountersTable[[#This Row],[Name]]&amp;CountersTable[[#This Row],[Type]]&amp;CountersTable[[#This Row],[Source]]</f>
        <v>Unnamed ProjectcontaBebidaCountUser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60.8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3.7361710826693093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1" cm="1">
        <f t="array" ref="N21">MIN(IF((CountersTable[GroupByKey]=CountersTable[[#This Row],[GroupByKey]]),(CountersTable[GroupByKey]=CountersTable[[#This Row],[GroupByKey]])*CountersTable[RecordedValue]))</f>
        <v>52</v>
      </c>
      <c r="O21" cm="1">
        <f t="array" ref="O21">MAX(IF((CountersTable[GroupByKey]=CountersTable[[#This Row],[GroupByKey]]),(CountersTable[GroupByKey]=CountersTable[[#This Row],[GroupByKey]])*CountersTable[RecordedValue]))</f>
        <v>66</v>
      </c>
    </row>
    <row r="22" spans="1:15" x14ac:dyDescent="0.35">
      <c r="A22" t="s">
        <v>66</v>
      </c>
      <c r="B22" t="s">
        <v>69</v>
      </c>
      <c r="C22">
        <v>7</v>
      </c>
      <c r="D22" t="s">
        <v>96</v>
      </c>
      <c r="E22" t="s">
        <v>93</v>
      </c>
      <c r="F22" t="s">
        <v>94</v>
      </c>
      <c r="G22">
        <v>37</v>
      </c>
      <c r="H2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38.85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2.8152515030883167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22" cm="1">
        <f t="array" ref="N22">MIN(IF((CountersTable[GroupByKey]=CountersTable[[#This Row],[GroupByKey]]),(CountersTable[GroupByKey]=CountersTable[[#This Row],[GroupByKey]])*CountersTable[RecordedValue]))</f>
        <v>32</v>
      </c>
      <c r="O22" cm="1">
        <f t="array" ref="O22">MAX(IF((CountersTable[GroupByKey]=CountersTable[[#This Row],[GroupByKey]]),(CountersTable[GroupByKey]=CountersTable[[#This Row],[GroupByKey]])*CountersTable[RecordedValue]))</f>
        <v>44</v>
      </c>
    </row>
    <row r="23" spans="1:15" x14ac:dyDescent="0.35">
      <c r="A23" t="s">
        <v>66</v>
      </c>
      <c r="B23" t="s">
        <v>69</v>
      </c>
      <c r="C23">
        <v>8</v>
      </c>
      <c r="D23" t="s">
        <v>92</v>
      </c>
      <c r="E23" t="s">
        <v>93</v>
      </c>
      <c r="F23" t="s">
        <v>94</v>
      </c>
      <c r="G23">
        <v>63</v>
      </c>
      <c r="H23" t="str">
        <f>CountersTable[[#This Row],[ProjectName]]&amp;CountersTable[[#This Row],[Name]]&amp;CountersTable[[#This Row],[Type]]&amp;CountersTable[[#This Row],[Source]]</f>
        <v>Unnamed ProjectccontaCoposLavadosCountUser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60.8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3.7361710826693093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3" cm="1">
        <f t="array" ref="N23">MIN(IF((CountersTable[GroupByKey]=CountersTable[[#This Row],[GroupByKey]]),(CountersTable[GroupByKey]=CountersTable[[#This Row],[GroupByKey]])*CountersTable[RecordedValue]))</f>
        <v>52</v>
      </c>
      <c r="O23" cm="1">
        <f t="array" ref="O23">MAX(IF((CountersTable[GroupByKey]=CountersTable[[#This Row],[GroupByKey]]),(CountersTable[GroupByKey]=CountersTable[[#This Row],[GroupByKey]])*CountersTable[RecordedValue]))</f>
        <v>66</v>
      </c>
    </row>
    <row r="24" spans="1:15" x14ac:dyDescent="0.35">
      <c r="A24" t="s">
        <v>66</v>
      </c>
      <c r="B24" t="s">
        <v>69</v>
      </c>
      <c r="C24">
        <v>8</v>
      </c>
      <c r="D24" t="s">
        <v>95</v>
      </c>
      <c r="E24" t="s">
        <v>93</v>
      </c>
      <c r="F24" t="s">
        <v>94</v>
      </c>
      <c r="G24">
        <v>63</v>
      </c>
      <c r="H24" t="str">
        <f>CountersTable[[#This Row],[ProjectName]]&amp;CountersTable[[#This Row],[Name]]&amp;CountersTable[[#This Row],[Type]]&amp;CountersTable[[#This Row],[Source]]</f>
        <v>Unnamed ProjectcontaBebidaCountUser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60.8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3.7361710826693093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4" cm="1">
        <f t="array" ref="N24">MIN(IF((CountersTable[GroupByKey]=CountersTable[[#This Row],[GroupByKey]]),(CountersTable[GroupByKey]=CountersTable[[#This Row],[GroupByKey]])*CountersTable[RecordedValue]))</f>
        <v>52</v>
      </c>
      <c r="O24" cm="1">
        <f t="array" ref="O24">MAX(IF((CountersTable[GroupByKey]=CountersTable[[#This Row],[GroupByKey]]),(CountersTable[GroupByKey]=CountersTable[[#This Row],[GroupByKey]])*CountersTable[RecordedValue]))</f>
        <v>66</v>
      </c>
    </row>
    <row r="25" spans="1:15" x14ac:dyDescent="0.35">
      <c r="A25" t="s">
        <v>66</v>
      </c>
      <c r="B25" t="s">
        <v>69</v>
      </c>
      <c r="C25">
        <v>8</v>
      </c>
      <c r="D25" t="s">
        <v>96</v>
      </c>
      <c r="E25" t="s">
        <v>93</v>
      </c>
      <c r="F25" t="s">
        <v>94</v>
      </c>
      <c r="G25">
        <v>39</v>
      </c>
      <c r="H2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38.85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2.8152515030883167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25" cm="1">
        <f t="array" ref="N25">MIN(IF((CountersTable[GroupByKey]=CountersTable[[#This Row],[GroupByKey]]),(CountersTable[GroupByKey]=CountersTable[[#This Row],[GroupByKey]])*CountersTable[RecordedValue]))</f>
        <v>32</v>
      </c>
      <c r="O25" cm="1">
        <f t="array" ref="O25">MAX(IF((CountersTable[GroupByKey]=CountersTable[[#This Row],[GroupByKey]]),(CountersTable[GroupByKey]=CountersTable[[#This Row],[GroupByKey]])*CountersTable[RecordedValue]))</f>
        <v>44</v>
      </c>
    </row>
    <row r="26" spans="1:15" x14ac:dyDescent="0.35">
      <c r="A26" t="s">
        <v>66</v>
      </c>
      <c r="B26" t="s">
        <v>69</v>
      </c>
      <c r="C26">
        <v>9</v>
      </c>
      <c r="D26" t="s">
        <v>92</v>
      </c>
      <c r="E26" t="s">
        <v>93</v>
      </c>
      <c r="F26" t="s">
        <v>94</v>
      </c>
      <c r="G26">
        <v>64</v>
      </c>
      <c r="H26" t="str">
        <f>CountersTable[[#This Row],[ProjectName]]&amp;CountersTable[[#This Row],[Name]]&amp;CountersTable[[#This Row],[Type]]&amp;CountersTable[[#This Row],[Source]]</f>
        <v>Unnamed ProjectccontaCoposLavadosCountUser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60.8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3.7361710826693093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6" cm="1">
        <f t="array" ref="N26">MIN(IF((CountersTable[GroupByKey]=CountersTable[[#This Row],[GroupByKey]]),(CountersTable[GroupByKey]=CountersTable[[#This Row],[GroupByKey]])*CountersTable[RecordedValue]))</f>
        <v>52</v>
      </c>
      <c r="O26" cm="1">
        <f t="array" ref="O26">MAX(IF((CountersTable[GroupByKey]=CountersTable[[#This Row],[GroupByKey]]),(CountersTable[GroupByKey]=CountersTable[[#This Row],[GroupByKey]])*CountersTable[RecordedValue]))</f>
        <v>66</v>
      </c>
    </row>
    <row r="27" spans="1:15" x14ac:dyDescent="0.35">
      <c r="A27" t="s">
        <v>66</v>
      </c>
      <c r="B27" t="s">
        <v>69</v>
      </c>
      <c r="C27">
        <v>9</v>
      </c>
      <c r="D27" t="s">
        <v>95</v>
      </c>
      <c r="E27" t="s">
        <v>93</v>
      </c>
      <c r="F27" t="s">
        <v>94</v>
      </c>
      <c r="G27">
        <v>64</v>
      </c>
      <c r="H27" t="str">
        <f>CountersTable[[#This Row],[ProjectName]]&amp;CountersTable[[#This Row],[Name]]&amp;CountersTable[[#This Row],[Type]]&amp;CountersTable[[#This Row],[Source]]</f>
        <v>Unnamed ProjectcontaBebidaCountUser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60.8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3.7361710826693093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7" cm="1">
        <f t="array" ref="N27">MIN(IF((CountersTable[GroupByKey]=CountersTable[[#This Row],[GroupByKey]]),(CountersTable[GroupByKey]=CountersTable[[#This Row],[GroupByKey]])*CountersTable[RecordedValue]))</f>
        <v>52</v>
      </c>
      <c r="O27" cm="1">
        <f t="array" ref="O27">MAX(IF((CountersTable[GroupByKey]=CountersTable[[#This Row],[GroupByKey]]),(CountersTable[GroupByKey]=CountersTable[[#This Row],[GroupByKey]])*CountersTable[RecordedValue]))</f>
        <v>66</v>
      </c>
    </row>
    <row r="28" spans="1:15" x14ac:dyDescent="0.35">
      <c r="A28" t="s">
        <v>66</v>
      </c>
      <c r="B28" t="s">
        <v>69</v>
      </c>
      <c r="C28">
        <v>9</v>
      </c>
      <c r="D28" t="s">
        <v>96</v>
      </c>
      <c r="E28" t="s">
        <v>93</v>
      </c>
      <c r="F28" t="s">
        <v>94</v>
      </c>
      <c r="G28">
        <v>41</v>
      </c>
      <c r="H2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38.85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2.8152515030883167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28" cm="1">
        <f t="array" ref="N28">MIN(IF((CountersTable[GroupByKey]=CountersTable[[#This Row],[GroupByKey]]),(CountersTable[GroupByKey]=CountersTable[[#This Row],[GroupByKey]])*CountersTable[RecordedValue]))</f>
        <v>32</v>
      </c>
      <c r="O28" cm="1">
        <f t="array" ref="O28">MAX(IF((CountersTable[GroupByKey]=CountersTable[[#This Row],[GroupByKey]]),(CountersTable[GroupByKey]=CountersTable[[#This Row],[GroupByKey]])*CountersTable[RecordedValue]))</f>
        <v>44</v>
      </c>
    </row>
    <row r="29" spans="1:15" x14ac:dyDescent="0.35">
      <c r="A29" t="s">
        <v>66</v>
      </c>
      <c r="B29" t="s">
        <v>69</v>
      </c>
      <c r="C29">
        <v>10</v>
      </c>
      <c r="D29" t="s">
        <v>92</v>
      </c>
      <c r="E29" t="s">
        <v>93</v>
      </c>
      <c r="F29" t="s">
        <v>94</v>
      </c>
      <c r="G29">
        <v>63</v>
      </c>
      <c r="H29" t="str">
        <f>CountersTable[[#This Row],[ProjectName]]&amp;CountersTable[[#This Row],[Name]]&amp;CountersTable[[#This Row],[Type]]&amp;CountersTable[[#This Row],[Source]]</f>
        <v>Unnamed ProjectccontaCoposLavadosCountUser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60.8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3.7361710826693093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29" cm="1">
        <f t="array" ref="N29">MIN(IF((CountersTable[GroupByKey]=CountersTable[[#This Row],[GroupByKey]]),(CountersTable[GroupByKey]=CountersTable[[#This Row],[GroupByKey]])*CountersTable[RecordedValue]))</f>
        <v>52</v>
      </c>
      <c r="O29" cm="1">
        <f t="array" ref="O29">MAX(IF((CountersTable[GroupByKey]=CountersTable[[#This Row],[GroupByKey]]),(CountersTable[GroupByKey]=CountersTable[[#This Row],[GroupByKey]])*CountersTable[RecordedValue]))</f>
        <v>66</v>
      </c>
    </row>
    <row r="30" spans="1:15" x14ac:dyDescent="0.35">
      <c r="A30" t="s">
        <v>66</v>
      </c>
      <c r="B30" t="s">
        <v>69</v>
      </c>
      <c r="C30">
        <v>10</v>
      </c>
      <c r="D30" t="s">
        <v>95</v>
      </c>
      <c r="E30" t="s">
        <v>93</v>
      </c>
      <c r="F30" t="s">
        <v>94</v>
      </c>
      <c r="G30">
        <v>63</v>
      </c>
      <c r="H30" t="str">
        <f>CountersTable[[#This Row],[ProjectName]]&amp;CountersTable[[#This Row],[Name]]&amp;CountersTable[[#This Row],[Type]]&amp;CountersTable[[#This Row],[Source]]</f>
        <v>Unnamed ProjectcontaBebidaCountUser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60.8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3.7361710826693093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0" cm="1">
        <f t="array" ref="N30">MIN(IF((CountersTable[GroupByKey]=CountersTable[[#This Row],[GroupByKey]]),(CountersTable[GroupByKey]=CountersTable[[#This Row],[GroupByKey]])*CountersTable[RecordedValue]))</f>
        <v>52</v>
      </c>
      <c r="O30" cm="1">
        <f t="array" ref="O30">MAX(IF((CountersTable[GroupByKey]=CountersTable[[#This Row],[GroupByKey]]),(CountersTable[GroupByKey]=CountersTable[[#This Row],[GroupByKey]])*CountersTable[RecordedValue]))</f>
        <v>66</v>
      </c>
    </row>
    <row r="31" spans="1:15" x14ac:dyDescent="0.35">
      <c r="A31" t="s">
        <v>66</v>
      </c>
      <c r="B31" t="s">
        <v>69</v>
      </c>
      <c r="C31">
        <v>10</v>
      </c>
      <c r="D31" t="s">
        <v>96</v>
      </c>
      <c r="E31" t="s">
        <v>93</v>
      </c>
      <c r="F31" t="s">
        <v>94</v>
      </c>
      <c r="G31">
        <v>42</v>
      </c>
      <c r="H3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38.85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2.8152515030883167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31" cm="1">
        <f t="array" ref="N31">MIN(IF((CountersTable[GroupByKey]=CountersTable[[#This Row],[GroupByKey]]),(CountersTable[GroupByKey]=CountersTable[[#This Row],[GroupByKey]])*CountersTable[RecordedValue]))</f>
        <v>32</v>
      </c>
      <c r="O31" cm="1">
        <f t="array" ref="O31">MAX(IF((CountersTable[GroupByKey]=CountersTable[[#This Row],[GroupByKey]]),(CountersTable[GroupByKey]=CountersTable[[#This Row],[GroupByKey]])*CountersTable[RecordedValue]))</f>
        <v>44</v>
      </c>
    </row>
    <row r="32" spans="1:15" x14ac:dyDescent="0.35">
      <c r="A32" t="s">
        <v>66</v>
      </c>
      <c r="B32" t="s">
        <v>69</v>
      </c>
      <c r="C32">
        <v>11</v>
      </c>
      <c r="D32" t="s">
        <v>92</v>
      </c>
      <c r="E32" t="s">
        <v>93</v>
      </c>
      <c r="F32" t="s">
        <v>94</v>
      </c>
      <c r="G32">
        <v>66</v>
      </c>
      <c r="H32" t="str">
        <f>CountersTable[[#This Row],[ProjectName]]&amp;CountersTable[[#This Row],[Name]]&amp;CountersTable[[#This Row],[Type]]&amp;CountersTable[[#This Row],[Source]]</f>
        <v>Unnamed ProjectccontaCoposLavadosCountUser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60.8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3.7361710826693093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2" cm="1">
        <f t="array" ref="N32">MIN(IF((CountersTable[GroupByKey]=CountersTable[[#This Row],[GroupByKey]]),(CountersTable[GroupByKey]=CountersTable[[#This Row],[GroupByKey]])*CountersTable[RecordedValue]))</f>
        <v>52</v>
      </c>
      <c r="O32" cm="1">
        <f t="array" ref="O32">MAX(IF((CountersTable[GroupByKey]=CountersTable[[#This Row],[GroupByKey]]),(CountersTable[GroupByKey]=CountersTable[[#This Row],[GroupByKey]])*CountersTable[RecordedValue]))</f>
        <v>66</v>
      </c>
    </row>
    <row r="33" spans="1:15" x14ac:dyDescent="0.35">
      <c r="A33" t="s">
        <v>66</v>
      </c>
      <c r="B33" t="s">
        <v>69</v>
      </c>
      <c r="C33">
        <v>11</v>
      </c>
      <c r="D33" t="s">
        <v>95</v>
      </c>
      <c r="E33" t="s">
        <v>93</v>
      </c>
      <c r="F33" t="s">
        <v>94</v>
      </c>
      <c r="G33">
        <v>66</v>
      </c>
      <c r="H33" t="str">
        <f>CountersTable[[#This Row],[ProjectName]]&amp;CountersTable[[#This Row],[Name]]&amp;CountersTable[[#This Row],[Type]]&amp;CountersTable[[#This Row],[Source]]</f>
        <v>Unnamed ProjectcontaBebidaCountUser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60.8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3.7361710826693093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3" cm="1">
        <f t="array" ref="N33">MIN(IF((CountersTable[GroupByKey]=CountersTable[[#This Row],[GroupByKey]]),(CountersTable[GroupByKey]=CountersTable[[#This Row],[GroupByKey]])*CountersTable[RecordedValue]))</f>
        <v>52</v>
      </c>
      <c r="O33" cm="1">
        <f t="array" ref="O33">MAX(IF((CountersTable[GroupByKey]=CountersTable[[#This Row],[GroupByKey]]),(CountersTable[GroupByKey]=CountersTable[[#This Row],[GroupByKey]])*CountersTable[RecordedValue]))</f>
        <v>66</v>
      </c>
    </row>
    <row r="34" spans="1:15" x14ac:dyDescent="0.35">
      <c r="A34" t="s">
        <v>66</v>
      </c>
      <c r="B34" t="s">
        <v>69</v>
      </c>
      <c r="C34">
        <v>11</v>
      </c>
      <c r="D34" t="s">
        <v>96</v>
      </c>
      <c r="E34" t="s">
        <v>93</v>
      </c>
      <c r="F34" t="s">
        <v>94</v>
      </c>
      <c r="G34">
        <v>40</v>
      </c>
      <c r="H3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38.85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2.8152515030883167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34" cm="1">
        <f t="array" ref="N34">MIN(IF((CountersTable[GroupByKey]=CountersTable[[#This Row],[GroupByKey]]),(CountersTable[GroupByKey]=CountersTable[[#This Row],[GroupByKey]])*CountersTable[RecordedValue]))</f>
        <v>32</v>
      </c>
      <c r="O34" cm="1">
        <f t="array" ref="O34">MAX(IF((CountersTable[GroupByKey]=CountersTable[[#This Row],[GroupByKey]]),(CountersTable[GroupByKey]=CountersTable[[#This Row],[GroupByKey]])*CountersTable[RecordedValue]))</f>
        <v>44</v>
      </c>
    </row>
    <row r="35" spans="1:15" x14ac:dyDescent="0.35">
      <c r="A35" t="s">
        <v>66</v>
      </c>
      <c r="B35" t="s">
        <v>69</v>
      </c>
      <c r="C35">
        <v>12</v>
      </c>
      <c r="D35" t="s">
        <v>92</v>
      </c>
      <c r="E35" t="s">
        <v>93</v>
      </c>
      <c r="F35" t="s">
        <v>94</v>
      </c>
      <c r="G35">
        <v>62</v>
      </c>
      <c r="H35" t="str">
        <f>CountersTable[[#This Row],[ProjectName]]&amp;CountersTable[[#This Row],[Name]]&amp;CountersTable[[#This Row],[Type]]&amp;CountersTable[[#This Row],[Source]]</f>
        <v>Unnamed ProjectccontaCoposLavadosCountUser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60.8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3.7361710826693093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5" cm="1">
        <f t="array" ref="N35">MIN(IF((CountersTable[GroupByKey]=CountersTable[[#This Row],[GroupByKey]]),(CountersTable[GroupByKey]=CountersTable[[#This Row],[GroupByKey]])*CountersTable[RecordedValue]))</f>
        <v>52</v>
      </c>
      <c r="O35" cm="1">
        <f t="array" ref="O35">MAX(IF((CountersTable[GroupByKey]=CountersTable[[#This Row],[GroupByKey]]),(CountersTable[GroupByKey]=CountersTable[[#This Row],[GroupByKey]])*CountersTable[RecordedValue]))</f>
        <v>66</v>
      </c>
    </row>
    <row r="36" spans="1:15" x14ac:dyDescent="0.35">
      <c r="A36" t="s">
        <v>66</v>
      </c>
      <c r="B36" t="s">
        <v>69</v>
      </c>
      <c r="C36">
        <v>12</v>
      </c>
      <c r="D36" t="s">
        <v>95</v>
      </c>
      <c r="E36" t="s">
        <v>93</v>
      </c>
      <c r="F36" t="s">
        <v>94</v>
      </c>
      <c r="G36">
        <v>62</v>
      </c>
      <c r="H36" t="str">
        <f>CountersTable[[#This Row],[ProjectName]]&amp;CountersTable[[#This Row],[Name]]&amp;CountersTable[[#This Row],[Type]]&amp;CountersTable[[#This Row],[Source]]</f>
        <v>Unnamed ProjectcontaBebidaCountUser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60.8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3.7361710826693093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6" cm="1">
        <f t="array" ref="N36">MIN(IF((CountersTable[GroupByKey]=CountersTable[[#This Row],[GroupByKey]]),(CountersTable[GroupByKey]=CountersTable[[#This Row],[GroupByKey]])*CountersTable[RecordedValue]))</f>
        <v>52</v>
      </c>
      <c r="O36" cm="1">
        <f t="array" ref="O36">MAX(IF((CountersTable[GroupByKey]=CountersTable[[#This Row],[GroupByKey]]),(CountersTable[GroupByKey]=CountersTable[[#This Row],[GroupByKey]])*CountersTable[RecordedValue]))</f>
        <v>66</v>
      </c>
    </row>
    <row r="37" spans="1:15" x14ac:dyDescent="0.35">
      <c r="A37" t="s">
        <v>66</v>
      </c>
      <c r="B37" t="s">
        <v>69</v>
      </c>
      <c r="C37">
        <v>12</v>
      </c>
      <c r="D37" t="s">
        <v>96</v>
      </c>
      <c r="E37" t="s">
        <v>93</v>
      </c>
      <c r="F37" t="s">
        <v>94</v>
      </c>
      <c r="G37">
        <v>39</v>
      </c>
      <c r="H3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38.85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2.8152515030883167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37" cm="1">
        <f t="array" ref="N37">MIN(IF((CountersTable[GroupByKey]=CountersTable[[#This Row],[GroupByKey]]),(CountersTable[GroupByKey]=CountersTable[[#This Row],[GroupByKey]])*CountersTable[RecordedValue]))</f>
        <v>32</v>
      </c>
      <c r="O37" cm="1">
        <f t="array" ref="O37">MAX(IF((CountersTable[GroupByKey]=CountersTable[[#This Row],[GroupByKey]]),(CountersTable[GroupByKey]=CountersTable[[#This Row],[GroupByKey]])*CountersTable[RecordedValue]))</f>
        <v>44</v>
      </c>
    </row>
    <row r="38" spans="1:15" x14ac:dyDescent="0.35">
      <c r="A38" t="s">
        <v>66</v>
      </c>
      <c r="B38" t="s">
        <v>69</v>
      </c>
      <c r="C38">
        <v>13</v>
      </c>
      <c r="D38" t="s">
        <v>92</v>
      </c>
      <c r="E38" t="s">
        <v>93</v>
      </c>
      <c r="F38" t="s">
        <v>94</v>
      </c>
      <c r="G38">
        <v>64</v>
      </c>
      <c r="H38" t="str">
        <f>CountersTable[[#This Row],[ProjectName]]&amp;CountersTable[[#This Row],[Name]]&amp;CountersTable[[#This Row],[Type]]&amp;CountersTable[[#This Row],[Source]]</f>
        <v>Unnamed ProjectccontaCoposLavadosCountUser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60.8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3.7361710826693093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8" cm="1">
        <f t="array" ref="N38">MIN(IF((CountersTable[GroupByKey]=CountersTable[[#This Row],[GroupByKey]]),(CountersTable[GroupByKey]=CountersTable[[#This Row],[GroupByKey]])*CountersTable[RecordedValue]))</f>
        <v>52</v>
      </c>
      <c r="O38" cm="1">
        <f t="array" ref="O38">MAX(IF((CountersTable[GroupByKey]=CountersTable[[#This Row],[GroupByKey]]),(CountersTable[GroupByKey]=CountersTable[[#This Row],[GroupByKey]])*CountersTable[RecordedValue]))</f>
        <v>66</v>
      </c>
    </row>
    <row r="39" spans="1:15" x14ac:dyDescent="0.35">
      <c r="A39" t="s">
        <v>66</v>
      </c>
      <c r="B39" t="s">
        <v>69</v>
      </c>
      <c r="C39">
        <v>13</v>
      </c>
      <c r="D39" t="s">
        <v>95</v>
      </c>
      <c r="E39" t="s">
        <v>93</v>
      </c>
      <c r="F39" t="s">
        <v>94</v>
      </c>
      <c r="G39">
        <v>64</v>
      </c>
      <c r="H39" t="str">
        <f>CountersTable[[#This Row],[ProjectName]]&amp;CountersTable[[#This Row],[Name]]&amp;CountersTable[[#This Row],[Type]]&amp;CountersTable[[#This Row],[Source]]</f>
        <v>Unnamed ProjectcontaBebidaCountUser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60.8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3.7361710826693093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39" cm="1">
        <f t="array" ref="N39">MIN(IF((CountersTable[GroupByKey]=CountersTable[[#This Row],[GroupByKey]]),(CountersTable[GroupByKey]=CountersTable[[#This Row],[GroupByKey]])*CountersTable[RecordedValue]))</f>
        <v>52</v>
      </c>
      <c r="O39" cm="1">
        <f t="array" ref="O39">MAX(IF((CountersTable[GroupByKey]=CountersTable[[#This Row],[GroupByKey]]),(CountersTable[GroupByKey]=CountersTable[[#This Row],[GroupByKey]])*CountersTable[RecordedValue]))</f>
        <v>66</v>
      </c>
    </row>
    <row r="40" spans="1:15" x14ac:dyDescent="0.35">
      <c r="A40" t="s">
        <v>66</v>
      </c>
      <c r="B40" t="s">
        <v>69</v>
      </c>
      <c r="C40">
        <v>13</v>
      </c>
      <c r="D40" t="s">
        <v>96</v>
      </c>
      <c r="E40" t="s">
        <v>93</v>
      </c>
      <c r="F40" t="s">
        <v>94</v>
      </c>
      <c r="G40">
        <v>39</v>
      </c>
      <c r="H4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38.85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2.8152515030883167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40" cm="1">
        <f t="array" ref="N40">MIN(IF((CountersTable[GroupByKey]=CountersTable[[#This Row],[GroupByKey]]),(CountersTable[GroupByKey]=CountersTable[[#This Row],[GroupByKey]])*CountersTable[RecordedValue]))</f>
        <v>32</v>
      </c>
      <c r="O40" cm="1">
        <f t="array" ref="O40">MAX(IF((CountersTable[GroupByKey]=CountersTable[[#This Row],[GroupByKey]]),(CountersTable[GroupByKey]=CountersTable[[#This Row],[GroupByKey]])*CountersTable[RecordedValue]))</f>
        <v>44</v>
      </c>
    </row>
    <row r="41" spans="1:15" x14ac:dyDescent="0.35">
      <c r="A41" t="s">
        <v>66</v>
      </c>
      <c r="B41" t="s">
        <v>69</v>
      </c>
      <c r="C41">
        <v>14</v>
      </c>
      <c r="D41" t="s">
        <v>92</v>
      </c>
      <c r="E41" t="s">
        <v>93</v>
      </c>
      <c r="F41" t="s">
        <v>94</v>
      </c>
      <c r="G41">
        <v>62</v>
      </c>
      <c r="H41" t="str">
        <f>CountersTable[[#This Row],[ProjectName]]&amp;CountersTable[[#This Row],[Name]]&amp;CountersTable[[#This Row],[Type]]&amp;CountersTable[[#This Row],[Source]]</f>
        <v>Unnamed ProjectccontaCoposLavadosCountUser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60.8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3.7361710826693093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41" cm="1">
        <f t="array" ref="N41">MIN(IF((CountersTable[GroupByKey]=CountersTable[[#This Row],[GroupByKey]]),(CountersTable[GroupByKey]=CountersTable[[#This Row],[GroupByKey]])*CountersTable[RecordedValue]))</f>
        <v>52</v>
      </c>
      <c r="O41" cm="1">
        <f t="array" ref="O41">MAX(IF((CountersTable[GroupByKey]=CountersTable[[#This Row],[GroupByKey]]),(CountersTable[GroupByKey]=CountersTable[[#This Row],[GroupByKey]])*CountersTable[RecordedValue]))</f>
        <v>66</v>
      </c>
    </row>
    <row r="42" spans="1:15" x14ac:dyDescent="0.35">
      <c r="A42" t="s">
        <v>66</v>
      </c>
      <c r="B42" t="s">
        <v>69</v>
      </c>
      <c r="C42">
        <v>14</v>
      </c>
      <c r="D42" t="s">
        <v>95</v>
      </c>
      <c r="E42" t="s">
        <v>93</v>
      </c>
      <c r="F42" t="s">
        <v>94</v>
      </c>
      <c r="G42">
        <v>62</v>
      </c>
      <c r="H42" t="str">
        <f>CountersTable[[#This Row],[ProjectName]]&amp;CountersTable[[#This Row],[Name]]&amp;CountersTable[[#This Row],[Type]]&amp;CountersTable[[#This Row],[Source]]</f>
        <v>Unnamed ProjectcontaBebidaCountUser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60.8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3.7361710826693093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42" cm="1">
        <f t="array" ref="N42">MIN(IF((CountersTable[GroupByKey]=CountersTable[[#This Row],[GroupByKey]]),(CountersTable[GroupByKey]=CountersTable[[#This Row],[GroupByKey]])*CountersTable[RecordedValue]))</f>
        <v>52</v>
      </c>
      <c r="O42" cm="1">
        <f t="array" ref="O42">MAX(IF((CountersTable[GroupByKey]=CountersTable[[#This Row],[GroupByKey]]),(CountersTable[GroupByKey]=CountersTable[[#This Row],[GroupByKey]])*CountersTable[RecordedValue]))</f>
        <v>66</v>
      </c>
    </row>
    <row r="43" spans="1:15" x14ac:dyDescent="0.35">
      <c r="A43" t="s">
        <v>66</v>
      </c>
      <c r="B43" t="s">
        <v>69</v>
      </c>
      <c r="C43">
        <v>14</v>
      </c>
      <c r="D43" t="s">
        <v>96</v>
      </c>
      <c r="E43" t="s">
        <v>93</v>
      </c>
      <c r="F43" t="s">
        <v>94</v>
      </c>
      <c r="G43">
        <v>41</v>
      </c>
      <c r="H4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38.85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2.8152515030883167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43" cm="1">
        <f t="array" ref="N43">MIN(IF((CountersTable[GroupByKey]=CountersTable[[#This Row],[GroupByKey]]),(CountersTable[GroupByKey]=CountersTable[[#This Row],[GroupByKey]])*CountersTable[RecordedValue]))</f>
        <v>32</v>
      </c>
      <c r="O43" cm="1">
        <f t="array" ref="O43">MAX(IF((CountersTable[GroupByKey]=CountersTable[[#This Row],[GroupByKey]]),(CountersTable[GroupByKey]=CountersTable[[#This Row],[GroupByKey]])*CountersTable[RecordedValue]))</f>
        <v>44</v>
      </c>
    </row>
    <row r="44" spans="1:15" x14ac:dyDescent="0.35">
      <c r="A44" t="s">
        <v>66</v>
      </c>
      <c r="B44" t="s">
        <v>69</v>
      </c>
      <c r="C44">
        <v>15</v>
      </c>
      <c r="D44" t="s">
        <v>92</v>
      </c>
      <c r="E44" t="s">
        <v>93</v>
      </c>
      <c r="F44" t="s">
        <v>94</v>
      </c>
      <c r="G44">
        <v>56</v>
      </c>
      <c r="H44" t="str">
        <f>CountersTable[[#This Row],[ProjectName]]&amp;CountersTable[[#This Row],[Name]]&amp;CountersTable[[#This Row],[Type]]&amp;CountersTable[[#This Row],[Source]]</f>
        <v>Unnamed ProjectccontaCoposLavadosCountUser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60.8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3.7361710826693093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44" cm="1">
        <f t="array" ref="N44">MIN(IF((CountersTable[GroupByKey]=CountersTable[[#This Row],[GroupByKey]]),(CountersTable[GroupByKey]=CountersTable[[#This Row],[GroupByKey]])*CountersTable[RecordedValue]))</f>
        <v>52</v>
      </c>
      <c r="O44" cm="1">
        <f t="array" ref="O44">MAX(IF((CountersTable[GroupByKey]=CountersTable[[#This Row],[GroupByKey]]),(CountersTable[GroupByKey]=CountersTable[[#This Row],[GroupByKey]])*CountersTable[RecordedValue]))</f>
        <v>66</v>
      </c>
    </row>
    <row r="45" spans="1:15" x14ac:dyDescent="0.35">
      <c r="A45" t="s">
        <v>66</v>
      </c>
      <c r="B45" t="s">
        <v>69</v>
      </c>
      <c r="C45">
        <v>15</v>
      </c>
      <c r="D45" t="s">
        <v>95</v>
      </c>
      <c r="E45" t="s">
        <v>93</v>
      </c>
      <c r="F45" t="s">
        <v>94</v>
      </c>
      <c r="G45">
        <v>56</v>
      </c>
      <c r="H45" t="str">
        <f>CountersTable[[#This Row],[ProjectName]]&amp;CountersTable[[#This Row],[Name]]&amp;CountersTable[[#This Row],[Type]]&amp;CountersTable[[#This Row],[Source]]</f>
        <v>Unnamed ProjectcontaBebidaCountUser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60.8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3.7361710826693093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45" cm="1">
        <f t="array" ref="N45">MIN(IF((CountersTable[GroupByKey]=CountersTable[[#This Row],[GroupByKey]]),(CountersTable[GroupByKey]=CountersTable[[#This Row],[GroupByKey]])*CountersTable[RecordedValue]))</f>
        <v>52</v>
      </c>
      <c r="O45" cm="1">
        <f t="array" ref="O45">MAX(IF((CountersTable[GroupByKey]=CountersTable[[#This Row],[GroupByKey]]),(CountersTable[GroupByKey]=CountersTable[[#This Row],[GroupByKey]])*CountersTable[RecordedValue]))</f>
        <v>66</v>
      </c>
    </row>
    <row r="46" spans="1:15" x14ac:dyDescent="0.35">
      <c r="A46" t="s">
        <v>66</v>
      </c>
      <c r="B46" t="s">
        <v>69</v>
      </c>
      <c r="C46">
        <v>15</v>
      </c>
      <c r="D46" t="s">
        <v>96</v>
      </c>
      <c r="E46" t="s">
        <v>93</v>
      </c>
      <c r="F46" t="s">
        <v>94</v>
      </c>
      <c r="G46">
        <v>32</v>
      </c>
      <c r="H4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38.85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2.8152515030883167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46" cm="1">
        <f t="array" ref="N46">MIN(IF((CountersTable[GroupByKey]=CountersTable[[#This Row],[GroupByKey]]),(CountersTable[GroupByKey]=CountersTable[[#This Row],[GroupByKey]])*CountersTable[RecordedValue]))</f>
        <v>32</v>
      </c>
      <c r="O46" cm="1">
        <f t="array" ref="O46">MAX(IF((CountersTable[GroupByKey]=CountersTable[[#This Row],[GroupByKey]]),(CountersTable[GroupByKey]=CountersTable[[#This Row],[GroupByKey]])*CountersTable[RecordedValue]))</f>
        <v>44</v>
      </c>
    </row>
    <row r="47" spans="1:15" x14ac:dyDescent="0.35">
      <c r="A47" t="s">
        <v>66</v>
      </c>
      <c r="B47" t="s">
        <v>69</v>
      </c>
      <c r="C47">
        <v>16</v>
      </c>
      <c r="D47" t="s">
        <v>92</v>
      </c>
      <c r="E47" t="s">
        <v>93</v>
      </c>
      <c r="F47" t="s">
        <v>94</v>
      </c>
      <c r="G47">
        <v>65</v>
      </c>
      <c r="H47" t="str">
        <f>CountersTable[[#This Row],[ProjectName]]&amp;CountersTable[[#This Row],[Name]]&amp;CountersTable[[#This Row],[Type]]&amp;CountersTable[[#This Row],[Source]]</f>
        <v>Unnamed ProjectccontaCoposLavadosCountUser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60.8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3.7361710826693093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47" cm="1">
        <f t="array" ref="N47">MIN(IF((CountersTable[GroupByKey]=CountersTable[[#This Row],[GroupByKey]]),(CountersTable[GroupByKey]=CountersTable[[#This Row],[GroupByKey]])*CountersTable[RecordedValue]))</f>
        <v>52</v>
      </c>
      <c r="O47" cm="1">
        <f t="array" ref="O47">MAX(IF((CountersTable[GroupByKey]=CountersTable[[#This Row],[GroupByKey]]),(CountersTable[GroupByKey]=CountersTable[[#This Row],[GroupByKey]])*CountersTable[RecordedValue]))</f>
        <v>66</v>
      </c>
    </row>
    <row r="48" spans="1:15" x14ac:dyDescent="0.35">
      <c r="A48" t="s">
        <v>66</v>
      </c>
      <c r="B48" t="s">
        <v>69</v>
      </c>
      <c r="C48">
        <v>16</v>
      </c>
      <c r="D48" t="s">
        <v>95</v>
      </c>
      <c r="E48" t="s">
        <v>93</v>
      </c>
      <c r="F48" t="s">
        <v>94</v>
      </c>
      <c r="G48">
        <v>65</v>
      </c>
      <c r="H48" t="str">
        <f>CountersTable[[#This Row],[ProjectName]]&amp;CountersTable[[#This Row],[Name]]&amp;CountersTable[[#This Row],[Type]]&amp;CountersTable[[#This Row],[Source]]</f>
        <v>Unnamed ProjectcontaBebidaCountUser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60.8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3.7361710826693093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48" cm="1">
        <f t="array" ref="N48">MIN(IF((CountersTable[GroupByKey]=CountersTable[[#This Row],[GroupByKey]]),(CountersTable[GroupByKey]=CountersTable[[#This Row],[GroupByKey]])*CountersTable[RecordedValue]))</f>
        <v>52</v>
      </c>
      <c r="O48" cm="1">
        <f t="array" ref="O48">MAX(IF((CountersTable[GroupByKey]=CountersTable[[#This Row],[GroupByKey]]),(CountersTable[GroupByKey]=CountersTable[[#This Row],[GroupByKey]])*CountersTable[RecordedValue]))</f>
        <v>66</v>
      </c>
    </row>
    <row r="49" spans="1:15" x14ac:dyDescent="0.35">
      <c r="A49" t="s">
        <v>66</v>
      </c>
      <c r="B49" t="s">
        <v>69</v>
      </c>
      <c r="C49">
        <v>16</v>
      </c>
      <c r="D49" t="s">
        <v>96</v>
      </c>
      <c r="E49" t="s">
        <v>93</v>
      </c>
      <c r="F49" t="s">
        <v>94</v>
      </c>
      <c r="G49">
        <v>36</v>
      </c>
      <c r="H4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38.85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2.8152515030883167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49" cm="1">
        <f t="array" ref="N49">MIN(IF((CountersTable[GroupByKey]=CountersTable[[#This Row],[GroupByKey]]),(CountersTable[GroupByKey]=CountersTable[[#This Row],[GroupByKey]])*CountersTable[RecordedValue]))</f>
        <v>32</v>
      </c>
      <c r="O49" cm="1">
        <f t="array" ref="O49">MAX(IF((CountersTable[GroupByKey]=CountersTable[[#This Row],[GroupByKey]]),(CountersTable[GroupByKey]=CountersTable[[#This Row],[GroupByKey]])*CountersTable[RecordedValue]))</f>
        <v>44</v>
      </c>
    </row>
    <row r="50" spans="1:15" x14ac:dyDescent="0.35">
      <c r="A50" t="s">
        <v>66</v>
      </c>
      <c r="B50" t="s">
        <v>69</v>
      </c>
      <c r="C50">
        <v>17</v>
      </c>
      <c r="D50" t="s">
        <v>92</v>
      </c>
      <c r="E50" t="s">
        <v>93</v>
      </c>
      <c r="F50" t="s">
        <v>94</v>
      </c>
      <c r="G50">
        <v>58</v>
      </c>
      <c r="H50" t="str">
        <f>CountersTable[[#This Row],[ProjectName]]&amp;CountersTable[[#This Row],[Name]]&amp;CountersTable[[#This Row],[Type]]&amp;CountersTable[[#This Row],[Source]]</f>
        <v>Unnamed ProjectccontaCoposLavadosCountUser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60.8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3.7361710826693093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0" cm="1">
        <f t="array" ref="N50">MIN(IF((CountersTable[GroupByKey]=CountersTable[[#This Row],[GroupByKey]]),(CountersTable[GroupByKey]=CountersTable[[#This Row],[GroupByKey]])*CountersTable[RecordedValue]))</f>
        <v>52</v>
      </c>
      <c r="O50" cm="1">
        <f t="array" ref="O50">MAX(IF((CountersTable[GroupByKey]=CountersTable[[#This Row],[GroupByKey]]),(CountersTable[GroupByKey]=CountersTable[[#This Row],[GroupByKey]])*CountersTable[RecordedValue]))</f>
        <v>66</v>
      </c>
    </row>
    <row r="51" spans="1:15" x14ac:dyDescent="0.35">
      <c r="A51" t="s">
        <v>66</v>
      </c>
      <c r="B51" t="s">
        <v>69</v>
      </c>
      <c r="C51">
        <v>17</v>
      </c>
      <c r="D51" t="s">
        <v>95</v>
      </c>
      <c r="E51" t="s">
        <v>93</v>
      </c>
      <c r="F51" t="s">
        <v>94</v>
      </c>
      <c r="G51">
        <v>58</v>
      </c>
      <c r="H51" t="str">
        <f>CountersTable[[#This Row],[ProjectName]]&amp;CountersTable[[#This Row],[Name]]&amp;CountersTable[[#This Row],[Type]]&amp;CountersTable[[#This Row],[Source]]</f>
        <v>Unnamed ProjectcontaBebidaCountUser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60.8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3.7361710826693093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1" cm="1">
        <f t="array" ref="N51">MIN(IF((CountersTable[GroupByKey]=CountersTable[[#This Row],[GroupByKey]]),(CountersTable[GroupByKey]=CountersTable[[#This Row],[GroupByKey]])*CountersTable[RecordedValue]))</f>
        <v>52</v>
      </c>
      <c r="O51" cm="1">
        <f t="array" ref="O51">MAX(IF((CountersTable[GroupByKey]=CountersTable[[#This Row],[GroupByKey]]),(CountersTable[GroupByKey]=CountersTable[[#This Row],[GroupByKey]])*CountersTable[RecordedValue]))</f>
        <v>66</v>
      </c>
    </row>
    <row r="52" spans="1:15" x14ac:dyDescent="0.35">
      <c r="A52" t="s">
        <v>66</v>
      </c>
      <c r="B52" t="s">
        <v>69</v>
      </c>
      <c r="C52">
        <v>17</v>
      </c>
      <c r="D52" t="s">
        <v>96</v>
      </c>
      <c r="E52" t="s">
        <v>93</v>
      </c>
      <c r="F52" t="s">
        <v>94</v>
      </c>
      <c r="G52">
        <v>34</v>
      </c>
      <c r="H5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38.85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2.8152515030883167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52" cm="1">
        <f t="array" ref="N52">MIN(IF((CountersTable[GroupByKey]=CountersTable[[#This Row],[GroupByKey]]),(CountersTable[GroupByKey]=CountersTable[[#This Row],[GroupByKey]])*CountersTable[RecordedValue]))</f>
        <v>32</v>
      </c>
      <c r="O52" cm="1">
        <f t="array" ref="O52">MAX(IF((CountersTable[GroupByKey]=CountersTable[[#This Row],[GroupByKey]]),(CountersTable[GroupByKey]=CountersTable[[#This Row],[GroupByKey]])*CountersTable[RecordedValue]))</f>
        <v>44</v>
      </c>
    </row>
    <row r="53" spans="1:15" x14ac:dyDescent="0.35">
      <c r="A53" t="s">
        <v>66</v>
      </c>
      <c r="B53" t="s">
        <v>69</v>
      </c>
      <c r="C53">
        <v>18</v>
      </c>
      <c r="D53" t="s">
        <v>92</v>
      </c>
      <c r="E53" t="s">
        <v>93</v>
      </c>
      <c r="F53" t="s">
        <v>94</v>
      </c>
      <c r="G53">
        <v>62</v>
      </c>
      <c r="H53" t="str">
        <f>CountersTable[[#This Row],[ProjectName]]&amp;CountersTable[[#This Row],[Name]]&amp;CountersTable[[#This Row],[Type]]&amp;CountersTable[[#This Row],[Source]]</f>
        <v>Unnamed ProjectccontaCoposLavadosCountUser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60.8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3.7361710826693093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3" cm="1">
        <f t="array" ref="N53">MIN(IF((CountersTable[GroupByKey]=CountersTable[[#This Row],[GroupByKey]]),(CountersTable[GroupByKey]=CountersTable[[#This Row],[GroupByKey]])*CountersTable[RecordedValue]))</f>
        <v>52</v>
      </c>
      <c r="O53" cm="1">
        <f t="array" ref="O53">MAX(IF((CountersTable[GroupByKey]=CountersTable[[#This Row],[GroupByKey]]),(CountersTable[GroupByKey]=CountersTable[[#This Row],[GroupByKey]])*CountersTable[RecordedValue]))</f>
        <v>66</v>
      </c>
    </row>
    <row r="54" spans="1:15" x14ac:dyDescent="0.35">
      <c r="A54" t="s">
        <v>66</v>
      </c>
      <c r="B54" t="s">
        <v>69</v>
      </c>
      <c r="C54">
        <v>18</v>
      </c>
      <c r="D54" t="s">
        <v>95</v>
      </c>
      <c r="E54" t="s">
        <v>93</v>
      </c>
      <c r="F54" t="s">
        <v>94</v>
      </c>
      <c r="G54">
        <v>62</v>
      </c>
      <c r="H54" t="str">
        <f>CountersTable[[#This Row],[ProjectName]]&amp;CountersTable[[#This Row],[Name]]&amp;CountersTable[[#This Row],[Type]]&amp;CountersTable[[#This Row],[Source]]</f>
        <v>Unnamed ProjectcontaBebidaCountUser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60.8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3.7361710826693093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4" cm="1">
        <f t="array" ref="N54">MIN(IF((CountersTable[GroupByKey]=CountersTable[[#This Row],[GroupByKey]]),(CountersTable[GroupByKey]=CountersTable[[#This Row],[GroupByKey]])*CountersTable[RecordedValue]))</f>
        <v>52</v>
      </c>
      <c r="O54" cm="1">
        <f t="array" ref="O54">MAX(IF((CountersTable[GroupByKey]=CountersTable[[#This Row],[GroupByKey]]),(CountersTable[GroupByKey]=CountersTable[[#This Row],[GroupByKey]])*CountersTable[RecordedValue]))</f>
        <v>66</v>
      </c>
    </row>
    <row r="55" spans="1:15" x14ac:dyDescent="0.35">
      <c r="A55" t="s">
        <v>66</v>
      </c>
      <c r="B55" t="s">
        <v>69</v>
      </c>
      <c r="C55">
        <v>18</v>
      </c>
      <c r="D55" t="s">
        <v>96</v>
      </c>
      <c r="E55" t="s">
        <v>93</v>
      </c>
      <c r="F55" t="s">
        <v>94</v>
      </c>
      <c r="G55">
        <v>41</v>
      </c>
      <c r="H5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38.85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2.8152515030883167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55" cm="1">
        <f t="array" ref="N55">MIN(IF((CountersTable[GroupByKey]=CountersTable[[#This Row],[GroupByKey]]),(CountersTable[GroupByKey]=CountersTable[[#This Row],[GroupByKey]])*CountersTable[RecordedValue]))</f>
        <v>32</v>
      </c>
      <c r="O55" cm="1">
        <f t="array" ref="O55">MAX(IF((CountersTable[GroupByKey]=CountersTable[[#This Row],[GroupByKey]]),(CountersTable[GroupByKey]=CountersTable[[#This Row],[GroupByKey]])*CountersTable[RecordedValue]))</f>
        <v>44</v>
      </c>
    </row>
    <row r="56" spans="1:15" x14ac:dyDescent="0.35">
      <c r="A56" t="s">
        <v>66</v>
      </c>
      <c r="B56" t="s">
        <v>69</v>
      </c>
      <c r="C56">
        <v>19</v>
      </c>
      <c r="D56" t="s">
        <v>92</v>
      </c>
      <c r="E56" t="s">
        <v>93</v>
      </c>
      <c r="F56" t="s">
        <v>94</v>
      </c>
      <c r="G56">
        <v>59</v>
      </c>
      <c r="H56" t="str">
        <f>CountersTable[[#This Row],[ProjectName]]&amp;CountersTable[[#This Row],[Name]]&amp;CountersTable[[#This Row],[Type]]&amp;CountersTable[[#This Row],[Source]]</f>
        <v>Unnamed ProjectccontaCoposLavadosCountUser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60.8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3.7361710826693093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6" cm="1">
        <f t="array" ref="N56">MIN(IF((CountersTable[GroupByKey]=CountersTable[[#This Row],[GroupByKey]]),(CountersTable[GroupByKey]=CountersTable[[#This Row],[GroupByKey]])*CountersTable[RecordedValue]))</f>
        <v>52</v>
      </c>
      <c r="O56" cm="1">
        <f t="array" ref="O56">MAX(IF((CountersTable[GroupByKey]=CountersTable[[#This Row],[GroupByKey]]),(CountersTable[GroupByKey]=CountersTable[[#This Row],[GroupByKey]])*CountersTable[RecordedValue]))</f>
        <v>66</v>
      </c>
    </row>
    <row r="57" spans="1:15" x14ac:dyDescent="0.35">
      <c r="A57" t="s">
        <v>66</v>
      </c>
      <c r="B57" t="s">
        <v>69</v>
      </c>
      <c r="C57">
        <v>19</v>
      </c>
      <c r="D57" t="s">
        <v>95</v>
      </c>
      <c r="E57" t="s">
        <v>93</v>
      </c>
      <c r="F57" t="s">
        <v>94</v>
      </c>
      <c r="G57">
        <v>59</v>
      </c>
      <c r="H57" t="str">
        <f>CountersTable[[#This Row],[ProjectName]]&amp;CountersTable[[#This Row],[Name]]&amp;CountersTable[[#This Row],[Type]]&amp;CountersTable[[#This Row],[Source]]</f>
        <v>Unnamed ProjectcontaBebidaCountUser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60.8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3.7361710826693093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7" cm="1">
        <f t="array" ref="N57">MIN(IF((CountersTable[GroupByKey]=CountersTable[[#This Row],[GroupByKey]]),(CountersTable[GroupByKey]=CountersTable[[#This Row],[GroupByKey]])*CountersTable[RecordedValue]))</f>
        <v>52</v>
      </c>
      <c r="O57" cm="1">
        <f t="array" ref="O57">MAX(IF((CountersTable[GroupByKey]=CountersTable[[#This Row],[GroupByKey]]),(CountersTable[GroupByKey]=CountersTable[[#This Row],[GroupByKey]])*CountersTable[RecordedValue]))</f>
        <v>66</v>
      </c>
    </row>
    <row r="58" spans="1:15" x14ac:dyDescent="0.35">
      <c r="A58" t="s">
        <v>66</v>
      </c>
      <c r="B58" t="s">
        <v>69</v>
      </c>
      <c r="C58">
        <v>19</v>
      </c>
      <c r="D58" t="s">
        <v>96</v>
      </c>
      <c r="E58" t="s">
        <v>93</v>
      </c>
      <c r="F58" t="s">
        <v>94</v>
      </c>
      <c r="G58">
        <v>38</v>
      </c>
      <c r="H5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38.85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2.8152515030883167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58" cm="1">
        <f t="array" ref="N58">MIN(IF((CountersTable[GroupByKey]=CountersTable[[#This Row],[GroupByKey]]),(CountersTable[GroupByKey]=CountersTable[[#This Row],[GroupByKey]])*CountersTable[RecordedValue]))</f>
        <v>32</v>
      </c>
      <c r="O58" cm="1">
        <f t="array" ref="O58">MAX(IF((CountersTable[GroupByKey]=CountersTable[[#This Row],[GroupByKey]]),(CountersTable[GroupByKey]=CountersTable[[#This Row],[GroupByKey]])*CountersTable[RecordedValue]))</f>
        <v>44</v>
      </c>
    </row>
    <row r="59" spans="1:15" x14ac:dyDescent="0.35">
      <c r="A59" t="s">
        <v>66</v>
      </c>
      <c r="B59" t="s">
        <v>69</v>
      </c>
      <c r="C59">
        <v>20</v>
      </c>
      <c r="D59" t="s">
        <v>92</v>
      </c>
      <c r="E59" t="s">
        <v>93</v>
      </c>
      <c r="F59" t="s">
        <v>94</v>
      </c>
      <c r="G59">
        <v>65</v>
      </c>
      <c r="H59" t="str">
        <f>CountersTable[[#This Row],[ProjectName]]&amp;CountersTable[[#This Row],[Name]]&amp;CountersTable[[#This Row],[Type]]&amp;CountersTable[[#This Row],[Source]]</f>
        <v>Unnamed ProjectccontaCoposLavadosCountUser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60.8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3.7361710826693093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59" cm="1">
        <f t="array" ref="N59">MIN(IF((CountersTable[GroupByKey]=CountersTable[[#This Row],[GroupByKey]]),(CountersTable[GroupByKey]=CountersTable[[#This Row],[GroupByKey]])*CountersTable[RecordedValue]))</f>
        <v>52</v>
      </c>
      <c r="O59" cm="1">
        <f t="array" ref="O59">MAX(IF((CountersTable[GroupByKey]=CountersTable[[#This Row],[GroupByKey]]),(CountersTable[GroupByKey]=CountersTable[[#This Row],[GroupByKey]])*CountersTable[RecordedValue]))</f>
        <v>66</v>
      </c>
    </row>
    <row r="60" spans="1:15" x14ac:dyDescent="0.35">
      <c r="A60" t="s">
        <v>66</v>
      </c>
      <c r="B60" t="s">
        <v>69</v>
      </c>
      <c r="C60">
        <v>20</v>
      </c>
      <c r="D60" t="s">
        <v>95</v>
      </c>
      <c r="E60" t="s">
        <v>93</v>
      </c>
      <c r="F60" t="s">
        <v>94</v>
      </c>
      <c r="G60">
        <v>65</v>
      </c>
      <c r="H60" t="str">
        <f>CountersTable[[#This Row],[ProjectName]]&amp;CountersTable[[#This Row],[Name]]&amp;CountersTable[[#This Row],[Type]]&amp;CountersTable[[#This Row],[Source]]</f>
        <v>Unnamed ProjectcontaBebidaCountUser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60.8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3.7361710826693093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0" cm="1">
        <f t="array" ref="N60">MIN(IF((CountersTable[GroupByKey]=CountersTable[[#This Row],[GroupByKey]]),(CountersTable[GroupByKey]=CountersTable[[#This Row],[GroupByKey]])*CountersTable[RecordedValue]))</f>
        <v>52</v>
      </c>
      <c r="O60" cm="1">
        <f t="array" ref="O60">MAX(IF((CountersTable[GroupByKey]=CountersTable[[#This Row],[GroupByKey]]),(CountersTable[GroupByKey]=CountersTable[[#This Row],[GroupByKey]])*CountersTable[RecordedValue]))</f>
        <v>66</v>
      </c>
    </row>
    <row r="61" spans="1:15" x14ac:dyDescent="0.35">
      <c r="A61" t="s">
        <v>66</v>
      </c>
      <c r="B61" t="s">
        <v>69</v>
      </c>
      <c r="C61">
        <v>20</v>
      </c>
      <c r="D61" t="s">
        <v>96</v>
      </c>
      <c r="E61" t="s">
        <v>93</v>
      </c>
      <c r="F61" t="s">
        <v>94</v>
      </c>
      <c r="G61">
        <v>43</v>
      </c>
      <c r="H6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38.85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2.8152515030883167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61" cm="1">
        <f t="array" ref="N61">MIN(IF((CountersTable[GroupByKey]=CountersTable[[#This Row],[GroupByKey]]),(CountersTable[GroupByKey]=CountersTable[[#This Row],[GroupByKey]])*CountersTable[RecordedValue]))</f>
        <v>32</v>
      </c>
      <c r="O61" cm="1">
        <f t="array" ref="O61">MAX(IF((CountersTable[GroupByKey]=CountersTable[[#This Row],[GroupByKey]]),(CountersTable[GroupByKey]=CountersTable[[#This Row],[GroupByKey]])*CountersTable[RecordedValue]))</f>
        <v>44</v>
      </c>
    </row>
    <row r="62" spans="1:15" x14ac:dyDescent="0.35">
      <c r="A62" t="s">
        <v>66</v>
      </c>
      <c r="B62" t="s">
        <v>69</v>
      </c>
      <c r="C62">
        <v>21</v>
      </c>
      <c r="D62" t="s">
        <v>92</v>
      </c>
      <c r="E62" t="s">
        <v>93</v>
      </c>
      <c r="F62" t="s">
        <v>94</v>
      </c>
      <c r="G62">
        <v>58</v>
      </c>
      <c r="H62" t="str">
        <f>CountersTable[[#This Row],[ProjectName]]&amp;CountersTable[[#This Row],[Name]]&amp;CountersTable[[#This Row],[Type]]&amp;CountersTable[[#This Row],[Source]]</f>
        <v>Unnamed ProjectccontaCoposLavadosCountUser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60.8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3.7361710826693093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2" cm="1">
        <f t="array" ref="N62">MIN(IF((CountersTable[GroupByKey]=CountersTable[[#This Row],[GroupByKey]]),(CountersTable[GroupByKey]=CountersTable[[#This Row],[GroupByKey]])*CountersTable[RecordedValue]))</f>
        <v>52</v>
      </c>
      <c r="O62" cm="1">
        <f t="array" ref="O62">MAX(IF((CountersTable[GroupByKey]=CountersTable[[#This Row],[GroupByKey]]),(CountersTable[GroupByKey]=CountersTable[[#This Row],[GroupByKey]])*CountersTable[RecordedValue]))</f>
        <v>66</v>
      </c>
    </row>
    <row r="63" spans="1:15" x14ac:dyDescent="0.35">
      <c r="A63" t="s">
        <v>66</v>
      </c>
      <c r="B63" t="s">
        <v>69</v>
      </c>
      <c r="C63">
        <v>21</v>
      </c>
      <c r="D63" t="s">
        <v>95</v>
      </c>
      <c r="E63" t="s">
        <v>93</v>
      </c>
      <c r="F63" t="s">
        <v>94</v>
      </c>
      <c r="G63">
        <v>58</v>
      </c>
      <c r="H63" t="str">
        <f>CountersTable[[#This Row],[ProjectName]]&amp;CountersTable[[#This Row],[Name]]&amp;CountersTable[[#This Row],[Type]]&amp;CountersTable[[#This Row],[Source]]</f>
        <v>Unnamed ProjectcontaBebidaCountUser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60.8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3.7361710826693093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3" cm="1">
        <f t="array" ref="N63">MIN(IF((CountersTable[GroupByKey]=CountersTable[[#This Row],[GroupByKey]]),(CountersTable[GroupByKey]=CountersTable[[#This Row],[GroupByKey]])*CountersTable[RecordedValue]))</f>
        <v>52</v>
      </c>
      <c r="O63" cm="1">
        <f t="array" ref="O63">MAX(IF((CountersTable[GroupByKey]=CountersTable[[#This Row],[GroupByKey]]),(CountersTable[GroupByKey]=CountersTable[[#This Row],[GroupByKey]])*CountersTable[RecordedValue]))</f>
        <v>66</v>
      </c>
    </row>
    <row r="64" spans="1:15" x14ac:dyDescent="0.35">
      <c r="A64" t="s">
        <v>66</v>
      </c>
      <c r="B64" t="s">
        <v>69</v>
      </c>
      <c r="C64">
        <v>21</v>
      </c>
      <c r="D64" t="s">
        <v>96</v>
      </c>
      <c r="E64" t="s">
        <v>93</v>
      </c>
      <c r="F64" t="s">
        <v>94</v>
      </c>
      <c r="G64">
        <v>38</v>
      </c>
      <c r="H6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38.85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2.8152515030883167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64" cm="1">
        <f t="array" ref="N64">MIN(IF((CountersTable[GroupByKey]=CountersTable[[#This Row],[GroupByKey]]),(CountersTable[GroupByKey]=CountersTable[[#This Row],[GroupByKey]])*CountersTable[RecordedValue]))</f>
        <v>32</v>
      </c>
      <c r="O64" cm="1">
        <f t="array" ref="O64">MAX(IF((CountersTable[GroupByKey]=CountersTable[[#This Row],[GroupByKey]]),(CountersTable[GroupByKey]=CountersTable[[#This Row],[GroupByKey]])*CountersTable[RecordedValue]))</f>
        <v>44</v>
      </c>
    </row>
    <row r="65" spans="1:15" x14ac:dyDescent="0.35">
      <c r="A65" t="s">
        <v>66</v>
      </c>
      <c r="B65" t="s">
        <v>69</v>
      </c>
      <c r="C65">
        <v>22</v>
      </c>
      <c r="D65" t="s">
        <v>92</v>
      </c>
      <c r="E65" t="s">
        <v>93</v>
      </c>
      <c r="F65" t="s">
        <v>94</v>
      </c>
      <c r="G65">
        <v>62</v>
      </c>
      <c r="H65" t="str">
        <f>CountersTable[[#This Row],[ProjectName]]&amp;CountersTable[[#This Row],[Name]]&amp;CountersTable[[#This Row],[Type]]&amp;CountersTable[[#This Row],[Source]]</f>
        <v>Unnamed ProjectccontaCoposLavadosCountUser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60.8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3.7361710826693093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5" cm="1">
        <f t="array" ref="N65">MIN(IF((CountersTable[GroupByKey]=CountersTable[[#This Row],[GroupByKey]]),(CountersTable[GroupByKey]=CountersTable[[#This Row],[GroupByKey]])*CountersTable[RecordedValue]))</f>
        <v>52</v>
      </c>
      <c r="O65" cm="1">
        <f t="array" ref="O65">MAX(IF((CountersTable[GroupByKey]=CountersTable[[#This Row],[GroupByKey]]),(CountersTable[GroupByKey]=CountersTable[[#This Row],[GroupByKey]])*CountersTable[RecordedValue]))</f>
        <v>66</v>
      </c>
    </row>
    <row r="66" spans="1:15" x14ac:dyDescent="0.35">
      <c r="A66" t="s">
        <v>66</v>
      </c>
      <c r="B66" t="s">
        <v>69</v>
      </c>
      <c r="C66">
        <v>22</v>
      </c>
      <c r="D66" t="s">
        <v>95</v>
      </c>
      <c r="E66" t="s">
        <v>93</v>
      </c>
      <c r="F66" t="s">
        <v>94</v>
      </c>
      <c r="G66">
        <v>62</v>
      </c>
      <c r="H66" t="str">
        <f>CountersTable[[#This Row],[ProjectName]]&amp;CountersTable[[#This Row],[Name]]&amp;CountersTable[[#This Row],[Type]]&amp;CountersTable[[#This Row],[Source]]</f>
        <v>Unnamed ProjectcontaBebidaCountUser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60.8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3.7361710826693093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6" cm="1">
        <f t="array" ref="N66">MIN(IF((CountersTable[GroupByKey]=CountersTable[[#This Row],[GroupByKey]]),(CountersTable[GroupByKey]=CountersTable[[#This Row],[GroupByKey]])*CountersTable[RecordedValue]))</f>
        <v>52</v>
      </c>
      <c r="O66" cm="1">
        <f t="array" ref="O66">MAX(IF((CountersTable[GroupByKey]=CountersTable[[#This Row],[GroupByKey]]),(CountersTable[GroupByKey]=CountersTable[[#This Row],[GroupByKey]])*CountersTable[RecordedValue]))</f>
        <v>66</v>
      </c>
    </row>
    <row r="67" spans="1:15" x14ac:dyDescent="0.35">
      <c r="A67" t="s">
        <v>66</v>
      </c>
      <c r="B67" t="s">
        <v>69</v>
      </c>
      <c r="C67">
        <v>22</v>
      </c>
      <c r="D67" t="s">
        <v>96</v>
      </c>
      <c r="E67" t="s">
        <v>93</v>
      </c>
      <c r="F67" t="s">
        <v>94</v>
      </c>
      <c r="G67">
        <v>34</v>
      </c>
      <c r="H6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38.85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2.8152515030883167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67" cm="1">
        <f t="array" ref="N67">MIN(IF((CountersTable[GroupByKey]=CountersTable[[#This Row],[GroupByKey]]),(CountersTable[GroupByKey]=CountersTable[[#This Row],[GroupByKey]])*CountersTable[RecordedValue]))</f>
        <v>32</v>
      </c>
      <c r="O67" cm="1">
        <f t="array" ref="O67">MAX(IF((CountersTable[GroupByKey]=CountersTable[[#This Row],[GroupByKey]]),(CountersTable[GroupByKey]=CountersTable[[#This Row],[GroupByKey]])*CountersTable[RecordedValue]))</f>
        <v>44</v>
      </c>
    </row>
    <row r="68" spans="1:15" x14ac:dyDescent="0.35">
      <c r="A68" t="s">
        <v>66</v>
      </c>
      <c r="B68" t="s">
        <v>69</v>
      </c>
      <c r="C68">
        <v>23</v>
      </c>
      <c r="D68" t="s">
        <v>92</v>
      </c>
      <c r="E68" t="s">
        <v>93</v>
      </c>
      <c r="F68" t="s">
        <v>94</v>
      </c>
      <c r="G68">
        <v>63</v>
      </c>
      <c r="H68" t="str">
        <f>CountersTable[[#This Row],[ProjectName]]&amp;CountersTable[[#This Row],[Name]]&amp;CountersTable[[#This Row],[Type]]&amp;CountersTable[[#This Row],[Source]]</f>
        <v>Unnamed ProjectccontaCoposLavadosCountUser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60.8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3.7361710826693093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8" cm="1">
        <f t="array" ref="N68">MIN(IF((CountersTable[GroupByKey]=CountersTable[[#This Row],[GroupByKey]]),(CountersTable[GroupByKey]=CountersTable[[#This Row],[GroupByKey]])*CountersTable[RecordedValue]))</f>
        <v>52</v>
      </c>
      <c r="O68" cm="1">
        <f t="array" ref="O68">MAX(IF((CountersTable[GroupByKey]=CountersTable[[#This Row],[GroupByKey]]),(CountersTable[GroupByKey]=CountersTable[[#This Row],[GroupByKey]])*CountersTable[RecordedValue]))</f>
        <v>66</v>
      </c>
    </row>
    <row r="69" spans="1:15" x14ac:dyDescent="0.35">
      <c r="A69" t="s">
        <v>66</v>
      </c>
      <c r="B69" t="s">
        <v>69</v>
      </c>
      <c r="C69">
        <v>23</v>
      </c>
      <c r="D69" t="s">
        <v>95</v>
      </c>
      <c r="E69" t="s">
        <v>93</v>
      </c>
      <c r="F69" t="s">
        <v>94</v>
      </c>
      <c r="G69">
        <v>63</v>
      </c>
      <c r="H69" t="str">
        <f>CountersTable[[#This Row],[ProjectName]]&amp;CountersTable[[#This Row],[Name]]&amp;CountersTable[[#This Row],[Type]]&amp;CountersTable[[#This Row],[Source]]</f>
        <v>Unnamed ProjectcontaBebidaCountUser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60.8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3.7361710826693093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69" cm="1">
        <f t="array" ref="N69">MIN(IF((CountersTable[GroupByKey]=CountersTable[[#This Row],[GroupByKey]]),(CountersTable[GroupByKey]=CountersTable[[#This Row],[GroupByKey]])*CountersTable[RecordedValue]))</f>
        <v>52</v>
      </c>
      <c r="O69" cm="1">
        <f t="array" ref="O69">MAX(IF((CountersTable[GroupByKey]=CountersTable[[#This Row],[GroupByKey]]),(CountersTable[GroupByKey]=CountersTable[[#This Row],[GroupByKey]])*CountersTable[RecordedValue]))</f>
        <v>66</v>
      </c>
    </row>
    <row r="70" spans="1:15" x14ac:dyDescent="0.35">
      <c r="A70" t="s">
        <v>66</v>
      </c>
      <c r="B70" t="s">
        <v>69</v>
      </c>
      <c r="C70">
        <v>23</v>
      </c>
      <c r="D70" t="s">
        <v>96</v>
      </c>
      <c r="E70" t="s">
        <v>93</v>
      </c>
      <c r="F70" t="s">
        <v>94</v>
      </c>
      <c r="G70">
        <v>43</v>
      </c>
      <c r="H7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38.85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2.8152515030883167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70" cm="1">
        <f t="array" ref="N70">MIN(IF((CountersTable[GroupByKey]=CountersTable[[#This Row],[GroupByKey]]),(CountersTable[GroupByKey]=CountersTable[[#This Row],[GroupByKey]])*CountersTable[RecordedValue]))</f>
        <v>32</v>
      </c>
      <c r="O70" cm="1">
        <f t="array" ref="O70">MAX(IF((CountersTable[GroupByKey]=CountersTable[[#This Row],[GroupByKey]]),(CountersTable[GroupByKey]=CountersTable[[#This Row],[GroupByKey]])*CountersTable[RecordedValue]))</f>
        <v>44</v>
      </c>
    </row>
    <row r="71" spans="1:15" x14ac:dyDescent="0.35">
      <c r="A71" t="s">
        <v>66</v>
      </c>
      <c r="B71" t="s">
        <v>69</v>
      </c>
      <c r="C71">
        <v>24</v>
      </c>
      <c r="D71" t="s">
        <v>92</v>
      </c>
      <c r="E71" t="s">
        <v>93</v>
      </c>
      <c r="F71" t="s">
        <v>94</v>
      </c>
      <c r="G71">
        <v>55</v>
      </c>
      <c r="H71" t="str">
        <f>CountersTable[[#This Row],[ProjectName]]&amp;CountersTable[[#This Row],[Name]]&amp;CountersTable[[#This Row],[Type]]&amp;CountersTable[[#This Row],[Source]]</f>
        <v>Unnamed ProjectccontaCoposLavadosCountUser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60.8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3.7361710826693093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71" cm="1">
        <f t="array" ref="N71">MIN(IF((CountersTable[GroupByKey]=CountersTable[[#This Row],[GroupByKey]]),(CountersTable[GroupByKey]=CountersTable[[#This Row],[GroupByKey]])*CountersTable[RecordedValue]))</f>
        <v>52</v>
      </c>
      <c r="O71" cm="1">
        <f t="array" ref="O71">MAX(IF((CountersTable[GroupByKey]=CountersTable[[#This Row],[GroupByKey]]),(CountersTable[GroupByKey]=CountersTable[[#This Row],[GroupByKey]])*CountersTable[RecordedValue]))</f>
        <v>66</v>
      </c>
    </row>
    <row r="72" spans="1:15" x14ac:dyDescent="0.35">
      <c r="A72" t="s">
        <v>66</v>
      </c>
      <c r="B72" t="s">
        <v>69</v>
      </c>
      <c r="C72">
        <v>24</v>
      </c>
      <c r="D72" t="s">
        <v>95</v>
      </c>
      <c r="E72" t="s">
        <v>93</v>
      </c>
      <c r="F72" t="s">
        <v>94</v>
      </c>
      <c r="G72">
        <v>55</v>
      </c>
      <c r="H72" t="str">
        <f>CountersTable[[#This Row],[ProjectName]]&amp;CountersTable[[#This Row],[Name]]&amp;CountersTable[[#This Row],[Type]]&amp;CountersTable[[#This Row],[Source]]</f>
        <v>Unnamed ProjectcontaBebidaCountUser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60.8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3.7361710826693093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72" cm="1">
        <f t="array" ref="N72">MIN(IF((CountersTable[GroupByKey]=CountersTable[[#This Row],[GroupByKey]]),(CountersTable[GroupByKey]=CountersTable[[#This Row],[GroupByKey]])*CountersTable[RecordedValue]))</f>
        <v>52</v>
      </c>
      <c r="O72" cm="1">
        <f t="array" ref="O72">MAX(IF((CountersTable[GroupByKey]=CountersTable[[#This Row],[GroupByKey]]),(CountersTable[GroupByKey]=CountersTable[[#This Row],[GroupByKey]])*CountersTable[RecordedValue]))</f>
        <v>66</v>
      </c>
    </row>
    <row r="73" spans="1:15" x14ac:dyDescent="0.35">
      <c r="A73" t="s">
        <v>66</v>
      </c>
      <c r="B73" t="s">
        <v>69</v>
      </c>
      <c r="C73">
        <v>24</v>
      </c>
      <c r="D73" t="s">
        <v>96</v>
      </c>
      <c r="E73" t="s">
        <v>93</v>
      </c>
      <c r="F73" t="s">
        <v>94</v>
      </c>
      <c r="G73">
        <v>36</v>
      </c>
      <c r="H7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38.85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2.8152515030883167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73" cm="1">
        <f t="array" ref="N73">MIN(IF((CountersTable[GroupByKey]=CountersTable[[#This Row],[GroupByKey]]),(CountersTable[GroupByKey]=CountersTable[[#This Row],[GroupByKey]])*CountersTable[RecordedValue]))</f>
        <v>32</v>
      </c>
      <c r="O73" cm="1">
        <f t="array" ref="O73">MAX(IF((CountersTable[GroupByKey]=CountersTable[[#This Row],[GroupByKey]]),(CountersTable[GroupByKey]=CountersTable[[#This Row],[GroupByKey]])*CountersTable[RecordedValue]))</f>
        <v>44</v>
      </c>
    </row>
    <row r="74" spans="1:15" x14ac:dyDescent="0.35">
      <c r="A74" t="s">
        <v>66</v>
      </c>
      <c r="B74" t="s">
        <v>69</v>
      </c>
      <c r="C74">
        <v>25</v>
      </c>
      <c r="D74" t="s">
        <v>92</v>
      </c>
      <c r="E74" t="s">
        <v>93</v>
      </c>
      <c r="F74" t="s">
        <v>94</v>
      </c>
      <c r="G74">
        <v>64</v>
      </c>
      <c r="H74" t="str">
        <f>CountersTable[[#This Row],[ProjectName]]&amp;CountersTable[[#This Row],[Name]]&amp;CountersTable[[#This Row],[Type]]&amp;CountersTable[[#This Row],[Source]]</f>
        <v>Unnamed ProjectccontaCoposLavadosCountUser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60.8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3.7361710826693093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74" cm="1">
        <f t="array" ref="N74">MIN(IF((CountersTable[GroupByKey]=CountersTable[[#This Row],[GroupByKey]]),(CountersTable[GroupByKey]=CountersTable[[#This Row],[GroupByKey]])*CountersTable[RecordedValue]))</f>
        <v>52</v>
      </c>
      <c r="O74" cm="1">
        <f t="array" ref="O74">MAX(IF((CountersTable[GroupByKey]=CountersTable[[#This Row],[GroupByKey]]),(CountersTable[GroupByKey]=CountersTable[[#This Row],[GroupByKey]])*CountersTable[RecordedValue]))</f>
        <v>66</v>
      </c>
    </row>
    <row r="75" spans="1:15" x14ac:dyDescent="0.35">
      <c r="A75" t="s">
        <v>66</v>
      </c>
      <c r="B75" t="s">
        <v>69</v>
      </c>
      <c r="C75">
        <v>25</v>
      </c>
      <c r="D75" t="s">
        <v>95</v>
      </c>
      <c r="E75" t="s">
        <v>93</v>
      </c>
      <c r="F75" t="s">
        <v>94</v>
      </c>
      <c r="G75">
        <v>64</v>
      </c>
      <c r="H75" t="str">
        <f>CountersTable[[#This Row],[ProjectName]]&amp;CountersTable[[#This Row],[Name]]&amp;CountersTable[[#This Row],[Type]]&amp;CountersTable[[#This Row],[Source]]</f>
        <v>Unnamed ProjectcontaBebidaCountUser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60.8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3.7361710826693093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75" cm="1">
        <f t="array" ref="N75">MIN(IF((CountersTable[GroupByKey]=CountersTable[[#This Row],[GroupByKey]]),(CountersTable[GroupByKey]=CountersTable[[#This Row],[GroupByKey]])*CountersTable[RecordedValue]))</f>
        <v>52</v>
      </c>
      <c r="O75" cm="1">
        <f t="array" ref="O75">MAX(IF((CountersTable[GroupByKey]=CountersTable[[#This Row],[GroupByKey]]),(CountersTable[GroupByKey]=CountersTable[[#This Row],[GroupByKey]])*CountersTable[RecordedValue]))</f>
        <v>66</v>
      </c>
    </row>
    <row r="76" spans="1:15" x14ac:dyDescent="0.35">
      <c r="A76" t="s">
        <v>66</v>
      </c>
      <c r="B76" t="s">
        <v>69</v>
      </c>
      <c r="C76">
        <v>25</v>
      </c>
      <c r="D76" t="s">
        <v>96</v>
      </c>
      <c r="E76" t="s">
        <v>93</v>
      </c>
      <c r="F76" t="s">
        <v>94</v>
      </c>
      <c r="G76">
        <v>38</v>
      </c>
      <c r="H7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38.85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2.8152515030883167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76" cm="1">
        <f t="array" ref="N76">MIN(IF((CountersTable[GroupByKey]=CountersTable[[#This Row],[GroupByKey]]),(CountersTable[GroupByKey]=CountersTable[[#This Row],[GroupByKey]])*CountersTable[RecordedValue]))</f>
        <v>32</v>
      </c>
      <c r="O76" cm="1">
        <f t="array" ref="O76">MAX(IF((CountersTable[GroupByKey]=CountersTable[[#This Row],[GroupByKey]]),(CountersTable[GroupByKey]=CountersTable[[#This Row],[GroupByKey]])*CountersTable[RecordedValue]))</f>
        <v>44</v>
      </c>
    </row>
    <row r="77" spans="1:15" x14ac:dyDescent="0.35">
      <c r="A77" t="s">
        <v>66</v>
      </c>
      <c r="B77" t="s">
        <v>69</v>
      </c>
      <c r="C77">
        <v>26</v>
      </c>
      <c r="D77" t="s">
        <v>92</v>
      </c>
      <c r="E77" t="s">
        <v>93</v>
      </c>
      <c r="F77" t="s">
        <v>94</v>
      </c>
      <c r="G77">
        <v>55</v>
      </c>
      <c r="H77" t="str">
        <f>CountersTable[[#This Row],[ProjectName]]&amp;CountersTable[[#This Row],[Name]]&amp;CountersTable[[#This Row],[Type]]&amp;CountersTable[[#This Row],[Source]]</f>
        <v>Unnamed ProjectccontaCoposLavadosCountUser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60.8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3.7361710826693093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77" cm="1">
        <f t="array" ref="N77">MIN(IF((CountersTable[GroupByKey]=CountersTable[[#This Row],[GroupByKey]]),(CountersTable[GroupByKey]=CountersTable[[#This Row],[GroupByKey]])*CountersTable[RecordedValue]))</f>
        <v>52</v>
      </c>
      <c r="O77" cm="1">
        <f t="array" ref="O77">MAX(IF((CountersTable[GroupByKey]=CountersTable[[#This Row],[GroupByKey]]),(CountersTable[GroupByKey]=CountersTable[[#This Row],[GroupByKey]])*CountersTable[RecordedValue]))</f>
        <v>66</v>
      </c>
    </row>
    <row r="78" spans="1:15" x14ac:dyDescent="0.35">
      <c r="A78" t="s">
        <v>66</v>
      </c>
      <c r="B78" t="s">
        <v>69</v>
      </c>
      <c r="C78">
        <v>26</v>
      </c>
      <c r="D78" t="s">
        <v>95</v>
      </c>
      <c r="E78" t="s">
        <v>93</v>
      </c>
      <c r="F78" t="s">
        <v>94</v>
      </c>
      <c r="G78">
        <v>55</v>
      </c>
      <c r="H78" t="str">
        <f>CountersTable[[#This Row],[ProjectName]]&amp;CountersTable[[#This Row],[Name]]&amp;CountersTable[[#This Row],[Type]]&amp;CountersTable[[#This Row],[Source]]</f>
        <v>Unnamed ProjectcontaBebidaCountUser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60.8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3.7361710826693093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78" cm="1">
        <f t="array" ref="N78">MIN(IF((CountersTable[GroupByKey]=CountersTable[[#This Row],[GroupByKey]]),(CountersTable[GroupByKey]=CountersTable[[#This Row],[GroupByKey]])*CountersTable[RecordedValue]))</f>
        <v>52</v>
      </c>
      <c r="O78" cm="1">
        <f t="array" ref="O78">MAX(IF((CountersTable[GroupByKey]=CountersTable[[#This Row],[GroupByKey]]),(CountersTable[GroupByKey]=CountersTable[[#This Row],[GroupByKey]])*CountersTable[RecordedValue]))</f>
        <v>66</v>
      </c>
    </row>
    <row r="79" spans="1:15" x14ac:dyDescent="0.35">
      <c r="A79" t="s">
        <v>66</v>
      </c>
      <c r="B79" t="s">
        <v>69</v>
      </c>
      <c r="C79">
        <v>26</v>
      </c>
      <c r="D79" t="s">
        <v>96</v>
      </c>
      <c r="E79" t="s">
        <v>93</v>
      </c>
      <c r="F79" t="s">
        <v>94</v>
      </c>
      <c r="G79">
        <v>39</v>
      </c>
      <c r="H7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38.85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2.8152515030883167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79" cm="1">
        <f t="array" ref="N79">MIN(IF((CountersTable[GroupByKey]=CountersTable[[#This Row],[GroupByKey]]),(CountersTable[GroupByKey]=CountersTable[[#This Row],[GroupByKey]])*CountersTable[RecordedValue]))</f>
        <v>32</v>
      </c>
      <c r="O79" cm="1">
        <f t="array" ref="O79">MAX(IF((CountersTable[GroupByKey]=CountersTable[[#This Row],[GroupByKey]]),(CountersTable[GroupByKey]=CountersTable[[#This Row],[GroupByKey]])*CountersTable[RecordedValue]))</f>
        <v>44</v>
      </c>
    </row>
    <row r="80" spans="1:15" x14ac:dyDescent="0.35">
      <c r="A80" t="s">
        <v>66</v>
      </c>
      <c r="B80" t="s">
        <v>69</v>
      </c>
      <c r="C80">
        <v>27</v>
      </c>
      <c r="D80" t="s">
        <v>92</v>
      </c>
      <c r="E80" t="s">
        <v>93</v>
      </c>
      <c r="F80" t="s">
        <v>94</v>
      </c>
      <c r="G80">
        <v>56</v>
      </c>
      <c r="H80" t="str">
        <f>CountersTable[[#This Row],[ProjectName]]&amp;CountersTable[[#This Row],[Name]]&amp;CountersTable[[#This Row],[Type]]&amp;CountersTable[[#This Row],[Source]]</f>
        <v>Unnamed ProjectccontaCoposLavadosCountUser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60.8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3.7361710826693093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0" cm="1">
        <f t="array" ref="N80">MIN(IF((CountersTable[GroupByKey]=CountersTable[[#This Row],[GroupByKey]]),(CountersTable[GroupByKey]=CountersTable[[#This Row],[GroupByKey]])*CountersTable[RecordedValue]))</f>
        <v>52</v>
      </c>
      <c r="O80" cm="1">
        <f t="array" ref="O80">MAX(IF((CountersTable[GroupByKey]=CountersTable[[#This Row],[GroupByKey]]),(CountersTable[GroupByKey]=CountersTable[[#This Row],[GroupByKey]])*CountersTable[RecordedValue]))</f>
        <v>66</v>
      </c>
    </row>
    <row r="81" spans="1:15" x14ac:dyDescent="0.35">
      <c r="A81" t="s">
        <v>66</v>
      </c>
      <c r="B81" t="s">
        <v>69</v>
      </c>
      <c r="C81">
        <v>27</v>
      </c>
      <c r="D81" t="s">
        <v>95</v>
      </c>
      <c r="E81" t="s">
        <v>93</v>
      </c>
      <c r="F81" t="s">
        <v>94</v>
      </c>
      <c r="G81">
        <v>56</v>
      </c>
      <c r="H81" t="str">
        <f>CountersTable[[#This Row],[ProjectName]]&amp;CountersTable[[#This Row],[Name]]&amp;CountersTable[[#This Row],[Type]]&amp;CountersTable[[#This Row],[Source]]</f>
        <v>Unnamed ProjectcontaBebidaCountUser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60.8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3.7361710826693093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1" cm="1">
        <f t="array" ref="N81">MIN(IF((CountersTable[GroupByKey]=CountersTable[[#This Row],[GroupByKey]]),(CountersTable[GroupByKey]=CountersTable[[#This Row],[GroupByKey]])*CountersTable[RecordedValue]))</f>
        <v>52</v>
      </c>
      <c r="O81" cm="1">
        <f t="array" ref="O81">MAX(IF((CountersTable[GroupByKey]=CountersTable[[#This Row],[GroupByKey]]),(CountersTable[GroupByKey]=CountersTable[[#This Row],[GroupByKey]])*CountersTable[RecordedValue]))</f>
        <v>66</v>
      </c>
    </row>
    <row r="82" spans="1:15" x14ac:dyDescent="0.35">
      <c r="A82" t="s">
        <v>66</v>
      </c>
      <c r="B82" t="s">
        <v>69</v>
      </c>
      <c r="C82">
        <v>27</v>
      </c>
      <c r="D82" t="s">
        <v>96</v>
      </c>
      <c r="E82" t="s">
        <v>93</v>
      </c>
      <c r="F82" t="s">
        <v>94</v>
      </c>
      <c r="G82">
        <v>37</v>
      </c>
      <c r="H8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2" cm="1">
        <f t="array" ref="I82">MAX(IF((ProjectInfoTable[ProjectName]=CountersTable[[#This Row],[ProjectName]]),(ProjectInfoTable[ProjectName]=CountersTable[[#This Row],[ProjectName]])*ProjectInfoTable[NumberOfReplications]))</f>
        <v>40</v>
      </c>
      <c r="J82" cm="1">
        <f t="array" ref="J82">IFERROR(AVERAGE(IF((CountersTable[GroupByKey]=CountersTable[[#This Row],[GroupByKey]]),(CountersTable[GroupByKey]=CountersTable[[#This Row],[GroupByKey]])*CountersTable[RecordedValue])),0)</f>
        <v>38.85</v>
      </c>
      <c r="K82" cm="1">
        <f t="array" ref="K82">IFERROR(_xlfn.STDEV.S(IF((CountersTable[GroupByKey]=CountersTable[[#This Row],[GroupByKey]]),(CountersTable[GroupByKey]=CountersTable[[#This Row],[GroupByKey]])*CountersTable[RecordedValue])),0)</f>
        <v>2.8152515030883167</v>
      </c>
      <c r="L82" cm="1">
        <f t="array" ref="L82">MAX(IF((ProjectInfoTable[ProjectName]=CountersTable[[#This Row],[ProjectName]]),(ProjectInfoTable[ProjectName]=CountersTable[[#This Row],[ProjectName]])*ProjectInfoTable[ConfidenceInterval]))</f>
        <v>0.95</v>
      </c>
      <c r="M82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82" cm="1">
        <f t="array" ref="N82">MIN(IF((CountersTable[GroupByKey]=CountersTable[[#This Row],[GroupByKey]]),(CountersTable[GroupByKey]=CountersTable[[#This Row],[GroupByKey]])*CountersTable[RecordedValue]))</f>
        <v>32</v>
      </c>
      <c r="O82" cm="1">
        <f t="array" ref="O82">MAX(IF((CountersTable[GroupByKey]=CountersTable[[#This Row],[GroupByKey]]),(CountersTable[GroupByKey]=CountersTable[[#This Row],[GroupByKey]])*CountersTable[RecordedValue]))</f>
        <v>44</v>
      </c>
    </row>
    <row r="83" spans="1:15" x14ac:dyDescent="0.35">
      <c r="A83" t="s">
        <v>66</v>
      </c>
      <c r="B83" t="s">
        <v>69</v>
      </c>
      <c r="C83">
        <v>28</v>
      </c>
      <c r="D83" t="s">
        <v>92</v>
      </c>
      <c r="E83" t="s">
        <v>93</v>
      </c>
      <c r="F83" t="s">
        <v>94</v>
      </c>
      <c r="G83">
        <v>63</v>
      </c>
      <c r="H83" t="str">
        <f>CountersTable[[#This Row],[ProjectName]]&amp;CountersTable[[#This Row],[Name]]&amp;CountersTable[[#This Row],[Type]]&amp;CountersTable[[#This Row],[Source]]</f>
        <v>Unnamed ProjectccontaCoposLavadosCountUser Specified</v>
      </c>
      <c r="I83" cm="1">
        <f t="array" ref="I83">MAX(IF((ProjectInfoTable[ProjectName]=CountersTable[[#This Row],[ProjectName]]),(ProjectInfoTable[ProjectName]=CountersTable[[#This Row],[ProjectName]])*ProjectInfoTable[NumberOfReplications]))</f>
        <v>40</v>
      </c>
      <c r="J83" cm="1">
        <f t="array" ref="J83">IFERROR(AVERAGE(IF((CountersTable[GroupByKey]=CountersTable[[#This Row],[GroupByKey]]),(CountersTable[GroupByKey]=CountersTable[[#This Row],[GroupByKey]])*CountersTable[RecordedValue])),0)</f>
        <v>60.8</v>
      </c>
      <c r="K83" cm="1">
        <f t="array" ref="K83">IFERROR(_xlfn.STDEV.S(IF((CountersTable[GroupByKey]=CountersTable[[#This Row],[GroupByKey]]),(CountersTable[GroupByKey]=CountersTable[[#This Row],[GroupByKey]])*CountersTable[RecordedValue])),0)</f>
        <v>3.7361710826693093</v>
      </c>
      <c r="L83" cm="1">
        <f t="array" ref="L83">MAX(IF((ProjectInfoTable[ProjectName]=CountersTable[[#This Row],[ProjectName]]),(ProjectInfoTable[ProjectName]=CountersTable[[#This Row],[ProjectName]])*ProjectInfoTable[ConfidenceInterval]))</f>
        <v>0.95</v>
      </c>
      <c r="M8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3" cm="1">
        <f t="array" ref="N83">MIN(IF((CountersTable[GroupByKey]=CountersTable[[#This Row],[GroupByKey]]),(CountersTable[GroupByKey]=CountersTable[[#This Row],[GroupByKey]])*CountersTable[RecordedValue]))</f>
        <v>52</v>
      </c>
      <c r="O83" cm="1">
        <f t="array" ref="O83">MAX(IF((CountersTable[GroupByKey]=CountersTable[[#This Row],[GroupByKey]]),(CountersTable[GroupByKey]=CountersTable[[#This Row],[GroupByKey]])*CountersTable[RecordedValue]))</f>
        <v>66</v>
      </c>
    </row>
    <row r="84" spans="1:15" x14ac:dyDescent="0.35">
      <c r="A84" t="s">
        <v>66</v>
      </c>
      <c r="B84" t="s">
        <v>69</v>
      </c>
      <c r="C84">
        <v>28</v>
      </c>
      <c r="D84" t="s">
        <v>95</v>
      </c>
      <c r="E84" t="s">
        <v>93</v>
      </c>
      <c r="F84" t="s">
        <v>94</v>
      </c>
      <c r="G84">
        <v>63</v>
      </c>
      <c r="H84" t="str">
        <f>CountersTable[[#This Row],[ProjectName]]&amp;CountersTable[[#This Row],[Name]]&amp;CountersTable[[#This Row],[Type]]&amp;CountersTable[[#This Row],[Source]]</f>
        <v>Unnamed ProjectcontaBebidaCountUser Specified</v>
      </c>
      <c r="I84" cm="1">
        <f t="array" ref="I84">MAX(IF((ProjectInfoTable[ProjectName]=CountersTable[[#This Row],[ProjectName]]),(ProjectInfoTable[ProjectName]=CountersTable[[#This Row],[ProjectName]])*ProjectInfoTable[NumberOfReplications]))</f>
        <v>40</v>
      </c>
      <c r="J84" cm="1">
        <f t="array" ref="J84">IFERROR(AVERAGE(IF((CountersTable[GroupByKey]=CountersTable[[#This Row],[GroupByKey]]),(CountersTable[GroupByKey]=CountersTable[[#This Row],[GroupByKey]])*CountersTable[RecordedValue])),0)</f>
        <v>60.8</v>
      </c>
      <c r="K84" cm="1">
        <f t="array" ref="K84">IFERROR(_xlfn.STDEV.S(IF((CountersTable[GroupByKey]=CountersTable[[#This Row],[GroupByKey]]),(CountersTable[GroupByKey]=CountersTable[[#This Row],[GroupByKey]])*CountersTable[RecordedValue])),0)</f>
        <v>3.7361710826693093</v>
      </c>
      <c r="L84" cm="1">
        <f t="array" ref="L84">MAX(IF((ProjectInfoTable[ProjectName]=CountersTable[[#This Row],[ProjectName]]),(ProjectInfoTable[ProjectName]=CountersTable[[#This Row],[ProjectName]])*ProjectInfoTable[ConfidenceInterval]))</f>
        <v>0.95</v>
      </c>
      <c r="M8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4" cm="1">
        <f t="array" ref="N84">MIN(IF((CountersTable[GroupByKey]=CountersTable[[#This Row],[GroupByKey]]),(CountersTable[GroupByKey]=CountersTable[[#This Row],[GroupByKey]])*CountersTable[RecordedValue]))</f>
        <v>52</v>
      </c>
      <c r="O84" cm="1">
        <f t="array" ref="O84">MAX(IF((CountersTable[GroupByKey]=CountersTable[[#This Row],[GroupByKey]]),(CountersTable[GroupByKey]=CountersTable[[#This Row],[GroupByKey]])*CountersTable[RecordedValue]))</f>
        <v>66</v>
      </c>
    </row>
    <row r="85" spans="1:15" x14ac:dyDescent="0.35">
      <c r="A85" t="s">
        <v>66</v>
      </c>
      <c r="B85" t="s">
        <v>69</v>
      </c>
      <c r="C85">
        <v>28</v>
      </c>
      <c r="D85" t="s">
        <v>96</v>
      </c>
      <c r="E85" t="s">
        <v>93</v>
      </c>
      <c r="F85" t="s">
        <v>94</v>
      </c>
      <c r="G85">
        <v>40</v>
      </c>
      <c r="H8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5" cm="1">
        <f t="array" ref="I85">MAX(IF((ProjectInfoTable[ProjectName]=CountersTable[[#This Row],[ProjectName]]),(ProjectInfoTable[ProjectName]=CountersTable[[#This Row],[ProjectName]])*ProjectInfoTable[NumberOfReplications]))</f>
        <v>40</v>
      </c>
      <c r="J85" cm="1">
        <f t="array" ref="J85">IFERROR(AVERAGE(IF((CountersTable[GroupByKey]=CountersTable[[#This Row],[GroupByKey]]),(CountersTable[GroupByKey]=CountersTable[[#This Row],[GroupByKey]])*CountersTable[RecordedValue])),0)</f>
        <v>38.85</v>
      </c>
      <c r="K85" cm="1">
        <f t="array" ref="K85">IFERROR(_xlfn.STDEV.S(IF((CountersTable[GroupByKey]=CountersTable[[#This Row],[GroupByKey]]),(CountersTable[GroupByKey]=CountersTable[[#This Row],[GroupByKey]])*CountersTable[RecordedValue])),0)</f>
        <v>2.8152515030883167</v>
      </c>
      <c r="L85" cm="1">
        <f t="array" ref="L85">MAX(IF((ProjectInfoTable[ProjectName]=CountersTable[[#This Row],[ProjectName]]),(ProjectInfoTable[ProjectName]=CountersTable[[#This Row],[ProjectName]])*ProjectInfoTable[ConfidenceInterval]))</f>
        <v>0.95</v>
      </c>
      <c r="M85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85" cm="1">
        <f t="array" ref="N85">MIN(IF((CountersTable[GroupByKey]=CountersTable[[#This Row],[GroupByKey]]),(CountersTable[GroupByKey]=CountersTable[[#This Row],[GroupByKey]])*CountersTable[RecordedValue]))</f>
        <v>32</v>
      </c>
      <c r="O85" cm="1">
        <f t="array" ref="O85">MAX(IF((CountersTable[GroupByKey]=CountersTable[[#This Row],[GroupByKey]]),(CountersTable[GroupByKey]=CountersTable[[#This Row],[GroupByKey]])*CountersTable[RecordedValue]))</f>
        <v>44</v>
      </c>
    </row>
    <row r="86" spans="1:15" x14ac:dyDescent="0.35">
      <c r="A86" t="s">
        <v>66</v>
      </c>
      <c r="B86" t="s">
        <v>69</v>
      </c>
      <c r="C86">
        <v>29</v>
      </c>
      <c r="D86" t="s">
        <v>92</v>
      </c>
      <c r="E86" t="s">
        <v>93</v>
      </c>
      <c r="F86" t="s">
        <v>94</v>
      </c>
      <c r="G86">
        <v>59</v>
      </c>
      <c r="H86" t="str">
        <f>CountersTable[[#This Row],[ProjectName]]&amp;CountersTable[[#This Row],[Name]]&amp;CountersTable[[#This Row],[Type]]&amp;CountersTable[[#This Row],[Source]]</f>
        <v>Unnamed ProjectccontaCoposLavadosCountUser Specified</v>
      </c>
      <c r="I86" cm="1">
        <f t="array" ref="I86">MAX(IF((ProjectInfoTable[ProjectName]=CountersTable[[#This Row],[ProjectName]]),(ProjectInfoTable[ProjectName]=CountersTable[[#This Row],[ProjectName]])*ProjectInfoTable[NumberOfReplications]))</f>
        <v>40</v>
      </c>
      <c r="J86" cm="1">
        <f t="array" ref="J86">IFERROR(AVERAGE(IF((CountersTable[GroupByKey]=CountersTable[[#This Row],[GroupByKey]]),(CountersTable[GroupByKey]=CountersTable[[#This Row],[GroupByKey]])*CountersTable[RecordedValue])),0)</f>
        <v>60.8</v>
      </c>
      <c r="K86" cm="1">
        <f t="array" ref="K86">IFERROR(_xlfn.STDEV.S(IF((CountersTable[GroupByKey]=CountersTable[[#This Row],[GroupByKey]]),(CountersTable[GroupByKey]=CountersTable[[#This Row],[GroupByKey]])*CountersTable[RecordedValue])),0)</f>
        <v>3.7361710826693093</v>
      </c>
      <c r="L86" cm="1">
        <f t="array" ref="L86">MAX(IF((ProjectInfoTable[ProjectName]=CountersTable[[#This Row],[ProjectName]]),(ProjectInfoTable[ProjectName]=CountersTable[[#This Row],[ProjectName]])*ProjectInfoTable[ConfidenceInterval]))</f>
        <v>0.95</v>
      </c>
      <c r="M8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6" cm="1">
        <f t="array" ref="N86">MIN(IF((CountersTable[GroupByKey]=CountersTable[[#This Row],[GroupByKey]]),(CountersTable[GroupByKey]=CountersTable[[#This Row],[GroupByKey]])*CountersTable[RecordedValue]))</f>
        <v>52</v>
      </c>
      <c r="O86" cm="1">
        <f t="array" ref="O86">MAX(IF((CountersTable[GroupByKey]=CountersTable[[#This Row],[GroupByKey]]),(CountersTable[GroupByKey]=CountersTable[[#This Row],[GroupByKey]])*CountersTable[RecordedValue]))</f>
        <v>66</v>
      </c>
    </row>
    <row r="87" spans="1:15" x14ac:dyDescent="0.35">
      <c r="A87" t="s">
        <v>66</v>
      </c>
      <c r="B87" t="s">
        <v>69</v>
      </c>
      <c r="C87">
        <v>29</v>
      </c>
      <c r="D87" t="s">
        <v>95</v>
      </c>
      <c r="E87" t="s">
        <v>93</v>
      </c>
      <c r="F87" t="s">
        <v>94</v>
      </c>
      <c r="G87">
        <v>59</v>
      </c>
      <c r="H87" t="str">
        <f>CountersTable[[#This Row],[ProjectName]]&amp;CountersTable[[#This Row],[Name]]&amp;CountersTable[[#This Row],[Type]]&amp;CountersTable[[#This Row],[Source]]</f>
        <v>Unnamed ProjectcontaBebidaCountUser Specified</v>
      </c>
      <c r="I87" cm="1">
        <f t="array" ref="I87">MAX(IF((ProjectInfoTable[ProjectName]=CountersTable[[#This Row],[ProjectName]]),(ProjectInfoTable[ProjectName]=CountersTable[[#This Row],[ProjectName]])*ProjectInfoTable[NumberOfReplications]))</f>
        <v>40</v>
      </c>
      <c r="J87" cm="1">
        <f t="array" ref="J87">IFERROR(AVERAGE(IF((CountersTable[GroupByKey]=CountersTable[[#This Row],[GroupByKey]]),(CountersTable[GroupByKey]=CountersTable[[#This Row],[GroupByKey]])*CountersTable[RecordedValue])),0)</f>
        <v>60.8</v>
      </c>
      <c r="K87" cm="1">
        <f t="array" ref="K87">IFERROR(_xlfn.STDEV.S(IF((CountersTable[GroupByKey]=CountersTable[[#This Row],[GroupByKey]]),(CountersTable[GroupByKey]=CountersTable[[#This Row],[GroupByKey]])*CountersTable[RecordedValue])),0)</f>
        <v>3.7361710826693093</v>
      </c>
      <c r="L87" cm="1">
        <f t="array" ref="L87">MAX(IF((ProjectInfoTable[ProjectName]=CountersTable[[#This Row],[ProjectName]]),(ProjectInfoTable[ProjectName]=CountersTable[[#This Row],[ProjectName]])*ProjectInfoTable[ConfidenceInterval]))</f>
        <v>0.95</v>
      </c>
      <c r="M8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7" cm="1">
        <f t="array" ref="N87">MIN(IF((CountersTable[GroupByKey]=CountersTable[[#This Row],[GroupByKey]]),(CountersTable[GroupByKey]=CountersTable[[#This Row],[GroupByKey]])*CountersTable[RecordedValue]))</f>
        <v>52</v>
      </c>
      <c r="O87" cm="1">
        <f t="array" ref="O87">MAX(IF((CountersTable[GroupByKey]=CountersTable[[#This Row],[GroupByKey]]),(CountersTable[GroupByKey]=CountersTable[[#This Row],[GroupByKey]])*CountersTable[RecordedValue]))</f>
        <v>66</v>
      </c>
    </row>
    <row r="88" spans="1:15" x14ac:dyDescent="0.35">
      <c r="A88" t="s">
        <v>66</v>
      </c>
      <c r="B88" t="s">
        <v>69</v>
      </c>
      <c r="C88">
        <v>29</v>
      </c>
      <c r="D88" t="s">
        <v>96</v>
      </c>
      <c r="E88" t="s">
        <v>93</v>
      </c>
      <c r="F88" t="s">
        <v>94</v>
      </c>
      <c r="G88">
        <v>38</v>
      </c>
      <c r="H8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8" cm="1">
        <f t="array" ref="I88">MAX(IF((ProjectInfoTable[ProjectName]=CountersTable[[#This Row],[ProjectName]]),(ProjectInfoTable[ProjectName]=CountersTable[[#This Row],[ProjectName]])*ProjectInfoTable[NumberOfReplications]))</f>
        <v>40</v>
      </c>
      <c r="J88" cm="1">
        <f t="array" ref="J88">IFERROR(AVERAGE(IF((CountersTable[GroupByKey]=CountersTable[[#This Row],[GroupByKey]]),(CountersTable[GroupByKey]=CountersTable[[#This Row],[GroupByKey]])*CountersTable[RecordedValue])),0)</f>
        <v>38.85</v>
      </c>
      <c r="K88" cm="1">
        <f t="array" ref="K88">IFERROR(_xlfn.STDEV.S(IF((CountersTable[GroupByKey]=CountersTable[[#This Row],[GroupByKey]]),(CountersTable[GroupByKey]=CountersTable[[#This Row],[GroupByKey]])*CountersTable[RecordedValue])),0)</f>
        <v>2.8152515030883167</v>
      </c>
      <c r="L88" cm="1">
        <f t="array" ref="L88">MAX(IF((ProjectInfoTable[ProjectName]=CountersTable[[#This Row],[ProjectName]]),(ProjectInfoTable[ProjectName]=CountersTable[[#This Row],[ProjectName]])*ProjectInfoTable[ConfidenceInterval]))</f>
        <v>0.95</v>
      </c>
      <c r="M88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88" cm="1">
        <f t="array" ref="N88">MIN(IF((CountersTable[GroupByKey]=CountersTable[[#This Row],[GroupByKey]]),(CountersTable[GroupByKey]=CountersTable[[#This Row],[GroupByKey]])*CountersTable[RecordedValue]))</f>
        <v>32</v>
      </c>
      <c r="O88" cm="1">
        <f t="array" ref="O88">MAX(IF((CountersTable[GroupByKey]=CountersTable[[#This Row],[GroupByKey]]),(CountersTable[GroupByKey]=CountersTable[[#This Row],[GroupByKey]])*CountersTable[RecordedValue]))</f>
        <v>44</v>
      </c>
    </row>
    <row r="89" spans="1:15" x14ac:dyDescent="0.35">
      <c r="A89" t="s">
        <v>66</v>
      </c>
      <c r="B89" t="s">
        <v>69</v>
      </c>
      <c r="C89">
        <v>30</v>
      </c>
      <c r="D89" t="s">
        <v>92</v>
      </c>
      <c r="E89" t="s">
        <v>93</v>
      </c>
      <c r="F89" t="s">
        <v>94</v>
      </c>
      <c r="G89">
        <v>52</v>
      </c>
      <c r="H89" t="str">
        <f>CountersTable[[#This Row],[ProjectName]]&amp;CountersTable[[#This Row],[Name]]&amp;CountersTable[[#This Row],[Type]]&amp;CountersTable[[#This Row],[Source]]</f>
        <v>Unnamed ProjectccontaCoposLavadosCountUser Specified</v>
      </c>
      <c r="I89" cm="1">
        <f t="array" ref="I89">MAX(IF((ProjectInfoTable[ProjectName]=CountersTable[[#This Row],[ProjectName]]),(ProjectInfoTable[ProjectName]=CountersTable[[#This Row],[ProjectName]])*ProjectInfoTable[NumberOfReplications]))</f>
        <v>40</v>
      </c>
      <c r="J89" cm="1">
        <f t="array" ref="J89">IFERROR(AVERAGE(IF((CountersTable[GroupByKey]=CountersTable[[#This Row],[GroupByKey]]),(CountersTable[GroupByKey]=CountersTable[[#This Row],[GroupByKey]])*CountersTable[RecordedValue])),0)</f>
        <v>60.8</v>
      </c>
      <c r="K89" cm="1">
        <f t="array" ref="K89">IFERROR(_xlfn.STDEV.S(IF((CountersTable[GroupByKey]=CountersTable[[#This Row],[GroupByKey]]),(CountersTable[GroupByKey]=CountersTable[[#This Row],[GroupByKey]])*CountersTable[RecordedValue])),0)</f>
        <v>3.7361710826693093</v>
      </c>
      <c r="L89" cm="1">
        <f t="array" ref="L89">MAX(IF((ProjectInfoTable[ProjectName]=CountersTable[[#This Row],[ProjectName]]),(ProjectInfoTable[ProjectName]=CountersTable[[#This Row],[ProjectName]])*ProjectInfoTable[ConfidenceInterval]))</f>
        <v>0.95</v>
      </c>
      <c r="M8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89" cm="1">
        <f t="array" ref="N89">MIN(IF((CountersTable[GroupByKey]=CountersTable[[#This Row],[GroupByKey]]),(CountersTable[GroupByKey]=CountersTable[[#This Row],[GroupByKey]])*CountersTable[RecordedValue]))</f>
        <v>52</v>
      </c>
      <c r="O89" cm="1">
        <f t="array" ref="O89">MAX(IF((CountersTable[GroupByKey]=CountersTable[[#This Row],[GroupByKey]]),(CountersTable[GroupByKey]=CountersTable[[#This Row],[GroupByKey]])*CountersTable[RecordedValue]))</f>
        <v>66</v>
      </c>
    </row>
    <row r="90" spans="1:15" x14ac:dyDescent="0.35">
      <c r="A90" t="s">
        <v>66</v>
      </c>
      <c r="B90" t="s">
        <v>69</v>
      </c>
      <c r="C90">
        <v>30</v>
      </c>
      <c r="D90" t="s">
        <v>95</v>
      </c>
      <c r="E90" t="s">
        <v>93</v>
      </c>
      <c r="F90" t="s">
        <v>94</v>
      </c>
      <c r="G90">
        <v>52</v>
      </c>
      <c r="H90" t="str">
        <f>CountersTable[[#This Row],[ProjectName]]&amp;CountersTable[[#This Row],[Name]]&amp;CountersTable[[#This Row],[Type]]&amp;CountersTable[[#This Row],[Source]]</f>
        <v>Unnamed ProjectcontaBebidaCountUser Specified</v>
      </c>
      <c r="I90" cm="1">
        <f t="array" ref="I90">MAX(IF((ProjectInfoTable[ProjectName]=CountersTable[[#This Row],[ProjectName]]),(ProjectInfoTable[ProjectName]=CountersTable[[#This Row],[ProjectName]])*ProjectInfoTable[NumberOfReplications]))</f>
        <v>40</v>
      </c>
      <c r="J90" cm="1">
        <f t="array" ref="J90">IFERROR(AVERAGE(IF((CountersTable[GroupByKey]=CountersTable[[#This Row],[GroupByKey]]),(CountersTable[GroupByKey]=CountersTable[[#This Row],[GroupByKey]])*CountersTable[RecordedValue])),0)</f>
        <v>60.8</v>
      </c>
      <c r="K90" cm="1">
        <f t="array" ref="K90">IFERROR(_xlfn.STDEV.S(IF((CountersTable[GroupByKey]=CountersTable[[#This Row],[GroupByKey]]),(CountersTable[GroupByKey]=CountersTable[[#This Row],[GroupByKey]])*CountersTable[RecordedValue])),0)</f>
        <v>3.7361710826693093</v>
      </c>
      <c r="L90" cm="1">
        <f t="array" ref="L90">MAX(IF((ProjectInfoTable[ProjectName]=CountersTable[[#This Row],[ProjectName]]),(ProjectInfoTable[ProjectName]=CountersTable[[#This Row],[ProjectName]])*ProjectInfoTable[ConfidenceInterval]))</f>
        <v>0.95</v>
      </c>
      <c r="M9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0" cm="1">
        <f t="array" ref="N90">MIN(IF((CountersTable[GroupByKey]=CountersTable[[#This Row],[GroupByKey]]),(CountersTable[GroupByKey]=CountersTable[[#This Row],[GroupByKey]])*CountersTable[RecordedValue]))</f>
        <v>52</v>
      </c>
      <c r="O90" cm="1">
        <f t="array" ref="O90">MAX(IF((CountersTable[GroupByKey]=CountersTable[[#This Row],[GroupByKey]]),(CountersTable[GroupByKey]=CountersTable[[#This Row],[GroupByKey]])*CountersTable[RecordedValue]))</f>
        <v>66</v>
      </c>
    </row>
    <row r="91" spans="1:15" x14ac:dyDescent="0.35">
      <c r="A91" t="s">
        <v>66</v>
      </c>
      <c r="B91" t="s">
        <v>69</v>
      </c>
      <c r="C91">
        <v>30</v>
      </c>
      <c r="D91" t="s">
        <v>96</v>
      </c>
      <c r="E91" t="s">
        <v>93</v>
      </c>
      <c r="F91" t="s">
        <v>94</v>
      </c>
      <c r="G91">
        <v>34</v>
      </c>
      <c r="H9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1" cm="1">
        <f t="array" ref="I91">MAX(IF((ProjectInfoTable[ProjectName]=CountersTable[[#This Row],[ProjectName]]),(ProjectInfoTable[ProjectName]=CountersTable[[#This Row],[ProjectName]])*ProjectInfoTable[NumberOfReplications]))</f>
        <v>40</v>
      </c>
      <c r="J91" cm="1">
        <f t="array" ref="J91">IFERROR(AVERAGE(IF((CountersTable[GroupByKey]=CountersTable[[#This Row],[GroupByKey]]),(CountersTable[GroupByKey]=CountersTable[[#This Row],[GroupByKey]])*CountersTable[RecordedValue])),0)</f>
        <v>38.85</v>
      </c>
      <c r="K91" cm="1">
        <f t="array" ref="K91">IFERROR(_xlfn.STDEV.S(IF((CountersTable[GroupByKey]=CountersTable[[#This Row],[GroupByKey]]),(CountersTable[GroupByKey]=CountersTable[[#This Row],[GroupByKey]])*CountersTable[RecordedValue])),0)</f>
        <v>2.8152515030883167</v>
      </c>
      <c r="L91" cm="1">
        <f t="array" ref="L91">MAX(IF((ProjectInfoTable[ProjectName]=CountersTable[[#This Row],[ProjectName]]),(ProjectInfoTable[ProjectName]=CountersTable[[#This Row],[ProjectName]])*ProjectInfoTable[ConfidenceInterval]))</f>
        <v>0.95</v>
      </c>
      <c r="M91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91" cm="1">
        <f t="array" ref="N91">MIN(IF((CountersTable[GroupByKey]=CountersTable[[#This Row],[GroupByKey]]),(CountersTable[GroupByKey]=CountersTable[[#This Row],[GroupByKey]])*CountersTable[RecordedValue]))</f>
        <v>32</v>
      </c>
      <c r="O91" cm="1">
        <f t="array" ref="O91">MAX(IF((CountersTable[GroupByKey]=CountersTable[[#This Row],[GroupByKey]]),(CountersTable[GroupByKey]=CountersTable[[#This Row],[GroupByKey]])*CountersTable[RecordedValue]))</f>
        <v>44</v>
      </c>
    </row>
    <row r="92" spans="1:15" x14ac:dyDescent="0.35">
      <c r="A92" t="s">
        <v>66</v>
      </c>
      <c r="B92" t="s">
        <v>69</v>
      </c>
      <c r="C92">
        <v>31</v>
      </c>
      <c r="D92" t="s">
        <v>92</v>
      </c>
      <c r="E92" t="s">
        <v>93</v>
      </c>
      <c r="F92" t="s">
        <v>94</v>
      </c>
      <c r="G92">
        <v>62</v>
      </c>
      <c r="H92" t="str">
        <f>CountersTable[[#This Row],[ProjectName]]&amp;CountersTable[[#This Row],[Name]]&amp;CountersTable[[#This Row],[Type]]&amp;CountersTable[[#This Row],[Source]]</f>
        <v>Unnamed ProjectccontaCoposLavadosCountUser Specified</v>
      </c>
      <c r="I92" cm="1">
        <f t="array" ref="I92">MAX(IF((ProjectInfoTable[ProjectName]=CountersTable[[#This Row],[ProjectName]]),(ProjectInfoTable[ProjectName]=CountersTable[[#This Row],[ProjectName]])*ProjectInfoTable[NumberOfReplications]))</f>
        <v>40</v>
      </c>
      <c r="J92" cm="1">
        <f t="array" ref="J92">IFERROR(AVERAGE(IF((CountersTable[GroupByKey]=CountersTable[[#This Row],[GroupByKey]]),(CountersTable[GroupByKey]=CountersTable[[#This Row],[GroupByKey]])*CountersTable[RecordedValue])),0)</f>
        <v>60.8</v>
      </c>
      <c r="K92" cm="1">
        <f t="array" ref="K92">IFERROR(_xlfn.STDEV.S(IF((CountersTable[GroupByKey]=CountersTable[[#This Row],[GroupByKey]]),(CountersTable[GroupByKey]=CountersTable[[#This Row],[GroupByKey]])*CountersTable[RecordedValue])),0)</f>
        <v>3.7361710826693093</v>
      </c>
      <c r="L92" cm="1">
        <f t="array" ref="L92">MAX(IF((ProjectInfoTable[ProjectName]=CountersTable[[#This Row],[ProjectName]]),(ProjectInfoTable[ProjectName]=CountersTable[[#This Row],[ProjectName]])*ProjectInfoTable[ConfidenceInterval]))</f>
        <v>0.95</v>
      </c>
      <c r="M9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2" cm="1">
        <f t="array" ref="N92">MIN(IF((CountersTable[GroupByKey]=CountersTable[[#This Row],[GroupByKey]]),(CountersTable[GroupByKey]=CountersTable[[#This Row],[GroupByKey]])*CountersTable[RecordedValue]))</f>
        <v>52</v>
      </c>
      <c r="O92" cm="1">
        <f t="array" ref="O92">MAX(IF((CountersTable[GroupByKey]=CountersTable[[#This Row],[GroupByKey]]),(CountersTable[GroupByKey]=CountersTable[[#This Row],[GroupByKey]])*CountersTable[RecordedValue]))</f>
        <v>66</v>
      </c>
    </row>
    <row r="93" spans="1:15" x14ac:dyDescent="0.35">
      <c r="A93" t="s">
        <v>66</v>
      </c>
      <c r="B93" t="s">
        <v>69</v>
      </c>
      <c r="C93">
        <v>31</v>
      </c>
      <c r="D93" t="s">
        <v>95</v>
      </c>
      <c r="E93" t="s">
        <v>93</v>
      </c>
      <c r="F93" t="s">
        <v>94</v>
      </c>
      <c r="G93">
        <v>62</v>
      </c>
      <c r="H93" t="str">
        <f>CountersTable[[#This Row],[ProjectName]]&amp;CountersTable[[#This Row],[Name]]&amp;CountersTable[[#This Row],[Type]]&amp;CountersTable[[#This Row],[Source]]</f>
        <v>Unnamed ProjectcontaBebidaCountUser Specified</v>
      </c>
      <c r="I93" cm="1">
        <f t="array" ref="I93">MAX(IF((ProjectInfoTable[ProjectName]=CountersTable[[#This Row],[ProjectName]]),(ProjectInfoTable[ProjectName]=CountersTable[[#This Row],[ProjectName]])*ProjectInfoTable[NumberOfReplications]))</f>
        <v>40</v>
      </c>
      <c r="J93" cm="1">
        <f t="array" ref="J93">IFERROR(AVERAGE(IF((CountersTable[GroupByKey]=CountersTable[[#This Row],[GroupByKey]]),(CountersTable[GroupByKey]=CountersTable[[#This Row],[GroupByKey]])*CountersTable[RecordedValue])),0)</f>
        <v>60.8</v>
      </c>
      <c r="K93" cm="1">
        <f t="array" ref="K93">IFERROR(_xlfn.STDEV.S(IF((CountersTable[GroupByKey]=CountersTable[[#This Row],[GroupByKey]]),(CountersTable[GroupByKey]=CountersTable[[#This Row],[GroupByKey]])*CountersTable[RecordedValue])),0)</f>
        <v>3.7361710826693093</v>
      </c>
      <c r="L93" cm="1">
        <f t="array" ref="L93">MAX(IF((ProjectInfoTable[ProjectName]=CountersTable[[#This Row],[ProjectName]]),(ProjectInfoTable[ProjectName]=CountersTable[[#This Row],[ProjectName]])*ProjectInfoTable[ConfidenceInterval]))</f>
        <v>0.95</v>
      </c>
      <c r="M9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3" cm="1">
        <f t="array" ref="N93">MIN(IF((CountersTable[GroupByKey]=CountersTable[[#This Row],[GroupByKey]]),(CountersTable[GroupByKey]=CountersTable[[#This Row],[GroupByKey]])*CountersTable[RecordedValue]))</f>
        <v>52</v>
      </c>
      <c r="O93" cm="1">
        <f t="array" ref="O93">MAX(IF((CountersTable[GroupByKey]=CountersTable[[#This Row],[GroupByKey]]),(CountersTable[GroupByKey]=CountersTable[[#This Row],[GroupByKey]])*CountersTable[RecordedValue]))</f>
        <v>66</v>
      </c>
    </row>
    <row r="94" spans="1:15" x14ac:dyDescent="0.35">
      <c r="A94" t="s">
        <v>66</v>
      </c>
      <c r="B94" t="s">
        <v>69</v>
      </c>
      <c r="C94">
        <v>31</v>
      </c>
      <c r="D94" t="s">
        <v>96</v>
      </c>
      <c r="E94" t="s">
        <v>93</v>
      </c>
      <c r="F94" t="s">
        <v>94</v>
      </c>
      <c r="G94">
        <v>41</v>
      </c>
      <c r="H9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4" cm="1">
        <f t="array" ref="I94">MAX(IF((ProjectInfoTable[ProjectName]=CountersTable[[#This Row],[ProjectName]]),(ProjectInfoTable[ProjectName]=CountersTable[[#This Row],[ProjectName]])*ProjectInfoTable[NumberOfReplications]))</f>
        <v>40</v>
      </c>
      <c r="J94" cm="1">
        <f t="array" ref="J94">IFERROR(AVERAGE(IF((CountersTable[GroupByKey]=CountersTable[[#This Row],[GroupByKey]]),(CountersTable[GroupByKey]=CountersTable[[#This Row],[GroupByKey]])*CountersTable[RecordedValue])),0)</f>
        <v>38.85</v>
      </c>
      <c r="K94" cm="1">
        <f t="array" ref="K94">IFERROR(_xlfn.STDEV.S(IF((CountersTable[GroupByKey]=CountersTable[[#This Row],[GroupByKey]]),(CountersTable[GroupByKey]=CountersTable[[#This Row],[GroupByKey]])*CountersTable[RecordedValue])),0)</f>
        <v>2.8152515030883167</v>
      </c>
      <c r="L94" cm="1">
        <f t="array" ref="L94">MAX(IF((ProjectInfoTable[ProjectName]=CountersTable[[#This Row],[ProjectName]]),(ProjectInfoTable[ProjectName]=CountersTable[[#This Row],[ProjectName]])*ProjectInfoTable[ConfidenceInterval]))</f>
        <v>0.95</v>
      </c>
      <c r="M94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94" cm="1">
        <f t="array" ref="N94">MIN(IF((CountersTable[GroupByKey]=CountersTable[[#This Row],[GroupByKey]]),(CountersTable[GroupByKey]=CountersTable[[#This Row],[GroupByKey]])*CountersTable[RecordedValue]))</f>
        <v>32</v>
      </c>
      <c r="O94" cm="1">
        <f t="array" ref="O94">MAX(IF((CountersTable[GroupByKey]=CountersTable[[#This Row],[GroupByKey]]),(CountersTable[GroupByKey]=CountersTable[[#This Row],[GroupByKey]])*CountersTable[RecordedValue]))</f>
        <v>44</v>
      </c>
    </row>
    <row r="95" spans="1:15" x14ac:dyDescent="0.35">
      <c r="A95" t="s">
        <v>66</v>
      </c>
      <c r="B95" t="s">
        <v>69</v>
      </c>
      <c r="C95">
        <v>32</v>
      </c>
      <c r="D95" t="s">
        <v>92</v>
      </c>
      <c r="E95" t="s">
        <v>93</v>
      </c>
      <c r="F95" t="s">
        <v>94</v>
      </c>
      <c r="G95">
        <v>60</v>
      </c>
      <c r="H95" t="str">
        <f>CountersTable[[#This Row],[ProjectName]]&amp;CountersTable[[#This Row],[Name]]&amp;CountersTable[[#This Row],[Type]]&amp;CountersTable[[#This Row],[Source]]</f>
        <v>Unnamed ProjectccontaCoposLavadosCountUser Specified</v>
      </c>
      <c r="I95" cm="1">
        <f t="array" ref="I95">MAX(IF((ProjectInfoTable[ProjectName]=CountersTable[[#This Row],[ProjectName]]),(ProjectInfoTable[ProjectName]=CountersTable[[#This Row],[ProjectName]])*ProjectInfoTable[NumberOfReplications]))</f>
        <v>40</v>
      </c>
      <c r="J95" cm="1">
        <f t="array" ref="J95">IFERROR(AVERAGE(IF((CountersTable[GroupByKey]=CountersTable[[#This Row],[GroupByKey]]),(CountersTable[GroupByKey]=CountersTable[[#This Row],[GroupByKey]])*CountersTable[RecordedValue])),0)</f>
        <v>60.8</v>
      </c>
      <c r="K95" cm="1">
        <f t="array" ref="K95">IFERROR(_xlfn.STDEV.S(IF((CountersTable[GroupByKey]=CountersTable[[#This Row],[GroupByKey]]),(CountersTable[GroupByKey]=CountersTable[[#This Row],[GroupByKey]])*CountersTable[RecordedValue])),0)</f>
        <v>3.7361710826693093</v>
      </c>
      <c r="L95" cm="1">
        <f t="array" ref="L95">MAX(IF((ProjectInfoTable[ProjectName]=CountersTable[[#This Row],[ProjectName]]),(ProjectInfoTable[ProjectName]=CountersTable[[#This Row],[ProjectName]])*ProjectInfoTable[ConfidenceInterval]))</f>
        <v>0.95</v>
      </c>
      <c r="M9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5" cm="1">
        <f t="array" ref="N95">MIN(IF((CountersTable[GroupByKey]=CountersTable[[#This Row],[GroupByKey]]),(CountersTable[GroupByKey]=CountersTable[[#This Row],[GroupByKey]])*CountersTable[RecordedValue]))</f>
        <v>52</v>
      </c>
      <c r="O95" cm="1">
        <f t="array" ref="O95">MAX(IF((CountersTable[GroupByKey]=CountersTable[[#This Row],[GroupByKey]]),(CountersTable[GroupByKey]=CountersTable[[#This Row],[GroupByKey]])*CountersTable[RecordedValue]))</f>
        <v>66</v>
      </c>
    </row>
    <row r="96" spans="1:15" x14ac:dyDescent="0.35">
      <c r="A96" t="s">
        <v>66</v>
      </c>
      <c r="B96" t="s">
        <v>69</v>
      </c>
      <c r="C96">
        <v>32</v>
      </c>
      <c r="D96" t="s">
        <v>95</v>
      </c>
      <c r="E96" t="s">
        <v>93</v>
      </c>
      <c r="F96" t="s">
        <v>94</v>
      </c>
      <c r="G96">
        <v>60</v>
      </c>
      <c r="H96" t="str">
        <f>CountersTable[[#This Row],[ProjectName]]&amp;CountersTable[[#This Row],[Name]]&amp;CountersTable[[#This Row],[Type]]&amp;CountersTable[[#This Row],[Source]]</f>
        <v>Unnamed ProjectcontaBebidaCountUser Specified</v>
      </c>
      <c r="I96" cm="1">
        <f t="array" ref="I96">MAX(IF((ProjectInfoTable[ProjectName]=CountersTable[[#This Row],[ProjectName]]),(ProjectInfoTable[ProjectName]=CountersTable[[#This Row],[ProjectName]])*ProjectInfoTable[NumberOfReplications]))</f>
        <v>40</v>
      </c>
      <c r="J96" cm="1">
        <f t="array" ref="J96">IFERROR(AVERAGE(IF((CountersTable[GroupByKey]=CountersTable[[#This Row],[GroupByKey]]),(CountersTable[GroupByKey]=CountersTable[[#This Row],[GroupByKey]])*CountersTable[RecordedValue])),0)</f>
        <v>60.8</v>
      </c>
      <c r="K96" cm="1">
        <f t="array" ref="K96">IFERROR(_xlfn.STDEV.S(IF((CountersTable[GroupByKey]=CountersTable[[#This Row],[GroupByKey]]),(CountersTable[GroupByKey]=CountersTable[[#This Row],[GroupByKey]])*CountersTable[RecordedValue])),0)</f>
        <v>3.7361710826693093</v>
      </c>
      <c r="L96" cm="1">
        <f t="array" ref="L96">MAX(IF((ProjectInfoTable[ProjectName]=CountersTable[[#This Row],[ProjectName]]),(ProjectInfoTable[ProjectName]=CountersTable[[#This Row],[ProjectName]])*ProjectInfoTable[ConfidenceInterval]))</f>
        <v>0.95</v>
      </c>
      <c r="M9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6" cm="1">
        <f t="array" ref="N96">MIN(IF((CountersTable[GroupByKey]=CountersTable[[#This Row],[GroupByKey]]),(CountersTable[GroupByKey]=CountersTable[[#This Row],[GroupByKey]])*CountersTable[RecordedValue]))</f>
        <v>52</v>
      </c>
      <c r="O96" cm="1">
        <f t="array" ref="O96">MAX(IF((CountersTable[GroupByKey]=CountersTable[[#This Row],[GroupByKey]]),(CountersTable[GroupByKey]=CountersTable[[#This Row],[GroupByKey]])*CountersTable[RecordedValue]))</f>
        <v>66</v>
      </c>
    </row>
    <row r="97" spans="1:15" x14ac:dyDescent="0.35">
      <c r="A97" t="s">
        <v>66</v>
      </c>
      <c r="B97" t="s">
        <v>69</v>
      </c>
      <c r="C97">
        <v>32</v>
      </c>
      <c r="D97" t="s">
        <v>96</v>
      </c>
      <c r="E97" t="s">
        <v>93</v>
      </c>
      <c r="F97" t="s">
        <v>94</v>
      </c>
      <c r="G97">
        <v>41</v>
      </c>
      <c r="H9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7" cm="1">
        <f t="array" ref="I97">MAX(IF((ProjectInfoTable[ProjectName]=CountersTable[[#This Row],[ProjectName]]),(ProjectInfoTable[ProjectName]=CountersTable[[#This Row],[ProjectName]])*ProjectInfoTable[NumberOfReplications]))</f>
        <v>40</v>
      </c>
      <c r="J97" cm="1">
        <f t="array" ref="J97">IFERROR(AVERAGE(IF((CountersTable[GroupByKey]=CountersTable[[#This Row],[GroupByKey]]),(CountersTable[GroupByKey]=CountersTable[[#This Row],[GroupByKey]])*CountersTable[RecordedValue])),0)</f>
        <v>38.85</v>
      </c>
      <c r="K97" cm="1">
        <f t="array" ref="K97">IFERROR(_xlfn.STDEV.S(IF((CountersTable[GroupByKey]=CountersTable[[#This Row],[GroupByKey]]),(CountersTable[GroupByKey]=CountersTable[[#This Row],[GroupByKey]])*CountersTable[RecordedValue])),0)</f>
        <v>2.8152515030883167</v>
      </c>
      <c r="L97" cm="1">
        <f t="array" ref="L97">MAX(IF((ProjectInfoTable[ProjectName]=CountersTable[[#This Row],[ProjectName]]),(ProjectInfoTable[ProjectName]=CountersTable[[#This Row],[ProjectName]])*ProjectInfoTable[ConfidenceInterval]))</f>
        <v>0.95</v>
      </c>
      <c r="M97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97" cm="1">
        <f t="array" ref="N97">MIN(IF((CountersTable[GroupByKey]=CountersTable[[#This Row],[GroupByKey]]),(CountersTable[GroupByKey]=CountersTable[[#This Row],[GroupByKey]])*CountersTable[RecordedValue]))</f>
        <v>32</v>
      </c>
      <c r="O97" cm="1">
        <f t="array" ref="O97">MAX(IF((CountersTable[GroupByKey]=CountersTable[[#This Row],[GroupByKey]]),(CountersTable[GroupByKey]=CountersTable[[#This Row],[GroupByKey]])*CountersTable[RecordedValue]))</f>
        <v>44</v>
      </c>
    </row>
    <row r="98" spans="1:15" x14ac:dyDescent="0.35">
      <c r="A98" t="s">
        <v>66</v>
      </c>
      <c r="B98" t="s">
        <v>69</v>
      </c>
      <c r="C98">
        <v>33</v>
      </c>
      <c r="D98" t="s">
        <v>92</v>
      </c>
      <c r="E98" t="s">
        <v>93</v>
      </c>
      <c r="F98" t="s">
        <v>94</v>
      </c>
      <c r="G98">
        <v>59</v>
      </c>
      <c r="H98" t="str">
        <f>CountersTable[[#This Row],[ProjectName]]&amp;CountersTable[[#This Row],[Name]]&amp;CountersTable[[#This Row],[Type]]&amp;CountersTable[[#This Row],[Source]]</f>
        <v>Unnamed ProjectccontaCoposLavadosCountUser Specified</v>
      </c>
      <c r="I98" cm="1">
        <f t="array" ref="I98">MAX(IF((ProjectInfoTable[ProjectName]=CountersTable[[#This Row],[ProjectName]]),(ProjectInfoTable[ProjectName]=CountersTable[[#This Row],[ProjectName]])*ProjectInfoTable[NumberOfReplications]))</f>
        <v>40</v>
      </c>
      <c r="J98" cm="1">
        <f t="array" ref="J98">IFERROR(AVERAGE(IF((CountersTable[GroupByKey]=CountersTable[[#This Row],[GroupByKey]]),(CountersTable[GroupByKey]=CountersTable[[#This Row],[GroupByKey]])*CountersTable[RecordedValue])),0)</f>
        <v>60.8</v>
      </c>
      <c r="K98" cm="1">
        <f t="array" ref="K98">IFERROR(_xlfn.STDEV.S(IF((CountersTable[GroupByKey]=CountersTable[[#This Row],[GroupByKey]]),(CountersTable[GroupByKey]=CountersTable[[#This Row],[GroupByKey]])*CountersTable[RecordedValue])),0)</f>
        <v>3.7361710826693093</v>
      </c>
      <c r="L98" cm="1">
        <f t="array" ref="L98">MAX(IF((ProjectInfoTable[ProjectName]=CountersTable[[#This Row],[ProjectName]]),(ProjectInfoTable[ProjectName]=CountersTable[[#This Row],[ProjectName]])*ProjectInfoTable[ConfidenceInterval]))</f>
        <v>0.95</v>
      </c>
      <c r="M9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8" cm="1">
        <f t="array" ref="N98">MIN(IF((CountersTable[GroupByKey]=CountersTable[[#This Row],[GroupByKey]]),(CountersTable[GroupByKey]=CountersTable[[#This Row],[GroupByKey]])*CountersTable[RecordedValue]))</f>
        <v>52</v>
      </c>
      <c r="O98" cm="1">
        <f t="array" ref="O98">MAX(IF((CountersTable[GroupByKey]=CountersTable[[#This Row],[GroupByKey]]),(CountersTable[GroupByKey]=CountersTable[[#This Row],[GroupByKey]])*CountersTable[RecordedValue]))</f>
        <v>66</v>
      </c>
    </row>
    <row r="99" spans="1:15" x14ac:dyDescent="0.35">
      <c r="A99" t="s">
        <v>66</v>
      </c>
      <c r="B99" t="s">
        <v>69</v>
      </c>
      <c r="C99">
        <v>33</v>
      </c>
      <c r="D99" t="s">
        <v>95</v>
      </c>
      <c r="E99" t="s">
        <v>93</v>
      </c>
      <c r="F99" t="s">
        <v>94</v>
      </c>
      <c r="G99">
        <v>59</v>
      </c>
      <c r="H99" t="str">
        <f>CountersTable[[#This Row],[ProjectName]]&amp;CountersTable[[#This Row],[Name]]&amp;CountersTable[[#This Row],[Type]]&amp;CountersTable[[#This Row],[Source]]</f>
        <v>Unnamed ProjectcontaBebidaCountUser Specified</v>
      </c>
      <c r="I99" cm="1">
        <f t="array" ref="I99">MAX(IF((ProjectInfoTable[ProjectName]=CountersTable[[#This Row],[ProjectName]]),(ProjectInfoTable[ProjectName]=CountersTable[[#This Row],[ProjectName]])*ProjectInfoTable[NumberOfReplications]))</f>
        <v>40</v>
      </c>
      <c r="J99" cm="1">
        <f t="array" ref="J99">IFERROR(AVERAGE(IF((CountersTable[GroupByKey]=CountersTable[[#This Row],[GroupByKey]]),(CountersTable[GroupByKey]=CountersTable[[#This Row],[GroupByKey]])*CountersTable[RecordedValue])),0)</f>
        <v>60.8</v>
      </c>
      <c r="K99" cm="1">
        <f t="array" ref="K99">IFERROR(_xlfn.STDEV.S(IF((CountersTable[GroupByKey]=CountersTable[[#This Row],[GroupByKey]]),(CountersTable[GroupByKey]=CountersTable[[#This Row],[GroupByKey]])*CountersTable[RecordedValue])),0)</f>
        <v>3.7361710826693093</v>
      </c>
      <c r="L99" cm="1">
        <f t="array" ref="L99">MAX(IF((ProjectInfoTable[ProjectName]=CountersTable[[#This Row],[ProjectName]]),(ProjectInfoTable[ProjectName]=CountersTable[[#This Row],[ProjectName]])*ProjectInfoTable[ConfidenceInterval]))</f>
        <v>0.95</v>
      </c>
      <c r="M9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99" cm="1">
        <f t="array" ref="N99">MIN(IF((CountersTable[GroupByKey]=CountersTable[[#This Row],[GroupByKey]]),(CountersTable[GroupByKey]=CountersTable[[#This Row],[GroupByKey]])*CountersTable[RecordedValue]))</f>
        <v>52</v>
      </c>
      <c r="O99" cm="1">
        <f t="array" ref="O99">MAX(IF((CountersTable[GroupByKey]=CountersTable[[#This Row],[GroupByKey]]),(CountersTable[GroupByKey]=CountersTable[[#This Row],[GroupByKey]])*CountersTable[RecordedValue]))</f>
        <v>66</v>
      </c>
    </row>
    <row r="100" spans="1:15" x14ac:dyDescent="0.35">
      <c r="A100" t="s">
        <v>66</v>
      </c>
      <c r="B100" t="s">
        <v>69</v>
      </c>
      <c r="C100">
        <v>33</v>
      </c>
      <c r="D100" t="s">
        <v>96</v>
      </c>
      <c r="E100" t="s">
        <v>93</v>
      </c>
      <c r="F100" t="s">
        <v>94</v>
      </c>
      <c r="G100">
        <v>37</v>
      </c>
      <c r="H10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0" cm="1">
        <f t="array" ref="I100">MAX(IF((ProjectInfoTable[ProjectName]=CountersTable[[#This Row],[ProjectName]]),(ProjectInfoTable[ProjectName]=CountersTable[[#This Row],[ProjectName]])*ProjectInfoTable[NumberOfReplications]))</f>
        <v>40</v>
      </c>
      <c r="J100" cm="1">
        <f t="array" ref="J100">IFERROR(AVERAGE(IF((CountersTable[GroupByKey]=CountersTable[[#This Row],[GroupByKey]]),(CountersTable[GroupByKey]=CountersTable[[#This Row],[GroupByKey]])*CountersTable[RecordedValue])),0)</f>
        <v>38.85</v>
      </c>
      <c r="K100" cm="1">
        <f t="array" ref="K100">IFERROR(_xlfn.STDEV.S(IF((CountersTable[GroupByKey]=CountersTable[[#This Row],[GroupByKey]]),(CountersTable[GroupByKey]=CountersTable[[#This Row],[GroupByKey]])*CountersTable[RecordedValue])),0)</f>
        <v>2.8152515030883167</v>
      </c>
      <c r="L100" cm="1">
        <f t="array" ref="L100">MAX(IF((ProjectInfoTable[ProjectName]=CountersTable[[#This Row],[ProjectName]]),(ProjectInfoTable[ProjectName]=CountersTable[[#This Row],[ProjectName]])*ProjectInfoTable[ConfidenceInterval]))</f>
        <v>0.95</v>
      </c>
      <c r="M100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00" cm="1">
        <f t="array" ref="N100">MIN(IF((CountersTable[GroupByKey]=CountersTable[[#This Row],[GroupByKey]]),(CountersTable[GroupByKey]=CountersTable[[#This Row],[GroupByKey]])*CountersTable[RecordedValue]))</f>
        <v>32</v>
      </c>
      <c r="O100" cm="1">
        <f t="array" ref="O100">MAX(IF((CountersTable[GroupByKey]=CountersTable[[#This Row],[GroupByKey]]),(CountersTable[GroupByKey]=CountersTable[[#This Row],[GroupByKey]])*CountersTable[RecordedValue]))</f>
        <v>44</v>
      </c>
    </row>
    <row r="101" spans="1:15" x14ac:dyDescent="0.35">
      <c r="A101" t="s">
        <v>66</v>
      </c>
      <c r="B101" t="s">
        <v>69</v>
      </c>
      <c r="C101">
        <v>34</v>
      </c>
      <c r="D101" t="s">
        <v>92</v>
      </c>
      <c r="E101" t="s">
        <v>93</v>
      </c>
      <c r="F101" t="s">
        <v>94</v>
      </c>
      <c r="G101">
        <v>64</v>
      </c>
      <c r="H101" t="str">
        <f>CountersTable[[#This Row],[ProjectName]]&amp;CountersTable[[#This Row],[Name]]&amp;CountersTable[[#This Row],[Type]]&amp;CountersTable[[#This Row],[Source]]</f>
        <v>Unnamed ProjectccontaCoposLavadosCountUser Specified</v>
      </c>
      <c r="I101" cm="1">
        <f t="array" ref="I101">MAX(IF((ProjectInfoTable[ProjectName]=CountersTable[[#This Row],[ProjectName]]),(ProjectInfoTable[ProjectName]=CountersTable[[#This Row],[ProjectName]])*ProjectInfoTable[NumberOfReplications]))</f>
        <v>40</v>
      </c>
      <c r="J101" cm="1">
        <f t="array" ref="J101">IFERROR(AVERAGE(IF((CountersTable[GroupByKey]=CountersTable[[#This Row],[GroupByKey]]),(CountersTable[GroupByKey]=CountersTable[[#This Row],[GroupByKey]])*CountersTable[RecordedValue])),0)</f>
        <v>60.8</v>
      </c>
      <c r="K101" cm="1">
        <f t="array" ref="K101">IFERROR(_xlfn.STDEV.S(IF((CountersTable[GroupByKey]=CountersTable[[#This Row],[GroupByKey]]),(CountersTable[GroupByKey]=CountersTable[[#This Row],[GroupByKey]])*CountersTable[RecordedValue])),0)</f>
        <v>3.7361710826693093</v>
      </c>
      <c r="L101" cm="1">
        <f t="array" ref="L101">MAX(IF((ProjectInfoTable[ProjectName]=CountersTable[[#This Row],[ProjectName]]),(ProjectInfoTable[ProjectName]=CountersTable[[#This Row],[ProjectName]])*ProjectInfoTable[ConfidenceInterval]))</f>
        <v>0.95</v>
      </c>
      <c r="M10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01" cm="1">
        <f t="array" ref="N101">MIN(IF((CountersTable[GroupByKey]=CountersTable[[#This Row],[GroupByKey]]),(CountersTable[GroupByKey]=CountersTable[[#This Row],[GroupByKey]])*CountersTable[RecordedValue]))</f>
        <v>52</v>
      </c>
      <c r="O101" cm="1">
        <f t="array" ref="O101">MAX(IF((CountersTable[GroupByKey]=CountersTable[[#This Row],[GroupByKey]]),(CountersTable[GroupByKey]=CountersTable[[#This Row],[GroupByKey]])*CountersTable[RecordedValue]))</f>
        <v>66</v>
      </c>
    </row>
    <row r="102" spans="1:15" x14ac:dyDescent="0.35">
      <c r="A102" t="s">
        <v>66</v>
      </c>
      <c r="B102" t="s">
        <v>69</v>
      </c>
      <c r="C102">
        <v>34</v>
      </c>
      <c r="D102" t="s">
        <v>95</v>
      </c>
      <c r="E102" t="s">
        <v>93</v>
      </c>
      <c r="F102" t="s">
        <v>94</v>
      </c>
      <c r="G102">
        <v>64</v>
      </c>
      <c r="H102" t="str">
        <f>CountersTable[[#This Row],[ProjectName]]&amp;CountersTable[[#This Row],[Name]]&amp;CountersTable[[#This Row],[Type]]&amp;CountersTable[[#This Row],[Source]]</f>
        <v>Unnamed ProjectcontaBebidaCountUser Specified</v>
      </c>
      <c r="I102" cm="1">
        <f t="array" ref="I102">MAX(IF((ProjectInfoTable[ProjectName]=CountersTable[[#This Row],[ProjectName]]),(ProjectInfoTable[ProjectName]=CountersTable[[#This Row],[ProjectName]])*ProjectInfoTable[NumberOfReplications]))</f>
        <v>40</v>
      </c>
      <c r="J102" cm="1">
        <f t="array" ref="J102">IFERROR(AVERAGE(IF((CountersTable[GroupByKey]=CountersTable[[#This Row],[GroupByKey]]),(CountersTable[GroupByKey]=CountersTable[[#This Row],[GroupByKey]])*CountersTable[RecordedValue])),0)</f>
        <v>60.8</v>
      </c>
      <c r="K102" cm="1">
        <f t="array" ref="K102">IFERROR(_xlfn.STDEV.S(IF((CountersTable[GroupByKey]=CountersTable[[#This Row],[GroupByKey]]),(CountersTable[GroupByKey]=CountersTable[[#This Row],[GroupByKey]])*CountersTable[RecordedValue])),0)</f>
        <v>3.7361710826693093</v>
      </c>
      <c r="L102" cm="1">
        <f t="array" ref="L102">MAX(IF((ProjectInfoTable[ProjectName]=CountersTable[[#This Row],[ProjectName]]),(ProjectInfoTable[ProjectName]=CountersTable[[#This Row],[ProjectName]])*ProjectInfoTable[ConfidenceInterval]))</f>
        <v>0.95</v>
      </c>
      <c r="M102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02" cm="1">
        <f t="array" ref="N102">MIN(IF((CountersTable[GroupByKey]=CountersTable[[#This Row],[GroupByKey]]),(CountersTable[GroupByKey]=CountersTable[[#This Row],[GroupByKey]])*CountersTable[RecordedValue]))</f>
        <v>52</v>
      </c>
      <c r="O102" cm="1">
        <f t="array" ref="O102">MAX(IF((CountersTable[GroupByKey]=CountersTable[[#This Row],[GroupByKey]]),(CountersTable[GroupByKey]=CountersTable[[#This Row],[GroupByKey]])*CountersTable[RecordedValue]))</f>
        <v>66</v>
      </c>
    </row>
    <row r="103" spans="1:15" x14ac:dyDescent="0.35">
      <c r="A103" t="s">
        <v>66</v>
      </c>
      <c r="B103" t="s">
        <v>69</v>
      </c>
      <c r="C103">
        <v>34</v>
      </c>
      <c r="D103" t="s">
        <v>96</v>
      </c>
      <c r="E103" t="s">
        <v>93</v>
      </c>
      <c r="F103" t="s">
        <v>94</v>
      </c>
      <c r="G103">
        <v>44</v>
      </c>
      <c r="H10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3" cm="1">
        <f t="array" ref="I103">MAX(IF((ProjectInfoTable[ProjectName]=CountersTable[[#This Row],[ProjectName]]),(ProjectInfoTable[ProjectName]=CountersTable[[#This Row],[ProjectName]])*ProjectInfoTable[NumberOfReplications]))</f>
        <v>40</v>
      </c>
      <c r="J103" cm="1">
        <f t="array" ref="J103">IFERROR(AVERAGE(IF((CountersTable[GroupByKey]=CountersTable[[#This Row],[GroupByKey]]),(CountersTable[GroupByKey]=CountersTable[[#This Row],[GroupByKey]])*CountersTable[RecordedValue])),0)</f>
        <v>38.85</v>
      </c>
      <c r="K103" cm="1">
        <f t="array" ref="K103">IFERROR(_xlfn.STDEV.S(IF((CountersTable[GroupByKey]=CountersTable[[#This Row],[GroupByKey]]),(CountersTable[GroupByKey]=CountersTable[[#This Row],[GroupByKey]])*CountersTable[RecordedValue])),0)</f>
        <v>2.8152515030883167</v>
      </c>
      <c r="L103" cm="1">
        <f t="array" ref="L103">MAX(IF((ProjectInfoTable[ProjectName]=CountersTable[[#This Row],[ProjectName]]),(ProjectInfoTable[ProjectName]=CountersTable[[#This Row],[ProjectName]])*ProjectInfoTable[ConfidenceInterval]))</f>
        <v>0.95</v>
      </c>
      <c r="M103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03" cm="1">
        <f t="array" ref="N103">MIN(IF((CountersTable[GroupByKey]=CountersTable[[#This Row],[GroupByKey]]),(CountersTable[GroupByKey]=CountersTable[[#This Row],[GroupByKey]])*CountersTable[RecordedValue]))</f>
        <v>32</v>
      </c>
      <c r="O103" cm="1">
        <f t="array" ref="O103">MAX(IF((CountersTable[GroupByKey]=CountersTable[[#This Row],[GroupByKey]]),(CountersTable[GroupByKey]=CountersTable[[#This Row],[GroupByKey]])*CountersTable[RecordedValue]))</f>
        <v>44</v>
      </c>
    </row>
    <row r="104" spans="1:15" x14ac:dyDescent="0.35">
      <c r="A104" t="s">
        <v>66</v>
      </c>
      <c r="B104" t="s">
        <v>69</v>
      </c>
      <c r="C104">
        <v>35</v>
      </c>
      <c r="D104" t="s">
        <v>92</v>
      </c>
      <c r="E104" t="s">
        <v>93</v>
      </c>
      <c r="F104" t="s">
        <v>94</v>
      </c>
      <c r="G104">
        <v>64</v>
      </c>
      <c r="H104" t="str">
        <f>CountersTable[[#This Row],[ProjectName]]&amp;CountersTable[[#This Row],[Name]]&amp;CountersTable[[#This Row],[Type]]&amp;CountersTable[[#This Row],[Source]]</f>
        <v>Unnamed ProjectccontaCoposLavadosCountUser Specified</v>
      </c>
      <c r="I104" cm="1">
        <f t="array" ref="I104">MAX(IF((ProjectInfoTable[ProjectName]=CountersTable[[#This Row],[ProjectName]]),(ProjectInfoTable[ProjectName]=CountersTable[[#This Row],[ProjectName]])*ProjectInfoTable[NumberOfReplications]))</f>
        <v>40</v>
      </c>
      <c r="J104" cm="1">
        <f t="array" ref="J104">IFERROR(AVERAGE(IF((CountersTable[GroupByKey]=CountersTable[[#This Row],[GroupByKey]]),(CountersTable[GroupByKey]=CountersTable[[#This Row],[GroupByKey]])*CountersTable[RecordedValue])),0)</f>
        <v>60.8</v>
      </c>
      <c r="K104" cm="1">
        <f t="array" ref="K104">IFERROR(_xlfn.STDEV.S(IF((CountersTable[GroupByKey]=CountersTable[[#This Row],[GroupByKey]]),(CountersTable[GroupByKey]=CountersTable[[#This Row],[GroupByKey]])*CountersTable[RecordedValue])),0)</f>
        <v>3.7361710826693093</v>
      </c>
      <c r="L104" cm="1">
        <f t="array" ref="L104">MAX(IF((ProjectInfoTable[ProjectName]=CountersTable[[#This Row],[ProjectName]]),(ProjectInfoTable[ProjectName]=CountersTable[[#This Row],[ProjectName]])*ProjectInfoTable[ConfidenceInterval]))</f>
        <v>0.95</v>
      </c>
      <c r="M10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04" cm="1">
        <f t="array" ref="N104">MIN(IF((CountersTable[GroupByKey]=CountersTable[[#This Row],[GroupByKey]]),(CountersTable[GroupByKey]=CountersTable[[#This Row],[GroupByKey]])*CountersTable[RecordedValue]))</f>
        <v>52</v>
      </c>
      <c r="O104" cm="1">
        <f t="array" ref="O104">MAX(IF((CountersTable[GroupByKey]=CountersTable[[#This Row],[GroupByKey]]),(CountersTable[GroupByKey]=CountersTable[[#This Row],[GroupByKey]])*CountersTable[RecordedValue]))</f>
        <v>66</v>
      </c>
    </row>
    <row r="105" spans="1:15" x14ac:dyDescent="0.35">
      <c r="A105" t="s">
        <v>66</v>
      </c>
      <c r="B105" t="s">
        <v>69</v>
      </c>
      <c r="C105">
        <v>35</v>
      </c>
      <c r="D105" t="s">
        <v>95</v>
      </c>
      <c r="E105" t="s">
        <v>93</v>
      </c>
      <c r="F105" t="s">
        <v>94</v>
      </c>
      <c r="G105">
        <v>64</v>
      </c>
      <c r="H105" t="str">
        <f>CountersTable[[#This Row],[ProjectName]]&amp;CountersTable[[#This Row],[Name]]&amp;CountersTable[[#This Row],[Type]]&amp;CountersTable[[#This Row],[Source]]</f>
        <v>Unnamed ProjectcontaBebidaCountUser Specified</v>
      </c>
      <c r="I105" cm="1">
        <f t="array" ref="I105">MAX(IF((ProjectInfoTable[ProjectName]=CountersTable[[#This Row],[ProjectName]]),(ProjectInfoTable[ProjectName]=CountersTable[[#This Row],[ProjectName]])*ProjectInfoTable[NumberOfReplications]))</f>
        <v>40</v>
      </c>
      <c r="J105" cm="1">
        <f t="array" ref="J105">IFERROR(AVERAGE(IF((CountersTable[GroupByKey]=CountersTable[[#This Row],[GroupByKey]]),(CountersTable[GroupByKey]=CountersTable[[#This Row],[GroupByKey]])*CountersTable[RecordedValue])),0)</f>
        <v>60.8</v>
      </c>
      <c r="K105" cm="1">
        <f t="array" ref="K105">IFERROR(_xlfn.STDEV.S(IF((CountersTable[GroupByKey]=CountersTable[[#This Row],[GroupByKey]]),(CountersTable[GroupByKey]=CountersTable[[#This Row],[GroupByKey]])*CountersTable[RecordedValue])),0)</f>
        <v>3.7361710826693093</v>
      </c>
      <c r="L105" cm="1">
        <f t="array" ref="L105">MAX(IF((ProjectInfoTable[ProjectName]=CountersTable[[#This Row],[ProjectName]]),(ProjectInfoTable[ProjectName]=CountersTable[[#This Row],[ProjectName]])*ProjectInfoTable[ConfidenceInterval]))</f>
        <v>0.95</v>
      </c>
      <c r="M105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05" cm="1">
        <f t="array" ref="N105">MIN(IF((CountersTable[GroupByKey]=CountersTable[[#This Row],[GroupByKey]]),(CountersTable[GroupByKey]=CountersTable[[#This Row],[GroupByKey]])*CountersTable[RecordedValue]))</f>
        <v>52</v>
      </c>
      <c r="O105" cm="1">
        <f t="array" ref="O105">MAX(IF((CountersTable[GroupByKey]=CountersTable[[#This Row],[GroupByKey]]),(CountersTable[GroupByKey]=CountersTable[[#This Row],[GroupByKey]])*CountersTable[RecordedValue]))</f>
        <v>66</v>
      </c>
    </row>
    <row r="106" spans="1:15" x14ac:dyDescent="0.35">
      <c r="A106" t="s">
        <v>66</v>
      </c>
      <c r="B106" t="s">
        <v>69</v>
      </c>
      <c r="C106">
        <v>35</v>
      </c>
      <c r="D106" t="s">
        <v>96</v>
      </c>
      <c r="E106" t="s">
        <v>93</v>
      </c>
      <c r="F106" t="s">
        <v>94</v>
      </c>
      <c r="G106">
        <v>40</v>
      </c>
      <c r="H10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6" cm="1">
        <f t="array" ref="I106">MAX(IF((ProjectInfoTable[ProjectName]=CountersTable[[#This Row],[ProjectName]]),(ProjectInfoTable[ProjectName]=CountersTable[[#This Row],[ProjectName]])*ProjectInfoTable[NumberOfReplications]))</f>
        <v>40</v>
      </c>
      <c r="J106" cm="1">
        <f t="array" ref="J106">IFERROR(AVERAGE(IF((CountersTable[GroupByKey]=CountersTable[[#This Row],[GroupByKey]]),(CountersTable[GroupByKey]=CountersTable[[#This Row],[GroupByKey]])*CountersTable[RecordedValue])),0)</f>
        <v>38.85</v>
      </c>
      <c r="K106" cm="1">
        <f t="array" ref="K106">IFERROR(_xlfn.STDEV.S(IF((CountersTable[GroupByKey]=CountersTable[[#This Row],[GroupByKey]]),(CountersTable[GroupByKey]=CountersTable[[#This Row],[GroupByKey]])*CountersTable[RecordedValue])),0)</f>
        <v>2.8152515030883167</v>
      </c>
      <c r="L106" cm="1">
        <f t="array" ref="L106">MAX(IF((ProjectInfoTable[ProjectName]=CountersTable[[#This Row],[ProjectName]]),(ProjectInfoTable[ProjectName]=CountersTable[[#This Row],[ProjectName]])*ProjectInfoTable[ConfidenceInterval]))</f>
        <v>0.95</v>
      </c>
      <c r="M106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06" cm="1">
        <f t="array" ref="N106">MIN(IF((CountersTable[GroupByKey]=CountersTable[[#This Row],[GroupByKey]]),(CountersTable[GroupByKey]=CountersTable[[#This Row],[GroupByKey]])*CountersTable[RecordedValue]))</f>
        <v>32</v>
      </c>
      <c r="O106" cm="1">
        <f t="array" ref="O106">MAX(IF((CountersTable[GroupByKey]=CountersTable[[#This Row],[GroupByKey]]),(CountersTable[GroupByKey]=CountersTable[[#This Row],[GroupByKey]])*CountersTable[RecordedValue]))</f>
        <v>44</v>
      </c>
    </row>
    <row r="107" spans="1:15" x14ac:dyDescent="0.35">
      <c r="A107" t="s">
        <v>66</v>
      </c>
      <c r="B107" t="s">
        <v>69</v>
      </c>
      <c r="C107">
        <v>36</v>
      </c>
      <c r="D107" t="s">
        <v>92</v>
      </c>
      <c r="E107" t="s">
        <v>93</v>
      </c>
      <c r="F107" t="s">
        <v>94</v>
      </c>
      <c r="G107">
        <v>58</v>
      </c>
      <c r="H107" t="str">
        <f>CountersTable[[#This Row],[ProjectName]]&amp;CountersTable[[#This Row],[Name]]&amp;CountersTable[[#This Row],[Type]]&amp;CountersTable[[#This Row],[Source]]</f>
        <v>Unnamed ProjectccontaCoposLavadosCountUser Specified</v>
      </c>
      <c r="I107" cm="1">
        <f t="array" ref="I107">MAX(IF((ProjectInfoTable[ProjectName]=CountersTable[[#This Row],[ProjectName]]),(ProjectInfoTable[ProjectName]=CountersTable[[#This Row],[ProjectName]])*ProjectInfoTable[NumberOfReplications]))</f>
        <v>40</v>
      </c>
      <c r="J107" cm="1">
        <f t="array" ref="J107">IFERROR(AVERAGE(IF((CountersTable[GroupByKey]=CountersTable[[#This Row],[GroupByKey]]),(CountersTable[GroupByKey]=CountersTable[[#This Row],[GroupByKey]])*CountersTable[RecordedValue])),0)</f>
        <v>60.8</v>
      </c>
      <c r="K107" cm="1">
        <f t="array" ref="K107">IFERROR(_xlfn.STDEV.S(IF((CountersTable[GroupByKey]=CountersTable[[#This Row],[GroupByKey]]),(CountersTable[GroupByKey]=CountersTable[[#This Row],[GroupByKey]])*CountersTable[RecordedValue])),0)</f>
        <v>3.7361710826693093</v>
      </c>
      <c r="L107" cm="1">
        <f t="array" ref="L107">MAX(IF((ProjectInfoTable[ProjectName]=CountersTable[[#This Row],[ProjectName]]),(ProjectInfoTable[ProjectName]=CountersTable[[#This Row],[ProjectName]])*ProjectInfoTable[ConfidenceInterval]))</f>
        <v>0.95</v>
      </c>
      <c r="M10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07" cm="1">
        <f t="array" ref="N107">MIN(IF((CountersTable[GroupByKey]=CountersTable[[#This Row],[GroupByKey]]),(CountersTable[GroupByKey]=CountersTable[[#This Row],[GroupByKey]])*CountersTable[RecordedValue]))</f>
        <v>52</v>
      </c>
      <c r="O107" cm="1">
        <f t="array" ref="O107">MAX(IF((CountersTable[GroupByKey]=CountersTable[[#This Row],[GroupByKey]]),(CountersTable[GroupByKey]=CountersTable[[#This Row],[GroupByKey]])*CountersTable[RecordedValue]))</f>
        <v>66</v>
      </c>
    </row>
    <row r="108" spans="1:15" x14ac:dyDescent="0.35">
      <c r="A108" t="s">
        <v>66</v>
      </c>
      <c r="B108" t="s">
        <v>69</v>
      </c>
      <c r="C108">
        <v>36</v>
      </c>
      <c r="D108" t="s">
        <v>95</v>
      </c>
      <c r="E108" t="s">
        <v>93</v>
      </c>
      <c r="F108" t="s">
        <v>94</v>
      </c>
      <c r="G108">
        <v>58</v>
      </c>
      <c r="H108" t="str">
        <f>CountersTable[[#This Row],[ProjectName]]&amp;CountersTable[[#This Row],[Name]]&amp;CountersTable[[#This Row],[Type]]&amp;CountersTable[[#This Row],[Source]]</f>
        <v>Unnamed ProjectcontaBebidaCountUser Specified</v>
      </c>
      <c r="I108" cm="1">
        <f t="array" ref="I108">MAX(IF((ProjectInfoTable[ProjectName]=CountersTable[[#This Row],[ProjectName]]),(ProjectInfoTable[ProjectName]=CountersTable[[#This Row],[ProjectName]])*ProjectInfoTable[NumberOfReplications]))</f>
        <v>40</v>
      </c>
      <c r="J108" cm="1">
        <f t="array" ref="J108">IFERROR(AVERAGE(IF((CountersTable[GroupByKey]=CountersTable[[#This Row],[GroupByKey]]),(CountersTable[GroupByKey]=CountersTable[[#This Row],[GroupByKey]])*CountersTable[RecordedValue])),0)</f>
        <v>60.8</v>
      </c>
      <c r="K108" cm="1">
        <f t="array" ref="K108">IFERROR(_xlfn.STDEV.S(IF((CountersTable[GroupByKey]=CountersTable[[#This Row],[GroupByKey]]),(CountersTable[GroupByKey]=CountersTable[[#This Row],[GroupByKey]])*CountersTable[RecordedValue])),0)</f>
        <v>3.7361710826693093</v>
      </c>
      <c r="L108" cm="1">
        <f t="array" ref="L108">MAX(IF((ProjectInfoTable[ProjectName]=CountersTable[[#This Row],[ProjectName]]),(ProjectInfoTable[ProjectName]=CountersTable[[#This Row],[ProjectName]])*ProjectInfoTable[ConfidenceInterval]))</f>
        <v>0.95</v>
      </c>
      <c r="M108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08" cm="1">
        <f t="array" ref="N108">MIN(IF((CountersTable[GroupByKey]=CountersTable[[#This Row],[GroupByKey]]),(CountersTable[GroupByKey]=CountersTable[[#This Row],[GroupByKey]])*CountersTable[RecordedValue]))</f>
        <v>52</v>
      </c>
      <c r="O108" cm="1">
        <f t="array" ref="O108">MAX(IF((CountersTable[GroupByKey]=CountersTable[[#This Row],[GroupByKey]]),(CountersTable[GroupByKey]=CountersTable[[#This Row],[GroupByKey]])*CountersTable[RecordedValue]))</f>
        <v>66</v>
      </c>
    </row>
    <row r="109" spans="1:15" x14ac:dyDescent="0.35">
      <c r="A109" t="s">
        <v>66</v>
      </c>
      <c r="B109" t="s">
        <v>69</v>
      </c>
      <c r="C109">
        <v>36</v>
      </c>
      <c r="D109" t="s">
        <v>96</v>
      </c>
      <c r="E109" t="s">
        <v>93</v>
      </c>
      <c r="F109" t="s">
        <v>94</v>
      </c>
      <c r="G109">
        <v>38</v>
      </c>
      <c r="H10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9" cm="1">
        <f t="array" ref="I109">MAX(IF((ProjectInfoTable[ProjectName]=CountersTable[[#This Row],[ProjectName]]),(ProjectInfoTable[ProjectName]=CountersTable[[#This Row],[ProjectName]])*ProjectInfoTable[NumberOfReplications]))</f>
        <v>40</v>
      </c>
      <c r="J109" cm="1">
        <f t="array" ref="J109">IFERROR(AVERAGE(IF((CountersTable[GroupByKey]=CountersTable[[#This Row],[GroupByKey]]),(CountersTable[GroupByKey]=CountersTable[[#This Row],[GroupByKey]])*CountersTable[RecordedValue])),0)</f>
        <v>38.85</v>
      </c>
      <c r="K109" cm="1">
        <f t="array" ref="K109">IFERROR(_xlfn.STDEV.S(IF((CountersTable[GroupByKey]=CountersTable[[#This Row],[GroupByKey]]),(CountersTable[GroupByKey]=CountersTable[[#This Row],[GroupByKey]])*CountersTable[RecordedValue])),0)</f>
        <v>2.8152515030883167</v>
      </c>
      <c r="L109" cm="1">
        <f t="array" ref="L109">MAX(IF((ProjectInfoTable[ProjectName]=CountersTable[[#This Row],[ProjectName]]),(ProjectInfoTable[ProjectName]=CountersTable[[#This Row],[ProjectName]])*ProjectInfoTable[ConfidenceInterval]))</f>
        <v>0.95</v>
      </c>
      <c r="M109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09" cm="1">
        <f t="array" ref="N109">MIN(IF((CountersTable[GroupByKey]=CountersTable[[#This Row],[GroupByKey]]),(CountersTable[GroupByKey]=CountersTable[[#This Row],[GroupByKey]])*CountersTable[RecordedValue]))</f>
        <v>32</v>
      </c>
      <c r="O109" cm="1">
        <f t="array" ref="O109">MAX(IF((CountersTable[GroupByKey]=CountersTable[[#This Row],[GroupByKey]]),(CountersTable[GroupByKey]=CountersTable[[#This Row],[GroupByKey]])*CountersTable[RecordedValue]))</f>
        <v>44</v>
      </c>
    </row>
    <row r="110" spans="1:15" x14ac:dyDescent="0.35">
      <c r="A110" t="s">
        <v>66</v>
      </c>
      <c r="B110" t="s">
        <v>69</v>
      </c>
      <c r="C110">
        <v>37</v>
      </c>
      <c r="D110" t="s">
        <v>92</v>
      </c>
      <c r="E110" t="s">
        <v>93</v>
      </c>
      <c r="F110" t="s">
        <v>94</v>
      </c>
      <c r="G110">
        <v>64</v>
      </c>
      <c r="H110" t="str">
        <f>CountersTable[[#This Row],[ProjectName]]&amp;CountersTable[[#This Row],[Name]]&amp;CountersTable[[#This Row],[Type]]&amp;CountersTable[[#This Row],[Source]]</f>
        <v>Unnamed ProjectccontaCoposLavadosCountUser Specified</v>
      </c>
      <c r="I110" cm="1">
        <f t="array" ref="I110">MAX(IF((ProjectInfoTable[ProjectName]=CountersTable[[#This Row],[ProjectName]]),(ProjectInfoTable[ProjectName]=CountersTable[[#This Row],[ProjectName]])*ProjectInfoTable[NumberOfReplications]))</f>
        <v>40</v>
      </c>
      <c r="J110" cm="1">
        <f t="array" ref="J110">IFERROR(AVERAGE(IF((CountersTable[GroupByKey]=CountersTable[[#This Row],[GroupByKey]]),(CountersTable[GroupByKey]=CountersTable[[#This Row],[GroupByKey]])*CountersTable[RecordedValue])),0)</f>
        <v>60.8</v>
      </c>
      <c r="K110" cm="1">
        <f t="array" ref="K110">IFERROR(_xlfn.STDEV.S(IF((CountersTable[GroupByKey]=CountersTable[[#This Row],[GroupByKey]]),(CountersTable[GroupByKey]=CountersTable[[#This Row],[GroupByKey]])*CountersTable[RecordedValue])),0)</f>
        <v>3.7361710826693093</v>
      </c>
      <c r="L110" cm="1">
        <f t="array" ref="L110">MAX(IF((ProjectInfoTable[ProjectName]=CountersTable[[#This Row],[ProjectName]]),(ProjectInfoTable[ProjectName]=CountersTable[[#This Row],[ProjectName]])*ProjectInfoTable[ConfidenceInterval]))</f>
        <v>0.95</v>
      </c>
      <c r="M11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0" cm="1">
        <f t="array" ref="N110">MIN(IF((CountersTable[GroupByKey]=CountersTable[[#This Row],[GroupByKey]]),(CountersTable[GroupByKey]=CountersTable[[#This Row],[GroupByKey]])*CountersTable[RecordedValue]))</f>
        <v>52</v>
      </c>
      <c r="O110" cm="1">
        <f t="array" ref="O110">MAX(IF((CountersTable[GroupByKey]=CountersTable[[#This Row],[GroupByKey]]),(CountersTable[GroupByKey]=CountersTable[[#This Row],[GroupByKey]])*CountersTable[RecordedValue]))</f>
        <v>66</v>
      </c>
    </row>
    <row r="111" spans="1:15" x14ac:dyDescent="0.35">
      <c r="A111" t="s">
        <v>66</v>
      </c>
      <c r="B111" t="s">
        <v>69</v>
      </c>
      <c r="C111">
        <v>37</v>
      </c>
      <c r="D111" t="s">
        <v>95</v>
      </c>
      <c r="E111" t="s">
        <v>93</v>
      </c>
      <c r="F111" t="s">
        <v>94</v>
      </c>
      <c r="G111">
        <v>64</v>
      </c>
      <c r="H111" t="str">
        <f>CountersTable[[#This Row],[ProjectName]]&amp;CountersTable[[#This Row],[Name]]&amp;CountersTable[[#This Row],[Type]]&amp;CountersTable[[#This Row],[Source]]</f>
        <v>Unnamed ProjectcontaBebidaCountUser Specified</v>
      </c>
      <c r="I111" cm="1">
        <f t="array" ref="I111">MAX(IF((ProjectInfoTable[ProjectName]=CountersTable[[#This Row],[ProjectName]]),(ProjectInfoTable[ProjectName]=CountersTable[[#This Row],[ProjectName]])*ProjectInfoTable[NumberOfReplications]))</f>
        <v>40</v>
      </c>
      <c r="J111" cm="1">
        <f t="array" ref="J111">IFERROR(AVERAGE(IF((CountersTable[GroupByKey]=CountersTable[[#This Row],[GroupByKey]]),(CountersTable[GroupByKey]=CountersTable[[#This Row],[GroupByKey]])*CountersTable[RecordedValue])),0)</f>
        <v>60.8</v>
      </c>
      <c r="K111" cm="1">
        <f t="array" ref="K111">IFERROR(_xlfn.STDEV.S(IF((CountersTable[GroupByKey]=CountersTable[[#This Row],[GroupByKey]]),(CountersTable[GroupByKey]=CountersTable[[#This Row],[GroupByKey]])*CountersTable[RecordedValue])),0)</f>
        <v>3.7361710826693093</v>
      </c>
      <c r="L111" cm="1">
        <f t="array" ref="L111">MAX(IF((ProjectInfoTable[ProjectName]=CountersTable[[#This Row],[ProjectName]]),(ProjectInfoTable[ProjectName]=CountersTable[[#This Row],[ProjectName]])*ProjectInfoTable[ConfidenceInterval]))</f>
        <v>0.95</v>
      </c>
      <c r="M111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1" cm="1">
        <f t="array" ref="N111">MIN(IF((CountersTable[GroupByKey]=CountersTable[[#This Row],[GroupByKey]]),(CountersTable[GroupByKey]=CountersTable[[#This Row],[GroupByKey]])*CountersTable[RecordedValue]))</f>
        <v>52</v>
      </c>
      <c r="O111" cm="1">
        <f t="array" ref="O111">MAX(IF((CountersTable[GroupByKey]=CountersTable[[#This Row],[GroupByKey]]),(CountersTable[GroupByKey]=CountersTable[[#This Row],[GroupByKey]])*CountersTable[RecordedValue]))</f>
        <v>66</v>
      </c>
    </row>
    <row r="112" spans="1:15" x14ac:dyDescent="0.35">
      <c r="A112" t="s">
        <v>66</v>
      </c>
      <c r="B112" t="s">
        <v>69</v>
      </c>
      <c r="C112">
        <v>37</v>
      </c>
      <c r="D112" t="s">
        <v>96</v>
      </c>
      <c r="E112" t="s">
        <v>93</v>
      </c>
      <c r="F112" t="s">
        <v>94</v>
      </c>
      <c r="G112">
        <v>40</v>
      </c>
      <c r="H11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2" cm="1">
        <f t="array" ref="I112">MAX(IF((ProjectInfoTable[ProjectName]=CountersTable[[#This Row],[ProjectName]]),(ProjectInfoTable[ProjectName]=CountersTable[[#This Row],[ProjectName]])*ProjectInfoTable[NumberOfReplications]))</f>
        <v>40</v>
      </c>
      <c r="J112" cm="1">
        <f t="array" ref="J112">IFERROR(AVERAGE(IF((CountersTable[GroupByKey]=CountersTable[[#This Row],[GroupByKey]]),(CountersTable[GroupByKey]=CountersTable[[#This Row],[GroupByKey]])*CountersTable[RecordedValue])),0)</f>
        <v>38.85</v>
      </c>
      <c r="K112" cm="1">
        <f t="array" ref="K112">IFERROR(_xlfn.STDEV.S(IF((CountersTable[GroupByKey]=CountersTable[[#This Row],[GroupByKey]]),(CountersTable[GroupByKey]=CountersTable[[#This Row],[GroupByKey]])*CountersTable[RecordedValue])),0)</f>
        <v>2.8152515030883167</v>
      </c>
      <c r="L112" cm="1">
        <f t="array" ref="L112">MAX(IF((ProjectInfoTable[ProjectName]=CountersTable[[#This Row],[ProjectName]]),(ProjectInfoTable[ProjectName]=CountersTable[[#This Row],[ProjectName]])*ProjectInfoTable[ConfidenceInterval]))</f>
        <v>0.95</v>
      </c>
      <c r="M112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12" cm="1">
        <f t="array" ref="N112">MIN(IF((CountersTable[GroupByKey]=CountersTable[[#This Row],[GroupByKey]]),(CountersTable[GroupByKey]=CountersTable[[#This Row],[GroupByKey]])*CountersTable[RecordedValue]))</f>
        <v>32</v>
      </c>
      <c r="O112" cm="1">
        <f t="array" ref="O112">MAX(IF((CountersTable[GroupByKey]=CountersTable[[#This Row],[GroupByKey]]),(CountersTable[GroupByKey]=CountersTable[[#This Row],[GroupByKey]])*CountersTable[RecordedValue]))</f>
        <v>44</v>
      </c>
    </row>
    <row r="113" spans="1:15" x14ac:dyDescent="0.35">
      <c r="A113" t="s">
        <v>66</v>
      </c>
      <c r="B113" t="s">
        <v>69</v>
      </c>
      <c r="C113">
        <v>38</v>
      </c>
      <c r="D113" t="s">
        <v>92</v>
      </c>
      <c r="E113" t="s">
        <v>93</v>
      </c>
      <c r="F113" t="s">
        <v>94</v>
      </c>
      <c r="G113">
        <v>65</v>
      </c>
      <c r="H113" t="str">
        <f>CountersTable[[#This Row],[ProjectName]]&amp;CountersTable[[#This Row],[Name]]&amp;CountersTable[[#This Row],[Type]]&amp;CountersTable[[#This Row],[Source]]</f>
        <v>Unnamed ProjectccontaCoposLavadosCountUser Specified</v>
      </c>
      <c r="I113" cm="1">
        <f t="array" ref="I113">MAX(IF((ProjectInfoTable[ProjectName]=CountersTable[[#This Row],[ProjectName]]),(ProjectInfoTable[ProjectName]=CountersTable[[#This Row],[ProjectName]])*ProjectInfoTable[NumberOfReplications]))</f>
        <v>40</v>
      </c>
      <c r="J113" cm="1">
        <f t="array" ref="J113">IFERROR(AVERAGE(IF((CountersTable[GroupByKey]=CountersTable[[#This Row],[GroupByKey]]),(CountersTable[GroupByKey]=CountersTable[[#This Row],[GroupByKey]])*CountersTable[RecordedValue])),0)</f>
        <v>60.8</v>
      </c>
      <c r="K113" cm="1">
        <f t="array" ref="K113">IFERROR(_xlfn.STDEV.S(IF((CountersTable[GroupByKey]=CountersTable[[#This Row],[GroupByKey]]),(CountersTable[GroupByKey]=CountersTable[[#This Row],[GroupByKey]])*CountersTable[RecordedValue])),0)</f>
        <v>3.7361710826693093</v>
      </c>
      <c r="L113" cm="1">
        <f t="array" ref="L113">MAX(IF((ProjectInfoTable[ProjectName]=CountersTable[[#This Row],[ProjectName]]),(ProjectInfoTable[ProjectName]=CountersTable[[#This Row],[ProjectName]])*ProjectInfoTable[ConfidenceInterval]))</f>
        <v>0.95</v>
      </c>
      <c r="M113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3" cm="1">
        <f t="array" ref="N113">MIN(IF((CountersTable[GroupByKey]=CountersTable[[#This Row],[GroupByKey]]),(CountersTable[GroupByKey]=CountersTable[[#This Row],[GroupByKey]])*CountersTable[RecordedValue]))</f>
        <v>52</v>
      </c>
      <c r="O113" cm="1">
        <f t="array" ref="O113">MAX(IF((CountersTable[GroupByKey]=CountersTable[[#This Row],[GroupByKey]]),(CountersTable[GroupByKey]=CountersTable[[#This Row],[GroupByKey]])*CountersTable[RecordedValue]))</f>
        <v>66</v>
      </c>
    </row>
    <row r="114" spans="1:15" x14ac:dyDescent="0.35">
      <c r="A114" t="s">
        <v>66</v>
      </c>
      <c r="B114" t="s">
        <v>69</v>
      </c>
      <c r="C114">
        <v>38</v>
      </c>
      <c r="D114" t="s">
        <v>95</v>
      </c>
      <c r="E114" t="s">
        <v>93</v>
      </c>
      <c r="F114" t="s">
        <v>94</v>
      </c>
      <c r="G114">
        <v>65</v>
      </c>
      <c r="H114" t="str">
        <f>CountersTable[[#This Row],[ProjectName]]&amp;CountersTable[[#This Row],[Name]]&amp;CountersTable[[#This Row],[Type]]&amp;CountersTable[[#This Row],[Source]]</f>
        <v>Unnamed ProjectcontaBebidaCountUser Specified</v>
      </c>
      <c r="I114" cm="1">
        <f t="array" ref="I114">MAX(IF((ProjectInfoTable[ProjectName]=CountersTable[[#This Row],[ProjectName]]),(ProjectInfoTable[ProjectName]=CountersTable[[#This Row],[ProjectName]])*ProjectInfoTable[NumberOfReplications]))</f>
        <v>40</v>
      </c>
      <c r="J114" cm="1">
        <f t="array" ref="J114">IFERROR(AVERAGE(IF((CountersTable[GroupByKey]=CountersTable[[#This Row],[GroupByKey]]),(CountersTable[GroupByKey]=CountersTable[[#This Row],[GroupByKey]])*CountersTable[RecordedValue])),0)</f>
        <v>60.8</v>
      </c>
      <c r="K114" cm="1">
        <f t="array" ref="K114">IFERROR(_xlfn.STDEV.S(IF((CountersTable[GroupByKey]=CountersTable[[#This Row],[GroupByKey]]),(CountersTable[GroupByKey]=CountersTable[[#This Row],[GroupByKey]])*CountersTable[RecordedValue])),0)</f>
        <v>3.7361710826693093</v>
      </c>
      <c r="L114" cm="1">
        <f t="array" ref="L114">MAX(IF((ProjectInfoTable[ProjectName]=CountersTable[[#This Row],[ProjectName]]),(ProjectInfoTable[ProjectName]=CountersTable[[#This Row],[ProjectName]])*ProjectInfoTable[ConfidenceInterval]))</f>
        <v>0.95</v>
      </c>
      <c r="M114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4" cm="1">
        <f t="array" ref="N114">MIN(IF((CountersTable[GroupByKey]=CountersTable[[#This Row],[GroupByKey]]),(CountersTable[GroupByKey]=CountersTable[[#This Row],[GroupByKey]])*CountersTable[RecordedValue]))</f>
        <v>52</v>
      </c>
      <c r="O114" cm="1">
        <f t="array" ref="O114">MAX(IF((CountersTable[GroupByKey]=CountersTable[[#This Row],[GroupByKey]]),(CountersTable[GroupByKey]=CountersTable[[#This Row],[GroupByKey]])*CountersTable[RecordedValue]))</f>
        <v>66</v>
      </c>
    </row>
    <row r="115" spans="1:15" x14ac:dyDescent="0.35">
      <c r="A115" t="s">
        <v>66</v>
      </c>
      <c r="B115" t="s">
        <v>69</v>
      </c>
      <c r="C115">
        <v>38</v>
      </c>
      <c r="D115" t="s">
        <v>96</v>
      </c>
      <c r="E115" t="s">
        <v>93</v>
      </c>
      <c r="F115" t="s">
        <v>94</v>
      </c>
      <c r="G115">
        <v>40</v>
      </c>
      <c r="H11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5" cm="1">
        <f t="array" ref="I115">MAX(IF((ProjectInfoTable[ProjectName]=CountersTable[[#This Row],[ProjectName]]),(ProjectInfoTable[ProjectName]=CountersTable[[#This Row],[ProjectName]])*ProjectInfoTable[NumberOfReplications]))</f>
        <v>40</v>
      </c>
      <c r="J115" cm="1">
        <f t="array" ref="J115">IFERROR(AVERAGE(IF((CountersTable[GroupByKey]=CountersTable[[#This Row],[GroupByKey]]),(CountersTable[GroupByKey]=CountersTable[[#This Row],[GroupByKey]])*CountersTable[RecordedValue])),0)</f>
        <v>38.85</v>
      </c>
      <c r="K115" cm="1">
        <f t="array" ref="K115">IFERROR(_xlfn.STDEV.S(IF((CountersTable[GroupByKey]=CountersTable[[#This Row],[GroupByKey]]),(CountersTable[GroupByKey]=CountersTable[[#This Row],[GroupByKey]])*CountersTable[RecordedValue])),0)</f>
        <v>2.8152515030883167</v>
      </c>
      <c r="L115" cm="1">
        <f t="array" ref="L115">MAX(IF((ProjectInfoTable[ProjectName]=CountersTable[[#This Row],[ProjectName]]),(ProjectInfoTable[ProjectName]=CountersTable[[#This Row],[ProjectName]])*ProjectInfoTable[ConfidenceInterval]))</f>
        <v>0.95</v>
      </c>
      <c r="M115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15" cm="1">
        <f t="array" ref="N115">MIN(IF((CountersTable[GroupByKey]=CountersTable[[#This Row],[GroupByKey]]),(CountersTable[GroupByKey]=CountersTable[[#This Row],[GroupByKey]])*CountersTable[RecordedValue]))</f>
        <v>32</v>
      </c>
      <c r="O115" cm="1">
        <f t="array" ref="O115">MAX(IF((CountersTable[GroupByKey]=CountersTable[[#This Row],[GroupByKey]]),(CountersTable[GroupByKey]=CountersTable[[#This Row],[GroupByKey]])*CountersTable[RecordedValue]))</f>
        <v>44</v>
      </c>
    </row>
    <row r="116" spans="1:15" x14ac:dyDescent="0.35">
      <c r="A116" t="s">
        <v>66</v>
      </c>
      <c r="B116" t="s">
        <v>69</v>
      </c>
      <c r="C116">
        <v>39</v>
      </c>
      <c r="D116" t="s">
        <v>92</v>
      </c>
      <c r="E116" t="s">
        <v>93</v>
      </c>
      <c r="F116" t="s">
        <v>94</v>
      </c>
      <c r="G116">
        <v>58</v>
      </c>
      <c r="H116" t="str">
        <f>CountersTable[[#This Row],[ProjectName]]&amp;CountersTable[[#This Row],[Name]]&amp;CountersTable[[#This Row],[Type]]&amp;CountersTable[[#This Row],[Source]]</f>
        <v>Unnamed ProjectccontaCoposLavadosCountUser Specified</v>
      </c>
      <c r="I116" cm="1">
        <f t="array" ref="I116">MAX(IF((ProjectInfoTable[ProjectName]=CountersTable[[#This Row],[ProjectName]]),(ProjectInfoTable[ProjectName]=CountersTable[[#This Row],[ProjectName]])*ProjectInfoTable[NumberOfReplications]))</f>
        <v>40</v>
      </c>
      <c r="J116" cm="1">
        <f t="array" ref="J116">IFERROR(AVERAGE(IF((CountersTable[GroupByKey]=CountersTable[[#This Row],[GroupByKey]]),(CountersTable[GroupByKey]=CountersTable[[#This Row],[GroupByKey]])*CountersTable[RecordedValue])),0)</f>
        <v>60.8</v>
      </c>
      <c r="K116" cm="1">
        <f t="array" ref="K116">IFERROR(_xlfn.STDEV.S(IF((CountersTable[GroupByKey]=CountersTable[[#This Row],[GroupByKey]]),(CountersTable[GroupByKey]=CountersTable[[#This Row],[GroupByKey]])*CountersTable[RecordedValue])),0)</f>
        <v>3.7361710826693093</v>
      </c>
      <c r="L116" cm="1">
        <f t="array" ref="L116">MAX(IF((ProjectInfoTable[ProjectName]=CountersTable[[#This Row],[ProjectName]]),(ProjectInfoTable[ProjectName]=CountersTable[[#This Row],[ProjectName]])*ProjectInfoTable[ConfidenceInterval]))</f>
        <v>0.95</v>
      </c>
      <c r="M116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6" cm="1">
        <f t="array" ref="N116">MIN(IF((CountersTable[GroupByKey]=CountersTable[[#This Row],[GroupByKey]]),(CountersTable[GroupByKey]=CountersTable[[#This Row],[GroupByKey]])*CountersTable[RecordedValue]))</f>
        <v>52</v>
      </c>
      <c r="O116" cm="1">
        <f t="array" ref="O116">MAX(IF((CountersTable[GroupByKey]=CountersTable[[#This Row],[GroupByKey]]),(CountersTable[GroupByKey]=CountersTable[[#This Row],[GroupByKey]])*CountersTable[RecordedValue]))</f>
        <v>66</v>
      </c>
    </row>
    <row r="117" spans="1:15" x14ac:dyDescent="0.35">
      <c r="A117" t="s">
        <v>66</v>
      </c>
      <c r="B117" t="s">
        <v>69</v>
      </c>
      <c r="C117">
        <v>39</v>
      </c>
      <c r="D117" t="s">
        <v>95</v>
      </c>
      <c r="E117" t="s">
        <v>93</v>
      </c>
      <c r="F117" t="s">
        <v>94</v>
      </c>
      <c r="G117">
        <v>58</v>
      </c>
      <c r="H117" t="str">
        <f>CountersTable[[#This Row],[ProjectName]]&amp;CountersTable[[#This Row],[Name]]&amp;CountersTable[[#This Row],[Type]]&amp;CountersTable[[#This Row],[Source]]</f>
        <v>Unnamed ProjectcontaBebidaCountUser Specified</v>
      </c>
      <c r="I117" cm="1">
        <f t="array" ref="I117">MAX(IF((ProjectInfoTable[ProjectName]=CountersTable[[#This Row],[ProjectName]]),(ProjectInfoTable[ProjectName]=CountersTable[[#This Row],[ProjectName]])*ProjectInfoTable[NumberOfReplications]))</f>
        <v>40</v>
      </c>
      <c r="J117" cm="1">
        <f t="array" ref="J117">IFERROR(AVERAGE(IF((CountersTable[GroupByKey]=CountersTable[[#This Row],[GroupByKey]]),(CountersTable[GroupByKey]=CountersTable[[#This Row],[GroupByKey]])*CountersTable[RecordedValue])),0)</f>
        <v>60.8</v>
      </c>
      <c r="K117" cm="1">
        <f t="array" ref="K117">IFERROR(_xlfn.STDEV.S(IF((CountersTable[GroupByKey]=CountersTable[[#This Row],[GroupByKey]]),(CountersTable[GroupByKey]=CountersTable[[#This Row],[GroupByKey]])*CountersTable[RecordedValue])),0)</f>
        <v>3.7361710826693093</v>
      </c>
      <c r="L117" cm="1">
        <f t="array" ref="L117">MAX(IF((ProjectInfoTable[ProjectName]=CountersTable[[#This Row],[ProjectName]]),(ProjectInfoTable[ProjectName]=CountersTable[[#This Row],[ProjectName]])*ProjectInfoTable[ConfidenceInterval]))</f>
        <v>0.95</v>
      </c>
      <c r="M117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7" cm="1">
        <f t="array" ref="N117">MIN(IF((CountersTable[GroupByKey]=CountersTable[[#This Row],[GroupByKey]]),(CountersTable[GroupByKey]=CountersTable[[#This Row],[GroupByKey]])*CountersTable[RecordedValue]))</f>
        <v>52</v>
      </c>
      <c r="O117" cm="1">
        <f t="array" ref="O117">MAX(IF((CountersTable[GroupByKey]=CountersTable[[#This Row],[GroupByKey]]),(CountersTable[GroupByKey]=CountersTable[[#This Row],[GroupByKey]])*CountersTable[RecordedValue]))</f>
        <v>66</v>
      </c>
    </row>
    <row r="118" spans="1:15" x14ac:dyDescent="0.35">
      <c r="A118" t="s">
        <v>66</v>
      </c>
      <c r="B118" t="s">
        <v>69</v>
      </c>
      <c r="C118">
        <v>39</v>
      </c>
      <c r="D118" t="s">
        <v>96</v>
      </c>
      <c r="E118" t="s">
        <v>93</v>
      </c>
      <c r="F118" t="s">
        <v>94</v>
      </c>
      <c r="G118">
        <v>37</v>
      </c>
      <c r="H11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8" cm="1">
        <f t="array" ref="I118">MAX(IF((ProjectInfoTable[ProjectName]=CountersTable[[#This Row],[ProjectName]]),(ProjectInfoTable[ProjectName]=CountersTable[[#This Row],[ProjectName]])*ProjectInfoTable[NumberOfReplications]))</f>
        <v>40</v>
      </c>
      <c r="J118" cm="1">
        <f t="array" ref="J118">IFERROR(AVERAGE(IF((CountersTable[GroupByKey]=CountersTable[[#This Row],[GroupByKey]]),(CountersTable[GroupByKey]=CountersTable[[#This Row],[GroupByKey]])*CountersTable[RecordedValue])),0)</f>
        <v>38.85</v>
      </c>
      <c r="K118" cm="1">
        <f t="array" ref="K118">IFERROR(_xlfn.STDEV.S(IF((CountersTable[GroupByKey]=CountersTable[[#This Row],[GroupByKey]]),(CountersTable[GroupByKey]=CountersTable[[#This Row],[GroupByKey]])*CountersTable[RecordedValue])),0)</f>
        <v>2.8152515030883167</v>
      </c>
      <c r="L118" cm="1">
        <f t="array" ref="L118">MAX(IF((ProjectInfoTable[ProjectName]=CountersTable[[#This Row],[ProjectName]]),(ProjectInfoTable[ProjectName]=CountersTable[[#This Row],[ProjectName]])*ProjectInfoTable[ConfidenceInterval]))</f>
        <v>0.95</v>
      </c>
      <c r="M118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18" cm="1">
        <f t="array" ref="N118">MIN(IF((CountersTable[GroupByKey]=CountersTable[[#This Row],[GroupByKey]]),(CountersTable[GroupByKey]=CountersTable[[#This Row],[GroupByKey]])*CountersTable[RecordedValue]))</f>
        <v>32</v>
      </c>
      <c r="O118" cm="1">
        <f t="array" ref="O118">MAX(IF((CountersTable[GroupByKey]=CountersTable[[#This Row],[GroupByKey]]),(CountersTable[GroupByKey]=CountersTable[[#This Row],[GroupByKey]])*CountersTable[RecordedValue]))</f>
        <v>44</v>
      </c>
    </row>
    <row r="119" spans="1:15" x14ac:dyDescent="0.35">
      <c r="A119" t="s">
        <v>66</v>
      </c>
      <c r="B119" t="s">
        <v>69</v>
      </c>
      <c r="C119">
        <v>40</v>
      </c>
      <c r="D119" t="s">
        <v>92</v>
      </c>
      <c r="E119" t="s">
        <v>93</v>
      </c>
      <c r="F119" t="s">
        <v>94</v>
      </c>
      <c r="G119">
        <v>52</v>
      </c>
      <c r="H119" t="str">
        <f>CountersTable[[#This Row],[ProjectName]]&amp;CountersTable[[#This Row],[Name]]&amp;CountersTable[[#This Row],[Type]]&amp;CountersTable[[#This Row],[Source]]</f>
        <v>Unnamed ProjectccontaCoposLavadosCountUser Specified</v>
      </c>
      <c r="I119" cm="1">
        <f t="array" ref="I119">MAX(IF((ProjectInfoTable[ProjectName]=CountersTable[[#This Row],[ProjectName]]),(ProjectInfoTable[ProjectName]=CountersTable[[#This Row],[ProjectName]])*ProjectInfoTable[NumberOfReplications]))</f>
        <v>40</v>
      </c>
      <c r="J119" cm="1">
        <f t="array" ref="J119">IFERROR(AVERAGE(IF((CountersTable[GroupByKey]=CountersTable[[#This Row],[GroupByKey]]),(CountersTable[GroupByKey]=CountersTable[[#This Row],[GroupByKey]])*CountersTable[RecordedValue])),0)</f>
        <v>60.8</v>
      </c>
      <c r="K119" cm="1">
        <f t="array" ref="K119">IFERROR(_xlfn.STDEV.S(IF((CountersTable[GroupByKey]=CountersTable[[#This Row],[GroupByKey]]),(CountersTable[GroupByKey]=CountersTable[[#This Row],[GroupByKey]])*CountersTable[RecordedValue])),0)</f>
        <v>3.7361710826693093</v>
      </c>
      <c r="L119" cm="1">
        <f t="array" ref="L119">MAX(IF((ProjectInfoTable[ProjectName]=CountersTable[[#This Row],[ProjectName]]),(ProjectInfoTable[ProjectName]=CountersTable[[#This Row],[ProjectName]])*ProjectInfoTable[ConfidenceInterval]))</f>
        <v>0.95</v>
      </c>
      <c r="M119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19" cm="1">
        <f t="array" ref="N119">MIN(IF((CountersTable[GroupByKey]=CountersTable[[#This Row],[GroupByKey]]),(CountersTable[GroupByKey]=CountersTable[[#This Row],[GroupByKey]])*CountersTable[RecordedValue]))</f>
        <v>52</v>
      </c>
      <c r="O119" cm="1">
        <f t="array" ref="O119">MAX(IF((CountersTable[GroupByKey]=CountersTable[[#This Row],[GroupByKey]]),(CountersTable[GroupByKey]=CountersTable[[#This Row],[GroupByKey]])*CountersTable[RecordedValue]))</f>
        <v>66</v>
      </c>
    </row>
    <row r="120" spans="1:15" x14ac:dyDescent="0.35">
      <c r="A120" t="s">
        <v>66</v>
      </c>
      <c r="B120" t="s">
        <v>69</v>
      </c>
      <c r="C120">
        <v>40</v>
      </c>
      <c r="D120" t="s">
        <v>95</v>
      </c>
      <c r="E120" t="s">
        <v>93</v>
      </c>
      <c r="F120" t="s">
        <v>94</v>
      </c>
      <c r="G120">
        <v>52</v>
      </c>
      <c r="H120" t="str">
        <f>CountersTable[[#This Row],[ProjectName]]&amp;CountersTable[[#This Row],[Name]]&amp;CountersTable[[#This Row],[Type]]&amp;CountersTable[[#This Row],[Source]]</f>
        <v>Unnamed ProjectcontaBebidaCountUser Specified</v>
      </c>
      <c r="I120" cm="1">
        <f t="array" ref="I120">MAX(IF((ProjectInfoTable[ProjectName]=CountersTable[[#This Row],[ProjectName]]),(ProjectInfoTable[ProjectName]=CountersTable[[#This Row],[ProjectName]])*ProjectInfoTable[NumberOfReplications]))</f>
        <v>40</v>
      </c>
      <c r="J120" cm="1">
        <f t="array" ref="J120">IFERROR(AVERAGE(IF((CountersTable[GroupByKey]=CountersTable[[#This Row],[GroupByKey]]),(CountersTable[GroupByKey]=CountersTable[[#This Row],[GroupByKey]])*CountersTable[RecordedValue])),0)</f>
        <v>60.8</v>
      </c>
      <c r="K120" cm="1">
        <f t="array" ref="K120">IFERROR(_xlfn.STDEV.S(IF((CountersTable[GroupByKey]=CountersTable[[#This Row],[GroupByKey]]),(CountersTable[GroupByKey]=CountersTable[[#This Row],[GroupByKey]])*CountersTable[RecordedValue])),0)</f>
        <v>3.7361710826693093</v>
      </c>
      <c r="L120" cm="1">
        <f t="array" ref="L120">MAX(IF((ProjectInfoTable[ProjectName]=CountersTable[[#This Row],[ProjectName]]),(ProjectInfoTable[ProjectName]=CountersTable[[#This Row],[ProjectName]])*ProjectInfoTable[ConfidenceInterval]))</f>
        <v>0.95</v>
      </c>
      <c r="M120">
        <f>IFERROR(_xlfn.T.INV.2T(1 - CountersTable[[#This Row],[ConfidenceInterval]],(CountersTable[[#This Row],[RepsRequested]]-1))*CountersTable[[#This Row],[StandardDeviation]]/SQRT(CountersTable[[#This Row],[RepsRequested]]),400000000000000000000)</f>
        <v>1.1948854807734899</v>
      </c>
      <c r="N120" cm="1">
        <f t="array" ref="N120">MIN(IF((CountersTable[GroupByKey]=CountersTable[[#This Row],[GroupByKey]]),(CountersTable[GroupByKey]=CountersTable[[#This Row],[GroupByKey]])*CountersTable[RecordedValue]))</f>
        <v>52</v>
      </c>
      <c r="O120" cm="1">
        <f t="array" ref="O120">MAX(IF((CountersTable[GroupByKey]=CountersTable[[#This Row],[GroupByKey]]),(CountersTable[GroupByKey]=CountersTable[[#This Row],[GroupByKey]])*CountersTable[RecordedValue]))</f>
        <v>66</v>
      </c>
    </row>
    <row r="121" spans="1:15" x14ac:dyDescent="0.35">
      <c r="A121" t="s">
        <v>66</v>
      </c>
      <c r="B121" t="s">
        <v>69</v>
      </c>
      <c r="C121">
        <v>40</v>
      </c>
      <c r="D121" t="s">
        <v>96</v>
      </c>
      <c r="E121" t="s">
        <v>93</v>
      </c>
      <c r="F121" t="s">
        <v>94</v>
      </c>
      <c r="G121">
        <v>34</v>
      </c>
      <c r="H12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21" cm="1">
        <f t="array" ref="I121">MAX(IF((ProjectInfoTable[ProjectName]=CountersTable[[#This Row],[ProjectName]]),(ProjectInfoTable[ProjectName]=CountersTable[[#This Row],[ProjectName]])*ProjectInfoTable[NumberOfReplications]))</f>
        <v>40</v>
      </c>
      <c r="J121" cm="1">
        <f t="array" ref="J121">IFERROR(AVERAGE(IF((CountersTable[GroupByKey]=CountersTable[[#This Row],[GroupByKey]]),(CountersTable[GroupByKey]=CountersTable[[#This Row],[GroupByKey]])*CountersTable[RecordedValue])),0)</f>
        <v>38.85</v>
      </c>
      <c r="K121" cm="1">
        <f t="array" ref="K121">IFERROR(_xlfn.STDEV.S(IF((CountersTable[GroupByKey]=CountersTable[[#This Row],[GroupByKey]]),(CountersTable[GroupByKey]=CountersTable[[#This Row],[GroupByKey]])*CountersTable[RecordedValue])),0)</f>
        <v>2.8152515030883167</v>
      </c>
      <c r="L121" cm="1">
        <f t="array" ref="L121">MAX(IF((ProjectInfoTable[ProjectName]=CountersTable[[#This Row],[ProjectName]]),(ProjectInfoTable[ProjectName]=CountersTable[[#This Row],[ProjectName]])*ProjectInfoTable[ConfidenceInterval]))</f>
        <v>0.95</v>
      </c>
      <c r="M121">
        <f>IFERROR(_xlfn.T.INV.2T(1 - CountersTable[[#This Row],[ConfidenceInterval]],(CountersTable[[#This Row],[RepsRequested]]-1))*CountersTable[[#This Row],[StandardDeviation]]/SQRT(CountersTable[[#This Row],[RepsRequested]]),400000000000000000000)</f>
        <v>0.90036111070230518</v>
      </c>
      <c r="N121" cm="1">
        <f t="array" ref="N121">MIN(IF((CountersTable[GroupByKey]=CountersTable[[#This Row],[GroupByKey]]),(CountersTable[GroupByKey]=CountersTable[[#This Row],[GroupByKey]])*CountersTable[RecordedValue]))</f>
        <v>32</v>
      </c>
      <c r="O121" cm="1">
        <f t="array" ref="O121">MAX(IF((CountersTable[GroupByKey]=CountersTable[[#This Row],[GroupByKey]]),(CountersTable[GroupByKey]=CountersTable[[#This Row],[GroupByKey]])*CountersTable[RecordedValue]))</f>
        <v>44</v>
      </c>
    </row>
  </sheetData>
  <phoneticPr fontId="2" type="noConversion"/>
  <conditionalFormatting sqref="H2:O121">
    <cfRule type="expression" dxfId="5" priority="2">
      <formula>MOD(ROW(),2)=0</formula>
    </cfRule>
  </conditionalFormatting>
  <conditionalFormatting sqref="M2:M12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269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542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97</v>
      </c>
      <c r="E2" t="s">
        <v>98</v>
      </c>
      <c r="F2" t="s">
        <v>76</v>
      </c>
      <c r="G2">
        <v>184</v>
      </c>
      <c r="H2">
        <v>0</v>
      </c>
      <c r="I2" t="str">
        <f>OutputTable[[#This Row],[ProjectName]]&amp;OutputTable[[#This Row],[Name]]&amp;OutputTable[[#This Row],[Type]]&amp;OutputTable[[#This Row],[Source]]</f>
        <v>Unnamed ProjectCliente.NumberInNumber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181.25</v>
      </c>
      <c r="L2" cm="1">
        <f t="array" ref="L2">IFERROR(_xlfn.STDEV.S(IF((OutputTable[GroupByKey]=OutputTable[[#This Row],[GroupByKey]]),(OutputTable[GroupByKey]=OutputTable[[#This Row],[GroupByKey]])*OutputTable[RecordedValue])),0)</f>
        <v>15.97393710600698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" cm="1">
        <f t="array" ref="O2">MIN(IF((OutputTable[GroupByKey]=OutputTable[[#This Row],[GroupByKey]]),(OutputTable[GroupByKey]=OutputTable[[#This Row],[GroupByKey]])*OutputTable[RecordedValue]))</f>
        <v>146</v>
      </c>
      <c r="P2" cm="1">
        <f t="array" ref="P2">MAX(IF((OutputTable[GroupByKey]=OutputTable[[#This Row],[GroupByKey]]),(OutputTable[GroupByKey]=OutputTable[[#This Row],[GroupByKey]])*OutputTable[RecordedValue]))</f>
        <v>210</v>
      </c>
    </row>
    <row r="3" spans="1:16" x14ac:dyDescent="0.35">
      <c r="A3" t="s">
        <v>66</v>
      </c>
      <c r="B3" t="s">
        <v>69</v>
      </c>
      <c r="C3">
        <v>1</v>
      </c>
      <c r="D3" t="s">
        <v>99</v>
      </c>
      <c r="E3" t="s">
        <v>100</v>
      </c>
      <c r="F3" t="s">
        <v>76</v>
      </c>
      <c r="G3">
        <v>148</v>
      </c>
      <c r="H3">
        <v>0</v>
      </c>
      <c r="I3" t="str">
        <f>OutputTable[[#This Row],[ProjectName]]&amp;OutputTable[[#This Row],[Name]]&amp;OutputTable[[#This Row],[Type]]&amp;OutputTable[[#This Row],[Source]]</f>
        <v>Unnamed ProjectCliente.NumberOutNumber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153.05000000000001</v>
      </c>
      <c r="L3" cm="1">
        <f t="array" ref="L3">IFERROR(_xlfn.STDEV.S(IF((OutputTable[GroupByKey]=OutputTable[[#This Row],[GroupByKey]]),(OutputTable[GroupByKey]=OutputTable[[#This Row],[GroupByKey]])*OutputTable[RecordedValue])),0)</f>
        <v>8.8490184882351901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3" cm="1">
        <f t="array" ref="O3">MIN(IF((OutputTable[GroupByKey]=OutputTable[[#This Row],[GroupByKey]]),(OutputTable[GroupByKey]=OutputTable[[#This Row],[GroupByKey]])*OutputTable[RecordedValue]))</f>
        <v>132</v>
      </c>
      <c r="P3" cm="1">
        <f t="array" ref="P3">MAX(IF((OutputTable[GroupByKey]=OutputTable[[#This Row],[GroupByKey]]),(OutputTable[GroupByKey]=OutputTable[[#This Row],[GroupByKey]])*OutputTable[RecordedValue]))</f>
        <v>166</v>
      </c>
    </row>
    <row r="4" spans="1:16" x14ac:dyDescent="0.35">
      <c r="A4" t="s">
        <v>66</v>
      </c>
      <c r="B4" t="s">
        <v>69</v>
      </c>
      <c r="C4">
        <v>1</v>
      </c>
      <c r="D4" t="s">
        <v>101</v>
      </c>
      <c r="E4" t="s">
        <v>102</v>
      </c>
      <c r="F4" t="s">
        <v>88</v>
      </c>
      <c r="G4">
        <v>65</v>
      </c>
      <c r="H4">
        <v>0</v>
      </c>
      <c r="I4" t="str">
        <f>OutputTable[[#This Row],[ProjectName]]&amp;OutputTable[[#This Row],[Name]]&amp;OutputTable[[#This Row],[Type]]&amp;OutputTable[[#This Row],[Source]]</f>
        <v>Unnamed ProjectCopo.NumberSeizedTotal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66.349999999999994</v>
      </c>
      <c r="L4" cm="1">
        <f t="array" ref="L4">IFERROR(_xlfn.STDEV.S(IF((OutputTable[GroupByKey]=OutputTable[[#This Row],[GroupByKey]]),(OutputTable[GroupByKey]=OutputTable[[#This Row],[GroupByKey]])*OutputTable[RecordedValue])),0)</f>
        <v>4.3237566761870161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4" cm="1">
        <f t="array" ref="O4">MIN(IF((OutputTable[GroupByKey]=OutputTable[[#This Row],[GroupByKey]]),(OutputTable[GroupByKey]=OutputTable[[#This Row],[GroupByKey]])*OutputTable[RecordedValue]))</f>
        <v>56</v>
      </c>
      <c r="P4" cm="1">
        <f t="array" ref="P4">MAX(IF((OutputTable[GroupByKey]=OutputTable[[#This Row],[GroupByKey]]),(OutputTable[GroupByKey]=OutputTable[[#This Row],[GroupByKey]])*OutputTable[RecordedValue]))</f>
        <v>72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104</v>
      </c>
      <c r="F5" t="s">
        <v>88</v>
      </c>
      <c r="G5">
        <v>0.74536521448976001</v>
      </c>
      <c r="H5">
        <v>0</v>
      </c>
      <c r="I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0.78200153326291699</v>
      </c>
      <c r="L5" cm="1">
        <f t="array" ref="L5">IFERROR(_xlfn.STDEV.S(IF((OutputTable[GroupByKey]=OutputTable[[#This Row],[GroupByKey]]),(OutputTable[GroupByKey]=OutputTable[[#This Row],[GroupByKey]])*OutputTable[RecordedValue])),0)</f>
        <v>0.13637038930703246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5" cm="1">
        <f t="array" ref="O5">MIN(IF((OutputTable[GroupByKey]=OutputTable[[#This Row],[GroupByKey]]),(OutputTable[GroupByKey]=OutputTable[[#This Row],[GroupByKey]])*OutputTable[RecordedValue]))</f>
        <v>0.51812957617942801</v>
      </c>
      <c r="P5" cm="1">
        <f t="array" ref="P5">MAX(IF((OutputTable[GroupByKey]=OutputTable[[#This Row],[GroupByKey]]),(OutputTable[GroupByKey]=OutputTable[[#This Row],[GroupByKey]])*OutputTable[RecordedValue]))</f>
        <v>0.95110098058067905</v>
      </c>
    </row>
    <row r="6" spans="1:16" x14ac:dyDescent="0.35">
      <c r="A6" t="s">
        <v>66</v>
      </c>
      <c r="B6" t="s">
        <v>69</v>
      </c>
      <c r="C6">
        <v>1</v>
      </c>
      <c r="D6" t="s">
        <v>105</v>
      </c>
      <c r="E6" t="s">
        <v>102</v>
      </c>
      <c r="F6" t="s">
        <v>88</v>
      </c>
      <c r="G6">
        <v>118</v>
      </c>
      <c r="H6">
        <v>0</v>
      </c>
      <c r="I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122.625</v>
      </c>
      <c r="L6" cm="1">
        <f t="array" ref="L6">IFERROR(_xlfn.STDEV.S(IF((OutputTable[GroupByKey]=OutputTable[[#This Row],[GroupByKey]]),(OutputTable[GroupByKey]=OutputTable[[#This Row],[GroupByKey]])*OutputTable[RecordedValue])),0)</f>
        <v>7.0116661028932015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6" cm="1">
        <f t="array" ref="O6">MIN(IF((OutputTable[GroupByKey]=OutputTable[[#This Row],[GroupByKey]]),(OutputTable[GroupByKey]=OutputTable[[#This Row],[GroupByKey]])*OutputTable[RecordedValue]))</f>
        <v>105</v>
      </c>
      <c r="P6" cm="1">
        <f t="array" ref="P6">MAX(IF((OutputTable[GroupByKey]=OutputTable[[#This Row],[GroupByKey]]),(OutputTable[GroupByKey]=OutputTable[[#This Row],[GroupByKey]])*OutputTable[RecordedValue]))</f>
        <v>132</v>
      </c>
    </row>
    <row r="7" spans="1:16" x14ac:dyDescent="0.35">
      <c r="A7" t="s">
        <v>66</v>
      </c>
      <c r="B7" t="s">
        <v>69</v>
      </c>
      <c r="C7">
        <v>1</v>
      </c>
      <c r="D7" t="s">
        <v>106</v>
      </c>
      <c r="E7" t="s">
        <v>104</v>
      </c>
      <c r="F7" t="s">
        <v>88</v>
      </c>
      <c r="G7">
        <v>0.90230663504619701</v>
      </c>
      <c r="H7">
        <v>0</v>
      </c>
      <c r="I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0.92906032745742695</v>
      </c>
      <c r="L7" cm="1">
        <f t="array" ref="L7">IFERROR(_xlfn.STDEV.S(IF((OutputTable[GroupByKey]=OutputTable[[#This Row],[GroupByKey]]),(OutputTable[GroupByKey]=OutputTable[[#This Row],[GroupByKey]])*OutputTable[RecordedValue])),0)</f>
        <v>5.2243343646514992E-2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7" cm="1">
        <f t="array" ref="O7">MIN(IF((OutputTable[GroupByKey]=OutputTable[[#This Row],[GroupByKey]]),(OutputTable[GroupByKey]=OutputTable[[#This Row],[GroupByKey]])*OutputTable[RecordedValue]))</f>
        <v>0.78808827046509</v>
      </c>
      <c r="P7" cm="1">
        <f t="array" ref="P7">MAX(IF((OutputTable[GroupByKey]=OutputTable[[#This Row],[GroupByKey]]),(OutputTable[GroupByKey]=OutputTable[[#This Row],[GroupByKey]])*OutputTable[RecordedValue]))</f>
        <v>0.99381255473469199</v>
      </c>
    </row>
    <row r="8" spans="1:16" x14ac:dyDescent="0.35">
      <c r="A8" t="s">
        <v>66</v>
      </c>
      <c r="B8" t="s">
        <v>69</v>
      </c>
      <c r="C8">
        <v>1</v>
      </c>
      <c r="D8" t="s">
        <v>107</v>
      </c>
      <c r="E8" t="s">
        <v>100</v>
      </c>
      <c r="F8" t="s">
        <v>108</v>
      </c>
      <c r="G8">
        <v>93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95.95</v>
      </c>
      <c r="L8" cm="1">
        <f t="array" ref="L8">IFERROR(_xlfn.STDEV.S(IF((OutputTable[GroupByKey]=OutputTable[[#This Row],[GroupByKey]]),(OutputTable[GroupByKey]=OutputTable[[#This Row],[GroupByKey]])*OutputTable[RecordedValue])),0)</f>
        <v>5.6566276081633564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8" cm="1">
        <f t="array" ref="O8">MIN(IF((OutputTable[GroupByKey]=OutputTable[[#This Row],[GroupByKey]]),(OutputTable[GroupByKey]=OutputTable[[#This Row],[GroupByKey]])*OutputTable[RecordedValue]))</f>
        <v>83</v>
      </c>
      <c r="P8" cm="1">
        <f t="array" ref="P8">MAX(IF((OutputTable[GroupByKey]=OutputTable[[#This Row],[GroupByKey]]),(OutputTable[GroupByKey]=OutputTable[[#This Row],[GroupByKey]])*OutputTable[RecordedValue]))</f>
        <v>104</v>
      </c>
    </row>
    <row r="9" spans="1:16" x14ac:dyDescent="0.35">
      <c r="A9" t="s">
        <v>66</v>
      </c>
      <c r="B9" t="s">
        <v>69</v>
      </c>
      <c r="C9">
        <v>2</v>
      </c>
      <c r="D9" t="s">
        <v>97</v>
      </c>
      <c r="E9" t="s">
        <v>98</v>
      </c>
      <c r="F9" t="s">
        <v>76</v>
      </c>
      <c r="G9">
        <v>186</v>
      </c>
      <c r="H9">
        <v>0</v>
      </c>
      <c r="I9" t="str">
        <f>OutputTable[[#This Row],[ProjectName]]&amp;OutputTable[[#This Row],[Name]]&amp;OutputTable[[#This Row],[Type]]&amp;OutputTable[[#This Row],[Source]]</f>
        <v>Unnamed ProjectCliente.NumberInNumber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181.25</v>
      </c>
      <c r="L9" cm="1">
        <f t="array" ref="L9">IFERROR(_xlfn.STDEV.S(IF((OutputTable[GroupByKey]=OutputTable[[#This Row],[GroupByKey]]),(OutputTable[GroupByKey]=OutputTable[[#This Row],[GroupByKey]])*OutputTable[RecordedValue])),0)</f>
        <v>15.97393710600698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9" cm="1">
        <f t="array" ref="O9">MIN(IF((OutputTable[GroupByKey]=OutputTable[[#This Row],[GroupByKey]]),(OutputTable[GroupByKey]=OutputTable[[#This Row],[GroupByKey]])*OutputTable[RecordedValue]))</f>
        <v>146</v>
      </c>
      <c r="P9" cm="1">
        <f t="array" ref="P9">MAX(IF((OutputTable[GroupByKey]=OutputTable[[#This Row],[GroupByKey]]),(OutputTable[GroupByKey]=OutputTable[[#This Row],[GroupByKey]])*OutputTable[RecordedValue]))</f>
        <v>210</v>
      </c>
    </row>
    <row r="10" spans="1:16" x14ac:dyDescent="0.35">
      <c r="A10" t="s">
        <v>66</v>
      </c>
      <c r="B10" t="s">
        <v>69</v>
      </c>
      <c r="C10">
        <v>2</v>
      </c>
      <c r="D10" t="s">
        <v>99</v>
      </c>
      <c r="E10" t="s">
        <v>100</v>
      </c>
      <c r="F10" t="s">
        <v>76</v>
      </c>
      <c r="G10">
        <v>166</v>
      </c>
      <c r="H10">
        <v>0</v>
      </c>
      <c r="I10" t="str">
        <f>OutputTable[[#This Row],[ProjectName]]&amp;OutputTable[[#This Row],[Name]]&amp;OutputTable[[#This Row],[Type]]&amp;OutputTable[[#This Row],[Source]]</f>
        <v>Unnamed ProjectCliente.NumberOutNumber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153.05000000000001</v>
      </c>
      <c r="L10" cm="1">
        <f t="array" ref="L10">IFERROR(_xlfn.STDEV.S(IF((OutputTable[GroupByKey]=OutputTable[[#This Row],[GroupByKey]]),(OutputTable[GroupByKey]=OutputTable[[#This Row],[GroupByKey]])*OutputTable[RecordedValue])),0)</f>
        <v>8.8490184882351901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0" cm="1">
        <f t="array" ref="O10">MIN(IF((OutputTable[GroupByKey]=OutputTable[[#This Row],[GroupByKey]]),(OutputTable[GroupByKey]=OutputTable[[#This Row],[GroupByKey]])*OutputTable[RecordedValue]))</f>
        <v>132</v>
      </c>
      <c r="P10" cm="1">
        <f t="array" ref="P10">MAX(IF((OutputTable[GroupByKey]=OutputTable[[#This Row],[GroupByKey]]),(OutputTable[GroupByKey]=OutputTable[[#This Row],[GroupByKey]])*OutputTable[RecordedValue]))</f>
        <v>166</v>
      </c>
    </row>
    <row r="11" spans="1:16" x14ac:dyDescent="0.35">
      <c r="A11" t="s">
        <v>66</v>
      </c>
      <c r="B11" t="s">
        <v>69</v>
      </c>
      <c r="C11">
        <v>2</v>
      </c>
      <c r="D11" t="s">
        <v>101</v>
      </c>
      <c r="E11" t="s">
        <v>102</v>
      </c>
      <c r="F11" t="s">
        <v>88</v>
      </c>
      <c r="G11">
        <v>72</v>
      </c>
      <c r="H11">
        <v>0</v>
      </c>
      <c r="I11" t="str">
        <f>OutputTable[[#This Row],[ProjectName]]&amp;OutputTable[[#This Row],[Name]]&amp;OutputTable[[#This Row],[Type]]&amp;OutputTable[[#This Row],[Source]]</f>
        <v>Unnamed ProjectCopo.NumberSeizedTotal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66.349999999999994</v>
      </c>
      <c r="L11" cm="1">
        <f t="array" ref="L11">IFERROR(_xlfn.STDEV.S(IF((OutputTable[GroupByKey]=OutputTable[[#This Row],[GroupByKey]]),(OutputTable[GroupByKey]=OutputTable[[#This Row],[GroupByKey]])*OutputTable[RecordedValue])),0)</f>
        <v>4.3237566761870161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1" cm="1">
        <f t="array" ref="O11">MIN(IF((OutputTable[GroupByKey]=OutputTable[[#This Row],[GroupByKey]]),(OutputTable[GroupByKey]=OutputTable[[#This Row],[GroupByKey]])*OutputTable[RecordedValue]))</f>
        <v>56</v>
      </c>
      <c r="P11" cm="1">
        <f t="array" ref="P11">MAX(IF((OutputTable[GroupByKey]=OutputTable[[#This Row],[GroupByKey]]),(OutputTable[GroupByKey]=OutputTable[[#This Row],[GroupByKey]])*OutputTable[RecordedValue]))</f>
        <v>72</v>
      </c>
    </row>
    <row r="12" spans="1:16" x14ac:dyDescent="0.35">
      <c r="A12" t="s">
        <v>66</v>
      </c>
      <c r="B12" t="s">
        <v>69</v>
      </c>
      <c r="C12">
        <v>2</v>
      </c>
      <c r="D12" t="s">
        <v>103</v>
      </c>
      <c r="E12" t="s">
        <v>104</v>
      </c>
      <c r="F12" t="s">
        <v>88</v>
      </c>
      <c r="G12">
        <v>0.91480144708670597</v>
      </c>
      <c r="H12">
        <v>0</v>
      </c>
      <c r="I1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0.78200153326291699</v>
      </c>
      <c r="L12" cm="1">
        <f t="array" ref="L12">IFERROR(_xlfn.STDEV.S(IF((OutputTable[GroupByKey]=OutputTable[[#This Row],[GroupByKey]]),(OutputTable[GroupByKey]=OutputTable[[#This Row],[GroupByKey]])*OutputTable[RecordedValue])),0)</f>
        <v>0.13637038930703246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2" cm="1">
        <f t="array" ref="O12">MIN(IF((OutputTable[GroupByKey]=OutputTable[[#This Row],[GroupByKey]]),(OutputTable[GroupByKey]=OutputTable[[#This Row],[GroupByKey]])*OutputTable[RecordedValue]))</f>
        <v>0.51812957617942801</v>
      </c>
      <c r="P12" cm="1">
        <f t="array" ref="P12">MAX(IF((OutputTable[GroupByKey]=OutputTable[[#This Row],[GroupByKey]]),(OutputTable[GroupByKey]=OutputTable[[#This Row],[GroupByKey]])*OutputTable[RecordedValue]))</f>
        <v>0.95110098058067905</v>
      </c>
    </row>
    <row r="13" spans="1:16" x14ac:dyDescent="0.35">
      <c r="A13" t="s">
        <v>66</v>
      </c>
      <c r="B13" t="s">
        <v>69</v>
      </c>
      <c r="C13">
        <v>2</v>
      </c>
      <c r="D13" t="s">
        <v>105</v>
      </c>
      <c r="E13" t="s">
        <v>102</v>
      </c>
      <c r="F13" t="s">
        <v>88</v>
      </c>
      <c r="G13">
        <v>132</v>
      </c>
      <c r="H13">
        <v>0</v>
      </c>
      <c r="I1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122.625</v>
      </c>
      <c r="L13" cm="1">
        <f t="array" ref="L13">IFERROR(_xlfn.STDEV.S(IF((OutputTable[GroupByKey]=OutputTable[[#This Row],[GroupByKey]]),(OutputTable[GroupByKey]=OutputTable[[#This Row],[GroupByKey]])*OutputTable[RecordedValue])),0)</f>
        <v>7.0116661028932015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3" cm="1">
        <f t="array" ref="O13">MIN(IF((OutputTable[GroupByKey]=OutputTable[[#This Row],[GroupByKey]]),(OutputTable[GroupByKey]=OutputTable[[#This Row],[GroupByKey]])*OutputTable[RecordedValue]))</f>
        <v>105</v>
      </c>
      <c r="P13" cm="1">
        <f t="array" ref="P13">MAX(IF((OutputTable[GroupByKey]=OutputTable[[#This Row],[GroupByKey]]),(OutputTable[GroupByKey]=OutputTable[[#This Row],[GroupByKey]])*OutputTable[RecordedValue]))</f>
        <v>132</v>
      </c>
    </row>
    <row r="14" spans="1:16" x14ac:dyDescent="0.35">
      <c r="A14" t="s">
        <v>66</v>
      </c>
      <c r="B14" t="s">
        <v>69</v>
      </c>
      <c r="C14">
        <v>2</v>
      </c>
      <c r="D14" t="s">
        <v>106</v>
      </c>
      <c r="E14" t="s">
        <v>104</v>
      </c>
      <c r="F14" t="s">
        <v>88</v>
      </c>
      <c r="G14">
        <v>0.99381255473469199</v>
      </c>
      <c r="H14">
        <v>0</v>
      </c>
      <c r="I1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0.92906032745742695</v>
      </c>
      <c r="L14" cm="1">
        <f t="array" ref="L14">IFERROR(_xlfn.STDEV.S(IF((OutputTable[GroupByKey]=OutputTable[[#This Row],[GroupByKey]]),(OutputTable[GroupByKey]=OutputTable[[#This Row],[GroupByKey]])*OutputTable[RecordedValue])),0)</f>
        <v>5.2243343646514992E-2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4" cm="1">
        <f t="array" ref="O14">MIN(IF((OutputTable[GroupByKey]=OutputTable[[#This Row],[GroupByKey]]),(OutputTable[GroupByKey]=OutputTable[[#This Row],[GroupByKey]])*OutputTable[RecordedValue]))</f>
        <v>0.78808827046509</v>
      </c>
      <c r="P14" cm="1">
        <f t="array" ref="P14">MAX(IF((OutputTable[GroupByKey]=OutputTable[[#This Row],[GroupByKey]]),(OutputTable[GroupByKey]=OutputTable[[#This Row],[GroupByKey]])*OutputTable[RecordedValue]))</f>
        <v>0.99381255473469199</v>
      </c>
    </row>
    <row r="15" spans="1:16" x14ac:dyDescent="0.35">
      <c r="A15" t="s">
        <v>66</v>
      </c>
      <c r="B15" t="s">
        <v>69</v>
      </c>
      <c r="C15">
        <v>2</v>
      </c>
      <c r="D15" t="s">
        <v>107</v>
      </c>
      <c r="E15" t="s">
        <v>100</v>
      </c>
      <c r="F15" t="s">
        <v>108</v>
      </c>
      <c r="G15">
        <v>104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95.95</v>
      </c>
      <c r="L15" cm="1">
        <f t="array" ref="L15">IFERROR(_xlfn.STDEV.S(IF((OutputTable[GroupByKey]=OutputTable[[#This Row],[GroupByKey]]),(OutputTable[GroupByKey]=OutputTable[[#This Row],[GroupByKey]])*OutputTable[RecordedValue])),0)</f>
        <v>5.6566276081633564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5" cm="1">
        <f t="array" ref="O15">MIN(IF((OutputTable[GroupByKey]=OutputTable[[#This Row],[GroupByKey]]),(OutputTable[GroupByKey]=OutputTable[[#This Row],[GroupByKey]])*OutputTable[RecordedValue]))</f>
        <v>83</v>
      </c>
      <c r="P15" cm="1">
        <f t="array" ref="P15">MAX(IF((OutputTable[GroupByKey]=OutputTable[[#This Row],[GroupByKey]]),(OutputTable[GroupByKey]=OutputTable[[#This Row],[GroupByKey]])*OutputTable[RecordedValue]))</f>
        <v>104</v>
      </c>
    </row>
    <row r="16" spans="1:16" x14ac:dyDescent="0.35">
      <c r="A16" t="s">
        <v>66</v>
      </c>
      <c r="B16" t="s">
        <v>69</v>
      </c>
      <c r="C16">
        <v>3</v>
      </c>
      <c r="D16" t="s">
        <v>97</v>
      </c>
      <c r="E16" t="s">
        <v>98</v>
      </c>
      <c r="F16" t="s">
        <v>76</v>
      </c>
      <c r="G16">
        <v>195</v>
      </c>
      <c r="H16">
        <v>0</v>
      </c>
      <c r="I16" t="str">
        <f>OutputTable[[#This Row],[ProjectName]]&amp;OutputTable[[#This Row],[Name]]&amp;OutputTable[[#This Row],[Type]]&amp;OutputTable[[#This Row],[Source]]</f>
        <v>Unnamed ProjectCliente.NumberInNumber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181.25</v>
      </c>
      <c r="L16" cm="1">
        <f t="array" ref="L16">IFERROR(_xlfn.STDEV.S(IF((OutputTable[GroupByKey]=OutputTable[[#This Row],[GroupByKey]]),(OutputTable[GroupByKey]=OutputTable[[#This Row],[GroupByKey]])*OutputTable[RecordedValue])),0)</f>
        <v>15.97393710600698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6" cm="1">
        <f t="array" ref="O16">MIN(IF((OutputTable[GroupByKey]=OutputTable[[#This Row],[GroupByKey]]),(OutputTable[GroupByKey]=OutputTable[[#This Row],[GroupByKey]])*OutputTable[RecordedValue]))</f>
        <v>146</v>
      </c>
      <c r="P16" cm="1">
        <f t="array" ref="P16">MAX(IF((OutputTable[GroupByKey]=OutputTable[[#This Row],[GroupByKey]]),(OutputTable[GroupByKey]=OutputTable[[#This Row],[GroupByKey]])*OutputTable[RecordedValue]))</f>
        <v>210</v>
      </c>
    </row>
    <row r="17" spans="1:16" x14ac:dyDescent="0.35">
      <c r="A17" t="s">
        <v>66</v>
      </c>
      <c r="B17" t="s">
        <v>69</v>
      </c>
      <c r="C17">
        <v>3</v>
      </c>
      <c r="D17" t="s">
        <v>99</v>
      </c>
      <c r="E17" t="s">
        <v>100</v>
      </c>
      <c r="F17" t="s">
        <v>76</v>
      </c>
      <c r="G17">
        <v>163</v>
      </c>
      <c r="H17">
        <v>0</v>
      </c>
      <c r="I17" t="str">
        <f>OutputTable[[#This Row],[ProjectName]]&amp;OutputTable[[#This Row],[Name]]&amp;OutputTable[[#This Row],[Type]]&amp;OutputTable[[#This Row],[Source]]</f>
        <v>Unnamed ProjectCliente.NumberOutNumber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153.05000000000001</v>
      </c>
      <c r="L17" cm="1">
        <f t="array" ref="L17">IFERROR(_xlfn.STDEV.S(IF((OutputTable[GroupByKey]=OutputTable[[#This Row],[GroupByKey]]),(OutputTable[GroupByKey]=OutputTable[[#This Row],[GroupByKey]])*OutputTable[RecordedValue])),0)</f>
        <v>8.8490184882351901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7" cm="1">
        <f t="array" ref="O17">MIN(IF((OutputTable[GroupByKey]=OutputTable[[#This Row],[GroupByKey]]),(OutputTable[GroupByKey]=OutputTable[[#This Row],[GroupByKey]])*OutputTable[RecordedValue]))</f>
        <v>132</v>
      </c>
      <c r="P17" cm="1">
        <f t="array" ref="P17">MAX(IF((OutputTable[GroupByKey]=OutputTable[[#This Row],[GroupByKey]]),(OutputTable[GroupByKey]=OutputTable[[#This Row],[GroupByKey]])*OutputTable[RecordedValue]))</f>
        <v>166</v>
      </c>
    </row>
    <row r="18" spans="1:16" x14ac:dyDescent="0.35">
      <c r="A18" t="s">
        <v>66</v>
      </c>
      <c r="B18" t="s">
        <v>69</v>
      </c>
      <c r="C18">
        <v>3</v>
      </c>
      <c r="D18" t="s">
        <v>101</v>
      </c>
      <c r="E18" t="s">
        <v>102</v>
      </c>
      <c r="F18" t="s">
        <v>88</v>
      </c>
      <c r="G18">
        <v>70</v>
      </c>
      <c r="H18">
        <v>0</v>
      </c>
      <c r="I18" t="str">
        <f>OutputTable[[#This Row],[ProjectName]]&amp;OutputTable[[#This Row],[Name]]&amp;OutputTable[[#This Row],[Type]]&amp;OutputTable[[#This Row],[Source]]</f>
        <v>Unnamed ProjectCopo.NumberSeizedTotal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66.349999999999994</v>
      </c>
      <c r="L18" cm="1">
        <f t="array" ref="L18">IFERROR(_xlfn.STDEV.S(IF((OutputTable[GroupByKey]=OutputTable[[#This Row],[GroupByKey]]),(OutputTable[GroupByKey]=OutputTable[[#This Row],[GroupByKey]])*OutputTable[RecordedValue])),0)</f>
        <v>4.3237566761870161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8" cm="1">
        <f t="array" ref="O18">MIN(IF((OutputTable[GroupByKey]=OutputTable[[#This Row],[GroupByKey]]),(OutputTable[GroupByKey]=OutputTable[[#This Row],[GroupByKey]])*OutputTable[RecordedValue]))</f>
        <v>56</v>
      </c>
      <c r="P18" cm="1">
        <f t="array" ref="P18">MAX(IF((OutputTable[GroupByKey]=OutputTable[[#This Row],[GroupByKey]]),(OutputTable[GroupByKey]=OutputTable[[#This Row],[GroupByKey]])*OutputTable[RecordedValue]))</f>
        <v>72</v>
      </c>
    </row>
    <row r="19" spans="1:16" x14ac:dyDescent="0.35">
      <c r="A19" t="s">
        <v>66</v>
      </c>
      <c r="B19" t="s">
        <v>69</v>
      </c>
      <c r="C19">
        <v>3</v>
      </c>
      <c r="D19" t="s">
        <v>103</v>
      </c>
      <c r="E19" t="s">
        <v>104</v>
      </c>
      <c r="F19" t="s">
        <v>88</v>
      </c>
      <c r="G19">
        <v>0.95110098058067905</v>
      </c>
      <c r="H19">
        <v>0</v>
      </c>
      <c r="I1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0.78200153326291699</v>
      </c>
      <c r="L19" cm="1">
        <f t="array" ref="L19">IFERROR(_xlfn.STDEV.S(IF((OutputTable[GroupByKey]=OutputTable[[#This Row],[GroupByKey]]),(OutputTable[GroupByKey]=OutputTable[[#This Row],[GroupByKey]])*OutputTable[RecordedValue])),0)</f>
        <v>0.13637038930703246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9" cm="1">
        <f t="array" ref="O19">MIN(IF((OutputTable[GroupByKey]=OutputTable[[#This Row],[GroupByKey]]),(OutputTable[GroupByKey]=OutputTable[[#This Row],[GroupByKey]])*OutputTable[RecordedValue]))</f>
        <v>0.51812957617942801</v>
      </c>
      <c r="P19" cm="1">
        <f t="array" ref="P19">MAX(IF((OutputTable[GroupByKey]=OutputTable[[#This Row],[GroupByKey]]),(OutputTable[GroupByKey]=OutputTable[[#This Row],[GroupByKey]])*OutputTable[RecordedValue]))</f>
        <v>0.95110098058067905</v>
      </c>
    </row>
    <row r="20" spans="1:16" x14ac:dyDescent="0.35">
      <c r="A20" t="s">
        <v>66</v>
      </c>
      <c r="B20" t="s">
        <v>69</v>
      </c>
      <c r="C20">
        <v>3</v>
      </c>
      <c r="D20" t="s">
        <v>105</v>
      </c>
      <c r="E20" t="s">
        <v>102</v>
      </c>
      <c r="F20" t="s">
        <v>88</v>
      </c>
      <c r="G20">
        <v>128</v>
      </c>
      <c r="H20">
        <v>0</v>
      </c>
      <c r="I2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122.625</v>
      </c>
      <c r="L20" cm="1">
        <f t="array" ref="L20">IFERROR(_xlfn.STDEV.S(IF((OutputTable[GroupByKey]=OutputTable[[#This Row],[GroupByKey]]),(OutputTable[GroupByKey]=OutputTable[[#This Row],[GroupByKey]])*OutputTable[RecordedValue])),0)</f>
        <v>7.0116661028932015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0" cm="1">
        <f t="array" ref="O20">MIN(IF((OutputTable[GroupByKey]=OutputTable[[#This Row],[GroupByKey]]),(OutputTable[GroupByKey]=OutputTable[[#This Row],[GroupByKey]])*OutputTable[RecordedValue]))</f>
        <v>105</v>
      </c>
      <c r="P20" cm="1">
        <f t="array" ref="P20">MAX(IF((OutputTable[GroupByKey]=OutputTable[[#This Row],[GroupByKey]]),(OutputTable[GroupByKey]=OutputTable[[#This Row],[GroupByKey]])*OutputTable[RecordedValue]))</f>
        <v>132</v>
      </c>
    </row>
    <row r="21" spans="1:16" x14ac:dyDescent="0.35">
      <c r="A21" t="s">
        <v>66</v>
      </c>
      <c r="B21" t="s">
        <v>69</v>
      </c>
      <c r="C21">
        <v>3</v>
      </c>
      <c r="D21" t="s">
        <v>106</v>
      </c>
      <c r="E21" t="s">
        <v>104</v>
      </c>
      <c r="F21" t="s">
        <v>88</v>
      </c>
      <c r="G21">
        <v>0.98431243867609497</v>
      </c>
      <c r="H21">
        <v>0</v>
      </c>
      <c r="I2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0.92906032745742695</v>
      </c>
      <c r="L21" cm="1">
        <f t="array" ref="L21">IFERROR(_xlfn.STDEV.S(IF((OutputTable[GroupByKey]=OutputTable[[#This Row],[GroupByKey]]),(OutputTable[GroupByKey]=OutputTable[[#This Row],[GroupByKey]])*OutputTable[RecordedValue])),0)</f>
        <v>5.2243343646514992E-2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1" cm="1">
        <f t="array" ref="O21">MIN(IF((OutputTable[GroupByKey]=OutputTable[[#This Row],[GroupByKey]]),(OutputTable[GroupByKey]=OutputTable[[#This Row],[GroupByKey]])*OutputTable[RecordedValue]))</f>
        <v>0.78808827046509</v>
      </c>
      <c r="P21" cm="1">
        <f t="array" ref="P21">MAX(IF((OutputTable[GroupByKey]=OutputTable[[#This Row],[GroupByKey]]),(OutputTable[GroupByKey]=OutputTable[[#This Row],[GroupByKey]])*OutputTable[RecordedValue]))</f>
        <v>0.99381255473469199</v>
      </c>
    </row>
    <row r="22" spans="1:16" x14ac:dyDescent="0.35">
      <c r="A22" t="s">
        <v>66</v>
      </c>
      <c r="B22" t="s">
        <v>69</v>
      </c>
      <c r="C22">
        <v>3</v>
      </c>
      <c r="D22" t="s">
        <v>107</v>
      </c>
      <c r="E22" t="s">
        <v>100</v>
      </c>
      <c r="F22" t="s">
        <v>108</v>
      </c>
      <c r="G22">
        <v>103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95.95</v>
      </c>
      <c r="L22" cm="1">
        <f t="array" ref="L22">IFERROR(_xlfn.STDEV.S(IF((OutputTable[GroupByKey]=OutputTable[[#This Row],[GroupByKey]]),(OutputTable[GroupByKey]=OutputTable[[#This Row],[GroupByKey]])*OutputTable[RecordedValue])),0)</f>
        <v>5.6566276081633564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2" cm="1">
        <f t="array" ref="O22">MIN(IF((OutputTable[GroupByKey]=OutputTable[[#This Row],[GroupByKey]]),(OutputTable[GroupByKey]=OutputTable[[#This Row],[GroupByKey]])*OutputTable[RecordedValue]))</f>
        <v>83</v>
      </c>
      <c r="P22" cm="1">
        <f t="array" ref="P22">MAX(IF((OutputTable[GroupByKey]=OutputTable[[#This Row],[GroupByKey]]),(OutputTable[GroupByKey]=OutputTable[[#This Row],[GroupByKey]])*OutputTable[RecordedValue]))</f>
        <v>104</v>
      </c>
    </row>
    <row r="23" spans="1:16" x14ac:dyDescent="0.35">
      <c r="A23" t="s">
        <v>66</v>
      </c>
      <c r="B23" t="s">
        <v>69</v>
      </c>
      <c r="C23">
        <v>4</v>
      </c>
      <c r="D23" t="s">
        <v>97</v>
      </c>
      <c r="E23" t="s">
        <v>98</v>
      </c>
      <c r="F23" t="s">
        <v>76</v>
      </c>
      <c r="G23">
        <v>180</v>
      </c>
      <c r="H23">
        <v>0</v>
      </c>
      <c r="I23" t="str">
        <f>OutputTable[[#This Row],[ProjectName]]&amp;OutputTable[[#This Row],[Name]]&amp;OutputTable[[#This Row],[Type]]&amp;OutputTable[[#This Row],[Source]]</f>
        <v>Unnamed ProjectCliente.NumberInNumber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181.25</v>
      </c>
      <c r="L23" cm="1">
        <f t="array" ref="L23">IFERROR(_xlfn.STDEV.S(IF((OutputTable[GroupByKey]=OutputTable[[#This Row],[GroupByKey]]),(OutputTable[GroupByKey]=OutputTable[[#This Row],[GroupByKey]])*OutputTable[RecordedValue])),0)</f>
        <v>15.97393710600698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3" cm="1">
        <f t="array" ref="O23">MIN(IF((OutputTable[GroupByKey]=OutputTable[[#This Row],[GroupByKey]]),(OutputTable[GroupByKey]=OutputTable[[#This Row],[GroupByKey]])*OutputTable[RecordedValue]))</f>
        <v>146</v>
      </c>
      <c r="P23" cm="1">
        <f t="array" ref="P23">MAX(IF((OutputTable[GroupByKey]=OutputTable[[#This Row],[GroupByKey]]),(OutputTable[GroupByKey]=OutputTable[[#This Row],[GroupByKey]])*OutputTable[RecordedValue]))</f>
        <v>210</v>
      </c>
    </row>
    <row r="24" spans="1:16" x14ac:dyDescent="0.35">
      <c r="A24" t="s">
        <v>66</v>
      </c>
      <c r="B24" t="s">
        <v>69</v>
      </c>
      <c r="C24">
        <v>4</v>
      </c>
      <c r="D24" t="s">
        <v>99</v>
      </c>
      <c r="E24" t="s">
        <v>100</v>
      </c>
      <c r="F24" t="s">
        <v>76</v>
      </c>
      <c r="G24">
        <v>158</v>
      </c>
      <c r="H24">
        <v>0</v>
      </c>
      <c r="I24" t="str">
        <f>OutputTable[[#This Row],[ProjectName]]&amp;OutputTable[[#This Row],[Name]]&amp;OutputTable[[#This Row],[Type]]&amp;OutputTable[[#This Row],[Source]]</f>
        <v>Unnamed ProjectCliente.NumberOutNumber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153.05000000000001</v>
      </c>
      <c r="L24" cm="1">
        <f t="array" ref="L24">IFERROR(_xlfn.STDEV.S(IF((OutputTable[GroupByKey]=OutputTable[[#This Row],[GroupByKey]]),(OutputTable[GroupByKey]=OutputTable[[#This Row],[GroupByKey]])*OutputTable[RecordedValue])),0)</f>
        <v>8.8490184882351901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4" cm="1">
        <f t="array" ref="O24">MIN(IF((OutputTable[GroupByKey]=OutputTable[[#This Row],[GroupByKey]]),(OutputTable[GroupByKey]=OutputTable[[#This Row],[GroupByKey]])*OutputTable[RecordedValue]))</f>
        <v>132</v>
      </c>
      <c r="P24" cm="1">
        <f t="array" ref="P24">MAX(IF((OutputTable[GroupByKey]=OutputTable[[#This Row],[GroupByKey]]),(OutputTable[GroupByKey]=OutputTable[[#This Row],[GroupByKey]])*OutputTable[RecordedValue]))</f>
        <v>166</v>
      </c>
    </row>
    <row r="25" spans="1:16" x14ac:dyDescent="0.35">
      <c r="A25" t="s">
        <v>66</v>
      </c>
      <c r="B25" t="s">
        <v>69</v>
      </c>
      <c r="C25">
        <v>4</v>
      </c>
      <c r="D25" t="s">
        <v>101</v>
      </c>
      <c r="E25" t="s">
        <v>102</v>
      </c>
      <c r="F25" t="s">
        <v>88</v>
      </c>
      <c r="G25">
        <v>69</v>
      </c>
      <c r="H25">
        <v>0</v>
      </c>
      <c r="I25" t="str">
        <f>OutputTable[[#This Row],[ProjectName]]&amp;OutputTable[[#This Row],[Name]]&amp;OutputTable[[#This Row],[Type]]&amp;OutputTable[[#This Row],[Source]]</f>
        <v>Unnamed ProjectCopo.NumberSeizedTotal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66.349999999999994</v>
      </c>
      <c r="L25" cm="1">
        <f t="array" ref="L25">IFERROR(_xlfn.STDEV.S(IF((OutputTable[GroupByKey]=OutputTable[[#This Row],[GroupByKey]]),(OutputTable[GroupByKey]=OutputTable[[#This Row],[GroupByKey]])*OutputTable[RecordedValue])),0)</f>
        <v>4.3237566761870161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5" cm="1">
        <f t="array" ref="O25">MIN(IF((OutputTable[GroupByKey]=OutputTable[[#This Row],[GroupByKey]]),(OutputTable[GroupByKey]=OutputTable[[#This Row],[GroupByKey]])*OutputTable[RecordedValue]))</f>
        <v>56</v>
      </c>
      <c r="P25" cm="1">
        <f t="array" ref="P25">MAX(IF((OutputTable[GroupByKey]=OutputTable[[#This Row],[GroupByKey]]),(OutputTable[GroupByKey]=OutputTable[[#This Row],[GroupByKey]])*OutputTable[RecordedValue]))</f>
        <v>72</v>
      </c>
    </row>
    <row r="26" spans="1:16" x14ac:dyDescent="0.35">
      <c r="A26" t="s">
        <v>66</v>
      </c>
      <c r="B26" t="s">
        <v>69</v>
      </c>
      <c r="C26">
        <v>4</v>
      </c>
      <c r="D26" t="s">
        <v>103</v>
      </c>
      <c r="E26" t="s">
        <v>104</v>
      </c>
      <c r="F26" t="s">
        <v>88</v>
      </c>
      <c r="G26">
        <v>0.93858687552344</v>
      </c>
      <c r="H26">
        <v>0</v>
      </c>
      <c r="I2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0.78200153326291699</v>
      </c>
      <c r="L26" cm="1">
        <f t="array" ref="L26">IFERROR(_xlfn.STDEV.S(IF((OutputTable[GroupByKey]=OutputTable[[#This Row],[GroupByKey]]),(OutputTable[GroupByKey]=OutputTable[[#This Row],[GroupByKey]])*OutputTable[RecordedValue])),0)</f>
        <v>0.13637038930703246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6" cm="1">
        <f t="array" ref="O26">MIN(IF((OutputTable[GroupByKey]=OutputTable[[#This Row],[GroupByKey]]),(OutputTable[GroupByKey]=OutputTable[[#This Row],[GroupByKey]])*OutputTable[RecordedValue]))</f>
        <v>0.51812957617942801</v>
      </c>
      <c r="P26" cm="1">
        <f t="array" ref="P26">MAX(IF((OutputTable[GroupByKey]=OutputTable[[#This Row],[GroupByKey]]),(OutputTable[GroupByKey]=OutputTable[[#This Row],[GroupByKey]])*OutputTable[RecordedValue]))</f>
        <v>0.95110098058067905</v>
      </c>
    </row>
    <row r="27" spans="1:16" x14ac:dyDescent="0.35">
      <c r="A27" t="s">
        <v>66</v>
      </c>
      <c r="B27" t="s">
        <v>69</v>
      </c>
      <c r="C27">
        <v>4</v>
      </c>
      <c r="D27" t="s">
        <v>105</v>
      </c>
      <c r="E27" t="s">
        <v>102</v>
      </c>
      <c r="F27" t="s">
        <v>88</v>
      </c>
      <c r="G27">
        <v>126</v>
      </c>
      <c r="H27">
        <v>0</v>
      </c>
      <c r="I2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122.625</v>
      </c>
      <c r="L27" cm="1">
        <f t="array" ref="L27">IFERROR(_xlfn.STDEV.S(IF((OutputTable[GroupByKey]=OutputTable[[#This Row],[GroupByKey]]),(OutputTable[GroupByKey]=OutputTable[[#This Row],[GroupByKey]])*OutputTable[RecordedValue])),0)</f>
        <v>7.0116661028932015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7" cm="1">
        <f t="array" ref="O27">MIN(IF((OutputTable[GroupByKey]=OutputTable[[#This Row],[GroupByKey]]),(OutputTable[GroupByKey]=OutputTable[[#This Row],[GroupByKey]])*OutputTable[RecordedValue]))</f>
        <v>105</v>
      </c>
      <c r="P27" cm="1">
        <f t="array" ref="P27">MAX(IF((OutputTable[GroupByKey]=OutputTable[[#This Row],[GroupByKey]]),(OutputTable[GroupByKey]=OutputTable[[#This Row],[GroupByKey]])*OutputTable[RecordedValue]))</f>
        <v>132</v>
      </c>
    </row>
    <row r="28" spans="1:16" x14ac:dyDescent="0.35">
      <c r="A28" t="s">
        <v>66</v>
      </c>
      <c r="B28" t="s">
        <v>69</v>
      </c>
      <c r="C28">
        <v>4</v>
      </c>
      <c r="D28" t="s">
        <v>106</v>
      </c>
      <c r="E28" t="s">
        <v>104</v>
      </c>
      <c r="F28" t="s">
        <v>88</v>
      </c>
      <c r="G28">
        <v>0.96427531549243795</v>
      </c>
      <c r="H28">
        <v>0</v>
      </c>
      <c r="I2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0.92906032745742695</v>
      </c>
      <c r="L28" cm="1">
        <f t="array" ref="L28">IFERROR(_xlfn.STDEV.S(IF((OutputTable[GroupByKey]=OutputTable[[#This Row],[GroupByKey]]),(OutputTable[GroupByKey]=OutputTable[[#This Row],[GroupByKey]])*OutputTable[RecordedValue])),0)</f>
        <v>5.2243343646514992E-2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8" cm="1">
        <f t="array" ref="O28">MIN(IF((OutputTable[GroupByKey]=OutputTable[[#This Row],[GroupByKey]]),(OutputTable[GroupByKey]=OutputTable[[#This Row],[GroupByKey]])*OutputTable[RecordedValue]))</f>
        <v>0.78808827046509</v>
      </c>
      <c r="P28" cm="1">
        <f t="array" ref="P28">MAX(IF((OutputTable[GroupByKey]=OutputTable[[#This Row],[GroupByKey]]),(OutputTable[GroupByKey]=OutputTable[[#This Row],[GroupByKey]])*OutputTable[RecordedValue]))</f>
        <v>0.99381255473469199</v>
      </c>
    </row>
    <row r="29" spans="1:16" x14ac:dyDescent="0.35">
      <c r="A29" t="s">
        <v>66</v>
      </c>
      <c r="B29" t="s">
        <v>69</v>
      </c>
      <c r="C29">
        <v>4</v>
      </c>
      <c r="D29" t="s">
        <v>107</v>
      </c>
      <c r="E29" t="s">
        <v>100</v>
      </c>
      <c r="F29" t="s">
        <v>108</v>
      </c>
      <c r="G29">
        <v>99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95.95</v>
      </c>
      <c r="L29" cm="1">
        <f t="array" ref="L29">IFERROR(_xlfn.STDEV.S(IF((OutputTable[GroupByKey]=OutputTable[[#This Row],[GroupByKey]]),(OutputTable[GroupByKey]=OutputTable[[#This Row],[GroupByKey]])*OutputTable[RecordedValue])),0)</f>
        <v>5.6566276081633564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9" cm="1">
        <f t="array" ref="O29">MIN(IF((OutputTable[GroupByKey]=OutputTable[[#This Row],[GroupByKey]]),(OutputTable[GroupByKey]=OutputTable[[#This Row],[GroupByKey]])*OutputTable[RecordedValue]))</f>
        <v>83</v>
      </c>
      <c r="P29" cm="1">
        <f t="array" ref="P29">MAX(IF((OutputTable[GroupByKey]=OutputTable[[#This Row],[GroupByKey]]),(OutputTable[GroupByKey]=OutputTable[[#This Row],[GroupByKey]])*OutputTable[RecordedValue]))</f>
        <v>104</v>
      </c>
    </row>
    <row r="30" spans="1:16" x14ac:dyDescent="0.35">
      <c r="A30" t="s">
        <v>66</v>
      </c>
      <c r="B30" t="s">
        <v>69</v>
      </c>
      <c r="C30">
        <v>5</v>
      </c>
      <c r="D30" t="s">
        <v>97</v>
      </c>
      <c r="E30" t="s">
        <v>98</v>
      </c>
      <c r="F30" t="s">
        <v>76</v>
      </c>
      <c r="G30">
        <v>189</v>
      </c>
      <c r="H30">
        <v>0</v>
      </c>
      <c r="I30" t="str">
        <f>OutputTable[[#This Row],[ProjectName]]&amp;OutputTable[[#This Row],[Name]]&amp;OutputTable[[#This Row],[Type]]&amp;OutputTable[[#This Row],[Source]]</f>
        <v>Unnamed ProjectCliente.NumberInNumber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181.25</v>
      </c>
      <c r="L30" cm="1">
        <f t="array" ref="L30">IFERROR(_xlfn.STDEV.S(IF((OutputTable[GroupByKey]=OutputTable[[#This Row],[GroupByKey]]),(OutputTable[GroupByKey]=OutputTable[[#This Row],[GroupByKey]])*OutputTable[RecordedValue])),0)</f>
        <v>15.97393710600698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30" cm="1">
        <f t="array" ref="O30">MIN(IF((OutputTable[GroupByKey]=OutputTable[[#This Row],[GroupByKey]]),(OutputTable[GroupByKey]=OutputTable[[#This Row],[GroupByKey]])*OutputTable[RecordedValue]))</f>
        <v>146</v>
      </c>
      <c r="P30" cm="1">
        <f t="array" ref="P30">MAX(IF((OutputTable[GroupByKey]=OutputTable[[#This Row],[GroupByKey]]),(OutputTable[GroupByKey]=OutputTable[[#This Row],[GroupByKey]])*OutputTable[RecordedValue]))</f>
        <v>210</v>
      </c>
    </row>
    <row r="31" spans="1:16" x14ac:dyDescent="0.35">
      <c r="A31" t="s">
        <v>66</v>
      </c>
      <c r="B31" t="s">
        <v>69</v>
      </c>
      <c r="C31">
        <v>5</v>
      </c>
      <c r="D31" t="s">
        <v>99</v>
      </c>
      <c r="E31" t="s">
        <v>100</v>
      </c>
      <c r="F31" t="s">
        <v>76</v>
      </c>
      <c r="G31">
        <v>153</v>
      </c>
      <c r="H31">
        <v>0</v>
      </c>
      <c r="I31" t="str">
        <f>OutputTable[[#This Row],[ProjectName]]&amp;OutputTable[[#This Row],[Name]]&amp;OutputTable[[#This Row],[Type]]&amp;OutputTable[[#This Row],[Source]]</f>
        <v>Unnamed ProjectCliente.NumberOutNumber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153.05000000000001</v>
      </c>
      <c r="L31" cm="1">
        <f t="array" ref="L31">IFERROR(_xlfn.STDEV.S(IF((OutputTable[GroupByKey]=OutputTable[[#This Row],[GroupByKey]]),(OutputTable[GroupByKey]=OutputTable[[#This Row],[GroupByKey]])*OutputTable[RecordedValue])),0)</f>
        <v>8.8490184882351901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31" cm="1">
        <f t="array" ref="O31">MIN(IF((OutputTable[GroupByKey]=OutputTable[[#This Row],[GroupByKey]]),(OutputTable[GroupByKey]=OutputTable[[#This Row],[GroupByKey]])*OutputTable[RecordedValue]))</f>
        <v>132</v>
      </c>
      <c r="P31" cm="1">
        <f t="array" ref="P31">MAX(IF((OutputTable[GroupByKey]=OutputTable[[#This Row],[GroupByKey]]),(OutputTable[GroupByKey]=OutputTable[[#This Row],[GroupByKey]])*OutputTable[RecordedValue]))</f>
        <v>166</v>
      </c>
    </row>
    <row r="32" spans="1:16" x14ac:dyDescent="0.35">
      <c r="A32" t="s">
        <v>66</v>
      </c>
      <c r="B32" t="s">
        <v>69</v>
      </c>
      <c r="C32">
        <v>5</v>
      </c>
      <c r="D32" t="s">
        <v>101</v>
      </c>
      <c r="E32" t="s">
        <v>102</v>
      </c>
      <c r="F32" t="s">
        <v>88</v>
      </c>
      <c r="G32">
        <v>67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66.349999999999994</v>
      </c>
      <c r="L32" s="5" cm="1">
        <f t="array" ref="L32">IFERROR(_xlfn.STDEV.S(IF((OutputTable[GroupByKey]=OutputTable[[#This Row],[GroupByKey]]),(OutputTable[GroupByKey]=OutputTable[[#This Row],[GroupByKey]])*OutputTable[RecordedValue])),0)</f>
        <v>4.3237566761870161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32" s="5" cm="1">
        <f t="array" ref="O32">MIN(IF((OutputTable[GroupByKey]=OutputTable[[#This Row],[GroupByKey]]),(OutputTable[GroupByKey]=OutputTable[[#This Row],[GroupByKey]])*OutputTable[RecordedValue]))</f>
        <v>56</v>
      </c>
      <c r="P32" s="5" cm="1">
        <f t="array" ref="P32">MAX(IF((OutputTable[GroupByKey]=OutputTable[[#This Row],[GroupByKey]]),(OutputTable[GroupByKey]=OutputTable[[#This Row],[GroupByKey]])*OutputTable[RecordedValue]))</f>
        <v>72</v>
      </c>
    </row>
    <row r="33" spans="1:16" x14ac:dyDescent="0.35">
      <c r="A33" t="s">
        <v>66</v>
      </c>
      <c r="B33" t="s">
        <v>69</v>
      </c>
      <c r="C33">
        <v>5</v>
      </c>
      <c r="D33" t="s">
        <v>103</v>
      </c>
      <c r="E33" t="s">
        <v>104</v>
      </c>
      <c r="F33" t="s">
        <v>88</v>
      </c>
      <c r="G33">
        <v>0.75969012964928695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0.78200153326291699</v>
      </c>
      <c r="L33" s="5" cm="1">
        <f t="array" ref="L33">IFERROR(_xlfn.STDEV.S(IF((OutputTable[GroupByKey]=OutputTable[[#This Row],[GroupByKey]]),(OutputTable[GroupByKey]=OutputTable[[#This Row],[GroupByKey]])*OutputTable[RecordedValue])),0)</f>
        <v>0.13637038930703246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33" s="5" cm="1">
        <f t="array" ref="O33">MIN(IF((OutputTable[GroupByKey]=OutputTable[[#This Row],[GroupByKey]]),(OutputTable[GroupByKey]=OutputTable[[#This Row],[GroupByKey]])*OutputTable[RecordedValue]))</f>
        <v>0.51812957617942801</v>
      </c>
      <c r="P33" s="5" cm="1">
        <f t="array" ref="P33">MAX(IF((OutputTable[GroupByKey]=OutputTable[[#This Row],[GroupByKey]]),(OutputTable[GroupByKey]=OutputTable[[#This Row],[GroupByKey]])*OutputTable[RecordedValue]))</f>
        <v>0.95110098058067905</v>
      </c>
    </row>
    <row r="34" spans="1:16" x14ac:dyDescent="0.35">
      <c r="A34" t="s">
        <v>66</v>
      </c>
      <c r="B34" t="s">
        <v>69</v>
      </c>
      <c r="C34">
        <v>5</v>
      </c>
      <c r="D34" t="s">
        <v>105</v>
      </c>
      <c r="E34" t="s">
        <v>102</v>
      </c>
      <c r="F34" t="s">
        <v>88</v>
      </c>
      <c r="G34">
        <v>123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122.625</v>
      </c>
      <c r="L34" s="5" cm="1">
        <f t="array" ref="L34">IFERROR(_xlfn.STDEV.S(IF((OutputTable[GroupByKey]=OutputTable[[#This Row],[GroupByKey]]),(OutputTable[GroupByKey]=OutputTable[[#This Row],[GroupByKey]])*OutputTable[RecordedValue])),0)</f>
        <v>7.0116661028932015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34" s="5" cm="1">
        <f t="array" ref="O34">MIN(IF((OutputTable[GroupByKey]=OutputTable[[#This Row],[GroupByKey]]),(OutputTable[GroupByKey]=OutputTable[[#This Row],[GroupByKey]])*OutputTable[RecordedValue]))</f>
        <v>105</v>
      </c>
      <c r="P34" s="5" cm="1">
        <f t="array" ref="P34">MAX(IF((OutputTable[GroupByKey]=OutputTable[[#This Row],[GroupByKey]]),(OutputTable[GroupByKey]=OutputTable[[#This Row],[GroupByKey]])*OutputTable[RecordedValue]))</f>
        <v>132</v>
      </c>
    </row>
    <row r="35" spans="1:16" x14ac:dyDescent="0.35">
      <c r="A35" t="s">
        <v>66</v>
      </c>
      <c r="B35" t="s">
        <v>69</v>
      </c>
      <c r="C35">
        <v>5</v>
      </c>
      <c r="D35" t="s">
        <v>106</v>
      </c>
      <c r="E35" t="s">
        <v>104</v>
      </c>
      <c r="F35" t="s">
        <v>88</v>
      </c>
      <c r="G35">
        <v>0.917512263881757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0.92906032745742695</v>
      </c>
      <c r="L35" s="5" cm="1">
        <f t="array" ref="L35">IFERROR(_xlfn.STDEV.S(IF((OutputTable[GroupByKey]=OutputTable[[#This Row],[GroupByKey]]),(OutputTable[GroupByKey]=OutputTable[[#This Row],[GroupByKey]])*OutputTable[RecordedValue])),0)</f>
        <v>5.2243343646514992E-2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35" s="5" cm="1">
        <f t="array" ref="O35">MIN(IF((OutputTable[GroupByKey]=OutputTable[[#This Row],[GroupByKey]]),(OutputTable[GroupByKey]=OutputTable[[#This Row],[GroupByKey]])*OutputTable[RecordedValue]))</f>
        <v>0.78808827046509</v>
      </c>
      <c r="P35" s="5" cm="1">
        <f t="array" ref="P35">MAX(IF((OutputTable[GroupByKey]=OutputTable[[#This Row],[GroupByKey]]),(OutputTable[GroupByKey]=OutputTable[[#This Row],[GroupByKey]])*OutputTable[RecordedValue]))</f>
        <v>0.99381255473469199</v>
      </c>
    </row>
    <row r="36" spans="1:16" x14ac:dyDescent="0.35">
      <c r="A36" t="s">
        <v>66</v>
      </c>
      <c r="B36" t="s">
        <v>69</v>
      </c>
      <c r="C36">
        <v>5</v>
      </c>
      <c r="D36" t="s">
        <v>107</v>
      </c>
      <c r="E36" t="s">
        <v>100</v>
      </c>
      <c r="F36" t="s">
        <v>108</v>
      </c>
      <c r="G36">
        <v>96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95.95</v>
      </c>
      <c r="L36" s="5" cm="1">
        <f t="array" ref="L36">IFERROR(_xlfn.STDEV.S(IF((OutputTable[GroupByKey]=OutputTable[[#This Row],[GroupByKey]]),(OutputTable[GroupByKey]=OutputTable[[#This Row],[GroupByKey]])*OutputTable[RecordedValue])),0)</f>
        <v>5.6566276081633564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36" s="5" cm="1">
        <f t="array" ref="O36">MIN(IF((OutputTable[GroupByKey]=OutputTable[[#This Row],[GroupByKey]]),(OutputTable[GroupByKey]=OutputTable[[#This Row],[GroupByKey]])*OutputTable[RecordedValue]))</f>
        <v>83</v>
      </c>
      <c r="P36" s="5" cm="1">
        <f t="array" ref="P36">MAX(IF((OutputTable[GroupByKey]=OutputTable[[#This Row],[GroupByKey]]),(OutputTable[GroupByKey]=OutputTable[[#This Row],[GroupByKey]])*OutputTable[RecordedValue]))</f>
        <v>104</v>
      </c>
    </row>
    <row r="37" spans="1:16" x14ac:dyDescent="0.35">
      <c r="A37" t="s">
        <v>66</v>
      </c>
      <c r="B37" t="s">
        <v>69</v>
      </c>
      <c r="C37">
        <v>6</v>
      </c>
      <c r="D37" t="s">
        <v>97</v>
      </c>
      <c r="E37" t="s">
        <v>98</v>
      </c>
      <c r="F37" t="s">
        <v>76</v>
      </c>
      <c r="G37">
        <v>187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ProjectCliente.NumberInNumber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181.25</v>
      </c>
      <c r="L37" s="5" cm="1">
        <f t="array" ref="L37">IFERROR(_xlfn.STDEV.S(IF((OutputTable[GroupByKey]=OutputTable[[#This Row],[GroupByKey]]),(OutputTable[GroupByKey]=OutputTable[[#This Row],[GroupByKey]])*OutputTable[RecordedValue])),0)</f>
        <v>15.97393710600698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37" s="5" cm="1">
        <f t="array" ref="O37">MIN(IF((OutputTable[GroupByKey]=OutputTable[[#This Row],[GroupByKey]]),(OutputTable[GroupByKey]=OutputTable[[#This Row],[GroupByKey]])*OutputTable[RecordedValue]))</f>
        <v>146</v>
      </c>
      <c r="P37" s="5" cm="1">
        <f t="array" ref="P37">MAX(IF((OutputTable[GroupByKey]=OutputTable[[#This Row],[GroupByKey]]),(OutputTable[GroupByKey]=OutputTable[[#This Row],[GroupByKey]])*OutputTable[RecordedValue]))</f>
        <v>210</v>
      </c>
    </row>
    <row r="38" spans="1:16" x14ac:dyDescent="0.35">
      <c r="A38" t="s">
        <v>66</v>
      </c>
      <c r="B38" t="s">
        <v>69</v>
      </c>
      <c r="C38">
        <v>6</v>
      </c>
      <c r="D38" t="s">
        <v>99</v>
      </c>
      <c r="E38" t="s">
        <v>100</v>
      </c>
      <c r="F38" t="s">
        <v>76</v>
      </c>
      <c r="G38">
        <v>159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ProjectCliente.NumberOutNumber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153.05000000000001</v>
      </c>
      <c r="L38" s="5" cm="1">
        <f t="array" ref="L38">IFERROR(_xlfn.STDEV.S(IF((OutputTable[GroupByKey]=OutputTable[[#This Row],[GroupByKey]]),(OutputTable[GroupByKey]=OutputTable[[#This Row],[GroupByKey]])*OutputTable[RecordedValue])),0)</f>
        <v>8.8490184882351901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38" s="5" cm="1">
        <f t="array" ref="O38">MIN(IF((OutputTable[GroupByKey]=OutputTable[[#This Row],[GroupByKey]]),(OutputTable[GroupByKey]=OutputTable[[#This Row],[GroupByKey]])*OutputTable[RecordedValue]))</f>
        <v>132</v>
      </c>
      <c r="P38" s="5" cm="1">
        <f t="array" ref="P38">MAX(IF((OutputTable[GroupByKey]=OutputTable[[#This Row],[GroupByKey]]),(OutputTable[GroupByKey]=OutputTable[[#This Row],[GroupByKey]])*OutputTable[RecordedValue]))</f>
        <v>166</v>
      </c>
    </row>
    <row r="39" spans="1:16" x14ac:dyDescent="0.35">
      <c r="A39" t="s">
        <v>66</v>
      </c>
      <c r="B39" t="s">
        <v>69</v>
      </c>
      <c r="C39">
        <v>6</v>
      </c>
      <c r="D39" t="s">
        <v>101</v>
      </c>
      <c r="E39" t="s">
        <v>102</v>
      </c>
      <c r="F39" t="s">
        <v>88</v>
      </c>
      <c r="G39">
        <v>69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66.349999999999994</v>
      </c>
      <c r="L39" s="5" cm="1">
        <f t="array" ref="L39">IFERROR(_xlfn.STDEV.S(IF((OutputTable[GroupByKey]=OutputTable[[#This Row],[GroupByKey]]),(OutputTable[GroupByKey]=OutputTable[[#This Row],[GroupByKey]])*OutputTable[RecordedValue])),0)</f>
        <v>4.3237566761870161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39" s="5" cm="1">
        <f t="array" ref="O39">MIN(IF((OutputTable[GroupByKey]=OutputTable[[#This Row],[GroupByKey]]),(OutputTable[GroupByKey]=OutputTable[[#This Row],[GroupByKey]])*OutputTable[RecordedValue]))</f>
        <v>56</v>
      </c>
      <c r="P39" s="5" cm="1">
        <f t="array" ref="P39">MAX(IF((OutputTable[GroupByKey]=OutputTable[[#This Row],[GroupByKey]]),(OutputTable[GroupByKey]=OutputTable[[#This Row],[GroupByKey]])*OutputTable[RecordedValue]))</f>
        <v>72</v>
      </c>
    </row>
    <row r="40" spans="1:16" x14ac:dyDescent="0.35">
      <c r="A40" t="s">
        <v>66</v>
      </c>
      <c r="B40" t="s">
        <v>69</v>
      </c>
      <c r="C40">
        <v>6</v>
      </c>
      <c r="D40" t="s">
        <v>103</v>
      </c>
      <c r="E40" t="s">
        <v>104</v>
      </c>
      <c r="F40" t="s">
        <v>88</v>
      </c>
      <c r="G40">
        <v>0.80342223179184002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0.78200153326291699</v>
      </c>
      <c r="L40" s="5" cm="1">
        <f t="array" ref="L40">IFERROR(_xlfn.STDEV.S(IF((OutputTable[GroupByKey]=OutputTable[[#This Row],[GroupByKey]]),(OutputTable[GroupByKey]=OutputTable[[#This Row],[GroupByKey]])*OutputTable[RecordedValue])),0)</f>
        <v>0.13637038930703246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40" s="5" cm="1">
        <f t="array" ref="O40">MIN(IF((OutputTable[GroupByKey]=OutputTable[[#This Row],[GroupByKey]]),(OutputTable[GroupByKey]=OutputTable[[#This Row],[GroupByKey]])*OutputTable[RecordedValue]))</f>
        <v>0.51812957617942801</v>
      </c>
      <c r="P40" s="5" cm="1">
        <f t="array" ref="P40">MAX(IF((OutputTable[GroupByKey]=OutputTable[[#This Row],[GroupByKey]]),(OutputTable[GroupByKey]=OutputTable[[#This Row],[GroupByKey]])*OutputTable[RecordedValue]))</f>
        <v>0.95110098058067905</v>
      </c>
    </row>
    <row r="41" spans="1:16" x14ac:dyDescent="0.35">
      <c r="A41" t="s">
        <v>66</v>
      </c>
      <c r="B41" t="s">
        <v>69</v>
      </c>
      <c r="C41">
        <v>6</v>
      </c>
      <c r="D41" t="s">
        <v>105</v>
      </c>
      <c r="E41" t="s">
        <v>102</v>
      </c>
      <c r="F41" t="s">
        <v>88</v>
      </c>
      <c r="G41">
        <v>126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122.625</v>
      </c>
      <c r="L41" s="5" cm="1">
        <f t="array" ref="L41">IFERROR(_xlfn.STDEV.S(IF((OutputTable[GroupByKey]=OutputTable[[#This Row],[GroupByKey]]),(OutputTable[GroupByKey]=OutputTable[[#This Row],[GroupByKey]])*OutputTable[RecordedValue])),0)</f>
        <v>7.0116661028932015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41" s="5" cm="1">
        <f t="array" ref="O41">MIN(IF((OutputTable[GroupByKey]=OutputTable[[#This Row],[GroupByKey]]),(OutputTable[GroupByKey]=OutputTable[[#This Row],[GroupByKey]])*OutputTable[RecordedValue]))</f>
        <v>105</v>
      </c>
      <c r="P41" s="5" cm="1">
        <f t="array" ref="P41">MAX(IF((OutputTable[GroupByKey]=OutputTable[[#This Row],[GroupByKey]]),(OutputTable[GroupByKey]=OutputTable[[#This Row],[GroupByKey]])*OutputTable[RecordedValue]))</f>
        <v>132</v>
      </c>
    </row>
    <row r="42" spans="1:16" x14ac:dyDescent="0.35">
      <c r="A42" t="s">
        <v>66</v>
      </c>
      <c r="B42" t="s">
        <v>69</v>
      </c>
      <c r="C42">
        <v>6</v>
      </c>
      <c r="D42" t="s">
        <v>106</v>
      </c>
      <c r="E42" t="s">
        <v>104</v>
      </c>
      <c r="F42" t="s">
        <v>88</v>
      </c>
      <c r="G42">
        <v>0.97021575387435199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0.92906032745742695</v>
      </c>
      <c r="L42" s="5" cm="1">
        <f t="array" ref="L42">IFERROR(_xlfn.STDEV.S(IF((OutputTable[GroupByKey]=OutputTable[[#This Row],[GroupByKey]]),(OutputTable[GroupByKey]=OutputTable[[#This Row],[GroupByKey]])*OutputTable[RecordedValue])),0)</f>
        <v>5.2243343646514992E-2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42" s="5" cm="1">
        <f t="array" ref="O42">MIN(IF((OutputTable[GroupByKey]=OutputTable[[#This Row],[GroupByKey]]),(OutputTable[GroupByKey]=OutputTable[[#This Row],[GroupByKey]])*OutputTable[RecordedValue]))</f>
        <v>0.78808827046509</v>
      </c>
      <c r="P42" s="5" cm="1">
        <f t="array" ref="P42">MAX(IF((OutputTable[GroupByKey]=OutputTable[[#This Row],[GroupByKey]]),(OutputTable[GroupByKey]=OutputTable[[#This Row],[GroupByKey]])*OutputTable[RecordedValue]))</f>
        <v>0.99381255473469199</v>
      </c>
    </row>
    <row r="43" spans="1:16" x14ac:dyDescent="0.35">
      <c r="A43" t="s">
        <v>66</v>
      </c>
      <c r="B43" t="s">
        <v>69</v>
      </c>
      <c r="C43">
        <v>6</v>
      </c>
      <c r="D43" t="s">
        <v>107</v>
      </c>
      <c r="E43" t="s">
        <v>100</v>
      </c>
      <c r="F43" t="s">
        <v>108</v>
      </c>
      <c r="G43">
        <v>100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ProjectSystem.NumberOutNumber OutSystem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95.95</v>
      </c>
      <c r="L43" s="5" cm="1">
        <f t="array" ref="L43">IFERROR(_xlfn.STDEV.S(IF((OutputTable[GroupByKey]=OutputTable[[#This Row],[GroupByKey]]),(OutputTable[GroupByKey]=OutputTable[[#This Row],[GroupByKey]])*OutputTable[RecordedValue])),0)</f>
        <v>5.6566276081633564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43" s="5" cm="1">
        <f t="array" ref="O43">MIN(IF((OutputTable[GroupByKey]=OutputTable[[#This Row],[GroupByKey]]),(OutputTable[GroupByKey]=OutputTable[[#This Row],[GroupByKey]])*OutputTable[RecordedValue]))</f>
        <v>83</v>
      </c>
      <c r="P43" s="5" cm="1">
        <f t="array" ref="P43">MAX(IF((OutputTable[GroupByKey]=OutputTable[[#This Row],[GroupByKey]]),(OutputTable[GroupByKey]=OutputTable[[#This Row],[GroupByKey]])*OutputTable[RecordedValue]))</f>
        <v>104</v>
      </c>
    </row>
    <row r="44" spans="1:16" x14ac:dyDescent="0.35">
      <c r="A44" t="s">
        <v>66</v>
      </c>
      <c r="B44" t="s">
        <v>69</v>
      </c>
      <c r="C44">
        <v>7</v>
      </c>
      <c r="D44" t="s">
        <v>97</v>
      </c>
      <c r="E44" t="s">
        <v>98</v>
      </c>
      <c r="F44" t="s">
        <v>76</v>
      </c>
      <c r="G44">
        <v>163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ProjectCliente.NumberInNumber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181.25</v>
      </c>
      <c r="L44" s="5" cm="1">
        <f t="array" ref="L44">IFERROR(_xlfn.STDEV.S(IF((OutputTable[GroupByKey]=OutputTable[[#This Row],[GroupByKey]]),(OutputTable[GroupByKey]=OutputTable[[#This Row],[GroupByKey]])*OutputTable[RecordedValue])),0)</f>
        <v>15.97393710600698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44" s="5" cm="1">
        <f t="array" ref="O44">MIN(IF((OutputTable[GroupByKey]=OutputTable[[#This Row],[GroupByKey]]),(OutputTable[GroupByKey]=OutputTable[[#This Row],[GroupByKey]])*OutputTable[RecordedValue]))</f>
        <v>146</v>
      </c>
      <c r="P44" s="5" cm="1">
        <f t="array" ref="P44">MAX(IF((OutputTable[GroupByKey]=OutputTable[[#This Row],[GroupByKey]]),(OutputTable[GroupByKey]=OutputTable[[#This Row],[GroupByKey]])*OutputTable[RecordedValue]))</f>
        <v>210</v>
      </c>
    </row>
    <row r="45" spans="1:16" x14ac:dyDescent="0.35">
      <c r="A45" t="s">
        <v>66</v>
      </c>
      <c r="B45" t="s">
        <v>69</v>
      </c>
      <c r="C45">
        <v>7</v>
      </c>
      <c r="D45" t="s">
        <v>99</v>
      </c>
      <c r="E45" t="s">
        <v>100</v>
      </c>
      <c r="F45" t="s">
        <v>76</v>
      </c>
      <c r="G45">
        <v>145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ProjectCliente.NumberOutNumber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153.05000000000001</v>
      </c>
      <c r="L45" s="5" cm="1">
        <f t="array" ref="L45">IFERROR(_xlfn.STDEV.S(IF((OutputTable[GroupByKey]=OutputTable[[#This Row],[GroupByKey]]),(OutputTable[GroupByKey]=OutputTable[[#This Row],[GroupByKey]])*OutputTable[RecordedValue])),0)</f>
        <v>8.8490184882351901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45" s="5" cm="1">
        <f t="array" ref="O45">MIN(IF((OutputTable[GroupByKey]=OutputTable[[#This Row],[GroupByKey]]),(OutputTable[GroupByKey]=OutputTable[[#This Row],[GroupByKey]])*OutputTable[RecordedValue]))</f>
        <v>132</v>
      </c>
      <c r="P45" s="5" cm="1">
        <f t="array" ref="P45">MAX(IF((OutputTable[GroupByKey]=OutputTable[[#This Row],[GroupByKey]]),(OutputTable[GroupByKey]=OutputTable[[#This Row],[GroupByKey]])*OutputTable[RecordedValue]))</f>
        <v>166</v>
      </c>
    </row>
    <row r="46" spans="1:16" x14ac:dyDescent="0.35">
      <c r="A46" t="s">
        <v>66</v>
      </c>
      <c r="B46" t="s">
        <v>69</v>
      </c>
      <c r="C46">
        <v>7</v>
      </c>
      <c r="D46" t="s">
        <v>101</v>
      </c>
      <c r="E46" t="s">
        <v>102</v>
      </c>
      <c r="F46" t="s">
        <v>88</v>
      </c>
      <c r="G46">
        <v>63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66.349999999999994</v>
      </c>
      <c r="L46" s="5" cm="1">
        <f t="array" ref="L46">IFERROR(_xlfn.STDEV.S(IF((OutputTable[GroupByKey]=OutputTable[[#This Row],[GroupByKey]]),(OutputTable[GroupByKey]=OutputTable[[#This Row],[GroupByKey]])*OutputTable[RecordedValue])),0)</f>
        <v>4.3237566761870161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46" s="5" cm="1">
        <f t="array" ref="O46">MIN(IF((OutputTable[GroupByKey]=OutputTable[[#This Row],[GroupByKey]]),(OutputTable[GroupByKey]=OutputTable[[#This Row],[GroupByKey]])*OutputTable[RecordedValue]))</f>
        <v>56</v>
      </c>
      <c r="P46" s="5" cm="1">
        <f t="array" ref="P46">MAX(IF((OutputTable[GroupByKey]=OutputTable[[#This Row],[GroupByKey]]),(OutputTable[GroupByKey]=OutputTable[[#This Row],[GroupByKey]])*OutputTable[RecordedValue]))</f>
        <v>72</v>
      </c>
    </row>
    <row r="47" spans="1:16" x14ac:dyDescent="0.35">
      <c r="A47" t="s">
        <v>66</v>
      </c>
      <c r="B47" t="s">
        <v>69</v>
      </c>
      <c r="C47">
        <v>7</v>
      </c>
      <c r="D47" t="s">
        <v>103</v>
      </c>
      <c r="E47" t="s">
        <v>104</v>
      </c>
      <c r="F47" t="s">
        <v>88</v>
      </c>
      <c r="G47">
        <v>0.60402355232131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0.78200153326291699</v>
      </c>
      <c r="L47" s="5" cm="1">
        <f t="array" ref="L47">IFERROR(_xlfn.STDEV.S(IF((OutputTable[GroupByKey]=OutputTable[[#This Row],[GroupByKey]]),(OutputTable[GroupByKey]=OutputTable[[#This Row],[GroupByKey]])*OutputTable[RecordedValue])),0)</f>
        <v>0.13637038930703246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47" s="5" cm="1">
        <f t="array" ref="O47">MIN(IF((OutputTable[GroupByKey]=OutputTable[[#This Row],[GroupByKey]]),(OutputTable[GroupByKey]=OutputTable[[#This Row],[GroupByKey]])*OutputTable[RecordedValue]))</f>
        <v>0.51812957617942801</v>
      </c>
      <c r="P47" s="5" cm="1">
        <f t="array" ref="P47">MAX(IF((OutputTable[GroupByKey]=OutputTable[[#This Row],[GroupByKey]]),(OutputTable[GroupByKey]=OutputTable[[#This Row],[GroupByKey]])*OutputTable[RecordedValue]))</f>
        <v>0.95110098058067905</v>
      </c>
    </row>
    <row r="48" spans="1:16" x14ac:dyDescent="0.35">
      <c r="A48" t="s">
        <v>66</v>
      </c>
      <c r="B48" t="s">
        <v>69</v>
      </c>
      <c r="C48">
        <v>7</v>
      </c>
      <c r="D48" t="s">
        <v>105</v>
      </c>
      <c r="E48" t="s">
        <v>102</v>
      </c>
      <c r="F48" t="s">
        <v>88</v>
      </c>
      <c r="G48">
        <v>116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122.625</v>
      </c>
      <c r="L48" s="5" cm="1">
        <f t="array" ref="L48">IFERROR(_xlfn.STDEV.S(IF((OutputTable[GroupByKey]=OutputTable[[#This Row],[GroupByKey]]),(OutputTable[GroupByKey]=OutputTable[[#This Row],[GroupByKey]])*OutputTable[RecordedValue])),0)</f>
        <v>7.0116661028932015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48" s="5" cm="1">
        <f t="array" ref="O48">MIN(IF((OutputTable[GroupByKey]=OutputTable[[#This Row],[GroupByKey]]),(OutputTable[GroupByKey]=OutputTable[[#This Row],[GroupByKey]])*OutputTable[RecordedValue]))</f>
        <v>105</v>
      </c>
      <c r="P48" s="5" cm="1">
        <f t="array" ref="P48">MAX(IF((OutputTable[GroupByKey]=OutputTable[[#This Row],[GroupByKey]]),(OutputTable[GroupByKey]=OutputTable[[#This Row],[GroupByKey]])*OutputTable[RecordedValue]))</f>
        <v>132</v>
      </c>
    </row>
    <row r="49" spans="1:16" x14ac:dyDescent="0.35">
      <c r="A49" t="s">
        <v>66</v>
      </c>
      <c r="B49" t="s">
        <v>69</v>
      </c>
      <c r="C49">
        <v>7</v>
      </c>
      <c r="D49" t="s">
        <v>106</v>
      </c>
      <c r="E49" t="s">
        <v>104</v>
      </c>
      <c r="F49" t="s">
        <v>88</v>
      </c>
      <c r="G49">
        <v>0.89085833203617903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0.92906032745742695</v>
      </c>
      <c r="L49" s="5" cm="1">
        <f t="array" ref="L49">IFERROR(_xlfn.STDEV.S(IF((OutputTable[GroupByKey]=OutputTable[[#This Row],[GroupByKey]]),(OutputTable[GroupByKey]=OutputTable[[#This Row],[GroupByKey]])*OutputTable[RecordedValue])),0)</f>
        <v>5.2243343646514992E-2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49" s="5" cm="1">
        <f t="array" ref="O49">MIN(IF((OutputTable[GroupByKey]=OutputTable[[#This Row],[GroupByKey]]),(OutputTable[GroupByKey]=OutputTable[[#This Row],[GroupByKey]])*OutputTable[RecordedValue]))</f>
        <v>0.78808827046509</v>
      </c>
      <c r="P49" s="5" cm="1">
        <f t="array" ref="P49">MAX(IF((OutputTable[GroupByKey]=OutputTable[[#This Row],[GroupByKey]]),(OutputTable[GroupByKey]=OutputTable[[#This Row],[GroupByKey]])*OutputTable[RecordedValue]))</f>
        <v>0.99381255473469199</v>
      </c>
    </row>
    <row r="50" spans="1:16" x14ac:dyDescent="0.35">
      <c r="A50" t="s">
        <v>66</v>
      </c>
      <c r="B50" t="s">
        <v>69</v>
      </c>
      <c r="C50">
        <v>7</v>
      </c>
      <c r="D50" t="s">
        <v>107</v>
      </c>
      <c r="E50" t="s">
        <v>100</v>
      </c>
      <c r="F50" t="s">
        <v>108</v>
      </c>
      <c r="G50">
        <v>91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ProjectSystem.NumberOutNumber OutSystem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95.95</v>
      </c>
      <c r="L50" s="5" cm="1">
        <f t="array" ref="L50">IFERROR(_xlfn.STDEV.S(IF((OutputTable[GroupByKey]=OutputTable[[#This Row],[GroupByKey]]),(OutputTable[GroupByKey]=OutputTable[[#This Row],[GroupByKey]])*OutputTable[RecordedValue])),0)</f>
        <v>5.6566276081633564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50" s="5" cm="1">
        <f t="array" ref="O50">MIN(IF((OutputTable[GroupByKey]=OutputTable[[#This Row],[GroupByKey]]),(OutputTable[GroupByKey]=OutputTable[[#This Row],[GroupByKey]])*OutputTable[RecordedValue]))</f>
        <v>83</v>
      </c>
      <c r="P50" s="5" cm="1">
        <f t="array" ref="P50">MAX(IF((OutputTable[GroupByKey]=OutputTable[[#This Row],[GroupByKey]]),(OutputTable[GroupByKey]=OutputTable[[#This Row],[GroupByKey]])*OutputTable[RecordedValue]))</f>
        <v>104</v>
      </c>
    </row>
    <row r="51" spans="1:16" x14ac:dyDescent="0.35">
      <c r="A51" t="s">
        <v>66</v>
      </c>
      <c r="B51" t="s">
        <v>69</v>
      </c>
      <c r="C51">
        <v>8</v>
      </c>
      <c r="D51" t="s">
        <v>97</v>
      </c>
      <c r="E51" t="s">
        <v>98</v>
      </c>
      <c r="F51" t="s">
        <v>76</v>
      </c>
      <c r="G51">
        <v>185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ProjectCliente.NumberInNumber InEntity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181.25</v>
      </c>
      <c r="L51" s="5" cm="1">
        <f t="array" ref="L51">IFERROR(_xlfn.STDEV.S(IF((OutputTable[GroupByKey]=OutputTable[[#This Row],[GroupByKey]]),(OutputTable[GroupByKey]=OutputTable[[#This Row],[GroupByKey]])*OutputTable[RecordedValue])),0)</f>
        <v>15.97393710600698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51" s="5" cm="1">
        <f t="array" ref="O51">MIN(IF((OutputTable[GroupByKey]=OutputTable[[#This Row],[GroupByKey]]),(OutputTable[GroupByKey]=OutputTable[[#This Row],[GroupByKey]])*OutputTable[RecordedValue]))</f>
        <v>146</v>
      </c>
      <c r="P51" s="5" cm="1">
        <f t="array" ref="P51">MAX(IF((OutputTable[GroupByKey]=OutputTable[[#This Row],[GroupByKey]]),(OutputTable[GroupByKey]=OutputTable[[#This Row],[GroupByKey]])*OutputTable[RecordedValue]))</f>
        <v>210</v>
      </c>
    </row>
    <row r="52" spans="1:16" x14ac:dyDescent="0.35">
      <c r="A52" t="s">
        <v>66</v>
      </c>
      <c r="B52" t="s">
        <v>69</v>
      </c>
      <c r="C52">
        <v>8</v>
      </c>
      <c r="D52" t="s">
        <v>99</v>
      </c>
      <c r="E52" t="s">
        <v>100</v>
      </c>
      <c r="F52" t="s">
        <v>76</v>
      </c>
      <c r="G52">
        <v>157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ProjectCliente.NumberOutNumber OutEntity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153.05000000000001</v>
      </c>
      <c r="L52" s="5" cm="1">
        <f t="array" ref="L52">IFERROR(_xlfn.STDEV.S(IF((OutputTable[GroupByKey]=OutputTable[[#This Row],[GroupByKey]]),(OutputTable[GroupByKey]=OutputTable[[#This Row],[GroupByKey]])*OutputTable[RecordedValue])),0)</f>
        <v>8.8490184882351901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52" s="5" cm="1">
        <f t="array" ref="O52">MIN(IF((OutputTable[GroupByKey]=OutputTable[[#This Row],[GroupByKey]]),(OutputTable[GroupByKey]=OutputTable[[#This Row],[GroupByKey]])*OutputTable[RecordedValue]))</f>
        <v>132</v>
      </c>
      <c r="P52" s="5" cm="1">
        <f t="array" ref="P52">MAX(IF((OutputTable[GroupByKey]=OutputTable[[#This Row],[GroupByKey]]),(OutputTable[GroupByKey]=OutputTable[[#This Row],[GroupByKey]])*OutputTable[RecordedValue]))</f>
        <v>166</v>
      </c>
    </row>
    <row r="53" spans="1:16" x14ac:dyDescent="0.35">
      <c r="A53" t="s">
        <v>66</v>
      </c>
      <c r="B53" t="s">
        <v>69</v>
      </c>
      <c r="C53">
        <v>8</v>
      </c>
      <c r="D53" t="s">
        <v>101</v>
      </c>
      <c r="E53" t="s">
        <v>102</v>
      </c>
      <c r="F53" t="s">
        <v>88</v>
      </c>
      <c r="G53">
        <v>69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66.349999999999994</v>
      </c>
      <c r="L53" s="5" cm="1">
        <f t="array" ref="L53">IFERROR(_xlfn.STDEV.S(IF((OutputTable[GroupByKey]=OutputTable[[#This Row],[GroupByKey]]),(OutputTable[GroupByKey]=OutputTable[[#This Row],[GroupByKey]])*OutputTable[RecordedValue])),0)</f>
        <v>4.3237566761870161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53" s="5" cm="1">
        <f t="array" ref="O53">MIN(IF((OutputTable[GroupByKey]=OutputTable[[#This Row],[GroupByKey]]),(OutputTable[GroupByKey]=OutputTable[[#This Row],[GroupByKey]])*OutputTable[RecordedValue]))</f>
        <v>56</v>
      </c>
      <c r="P53" s="5" cm="1">
        <f t="array" ref="P53">MAX(IF((OutputTable[GroupByKey]=OutputTable[[#This Row],[GroupByKey]]),(OutputTable[GroupByKey]=OutputTable[[#This Row],[GroupByKey]])*OutputTable[RecordedValue]))</f>
        <v>72</v>
      </c>
    </row>
    <row r="54" spans="1:16" x14ac:dyDescent="0.35">
      <c r="A54" t="s">
        <v>66</v>
      </c>
      <c r="B54" t="s">
        <v>69</v>
      </c>
      <c r="C54">
        <v>8</v>
      </c>
      <c r="D54" t="s">
        <v>103</v>
      </c>
      <c r="E54" t="s">
        <v>104</v>
      </c>
      <c r="F54" t="s">
        <v>88</v>
      </c>
      <c r="G54">
        <v>0.75581503899411795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0.78200153326291699</v>
      </c>
      <c r="L54" s="5" cm="1">
        <f t="array" ref="L54">IFERROR(_xlfn.STDEV.S(IF((OutputTable[GroupByKey]=OutputTable[[#This Row],[GroupByKey]]),(OutputTable[GroupByKey]=OutputTable[[#This Row],[GroupByKey]])*OutputTable[RecordedValue])),0)</f>
        <v>0.13637038930703246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54" s="5" cm="1">
        <f t="array" ref="O54">MIN(IF((OutputTable[GroupByKey]=OutputTable[[#This Row],[GroupByKey]]),(OutputTable[GroupByKey]=OutputTable[[#This Row],[GroupByKey]])*OutputTable[RecordedValue]))</f>
        <v>0.51812957617942801</v>
      </c>
      <c r="P54" s="5" cm="1">
        <f t="array" ref="P54">MAX(IF((OutputTable[GroupByKey]=OutputTable[[#This Row],[GroupByKey]]),(OutputTable[GroupByKey]=OutputTable[[#This Row],[GroupByKey]])*OutputTable[RecordedValue]))</f>
        <v>0.95110098058067905</v>
      </c>
    </row>
    <row r="55" spans="1:16" x14ac:dyDescent="0.35">
      <c r="A55" t="s">
        <v>66</v>
      </c>
      <c r="B55" t="s">
        <v>69</v>
      </c>
      <c r="C55">
        <v>8</v>
      </c>
      <c r="D55" t="s">
        <v>105</v>
      </c>
      <c r="E55" t="s">
        <v>102</v>
      </c>
      <c r="F55" t="s">
        <v>88</v>
      </c>
      <c r="G55">
        <v>128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122.625</v>
      </c>
      <c r="L55" s="5" cm="1">
        <f t="array" ref="L55">IFERROR(_xlfn.STDEV.S(IF((OutputTable[GroupByKey]=OutputTable[[#This Row],[GroupByKey]]),(OutputTable[GroupByKey]=OutputTable[[#This Row],[GroupByKey]])*OutputTable[RecordedValue])),0)</f>
        <v>7.0116661028932015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55" s="5" cm="1">
        <f t="array" ref="O55">MIN(IF((OutputTable[GroupByKey]=OutputTable[[#This Row],[GroupByKey]]),(OutputTable[GroupByKey]=OutputTable[[#This Row],[GroupByKey]])*OutputTable[RecordedValue]))</f>
        <v>105</v>
      </c>
      <c r="P55" s="5" cm="1">
        <f t="array" ref="P55">MAX(IF((OutputTable[GroupByKey]=OutputTable[[#This Row],[GroupByKey]]),(OutputTable[GroupByKey]=OutputTable[[#This Row],[GroupByKey]])*OutputTable[RecordedValue]))</f>
        <v>132</v>
      </c>
    </row>
    <row r="56" spans="1:16" x14ac:dyDescent="0.35">
      <c r="A56" t="s">
        <v>66</v>
      </c>
      <c r="B56" t="s">
        <v>69</v>
      </c>
      <c r="C56">
        <v>8</v>
      </c>
      <c r="D56" t="s">
        <v>106</v>
      </c>
      <c r="E56" t="s">
        <v>104</v>
      </c>
      <c r="F56" t="s">
        <v>88</v>
      </c>
      <c r="G56">
        <v>0.968220727707787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0.92906032745742695</v>
      </c>
      <c r="L56" s="5" cm="1">
        <f t="array" ref="L56">IFERROR(_xlfn.STDEV.S(IF((OutputTable[GroupByKey]=OutputTable[[#This Row],[GroupByKey]]),(OutputTable[GroupByKey]=OutputTable[[#This Row],[GroupByKey]])*OutputTable[RecordedValue])),0)</f>
        <v>5.2243343646514992E-2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56" s="5" cm="1">
        <f t="array" ref="O56">MIN(IF((OutputTable[GroupByKey]=OutputTable[[#This Row],[GroupByKey]]),(OutputTable[GroupByKey]=OutputTable[[#This Row],[GroupByKey]])*OutputTable[RecordedValue]))</f>
        <v>0.78808827046509</v>
      </c>
      <c r="P56" s="5" cm="1">
        <f t="array" ref="P56">MAX(IF((OutputTable[GroupByKey]=OutputTable[[#This Row],[GroupByKey]]),(OutputTable[GroupByKey]=OutputTable[[#This Row],[GroupByKey]])*OutputTable[RecordedValue]))</f>
        <v>0.99381255473469199</v>
      </c>
    </row>
    <row r="57" spans="1:16" x14ac:dyDescent="0.35">
      <c r="A57" t="s">
        <v>66</v>
      </c>
      <c r="B57" t="s">
        <v>69</v>
      </c>
      <c r="C57">
        <v>8</v>
      </c>
      <c r="D57" t="s">
        <v>107</v>
      </c>
      <c r="E57" t="s">
        <v>100</v>
      </c>
      <c r="F57" t="s">
        <v>108</v>
      </c>
      <c r="G57">
        <v>98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ProjectSystem.NumberOutNumber OutSystem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95.95</v>
      </c>
      <c r="L57" s="5" cm="1">
        <f t="array" ref="L57">IFERROR(_xlfn.STDEV.S(IF((OutputTable[GroupByKey]=OutputTable[[#This Row],[GroupByKey]]),(OutputTable[GroupByKey]=OutputTable[[#This Row],[GroupByKey]])*OutputTable[RecordedValue])),0)</f>
        <v>5.6566276081633564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57" s="5" cm="1">
        <f t="array" ref="O57">MIN(IF((OutputTable[GroupByKey]=OutputTable[[#This Row],[GroupByKey]]),(OutputTable[GroupByKey]=OutputTable[[#This Row],[GroupByKey]])*OutputTable[RecordedValue]))</f>
        <v>83</v>
      </c>
      <c r="P57" s="5" cm="1">
        <f t="array" ref="P57">MAX(IF((OutputTable[GroupByKey]=OutputTable[[#This Row],[GroupByKey]]),(OutputTable[GroupByKey]=OutputTable[[#This Row],[GroupByKey]])*OutputTable[RecordedValue]))</f>
        <v>104</v>
      </c>
    </row>
    <row r="58" spans="1:16" x14ac:dyDescent="0.35">
      <c r="A58" t="s">
        <v>66</v>
      </c>
      <c r="B58" t="s">
        <v>69</v>
      </c>
      <c r="C58">
        <v>9</v>
      </c>
      <c r="D58" t="s">
        <v>97</v>
      </c>
      <c r="E58" t="s">
        <v>98</v>
      </c>
      <c r="F58" t="s">
        <v>76</v>
      </c>
      <c r="G58">
        <v>183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ProjectCliente.NumberInNumber InEntity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181.25</v>
      </c>
      <c r="L58" s="5" cm="1">
        <f t="array" ref="L58">IFERROR(_xlfn.STDEV.S(IF((OutputTable[GroupByKey]=OutputTable[[#This Row],[GroupByKey]]),(OutputTable[GroupByKey]=OutputTable[[#This Row],[GroupByKey]])*OutputTable[RecordedValue])),0)</f>
        <v>15.97393710600698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58" s="5" cm="1">
        <f t="array" ref="O58">MIN(IF((OutputTable[GroupByKey]=OutputTable[[#This Row],[GroupByKey]]),(OutputTable[GroupByKey]=OutputTable[[#This Row],[GroupByKey]])*OutputTable[RecordedValue]))</f>
        <v>146</v>
      </c>
      <c r="P58" s="5" cm="1">
        <f t="array" ref="P58">MAX(IF((OutputTable[GroupByKey]=OutputTable[[#This Row],[GroupByKey]]),(OutputTable[GroupByKey]=OutputTable[[#This Row],[GroupByKey]])*OutputTable[RecordedValue]))</f>
        <v>210</v>
      </c>
    </row>
    <row r="59" spans="1:16" x14ac:dyDescent="0.35">
      <c r="A59" t="s">
        <v>66</v>
      </c>
      <c r="B59" t="s">
        <v>69</v>
      </c>
      <c r="C59">
        <v>9</v>
      </c>
      <c r="D59" t="s">
        <v>99</v>
      </c>
      <c r="E59" t="s">
        <v>100</v>
      </c>
      <c r="F59" t="s">
        <v>76</v>
      </c>
      <c r="G59">
        <v>161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ProjectCliente.NumberOutNumber OutEntity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153.05000000000001</v>
      </c>
      <c r="L59" s="5" cm="1">
        <f t="array" ref="L59">IFERROR(_xlfn.STDEV.S(IF((OutputTable[GroupByKey]=OutputTable[[#This Row],[GroupByKey]]),(OutputTable[GroupByKey]=OutputTable[[#This Row],[GroupByKey]])*OutputTable[RecordedValue])),0)</f>
        <v>8.8490184882351901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59" s="5" cm="1">
        <f t="array" ref="O59">MIN(IF((OutputTable[GroupByKey]=OutputTable[[#This Row],[GroupByKey]]),(OutputTable[GroupByKey]=OutputTable[[#This Row],[GroupByKey]])*OutputTable[RecordedValue]))</f>
        <v>132</v>
      </c>
      <c r="P59" s="5" cm="1">
        <f t="array" ref="P59">MAX(IF((OutputTable[GroupByKey]=OutputTable[[#This Row],[GroupByKey]]),(OutputTable[GroupByKey]=OutputTable[[#This Row],[GroupByKey]])*OutputTable[RecordedValue]))</f>
        <v>166</v>
      </c>
    </row>
    <row r="60" spans="1:16" x14ac:dyDescent="0.35">
      <c r="A60" t="s">
        <v>66</v>
      </c>
      <c r="B60" t="s">
        <v>69</v>
      </c>
      <c r="C60">
        <v>9</v>
      </c>
      <c r="D60" t="s">
        <v>101</v>
      </c>
      <c r="E60" t="s">
        <v>102</v>
      </c>
      <c r="F60" t="s">
        <v>88</v>
      </c>
      <c r="G60">
        <v>70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66.349999999999994</v>
      </c>
      <c r="L60" s="5" cm="1">
        <f t="array" ref="L60">IFERROR(_xlfn.STDEV.S(IF((OutputTable[GroupByKey]=OutputTable[[#This Row],[GroupByKey]]),(OutputTable[GroupByKey]=OutputTable[[#This Row],[GroupByKey]])*OutputTable[RecordedValue])),0)</f>
        <v>4.3237566761870161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60" s="5" cm="1">
        <f t="array" ref="O60">MIN(IF((OutputTable[GroupByKey]=OutputTable[[#This Row],[GroupByKey]]),(OutputTable[GroupByKey]=OutputTable[[#This Row],[GroupByKey]])*OutputTable[RecordedValue]))</f>
        <v>56</v>
      </c>
      <c r="P60" s="5" cm="1">
        <f t="array" ref="P60">MAX(IF((OutputTable[GroupByKey]=OutputTable[[#This Row],[GroupByKey]]),(OutputTable[GroupByKey]=OutputTable[[#This Row],[GroupByKey]])*OutputTable[RecordedValue]))</f>
        <v>72</v>
      </c>
    </row>
    <row r="61" spans="1:16" x14ac:dyDescent="0.35">
      <c r="A61" t="s">
        <v>66</v>
      </c>
      <c r="B61" t="s">
        <v>69</v>
      </c>
      <c r="C61">
        <v>9</v>
      </c>
      <c r="D61" t="s">
        <v>103</v>
      </c>
      <c r="E61" t="s">
        <v>104</v>
      </c>
      <c r="F61" t="s">
        <v>88</v>
      </c>
      <c r="G61">
        <v>0.91775791869039003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0.78200153326291699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0.13637038930703246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61" s="5" cm="1">
        <f t="array" ref="O61">MIN(IF((OutputTable[GroupByKey]=OutputTable[[#This Row],[GroupByKey]]),(OutputTable[GroupByKey]=OutputTable[[#This Row],[GroupByKey]])*OutputTable[RecordedValue]))</f>
        <v>0.51812957617942801</v>
      </c>
      <c r="P61" s="5" cm="1">
        <f t="array" ref="P61">MAX(IF((OutputTable[GroupByKey]=OutputTable[[#This Row],[GroupByKey]]),(OutputTable[GroupByKey]=OutputTable[[#This Row],[GroupByKey]])*OutputTable[RecordedValue]))</f>
        <v>0.95110098058067905</v>
      </c>
    </row>
    <row r="62" spans="1:16" x14ac:dyDescent="0.35">
      <c r="A62" t="s">
        <v>66</v>
      </c>
      <c r="B62" t="s">
        <v>69</v>
      </c>
      <c r="C62">
        <v>9</v>
      </c>
      <c r="D62" t="s">
        <v>105</v>
      </c>
      <c r="E62" t="s">
        <v>102</v>
      </c>
      <c r="F62" t="s">
        <v>88</v>
      </c>
      <c r="G62">
        <v>128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122.625</v>
      </c>
      <c r="L62" s="5" cm="1">
        <f t="array" ref="L62">IFERROR(_xlfn.STDEV.S(IF((OutputTable[GroupByKey]=OutputTable[[#This Row],[GroupByKey]]),(OutputTable[GroupByKey]=OutputTable[[#This Row],[GroupByKey]])*OutputTable[RecordedValue])),0)</f>
        <v>7.0116661028932015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62" s="5" cm="1">
        <f t="array" ref="O62">MIN(IF((OutputTable[GroupByKey]=OutputTable[[#This Row],[GroupByKey]]),(OutputTable[GroupByKey]=OutputTable[[#This Row],[GroupByKey]])*OutputTable[RecordedValue]))</f>
        <v>105</v>
      </c>
      <c r="P62" s="5" cm="1">
        <f t="array" ref="P62">MAX(IF((OutputTable[GroupByKey]=OutputTable[[#This Row],[GroupByKey]]),(OutputTable[GroupByKey]=OutputTable[[#This Row],[GroupByKey]])*OutputTable[RecordedValue]))</f>
        <v>132</v>
      </c>
    </row>
    <row r="63" spans="1:16" x14ac:dyDescent="0.35">
      <c r="A63" t="s">
        <v>66</v>
      </c>
      <c r="B63" t="s">
        <v>69</v>
      </c>
      <c r="C63">
        <v>9</v>
      </c>
      <c r="D63" t="s">
        <v>106</v>
      </c>
      <c r="E63" t="s">
        <v>104</v>
      </c>
      <c r="F63" t="s">
        <v>88</v>
      </c>
      <c r="G63">
        <v>0.95876078410296905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0.92906032745742695</v>
      </c>
      <c r="L63" s="5" cm="1">
        <f t="array" ref="L63">IFERROR(_xlfn.STDEV.S(IF((OutputTable[GroupByKey]=OutputTable[[#This Row],[GroupByKey]]),(OutputTable[GroupByKey]=OutputTable[[#This Row],[GroupByKey]])*OutputTable[RecordedValue])),0)</f>
        <v>5.2243343646514992E-2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63" s="5" cm="1">
        <f t="array" ref="O63">MIN(IF((OutputTable[GroupByKey]=OutputTable[[#This Row],[GroupByKey]]),(OutputTable[GroupByKey]=OutputTable[[#This Row],[GroupByKey]])*OutputTable[RecordedValue]))</f>
        <v>0.78808827046509</v>
      </c>
      <c r="P63" s="5" cm="1">
        <f t="array" ref="P63">MAX(IF((OutputTable[GroupByKey]=OutputTable[[#This Row],[GroupByKey]]),(OutputTable[GroupByKey]=OutputTable[[#This Row],[GroupByKey]])*OutputTable[RecordedValue]))</f>
        <v>0.99381255473469199</v>
      </c>
    </row>
    <row r="64" spans="1:16" x14ac:dyDescent="0.35">
      <c r="A64" t="s">
        <v>66</v>
      </c>
      <c r="B64" t="s">
        <v>69</v>
      </c>
      <c r="C64">
        <v>9</v>
      </c>
      <c r="D64" t="s">
        <v>107</v>
      </c>
      <c r="E64" t="s">
        <v>100</v>
      </c>
      <c r="F64" t="s">
        <v>108</v>
      </c>
      <c r="G64">
        <v>101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ProjectSystem.NumberOutNumber OutSystem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95.95</v>
      </c>
      <c r="L64" s="5" cm="1">
        <f t="array" ref="L64">IFERROR(_xlfn.STDEV.S(IF((OutputTable[GroupByKey]=OutputTable[[#This Row],[GroupByKey]]),(OutputTable[GroupByKey]=OutputTable[[#This Row],[GroupByKey]])*OutputTable[RecordedValue])),0)</f>
        <v>5.6566276081633564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64" s="5" cm="1">
        <f t="array" ref="O64">MIN(IF((OutputTable[GroupByKey]=OutputTable[[#This Row],[GroupByKey]]),(OutputTable[GroupByKey]=OutputTable[[#This Row],[GroupByKey]])*OutputTable[RecordedValue]))</f>
        <v>83</v>
      </c>
      <c r="P64" s="5" cm="1">
        <f t="array" ref="P64">MAX(IF((OutputTable[GroupByKey]=OutputTable[[#This Row],[GroupByKey]]),(OutputTable[GroupByKey]=OutputTable[[#This Row],[GroupByKey]])*OutputTable[RecordedValue]))</f>
        <v>104</v>
      </c>
    </row>
    <row r="65" spans="1:16" x14ac:dyDescent="0.35">
      <c r="A65" t="s">
        <v>66</v>
      </c>
      <c r="B65" t="s">
        <v>69</v>
      </c>
      <c r="C65">
        <v>10</v>
      </c>
      <c r="D65" t="s">
        <v>97</v>
      </c>
      <c r="E65" t="s">
        <v>98</v>
      </c>
      <c r="F65" t="s">
        <v>76</v>
      </c>
      <c r="G65">
        <v>202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ProjectCliente.NumberInNumber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181.25</v>
      </c>
      <c r="L65" s="5" cm="1">
        <f t="array" ref="L65">IFERROR(_xlfn.STDEV.S(IF((OutputTable[GroupByKey]=OutputTable[[#This Row],[GroupByKey]]),(OutputTable[GroupByKey]=OutputTable[[#This Row],[GroupByKey]])*OutputTable[RecordedValue])),0)</f>
        <v>15.97393710600698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65" s="5" cm="1">
        <f t="array" ref="O65">MIN(IF((OutputTable[GroupByKey]=OutputTable[[#This Row],[GroupByKey]]),(OutputTable[GroupByKey]=OutputTable[[#This Row],[GroupByKey]])*OutputTable[RecordedValue]))</f>
        <v>146</v>
      </c>
      <c r="P65" s="5" cm="1">
        <f t="array" ref="P65">MAX(IF((OutputTable[GroupByKey]=OutputTable[[#This Row],[GroupByKey]]),(OutputTable[GroupByKey]=OutputTable[[#This Row],[GroupByKey]])*OutputTable[RecordedValue]))</f>
        <v>210</v>
      </c>
    </row>
    <row r="66" spans="1:16" x14ac:dyDescent="0.35">
      <c r="A66" t="s">
        <v>66</v>
      </c>
      <c r="B66" t="s">
        <v>69</v>
      </c>
      <c r="C66">
        <v>10</v>
      </c>
      <c r="D66" t="s">
        <v>99</v>
      </c>
      <c r="E66" t="s">
        <v>100</v>
      </c>
      <c r="F66" t="s">
        <v>76</v>
      </c>
      <c r="G66">
        <v>160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ProjectCliente.NumberOutNumber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153.05000000000001</v>
      </c>
      <c r="L66" s="5" cm="1">
        <f t="array" ref="L66">IFERROR(_xlfn.STDEV.S(IF((OutputTable[GroupByKey]=OutputTable[[#This Row],[GroupByKey]]),(OutputTable[GroupByKey]=OutputTable[[#This Row],[GroupByKey]])*OutputTable[RecordedValue])),0)</f>
        <v>8.8490184882351901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66" s="5" cm="1">
        <f t="array" ref="O66">MIN(IF((OutputTable[GroupByKey]=OutputTable[[#This Row],[GroupByKey]]),(OutputTable[GroupByKey]=OutputTable[[#This Row],[GroupByKey]])*OutputTable[RecordedValue]))</f>
        <v>132</v>
      </c>
      <c r="P66" s="5" cm="1">
        <f t="array" ref="P66">MAX(IF((OutputTable[GroupByKey]=OutputTable[[#This Row],[GroupByKey]]),(OutputTable[GroupByKey]=OutputTable[[#This Row],[GroupByKey]])*OutputTable[RecordedValue]))</f>
        <v>166</v>
      </c>
    </row>
    <row r="67" spans="1:16" x14ac:dyDescent="0.35">
      <c r="A67" t="s">
        <v>66</v>
      </c>
      <c r="B67" t="s">
        <v>69</v>
      </c>
      <c r="C67">
        <v>10</v>
      </c>
      <c r="D67" t="s">
        <v>101</v>
      </c>
      <c r="E67" t="s">
        <v>102</v>
      </c>
      <c r="F67" t="s">
        <v>88</v>
      </c>
      <c r="G67">
        <v>69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66.349999999999994</v>
      </c>
      <c r="L67" s="5" cm="1">
        <f t="array" ref="L67">IFERROR(_xlfn.STDEV.S(IF((OutputTable[GroupByKey]=OutputTable[[#This Row],[GroupByKey]]),(OutputTable[GroupByKey]=OutputTable[[#This Row],[GroupByKey]])*OutputTable[RecordedValue])),0)</f>
        <v>4.3237566761870161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67" s="5" cm="1">
        <f t="array" ref="O67">MIN(IF((OutputTable[GroupByKey]=OutputTable[[#This Row],[GroupByKey]]),(OutputTable[GroupByKey]=OutputTable[[#This Row],[GroupByKey]])*OutputTable[RecordedValue]))</f>
        <v>56</v>
      </c>
      <c r="P67" s="5" cm="1">
        <f t="array" ref="P67">MAX(IF((OutputTable[GroupByKey]=OutputTable[[#This Row],[GroupByKey]]),(OutputTable[GroupByKey]=OutputTable[[#This Row],[GroupByKey]])*OutputTable[RecordedValue]))</f>
        <v>72</v>
      </c>
    </row>
    <row r="68" spans="1:16" x14ac:dyDescent="0.35">
      <c r="A68" t="s">
        <v>66</v>
      </c>
      <c r="B68" t="s">
        <v>69</v>
      </c>
      <c r="C68">
        <v>10</v>
      </c>
      <c r="D68" t="s">
        <v>103</v>
      </c>
      <c r="E68" t="s">
        <v>104</v>
      </c>
      <c r="F68" t="s">
        <v>88</v>
      </c>
      <c r="G68">
        <v>0.81819552873910195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0.78200153326291699</v>
      </c>
      <c r="L68" s="5" cm="1">
        <f t="array" ref="L68">IFERROR(_xlfn.STDEV.S(IF((OutputTable[GroupByKey]=OutputTable[[#This Row],[GroupByKey]]),(OutputTable[GroupByKey]=OutputTable[[#This Row],[GroupByKey]])*OutputTable[RecordedValue])),0)</f>
        <v>0.13637038930703246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68" s="5" cm="1">
        <f t="array" ref="O68">MIN(IF((OutputTable[GroupByKey]=OutputTable[[#This Row],[GroupByKey]]),(OutputTable[GroupByKey]=OutputTable[[#This Row],[GroupByKey]])*OutputTable[RecordedValue]))</f>
        <v>0.51812957617942801</v>
      </c>
      <c r="P68" s="5" cm="1">
        <f t="array" ref="P68">MAX(IF((OutputTable[GroupByKey]=OutputTable[[#This Row],[GroupByKey]]),(OutputTable[GroupByKey]=OutputTable[[#This Row],[GroupByKey]])*OutputTable[RecordedValue]))</f>
        <v>0.95110098058067905</v>
      </c>
    </row>
    <row r="69" spans="1:16" x14ac:dyDescent="0.35">
      <c r="A69" t="s">
        <v>66</v>
      </c>
      <c r="B69" t="s">
        <v>69</v>
      </c>
      <c r="C69">
        <v>10</v>
      </c>
      <c r="D69" t="s">
        <v>105</v>
      </c>
      <c r="E69" t="s">
        <v>102</v>
      </c>
      <c r="F69" t="s">
        <v>88</v>
      </c>
      <c r="G69">
        <v>127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122.625</v>
      </c>
      <c r="L69" s="5" cm="1">
        <f t="array" ref="L69">IFERROR(_xlfn.STDEV.S(IF((OutputTable[GroupByKey]=OutputTable[[#This Row],[GroupByKey]]),(OutputTable[GroupByKey]=OutputTable[[#This Row],[GroupByKey]])*OutputTable[RecordedValue])),0)</f>
        <v>7.0116661028932015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69" s="5" cm="1">
        <f t="array" ref="O69">MIN(IF((OutputTable[GroupByKey]=OutputTable[[#This Row],[GroupByKey]]),(OutputTable[GroupByKey]=OutputTable[[#This Row],[GroupByKey]])*OutputTable[RecordedValue]))</f>
        <v>105</v>
      </c>
      <c r="P69" s="5" cm="1">
        <f t="array" ref="P69">MAX(IF((OutputTable[GroupByKey]=OutputTable[[#This Row],[GroupByKey]]),(OutputTable[GroupByKey]=OutputTable[[#This Row],[GroupByKey]])*OutputTable[RecordedValue]))</f>
        <v>132</v>
      </c>
    </row>
    <row r="70" spans="1:16" x14ac:dyDescent="0.35">
      <c r="A70" t="s">
        <v>66</v>
      </c>
      <c r="B70" t="s">
        <v>69</v>
      </c>
      <c r="C70">
        <v>10</v>
      </c>
      <c r="D70" t="s">
        <v>106</v>
      </c>
      <c r="E70" t="s">
        <v>104</v>
      </c>
      <c r="F70" t="s">
        <v>88</v>
      </c>
      <c r="G70">
        <v>0.95719012306114304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0.92906032745742695</v>
      </c>
      <c r="L70" s="5" cm="1">
        <f t="array" ref="L70">IFERROR(_xlfn.STDEV.S(IF((OutputTable[GroupByKey]=OutputTable[[#This Row],[GroupByKey]]),(OutputTable[GroupByKey]=OutputTable[[#This Row],[GroupByKey]])*OutputTable[RecordedValue])),0)</f>
        <v>5.2243343646514992E-2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70" s="5" cm="1">
        <f t="array" ref="O70">MIN(IF((OutputTable[GroupByKey]=OutputTable[[#This Row],[GroupByKey]]),(OutputTable[GroupByKey]=OutputTable[[#This Row],[GroupByKey]])*OutputTable[RecordedValue]))</f>
        <v>0.78808827046509</v>
      </c>
      <c r="P70" s="5" cm="1">
        <f t="array" ref="P70">MAX(IF((OutputTable[GroupByKey]=OutputTable[[#This Row],[GroupByKey]]),(OutputTable[GroupByKey]=OutputTable[[#This Row],[GroupByKey]])*OutputTable[RecordedValue]))</f>
        <v>0.99381255473469199</v>
      </c>
    </row>
    <row r="71" spans="1:16" x14ac:dyDescent="0.35">
      <c r="A71" t="s">
        <v>66</v>
      </c>
      <c r="B71" t="s">
        <v>69</v>
      </c>
      <c r="C71">
        <v>10</v>
      </c>
      <c r="D71" t="s">
        <v>107</v>
      </c>
      <c r="E71" t="s">
        <v>100</v>
      </c>
      <c r="F71" t="s">
        <v>108</v>
      </c>
      <c r="G71">
        <v>101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95.95</v>
      </c>
      <c r="L71" s="5" cm="1">
        <f t="array" ref="L71">IFERROR(_xlfn.STDEV.S(IF((OutputTable[GroupByKey]=OutputTable[[#This Row],[GroupByKey]]),(OutputTable[GroupByKey]=OutputTable[[#This Row],[GroupByKey]])*OutputTable[RecordedValue])),0)</f>
        <v>5.6566276081633564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71" s="5" cm="1">
        <f t="array" ref="O71">MIN(IF((OutputTable[GroupByKey]=OutputTable[[#This Row],[GroupByKey]]),(OutputTable[GroupByKey]=OutputTable[[#This Row],[GroupByKey]])*OutputTable[RecordedValue]))</f>
        <v>83</v>
      </c>
      <c r="P71" s="5" cm="1">
        <f t="array" ref="P71">MAX(IF((OutputTable[GroupByKey]=OutputTable[[#This Row],[GroupByKey]]),(OutputTable[GroupByKey]=OutputTable[[#This Row],[GroupByKey]])*OutputTable[RecordedValue]))</f>
        <v>104</v>
      </c>
    </row>
    <row r="72" spans="1:16" x14ac:dyDescent="0.35">
      <c r="A72" t="s">
        <v>66</v>
      </c>
      <c r="B72" t="s">
        <v>69</v>
      </c>
      <c r="C72">
        <v>11</v>
      </c>
      <c r="D72" t="s">
        <v>97</v>
      </c>
      <c r="E72" t="s">
        <v>98</v>
      </c>
      <c r="F72" t="s">
        <v>76</v>
      </c>
      <c r="G72">
        <v>202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ProjectCliente.NumberInNumber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181.25</v>
      </c>
      <c r="L72" s="5" cm="1">
        <f t="array" ref="L72">IFERROR(_xlfn.STDEV.S(IF((OutputTable[GroupByKey]=OutputTable[[#This Row],[GroupByKey]]),(OutputTable[GroupByKey]=OutputTable[[#This Row],[GroupByKey]])*OutputTable[RecordedValue])),0)</f>
        <v>15.97393710600698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72" s="5" cm="1">
        <f t="array" ref="O72">MIN(IF((OutputTable[GroupByKey]=OutputTable[[#This Row],[GroupByKey]]),(OutputTable[GroupByKey]=OutputTable[[#This Row],[GroupByKey]])*OutputTable[RecordedValue]))</f>
        <v>146</v>
      </c>
      <c r="P72" s="5" cm="1">
        <f t="array" ref="P72">MAX(IF((OutputTable[GroupByKey]=OutputTable[[#This Row],[GroupByKey]]),(OutputTable[GroupByKey]=OutputTable[[#This Row],[GroupByKey]])*OutputTable[RecordedValue]))</f>
        <v>210</v>
      </c>
    </row>
    <row r="73" spans="1:16" x14ac:dyDescent="0.35">
      <c r="A73" t="s">
        <v>66</v>
      </c>
      <c r="B73" t="s">
        <v>69</v>
      </c>
      <c r="C73">
        <v>11</v>
      </c>
      <c r="D73" t="s">
        <v>99</v>
      </c>
      <c r="E73" t="s">
        <v>100</v>
      </c>
      <c r="F73" t="s">
        <v>76</v>
      </c>
      <c r="G73">
        <v>162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ProjectCliente.NumberOutNumber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153.05000000000001</v>
      </c>
      <c r="L73" s="5" cm="1">
        <f t="array" ref="L73">IFERROR(_xlfn.STDEV.S(IF((OutputTable[GroupByKey]=OutputTable[[#This Row],[GroupByKey]]),(OutputTable[GroupByKey]=OutputTable[[#This Row],[GroupByKey]])*OutputTable[RecordedValue])),0)</f>
        <v>8.8490184882351901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73" s="5" cm="1">
        <f t="array" ref="O73">MIN(IF((OutputTable[GroupByKey]=OutputTable[[#This Row],[GroupByKey]]),(OutputTable[GroupByKey]=OutputTable[[#This Row],[GroupByKey]])*OutputTable[RecordedValue]))</f>
        <v>132</v>
      </c>
      <c r="P73" s="5" cm="1">
        <f t="array" ref="P73">MAX(IF((OutputTable[GroupByKey]=OutputTable[[#This Row],[GroupByKey]]),(OutputTable[GroupByKey]=OutputTable[[#This Row],[GroupByKey]])*OutputTable[RecordedValue]))</f>
        <v>166</v>
      </c>
    </row>
    <row r="74" spans="1:16" x14ac:dyDescent="0.35">
      <c r="A74" t="s">
        <v>66</v>
      </c>
      <c r="B74" t="s">
        <v>69</v>
      </c>
      <c r="C74">
        <v>11</v>
      </c>
      <c r="D74" t="s">
        <v>101</v>
      </c>
      <c r="E74" t="s">
        <v>102</v>
      </c>
      <c r="F74" t="s">
        <v>88</v>
      </c>
      <c r="G74">
        <v>71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66.349999999999994</v>
      </c>
      <c r="L74" s="5" cm="1">
        <f t="array" ref="L74">IFERROR(_xlfn.STDEV.S(IF((OutputTable[GroupByKey]=OutputTable[[#This Row],[GroupByKey]]),(OutputTable[GroupByKey]=OutputTable[[#This Row],[GroupByKey]])*OutputTable[RecordedValue])),0)</f>
        <v>4.3237566761870161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74" s="5" cm="1">
        <f t="array" ref="O74">MIN(IF((OutputTable[GroupByKey]=OutputTable[[#This Row],[GroupByKey]]),(OutputTable[GroupByKey]=OutputTable[[#This Row],[GroupByKey]])*OutputTable[RecordedValue]))</f>
        <v>56</v>
      </c>
      <c r="P74" s="5" cm="1">
        <f t="array" ref="P74">MAX(IF((OutputTable[GroupByKey]=OutputTable[[#This Row],[GroupByKey]]),(OutputTable[GroupByKey]=OutputTable[[#This Row],[GroupByKey]])*OutputTable[RecordedValue]))</f>
        <v>72</v>
      </c>
    </row>
    <row r="75" spans="1:16" x14ac:dyDescent="0.35">
      <c r="A75" t="s">
        <v>66</v>
      </c>
      <c r="B75" t="s">
        <v>69</v>
      </c>
      <c r="C75">
        <v>11</v>
      </c>
      <c r="D75" t="s">
        <v>103</v>
      </c>
      <c r="E75" t="s">
        <v>104</v>
      </c>
      <c r="F75" t="s">
        <v>88</v>
      </c>
      <c r="G75">
        <v>0.912220368313306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0.78200153326291699</v>
      </c>
      <c r="L75" s="5" cm="1">
        <f t="array" ref="L75">IFERROR(_xlfn.STDEV.S(IF((OutputTable[GroupByKey]=OutputTable[[#This Row],[GroupByKey]]),(OutputTable[GroupByKey]=OutputTable[[#This Row],[GroupByKey]])*OutputTable[RecordedValue])),0)</f>
        <v>0.13637038930703246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75" s="5" cm="1">
        <f t="array" ref="O75">MIN(IF((OutputTable[GroupByKey]=OutputTable[[#This Row],[GroupByKey]]),(OutputTable[GroupByKey]=OutputTable[[#This Row],[GroupByKey]])*OutputTable[RecordedValue]))</f>
        <v>0.51812957617942801</v>
      </c>
      <c r="P75" s="5" cm="1">
        <f t="array" ref="P75">MAX(IF((OutputTable[GroupByKey]=OutputTable[[#This Row],[GroupByKey]]),(OutputTable[GroupByKey]=OutputTable[[#This Row],[GroupByKey]])*OutputTable[RecordedValue]))</f>
        <v>0.95110098058067905</v>
      </c>
    </row>
    <row r="76" spans="1:16" x14ac:dyDescent="0.35">
      <c r="A76" t="s">
        <v>66</v>
      </c>
      <c r="B76" t="s">
        <v>69</v>
      </c>
      <c r="C76">
        <v>11</v>
      </c>
      <c r="D76" t="s">
        <v>105</v>
      </c>
      <c r="E76" t="s">
        <v>102</v>
      </c>
      <c r="F76" t="s">
        <v>88</v>
      </c>
      <c r="G76">
        <v>130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122.625</v>
      </c>
      <c r="L76" s="5" cm="1">
        <f t="array" ref="L76">IFERROR(_xlfn.STDEV.S(IF((OutputTable[GroupByKey]=OutputTable[[#This Row],[GroupByKey]]),(OutputTable[GroupByKey]=OutputTable[[#This Row],[GroupByKey]])*OutputTable[RecordedValue])),0)</f>
        <v>7.0116661028932015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76" s="5" cm="1">
        <f t="array" ref="O76">MIN(IF((OutputTable[GroupByKey]=OutputTable[[#This Row],[GroupByKey]]),(OutputTable[GroupByKey]=OutputTable[[#This Row],[GroupByKey]])*OutputTable[RecordedValue]))</f>
        <v>105</v>
      </c>
      <c r="P76" s="5" cm="1">
        <f t="array" ref="P76">MAX(IF((OutputTable[GroupByKey]=OutputTable[[#This Row],[GroupByKey]]),(OutputTable[GroupByKey]=OutputTable[[#This Row],[GroupByKey]])*OutputTable[RecordedValue]))</f>
        <v>132</v>
      </c>
    </row>
    <row r="77" spans="1:16" x14ac:dyDescent="0.35">
      <c r="A77" t="s">
        <v>66</v>
      </c>
      <c r="B77" t="s">
        <v>69</v>
      </c>
      <c r="C77">
        <v>11</v>
      </c>
      <c r="D77" t="s">
        <v>106</v>
      </c>
      <c r="E77" t="s">
        <v>104</v>
      </c>
      <c r="F77" t="s">
        <v>88</v>
      </c>
      <c r="G77">
        <v>0.96318627477283403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0.92906032745742695</v>
      </c>
      <c r="L77" s="5" cm="1">
        <f t="array" ref="L77">IFERROR(_xlfn.STDEV.S(IF((OutputTable[GroupByKey]=OutputTable[[#This Row],[GroupByKey]]),(OutputTable[GroupByKey]=OutputTable[[#This Row],[GroupByKey]])*OutputTable[RecordedValue])),0)</f>
        <v>5.2243343646514992E-2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77" s="5" cm="1">
        <f t="array" ref="O77">MIN(IF((OutputTable[GroupByKey]=OutputTable[[#This Row],[GroupByKey]]),(OutputTable[GroupByKey]=OutputTable[[#This Row],[GroupByKey]])*OutputTable[RecordedValue]))</f>
        <v>0.78808827046509</v>
      </c>
      <c r="P77" s="5" cm="1">
        <f t="array" ref="P77">MAX(IF((OutputTable[GroupByKey]=OutputTable[[#This Row],[GroupByKey]]),(OutputTable[GroupByKey]=OutputTable[[#This Row],[GroupByKey]])*OutputTable[RecordedValue]))</f>
        <v>0.99381255473469199</v>
      </c>
    </row>
    <row r="78" spans="1:16" x14ac:dyDescent="0.35">
      <c r="A78" t="s">
        <v>66</v>
      </c>
      <c r="B78" t="s">
        <v>69</v>
      </c>
      <c r="C78">
        <v>11</v>
      </c>
      <c r="D78" t="s">
        <v>107</v>
      </c>
      <c r="E78" t="s">
        <v>100</v>
      </c>
      <c r="F78" t="s">
        <v>108</v>
      </c>
      <c r="G78">
        <v>101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ProjectSystem.NumberOutNumber OutSystem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95.95</v>
      </c>
      <c r="L78" s="5" cm="1">
        <f t="array" ref="L78">IFERROR(_xlfn.STDEV.S(IF((OutputTable[GroupByKey]=OutputTable[[#This Row],[GroupByKey]]),(OutputTable[GroupByKey]=OutputTable[[#This Row],[GroupByKey]])*OutputTable[RecordedValue])),0)</f>
        <v>5.6566276081633564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78" s="5" cm="1">
        <f t="array" ref="O78">MIN(IF((OutputTable[GroupByKey]=OutputTable[[#This Row],[GroupByKey]]),(OutputTable[GroupByKey]=OutputTable[[#This Row],[GroupByKey]])*OutputTable[RecordedValue]))</f>
        <v>83</v>
      </c>
      <c r="P78" s="5" cm="1">
        <f t="array" ref="P78">MAX(IF((OutputTable[GroupByKey]=OutputTable[[#This Row],[GroupByKey]]),(OutputTable[GroupByKey]=OutputTable[[#This Row],[GroupByKey]])*OutputTable[RecordedValue]))</f>
        <v>104</v>
      </c>
    </row>
    <row r="79" spans="1:16" x14ac:dyDescent="0.35">
      <c r="A79" t="s">
        <v>66</v>
      </c>
      <c r="B79" t="s">
        <v>69</v>
      </c>
      <c r="C79">
        <v>12</v>
      </c>
      <c r="D79" t="s">
        <v>97</v>
      </c>
      <c r="E79" t="s">
        <v>98</v>
      </c>
      <c r="F79" t="s">
        <v>76</v>
      </c>
      <c r="G79">
        <v>167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ProjectCliente.NumberInNumber InEntity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181.25</v>
      </c>
      <c r="L79" s="5" cm="1">
        <f t="array" ref="L79">IFERROR(_xlfn.STDEV.S(IF((OutputTable[GroupByKey]=OutputTable[[#This Row],[GroupByKey]]),(OutputTable[GroupByKey]=OutputTable[[#This Row],[GroupByKey]])*OutputTable[RecordedValue])),0)</f>
        <v>15.97393710600698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79" s="5" cm="1">
        <f t="array" ref="O79">MIN(IF((OutputTable[GroupByKey]=OutputTable[[#This Row],[GroupByKey]]),(OutputTable[GroupByKey]=OutputTable[[#This Row],[GroupByKey]])*OutputTable[RecordedValue]))</f>
        <v>146</v>
      </c>
      <c r="P79" s="5" cm="1">
        <f t="array" ref="P79">MAX(IF((OutputTable[GroupByKey]=OutputTable[[#This Row],[GroupByKey]]),(OutputTable[GroupByKey]=OutputTable[[#This Row],[GroupByKey]])*OutputTable[RecordedValue]))</f>
        <v>210</v>
      </c>
    </row>
    <row r="80" spans="1:16" x14ac:dyDescent="0.35">
      <c r="A80" t="s">
        <v>66</v>
      </c>
      <c r="B80" t="s">
        <v>69</v>
      </c>
      <c r="C80">
        <v>12</v>
      </c>
      <c r="D80" t="s">
        <v>99</v>
      </c>
      <c r="E80" t="s">
        <v>100</v>
      </c>
      <c r="F80" t="s">
        <v>76</v>
      </c>
      <c r="G80">
        <v>155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ProjectCliente.NumberOutNumber OutEntity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153.05000000000001</v>
      </c>
      <c r="L80" s="5" cm="1">
        <f t="array" ref="L80">IFERROR(_xlfn.STDEV.S(IF((OutputTable[GroupByKey]=OutputTable[[#This Row],[GroupByKey]]),(OutputTable[GroupByKey]=OutputTable[[#This Row],[GroupByKey]])*OutputTable[RecordedValue])),0)</f>
        <v>8.8490184882351901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80" s="5" cm="1">
        <f t="array" ref="O80">MIN(IF((OutputTable[GroupByKey]=OutputTable[[#This Row],[GroupByKey]]),(OutputTable[GroupByKey]=OutputTable[[#This Row],[GroupByKey]])*OutputTable[RecordedValue]))</f>
        <v>132</v>
      </c>
      <c r="P80" s="5" cm="1">
        <f t="array" ref="P80">MAX(IF((OutputTable[GroupByKey]=OutputTable[[#This Row],[GroupByKey]]),(OutputTable[GroupByKey]=OutputTable[[#This Row],[GroupByKey]])*OutputTable[RecordedValue]))</f>
        <v>166</v>
      </c>
    </row>
    <row r="81" spans="1:16" x14ac:dyDescent="0.35">
      <c r="A81" t="s">
        <v>66</v>
      </c>
      <c r="B81" t="s">
        <v>69</v>
      </c>
      <c r="C81">
        <v>12</v>
      </c>
      <c r="D81" t="s">
        <v>101</v>
      </c>
      <c r="E81" t="s">
        <v>102</v>
      </c>
      <c r="F81" t="s">
        <v>88</v>
      </c>
      <c r="G81">
        <v>64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66.349999999999994</v>
      </c>
      <c r="L81" s="5" cm="1">
        <f t="array" ref="L81">IFERROR(_xlfn.STDEV.S(IF((OutputTable[GroupByKey]=OutputTable[[#This Row],[GroupByKey]]),(OutputTable[GroupByKey]=OutputTable[[#This Row],[GroupByKey]])*OutputTable[RecordedValue])),0)</f>
        <v>4.3237566761870161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81" s="5" cm="1">
        <f t="array" ref="O81">MIN(IF((OutputTable[GroupByKey]=OutputTable[[#This Row],[GroupByKey]]),(OutputTable[GroupByKey]=OutputTable[[#This Row],[GroupByKey]])*OutputTable[RecordedValue]))</f>
        <v>56</v>
      </c>
      <c r="P81" s="5" cm="1">
        <f t="array" ref="P81">MAX(IF((OutputTable[GroupByKey]=OutputTable[[#This Row],[GroupByKey]]),(OutputTable[GroupByKey]=OutputTable[[#This Row],[GroupByKey]])*OutputTable[RecordedValue]))</f>
        <v>72</v>
      </c>
    </row>
    <row r="82" spans="1:16" x14ac:dyDescent="0.35">
      <c r="A82" t="s">
        <v>66</v>
      </c>
      <c r="B82" t="s">
        <v>69</v>
      </c>
      <c r="C82">
        <v>12</v>
      </c>
      <c r="D82" t="s">
        <v>103</v>
      </c>
      <c r="E82" t="s">
        <v>104</v>
      </c>
      <c r="F82" t="s">
        <v>88</v>
      </c>
      <c r="G82">
        <v>0.79541028436597505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0.78200153326291699</v>
      </c>
      <c r="L82" s="5" cm="1">
        <f t="array" ref="L82">IFERROR(_xlfn.STDEV.S(IF((OutputTable[GroupByKey]=OutputTable[[#This Row],[GroupByKey]]),(OutputTable[GroupByKey]=OutputTable[[#This Row],[GroupByKey]])*OutputTable[RecordedValue])),0)</f>
        <v>0.13637038930703246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82" s="5" cm="1">
        <f t="array" ref="O82">MIN(IF((OutputTable[GroupByKey]=OutputTable[[#This Row],[GroupByKey]]),(OutputTable[GroupByKey]=OutputTable[[#This Row],[GroupByKey]])*OutputTable[RecordedValue]))</f>
        <v>0.51812957617942801</v>
      </c>
      <c r="P82" s="5" cm="1">
        <f t="array" ref="P82">MAX(IF((OutputTable[GroupByKey]=OutputTable[[#This Row],[GroupByKey]]),(OutputTable[GroupByKey]=OutputTable[[#This Row],[GroupByKey]])*OutputTable[RecordedValue]))</f>
        <v>0.95110098058067905</v>
      </c>
    </row>
    <row r="83" spans="1:16" x14ac:dyDescent="0.35">
      <c r="A83" t="s">
        <v>66</v>
      </c>
      <c r="B83" t="s">
        <v>69</v>
      </c>
      <c r="C83">
        <v>12</v>
      </c>
      <c r="D83" t="s">
        <v>105</v>
      </c>
      <c r="E83" t="s">
        <v>102</v>
      </c>
      <c r="F83" t="s">
        <v>88</v>
      </c>
      <c r="G83">
        <v>124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122.625</v>
      </c>
      <c r="L83" s="5" cm="1">
        <f t="array" ref="L83">IFERROR(_xlfn.STDEV.S(IF((OutputTable[GroupByKey]=OutputTable[[#This Row],[GroupByKey]]),(OutputTable[GroupByKey]=OutputTable[[#This Row],[GroupByKey]])*OutputTable[RecordedValue])),0)</f>
        <v>7.0116661028932015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83" s="5" cm="1">
        <f t="array" ref="O83">MIN(IF((OutputTable[GroupByKey]=OutputTable[[#This Row],[GroupByKey]]),(OutputTable[GroupByKey]=OutputTable[[#This Row],[GroupByKey]])*OutputTable[RecordedValue]))</f>
        <v>105</v>
      </c>
      <c r="P83" s="5" cm="1">
        <f t="array" ref="P83">MAX(IF((OutputTable[GroupByKey]=OutputTable[[#This Row],[GroupByKey]]),(OutputTable[GroupByKey]=OutputTable[[#This Row],[GroupByKey]])*OutputTable[RecordedValue]))</f>
        <v>132</v>
      </c>
    </row>
    <row r="84" spans="1:16" x14ac:dyDescent="0.35">
      <c r="A84" t="s">
        <v>66</v>
      </c>
      <c r="B84" t="s">
        <v>69</v>
      </c>
      <c r="C84">
        <v>12</v>
      </c>
      <c r="D84" t="s">
        <v>106</v>
      </c>
      <c r="E84" t="s">
        <v>104</v>
      </c>
      <c r="F84" t="s">
        <v>88</v>
      </c>
      <c r="G84">
        <v>0.93055670412302804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0.92906032745742695</v>
      </c>
      <c r="L84" s="5" cm="1">
        <f t="array" ref="L84">IFERROR(_xlfn.STDEV.S(IF((OutputTable[GroupByKey]=OutputTable[[#This Row],[GroupByKey]]),(OutputTable[GroupByKey]=OutputTable[[#This Row],[GroupByKey]])*OutputTable[RecordedValue])),0)</f>
        <v>5.2243343646514992E-2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84" s="5" cm="1">
        <f t="array" ref="O84">MIN(IF((OutputTable[GroupByKey]=OutputTable[[#This Row],[GroupByKey]]),(OutputTable[GroupByKey]=OutputTable[[#This Row],[GroupByKey]])*OutputTable[RecordedValue]))</f>
        <v>0.78808827046509</v>
      </c>
      <c r="P84" s="5" cm="1">
        <f t="array" ref="P84">MAX(IF((OutputTable[GroupByKey]=OutputTable[[#This Row],[GroupByKey]]),(OutputTable[GroupByKey]=OutputTable[[#This Row],[GroupByKey]])*OutputTable[RecordedValue]))</f>
        <v>0.99381255473469199</v>
      </c>
    </row>
    <row r="85" spans="1:16" x14ac:dyDescent="0.35">
      <c r="A85" t="s">
        <v>66</v>
      </c>
      <c r="B85" t="s">
        <v>69</v>
      </c>
      <c r="C85">
        <v>12</v>
      </c>
      <c r="D85" t="s">
        <v>107</v>
      </c>
      <c r="E85" t="s">
        <v>100</v>
      </c>
      <c r="F85" t="s">
        <v>108</v>
      </c>
      <c r="G85">
        <v>97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ProjectSystem.NumberOutNumber OutSystem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95.95</v>
      </c>
      <c r="L85" s="5" cm="1">
        <f t="array" ref="L85">IFERROR(_xlfn.STDEV.S(IF((OutputTable[GroupByKey]=OutputTable[[#This Row],[GroupByKey]]),(OutputTable[GroupByKey]=OutputTable[[#This Row],[GroupByKey]])*OutputTable[RecordedValue])),0)</f>
        <v>5.6566276081633564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85" s="5" cm="1">
        <f t="array" ref="O85">MIN(IF((OutputTable[GroupByKey]=OutputTable[[#This Row],[GroupByKey]]),(OutputTable[GroupByKey]=OutputTable[[#This Row],[GroupByKey]])*OutputTable[RecordedValue]))</f>
        <v>83</v>
      </c>
      <c r="P85" s="5" cm="1">
        <f t="array" ref="P85">MAX(IF((OutputTable[GroupByKey]=OutputTable[[#This Row],[GroupByKey]]),(OutputTable[GroupByKey]=OutputTable[[#This Row],[GroupByKey]])*OutputTable[RecordedValue]))</f>
        <v>104</v>
      </c>
    </row>
    <row r="86" spans="1:16" x14ac:dyDescent="0.35">
      <c r="A86" t="s">
        <v>66</v>
      </c>
      <c r="B86" t="s">
        <v>69</v>
      </c>
      <c r="C86">
        <v>13</v>
      </c>
      <c r="D86" t="s">
        <v>97</v>
      </c>
      <c r="E86" t="s">
        <v>98</v>
      </c>
      <c r="F86" t="s">
        <v>76</v>
      </c>
      <c r="G86">
        <v>193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ProjectCliente.NumberInNumber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181.25</v>
      </c>
      <c r="L86" s="5" cm="1">
        <f t="array" ref="L86">IFERROR(_xlfn.STDEV.S(IF((OutputTable[GroupByKey]=OutputTable[[#This Row],[GroupByKey]]),(OutputTable[GroupByKey]=OutputTable[[#This Row],[GroupByKey]])*OutputTable[RecordedValue])),0)</f>
        <v>15.97393710600698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86" s="5" cm="1">
        <f t="array" ref="O86">MIN(IF((OutputTable[GroupByKey]=OutputTable[[#This Row],[GroupByKey]]),(OutputTable[GroupByKey]=OutputTable[[#This Row],[GroupByKey]])*OutputTable[RecordedValue]))</f>
        <v>146</v>
      </c>
      <c r="P86" s="5" cm="1">
        <f t="array" ref="P86">MAX(IF((OutputTable[GroupByKey]=OutputTable[[#This Row],[GroupByKey]]),(OutputTable[GroupByKey]=OutputTable[[#This Row],[GroupByKey]])*OutputTable[RecordedValue]))</f>
        <v>210</v>
      </c>
    </row>
    <row r="87" spans="1:16" x14ac:dyDescent="0.35">
      <c r="A87" t="s">
        <v>66</v>
      </c>
      <c r="B87" t="s">
        <v>69</v>
      </c>
      <c r="C87">
        <v>13</v>
      </c>
      <c r="D87" t="s">
        <v>99</v>
      </c>
      <c r="E87" t="s">
        <v>100</v>
      </c>
      <c r="F87" t="s">
        <v>76</v>
      </c>
      <c r="G87">
        <v>159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ProjectCliente.NumberOutNumber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153.05000000000001</v>
      </c>
      <c r="L87" s="5" cm="1">
        <f t="array" ref="L87">IFERROR(_xlfn.STDEV.S(IF((OutputTable[GroupByKey]=OutputTable[[#This Row],[GroupByKey]]),(OutputTable[GroupByKey]=OutputTable[[#This Row],[GroupByKey]])*OutputTable[RecordedValue])),0)</f>
        <v>8.8490184882351901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87" s="5" cm="1">
        <f t="array" ref="O87">MIN(IF((OutputTable[GroupByKey]=OutputTable[[#This Row],[GroupByKey]]),(OutputTable[GroupByKey]=OutputTable[[#This Row],[GroupByKey]])*OutputTable[RecordedValue]))</f>
        <v>132</v>
      </c>
      <c r="P87" s="5" cm="1">
        <f t="array" ref="P87">MAX(IF((OutputTable[GroupByKey]=OutputTable[[#This Row],[GroupByKey]]),(OutputTable[GroupByKey]=OutputTable[[#This Row],[GroupByKey]])*OutputTable[RecordedValue]))</f>
        <v>166</v>
      </c>
    </row>
    <row r="88" spans="1:16" x14ac:dyDescent="0.35">
      <c r="A88" t="s">
        <v>66</v>
      </c>
      <c r="B88" t="s">
        <v>69</v>
      </c>
      <c r="C88">
        <v>13</v>
      </c>
      <c r="D88" t="s">
        <v>101</v>
      </c>
      <c r="E88" t="s">
        <v>102</v>
      </c>
      <c r="F88" t="s">
        <v>88</v>
      </c>
      <c r="G88">
        <v>70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66.349999999999994</v>
      </c>
      <c r="L88" s="5" cm="1">
        <f t="array" ref="L88">IFERROR(_xlfn.STDEV.S(IF((OutputTable[GroupByKey]=OutputTable[[#This Row],[GroupByKey]]),(OutputTable[GroupByKey]=OutputTable[[#This Row],[GroupByKey]])*OutputTable[RecordedValue])),0)</f>
        <v>4.3237566761870161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88" s="5" cm="1">
        <f t="array" ref="O88">MIN(IF((OutputTable[GroupByKey]=OutputTable[[#This Row],[GroupByKey]]),(OutputTable[GroupByKey]=OutputTable[[#This Row],[GroupByKey]])*OutputTable[RecordedValue]))</f>
        <v>56</v>
      </c>
      <c r="P88" s="5" cm="1">
        <f t="array" ref="P88">MAX(IF((OutputTable[GroupByKey]=OutputTable[[#This Row],[GroupByKey]]),(OutputTable[GroupByKey]=OutputTable[[#This Row],[GroupByKey]])*OutputTable[RecordedValue]))</f>
        <v>72</v>
      </c>
    </row>
    <row r="89" spans="1:16" x14ac:dyDescent="0.35">
      <c r="A89" t="s">
        <v>66</v>
      </c>
      <c r="B89" t="s">
        <v>69</v>
      </c>
      <c r="C89">
        <v>13</v>
      </c>
      <c r="D89" t="s">
        <v>103</v>
      </c>
      <c r="E89" t="s">
        <v>104</v>
      </c>
      <c r="F89" t="s">
        <v>88</v>
      </c>
      <c r="G89">
        <v>0.92430670637442602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0.78200153326291699</v>
      </c>
      <c r="L89" s="5" cm="1">
        <f t="array" ref="L89">IFERROR(_xlfn.STDEV.S(IF((OutputTable[GroupByKey]=OutputTable[[#This Row],[GroupByKey]]),(OutputTable[GroupByKey]=OutputTable[[#This Row],[GroupByKey]])*OutputTable[RecordedValue])),0)</f>
        <v>0.13637038930703246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89" s="5" cm="1">
        <f t="array" ref="O89">MIN(IF((OutputTable[GroupByKey]=OutputTable[[#This Row],[GroupByKey]]),(OutputTable[GroupByKey]=OutputTable[[#This Row],[GroupByKey]])*OutputTable[RecordedValue]))</f>
        <v>0.51812957617942801</v>
      </c>
      <c r="P89" s="5" cm="1">
        <f t="array" ref="P89">MAX(IF((OutputTable[GroupByKey]=OutputTable[[#This Row],[GroupByKey]]),(OutputTable[GroupByKey]=OutputTable[[#This Row],[GroupByKey]])*OutputTable[RecordedValue]))</f>
        <v>0.95110098058067905</v>
      </c>
    </row>
    <row r="90" spans="1:16" x14ac:dyDescent="0.35">
      <c r="A90" t="s">
        <v>66</v>
      </c>
      <c r="B90" t="s">
        <v>69</v>
      </c>
      <c r="C90">
        <v>13</v>
      </c>
      <c r="D90" t="s">
        <v>105</v>
      </c>
      <c r="E90" t="s">
        <v>102</v>
      </c>
      <c r="F90" t="s">
        <v>88</v>
      </c>
      <c r="G90">
        <v>129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122.625</v>
      </c>
      <c r="L90" s="5" cm="1">
        <f t="array" ref="L90">IFERROR(_xlfn.STDEV.S(IF((OutputTable[GroupByKey]=OutputTable[[#This Row],[GroupByKey]]),(OutputTable[GroupByKey]=OutputTable[[#This Row],[GroupByKey]])*OutputTable[RecordedValue])),0)</f>
        <v>7.0116661028932015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90" s="5" cm="1">
        <f t="array" ref="O90">MIN(IF((OutputTable[GroupByKey]=OutputTable[[#This Row],[GroupByKey]]),(OutputTable[GroupByKey]=OutputTable[[#This Row],[GroupByKey]])*OutputTable[RecordedValue]))</f>
        <v>105</v>
      </c>
      <c r="P90" s="5" cm="1">
        <f t="array" ref="P90">MAX(IF((OutputTable[GroupByKey]=OutputTable[[#This Row],[GroupByKey]]),(OutputTable[GroupByKey]=OutputTable[[#This Row],[GroupByKey]])*OutputTable[RecordedValue]))</f>
        <v>132</v>
      </c>
    </row>
    <row r="91" spans="1:16" x14ac:dyDescent="0.35">
      <c r="A91" t="s">
        <v>66</v>
      </c>
      <c r="B91" t="s">
        <v>69</v>
      </c>
      <c r="C91">
        <v>13</v>
      </c>
      <c r="D91" t="s">
        <v>106</v>
      </c>
      <c r="E91" t="s">
        <v>104</v>
      </c>
      <c r="F91" t="s">
        <v>88</v>
      </c>
      <c r="G91">
        <v>0.98005968359153794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0.92906032745742695</v>
      </c>
      <c r="L91" s="5" cm="1">
        <f t="array" ref="L91">IFERROR(_xlfn.STDEV.S(IF((OutputTable[GroupByKey]=OutputTable[[#This Row],[GroupByKey]]),(OutputTable[GroupByKey]=OutputTable[[#This Row],[GroupByKey]])*OutputTable[RecordedValue])),0)</f>
        <v>5.2243343646514992E-2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91" s="5" cm="1">
        <f t="array" ref="O91">MIN(IF((OutputTable[GroupByKey]=OutputTable[[#This Row],[GroupByKey]]),(OutputTable[GroupByKey]=OutputTable[[#This Row],[GroupByKey]])*OutputTable[RecordedValue]))</f>
        <v>0.78808827046509</v>
      </c>
      <c r="P91" s="5" cm="1">
        <f t="array" ref="P91">MAX(IF((OutputTable[GroupByKey]=OutputTable[[#This Row],[GroupByKey]]),(OutputTable[GroupByKey]=OutputTable[[#This Row],[GroupByKey]])*OutputTable[RecordedValue]))</f>
        <v>0.99381255473469199</v>
      </c>
    </row>
    <row r="92" spans="1:16" x14ac:dyDescent="0.35">
      <c r="A92" t="s">
        <v>66</v>
      </c>
      <c r="B92" t="s">
        <v>69</v>
      </c>
      <c r="C92">
        <v>13</v>
      </c>
      <c r="D92" t="s">
        <v>107</v>
      </c>
      <c r="E92" t="s">
        <v>100</v>
      </c>
      <c r="F92" t="s">
        <v>108</v>
      </c>
      <c r="G92">
        <v>99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ProjectSystem.NumberOutNumber OutSystem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95.95</v>
      </c>
      <c r="L92" s="5" cm="1">
        <f t="array" ref="L92">IFERROR(_xlfn.STDEV.S(IF((OutputTable[GroupByKey]=OutputTable[[#This Row],[GroupByKey]]),(OutputTable[GroupByKey]=OutputTable[[#This Row],[GroupByKey]])*OutputTable[RecordedValue])),0)</f>
        <v>5.6566276081633564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92" s="5" cm="1">
        <f t="array" ref="O92">MIN(IF((OutputTable[GroupByKey]=OutputTable[[#This Row],[GroupByKey]]),(OutputTable[GroupByKey]=OutputTable[[#This Row],[GroupByKey]])*OutputTable[RecordedValue]))</f>
        <v>83</v>
      </c>
      <c r="P92" s="5" cm="1">
        <f t="array" ref="P92">MAX(IF((OutputTable[GroupByKey]=OutputTable[[#This Row],[GroupByKey]]),(OutputTable[GroupByKey]=OutputTable[[#This Row],[GroupByKey]])*OutputTable[RecordedValue]))</f>
        <v>104</v>
      </c>
    </row>
    <row r="93" spans="1:16" x14ac:dyDescent="0.35">
      <c r="A93" t="s">
        <v>66</v>
      </c>
      <c r="B93" t="s">
        <v>69</v>
      </c>
      <c r="C93">
        <v>14</v>
      </c>
      <c r="D93" t="s">
        <v>97</v>
      </c>
      <c r="E93" t="s">
        <v>98</v>
      </c>
      <c r="F93" t="s">
        <v>76</v>
      </c>
      <c r="G93">
        <v>193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ProjectCliente.NumberInNumber InEntity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181.25</v>
      </c>
      <c r="L93" s="5" cm="1">
        <f t="array" ref="L93">IFERROR(_xlfn.STDEV.S(IF((OutputTable[GroupByKey]=OutputTable[[#This Row],[GroupByKey]]),(OutputTable[GroupByKey]=OutputTable[[#This Row],[GroupByKey]])*OutputTable[RecordedValue])),0)</f>
        <v>15.97393710600698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93" s="5" cm="1">
        <f t="array" ref="O93">MIN(IF((OutputTable[GroupByKey]=OutputTable[[#This Row],[GroupByKey]]),(OutputTable[GroupByKey]=OutputTable[[#This Row],[GroupByKey]])*OutputTable[RecordedValue]))</f>
        <v>146</v>
      </c>
      <c r="P93" s="5" cm="1">
        <f t="array" ref="P93">MAX(IF((OutputTable[GroupByKey]=OutputTable[[#This Row],[GroupByKey]]),(OutputTable[GroupByKey]=OutputTable[[#This Row],[GroupByKey]])*OutputTable[RecordedValue]))</f>
        <v>210</v>
      </c>
    </row>
    <row r="94" spans="1:16" x14ac:dyDescent="0.35">
      <c r="A94" t="s">
        <v>66</v>
      </c>
      <c r="B94" t="s">
        <v>69</v>
      </c>
      <c r="C94">
        <v>14</v>
      </c>
      <c r="D94" t="s">
        <v>99</v>
      </c>
      <c r="E94" t="s">
        <v>100</v>
      </c>
      <c r="F94" t="s">
        <v>76</v>
      </c>
      <c r="G94">
        <v>159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ProjectCliente.NumberOutNumber OutEntity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153.05000000000001</v>
      </c>
      <c r="L94" s="5" cm="1">
        <f t="array" ref="L94">IFERROR(_xlfn.STDEV.S(IF((OutputTable[GroupByKey]=OutputTable[[#This Row],[GroupByKey]]),(OutputTable[GroupByKey]=OutputTable[[#This Row],[GroupByKey]])*OutputTable[RecordedValue])),0)</f>
        <v>8.8490184882351901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94" s="5" cm="1">
        <f t="array" ref="O94">MIN(IF((OutputTable[GroupByKey]=OutputTable[[#This Row],[GroupByKey]]),(OutputTable[GroupByKey]=OutputTable[[#This Row],[GroupByKey]])*OutputTable[RecordedValue]))</f>
        <v>132</v>
      </c>
      <c r="P94" s="5" cm="1">
        <f t="array" ref="P94">MAX(IF((OutputTable[GroupByKey]=OutputTable[[#This Row],[GroupByKey]]),(OutputTable[GroupByKey]=OutputTable[[#This Row],[GroupByKey]])*OutputTable[RecordedValue]))</f>
        <v>166</v>
      </c>
    </row>
    <row r="95" spans="1:16" x14ac:dyDescent="0.35">
      <c r="A95" t="s">
        <v>66</v>
      </c>
      <c r="B95" t="s">
        <v>69</v>
      </c>
      <c r="C95">
        <v>14</v>
      </c>
      <c r="D95" t="s">
        <v>101</v>
      </c>
      <c r="E95" t="s">
        <v>102</v>
      </c>
      <c r="F95" t="s">
        <v>88</v>
      </c>
      <c r="G95">
        <v>69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66.349999999999994</v>
      </c>
      <c r="L95" s="5" cm="1">
        <f t="array" ref="L95">IFERROR(_xlfn.STDEV.S(IF((OutputTable[GroupByKey]=OutputTable[[#This Row],[GroupByKey]]),(OutputTable[GroupByKey]=OutputTable[[#This Row],[GroupByKey]])*OutputTable[RecordedValue])),0)</f>
        <v>4.3237566761870161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95" s="5" cm="1">
        <f t="array" ref="O95">MIN(IF((OutputTable[GroupByKey]=OutputTable[[#This Row],[GroupByKey]]),(OutputTable[GroupByKey]=OutputTable[[#This Row],[GroupByKey]])*OutputTable[RecordedValue]))</f>
        <v>56</v>
      </c>
      <c r="P95" s="5" cm="1">
        <f t="array" ref="P95">MAX(IF((OutputTable[GroupByKey]=OutputTable[[#This Row],[GroupByKey]]),(OutputTable[GroupByKey]=OutputTable[[#This Row],[GroupByKey]])*OutputTable[RecordedValue]))</f>
        <v>72</v>
      </c>
    </row>
    <row r="96" spans="1:16" x14ac:dyDescent="0.35">
      <c r="A96" t="s">
        <v>66</v>
      </c>
      <c r="B96" t="s">
        <v>69</v>
      </c>
      <c r="C96">
        <v>14</v>
      </c>
      <c r="D96" t="s">
        <v>103</v>
      </c>
      <c r="E96" t="s">
        <v>104</v>
      </c>
      <c r="F96" t="s">
        <v>88</v>
      </c>
      <c r="G96">
        <v>0.75895681235063805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0.78200153326291699</v>
      </c>
      <c r="L96" s="5" cm="1">
        <f t="array" ref="L96">IFERROR(_xlfn.STDEV.S(IF((OutputTable[GroupByKey]=OutputTable[[#This Row],[GroupByKey]]),(OutputTable[GroupByKey]=OutputTable[[#This Row],[GroupByKey]])*OutputTable[RecordedValue])),0)</f>
        <v>0.13637038930703246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96" s="5" cm="1">
        <f t="array" ref="O96">MIN(IF((OutputTable[GroupByKey]=OutputTable[[#This Row],[GroupByKey]]),(OutputTable[GroupByKey]=OutputTable[[#This Row],[GroupByKey]])*OutputTable[RecordedValue]))</f>
        <v>0.51812957617942801</v>
      </c>
      <c r="P96" s="5" cm="1">
        <f t="array" ref="P96">MAX(IF((OutputTable[GroupByKey]=OutputTable[[#This Row],[GroupByKey]]),(OutputTable[GroupByKey]=OutputTable[[#This Row],[GroupByKey]])*OutputTable[RecordedValue]))</f>
        <v>0.95110098058067905</v>
      </c>
    </row>
    <row r="97" spans="1:16" x14ac:dyDescent="0.35">
      <c r="A97" t="s">
        <v>66</v>
      </c>
      <c r="B97" t="s">
        <v>69</v>
      </c>
      <c r="C97">
        <v>14</v>
      </c>
      <c r="D97" t="s">
        <v>105</v>
      </c>
      <c r="E97" t="s">
        <v>102</v>
      </c>
      <c r="F97" t="s">
        <v>88</v>
      </c>
      <c r="G97">
        <v>126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122.625</v>
      </c>
      <c r="L97" s="5" cm="1">
        <f t="array" ref="L97">IFERROR(_xlfn.STDEV.S(IF((OutputTable[GroupByKey]=OutputTable[[#This Row],[GroupByKey]]),(OutputTable[GroupByKey]=OutputTable[[#This Row],[GroupByKey]])*OutputTable[RecordedValue])),0)</f>
        <v>7.0116661028932015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97" s="5" cm="1">
        <f t="array" ref="O97">MIN(IF((OutputTable[GroupByKey]=OutputTable[[#This Row],[GroupByKey]]),(OutputTable[GroupByKey]=OutputTable[[#This Row],[GroupByKey]])*OutputTable[RecordedValue]))</f>
        <v>105</v>
      </c>
      <c r="P97" s="5" cm="1">
        <f t="array" ref="P97">MAX(IF((OutputTable[GroupByKey]=OutputTable[[#This Row],[GroupByKey]]),(OutputTable[GroupByKey]=OutputTable[[#This Row],[GroupByKey]])*OutputTable[RecordedValue]))</f>
        <v>132</v>
      </c>
    </row>
    <row r="98" spans="1:16" x14ac:dyDescent="0.35">
      <c r="A98" t="s">
        <v>66</v>
      </c>
      <c r="B98" t="s">
        <v>69</v>
      </c>
      <c r="C98">
        <v>14</v>
      </c>
      <c r="D98" t="s">
        <v>106</v>
      </c>
      <c r="E98" t="s">
        <v>104</v>
      </c>
      <c r="F98" t="s">
        <v>88</v>
      </c>
      <c r="G98">
        <v>0.94253215813659197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0.92906032745742695</v>
      </c>
      <c r="L98" s="5" cm="1">
        <f t="array" ref="L98">IFERROR(_xlfn.STDEV.S(IF((OutputTable[GroupByKey]=OutputTable[[#This Row],[GroupByKey]]),(OutputTable[GroupByKey]=OutputTable[[#This Row],[GroupByKey]])*OutputTable[RecordedValue])),0)</f>
        <v>5.2243343646514992E-2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98" s="5" cm="1">
        <f t="array" ref="O98">MIN(IF((OutputTable[GroupByKey]=OutputTable[[#This Row],[GroupByKey]]),(OutputTable[GroupByKey]=OutputTable[[#This Row],[GroupByKey]])*OutputTable[RecordedValue]))</f>
        <v>0.78808827046509</v>
      </c>
      <c r="P98" s="5" cm="1">
        <f t="array" ref="P98">MAX(IF((OutputTable[GroupByKey]=OutputTable[[#This Row],[GroupByKey]]),(OutputTable[GroupByKey]=OutputTable[[#This Row],[GroupByKey]])*OutputTable[RecordedValue]))</f>
        <v>0.99381255473469199</v>
      </c>
    </row>
    <row r="99" spans="1:16" x14ac:dyDescent="0.35">
      <c r="A99" t="s">
        <v>66</v>
      </c>
      <c r="B99" t="s">
        <v>69</v>
      </c>
      <c r="C99">
        <v>14</v>
      </c>
      <c r="D99" t="s">
        <v>107</v>
      </c>
      <c r="E99" t="s">
        <v>100</v>
      </c>
      <c r="F99" t="s">
        <v>108</v>
      </c>
      <c r="G99">
        <v>100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ProjectSystem.NumberOutNumber OutSystem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95.95</v>
      </c>
      <c r="L99" s="5" cm="1">
        <f t="array" ref="L99">IFERROR(_xlfn.STDEV.S(IF((OutputTable[GroupByKey]=OutputTable[[#This Row],[GroupByKey]]),(OutputTable[GroupByKey]=OutputTable[[#This Row],[GroupByKey]])*OutputTable[RecordedValue])),0)</f>
        <v>5.6566276081633564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99" s="5" cm="1">
        <f t="array" ref="O99">MIN(IF((OutputTable[GroupByKey]=OutputTable[[#This Row],[GroupByKey]]),(OutputTable[GroupByKey]=OutputTable[[#This Row],[GroupByKey]])*OutputTable[RecordedValue]))</f>
        <v>83</v>
      </c>
      <c r="P99" s="5" cm="1">
        <f t="array" ref="P99">MAX(IF((OutputTable[GroupByKey]=OutputTable[[#This Row],[GroupByKey]]),(OutputTable[GroupByKey]=OutputTable[[#This Row],[GroupByKey]])*OutputTable[RecordedValue]))</f>
        <v>104</v>
      </c>
    </row>
    <row r="100" spans="1:16" x14ac:dyDescent="0.35">
      <c r="A100" t="s">
        <v>66</v>
      </c>
      <c r="B100" t="s">
        <v>69</v>
      </c>
      <c r="C100">
        <v>15</v>
      </c>
      <c r="D100" t="s">
        <v>97</v>
      </c>
      <c r="E100" t="s">
        <v>98</v>
      </c>
      <c r="F100" t="s">
        <v>76</v>
      </c>
      <c r="G100">
        <v>176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ProjectCliente.NumberInNumber InEntity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181.25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15.97393710600698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00" s="5" cm="1">
        <f t="array" ref="O100">MIN(IF((OutputTable[GroupByKey]=OutputTable[[#This Row],[GroupByKey]]),(OutputTable[GroupByKey]=OutputTable[[#This Row],[GroupByKey]])*OutputTable[RecordedValue]))</f>
        <v>146</v>
      </c>
      <c r="P100" s="5" cm="1">
        <f t="array" ref="P100">MAX(IF((OutputTable[GroupByKey]=OutputTable[[#This Row],[GroupByKey]]),(OutputTable[GroupByKey]=OutputTable[[#This Row],[GroupByKey]])*OutputTable[RecordedValue]))</f>
        <v>210</v>
      </c>
    </row>
    <row r="101" spans="1:16" x14ac:dyDescent="0.35">
      <c r="A101" t="s">
        <v>66</v>
      </c>
      <c r="B101" t="s">
        <v>69</v>
      </c>
      <c r="C101">
        <v>15</v>
      </c>
      <c r="D101" t="s">
        <v>99</v>
      </c>
      <c r="E101" t="s">
        <v>100</v>
      </c>
      <c r="F101" t="s">
        <v>76</v>
      </c>
      <c r="G101">
        <v>136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ProjectCliente.NumberOutNumber OutEntity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153.05000000000001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8.8490184882351901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01" s="5" cm="1">
        <f t="array" ref="O101">MIN(IF((OutputTable[GroupByKey]=OutputTable[[#This Row],[GroupByKey]]),(OutputTable[GroupByKey]=OutputTable[[#This Row],[GroupByKey]])*OutputTable[RecordedValue]))</f>
        <v>132</v>
      </c>
      <c r="P101" s="5" cm="1">
        <f t="array" ref="P101">MAX(IF((OutputTable[GroupByKey]=OutputTable[[#This Row],[GroupByKey]]),(OutputTable[GroupByKey]=OutputTable[[#This Row],[GroupByKey]])*OutputTable[RecordedValue]))</f>
        <v>166</v>
      </c>
    </row>
    <row r="102" spans="1:16" x14ac:dyDescent="0.35">
      <c r="A102" t="s">
        <v>66</v>
      </c>
      <c r="B102" t="s">
        <v>69</v>
      </c>
      <c r="C102">
        <v>15</v>
      </c>
      <c r="D102" t="s">
        <v>101</v>
      </c>
      <c r="E102" t="s">
        <v>102</v>
      </c>
      <c r="F102" t="s">
        <v>88</v>
      </c>
      <c r="G102">
        <v>62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66.349999999999994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4.3237566761870161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02" s="5" cm="1">
        <f t="array" ref="O102">MIN(IF((OutputTable[GroupByKey]=OutputTable[[#This Row],[GroupByKey]]),(OutputTable[GroupByKey]=OutputTable[[#This Row],[GroupByKey]])*OutputTable[RecordedValue]))</f>
        <v>56</v>
      </c>
      <c r="P102" s="5" cm="1">
        <f t="array" ref="P102">MAX(IF((OutputTable[GroupByKey]=OutputTable[[#This Row],[GroupByKey]]),(OutputTable[GroupByKey]=OutputTable[[#This Row],[GroupByKey]])*OutputTable[RecordedValue]))</f>
        <v>72</v>
      </c>
    </row>
    <row r="103" spans="1:16" x14ac:dyDescent="0.35">
      <c r="A103" t="s">
        <v>66</v>
      </c>
      <c r="B103" t="s">
        <v>69</v>
      </c>
      <c r="C103">
        <v>15</v>
      </c>
      <c r="D103" t="s">
        <v>103</v>
      </c>
      <c r="E103" t="s">
        <v>104</v>
      </c>
      <c r="F103" t="s">
        <v>88</v>
      </c>
      <c r="G103">
        <v>0.66735222806772099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0.78200153326291699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0.13637038930703246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03" s="5" cm="1">
        <f t="array" ref="O103">MIN(IF((OutputTable[GroupByKey]=OutputTable[[#This Row],[GroupByKey]]),(OutputTable[GroupByKey]=OutputTable[[#This Row],[GroupByKey]])*OutputTable[RecordedValue]))</f>
        <v>0.51812957617942801</v>
      </c>
      <c r="P103" s="5" cm="1">
        <f t="array" ref="P103">MAX(IF((OutputTable[GroupByKey]=OutputTable[[#This Row],[GroupByKey]]),(OutputTable[GroupByKey]=OutputTable[[#This Row],[GroupByKey]])*OutputTable[RecordedValue]))</f>
        <v>0.95110098058067905</v>
      </c>
    </row>
    <row r="104" spans="1:16" x14ac:dyDescent="0.35">
      <c r="A104" t="s">
        <v>66</v>
      </c>
      <c r="B104" t="s">
        <v>69</v>
      </c>
      <c r="C104">
        <v>15</v>
      </c>
      <c r="D104" t="s">
        <v>105</v>
      </c>
      <c r="E104" t="s">
        <v>102</v>
      </c>
      <c r="F104" t="s">
        <v>88</v>
      </c>
      <c r="G104">
        <v>113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122.625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7.0116661028932015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04" s="5" cm="1">
        <f t="array" ref="O104">MIN(IF((OutputTable[GroupByKey]=OutputTable[[#This Row],[GroupByKey]]),(OutputTable[GroupByKey]=OutputTable[[#This Row],[GroupByKey]])*OutputTable[RecordedValue]))</f>
        <v>105</v>
      </c>
      <c r="P104" s="5" cm="1">
        <f t="array" ref="P104">MAX(IF((OutputTable[GroupByKey]=OutputTable[[#This Row],[GroupByKey]]),(OutputTable[GroupByKey]=OutputTable[[#This Row],[GroupByKey]])*OutputTable[RecordedValue]))</f>
        <v>132</v>
      </c>
    </row>
    <row r="105" spans="1:16" x14ac:dyDescent="0.35">
      <c r="A105" t="s">
        <v>66</v>
      </c>
      <c r="B105" t="s">
        <v>69</v>
      </c>
      <c r="C105">
        <v>15</v>
      </c>
      <c r="D105" t="s">
        <v>106</v>
      </c>
      <c r="E105" t="s">
        <v>104</v>
      </c>
      <c r="F105" t="s">
        <v>88</v>
      </c>
      <c r="G105">
        <v>0.86289881439222405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0.92906032745742695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5.2243343646514992E-2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05" s="5" cm="1">
        <f t="array" ref="O105">MIN(IF((OutputTable[GroupByKey]=OutputTable[[#This Row],[GroupByKey]]),(OutputTable[GroupByKey]=OutputTable[[#This Row],[GroupByKey]])*OutputTable[RecordedValue]))</f>
        <v>0.78808827046509</v>
      </c>
      <c r="P105" s="5" cm="1">
        <f t="array" ref="P105">MAX(IF((OutputTable[GroupByKey]=OutputTable[[#This Row],[GroupByKey]]),(OutputTable[GroupByKey]=OutputTable[[#This Row],[GroupByKey]])*OutputTable[RecordedValue]))</f>
        <v>0.99381255473469199</v>
      </c>
    </row>
    <row r="106" spans="1:16" x14ac:dyDescent="0.35">
      <c r="A106" t="s">
        <v>66</v>
      </c>
      <c r="B106" t="s">
        <v>69</v>
      </c>
      <c r="C106">
        <v>15</v>
      </c>
      <c r="D106" t="s">
        <v>107</v>
      </c>
      <c r="E106" t="s">
        <v>100</v>
      </c>
      <c r="F106" t="s">
        <v>108</v>
      </c>
      <c r="G106">
        <v>84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ProjectSystem.NumberOutNumber OutSystem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95.95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5.6566276081633564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06" s="5" cm="1">
        <f t="array" ref="O106">MIN(IF((OutputTable[GroupByKey]=OutputTable[[#This Row],[GroupByKey]]),(OutputTable[GroupByKey]=OutputTable[[#This Row],[GroupByKey]])*OutputTable[RecordedValue]))</f>
        <v>83</v>
      </c>
      <c r="P106" s="5" cm="1">
        <f t="array" ref="P106">MAX(IF((OutputTable[GroupByKey]=OutputTable[[#This Row],[GroupByKey]]),(OutputTable[GroupByKey]=OutputTable[[#This Row],[GroupByKey]])*OutputTable[RecordedValue]))</f>
        <v>104</v>
      </c>
    </row>
    <row r="107" spans="1:16" x14ac:dyDescent="0.35">
      <c r="A107" t="s">
        <v>66</v>
      </c>
      <c r="B107" t="s">
        <v>69</v>
      </c>
      <c r="C107">
        <v>16</v>
      </c>
      <c r="D107" t="s">
        <v>97</v>
      </c>
      <c r="E107" t="s">
        <v>98</v>
      </c>
      <c r="F107" t="s">
        <v>76</v>
      </c>
      <c r="G107">
        <v>210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ProjectCliente.NumberInNumber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181.25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15.97393710600698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07" s="5" cm="1">
        <f t="array" ref="O107">MIN(IF((OutputTable[GroupByKey]=OutputTable[[#This Row],[GroupByKey]]),(OutputTable[GroupByKey]=OutputTable[[#This Row],[GroupByKey]])*OutputTable[RecordedValue]))</f>
        <v>146</v>
      </c>
      <c r="P107" s="5" cm="1">
        <f t="array" ref="P107">MAX(IF((OutputTable[GroupByKey]=OutputTable[[#This Row],[GroupByKey]]),(OutputTable[GroupByKey]=OutputTable[[#This Row],[GroupByKey]])*OutputTable[RecordedValue]))</f>
        <v>210</v>
      </c>
    </row>
    <row r="108" spans="1:16" x14ac:dyDescent="0.35">
      <c r="A108" t="s">
        <v>66</v>
      </c>
      <c r="B108" t="s">
        <v>69</v>
      </c>
      <c r="C108">
        <v>16</v>
      </c>
      <c r="D108" t="s">
        <v>99</v>
      </c>
      <c r="E108" t="s">
        <v>100</v>
      </c>
      <c r="F108" t="s">
        <v>76</v>
      </c>
      <c r="G108">
        <v>158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ProjectCliente.NumberOutNumber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153.05000000000001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8.8490184882351901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08" s="5" cm="1">
        <f t="array" ref="O108">MIN(IF((OutputTable[GroupByKey]=OutputTable[[#This Row],[GroupByKey]]),(OutputTable[GroupByKey]=OutputTable[[#This Row],[GroupByKey]])*OutputTable[RecordedValue]))</f>
        <v>132</v>
      </c>
      <c r="P108" s="5" cm="1">
        <f t="array" ref="P108">MAX(IF((OutputTable[GroupByKey]=OutputTable[[#This Row],[GroupByKey]]),(OutputTable[GroupByKey]=OutputTable[[#This Row],[GroupByKey]])*OutputTable[RecordedValue]))</f>
        <v>166</v>
      </c>
    </row>
    <row r="109" spans="1:16" x14ac:dyDescent="0.35">
      <c r="A109" t="s">
        <v>66</v>
      </c>
      <c r="B109" t="s">
        <v>69</v>
      </c>
      <c r="C109">
        <v>16</v>
      </c>
      <c r="D109" t="s">
        <v>101</v>
      </c>
      <c r="E109" t="s">
        <v>102</v>
      </c>
      <c r="F109" t="s">
        <v>88</v>
      </c>
      <c r="G109">
        <v>71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66.349999999999994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4.3237566761870161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09" s="5" cm="1">
        <f t="array" ref="O109">MIN(IF((OutputTable[GroupByKey]=OutputTable[[#This Row],[GroupByKey]]),(OutputTable[GroupByKey]=OutputTable[[#This Row],[GroupByKey]])*OutputTable[RecordedValue]))</f>
        <v>56</v>
      </c>
      <c r="P109" s="5" cm="1">
        <f t="array" ref="P109">MAX(IF((OutputTable[GroupByKey]=OutputTable[[#This Row],[GroupByKey]]),(OutputTable[GroupByKey]=OutputTable[[#This Row],[GroupByKey]])*OutputTable[RecordedValue]))</f>
        <v>72</v>
      </c>
    </row>
    <row r="110" spans="1:16" x14ac:dyDescent="0.35">
      <c r="A110" t="s">
        <v>66</v>
      </c>
      <c r="B110" t="s">
        <v>69</v>
      </c>
      <c r="C110">
        <v>16</v>
      </c>
      <c r="D110" t="s">
        <v>103</v>
      </c>
      <c r="E110" t="s">
        <v>104</v>
      </c>
      <c r="F110" t="s">
        <v>88</v>
      </c>
      <c r="G110">
        <v>0.93222836893822703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0.78200153326291699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0.13637038930703246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10" s="5" cm="1">
        <f t="array" ref="O110">MIN(IF((OutputTable[GroupByKey]=OutputTable[[#This Row],[GroupByKey]]),(OutputTable[GroupByKey]=OutputTable[[#This Row],[GroupByKey]])*OutputTable[RecordedValue]))</f>
        <v>0.51812957617942801</v>
      </c>
      <c r="P110" s="5" cm="1">
        <f t="array" ref="P110">MAX(IF((OutputTable[GroupByKey]=OutputTable[[#This Row],[GroupByKey]]),(OutputTable[GroupByKey]=OutputTable[[#This Row],[GroupByKey]])*OutputTable[RecordedValue]))</f>
        <v>0.95110098058067905</v>
      </c>
    </row>
    <row r="111" spans="1:16" x14ac:dyDescent="0.35">
      <c r="A111" t="s">
        <v>66</v>
      </c>
      <c r="B111" t="s">
        <v>69</v>
      </c>
      <c r="C111">
        <v>16</v>
      </c>
      <c r="D111" t="s">
        <v>105</v>
      </c>
      <c r="E111" t="s">
        <v>102</v>
      </c>
      <c r="F111" t="s">
        <v>88</v>
      </c>
      <c r="G111">
        <v>131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122.625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7.0116661028932015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11" s="5" cm="1">
        <f t="array" ref="O111">MIN(IF((OutputTable[GroupByKey]=OutputTable[[#This Row],[GroupByKey]]),(OutputTable[GroupByKey]=OutputTable[[#This Row],[GroupByKey]])*OutputTable[RecordedValue]))</f>
        <v>105</v>
      </c>
      <c r="P111" s="5" cm="1">
        <f t="array" ref="P111">MAX(IF((OutputTable[GroupByKey]=OutputTable[[#This Row],[GroupByKey]]),(OutputTable[GroupByKey]=OutputTable[[#This Row],[GroupByKey]])*OutputTable[RecordedValue]))</f>
        <v>132</v>
      </c>
    </row>
    <row r="112" spans="1:16" x14ac:dyDescent="0.35">
      <c r="A112" t="s">
        <v>66</v>
      </c>
      <c r="B112" t="s">
        <v>69</v>
      </c>
      <c r="C112">
        <v>16</v>
      </c>
      <c r="D112" t="s">
        <v>106</v>
      </c>
      <c r="E112" t="s">
        <v>104</v>
      </c>
      <c r="F112" t="s">
        <v>88</v>
      </c>
      <c r="G112">
        <v>0.98279294374320203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0.92906032745742695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5.2243343646514992E-2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12" s="5" cm="1">
        <f t="array" ref="O112">MIN(IF((OutputTable[GroupByKey]=OutputTable[[#This Row],[GroupByKey]]),(OutputTable[GroupByKey]=OutputTable[[#This Row],[GroupByKey]])*OutputTable[RecordedValue]))</f>
        <v>0.78808827046509</v>
      </c>
      <c r="P112" s="5" cm="1">
        <f t="array" ref="P112">MAX(IF((OutputTable[GroupByKey]=OutputTable[[#This Row],[GroupByKey]]),(OutputTable[GroupByKey]=OutputTable[[#This Row],[GroupByKey]])*OutputTable[RecordedValue]))</f>
        <v>0.99381255473469199</v>
      </c>
    </row>
    <row r="113" spans="1:16" x14ac:dyDescent="0.35">
      <c r="A113" t="s">
        <v>66</v>
      </c>
      <c r="B113" t="s">
        <v>69</v>
      </c>
      <c r="C113">
        <v>16</v>
      </c>
      <c r="D113" t="s">
        <v>107</v>
      </c>
      <c r="E113" t="s">
        <v>100</v>
      </c>
      <c r="F113" t="s">
        <v>108</v>
      </c>
      <c r="G113">
        <v>97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ProjectSystem.NumberOutNumber OutSystem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95.95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5.6566276081633564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13" s="5" cm="1">
        <f t="array" ref="O113">MIN(IF((OutputTable[GroupByKey]=OutputTable[[#This Row],[GroupByKey]]),(OutputTable[GroupByKey]=OutputTable[[#This Row],[GroupByKey]])*OutputTable[RecordedValue]))</f>
        <v>83</v>
      </c>
      <c r="P113" s="5" cm="1">
        <f t="array" ref="P113">MAX(IF((OutputTable[GroupByKey]=OutputTable[[#This Row],[GroupByKey]]),(OutputTable[GroupByKey]=OutputTable[[#This Row],[GroupByKey]])*OutputTable[RecordedValue]))</f>
        <v>104</v>
      </c>
    </row>
    <row r="114" spans="1:16" x14ac:dyDescent="0.35">
      <c r="A114" t="s">
        <v>66</v>
      </c>
      <c r="B114" t="s">
        <v>69</v>
      </c>
      <c r="C114">
        <v>17</v>
      </c>
      <c r="D114" t="s">
        <v>97</v>
      </c>
      <c r="E114" t="s">
        <v>98</v>
      </c>
      <c r="F114" t="s">
        <v>76</v>
      </c>
      <c r="G114">
        <v>156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ProjectCliente.NumberInNumber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181.25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15.97393710600698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14" s="5" cm="1">
        <f t="array" ref="O114">MIN(IF((OutputTable[GroupByKey]=OutputTable[[#This Row],[GroupByKey]]),(OutputTable[GroupByKey]=OutputTable[[#This Row],[GroupByKey]])*OutputTable[RecordedValue]))</f>
        <v>146</v>
      </c>
      <c r="P114" s="5" cm="1">
        <f t="array" ref="P114">MAX(IF((OutputTable[GroupByKey]=OutputTable[[#This Row],[GroupByKey]]),(OutputTable[GroupByKey]=OutputTable[[#This Row],[GroupByKey]])*OutputTable[RecordedValue]))</f>
        <v>210</v>
      </c>
    </row>
    <row r="115" spans="1:16" x14ac:dyDescent="0.35">
      <c r="A115" t="s">
        <v>66</v>
      </c>
      <c r="B115" t="s">
        <v>69</v>
      </c>
      <c r="C115">
        <v>17</v>
      </c>
      <c r="D115" t="s">
        <v>99</v>
      </c>
      <c r="E115" t="s">
        <v>100</v>
      </c>
      <c r="F115" t="s">
        <v>76</v>
      </c>
      <c r="G115">
        <v>144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ProjectCliente.NumberOutNumber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153.05000000000001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8.8490184882351901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15" s="5" cm="1">
        <f t="array" ref="O115">MIN(IF((OutputTable[GroupByKey]=OutputTable[[#This Row],[GroupByKey]]),(OutputTable[GroupByKey]=OutputTable[[#This Row],[GroupByKey]])*OutputTable[RecordedValue]))</f>
        <v>132</v>
      </c>
      <c r="P115" s="5" cm="1">
        <f t="array" ref="P115">MAX(IF((OutputTable[GroupByKey]=OutputTable[[#This Row],[GroupByKey]]),(OutputTable[GroupByKey]=OutputTable[[#This Row],[GroupByKey]])*OutputTable[RecordedValue]))</f>
        <v>166</v>
      </c>
    </row>
    <row r="116" spans="1:16" x14ac:dyDescent="0.35">
      <c r="A116" t="s">
        <v>66</v>
      </c>
      <c r="B116" t="s">
        <v>69</v>
      </c>
      <c r="C116">
        <v>17</v>
      </c>
      <c r="D116" t="s">
        <v>101</v>
      </c>
      <c r="E116" t="s">
        <v>102</v>
      </c>
      <c r="F116" t="s">
        <v>88</v>
      </c>
      <c r="G116">
        <v>61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66.349999999999994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4.3237566761870161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16" s="5" cm="1">
        <f t="array" ref="O116">MIN(IF((OutputTable[GroupByKey]=OutputTable[[#This Row],[GroupByKey]]),(OutputTable[GroupByKey]=OutputTable[[#This Row],[GroupByKey]])*OutputTable[RecordedValue]))</f>
        <v>56</v>
      </c>
      <c r="P116" s="5" cm="1">
        <f t="array" ref="P116">MAX(IF((OutputTable[GroupByKey]=OutputTable[[#This Row],[GroupByKey]]),(OutputTable[GroupByKey]=OutputTable[[#This Row],[GroupByKey]])*OutputTable[RecordedValue]))</f>
        <v>72</v>
      </c>
    </row>
    <row r="117" spans="1:16" x14ac:dyDescent="0.35">
      <c r="A117" t="s">
        <v>66</v>
      </c>
      <c r="B117" t="s">
        <v>69</v>
      </c>
      <c r="C117">
        <v>17</v>
      </c>
      <c r="D117" t="s">
        <v>103</v>
      </c>
      <c r="E117" t="s">
        <v>104</v>
      </c>
      <c r="F117" t="s">
        <v>88</v>
      </c>
      <c r="G117">
        <v>0.73268945313008005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0.78200153326291699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0.13637038930703246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17" s="5" cm="1">
        <f t="array" ref="O117">MIN(IF((OutputTable[GroupByKey]=OutputTable[[#This Row],[GroupByKey]]),(OutputTable[GroupByKey]=OutputTable[[#This Row],[GroupByKey]])*OutputTable[RecordedValue]))</f>
        <v>0.51812957617942801</v>
      </c>
      <c r="P117" s="5" cm="1">
        <f t="array" ref="P117">MAX(IF((OutputTable[GroupByKey]=OutputTable[[#This Row],[GroupByKey]]),(OutputTable[GroupByKey]=OutputTable[[#This Row],[GroupByKey]])*OutputTable[RecordedValue]))</f>
        <v>0.95110098058067905</v>
      </c>
    </row>
    <row r="118" spans="1:16" x14ac:dyDescent="0.35">
      <c r="A118" t="s">
        <v>66</v>
      </c>
      <c r="B118" t="s">
        <v>69</v>
      </c>
      <c r="C118">
        <v>17</v>
      </c>
      <c r="D118" t="s">
        <v>105</v>
      </c>
      <c r="E118" t="s">
        <v>102</v>
      </c>
      <c r="F118" t="s">
        <v>88</v>
      </c>
      <c r="G118">
        <v>118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122.625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7.0116661028932015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18" s="5" cm="1">
        <f t="array" ref="O118">MIN(IF((OutputTable[GroupByKey]=OutputTable[[#This Row],[GroupByKey]]),(OutputTable[GroupByKey]=OutputTable[[#This Row],[GroupByKey]])*OutputTable[RecordedValue]))</f>
        <v>105</v>
      </c>
      <c r="P118" s="5" cm="1">
        <f t="array" ref="P118">MAX(IF((OutputTable[GroupByKey]=OutputTable[[#This Row],[GroupByKey]]),(OutputTable[GroupByKey]=OutputTable[[#This Row],[GroupByKey]])*OutputTable[RecordedValue]))</f>
        <v>132</v>
      </c>
    </row>
    <row r="119" spans="1:16" x14ac:dyDescent="0.35">
      <c r="A119" t="s">
        <v>66</v>
      </c>
      <c r="B119" t="s">
        <v>69</v>
      </c>
      <c r="C119">
        <v>17</v>
      </c>
      <c r="D119" t="s">
        <v>106</v>
      </c>
      <c r="E119" t="s">
        <v>104</v>
      </c>
      <c r="F119" t="s">
        <v>88</v>
      </c>
      <c r="G119">
        <v>0.89876365143109904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0.92906032745742695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5.2243343646514992E-2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19" s="5" cm="1">
        <f t="array" ref="O119">MIN(IF((OutputTable[GroupByKey]=OutputTable[[#This Row],[GroupByKey]]),(OutputTable[GroupByKey]=OutputTable[[#This Row],[GroupByKey]])*OutputTable[RecordedValue]))</f>
        <v>0.78808827046509</v>
      </c>
      <c r="P119" s="5" cm="1">
        <f t="array" ref="P119">MAX(IF((OutputTable[GroupByKey]=OutputTable[[#This Row],[GroupByKey]]),(OutputTable[GroupByKey]=OutputTable[[#This Row],[GroupByKey]])*OutputTable[RecordedValue]))</f>
        <v>0.99381255473469199</v>
      </c>
    </row>
    <row r="120" spans="1:16" x14ac:dyDescent="0.35">
      <c r="A120" t="s">
        <v>66</v>
      </c>
      <c r="B120" t="s">
        <v>69</v>
      </c>
      <c r="C120">
        <v>17</v>
      </c>
      <c r="D120" t="s">
        <v>107</v>
      </c>
      <c r="E120" t="s">
        <v>100</v>
      </c>
      <c r="F120" t="s">
        <v>108</v>
      </c>
      <c r="G120">
        <v>89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95.95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5.6566276081633564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20" s="5" cm="1">
        <f t="array" ref="O120">MIN(IF((OutputTable[GroupByKey]=OutputTable[[#This Row],[GroupByKey]]),(OutputTable[GroupByKey]=OutputTable[[#This Row],[GroupByKey]])*OutputTable[RecordedValue]))</f>
        <v>83</v>
      </c>
      <c r="P120" s="5" cm="1">
        <f t="array" ref="P120">MAX(IF((OutputTable[GroupByKey]=OutputTable[[#This Row],[GroupByKey]]),(OutputTable[GroupByKey]=OutputTable[[#This Row],[GroupByKey]])*OutputTable[RecordedValue]))</f>
        <v>104</v>
      </c>
    </row>
    <row r="121" spans="1:16" x14ac:dyDescent="0.35">
      <c r="A121" t="s">
        <v>66</v>
      </c>
      <c r="B121" t="s">
        <v>69</v>
      </c>
      <c r="C121">
        <v>18</v>
      </c>
      <c r="D121" t="s">
        <v>97</v>
      </c>
      <c r="E121" t="s">
        <v>98</v>
      </c>
      <c r="F121" t="s">
        <v>76</v>
      </c>
      <c r="G121">
        <v>179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ProjectCliente.NumberInNumber InEntity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181.25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15.97393710600698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21" s="5" cm="1">
        <f t="array" ref="O121">MIN(IF((OutputTable[GroupByKey]=OutputTable[[#This Row],[GroupByKey]]),(OutputTable[GroupByKey]=OutputTable[[#This Row],[GroupByKey]])*OutputTable[RecordedValue]))</f>
        <v>146</v>
      </c>
      <c r="P121" s="5" cm="1">
        <f t="array" ref="P121">MAX(IF((OutputTable[GroupByKey]=OutputTable[[#This Row],[GroupByKey]]),(OutputTable[GroupByKey]=OutputTable[[#This Row],[GroupByKey]])*OutputTable[RecordedValue]))</f>
        <v>210</v>
      </c>
    </row>
    <row r="122" spans="1:16" x14ac:dyDescent="0.35">
      <c r="A122" t="s">
        <v>66</v>
      </c>
      <c r="B122" t="s">
        <v>69</v>
      </c>
      <c r="C122">
        <v>18</v>
      </c>
      <c r="D122" t="s">
        <v>99</v>
      </c>
      <c r="E122" t="s">
        <v>100</v>
      </c>
      <c r="F122" t="s">
        <v>76</v>
      </c>
      <c r="G122">
        <v>159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ProjectCliente.NumberOutNumber OutEntity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153.05000000000001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8.8490184882351901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22" s="5" cm="1">
        <f t="array" ref="O122">MIN(IF((OutputTable[GroupByKey]=OutputTable[[#This Row],[GroupByKey]]),(OutputTable[GroupByKey]=OutputTable[[#This Row],[GroupByKey]])*OutputTable[RecordedValue]))</f>
        <v>132</v>
      </c>
      <c r="P122" s="5" cm="1">
        <f t="array" ref="P122">MAX(IF((OutputTable[GroupByKey]=OutputTable[[#This Row],[GroupByKey]]),(OutputTable[GroupByKey]=OutputTable[[#This Row],[GroupByKey]])*OutputTable[RecordedValue]))</f>
        <v>166</v>
      </c>
    </row>
    <row r="123" spans="1:16" x14ac:dyDescent="0.35">
      <c r="A123" t="s">
        <v>66</v>
      </c>
      <c r="B123" t="s">
        <v>69</v>
      </c>
      <c r="C123">
        <v>18</v>
      </c>
      <c r="D123" t="s">
        <v>101</v>
      </c>
      <c r="E123" t="s">
        <v>102</v>
      </c>
      <c r="F123" t="s">
        <v>88</v>
      </c>
      <c r="G123">
        <v>69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66.349999999999994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4.3237566761870161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23" s="5" cm="1">
        <f t="array" ref="O123">MIN(IF((OutputTable[GroupByKey]=OutputTable[[#This Row],[GroupByKey]]),(OutputTable[GroupByKey]=OutputTable[[#This Row],[GroupByKey]])*OutputTable[RecordedValue]))</f>
        <v>56</v>
      </c>
      <c r="P123" s="5" cm="1">
        <f t="array" ref="P123">MAX(IF((OutputTable[GroupByKey]=OutputTable[[#This Row],[GroupByKey]]),(OutputTable[GroupByKey]=OutputTable[[#This Row],[GroupByKey]])*OutputTable[RecordedValue]))</f>
        <v>72</v>
      </c>
    </row>
    <row r="124" spans="1:16" x14ac:dyDescent="0.35">
      <c r="A124" t="s">
        <v>66</v>
      </c>
      <c r="B124" t="s">
        <v>69</v>
      </c>
      <c r="C124">
        <v>18</v>
      </c>
      <c r="D124" t="s">
        <v>103</v>
      </c>
      <c r="E124" t="s">
        <v>104</v>
      </c>
      <c r="F124" t="s">
        <v>88</v>
      </c>
      <c r="G124">
        <v>0.832385103835939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0.78200153326291699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0.13637038930703246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24" s="5" cm="1">
        <f t="array" ref="O124">MIN(IF((OutputTable[GroupByKey]=OutputTable[[#This Row],[GroupByKey]]),(OutputTable[GroupByKey]=OutputTable[[#This Row],[GroupByKey]])*OutputTable[RecordedValue]))</f>
        <v>0.51812957617942801</v>
      </c>
      <c r="P124" s="5" cm="1">
        <f t="array" ref="P124">MAX(IF((OutputTable[GroupByKey]=OutputTable[[#This Row],[GroupByKey]]),(OutputTable[GroupByKey]=OutputTable[[#This Row],[GroupByKey]])*OutputTable[RecordedValue]))</f>
        <v>0.95110098058067905</v>
      </c>
    </row>
    <row r="125" spans="1:16" x14ac:dyDescent="0.35">
      <c r="A125" t="s">
        <v>66</v>
      </c>
      <c r="B125" t="s">
        <v>69</v>
      </c>
      <c r="C125">
        <v>18</v>
      </c>
      <c r="D125" t="s">
        <v>105</v>
      </c>
      <c r="E125" t="s">
        <v>102</v>
      </c>
      <c r="F125" t="s">
        <v>88</v>
      </c>
      <c r="G125">
        <v>125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122.625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7.0116661028932015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25" s="5" cm="1">
        <f t="array" ref="O125">MIN(IF((OutputTable[GroupByKey]=OutputTable[[#This Row],[GroupByKey]]),(OutputTable[GroupByKey]=OutputTable[[#This Row],[GroupByKey]])*OutputTable[RecordedValue]))</f>
        <v>105</v>
      </c>
      <c r="P125" s="5" cm="1">
        <f t="array" ref="P125">MAX(IF((OutputTable[GroupByKey]=OutputTable[[#This Row],[GroupByKey]]),(OutputTable[GroupByKey]=OutputTable[[#This Row],[GroupByKey]])*OutputTable[RecordedValue]))</f>
        <v>132</v>
      </c>
    </row>
    <row r="126" spans="1:16" x14ac:dyDescent="0.35">
      <c r="A126" t="s">
        <v>66</v>
      </c>
      <c r="B126" t="s">
        <v>69</v>
      </c>
      <c r="C126">
        <v>18</v>
      </c>
      <c r="D126" t="s">
        <v>106</v>
      </c>
      <c r="E126" t="s">
        <v>104</v>
      </c>
      <c r="F126" t="s">
        <v>88</v>
      </c>
      <c r="G126">
        <v>0.95525235919117102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0.92906032745742695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5.2243343646514992E-2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26" s="5" cm="1">
        <f t="array" ref="O126">MIN(IF((OutputTable[GroupByKey]=OutputTable[[#This Row],[GroupByKey]]),(OutputTable[GroupByKey]=OutputTable[[#This Row],[GroupByKey]])*OutputTable[RecordedValue]))</f>
        <v>0.78808827046509</v>
      </c>
      <c r="P126" s="5" cm="1">
        <f t="array" ref="P126">MAX(IF((OutputTable[GroupByKey]=OutputTable[[#This Row],[GroupByKey]]),(OutputTable[GroupByKey]=OutputTable[[#This Row],[GroupByKey]])*OutputTable[RecordedValue]))</f>
        <v>0.99381255473469199</v>
      </c>
    </row>
    <row r="127" spans="1:16" x14ac:dyDescent="0.35">
      <c r="A127" t="s">
        <v>66</v>
      </c>
      <c r="B127" t="s">
        <v>69</v>
      </c>
      <c r="C127">
        <v>18</v>
      </c>
      <c r="D127" t="s">
        <v>107</v>
      </c>
      <c r="E127" t="s">
        <v>100</v>
      </c>
      <c r="F127" t="s">
        <v>108</v>
      </c>
      <c r="G127">
        <v>100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ProjectSystem.NumberOutNumber OutSystem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95.95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5.6566276081633564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27" s="5" cm="1">
        <f t="array" ref="O127">MIN(IF((OutputTable[GroupByKey]=OutputTable[[#This Row],[GroupByKey]]),(OutputTable[GroupByKey]=OutputTable[[#This Row],[GroupByKey]])*OutputTable[RecordedValue]))</f>
        <v>83</v>
      </c>
      <c r="P127" s="5" cm="1">
        <f t="array" ref="P127">MAX(IF((OutputTable[GroupByKey]=OutputTable[[#This Row],[GroupByKey]]),(OutputTable[GroupByKey]=OutputTable[[#This Row],[GroupByKey]])*OutputTable[RecordedValue]))</f>
        <v>104</v>
      </c>
    </row>
    <row r="128" spans="1:16" x14ac:dyDescent="0.35">
      <c r="A128" t="s">
        <v>66</v>
      </c>
      <c r="B128" t="s">
        <v>69</v>
      </c>
      <c r="C128">
        <v>19</v>
      </c>
      <c r="D128" t="s">
        <v>97</v>
      </c>
      <c r="E128" t="s">
        <v>98</v>
      </c>
      <c r="F128" t="s">
        <v>76</v>
      </c>
      <c r="G128">
        <v>176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ProjectCliente.NumberInNumber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181.25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15.97393710600698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28" s="5" cm="1">
        <f t="array" ref="O128">MIN(IF((OutputTable[GroupByKey]=OutputTable[[#This Row],[GroupByKey]]),(OutputTable[GroupByKey]=OutputTable[[#This Row],[GroupByKey]])*OutputTable[RecordedValue]))</f>
        <v>146</v>
      </c>
      <c r="P128" s="5" cm="1">
        <f t="array" ref="P128">MAX(IF((OutputTable[GroupByKey]=OutputTable[[#This Row],[GroupByKey]]),(OutputTable[GroupByKey]=OutputTable[[#This Row],[GroupByKey]])*OutputTable[RecordedValue]))</f>
        <v>210</v>
      </c>
    </row>
    <row r="129" spans="1:16" x14ac:dyDescent="0.35">
      <c r="A129" t="s">
        <v>66</v>
      </c>
      <c r="B129" t="s">
        <v>69</v>
      </c>
      <c r="C129">
        <v>19</v>
      </c>
      <c r="D129" t="s">
        <v>99</v>
      </c>
      <c r="E129" t="s">
        <v>100</v>
      </c>
      <c r="F129" t="s">
        <v>76</v>
      </c>
      <c r="G129">
        <v>146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ProjectCliente.NumberOutNumber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153.05000000000001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8.8490184882351901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29" s="5" cm="1">
        <f t="array" ref="O129">MIN(IF((OutputTable[GroupByKey]=OutputTable[[#This Row],[GroupByKey]]),(OutputTable[GroupByKey]=OutputTable[[#This Row],[GroupByKey]])*OutputTable[RecordedValue]))</f>
        <v>132</v>
      </c>
      <c r="P129" s="5" cm="1">
        <f t="array" ref="P129">MAX(IF((OutputTable[GroupByKey]=OutputTable[[#This Row],[GroupByKey]]),(OutputTable[GroupByKey]=OutputTable[[#This Row],[GroupByKey]])*OutputTable[RecordedValue]))</f>
        <v>166</v>
      </c>
    </row>
    <row r="130" spans="1:16" x14ac:dyDescent="0.35">
      <c r="A130" t="s">
        <v>66</v>
      </c>
      <c r="B130" t="s">
        <v>69</v>
      </c>
      <c r="C130">
        <v>19</v>
      </c>
      <c r="D130" t="s">
        <v>101</v>
      </c>
      <c r="E130" t="s">
        <v>102</v>
      </c>
      <c r="F130" t="s">
        <v>88</v>
      </c>
      <c r="G130">
        <v>64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66.349999999999994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4.3237566761870161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30" s="5" cm="1">
        <f t="array" ref="O130">MIN(IF((OutputTable[GroupByKey]=OutputTable[[#This Row],[GroupByKey]]),(OutputTable[GroupByKey]=OutputTable[[#This Row],[GroupByKey]])*OutputTable[RecordedValue]))</f>
        <v>56</v>
      </c>
      <c r="P130" s="5" cm="1">
        <f t="array" ref="P130">MAX(IF((OutputTable[GroupByKey]=OutputTable[[#This Row],[GroupByKey]]),(OutputTable[GroupByKey]=OutputTable[[#This Row],[GroupByKey]])*OutputTable[RecordedValue]))</f>
        <v>72</v>
      </c>
    </row>
    <row r="131" spans="1:16" x14ac:dyDescent="0.35">
      <c r="A131" t="s">
        <v>66</v>
      </c>
      <c r="B131" t="s">
        <v>69</v>
      </c>
      <c r="C131">
        <v>19</v>
      </c>
      <c r="D131" t="s">
        <v>103</v>
      </c>
      <c r="E131" t="s">
        <v>104</v>
      </c>
      <c r="F131" t="s">
        <v>88</v>
      </c>
      <c r="G131">
        <v>0.67320188724686003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0.78200153326291699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0.13637038930703246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31" s="5" cm="1">
        <f t="array" ref="O131">MIN(IF((OutputTable[GroupByKey]=OutputTable[[#This Row],[GroupByKey]]),(OutputTable[GroupByKey]=OutputTable[[#This Row],[GroupByKey]])*OutputTable[RecordedValue]))</f>
        <v>0.51812957617942801</v>
      </c>
      <c r="P131" s="5" cm="1">
        <f t="array" ref="P131">MAX(IF((OutputTable[GroupByKey]=OutputTable[[#This Row],[GroupByKey]]),(OutputTable[GroupByKey]=OutputTable[[#This Row],[GroupByKey]])*OutputTable[RecordedValue]))</f>
        <v>0.95110098058067905</v>
      </c>
    </row>
    <row r="132" spans="1:16" x14ac:dyDescent="0.35">
      <c r="A132" t="s">
        <v>66</v>
      </c>
      <c r="B132" t="s">
        <v>69</v>
      </c>
      <c r="C132">
        <v>19</v>
      </c>
      <c r="D132" t="s">
        <v>105</v>
      </c>
      <c r="E132" t="s">
        <v>102</v>
      </c>
      <c r="F132" t="s">
        <v>88</v>
      </c>
      <c r="G132">
        <v>118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122.625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7.0116661028932015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32" s="5" cm="1">
        <f t="array" ref="O132">MIN(IF((OutputTable[GroupByKey]=OutputTable[[#This Row],[GroupByKey]]),(OutputTable[GroupByKey]=OutputTable[[#This Row],[GroupByKey]])*OutputTable[RecordedValue]))</f>
        <v>105</v>
      </c>
      <c r="P132" s="5" cm="1">
        <f t="array" ref="P132">MAX(IF((OutputTable[GroupByKey]=OutputTable[[#This Row],[GroupByKey]]),(OutputTable[GroupByKey]=OutputTable[[#This Row],[GroupByKey]])*OutputTable[RecordedValue]))</f>
        <v>132</v>
      </c>
    </row>
    <row r="133" spans="1:16" x14ac:dyDescent="0.35">
      <c r="A133" t="s">
        <v>66</v>
      </c>
      <c r="B133" t="s">
        <v>69</v>
      </c>
      <c r="C133">
        <v>19</v>
      </c>
      <c r="D133" t="s">
        <v>106</v>
      </c>
      <c r="E133" t="s">
        <v>104</v>
      </c>
      <c r="F133" t="s">
        <v>88</v>
      </c>
      <c r="G133">
        <v>0.90115313610103298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0.92906032745742695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5.2243343646514992E-2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33" s="5" cm="1">
        <f t="array" ref="O133">MIN(IF((OutputTable[GroupByKey]=OutputTable[[#This Row],[GroupByKey]]),(OutputTable[GroupByKey]=OutputTable[[#This Row],[GroupByKey]])*OutputTable[RecordedValue]))</f>
        <v>0.78808827046509</v>
      </c>
      <c r="P133" s="5" cm="1">
        <f t="array" ref="P133">MAX(IF((OutputTable[GroupByKey]=OutputTable[[#This Row],[GroupByKey]]),(OutputTable[GroupByKey]=OutputTable[[#This Row],[GroupByKey]])*OutputTable[RecordedValue]))</f>
        <v>0.99381255473469199</v>
      </c>
    </row>
    <row r="134" spans="1:16" x14ac:dyDescent="0.35">
      <c r="A134" t="s">
        <v>66</v>
      </c>
      <c r="B134" t="s">
        <v>69</v>
      </c>
      <c r="C134">
        <v>19</v>
      </c>
      <c r="D134" t="s">
        <v>107</v>
      </c>
      <c r="E134" t="s">
        <v>100</v>
      </c>
      <c r="F134" t="s">
        <v>108</v>
      </c>
      <c r="G134">
        <v>92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95.95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5.6566276081633564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34" s="5" cm="1">
        <f t="array" ref="O134">MIN(IF((OutputTable[GroupByKey]=OutputTable[[#This Row],[GroupByKey]]),(OutputTable[GroupByKey]=OutputTable[[#This Row],[GroupByKey]])*OutputTable[RecordedValue]))</f>
        <v>83</v>
      </c>
      <c r="P134" s="5" cm="1">
        <f t="array" ref="P134">MAX(IF((OutputTable[GroupByKey]=OutputTable[[#This Row],[GroupByKey]]),(OutputTable[GroupByKey]=OutputTable[[#This Row],[GroupByKey]])*OutputTable[RecordedValue]))</f>
        <v>104</v>
      </c>
    </row>
    <row r="135" spans="1:16" x14ac:dyDescent="0.35">
      <c r="A135" t="s">
        <v>66</v>
      </c>
      <c r="B135" t="s">
        <v>69</v>
      </c>
      <c r="C135">
        <v>20</v>
      </c>
      <c r="D135" t="s">
        <v>97</v>
      </c>
      <c r="E135" t="s">
        <v>98</v>
      </c>
      <c r="F135" t="s">
        <v>76</v>
      </c>
      <c r="G135">
        <v>187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ProjectCliente.NumberInNumber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181.25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15.97393710600698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35" s="5" cm="1">
        <f t="array" ref="O135">MIN(IF((OutputTable[GroupByKey]=OutputTable[[#This Row],[GroupByKey]]),(OutputTable[GroupByKey]=OutputTable[[#This Row],[GroupByKey]])*OutputTable[RecordedValue]))</f>
        <v>146</v>
      </c>
      <c r="P135" s="5" cm="1">
        <f t="array" ref="P135">MAX(IF((OutputTable[GroupByKey]=OutputTable[[#This Row],[GroupByKey]]),(OutputTable[GroupByKey]=OutputTable[[#This Row],[GroupByKey]])*OutputTable[RecordedValue]))</f>
        <v>210</v>
      </c>
    </row>
    <row r="136" spans="1:16" x14ac:dyDescent="0.35">
      <c r="A136" t="s">
        <v>66</v>
      </c>
      <c r="B136" t="s">
        <v>69</v>
      </c>
      <c r="C136">
        <v>20</v>
      </c>
      <c r="D136" t="s">
        <v>99</v>
      </c>
      <c r="E136" t="s">
        <v>100</v>
      </c>
      <c r="F136" t="s">
        <v>76</v>
      </c>
      <c r="G136">
        <v>165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ProjectCliente.NumberOutNumber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153.05000000000001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8.8490184882351901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36" s="5" cm="1">
        <f t="array" ref="O136">MIN(IF((OutputTable[GroupByKey]=OutputTable[[#This Row],[GroupByKey]]),(OutputTable[GroupByKey]=OutputTable[[#This Row],[GroupByKey]])*OutputTable[RecordedValue]))</f>
        <v>132</v>
      </c>
      <c r="P136" s="5" cm="1">
        <f t="array" ref="P136">MAX(IF((OutputTable[GroupByKey]=OutputTable[[#This Row],[GroupByKey]]),(OutputTable[GroupByKey]=OutputTable[[#This Row],[GroupByKey]])*OutputTable[RecordedValue]))</f>
        <v>166</v>
      </c>
    </row>
    <row r="137" spans="1:16" x14ac:dyDescent="0.35">
      <c r="A137" t="s">
        <v>66</v>
      </c>
      <c r="B137" t="s">
        <v>69</v>
      </c>
      <c r="C137">
        <v>20</v>
      </c>
      <c r="D137" t="s">
        <v>101</v>
      </c>
      <c r="E137" t="s">
        <v>102</v>
      </c>
      <c r="F137" t="s">
        <v>88</v>
      </c>
      <c r="G137">
        <v>71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66.349999999999994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4.3237566761870161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37" s="5" cm="1">
        <f t="array" ref="O137">MIN(IF((OutputTable[GroupByKey]=OutputTable[[#This Row],[GroupByKey]]),(OutputTable[GroupByKey]=OutputTable[[#This Row],[GroupByKey]])*OutputTable[RecordedValue]))</f>
        <v>56</v>
      </c>
      <c r="P137" s="5" cm="1">
        <f t="array" ref="P137">MAX(IF((OutputTable[GroupByKey]=OutputTable[[#This Row],[GroupByKey]]),(OutputTable[GroupByKey]=OutputTable[[#This Row],[GroupByKey]])*OutputTable[RecordedValue]))</f>
        <v>72</v>
      </c>
    </row>
    <row r="138" spans="1:16" x14ac:dyDescent="0.35">
      <c r="A138" t="s">
        <v>66</v>
      </c>
      <c r="B138" t="s">
        <v>69</v>
      </c>
      <c r="C138">
        <v>20</v>
      </c>
      <c r="D138" t="s">
        <v>103</v>
      </c>
      <c r="E138" t="s">
        <v>104</v>
      </c>
      <c r="F138" t="s">
        <v>88</v>
      </c>
      <c r="G138">
        <v>0.94258947757024703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0.78200153326291699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0.13637038930703246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38" s="5" cm="1">
        <f t="array" ref="O138">MIN(IF((OutputTable[GroupByKey]=OutputTable[[#This Row],[GroupByKey]]),(OutputTable[GroupByKey]=OutputTable[[#This Row],[GroupByKey]])*OutputTable[RecordedValue]))</f>
        <v>0.51812957617942801</v>
      </c>
      <c r="P138" s="5" cm="1">
        <f t="array" ref="P138">MAX(IF((OutputTable[GroupByKey]=OutputTable[[#This Row],[GroupByKey]]),(OutputTable[GroupByKey]=OutputTable[[#This Row],[GroupByKey]])*OutputTable[RecordedValue]))</f>
        <v>0.95110098058067905</v>
      </c>
    </row>
    <row r="139" spans="1:16" x14ac:dyDescent="0.35">
      <c r="A139" t="s">
        <v>66</v>
      </c>
      <c r="B139" t="s">
        <v>69</v>
      </c>
      <c r="C139">
        <v>20</v>
      </c>
      <c r="D139" t="s">
        <v>105</v>
      </c>
      <c r="E139" t="s">
        <v>102</v>
      </c>
      <c r="F139" t="s">
        <v>88</v>
      </c>
      <c r="G139">
        <v>131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122.625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7.0116661028932015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39" s="5" cm="1">
        <f t="array" ref="O139">MIN(IF((OutputTable[GroupByKey]=OutputTable[[#This Row],[GroupByKey]]),(OutputTable[GroupByKey]=OutputTable[[#This Row],[GroupByKey]])*OutputTable[RecordedValue]))</f>
        <v>105</v>
      </c>
      <c r="P139" s="5" cm="1">
        <f t="array" ref="P139">MAX(IF((OutputTable[GroupByKey]=OutputTable[[#This Row],[GroupByKey]]),(OutputTable[GroupByKey]=OutputTable[[#This Row],[GroupByKey]])*OutputTable[RecordedValue]))</f>
        <v>132</v>
      </c>
    </row>
    <row r="140" spans="1:16" x14ac:dyDescent="0.35">
      <c r="A140" t="s">
        <v>66</v>
      </c>
      <c r="B140" t="s">
        <v>69</v>
      </c>
      <c r="C140">
        <v>20</v>
      </c>
      <c r="D140" t="s">
        <v>106</v>
      </c>
      <c r="E140" t="s">
        <v>104</v>
      </c>
      <c r="F140" t="s">
        <v>88</v>
      </c>
      <c r="G140">
        <v>0.98365627064592598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0.92906032745742695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5.2243343646514992E-2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40" s="5" cm="1">
        <f t="array" ref="O140">MIN(IF((OutputTable[GroupByKey]=OutputTable[[#This Row],[GroupByKey]]),(OutputTable[GroupByKey]=OutputTable[[#This Row],[GroupByKey]])*OutputTable[RecordedValue]))</f>
        <v>0.78808827046509</v>
      </c>
      <c r="P140" s="5" cm="1">
        <f t="array" ref="P140">MAX(IF((OutputTable[GroupByKey]=OutputTable[[#This Row],[GroupByKey]]),(OutputTable[GroupByKey]=OutputTable[[#This Row],[GroupByKey]])*OutputTable[RecordedValue]))</f>
        <v>0.99381255473469199</v>
      </c>
    </row>
    <row r="141" spans="1:16" x14ac:dyDescent="0.35">
      <c r="A141" t="s">
        <v>66</v>
      </c>
      <c r="B141" t="s">
        <v>69</v>
      </c>
      <c r="C141">
        <v>20</v>
      </c>
      <c r="D141" t="s">
        <v>107</v>
      </c>
      <c r="E141" t="s">
        <v>100</v>
      </c>
      <c r="F141" t="s">
        <v>108</v>
      </c>
      <c r="G141">
        <v>104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95.95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5.6566276081633564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41" s="5" cm="1">
        <f t="array" ref="O141">MIN(IF((OutputTable[GroupByKey]=OutputTable[[#This Row],[GroupByKey]]),(OutputTable[GroupByKey]=OutputTable[[#This Row],[GroupByKey]])*OutputTable[RecordedValue]))</f>
        <v>83</v>
      </c>
      <c r="P141" s="5" cm="1">
        <f t="array" ref="P141">MAX(IF((OutputTable[GroupByKey]=OutputTable[[#This Row],[GroupByKey]]),(OutputTable[GroupByKey]=OutputTable[[#This Row],[GroupByKey]])*OutputTable[RecordedValue]))</f>
        <v>104</v>
      </c>
    </row>
    <row r="142" spans="1:16" x14ac:dyDescent="0.35">
      <c r="A142" t="s">
        <v>66</v>
      </c>
      <c r="B142" t="s">
        <v>69</v>
      </c>
      <c r="C142">
        <v>21</v>
      </c>
      <c r="D142" t="s">
        <v>97</v>
      </c>
      <c r="E142" t="s">
        <v>98</v>
      </c>
      <c r="F142" t="s">
        <v>76</v>
      </c>
      <c r="G142">
        <v>174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ProjectCliente.NumberInNumber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181.25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15.97393710600698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42" s="5" cm="1">
        <f t="array" ref="O142">MIN(IF((OutputTable[GroupByKey]=OutputTable[[#This Row],[GroupByKey]]),(OutputTable[GroupByKey]=OutputTable[[#This Row],[GroupByKey]])*OutputTable[RecordedValue]))</f>
        <v>146</v>
      </c>
      <c r="P142" s="5" cm="1">
        <f t="array" ref="P142">MAX(IF((OutputTable[GroupByKey]=OutputTable[[#This Row],[GroupByKey]]),(OutputTable[GroupByKey]=OutputTable[[#This Row],[GroupByKey]])*OutputTable[RecordedValue]))</f>
        <v>210</v>
      </c>
    </row>
    <row r="143" spans="1:16" x14ac:dyDescent="0.35">
      <c r="A143" t="s">
        <v>66</v>
      </c>
      <c r="B143" t="s">
        <v>69</v>
      </c>
      <c r="C143">
        <v>21</v>
      </c>
      <c r="D143" t="s">
        <v>99</v>
      </c>
      <c r="E143" t="s">
        <v>100</v>
      </c>
      <c r="F143" t="s">
        <v>76</v>
      </c>
      <c r="G143">
        <v>148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ProjectCliente.NumberOutNumber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153.05000000000001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8.8490184882351901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43" s="5" cm="1">
        <f t="array" ref="O143">MIN(IF((OutputTable[GroupByKey]=OutputTable[[#This Row],[GroupByKey]]),(OutputTable[GroupByKey]=OutputTable[[#This Row],[GroupByKey]])*OutputTable[RecordedValue]))</f>
        <v>132</v>
      </c>
      <c r="P143" s="5" cm="1">
        <f t="array" ref="P143">MAX(IF((OutputTable[GroupByKey]=OutputTable[[#This Row],[GroupByKey]]),(OutputTable[GroupByKey]=OutputTable[[#This Row],[GroupByKey]])*OutputTable[RecordedValue]))</f>
        <v>166</v>
      </c>
    </row>
    <row r="144" spans="1:16" x14ac:dyDescent="0.35">
      <c r="A144" t="s">
        <v>66</v>
      </c>
      <c r="B144" t="s">
        <v>69</v>
      </c>
      <c r="C144">
        <v>21</v>
      </c>
      <c r="D144" t="s">
        <v>101</v>
      </c>
      <c r="E144" t="s">
        <v>102</v>
      </c>
      <c r="F144" t="s">
        <v>88</v>
      </c>
      <c r="G144">
        <v>65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66.349999999999994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4.3237566761870161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44" s="5" cm="1">
        <f t="array" ref="O144">MIN(IF((OutputTable[GroupByKey]=OutputTable[[#This Row],[GroupByKey]]),(OutputTable[GroupByKey]=OutputTable[[#This Row],[GroupByKey]])*OutputTable[RecordedValue]))</f>
        <v>56</v>
      </c>
      <c r="P144" s="5" cm="1">
        <f t="array" ref="P144">MAX(IF((OutputTable[GroupByKey]=OutputTable[[#This Row],[GroupByKey]]),(OutputTable[GroupByKey]=OutputTable[[#This Row],[GroupByKey]])*OutputTable[RecordedValue]))</f>
        <v>72</v>
      </c>
    </row>
    <row r="145" spans="1:16" x14ac:dyDescent="0.35">
      <c r="A145" t="s">
        <v>66</v>
      </c>
      <c r="B145" t="s">
        <v>69</v>
      </c>
      <c r="C145">
        <v>21</v>
      </c>
      <c r="D145" t="s">
        <v>103</v>
      </c>
      <c r="E145" t="s">
        <v>104</v>
      </c>
      <c r="F145" t="s">
        <v>88</v>
      </c>
      <c r="G145">
        <v>0.73384064341835598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0.78200153326291699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0.13637038930703246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45" s="5" cm="1">
        <f t="array" ref="O145">MIN(IF((OutputTable[GroupByKey]=OutputTable[[#This Row],[GroupByKey]]),(OutputTable[GroupByKey]=OutputTable[[#This Row],[GroupByKey]])*OutputTable[RecordedValue]))</f>
        <v>0.51812957617942801</v>
      </c>
      <c r="P145" s="5" cm="1">
        <f t="array" ref="P145">MAX(IF((OutputTable[GroupByKey]=OutputTable[[#This Row],[GroupByKey]]),(OutputTable[GroupByKey]=OutputTable[[#This Row],[GroupByKey]])*OutputTable[RecordedValue]))</f>
        <v>0.95110098058067905</v>
      </c>
    </row>
    <row r="146" spans="1:16" x14ac:dyDescent="0.35">
      <c r="A146" t="s">
        <v>66</v>
      </c>
      <c r="B146" t="s">
        <v>69</v>
      </c>
      <c r="C146">
        <v>21</v>
      </c>
      <c r="D146" t="s">
        <v>105</v>
      </c>
      <c r="E146" t="s">
        <v>102</v>
      </c>
      <c r="F146" t="s">
        <v>88</v>
      </c>
      <c r="G146">
        <v>120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122.625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7.0116661028932015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46" s="5" cm="1">
        <f t="array" ref="O146">MIN(IF((OutputTable[GroupByKey]=OutputTable[[#This Row],[GroupByKey]]),(OutputTable[GroupByKey]=OutputTable[[#This Row],[GroupByKey]])*OutputTable[RecordedValue]))</f>
        <v>105</v>
      </c>
      <c r="P146" s="5" cm="1">
        <f t="array" ref="P146">MAX(IF((OutputTable[GroupByKey]=OutputTable[[#This Row],[GroupByKey]]),(OutputTable[GroupByKey]=OutputTable[[#This Row],[GroupByKey]])*OutputTable[RecordedValue]))</f>
        <v>132</v>
      </c>
    </row>
    <row r="147" spans="1:16" x14ac:dyDescent="0.35">
      <c r="A147" t="s">
        <v>66</v>
      </c>
      <c r="B147" t="s">
        <v>69</v>
      </c>
      <c r="C147">
        <v>21</v>
      </c>
      <c r="D147" t="s">
        <v>106</v>
      </c>
      <c r="E147" t="s">
        <v>104</v>
      </c>
      <c r="F147" t="s">
        <v>88</v>
      </c>
      <c r="G147">
        <v>0.899497778484178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0.92906032745742695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5.2243343646514992E-2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47" s="5" cm="1">
        <f t="array" ref="O147">MIN(IF((OutputTable[GroupByKey]=OutputTable[[#This Row],[GroupByKey]]),(OutputTable[GroupByKey]=OutputTable[[#This Row],[GroupByKey]])*OutputTable[RecordedValue]))</f>
        <v>0.78808827046509</v>
      </c>
      <c r="P147" s="5" cm="1">
        <f t="array" ref="P147">MAX(IF((OutputTable[GroupByKey]=OutputTable[[#This Row],[GroupByKey]]),(OutputTable[GroupByKey]=OutputTable[[#This Row],[GroupByKey]])*OutputTable[RecordedValue]))</f>
        <v>0.99381255473469199</v>
      </c>
    </row>
    <row r="148" spans="1:16" x14ac:dyDescent="0.35">
      <c r="A148" t="s">
        <v>66</v>
      </c>
      <c r="B148" t="s">
        <v>69</v>
      </c>
      <c r="C148">
        <v>21</v>
      </c>
      <c r="D148" t="s">
        <v>107</v>
      </c>
      <c r="E148" t="s">
        <v>100</v>
      </c>
      <c r="F148" t="s">
        <v>108</v>
      </c>
      <c r="G148">
        <v>93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ProjectSystem.NumberOutNumber OutSystem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95.95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5.6566276081633564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48" s="5" cm="1">
        <f t="array" ref="O148">MIN(IF((OutputTable[GroupByKey]=OutputTable[[#This Row],[GroupByKey]]),(OutputTable[GroupByKey]=OutputTable[[#This Row],[GroupByKey]])*OutputTable[RecordedValue]))</f>
        <v>83</v>
      </c>
      <c r="P148" s="5" cm="1">
        <f t="array" ref="P148">MAX(IF((OutputTable[GroupByKey]=OutputTable[[#This Row],[GroupByKey]]),(OutputTable[GroupByKey]=OutputTable[[#This Row],[GroupByKey]])*OutputTable[RecordedValue]))</f>
        <v>104</v>
      </c>
    </row>
    <row r="149" spans="1:16" x14ac:dyDescent="0.35">
      <c r="A149" t="s">
        <v>66</v>
      </c>
      <c r="B149" t="s">
        <v>69</v>
      </c>
      <c r="C149">
        <v>22</v>
      </c>
      <c r="D149" t="s">
        <v>97</v>
      </c>
      <c r="E149" t="s">
        <v>98</v>
      </c>
      <c r="F149" t="s">
        <v>76</v>
      </c>
      <c r="G149">
        <v>208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ProjectCliente.NumberInNumber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181.25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15.97393710600698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49" s="5" cm="1">
        <f t="array" ref="O149">MIN(IF((OutputTable[GroupByKey]=OutputTable[[#This Row],[GroupByKey]]),(OutputTable[GroupByKey]=OutputTable[[#This Row],[GroupByKey]])*OutputTable[RecordedValue]))</f>
        <v>146</v>
      </c>
      <c r="P149" s="5" cm="1">
        <f t="array" ref="P149">MAX(IF((OutputTable[GroupByKey]=OutputTable[[#This Row],[GroupByKey]]),(OutputTable[GroupByKey]=OutputTable[[#This Row],[GroupByKey]])*OutputTable[RecordedValue]))</f>
        <v>210</v>
      </c>
    </row>
    <row r="150" spans="1:16" x14ac:dyDescent="0.35">
      <c r="A150" t="s">
        <v>66</v>
      </c>
      <c r="B150" t="s">
        <v>69</v>
      </c>
      <c r="C150">
        <v>22</v>
      </c>
      <c r="D150" t="s">
        <v>99</v>
      </c>
      <c r="E150" t="s">
        <v>100</v>
      </c>
      <c r="F150" t="s">
        <v>76</v>
      </c>
      <c r="G150">
        <v>150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ProjectCliente.NumberOutNumber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153.05000000000001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8.8490184882351901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50" s="5" cm="1">
        <f t="array" ref="O150">MIN(IF((OutputTable[GroupByKey]=OutputTable[[#This Row],[GroupByKey]]),(OutputTable[GroupByKey]=OutputTable[[#This Row],[GroupByKey]])*OutputTable[RecordedValue]))</f>
        <v>132</v>
      </c>
      <c r="P150" s="5" cm="1">
        <f t="array" ref="P150">MAX(IF((OutputTable[GroupByKey]=OutputTable[[#This Row],[GroupByKey]]),(OutputTable[GroupByKey]=OutputTable[[#This Row],[GroupByKey]])*OutputTable[RecordedValue]))</f>
        <v>166</v>
      </c>
    </row>
    <row r="151" spans="1:16" x14ac:dyDescent="0.35">
      <c r="A151" t="s">
        <v>66</v>
      </c>
      <c r="B151" t="s">
        <v>69</v>
      </c>
      <c r="C151">
        <v>22</v>
      </c>
      <c r="D151" t="s">
        <v>101</v>
      </c>
      <c r="E151" t="s">
        <v>102</v>
      </c>
      <c r="F151" t="s">
        <v>88</v>
      </c>
      <c r="G151">
        <v>68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66.349999999999994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4.3237566761870161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51" s="5" cm="1">
        <f t="array" ref="O151">MIN(IF((OutputTable[GroupByKey]=OutputTable[[#This Row],[GroupByKey]]),(OutputTable[GroupByKey]=OutputTable[[#This Row],[GroupByKey]])*OutputTable[RecordedValue]))</f>
        <v>56</v>
      </c>
      <c r="P151" s="5" cm="1">
        <f t="array" ref="P151">MAX(IF((OutputTable[GroupByKey]=OutputTable[[#This Row],[GroupByKey]]),(OutputTable[GroupByKey]=OutputTable[[#This Row],[GroupByKey]])*OutputTable[RecordedValue]))</f>
        <v>72</v>
      </c>
    </row>
    <row r="152" spans="1:16" x14ac:dyDescent="0.35">
      <c r="A152" t="s">
        <v>66</v>
      </c>
      <c r="B152" t="s">
        <v>69</v>
      </c>
      <c r="C152">
        <v>22</v>
      </c>
      <c r="D152" t="s">
        <v>103</v>
      </c>
      <c r="E152" t="s">
        <v>104</v>
      </c>
      <c r="F152" t="s">
        <v>88</v>
      </c>
      <c r="G152">
        <v>0.93369354150861095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0.78200153326291699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0.13637038930703246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52" s="5" cm="1">
        <f t="array" ref="O152">MIN(IF((OutputTable[GroupByKey]=OutputTable[[#This Row],[GroupByKey]]),(OutputTable[GroupByKey]=OutputTable[[#This Row],[GroupByKey]])*OutputTable[RecordedValue]))</f>
        <v>0.51812957617942801</v>
      </c>
      <c r="P152" s="5" cm="1">
        <f t="array" ref="P152">MAX(IF((OutputTable[GroupByKey]=OutputTable[[#This Row],[GroupByKey]]),(OutputTable[GroupByKey]=OutputTable[[#This Row],[GroupByKey]])*OutputTable[RecordedValue]))</f>
        <v>0.95110098058067905</v>
      </c>
    </row>
    <row r="153" spans="1:16" x14ac:dyDescent="0.35">
      <c r="A153" t="s">
        <v>66</v>
      </c>
      <c r="B153" t="s">
        <v>69</v>
      </c>
      <c r="C153">
        <v>22</v>
      </c>
      <c r="D153" t="s">
        <v>105</v>
      </c>
      <c r="E153" t="s">
        <v>102</v>
      </c>
      <c r="F153" t="s">
        <v>88</v>
      </c>
      <c r="G153">
        <v>123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122.625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7.0116661028932015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53" s="5" cm="1">
        <f t="array" ref="O153">MIN(IF((OutputTable[GroupByKey]=OutputTable[[#This Row],[GroupByKey]]),(OutputTable[GroupByKey]=OutputTable[[#This Row],[GroupByKey]])*OutputTable[RecordedValue]))</f>
        <v>105</v>
      </c>
      <c r="P153" s="5" cm="1">
        <f t="array" ref="P153">MAX(IF((OutputTable[GroupByKey]=OutputTable[[#This Row],[GroupByKey]]),(OutputTable[GroupByKey]=OutputTable[[#This Row],[GroupByKey]])*OutputTable[RecordedValue]))</f>
        <v>132</v>
      </c>
    </row>
    <row r="154" spans="1:16" x14ac:dyDescent="0.35">
      <c r="A154" t="s">
        <v>66</v>
      </c>
      <c r="B154" t="s">
        <v>69</v>
      </c>
      <c r="C154">
        <v>22</v>
      </c>
      <c r="D154" t="s">
        <v>106</v>
      </c>
      <c r="E154" t="s">
        <v>104</v>
      </c>
      <c r="F154" t="s">
        <v>88</v>
      </c>
      <c r="G154">
        <v>0.96455292571416196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0.92906032745742695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5.2243343646514992E-2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54" s="5" cm="1">
        <f t="array" ref="O154">MIN(IF((OutputTable[GroupByKey]=OutputTable[[#This Row],[GroupByKey]]),(OutputTable[GroupByKey]=OutputTable[[#This Row],[GroupByKey]])*OutputTable[RecordedValue]))</f>
        <v>0.78808827046509</v>
      </c>
      <c r="P154" s="5" cm="1">
        <f t="array" ref="P154">MAX(IF((OutputTable[GroupByKey]=OutputTable[[#This Row],[GroupByKey]]),(OutputTable[GroupByKey]=OutputTable[[#This Row],[GroupByKey]])*OutputTable[RecordedValue]))</f>
        <v>0.99381255473469199</v>
      </c>
    </row>
    <row r="155" spans="1:16" x14ac:dyDescent="0.35">
      <c r="A155" t="s">
        <v>66</v>
      </c>
      <c r="B155" t="s">
        <v>69</v>
      </c>
      <c r="C155">
        <v>22</v>
      </c>
      <c r="D155" t="s">
        <v>107</v>
      </c>
      <c r="E155" t="s">
        <v>100</v>
      </c>
      <c r="F155" t="s">
        <v>108</v>
      </c>
      <c r="G155">
        <v>92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ProjectSystem.NumberOutNumber OutSystem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95.95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5.6566276081633564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55" s="5" cm="1">
        <f t="array" ref="O155">MIN(IF((OutputTable[GroupByKey]=OutputTable[[#This Row],[GroupByKey]]),(OutputTable[GroupByKey]=OutputTable[[#This Row],[GroupByKey]])*OutputTable[RecordedValue]))</f>
        <v>83</v>
      </c>
      <c r="P155" s="5" cm="1">
        <f t="array" ref="P155">MAX(IF((OutputTable[GroupByKey]=OutputTable[[#This Row],[GroupByKey]]),(OutputTable[GroupByKey]=OutputTable[[#This Row],[GroupByKey]])*OutputTable[RecordedValue]))</f>
        <v>104</v>
      </c>
    </row>
    <row r="156" spans="1:16" x14ac:dyDescent="0.35">
      <c r="A156" t="s">
        <v>66</v>
      </c>
      <c r="B156" t="s">
        <v>69</v>
      </c>
      <c r="C156">
        <v>23</v>
      </c>
      <c r="D156" t="s">
        <v>97</v>
      </c>
      <c r="E156" t="s">
        <v>98</v>
      </c>
      <c r="F156" t="s">
        <v>76</v>
      </c>
      <c r="G156">
        <v>201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ProjectCliente.NumberInNumber InEntity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181.25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15.97393710600698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56" s="5" cm="1">
        <f t="array" ref="O156">MIN(IF((OutputTable[GroupByKey]=OutputTable[[#This Row],[GroupByKey]]),(OutputTable[GroupByKey]=OutputTable[[#This Row],[GroupByKey]])*OutputTable[RecordedValue]))</f>
        <v>146</v>
      </c>
      <c r="P156" s="5" cm="1">
        <f t="array" ref="P156">MAX(IF((OutputTable[GroupByKey]=OutputTable[[#This Row],[GroupByKey]]),(OutputTable[GroupByKey]=OutputTable[[#This Row],[GroupByKey]])*OutputTable[RecordedValue]))</f>
        <v>210</v>
      </c>
    </row>
    <row r="157" spans="1:16" x14ac:dyDescent="0.35">
      <c r="A157" t="s">
        <v>66</v>
      </c>
      <c r="B157" t="s">
        <v>69</v>
      </c>
      <c r="C157">
        <v>23</v>
      </c>
      <c r="D157" t="s">
        <v>99</v>
      </c>
      <c r="E157" t="s">
        <v>100</v>
      </c>
      <c r="F157" t="s">
        <v>76</v>
      </c>
      <c r="G157">
        <v>163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ProjectCliente.NumberOutNumber OutEntity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153.05000000000001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8.8490184882351901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57" s="5" cm="1">
        <f t="array" ref="O157">MIN(IF((OutputTable[GroupByKey]=OutputTable[[#This Row],[GroupByKey]]),(OutputTable[GroupByKey]=OutputTable[[#This Row],[GroupByKey]])*OutputTable[RecordedValue]))</f>
        <v>132</v>
      </c>
      <c r="P157" s="5" cm="1">
        <f t="array" ref="P157">MAX(IF((OutputTable[GroupByKey]=OutputTable[[#This Row],[GroupByKey]]),(OutputTable[GroupByKey]=OutputTable[[#This Row],[GroupByKey]])*OutputTable[RecordedValue]))</f>
        <v>166</v>
      </c>
    </row>
    <row r="158" spans="1:16" x14ac:dyDescent="0.35">
      <c r="A158" t="s">
        <v>66</v>
      </c>
      <c r="B158" t="s">
        <v>69</v>
      </c>
      <c r="C158">
        <v>23</v>
      </c>
      <c r="D158" t="s">
        <v>101</v>
      </c>
      <c r="E158" t="s">
        <v>102</v>
      </c>
      <c r="F158" t="s">
        <v>88</v>
      </c>
      <c r="G158">
        <v>70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66.349999999999994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4.3237566761870161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58" s="5" cm="1">
        <f t="array" ref="O158">MIN(IF((OutputTable[GroupByKey]=OutputTable[[#This Row],[GroupByKey]]),(OutputTable[GroupByKey]=OutputTable[[#This Row],[GroupByKey]])*OutputTable[RecordedValue]))</f>
        <v>56</v>
      </c>
      <c r="P158" s="5" cm="1">
        <f t="array" ref="P158">MAX(IF((OutputTable[GroupByKey]=OutputTable[[#This Row],[GroupByKey]]),(OutputTable[GroupByKey]=OutputTable[[#This Row],[GroupByKey]])*OutputTable[RecordedValue]))</f>
        <v>72</v>
      </c>
    </row>
    <row r="159" spans="1:16" x14ac:dyDescent="0.35">
      <c r="A159" t="s">
        <v>66</v>
      </c>
      <c r="B159" t="s">
        <v>69</v>
      </c>
      <c r="C159">
        <v>23</v>
      </c>
      <c r="D159" t="s">
        <v>103</v>
      </c>
      <c r="E159" t="s">
        <v>104</v>
      </c>
      <c r="F159" t="s">
        <v>88</v>
      </c>
      <c r="G159">
        <v>0.87759472141823203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0.78200153326291699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0.13637038930703246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59" s="5" cm="1">
        <f t="array" ref="O159">MIN(IF((OutputTable[GroupByKey]=OutputTable[[#This Row],[GroupByKey]]),(OutputTable[GroupByKey]=OutputTable[[#This Row],[GroupByKey]])*OutputTable[RecordedValue]))</f>
        <v>0.51812957617942801</v>
      </c>
      <c r="P159" s="5" cm="1">
        <f t="array" ref="P159">MAX(IF((OutputTable[GroupByKey]=OutputTable[[#This Row],[GroupByKey]]),(OutputTable[GroupByKey]=OutputTable[[#This Row],[GroupByKey]])*OutputTable[RecordedValue]))</f>
        <v>0.95110098058067905</v>
      </c>
    </row>
    <row r="160" spans="1:16" x14ac:dyDescent="0.35">
      <c r="A160" t="s">
        <v>66</v>
      </c>
      <c r="B160" t="s">
        <v>69</v>
      </c>
      <c r="C160">
        <v>23</v>
      </c>
      <c r="D160" t="s">
        <v>105</v>
      </c>
      <c r="E160" t="s">
        <v>102</v>
      </c>
      <c r="F160" t="s">
        <v>88</v>
      </c>
      <c r="G160">
        <v>128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122.625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7.0116661028932015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60" s="5" cm="1">
        <f t="array" ref="O160">MIN(IF((OutputTable[GroupByKey]=OutputTable[[#This Row],[GroupByKey]]),(OutputTable[GroupByKey]=OutputTable[[#This Row],[GroupByKey]])*OutputTable[RecordedValue]))</f>
        <v>105</v>
      </c>
      <c r="P160" s="5" cm="1">
        <f t="array" ref="P160">MAX(IF((OutputTable[GroupByKey]=OutputTable[[#This Row],[GroupByKey]]),(OutputTable[GroupByKey]=OutputTable[[#This Row],[GroupByKey]])*OutputTable[RecordedValue]))</f>
        <v>132</v>
      </c>
    </row>
    <row r="161" spans="1:16" x14ac:dyDescent="0.35">
      <c r="A161" t="s">
        <v>66</v>
      </c>
      <c r="B161" t="s">
        <v>69</v>
      </c>
      <c r="C161">
        <v>23</v>
      </c>
      <c r="D161" t="s">
        <v>106</v>
      </c>
      <c r="E161" t="s">
        <v>104</v>
      </c>
      <c r="F161" t="s">
        <v>88</v>
      </c>
      <c r="G161">
        <v>0.98736166658268698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0.92906032745742695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5.2243343646514992E-2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61" s="5" cm="1">
        <f t="array" ref="O161">MIN(IF((OutputTable[GroupByKey]=OutputTable[[#This Row],[GroupByKey]]),(OutputTable[GroupByKey]=OutputTable[[#This Row],[GroupByKey]])*OutputTable[RecordedValue]))</f>
        <v>0.78808827046509</v>
      </c>
      <c r="P161" s="5" cm="1">
        <f t="array" ref="P161">MAX(IF((OutputTable[GroupByKey]=OutputTable[[#This Row],[GroupByKey]]),(OutputTable[GroupByKey]=OutputTable[[#This Row],[GroupByKey]])*OutputTable[RecordedValue]))</f>
        <v>0.99381255473469199</v>
      </c>
    </row>
    <row r="162" spans="1:16" x14ac:dyDescent="0.35">
      <c r="A162" t="s">
        <v>66</v>
      </c>
      <c r="B162" t="s">
        <v>69</v>
      </c>
      <c r="C162">
        <v>23</v>
      </c>
      <c r="D162" t="s">
        <v>107</v>
      </c>
      <c r="E162" t="s">
        <v>100</v>
      </c>
      <c r="F162" t="s">
        <v>108</v>
      </c>
      <c r="G162">
        <v>103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ProjectSystem.NumberOutNumber OutSystem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95.95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5.6566276081633564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62" s="5" cm="1">
        <f t="array" ref="O162">MIN(IF((OutputTable[GroupByKey]=OutputTable[[#This Row],[GroupByKey]]),(OutputTable[GroupByKey]=OutputTable[[#This Row],[GroupByKey]])*OutputTable[RecordedValue]))</f>
        <v>83</v>
      </c>
      <c r="P162" s="5" cm="1">
        <f t="array" ref="P162">MAX(IF((OutputTable[GroupByKey]=OutputTable[[#This Row],[GroupByKey]]),(OutputTable[GroupByKey]=OutputTable[[#This Row],[GroupByKey]])*OutputTable[RecordedValue]))</f>
        <v>104</v>
      </c>
    </row>
    <row r="163" spans="1:16" x14ac:dyDescent="0.35">
      <c r="A163" t="s">
        <v>66</v>
      </c>
      <c r="B163" t="s">
        <v>69</v>
      </c>
      <c r="C163">
        <v>24</v>
      </c>
      <c r="D163" t="s">
        <v>97</v>
      </c>
      <c r="E163" t="s">
        <v>98</v>
      </c>
      <c r="F163" t="s">
        <v>76</v>
      </c>
      <c r="G163">
        <v>150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ProjectCliente.NumberInNumber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181.25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15.97393710600698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63" s="5" cm="1">
        <f t="array" ref="O163">MIN(IF((OutputTable[GroupByKey]=OutputTable[[#This Row],[GroupByKey]]),(OutputTable[GroupByKey]=OutputTable[[#This Row],[GroupByKey]])*OutputTable[RecordedValue]))</f>
        <v>146</v>
      </c>
      <c r="P163" s="5" cm="1">
        <f t="array" ref="P163">MAX(IF((OutputTable[GroupByKey]=OutputTable[[#This Row],[GroupByKey]]),(OutputTable[GroupByKey]=OutputTable[[#This Row],[GroupByKey]])*OutputTable[RecordedValue]))</f>
        <v>210</v>
      </c>
    </row>
    <row r="164" spans="1:16" x14ac:dyDescent="0.35">
      <c r="A164" t="s">
        <v>66</v>
      </c>
      <c r="B164" t="s">
        <v>69</v>
      </c>
      <c r="C164">
        <v>24</v>
      </c>
      <c r="D164" t="s">
        <v>99</v>
      </c>
      <c r="E164" t="s">
        <v>100</v>
      </c>
      <c r="F164" t="s">
        <v>76</v>
      </c>
      <c r="G164">
        <v>142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ProjectCliente.NumberOutNumber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153.05000000000001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8.8490184882351901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64" s="5" cm="1">
        <f t="array" ref="O164">MIN(IF((OutputTable[GroupByKey]=OutputTable[[#This Row],[GroupByKey]]),(OutputTable[GroupByKey]=OutputTable[[#This Row],[GroupByKey]])*OutputTable[RecordedValue]))</f>
        <v>132</v>
      </c>
      <c r="P164" s="5" cm="1">
        <f t="array" ref="P164">MAX(IF((OutputTable[GroupByKey]=OutputTable[[#This Row],[GroupByKey]]),(OutputTable[GroupByKey]=OutputTable[[#This Row],[GroupByKey]])*OutputTable[RecordedValue]))</f>
        <v>166</v>
      </c>
    </row>
    <row r="165" spans="1:16" x14ac:dyDescent="0.35">
      <c r="A165" t="s">
        <v>66</v>
      </c>
      <c r="B165" t="s">
        <v>69</v>
      </c>
      <c r="C165">
        <v>24</v>
      </c>
      <c r="D165" t="s">
        <v>101</v>
      </c>
      <c r="E165" t="s">
        <v>102</v>
      </c>
      <c r="F165" t="s">
        <v>88</v>
      </c>
      <c r="G165">
        <v>57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66.349999999999994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4.3237566761870161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65" s="5" cm="1">
        <f t="array" ref="O165">MIN(IF((OutputTable[GroupByKey]=OutputTable[[#This Row],[GroupByKey]]),(OutputTable[GroupByKey]=OutputTable[[#This Row],[GroupByKey]])*OutputTable[RecordedValue]))</f>
        <v>56</v>
      </c>
      <c r="P165" s="5" cm="1">
        <f t="array" ref="P165">MAX(IF((OutputTable[GroupByKey]=OutputTable[[#This Row],[GroupByKey]]),(OutputTable[GroupByKey]=OutputTable[[#This Row],[GroupByKey]])*OutputTable[RecordedValue]))</f>
        <v>72</v>
      </c>
    </row>
    <row r="166" spans="1:16" x14ac:dyDescent="0.35">
      <c r="A166" t="s">
        <v>66</v>
      </c>
      <c r="B166" t="s">
        <v>69</v>
      </c>
      <c r="C166">
        <v>24</v>
      </c>
      <c r="D166" t="s">
        <v>103</v>
      </c>
      <c r="E166" t="s">
        <v>104</v>
      </c>
      <c r="F166" t="s">
        <v>88</v>
      </c>
      <c r="G166">
        <v>0.51812957617942801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0.78200153326291699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0.13637038930703246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66" s="5" cm="1">
        <f t="array" ref="O166">MIN(IF((OutputTable[GroupByKey]=OutputTable[[#This Row],[GroupByKey]]),(OutputTable[GroupByKey]=OutputTable[[#This Row],[GroupByKey]])*OutputTable[RecordedValue]))</f>
        <v>0.51812957617942801</v>
      </c>
      <c r="P166" s="5" cm="1">
        <f t="array" ref="P166">MAX(IF((OutputTable[GroupByKey]=OutputTable[[#This Row],[GroupByKey]]),(OutputTable[GroupByKey]=OutputTable[[#This Row],[GroupByKey]])*OutputTable[RecordedValue]))</f>
        <v>0.95110098058067905</v>
      </c>
    </row>
    <row r="167" spans="1:16" x14ac:dyDescent="0.35">
      <c r="A167" t="s">
        <v>66</v>
      </c>
      <c r="B167" t="s">
        <v>69</v>
      </c>
      <c r="C167">
        <v>24</v>
      </c>
      <c r="D167" t="s">
        <v>105</v>
      </c>
      <c r="E167" t="s">
        <v>102</v>
      </c>
      <c r="F167" t="s">
        <v>88</v>
      </c>
      <c r="G167">
        <v>112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122.625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7.0116661028932015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67" s="5" cm="1">
        <f t="array" ref="O167">MIN(IF((OutputTable[GroupByKey]=OutputTable[[#This Row],[GroupByKey]]),(OutputTable[GroupByKey]=OutputTable[[#This Row],[GroupByKey]])*OutputTable[RecordedValue]))</f>
        <v>105</v>
      </c>
      <c r="P167" s="5" cm="1">
        <f t="array" ref="P167">MAX(IF((OutputTable[GroupByKey]=OutputTable[[#This Row],[GroupByKey]]),(OutputTable[GroupByKey]=OutputTable[[#This Row],[GroupByKey]])*OutputTable[RecordedValue]))</f>
        <v>132</v>
      </c>
    </row>
    <row r="168" spans="1:16" x14ac:dyDescent="0.35">
      <c r="A168" t="s">
        <v>66</v>
      </c>
      <c r="B168" t="s">
        <v>69</v>
      </c>
      <c r="C168">
        <v>24</v>
      </c>
      <c r="D168" t="s">
        <v>106</v>
      </c>
      <c r="E168" t="s">
        <v>104</v>
      </c>
      <c r="F168" t="s">
        <v>88</v>
      </c>
      <c r="G168">
        <v>0.85142723778581297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0.92906032745742695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5.2243343646514992E-2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68" s="5" cm="1">
        <f t="array" ref="O168">MIN(IF((OutputTable[GroupByKey]=OutputTable[[#This Row],[GroupByKey]]),(OutputTable[GroupByKey]=OutputTable[[#This Row],[GroupByKey]])*OutputTable[RecordedValue]))</f>
        <v>0.78808827046509</v>
      </c>
      <c r="P168" s="5" cm="1">
        <f t="array" ref="P168">MAX(IF((OutputTable[GroupByKey]=OutputTable[[#This Row],[GroupByKey]]),(OutputTable[GroupByKey]=OutputTable[[#This Row],[GroupByKey]])*OutputTable[RecordedValue]))</f>
        <v>0.99381255473469199</v>
      </c>
    </row>
    <row r="169" spans="1:16" x14ac:dyDescent="0.35">
      <c r="A169" t="s">
        <v>66</v>
      </c>
      <c r="B169" t="s">
        <v>69</v>
      </c>
      <c r="C169">
        <v>24</v>
      </c>
      <c r="D169" t="s">
        <v>107</v>
      </c>
      <c r="E169" t="s">
        <v>100</v>
      </c>
      <c r="F169" t="s">
        <v>108</v>
      </c>
      <c r="G169">
        <v>89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ProjectSystem.NumberOutNumber OutSystem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95.95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5.6566276081633564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69" s="5" cm="1">
        <f t="array" ref="O169">MIN(IF((OutputTable[GroupByKey]=OutputTable[[#This Row],[GroupByKey]]),(OutputTable[GroupByKey]=OutputTable[[#This Row],[GroupByKey]])*OutputTable[RecordedValue]))</f>
        <v>83</v>
      </c>
      <c r="P169" s="5" cm="1">
        <f t="array" ref="P169">MAX(IF((OutputTable[GroupByKey]=OutputTable[[#This Row],[GroupByKey]]),(OutputTable[GroupByKey]=OutputTable[[#This Row],[GroupByKey]])*OutputTable[RecordedValue]))</f>
        <v>104</v>
      </c>
    </row>
    <row r="170" spans="1:16" x14ac:dyDescent="0.35">
      <c r="A170" t="s">
        <v>66</v>
      </c>
      <c r="B170" t="s">
        <v>69</v>
      </c>
      <c r="C170">
        <v>25</v>
      </c>
      <c r="D170" t="s">
        <v>97</v>
      </c>
      <c r="E170" t="s">
        <v>98</v>
      </c>
      <c r="F170" t="s">
        <v>76</v>
      </c>
      <c r="G170">
        <v>184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ProjectCliente.NumberInNumber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181.25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15.97393710600698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70" s="5" cm="1">
        <f t="array" ref="O170">MIN(IF((OutputTable[GroupByKey]=OutputTable[[#This Row],[GroupByKey]]),(OutputTable[GroupByKey]=OutputTable[[#This Row],[GroupByKey]])*OutputTable[RecordedValue]))</f>
        <v>146</v>
      </c>
      <c r="P170" s="5" cm="1">
        <f t="array" ref="P170">MAX(IF((OutputTable[GroupByKey]=OutputTable[[#This Row],[GroupByKey]]),(OutputTable[GroupByKey]=OutputTable[[#This Row],[GroupByKey]])*OutputTable[RecordedValue]))</f>
        <v>210</v>
      </c>
    </row>
    <row r="171" spans="1:16" x14ac:dyDescent="0.35">
      <c r="A171" t="s">
        <v>66</v>
      </c>
      <c r="B171" t="s">
        <v>69</v>
      </c>
      <c r="C171">
        <v>25</v>
      </c>
      <c r="D171" t="s">
        <v>99</v>
      </c>
      <c r="E171" t="s">
        <v>100</v>
      </c>
      <c r="F171" t="s">
        <v>76</v>
      </c>
      <c r="G171">
        <v>156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ProjectCliente.NumberOutNumber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153.05000000000001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8.8490184882351901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71" s="5" cm="1">
        <f t="array" ref="O171">MIN(IF((OutputTable[GroupByKey]=OutputTable[[#This Row],[GroupByKey]]),(OutputTable[GroupByKey]=OutputTable[[#This Row],[GroupByKey]])*OutputTable[RecordedValue]))</f>
        <v>132</v>
      </c>
      <c r="P171" s="5" cm="1">
        <f t="array" ref="P171">MAX(IF((OutputTable[GroupByKey]=OutputTable[[#This Row],[GroupByKey]]),(OutputTable[GroupByKey]=OutputTable[[#This Row],[GroupByKey]])*OutputTable[RecordedValue]))</f>
        <v>166</v>
      </c>
    </row>
    <row r="172" spans="1:16" x14ac:dyDescent="0.35">
      <c r="A172" t="s">
        <v>66</v>
      </c>
      <c r="B172" t="s">
        <v>69</v>
      </c>
      <c r="C172">
        <v>25</v>
      </c>
      <c r="D172" t="s">
        <v>101</v>
      </c>
      <c r="E172" t="s">
        <v>102</v>
      </c>
      <c r="F172" t="s">
        <v>88</v>
      </c>
      <c r="G172">
        <v>69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66.349999999999994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4.3237566761870161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72" s="5" cm="1">
        <f t="array" ref="O172">MIN(IF((OutputTable[GroupByKey]=OutputTable[[#This Row],[GroupByKey]]),(OutputTable[GroupByKey]=OutputTable[[#This Row],[GroupByKey]])*OutputTable[RecordedValue]))</f>
        <v>56</v>
      </c>
      <c r="P172" s="5" cm="1">
        <f t="array" ref="P172">MAX(IF((OutputTable[GroupByKey]=OutputTable[[#This Row],[GroupByKey]]),(OutputTable[GroupByKey]=OutputTable[[#This Row],[GroupByKey]])*OutputTable[RecordedValue]))</f>
        <v>72</v>
      </c>
    </row>
    <row r="173" spans="1:16" x14ac:dyDescent="0.35">
      <c r="A173" t="s">
        <v>66</v>
      </c>
      <c r="B173" t="s">
        <v>69</v>
      </c>
      <c r="C173">
        <v>25</v>
      </c>
      <c r="D173" t="s">
        <v>103</v>
      </c>
      <c r="E173" t="s">
        <v>104</v>
      </c>
      <c r="F173" t="s">
        <v>88</v>
      </c>
      <c r="G173">
        <v>0.85279391025543905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0.78200153326291699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0.13637038930703246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73" s="5" cm="1">
        <f t="array" ref="O173">MIN(IF((OutputTable[GroupByKey]=OutputTable[[#This Row],[GroupByKey]]),(OutputTable[GroupByKey]=OutputTable[[#This Row],[GroupByKey]])*OutputTable[RecordedValue]))</f>
        <v>0.51812957617942801</v>
      </c>
      <c r="P173" s="5" cm="1">
        <f t="array" ref="P173">MAX(IF((OutputTable[GroupByKey]=OutputTable[[#This Row],[GroupByKey]]),(OutputTable[GroupByKey]=OutputTable[[#This Row],[GroupByKey]])*OutputTable[RecordedValue]))</f>
        <v>0.95110098058067905</v>
      </c>
    </row>
    <row r="174" spans="1:16" x14ac:dyDescent="0.35">
      <c r="A174" t="s">
        <v>66</v>
      </c>
      <c r="B174" t="s">
        <v>69</v>
      </c>
      <c r="C174">
        <v>25</v>
      </c>
      <c r="D174" t="s">
        <v>105</v>
      </c>
      <c r="E174" t="s">
        <v>102</v>
      </c>
      <c r="F174" t="s">
        <v>88</v>
      </c>
      <c r="G174">
        <v>128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122.625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7.0116661028932015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74" s="5" cm="1">
        <f t="array" ref="O174">MIN(IF((OutputTable[GroupByKey]=OutputTable[[#This Row],[GroupByKey]]),(OutputTable[GroupByKey]=OutputTable[[#This Row],[GroupByKey]])*OutputTable[RecordedValue]))</f>
        <v>105</v>
      </c>
      <c r="P174" s="5" cm="1">
        <f t="array" ref="P174">MAX(IF((OutputTable[GroupByKey]=OutputTable[[#This Row],[GroupByKey]]),(OutputTable[GroupByKey]=OutputTable[[#This Row],[GroupByKey]])*OutputTable[RecordedValue]))</f>
        <v>132</v>
      </c>
    </row>
    <row r="175" spans="1:16" x14ac:dyDescent="0.35">
      <c r="A175" t="s">
        <v>66</v>
      </c>
      <c r="B175" t="s">
        <v>69</v>
      </c>
      <c r="C175">
        <v>25</v>
      </c>
      <c r="D175" t="s">
        <v>106</v>
      </c>
      <c r="E175" t="s">
        <v>104</v>
      </c>
      <c r="F175" t="s">
        <v>88</v>
      </c>
      <c r="G175">
        <v>0.96008705717843601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0.92906032745742695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5.2243343646514992E-2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75" s="5" cm="1">
        <f t="array" ref="O175">MIN(IF((OutputTable[GroupByKey]=OutputTable[[#This Row],[GroupByKey]]),(OutputTable[GroupByKey]=OutputTable[[#This Row],[GroupByKey]])*OutputTable[RecordedValue]))</f>
        <v>0.78808827046509</v>
      </c>
      <c r="P175" s="5" cm="1">
        <f t="array" ref="P175">MAX(IF((OutputTable[GroupByKey]=OutputTable[[#This Row],[GroupByKey]]),(OutputTable[GroupByKey]=OutputTable[[#This Row],[GroupByKey]])*OutputTable[RecordedValue]))</f>
        <v>0.99381255473469199</v>
      </c>
    </row>
    <row r="176" spans="1:16" x14ac:dyDescent="0.35">
      <c r="A176" t="s">
        <v>66</v>
      </c>
      <c r="B176" t="s">
        <v>69</v>
      </c>
      <c r="C176">
        <v>25</v>
      </c>
      <c r="D176" t="s">
        <v>107</v>
      </c>
      <c r="E176" t="s">
        <v>100</v>
      </c>
      <c r="F176" t="s">
        <v>108</v>
      </c>
      <c r="G176">
        <v>97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ProjectSystem.NumberOutNumber OutSystem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95.95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5.6566276081633564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76" s="5" cm="1">
        <f t="array" ref="O176">MIN(IF((OutputTable[GroupByKey]=OutputTable[[#This Row],[GroupByKey]]),(OutputTable[GroupByKey]=OutputTable[[#This Row],[GroupByKey]])*OutputTable[RecordedValue]))</f>
        <v>83</v>
      </c>
      <c r="P176" s="5" cm="1">
        <f t="array" ref="P176">MAX(IF((OutputTable[GroupByKey]=OutputTable[[#This Row],[GroupByKey]]),(OutputTable[GroupByKey]=OutputTable[[#This Row],[GroupByKey]])*OutputTable[RecordedValue]))</f>
        <v>104</v>
      </c>
    </row>
    <row r="177" spans="1:16" x14ac:dyDescent="0.35">
      <c r="A177" t="s">
        <v>66</v>
      </c>
      <c r="B177" t="s">
        <v>69</v>
      </c>
      <c r="C177">
        <v>26</v>
      </c>
      <c r="D177" t="s">
        <v>97</v>
      </c>
      <c r="E177" t="s">
        <v>98</v>
      </c>
      <c r="F177" t="s">
        <v>76</v>
      </c>
      <c r="G177">
        <v>155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ProjectCliente.NumberInNumber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181.25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15.97393710600698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77" s="5" cm="1">
        <f t="array" ref="O177">MIN(IF((OutputTable[GroupByKey]=OutputTable[[#This Row],[GroupByKey]]),(OutputTable[GroupByKey]=OutputTable[[#This Row],[GroupByKey]])*OutputTable[RecordedValue]))</f>
        <v>146</v>
      </c>
      <c r="P177" s="5" cm="1">
        <f t="array" ref="P177">MAX(IF((OutputTable[GroupByKey]=OutputTable[[#This Row],[GroupByKey]]),(OutputTable[GroupByKey]=OutputTable[[#This Row],[GroupByKey]])*OutputTable[RecordedValue]))</f>
        <v>210</v>
      </c>
    </row>
    <row r="178" spans="1:16" x14ac:dyDescent="0.35">
      <c r="A178" t="s">
        <v>66</v>
      </c>
      <c r="B178" t="s">
        <v>69</v>
      </c>
      <c r="C178">
        <v>26</v>
      </c>
      <c r="D178" t="s">
        <v>99</v>
      </c>
      <c r="E178" t="s">
        <v>100</v>
      </c>
      <c r="F178" t="s">
        <v>76</v>
      </c>
      <c r="G178">
        <v>147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ProjectCliente.NumberOutNumber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153.05000000000001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8.8490184882351901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78" s="5" cm="1">
        <f t="array" ref="O178">MIN(IF((OutputTable[GroupByKey]=OutputTable[[#This Row],[GroupByKey]]),(OutputTable[GroupByKey]=OutputTable[[#This Row],[GroupByKey]])*OutputTable[RecordedValue]))</f>
        <v>132</v>
      </c>
      <c r="P178" s="5" cm="1">
        <f t="array" ref="P178">MAX(IF((OutputTable[GroupByKey]=OutputTable[[#This Row],[GroupByKey]]),(OutputTable[GroupByKey]=OutputTable[[#This Row],[GroupByKey]])*OutputTable[RecordedValue]))</f>
        <v>166</v>
      </c>
    </row>
    <row r="179" spans="1:16" x14ac:dyDescent="0.35">
      <c r="A179" t="s">
        <v>66</v>
      </c>
      <c r="B179" t="s">
        <v>69</v>
      </c>
      <c r="C179">
        <v>26</v>
      </c>
      <c r="D179" t="s">
        <v>101</v>
      </c>
      <c r="E179" t="s">
        <v>102</v>
      </c>
      <c r="F179" t="s">
        <v>88</v>
      </c>
      <c r="G179">
        <v>58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66.349999999999994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4.3237566761870161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79" s="5" cm="1">
        <f t="array" ref="O179">MIN(IF((OutputTable[GroupByKey]=OutputTable[[#This Row],[GroupByKey]]),(OutputTable[GroupByKey]=OutputTable[[#This Row],[GroupByKey]])*OutputTable[RecordedValue]))</f>
        <v>56</v>
      </c>
      <c r="P179" s="5" cm="1">
        <f t="array" ref="P179">MAX(IF((OutputTable[GroupByKey]=OutputTable[[#This Row],[GroupByKey]]),(OutputTable[GroupByKey]=OutputTable[[#This Row],[GroupByKey]])*OutputTable[RecordedValue]))</f>
        <v>72</v>
      </c>
    </row>
    <row r="180" spans="1:16" x14ac:dyDescent="0.35">
      <c r="A180" t="s">
        <v>66</v>
      </c>
      <c r="B180" t="s">
        <v>69</v>
      </c>
      <c r="C180">
        <v>26</v>
      </c>
      <c r="D180" t="s">
        <v>103</v>
      </c>
      <c r="E180" t="s">
        <v>104</v>
      </c>
      <c r="F180" t="s">
        <v>88</v>
      </c>
      <c r="G180">
        <v>0.54696580987079702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0.78200153326291699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0.13637038930703246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80" s="5" cm="1">
        <f t="array" ref="O180">MIN(IF((OutputTable[GroupByKey]=OutputTable[[#This Row],[GroupByKey]]),(OutputTable[GroupByKey]=OutputTable[[#This Row],[GroupByKey]])*OutputTable[RecordedValue]))</f>
        <v>0.51812957617942801</v>
      </c>
      <c r="P180" s="5" cm="1">
        <f t="array" ref="P180">MAX(IF((OutputTable[GroupByKey]=OutputTable[[#This Row],[GroupByKey]]),(OutputTable[GroupByKey]=OutputTable[[#This Row],[GroupByKey]])*OutputTable[RecordedValue]))</f>
        <v>0.95110098058067905</v>
      </c>
    </row>
    <row r="181" spans="1:16" x14ac:dyDescent="0.35">
      <c r="A181" t="s">
        <v>66</v>
      </c>
      <c r="B181" t="s">
        <v>69</v>
      </c>
      <c r="C181">
        <v>26</v>
      </c>
      <c r="D181" t="s">
        <v>105</v>
      </c>
      <c r="E181" t="s">
        <v>102</v>
      </c>
      <c r="F181" t="s">
        <v>88</v>
      </c>
      <c r="G181">
        <v>113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122.625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7.0116661028932015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81" s="5" cm="1">
        <f t="array" ref="O181">MIN(IF((OutputTable[GroupByKey]=OutputTable[[#This Row],[GroupByKey]]),(OutputTable[GroupByKey]=OutputTable[[#This Row],[GroupByKey]])*OutputTable[RecordedValue]))</f>
        <v>105</v>
      </c>
      <c r="P181" s="5" cm="1">
        <f t="array" ref="P181">MAX(IF((OutputTable[GroupByKey]=OutputTable[[#This Row],[GroupByKey]]),(OutputTable[GroupByKey]=OutputTable[[#This Row],[GroupByKey]])*OutputTable[RecordedValue]))</f>
        <v>132</v>
      </c>
    </row>
    <row r="182" spans="1:16" x14ac:dyDescent="0.35">
      <c r="A182" t="s">
        <v>66</v>
      </c>
      <c r="B182" t="s">
        <v>69</v>
      </c>
      <c r="C182">
        <v>26</v>
      </c>
      <c r="D182" t="s">
        <v>106</v>
      </c>
      <c r="E182" t="s">
        <v>104</v>
      </c>
      <c r="F182" t="s">
        <v>88</v>
      </c>
      <c r="G182">
        <v>0.858934986077176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0.92906032745742695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5.2243343646514992E-2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82" s="5" cm="1">
        <f t="array" ref="O182">MIN(IF((OutputTable[GroupByKey]=OutputTable[[#This Row],[GroupByKey]]),(OutputTable[GroupByKey]=OutputTable[[#This Row],[GroupByKey]])*OutputTable[RecordedValue]))</f>
        <v>0.78808827046509</v>
      </c>
      <c r="P182" s="5" cm="1">
        <f t="array" ref="P182">MAX(IF((OutputTable[GroupByKey]=OutputTable[[#This Row],[GroupByKey]]),(OutputTable[GroupByKey]=OutputTable[[#This Row],[GroupByKey]])*OutputTable[RecordedValue]))</f>
        <v>0.99381255473469199</v>
      </c>
    </row>
    <row r="183" spans="1:16" x14ac:dyDescent="0.35">
      <c r="A183" t="s">
        <v>66</v>
      </c>
      <c r="B183" t="s">
        <v>69</v>
      </c>
      <c r="C183">
        <v>26</v>
      </c>
      <c r="D183" t="s">
        <v>107</v>
      </c>
      <c r="E183" t="s">
        <v>100</v>
      </c>
      <c r="F183" t="s">
        <v>108</v>
      </c>
      <c r="G183">
        <v>93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ProjectSystem.NumberOutNumber OutSystem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95.95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5.6566276081633564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83" s="5" cm="1">
        <f t="array" ref="O183">MIN(IF((OutputTable[GroupByKey]=OutputTable[[#This Row],[GroupByKey]]),(OutputTable[GroupByKey]=OutputTable[[#This Row],[GroupByKey]])*OutputTable[RecordedValue]))</f>
        <v>83</v>
      </c>
      <c r="P183" s="5" cm="1">
        <f t="array" ref="P183">MAX(IF((OutputTable[GroupByKey]=OutputTable[[#This Row],[GroupByKey]]),(OutputTable[GroupByKey]=OutputTable[[#This Row],[GroupByKey]])*OutputTable[RecordedValue]))</f>
        <v>104</v>
      </c>
    </row>
    <row r="184" spans="1:16" x14ac:dyDescent="0.35">
      <c r="A184" t="s">
        <v>66</v>
      </c>
      <c r="B184" t="s">
        <v>69</v>
      </c>
      <c r="C184">
        <v>27</v>
      </c>
      <c r="D184" t="s">
        <v>97</v>
      </c>
      <c r="E184" t="s">
        <v>98</v>
      </c>
      <c r="F184" t="s">
        <v>76</v>
      </c>
      <c r="G184">
        <v>165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ProjectCliente.NumberInNumber InEntity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181.25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15.97393710600698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84" s="5" cm="1">
        <f t="array" ref="O184">MIN(IF((OutputTable[GroupByKey]=OutputTable[[#This Row],[GroupByKey]]),(OutputTable[GroupByKey]=OutputTable[[#This Row],[GroupByKey]])*OutputTable[RecordedValue]))</f>
        <v>146</v>
      </c>
      <c r="P184" s="5" cm="1">
        <f t="array" ref="P184">MAX(IF((OutputTable[GroupByKey]=OutputTable[[#This Row],[GroupByKey]]),(OutputTable[GroupByKey]=OutputTable[[#This Row],[GroupByKey]])*OutputTable[RecordedValue]))</f>
        <v>210</v>
      </c>
    </row>
    <row r="185" spans="1:16" x14ac:dyDescent="0.35">
      <c r="A185" t="s">
        <v>66</v>
      </c>
      <c r="B185" t="s">
        <v>69</v>
      </c>
      <c r="C185">
        <v>27</v>
      </c>
      <c r="D185" t="s">
        <v>99</v>
      </c>
      <c r="E185" t="s">
        <v>100</v>
      </c>
      <c r="F185" t="s">
        <v>76</v>
      </c>
      <c r="G185">
        <v>143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ProjectCliente.NumberOutNumber OutEntity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153.05000000000001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8.8490184882351901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85" s="5" cm="1">
        <f t="array" ref="O185">MIN(IF((OutputTable[GroupByKey]=OutputTable[[#This Row],[GroupByKey]]),(OutputTable[GroupByKey]=OutputTable[[#This Row],[GroupByKey]])*OutputTable[RecordedValue]))</f>
        <v>132</v>
      </c>
      <c r="P185" s="5" cm="1">
        <f t="array" ref="P185">MAX(IF((OutputTable[GroupByKey]=OutputTable[[#This Row],[GroupByKey]]),(OutputTable[GroupByKey]=OutputTable[[#This Row],[GroupByKey]])*OutputTable[RecordedValue]))</f>
        <v>166</v>
      </c>
    </row>
    <row r="186" spans="1:16" x14ac:dyDescent="0.35">
      <c r="A186" t="s">
        <v>66</v>
      </c>
      <c r="B186" t="s">
        <v>69</v>
      </c>
      <c r="C186">
        <v>27</v>
      </c>
      <c r="D186" t="s">
        <v>101</v>
      </c>
      <c r="E186" t="s">
        <v>102</v>
      </c>
      <c r="F186" t="s">
        <v>88</v>
      </c>
      <c r="G186">
        <v>63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66.349999999999994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4.3237566761870161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86" s="5" cm="1">
        <f t="array" ref="O186">MIN(IF((OutputTable[GroupByKey]=OutputTable[[#This Row],[GroupByKey]]),(OutputTable[GroupByKey]=OutputTable[[#This Row],[GroupByKey]])*OutputTable[RecordedValue]))</f>
        <v>56</v>
      </c>
      <c r="P186" s="5" cm="1">
        <f t="array" ref="P186">MAX(IF((OutputTable[GroupByKey]=OutputTable[[#This Row],[GroupByKey]]),(OutputTable[GroupByKey]=OutputTable[[#This Row],[GroupByKey]])*OutputTable[RecordedValue]))</f>
        <v>72</v>
      </c>
    </row>
    <row r="187" spans="1:16" x14ac:dyDescent="0.35">
      <c r="A187" t="s">
        <v>66</v>
      </c>
      <c r="B187" t="s">
        <v>69</v>
      </c>
      <c r="C187">
        <v>27</v>
      </c>
      <c r="D187" t="s">
        <v>103</v>
      </c>
      <c r="E187" t="s">
        <v>104</v>
      </c>
      <c r="F187" t="s">
        <v>88</v>
      </c>
      <c r="G187">
        <v>0.62903281895933205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0.78200153326291699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0.13637038930703246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87" s="5" cm="1">
        <f t="array" ref="O187">MIN(IF((OutputTable[GroupByKey]=OutputTable[[#This Row],[GroupByKey]]),(OutputTable[GroupByKey]=OutputTable[[#This Row],[GroupByKey]])*OutputTable[RecordedValue]))</f>
        <v>0.51812957617942801</v>
      </c>
      <c r="P187" s="5" cm="1">
        <f t="array" ref="P187">MAX(IF((OutputTable[GroupByKey]=OutputTable[[#This Row],[GroupByKey]]),(OutputTable[GroupByKey]=OutputTable[[#This Row],[GroupByKey]])*OutputTable[RecordedValue]))</f>
        <v>0.95110098058067905</v>
      </c>
    </row>
    <row r="188" spans="1:16" x14ac:dyDescent="0.35">
      <c r="A188" t="s">
        <v>66</v>
      </c>
      <c r="B188" t="s">
        <v>69</v>
      </c>
      <c r="C188">
        <v>27</v>
      </c>
      <c r="D188" t="s">
        <v>105</v>
      </c>
      <c r="E188" t="s">
        <v>102</v>
      </c>
      <c r="F188" t="s">
        <v>88</v>
      </c>
      <c r="G188">
        <v>114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122.625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7.0116661028932015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88" s="5" cm="1">
        <f t="array" ref="O188">MIN(IF((OutputTable[GroupByKey]=OutputTable[[#This Row],[GroupByKey]]),(OutputTable[GroupByKey]=OutputTable[[#This Row],[GroupByKey]])*OutputTable[RecordedValue]))</f>
        <v>105</v>
      </c>
      <c r="P188" s="5" cm="1">
        <f t="array" ref="P188">MAX(IF((OutputTable[GroupByKey]=OutputTable[[#This Row],[GroupByKey]]),(OutputTable[GroupByKey]=OutputTable[[#This Row],[GroupByKey]])*OutputTable[RecordedValue]))</f>
        <v>132</v>
      </c>
    </row>
    <row r="189" spans="1:16" x14ac:dyDescent="0.35">
      <c r="A189" t="s">
        <v>66</v>
      </c>
      <c r="B189" t="s">
        <v>69</v>
      </c>
      <c r="C189">
        <v>27</v>
      </c>
      <c r="D189" t="s">
        <v>106</v>
      </c>
      <c r="E189" t="s">
        <v>104</v>
      </c>
      <c r="F189" t="s">
        <v>88</v>
      </c>
      <c r="G189">
        <v>0.86553190913134703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0.92906032745742695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5.2243343646514992E-2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89" s="5" cm="1">
        <f t="array" ref="O189">MIN(IF((OutputTable[GroupByKey]=OutputTable[[#This Row],[GroupByKey]]),(OutputTable[GroupByKey]=OutputTable[[#This Row],[GroupByKey]])*OutputTable[RecordedValue]))</f>
        <v>0.78808827046509</v>
      </c>
      <c r="P189" s="5" cm="1">
        <f t="array" ref="P189">MAX(IF((OutputTable[GroupByKey]=OutputTable[[#This Row],[GroupByKey]]),(OutputTable[GroupByKey]=OutputTable[[#This Row],[GroupByKey]])*OutputTable[RecordedValue]))</f>
        <v>0.99381255473469199</v>
      </c>
    </row>
    <row r="190" spans="1:16" x14ac:dyDescent="0.35">
      <c r="A190" t="s">
        <v>66</v>
      </c>
      <c r="B190" t="s">
        <v>69</v>
      </c>
      <c r="C190">
        <v>27</v>
      </c>
      <c r="D190" t="s">
        <v>107</v>
      </c>
      <c r="E190" t="s">
        <v>100</v>
      </c>
      <c r="F190" t="s">
        <v>108</v>
      </c>
      <c r="G190">
        <v>90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ProjectSystem.NumberOutNumber OutSystem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95.95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5.6566276081633564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90" s="5" cm="1">
        <f t="array" ref="O190">MIN(IF((OutputTable[GroupByKey]=OutputTable[[#This Row],[GroupByKey]]),(OutputTable[GroupByKey]=OutputTable[[#This Row],[GroupByKey]])*OutputTable[RecordedValue]))</f>
        <v>83</v>
      </c>
      <c r="P190" s="5" cm="1">
        <f t="array" ref="P190">MAX(IF((OutputTable[GroupByKey]=OutputTable[[#This Row],[GroupByKey]]),(OutputTable[GroupByKey]=OutputTable[[#This Row],[GroupByKey]])*OutputTable[RecordedValue]))</f>
        <v>104</v>
      </c>
    </row>
    <row r="191" spans="1:16" x14ac:dyDescent="0.35">
      <c r="A191" t="s">
        <v>66</v>
      </c>
      <c r="B191" t="s">
        <v>69</v>
      </c>
      <c r="C191">
        <v>28</v>
      </c>
      <c r="D191" t="s">
        <v>97</v>
      </c>
      <c r="E191" t="s">
        <v>98</v>
      </c>
      <c r="F191" t="s">
        <v>76</v>
      </c>
      <c r="G191">
        <v>190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ProjectCliente.NumberInNumber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181.25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15.97393710600698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91" s="5" cm="1">
        <f t="array" ref="O191">MIN(IF((OutputTable[GroupByKey]=OutputTable[[#This Row],[GroupByKey]]),(OutputTable[GroupByKey]=OutputTable[[#This Row],[GroupByKey]])*OutputTable[RecordedValue]))</f>
        <v>146</v>
      </c>
      <c r="P191" s="5" cm="1">
        <f t="array" ref="P191">MAX(IF((OutputTable[GroupByKey]=OutputTable[[#This Row],[GroupByKey]]),(OutputTable[GroupByKey]=OutputTable[[#This Row],[GroupByKey]])*OutputTable[RecordedValue]))</f>
        <v>210</v>
      </c>
    </row>
    <row r="192" spans="1:16" x14ac:dyDescent="0.35">
      <c r="A192" t="s">
        <v>66</v>
      </c>
      <c r="B192" t="s">
        <v>69</v>
      </c>
      <c r="C192">
        <v>28</v>
      </c>
      <c r="D192" t="s">
        <v>99</v>
      </c>
      <c r="E192" t="s">
        <v>100</v>
      </c>
      <c r="F192" t="s">
        <v>76</v>
      </c>
      <c r="G192">
        <v>162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ProjectCliente.NumberOutNumber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153.05000000000001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8.8490184882351901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92" s="5" cm="1">
        <f t="array" ref="O192">MIN(IF((OutputTable[GroupByKey]=OutputTable[[#This Row],[GroupByKey]]),(OutputTable[GroupByKey]=OutputTable[[#This Row],[GroupByKey]])*OutputTable[RecordedValue]))</f>
        <v>132</v>
      </c>
      <c r="P192" s="5" cm="1">
        <f t="array" ref="P192">MAX(IF((OutputTable[GroupByKey]=OutputTable[[#This Row],[GroupByKey]]),(OutputTable[GroupByKey]=OutputTable[[#This Row],[GroupByKey]])*OutputTable[RecordedValue]))</f>
        <v>166</v>
      </c>
    </row>
    <row r="193" spans="1:16" x14ac:dyDescent="0.35">
      <c r="A193" t="s">
        <v>66</v>
      </c>
      <c r="B193" t="s">
        <v>69</v>
      </c>
      <c r="C193">
        <v>28</v>
      </c>
      <c r="D193" t="s">
        <v>101</v>
      </c>
      <c r="E193" t="s">
        <v>102</v>
      </c>
      <c r="F193" t="s">
        <v>88</v>
      </c>
      <c r="G193">
        <v>71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66.349999999999994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4.3237566761870161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193" s="5" cm="1">
        <f t="array" ref="O193">MIN(IF((OutputTable[GroupByKey]=OutputTable[[#This Row],[GroupByKey]]),(OutputTable[GroupByKey]=OutputTable[[#This Row],[GroupByKey]])*OutputTable[RecordedValue]))</f>
        <v>56</v>
      </c>
      <c r="P193" s="5" cm="1">
        <f t="array" ref="P193">MAX(IF((OutputTable[GroupByKey]=OutputTable[[#This Row],[GroupByKey]]),(OutputTable[GroupByKey]=OutputTable[[#This Row],[GroupByKey]])*OutputTable[RecordedValue]))</f>
        <v>72</v>
      </c>
    </row>
    <row r="194" spans="1:16" x14ac:dyDescent="0.35">
      <c r="A194" t="s">
        <v>66</v>
      </c>
      <c r="B194" t="s">
        <v>69</v>
      </c>
      <c r="C194">
        <v>28</v>
      </c>
      <c r="D194" t="s">
        <v>103</v>
      </c>
      <c r="E194" t="s">
        <v>104</v>
      </c>
      <c r="F194" t="s">
        <v>88</v>
      </c>
      <c r="G194">
        <v>0.83455902249267899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0.78200153326291699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0.13637038930703246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194" s="5" cm="1">
        <f t="array" ref="O194">MIN(IF((OutputTable[GroupByKey]=OutputTable[[#This Row],[GroupByKey]]),(OutputTable[GroupByKey]=OutputTable[[#This Row],[GroupByKey]])*OutputTable[RecordedValue]))</f>
        <v>0.51812957617942801</v>
      </c>
      <c r="P194" s="5" cm="1">
        <f t="array" ref="P194">MAX(IF((OutputTable[GroupByKey]=OutputTable[[#This Row],[GroupByKey]]),(OutputTable[GroupByKey]=OutputTable[[#This Row],[GroupByKey]])*OutputTable[RecordedValue]))</f>
        <v>0.95110098058067905</v>
      </c>
    </row>
    <row r="195" spans="1:16" x14ac:dyDescent="0.35">
      <c r="A195" t="s">
        <v>66</v>
      </c>
      <c r="B195" t="s">
        <v>69</v>
      </c>
      <c r="C195">
        <v>28</v>
      </c>
      <c r="D195" t="s">
        <v>105</v>
      </c>
      <c r="E195" t="s">
        <v>102</v>
      </c>
      <c r="F195" t="s">
        <v>88</v>
      </c>
      <c r="G195">
        <v>130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122.625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7.0116661028932015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195" s="5" cm="1">
        <f t="array" ref="O195">MIN(IF((OutputTable[GroupByKey]=OutputTable[[#This Row],[GroupByKey]]),(OutputTable[GroupByKey]=OutputTable[[#This Row],[GroupByKey]])*OutputTable[RecordedValue]))</f>
        <v>105</v>
      </c>
      <c r="P195" s="5" cm="1">
        <f t="array" ref="P195">MAX(IF((OutputTable[GroupByKey]=OutputTable[[#This Row],[GroupByKey]]),(OutputTable[GroupByKey]=OutputTable[[#This Row],[GroupByKey]])*OutputTable[RecordedValue]))</f>
        <v>132</v>
      </c>
    </row>
    <row r="196" spans="1:16" x14ac:dyDescent="0.35">
      <c r="A196" t="s">
        <v>66</v>
      </c>
      <c r="B196" t="s">
        <v>69</v>
      </c>
      <c r="C196">
        <v>28</v>
      </c>
      <c r="D196" t="s">
        <v>106</v>
      </c>
      <c r="E196" t="s">
        <v>104</v>
      </c>
      <c r="F196" t="s">
        <v>88</v>
      </c>
      <c r="G196">
        <v>0.96941615829127303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0.92906032745742695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5.2243343646514992E-2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196" s="5" cm="1">
        <f t="array" ref="O196">MIN(IF((OutputTable[GroupByKey]=OutputTable[[#This Row],[GroupByKey]]),(OutputTable[GroupByKey]=OutputTable[[#This Row],[GroupByKey]])*OutputTable[RecordedValue]))</f>
        <v>0.78808827046509</v>
      </c>
      <c r="P196" s="5" cm="1">
        <f t="array" ref="P196">MAX(IF((OutputTable[GroupByKey]=OutputTable[[#This Row],[GroupByKey]]),(OutputTable[GroupByKey]=OutputTable[[#This Row],[GroupByKey]])*OutputTable[RecordedValue]))</f>
        <v>0.99381255473469199</v>
      </c>
    </row>
    <row r="197" spans="1:16" x14ac:dyDescent="0.35">
      <c r="A197" t="s">
        <v>66</v>
      </c>
      <c r="B197" t="s">
        <v>69</v>
      </c>
      <c r="C197">
        <v>28</v>
      </c>
      <c r="D197" t="s">
        <v>107</v>
      </c>
      <c r="E197" t="s">
        <v>100</v>
      </c>
      <c r="F197" t="s">
        <v>108</v>
      </c>
      <c r="G197">
        <v>101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ProjectSystem.NumberOutNumber OutSystem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95.95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5.6566276081633564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197" s="5" cm="1">
        <f t="array" ref="O197">MIN(IF((OutputTable[GroupByKey]=OutputTable[[#This Row],[GroupByKey]]),(OutputTable[GroupByKey]=OutputTable[[#This Row],[GroupByKey]])*OutputTable[RecordedValue]))</f>
        <v>83</v>
      </c>
      <c r="P197" s="5" cm="1">
        <f t="array" ref="P197">MAX(IF((OutputTable[GroupByKey]=OutputTable[[#This Row],[GroupByKey]]),(OutputTable[GroupByKey]=OutputTable[[#This Row],[GroupByKey]])*OutputTable[RecordedValue]))</f>
        <v>104</v>
      </c>
    </row>
    <row r="198" spans="1:16" x14ac:dyDescent="0.35">
      <c r="A198" t="s">
        <v>66</v>
      </c>
      <c r="B198" t="s">
        <v>69</v>
      </c>
      <c r="C198">
        <v>29</v>
      </c>
      <c r="D198" t="s">
        <v>97</v>
      </c>
      <c r="E198" t="s">
        <v>98</v>
      </c>
      <c r="F198" t="s">
        <v>76</v>
      </c>
      <c r="G198">
        <v>162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ProjectCliente.NumberInNumber InEntity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181.25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15.97393710600698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198" s="5" cm="1">
        <f t="array" ref="O198">MIN(IF((OutputTable[GroupByKey]=OutputTable[[#This Row],[GroupByKey]]),(OutputTable[GroupByKey]=OutputTable[[#This Row],[GroupByKey]])*OutputTable[RecordedValue]))</f>
        <v>146</v>
      </c>
      <c r="P198" s="5" cm="1">
        <f t="array" ref="P198">MAX(IF((OutputTable[GroupByKey]=OutputTable[[#This Row],[GroupByKey]]),(OutputTable[GroupByKey]=OutputTable[[#This Row],[GroupByKey]])*OutputTable[RecordedValue]))</f>
        <v>210</v>
      </c>
    </row>
    <row r="199" spans="1:16" x14ac:dyDescent="0.35">
      <c r="A199" t="s">
        <v>66</v>
      </c>
      <c r="B199" t="s">
        <v>69</v>
      </c>
      <c r="C199">
        <v>29</v>
      </c>
      <c r="D199" t="s">
        <v>99</v>
      </c>
      <c r="E199" t="s">
        <v>100</v>
      </c>
      <c r="F199" t="s">
        <v>76</v>
      </c>
      <c r="G199">
        <v>150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ProjectCliente.NumberOutNumber OutEntity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153.05000000000001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8.8490184882351901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199" s="5" cm="1">
        <f t="array" ref="O199">MIN(IF((OutputTable[GroupByKey]=OutputTable[[#This Row],[GroupByKey]]),(OutputTable[GroupByKey]=OutputTable[[#This Row],[GroupByKey]])*OutputTable[RecordedValue]))</f>
        <v>132</v>
      </c>
      <c r="P199" s="5" cm="1">
        <f t="array" ref="P199">MAX(IF((OutputTable[GroupByKey]=OutputTable[[#This Row],[GroupByKey]]),(OutputTable[GroupByKey]=OutputTable[[#This Row],[GroupByKey]])*OutputTable[RecordedValue]))</f>
        <v>166</v>
      </c>
    </row>
    <row r="200" spans="1:16" x14ac:dyDescent="0.35">
      <c r="A200" t="s">
        <v>66</v>
      </c>
      <c r="B200" t="s">
        <v>69</v>
      </c>
      <c r="C200">
        <v>29</v>
      </c>
      <c r="D200" t="s">
        <v>101</v>
      </c>
      <c r="E200" t="s">
        <v>102</v>
      </c>
      <c r="F200" t="s">
        <v>88</v>
      </c>
      <c r="G200">
        <v>62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66.349999999999994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4.3237566761870161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00" s="5" cm="1">
        <f t="array" ref="O200">MIN(IF((OutputTable[GroupByKey]=OutputTable[[#This Row],[GroupByKey]]),(OutputTable[GroupByKey]=OutputTable[[#This Row],[GroupByKey]])*OutputTable[RecordedValue]))</f>
        <v>56</v>
      </c>
      <c r="P200" s="5" cm="1">
        <f t="array" ref="P200">MAX(IF((OutputTable[GroupByKey]=OutputTable[[#This Row],[GroupByKey]]),(OutputTable[GroupByKey]=OutputTable[[#This Row],[GroupByKey]])*OutputTable[RecordedValue]))</f>
        <v>72</v>
      </c>
    </row>
    <row r="201" spans="1:16" x14ac:dyDescent="0.35">
      <c r="A201" t="s">
        <v>66</v>
      </c>
      <c r="B201" t="s">
        <v>69</v>
      </c>
      <c r="C201">
        <v>29</v>
      </c>
      <c r="D201" t="s">
        <v>103</v>
      </c>
      <c r="E201" t="s">
        <v>104</v>
      </c>
      <c r="F201" t="s">
        <v>88</v>
      </c>
      <c r="G201">
        <v>0.63220376057428795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0.78200153326291699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0.13637038930703246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01" s="5" cm="1">
        <f t="array" ref="O201">MIN(IF((OutputTable[GroupByKey]=OutputTable[[#This Row],[GroupByKey]]),(OutputTable[GroupByKey]=OutputTable[[#This Row],[GroupByKey]])*OutputTable[RecordedValue]))</f>
        <v>0.51812957617942801</v>
      </c>
      <c r="P201" s="5" cm="1">
        <f t="array" ref="P201">MAX(IF((OutputTable[GroupByKey]=OutputTable[[#This Row],[GroupByKey]]),(OutputTable[GroupByKey]=OutputTable[[#This Row],[GroupByKey]])*OutputTable[RecordedValue]))</f>
        <v>0.95110098058067905</v>
      </c>
    </row>
    <row r="202" spans="1:16" x14ac:dyDescent="0.35">
      <c r="A202" t="s">
        <v>66</v>
      </c>
      <c r="B202" t="s">
        <v>69</v>
      </c>
      <c r="C202">
        <v>29</v>
      </c>
      <c r="D202" t="s">
        <v>105</v>
      </c>
      <c r="E202" t="s">
        <v>102</v>
      </c>
      <c r="F202" t="s">
        <v>88</v>
      </c>
      <c r="G202">
        <v>119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122.625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7.0116661028932015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02" s="5" cm="1">
        <f t="array" ref="O202">MIN(IF((OutputTable[GroupByKey]=OutputTable[[#This Row],[GroupByKey]]),(OutputTable[GroupByKey]=OutputTable[[#This Row],[GroupByKey]])*OutputTable[RecordedValue]))</f>
        <v>105</v>
      </c>
      <c r="P202" s="5" cm="1">
        <f t="array" ref="P202">MAX(IF((OutputTable[GroupByKey]=OutputTable[[#This Row],[GroupByKey]]),(OutputTable[GroupByKey]=OutputTable[[#This Row],[GroupByKey]])*OutputTable[RecordedValue]))</f>
        <v>132</v>
      </c>
    </row>
    <row r="203" spans="1:16" x14ac:dyDescent="0.35">
      <c r="A203" t="s">
        <v>66</v>
      </c>
      <c r="B203" t="s">
        <v>69</v>
      </c>
      <c r="C203">
        <v>29</v>
      </c>
      <c r="D203" t="s">
        <v>106</v>
      </c>
      <c r="E203" t="s">
        <v>104</v>
      </c>
      <c r="F203" t="s">
        <v>88</v>
      </c>
      <c r="G203">
        <v>0.900480429636215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0.92906032745742695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5.2243343646514992E-2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03" s="5" cm="1">
        <f t="array" ref="O203">MIN(IF((OutputTable[GroupByKey]=OutputTable[[#This Row],[GroupByKey]]),(OutputTable[GroupByKey]=OutputTable[[#This Row],[GroupByKey]])*OutputTable[RecordedValue]))</f>
        <v>0.78808827046509</v>
      </c>
      <c r="P203" s="5" cm="1">
        <f t="array" ref="P203">MAX(IF((OutputTable[GroupByKey]=OutputTable[[#This Row],[GroupByKey]]),(OutputTable[GroupByKey]=OutputTable[[#This Row],[GroupByKey]])*OutputTable[RecordedValue]))</f>
        <v>0.99381255473469199</v>
      </c>
    </row>
    <row r="204" spans="1:16" x14ac:dyDescent="0.35">
      <c r="A204" t="s">
        <v>66</v>
      </c>
      <c r="B204" t="s">
        <v>69</v>
      </c>
      <c r="C204">
        <v>29</v>
      </c>
      <c r="D204" t="s">
        <v>107</v>
      </c>
      <c r="E204" t="s">
        <v>100</v>
      </c>
      <c r="F204" t="s">
        <v>108</v>
      </c>
      <c r="G204">
        <v>94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ProjectSystem.NumberOutNumber OutSystem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95.95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5.6566276081633564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04" s="5" cm="1">
        <f t="array" ref="O204">MIN(IF((OutputTable[GroupByKey]=OutputTable[[#This Row],[GroupByKey]]),(OutputTable[GroupByKey]=OutputTable[[#This Row],[GroupByKey]])*OutputTable[RecordedValue]))</f>
        <v>83</v>
      </c>
      <c r="P204" s="5" cm="1">
        <f t="array" ref="P204">MAX(IF((OutputTable[GroupByKey]=OutputTable[[#This Row],[GroupByKey]]),(OutputTable[GroupByKey]=OutputTable[[#This Row],[GroupByKey]])*OutputTable[RecordedValue]))</f>
        <v>104</v>
      </c>
    </row>
    <row r="205" spans="1:16" x14ac:dyDescent="0.35">
      <c r="A205" t="s">
        <v>66</v>
      </c>
      <c r="B205" t="s">
        <v>69</v>
      </c>
      <c r="C205">
        <v>30</v>
      </c>
      <c r="D205" t="s">
        <v>97</v>
      </c>
      <c r="E205" t="s">
        <v>98</v>
      </c>
      <c r="F205" t="s">
        <v>76</v>
      </c>
      <c r="G205">
        <v>156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ProjectCliente.NumberInNumber InEntity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181.25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15.97393710600698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05" s="5" cm="1">
        <f t="array" ref="O205">MIN(IF((OutputTable[GroupByKey]=OutputTable[[#This Row],[GroupByKey]]),(OutputTable[GroupByKey]=OutputTable[[#This Row],[GroupByKey]])*OutputTable[RecordedValue]))</f>
        <v>146</v>
      </c>
      <c r="P205" s="5" cm="1">
        <f t="array" ref="P205">MAX(IF((OutputTable[GroupByKey]=OutputTable[[#This Row],[GroupByKey]]),(OutputTable[GroupByKey]=OutputTable[[#This Row],[GroupByKey]])*OutputTable[RecordedValue]))</f>
        <v>210</v>
      </c>
    </row>
    <row r="206" spans="1:16" x14ac:dyDescent="0.35">
      <c r="A206" t="s">
        <v>66</v>
      </c>
      <c r="B206" t="s">
        <v>69</v>
      </c>
      <c r="C206">
        <v>30</v>
      </c>
      <c r="D206" t="s">
        <v>99</v>
      </c>
      <c r="E206" t="s">
        <v>100</v>
      </c>
      <c r="F206" t="s">
        <v>76</v>
      </c>
      <c r="G206">
        <v>132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ProjectCliente.NumberOutNumber OutEntity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153.05000000000001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8.8490184882351901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06" s="5" cm="1">
        <f t="array" ref="O206">MIN(IF((OutputTable[GroupByKey]=OutputTable[[#This Row],[GroupByKey]]),(OutputTable[GroupByKey]=OutputTable[[#This Row],[GroupByKey]])*OutputTable[RecordedValue]))</f>
        <v>132</v>
      </c>
      <c r="P206" s="5" cm="1">
        <f t="array" ref="P206">MAX(IF((OutputTable[GroupByKey]=OutputTable[[#This Row],[GroupByKey]]),(OutputTable[GroupByKey]=OutputTable[[#This Row],[GroupByKey]])*OutputTable[RecordedValue]))</f>
        <v>166</v>
      </c>
    </row>
    <row r="207" spans="1:16" x14ac:dyDescent="0.35">
      <c r="A207" t="s">
        <v>66</v>
      </c>
      <c r="B207" t="s">
        <v>69</v>
      </c>
      <c r="C207">
        <v>30</v>
      </c>
      <c r="D207" t="s">
        <v>101</v>
      </c>
      <c r="E207" t="s">
        <v>102</v>
      </c>
      <c r="F207" t="s">
        <v>88</v>
      </c>
      <c r="G207">
        <v>59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66.349999999999994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4.3237566761870161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07" s="5" cm="1">
        <f t="array" ref="O207">MIN(IF((OutputTable[GroupByKey]=OutputTable[[#This Row],[GroupByKey]]),(OutputTable[GroupByKey]=OutputTable[[#This Row],[GroupByKey]])*OutputTable[RecordedValue]))</f>
        <v>56</v>
      </c>
      <c r="P207" s="5" cm="1">
        <f t="array" ref="P207">MAX(IF((OutputTable[GroupByKey]=OutputTable[[#This Row],[GroupByKey]]),(OutputTable[GroupByKey]=OutputTable[[#This Row],[GroupByKey]])*OutputTable[RecordedValue]))</f>
        <v>72</v>
      </c>
    </row>
    <row r="208" spans="1:16" x14ac:dyDescent="0.35">
      <c r="A208" t="s">
        <v>66</v>
      </c>
      <c r="B208" t="s">
        <v>69</v>
      </c>
      <c r="C208">
        <v>30</v>
      </c>
      <c r="D208" t="s">
        <v>103</v>
      </c>
      <c r="E208" t="s">
        <v>104</v>
      </c>
      <c r="F208" t="s">
        <v>88</v>
      </c>
      <c r="G208">
        <v>0.54670517319079004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0.78200153326291699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0.13637038930703246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08" s="5" cm="1">
        <f t="array" ref="O208">MIN(IF((OutputTable[GroupByKey]=OutputTable[[#This Row],[GroupByKey]]),(OutputTable[GroupByKey]=OutputTable[[#This Row],[GroupByKey]])*OutputTable[RecordedValue]))</f>
        <v>0.51812957617942801</v>
      </c>
      <c r="P208" s="5" cm="1">
        <f t="array" ref="P208">MAX(IF((OutputTable[GroupByKey]=OutputTable[[#This Row],[GroupByKey]]),(OutputTable[GroupByKey]=OutputTable[[#This Row],[GroupByKey]])*OutputTable[RecordedValue]))</f>
        <v>0.95110098058067905</v>
      </c>
    </row>
    <row r="209" spans="1:16" x14ac:dyDescent="0.35">
      <c r="A209" t="s">
        <v>66</v>
      </c>
      <c r="B209" t="s">
        <v>69</v>
      </c>
      <c r="C209">
        <v>30</v>
      </c>
      <c r="D209" t="s">
        <v>105</v>
      </c>
      <c r="E209" t="s">
        <v>102</v>
      </c>
      <c r="F209" t="s">
        <v>88</v>
      </c>
      <c r="G209">
        <v>105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122.625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7.0116661028932015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09" s="5" cm="1">
        <f t="array" ref="O209">MIN(IF((OutputTable[GroupByKey]=OutputTable[[#This Row],[GroupByKey]]),(OutputTable[GroupByKey]=OutputTable[[#This Row],[GroupByKey]])*OutputTable[RecordedValue]))</f>
        <v>105</v>
      </c>
      <c r="P209" s="5" cm="1">
        <f t="array" ref="P209">MAX(IF((OutputTable[GroupByKey]=OutputTable[[#This Row],[GroupByKey]]),(OutputTable[GroupByKey]=OutputTable[[#This Row],[GroupByKey]])*OutputTable[RecordedValue]))</f>
        <v>132</v>
      </c>
    </row>
    <row r="210" spans="1:16" x14ac:dyDescent="0.35">
      <c r="A210" t="s">
        <v>66</v>
      </c>
      <c r="B210" t="s">
        <v>69</v>
      </c>
      <c r="C210">
        <v>30</v>
      </c>
      <c r="D210" t="s">
        <v>106</v>
      </c>
      <c r="E210" t="s">
        <v>104</v>
      </c>
      <c r="F210" t="s">
        <v>88</v>
      </c>
      <c r="G210">
        <v>0.78808827046509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0.92906032745742695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5.2243343646514992E-2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10" s="5" cm="1">
        <f t="array" ref="O210">MIN(IF((OutputTable[GroupByKey]=OutputTable[[#This Row],[GroupByKey]]),(OutputTable[GroupByKey]=OutputTable[[#This Row],[GroupByKey]])*OutputTable[RecordedValue]))</f>
        <v>0.78808827046509</v>
      </c>
      <c r="P210" s="5" cm="1">
        <f t="array" ref="P210">MAX(IF((OutputTable[GroupByKey]=OutputTable[[#This Row],[GroupByKey]]),(OutputTable[GroupByKey]=OutputTable[[#This Row],[GroupByKey]])*OutputTable[RecordedValue]))</f>
        <v>0.99381255473469199</v>
      </c>
    </row>
    <row r="211" spans="1:16" x14ac:dyDescent="0.35">
      <c r="A211" t="s">
        <v>66</v>
      </c>
      <c r="B211" t="s">
        <v>69</v>
      </c>
      <c r="C211">
        <v>30</v>
      </c>
      <c r="D211" t="s">
        <v>107</v>
      </c>
      <c r="E211" t="s">
        <v>100</v>
      </c>
      <c r="F211" t="s">
        <v>108</v>
      </c>
      <c r="G211">
        <v>83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ProjectSystem.NumberOutNumber OutSystem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95.95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5.6566276081633564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11" s="5" cm="1">
        <f t="array" ref="O211">MIN(IF((OutputTable[GroupByKey]=OutputTable[[#This Row],[GroupByKey]]),(OutputTable[GroupByKey]=OutputTable[[#This Row],[GroupByKey]])*OutputTable[RecordedValue]))</f>
        <v>83</v>
      </c>
      <c r="P211" s="5" cm="1">
        <f t="array" ref="P211">MAX(IF((OutputTable[GroupByKey]=OutputTable[[#This Row],[GroupByKey]]),(OutputTable[GroupByKey]=OutputTable[[#This Row],[GroupByKey]])*OutputTable[RecordedValue]))</f>
        <v>104</v>
      </c>
    </row>
    <row r="212" spans="1:16" x14ac:dyDescent="0.35">
      <c r="A212" t="s">
        <v>66</v>
      </c>
      <c r="B212" t="s">
        <v>69</v>
      </c>
      <c r="C212">
        <v>31</v>
      </c>
      <c r="D212" t="s">
        <v>97</v>
      </c>
      <c r="E212" t="s">
        <v>98</v>
      </c>
      <c r="F212" t="s">
        <v>76</v>
      </c>
      <c r="G212">
        <v>185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ProjectCliente.NumberInNumber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181.25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15.97393710600698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12" s="5" cm="1">
        <f t="array" ref="O212">MIN(IF((OutputTable[GroupByKey]=OutputTable[[#This Row],[GroupByKey]]),(OutputTable[GroupByKey]=OutputTable[[#This Row],[GroupByKey]])*OutputTable[RecordedValue]))</f>
        <v>146</v>
      </c>
      <c r="P212" s="5" cm="1">
        <f t="array" ref="P212">MAX(IF((OutputTable[GroupByKey]=OutputTable[[#This Row],[GroupByKey]]),(OutputTable[GroupByKey]=OutputTable[[#This Row],[GroupByKey]])*OutputTable[RecordedValue]))</f>
        <v>210</v>
      </c>
    </row>
    <row r="213" spans="1:16" x14ac:dyDescent="0.35">
      <c r="A213" t="s">
        <v>66</v>
      </c>
      <c r="B213" t="s">
        <v>69</v>
      </c>
      <c r="C213">
        <v>31</v>
      </c>
      <c r="D213" t="s">
        <v>99</v>
      </c>
      <c r="E213" t="s">
        <v>100</v>
      </c>
      <c r="F213" t="s">
        <v>76</v>
      </c>
      <c r="G213">
        <v>153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ProjectCliente.NumberOutNumber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153.05000000000001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8.8490184882351901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13" s="5" cm="1">
        <f t="array" ref="O213">MIN(IF((OutputTable[GroupByKey]=OutputTable[[#This Row],[GroupByKey]]),(OutputTable[GroupByKey]=OutputTable[[#This Row],[GroupByKey]])*OutputTable[RecordedValue]))</f>
        <v>132</v>
      </c>
      <c r="P213" s="5" cm="1">
        <f t="array" ref="P213">MAX(IF((OutputTable[GroupByKey]=OutputTable[[#This Row],[GroupByKey]]),(OutputTable[GroupByKey]=OutputTable[[#This Row],[GroupByKey]])*OutputTable[RecordedValue]))</f>
        <v>166</v>
      </c>
    </row>
    <row r="214" spans="1:16" x14ac:dyDescent="0.35">
      <c r="A214" t="s">
        <v>66</v>
      </c>
      <c r="B214" t="s">
        <v>69</v>
      </c>
      <c r="C214">
        <v>31</v>
      </c>
      <c r="D214" t="s">
        <v>101</v>
      </c>
      <c r="E214" t="s">
        <v>102</v>
      </c>
      <c r="F214" t="s">
        <v>88</v>
      </c>
      <c r="G214">
        <v>66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66.349999999999994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4.3237566761870161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14" s="5" cm="1">
        <f t="array" ref="O214">MIN(IF((OutputTable[GroupByKey]=OutputTable[[#This Row],[GroupByKey]]),(OutputTable[GroupByKey]=OutputTable[[#This Row],[GroupByKey]])*OutputTable[RecordedValue]))</f>
        <v>56</v>
      </c>
      <c r="P214" s="5" cm="1">
        <f t="array" ref="P214">MAX(IF((OutputTable[GroupByKey]=OutputTable[[#This Row],[GroupByKey]]),(OutputTable[GroupByKey]=OutputTable[[#This Row],[GroupByKey]])*OutputTable[RecordedValue]))</f>
        <v>72</v>
      </c>
    </row>
    <row r="215" spans="1:16" x14ac:dyDescent="0.35">
      <c r="A215" t="s">
        <v>66</v>
      </c>
      <c r="B215" t="s">
        <v>69</v>
      </c>
      <c r="C215">
        <v>31</v>
      </c>
      <c r="D215" t="s">
        <v>103</v>
      </c>
      <c r="E215" t="s">
        <v>104</v>
      </c>
      <c r="F215" t="s">
        <v>88</v>
      </c>
      <c r="G215">
        <v>0.698218477250794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0.78200153326291699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0.13637038930703246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15" s="5" cm="1">
        <f t="array" ref="O215">MIN(IF((OutputTable[GroupByKey]=OutputTable[[#This Row],[GroupByKey]]),(OutputTable[GroupByKey]=OutputTable[[#This Row],[GroupByKey]])*OutputTable[RecordedValue]))</f>
        <v>0.51812957617942801</v>
      </c>
      <c r="P215" s="5" cm="1">
        <f t="array" ref="P215">MAX(IF((OutputTable[GroupByKey]=OutputTable[[#This Row],[GroupByKey]]),(OutputTable[GroupByKey]=OutputTable[[#This Row],[GroupByKey]])*OutputTable[RecordedValue]))</f>
        <v>0.95110098058067905</v>
      </c>
    </row>
    <row r="216" spans="1:16" x14ac:dyDescent="0.35">
      <c r="A216" t="s">
        <v>66</v>
      </c>
      <c r="B216" t="s">
        <v>69</v>
      </c>
      <c r="C216">
        <v>31</v>
      </c>
      <c r="D216" t="s">
        <v>105</v>
      </c>
      <c r="E216" t="s">
        <v>102</v>
      </c>
      <c r="F216" t="s">
        <v>88</v>
      </c>
      <c r="G216">
        <v>123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122.625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7.0116661028932015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16" s="5" cm="1">
        <f t="array" ref="O216">MIN(IF((OutputTable[GroupByKey]=OutputTable[[#This Row],[GroupByKey]]),(OutputTable[GroupByKey]=OutputTable[[#This Row],[GroupByKey]])*OutputTable[RecordedValue]))</f>
        <v>105</v>
      </c>
      <c r="P216" s="5" cm="1">
        <f t="array" ref="P216">MAX(IF((OutputTable[GroupByKey]=OutputTable[[#This Row],[GroupByKey]]),(OutputTable[GroupByKey]=OutputTable[[#This Row],[GroupByKey]])*OutputTable[RecordedValue]))</f>
        <v>132</v>
      </c>
    </row>
    <row r="217" spans="1:16" x14ac:dyDescent="0.35">
      <c r="A217" t="s">
        <v>66</v>
      </c>
      <c r="B217" t="s">
        <v>69</v>
      </c>
      <c r="C217">
        <v>31</v>
      </c>
      <c r="D217" t="s">
        <v>106</v>
      </c>
      <c r="E217" t="s">
        <v>104</v>
      </c>
      <c r="F217" t="s">
        <v>88</v>
      </c>
      <c r="G217">
        <v>0.93495576307238004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0.92906032745742695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5.2243343646514992E-2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17" s="5" cm="1">
        <f t="array" ref="O217">MIN(IF((OutputTable[GroupByKey]=OutputTable[[#This Row],[GroupByKey]]),(OutputTable[GroupByKey]=OutputTable[[#This Row],[GroupByKey]])*OutputTable[RecordedValue]))</f>
        <v>0.78808827046509</v>
      </c>
      <c r="P217" s="5" cm="1">
        <f t="array" ref="P217">MAX(IF((OutputTable[GroupByKey]=OutputTable[[#This Row],[GroupByKey]]),(OutputTable[GroupByKey]=OutputTable[[#This Row],[GroupByKey]])*OutputTable[RecordedValue]))</f>
        <v>0.99381255473469199</v>
      </c>
    </row>
    <row r="218" spans="1:16" x14ac:dyDescent="0.35">
      <c r="A218" t="s">
        <v>66</v>
      </c>
      <c r="B218" t="s">
        <v>69</v>
      </c>
      <c r="C218">
        <v>31</v>
      </c>
      <c r="D218" t="s">
        <v>107</v>
      </c>
      <c r="E218" t="s">
        <v>100</v>
      </c>
      <c r="F218" t="s">
        <v>108</v>
      </c>
      <c r="G218">
        <v>97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ProjectSystem.NumberOutNumber OutSystem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95.95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5.6566276081633564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18" s="5" cm="1">
        <f t="array" ref="O218">MIN(IF((OutputTable[GroupByKey]=OutputTable[[#This Row],[GroupByKey]]),(OutputTable[GroupByKey]=OutputTable[[#This Row],[GroupByKey]])*OutputTable[RecordedValue]))</f>
        <v>83</v>
      </c>
      <c r="P218" s="5" cm="1">
        <f t="array" ref="P218">MAX(IF((OutputTable[GroupByKey]=OutputTable[[#This Row],[GroupByKey]]),(OutputTable[GroupByKey]=OutputTable[[#This Row],[GroupByKey]])*OutputTable[RecordedValue]))</f>
        <v>104</v>
      </c>
    </row>
    <row r="219" spans="1:16" x14ac:dyDescent="0.35">
      <c r="A219" t="s">
        <v>66</v>
      </c>
      <c r="B219" t="s">
        <v>69</v>
      </c>
      <c r="C219">
        <v>32</v>
      </c>
      <c r="D219" t="s">
        <v>97</v>
      </c>
      <c r="E219" t="s">
        <v>98</v>
      </c>
      <c r="F219" t="s">
        <v>76</v>
      </c>
      <c r="G219">
        <v>179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ProjectCliente.NumberInNumber InEntity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181.25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15.97393710600698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19" s="5" cm="1">
        <f t="array" ref="O219">MIN(IF((OutputTable[GroupByKey]=OutputTable[[#This Row],[GroupByKey]]),(OutputTable[GroupByKey]=OutputTable[[#This Row],[GroupByKey]])*OutputTable[RecordedValue]))</f>
        <v>146</v>
      </c>
      <c r="P219" s="5" cm="1">
        <f t="array" ref="P219">MAX(IF((OutputTable[GroupByKey]=OutputTable[[#This Row],[GroupByKey]]),(OutputTable[GroupByKey]=OutputTable[[#This Row],[GroupByKey]])*OutputTable[RecordedValue]))</f>
        <v>210</v>
      </c>
    </row>
    <row r="220" spans="1:16" x14ac:dyDescent="0.35">
      <c r="A220" t="s">
        <v>66</v>
      </c>
      <c r="B220" t="s">
        <v>69</v>
      </c>
      <c r="C220">
        <v>32</v>
      </c>
      <c r="D220" t="s">
        <v>99</v>
      </c>
      <c r="E220" t="s">
        <v>100</v>
      </c>
      <c r="F220" t="s">
        <v>76</v>
      </c>
      <c r="G220">
        <v>149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ProjectCliente.NumberOutNumber OutEntity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153.05000000000001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8.8490184882351901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20" s="5" cm="1">
        <f t="array" ref="O220">MIN(IF((OutputTable[GroupByKey]=OutputTable[[#This Row],[GroupByKey]]),(OutputTable[GroupByKey]=OutputTable[[#This Row],[GroupByKey]])*OutputTable[RecordedValue]))</f>
        <v>132</v>
      </c>
      <c r="P220" s="5" cm="1">
        <f t="array" ref="P220">MAX(IF((OutputTable[GroupByKey]=OutputTable[[#This Row],[GroupByKey]]),(OutputTable[GroupByKey]=OutputTable[[#This Row],[GroupByKey]])*OutputTable[RecordedValue]))</f>
        <v>166</v>
      </c>
    </row>
    <row r="221" spans="1:16" x14ac:dyDescent="0.35">
      <c r="A221" t="s">
        <v>66</v>
      </c>
      <c r="B221" t="s">
        <v>69</v>
      </c>
      <c r="C221">
        <v>32</v>
      </c>
      <c r="D221" t="s">
        <v>101</v>
      </c>
      <c r="E221" t="s">
        <v>102</v>
      </c>
      <c r="F221" t="s">
        <v>88</v>
      </c>
      <c r="G221">
        <v>64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66.349999999999994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4.3237566761870161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21" s="5" cm="1">
        <f t="array" ref="O221">MIN(IF((OutputTable[GroupByKey]=OutputTable[[#This Row],[GroupByKey]]),(OutputTable[GroupByKey]=OutputTable[[#This Row],[GroupByKey]])*OutputTable[RecordedValue]))</f>
        <v>56</v>
      </c>
      <c r="P221" s="5" cm="1">
        <f t="array" ref="P221">MAX(IF((OutputTable[GroupByKey]=OutputTable[[#This Row],[GroupByKey]]),(OutputTable[GroupByKey]=OutputTable[[#This Row],[GroupByKey]])*OutputTable[RecordedValue]))</f>
        <v>72</v>
      </c>
    </row>
    <row r="222" spans="1:16" x14ac:dyDescent="0.35">
      <c r="A222" t="s">
        <v>66</v>
      </c>
      <c r="B222" t="s">
        <v>69</v>
      </c>
      <c r="C222">
        <v>32</v>
      </c>
      <c r="D222" t="s">
        <v>103</v>
      </c>
      <c r="E222" t="s">
        <v>104</v>
      </c>
      <c r="F222" t="s">
        <v>88</v>
      </c>
      <c r="G222">
        <v>0.821487735419834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0.78200153326291699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0.13637038930703246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22" s="5" cm="1">
        <f t="array" ref="O222">MIN(IF((OutputTable[GroupByKey]=OutputTable[[#This Row],[GroupByKey]]),(OutputTable[GroupByKey]=OutputTable[[#This Row],[GroupByKey]])*OutputTable[RecordedValue]))</f>
        <v>0.51812957617942801</v>
      </c>
      <c r="P222" s="5" cm="1">
        <f t="array" ref="P222">MAX(IF((OutputTable[GroupByKey]=OutputTable[[#This Row],[GroupByKey]]),(OutputTable[GroupByKey]=OutputTable[[#This Row],[GroupByKey]])*OutputTable[RecordedValue]))</f>
        <v>0.95110098058067905</v>
      </c>
    </row>
    <row r="223" spans="1:16" x14ac:dyDescent="0.35">
      <c r="A223" t="s">
        <v>66</v>
      </c>
      <c r="B223" t="s">
        <v>69</v>
      </c>
      <c r="C223">
        <v>32</v>
      </c>
      <c r="D223" t="s">
        <v>105</v>
      </c>
      <c r="E223" t="s">
        <v>102</v>
      </c>
      <c r="F223" t="s">
        <v>88</v>
      </c>
      <c r="G223">
        <v>120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122.625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7.0116661028932015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23" s="5" cm="1">
        <f t="array" ref="O223">MIN(IF((OutputTable[GroupByKey]=OutputTable[[#This Row],[GroupByKey]]),(OutputTable[GroupByKey]=OutputTable[[#This Row],[GroupByKey]])*OutputTable[RecordedValue]))</f>
        <v>105</v>
      </c>
      <c r="P223" s="5" cm="1">
        <f t="array" ref="P223">MAX(IF((OutputTable[GroupByKey]=OutputTable[[#This Row],[GroupByKey]]),(OutputTable[GroupByKey]=OutputTable[[#This Row],[GroupByKey]])*OutputTable[RecordedValue]))</f>
        <v>132</v>
      </c>
    </row>
    <row r="224" spans="1:16" x14ac:dyDescent="0.35">
      <c r="A224" t="s">
        <v>66</v>
      </c>
      <c r="B224" t="s">
        <v>69</v>
      </c>
      <c r="C224">
        <v>32</v>
      </c>
      <c r="D224" t="s">
        <v>106</v>
      </c>
      <c r="E224" t="s">
        <v>104</v>
      </c>
      <c r="F224" t="s">
        <v>88</v>
      </c>
      <c r="G224">
        <v>0.91177526916440399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0.92906032745742695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5.2243343646514992E-2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24" s="5" cm="1">
        <f t="array" ref="O224">MIN(IF((OutputTable[GroupByKey]=OutputTable[[#This Row],[GroupByKey]]),(OutputTable[GroupByKey]=OutputTable[[#This Row],[GroupByKey]])*OutputTable[RecordedValue]))</f>
        <v>0.78808827046509</v>
      </c>
      <c r="P224" s="5" cm="1">
        <f t="array" ref="P224">MAX(IF((OutputTable[GroupByKey]=OutputTable[[#This Row],[GroupByKey]]),(OutputTable[GroupByKey]=OutputTable[[#This Row],[GroupByKey]])*OutputTable[RecordedValue]))</f>
        <v>0.99381255473469199</v>
      </c>
    </row>
    <row r="225" spans="1:16" x14ac:dyDescent="0.35">
      <c r="A225" t="s">
        <v>66</v>
      </c>
      <c r="B225" t="s">
        <v>69</v>
      </c>
      <c r="C225">
        <v>32</v>
      </c>
      <c r="D225" t="s">
        <v>107</v>
      </c>
      <c r="E225" t="s">
        <v>100</v>
      </c>
      <c r="F225" t="s">
        <v>108</v>
      </c>
      <c r="G225">
        <v>95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ProjectSystem.NumberOutNumber OutSystem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95.95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5.6566276081633564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25" s="5" cm="1">
        <f t="array" ref="O225">MIN(IF((OutputTable[GroupByKey]=OutputTable[[#This Row],[GroupByKey]]),(OutputTable[GroupByKey]=OutputTable[[#This Row],[GroupByKey]])*OutputTable[RecordedValue]))</f>
        <v>83</v>
      </c>
      <c r="P225" s="5" cm="1">
        <f t="array" ref="P225">MAX(IF((OutputTable[GroupByKey]=OutputTable[[#This Row],[GroupByKey]]),(OutputTable[GroupByKey]=OutputTable[[#This Row],[GroupByKey]])*OutputTable[RecordedValue]))</f>
        <v>104</v>
      </c>
    </row>
    <row r="226" spans="1:16" x14ac:dyDescent="0.35">
      <c r="A226" t="s">
        <v>66</v>
      </c>
      <c r="B226" t="s">
        <v>69</v>
      </c>
      <c r="C226">
        <v>33</v>
      </c>
      <c r="D226" t="s">
        <v>97</v>
      </c>
      <c r="E226" t="s">
        <v>98</v>
      </c>
      <c r="F226" t="s">
        <v>76</v>
      </c>
      <c r="G226">
        <v>177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ProjectCliente.NumberInNumber InEntity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181.25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15.97393710600698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26" s="5" cm="1">
        <f t="array" ref="O226">MIN(IF((OutputTable[GroupByKey]=OutputTable[[#This Row],[GroupByKey]]),(OutputTable[GroupByKey]=OutputTable[[#This Row],[GroupByKey]])*OutputTable[RecordedValue]))</f>
        <v>146</v>
      </c>
      <c r="P226" s="5" cm="1">
        <f t="array" ref="P226">MAX(IF((OutputTable[GroupByKey]=OutputTable[[#This Row],[GroupByKey]]),(OutputTable[GroupByKey]=OutputTable[[#This Row],[GroupByKey]])*OutputTable[RecordedValue]))</f>
        <v>210</v>
      </c>
    </row>
    <row r="227" spans="1:16" x14ac:dyDescent="0.35">
      <c r="A227" t="s">
        <v>66</v>
      </c>
      <c r="B227" t="s">
        <v>69</v>
      </c>
      <c r="C227">
        <v>33</v>
      </c>
      <c r="D227" t="s">
        <v>99</v>
      </c>
      <c r="E227" t="s">
        <v>100</v>
      </c>
      <c r="F227" t="s">
        <v>76</v>
      </c>
      <c r="G227">
        <v>143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ProjectCliente.NumberOutNumber OutEntity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153.05000000000001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8.8490184882351901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27" s="5" cm="1">
        <f t="array" ref="O227">MIN(IF((OutputTable[GroupByKey]=OutputTable[[#This Row],[GroupByKey]]),(OutputTable[GroupByKey]=OutputTable[[#This Row],[GroupByKey]])*OutputTable[RecordedValue]))</f>
        <v>132</v>
      </c>
      <c r="P227" s="5" cm="1">
        <f t="array" ref="P227">MAX(IF((OutputTable[GroupByKey]=OutputTable[[#This Row],[GroupByKey]]),(OutputTable[GroupByKey]=OutputTable[[#This Row],[GroupByKey]])*OutputTable[RecordedValue]))</f>
        <v>166</v>
      </c>
    </row>
    <row r="228" spans="1:16" x14ac:dyDescent="0.35">
      <c r="A228" t="s">
        <v>66</v>
      </c>
      <c r="B228" t="s">
        <v>69</v>
      </c>
      <c r="C228">
        <v>33</v>
      </c>
      <c r="D228" t="s">
        <v>101</v>
      </c>
      <c r="E228" t="s">
        <v>102</v>
      </c>
      <c r="F228" t="s">
        <v>88</v>
      </c>
      <c r="G228">
        <v>63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66.349999999999994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4.3237566761870161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28" s="5" cm="1">
        <f t="array" ref="O228">MIN(IF((OutputTable[GroupByKey]=OutputTable[[#This Row],[GroupByKey]]),(OutputTable[GroupByKey]=OutputTable[[#This Row],[GroupByKey]])*OutputTable[RecordedValue]))</f>
        <v>56</v>
      </c>
      <c r="P228" s="5" cm="1">
        <f t="array" ref="P228">MAX(IF((OutputTable[GroupByKey]=OutputTable[[#This Row],[GroupByKey]]),(OutputTable[GroupByKey]=OutputTable[[#This Row],[GroupByKey]])*OutputTable[RecordedValue]))</f>
        <v>72</v>
      </c>
    </row>
    <row r="229" spans="1:16" x14ac:dyDescent="0.35">
      <c r="A229" t="s">
        <v>66</v>
      </c>
      <c r="B229" t="s">
        <v>69</v>
      </c>
      <c r="C229">
        <v>33</v>
      </c>
      <c r="D229" t="s">
        <v>103</v>
      </c>
      <c r="E229" t="s">
        <v>104</v>
      </c>
      <c r="F229" t="s">
        <v>88</v>
      </c>
      <c r="G229">
        <v>0.57025463384971697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0.78200153326291699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0.13637038930703246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29" s="5" cm="1">
        <f t="array" ref="O229">MIN(IF((OutputTable[GroupByKey]=OutputTable[[#This Row],[GroupByKey]]),(OutputTable[GroupByKey]=OutputTable[[#This Row],[GroupByKey]])*OutputTable[RecordedValue]))</f>
        <v>0.51812957617942801</v>
      </c>
      <c r="P229" s="5" cm="1">
        <f t="array" ref="P229">MAX(IF((OutputTable[GroupByKey]=OutputTable[[#This Row],[GroupByKey]]),(OutputTable[GroupByKey]=OutputTable[[#This Row],[GroupByKey]])*OutputTable[RecordedValue]))</f>
        <v>0.95110098058067905</v>
      </c>
    </row>
    <row r="230" spans="1:16" x14ac:dyDescent="0.35">
      <c r="A230" t="s">
        <v>66</v>
      </c>
      <c r="B230" t="s">
        <v>69</v>
      </c>
      <c r="C230">
        <v>33</v>
      </c>
      <c r="D230" t="s">
        <v>105</v>
      </c>
      <c r="E230" t="s">
        <v>102</v>
      </c>
      <c r="F230" t="s">
        <v>88</v>
      </c>
      <c r="G230">
        <v>117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122.625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7.0116661028932015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30" s="5" cm="1">
        <f t="array" ref="O230">MIN(IF((OutputTable[GroupByKey]=OutputTable[[#This Row],[GroupByKey]]),(OutputTable[GroupByKey]=OutputTable[[#This Row],[GroupByKey]])*OutputTable[RecordedValue]))</f>
        <v>105</v>
      </c>
      <c r="P230" s="5" cm="1">
        <f t="array" ref="P230">MAX(IF((OutputTable[GroupByKey]=OutputTable[[#This Row],[GroupByKey]]),(OutputTable[GroupByKey]=OutputTable[[#This Row],[GroupByKey]])*OutputTable[RecordedValue]))</f>
        <v>132</v>
      </c>
    </row>
    <row r="231" spans="1:16" x14ac:dyDescent="0.35">
      <c r="A231" t="s">
        <v>66</v>
      </c>
      <c r="B231" t="s">
        <v>69</v>
      </c>
      <c r="C231">
        <v>33</v>
      </c>
      <c r="D231" t="s">
        <v>106</v>
      </c>
      <c r="E231" t="s">
        <v>104</v>
      </c>
      <c r="F231" t="s">
        <v>88</v>
      </c>
      <c r="G231">
        <v>0.87488966189842998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0.92906032745742695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5.2243343646514992E-2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31" s="5" cm="1">
        <f t="array" ref="O231">MIN(IF((OutputTable[GroupByKey]=OutputTable[[#This Row],[GroupByKey]]),(OutputTable[GroupByKey]=OutputTable[[#This Row],[GroupByKey]])*OutputTable[RecordedValue]))</f>
        <v>0.78808827046509</v>
      </c>
      <c r="P231" s="5" cm="1">
        <f t="array" ref="P231">MAX(IF((OutputTable[GroupByKey]=OutputTable[[#This Row],[GroupByKey]]),(OutputTable[GroupByKey]=OutputTable[[#This Row],[GroupByKey]])*OutputTable[RecordedValue]))</f>
        <v>0.99381255473469199</v>
      </c>
    </row>
    <row r="232" spans="1:16" x14ac:dyDescent="0.35">
      <c r="A232" t="s">
        <v>66</v>
      </c>
      <c r="B232" t="s">
        <v>69</v>
      </c>
      <c r="C232">
        <v>33</v>
      </c>
      <c r="D232" t="s">
        <v>107</v>
      </c>
      <c r="E232" t="s">
        <v>100</v>
      </c>
      <c r="F232" t="s">
        <v>108</v>
      </c>
      <c r="G232">
        <v>90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95.95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5.6566276081633564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32" s="5" cm="1">
        <f t="array" ref="O232">MIN(IF((OutputTable[GroupByKey]=OutputTable[[#This Row],[GroupByKey]]),(OutputTable[GroupByKey]=OutputTable[[#This Row],[GroupByKey]])*OutputTable[RecordedValue]))</f>
        <v>83</v>
      </c>
      <c r="P232" s="5" cm="1">
        <f t="array" ref="P232">MAX(IF((OutputTable[GroupByKey]=OutputTable[[#This Row],[GroupByKey]]),(OutputTable[GroupByKey]=OutputTable[[#This Row],[GroupByKey]])*OutputTable[RecordedValue]))</f>
        <v>104</v>
      </c>
    </row>
    <row r="233" spans="1:16" x14ac:dyDescent="0.35">
      <c r="A233" t="s">
        <v>66</v>
      </c>
      <c r="B233" t="s">
        <v>69</v>
      </c>
      <c r="C233">
        <v>34</v>
      </c>
      <c r="D233" t="s">
        <v>97</v>
      </c>
      <c r="E233" t="s">
        <v>98</v>
      </c>
      <c r="F233" t="s">
        <v>76</v>
      </c>
      <c r="G233">
        <v>190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ProjectCliente.NumberInNumber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181.25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15.97393710600698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33" s="5" cm="1">
        <f t="array" ref="O233">MIN(IF((OutputTable[GroupByKey]=OutputTable[[#This Row],[GroupByKey]]),(OutputTable[GroupByKey]=OutputTable[[#This Row],[GroupByKey]])*OutputTable[RecordedValue]))</f>
        <v>146</v>
      </c>
      <c r="P233" s="5" cm="1">
        <f t="array" ref="P233">MAX(IF((OutputTable[GroupByKey]=OutputTable[[#This Row],[GroupByKey]]),(OutputTable[GroupByKey]=OutputTable[[#This Row],[GroupByKey]])*OutputTable[RecordedValue]))</f>
        <v>210</v>
      </c>
    </row>
    <row r="234" spans="1:16" x14ac:dyDescent="0.35">
      <c r="A234" t="s">
        <v>66</v>
      </c>
      <c r="B234" t="s">
        <v>69</v>
      </c>
      <c r="C234">
        <v>34</v>
      </c>
      <c r="D234" t="s">
        <v>99</v>
      </c>
      <c r="E234" t="s">
        <v>100</v>
      </c>
      <c r="F234" t="s">
        <v>76</v>
      </c>
      <c r="G234">
        <v>164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ProjectCliente.NumberOutNumber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153.05000000000001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8.8490184882351901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34" s="5" cm="1">
        <f t="array" ref="O234">MIN(IF((OutputTable[GroupByKey]=OutputTable[[#This Row],[GroupByKey]]),(OutputTable[GroupByKey]=OutputTable[[#This Row],[GroupByKey]])*OutputTable[RecordedValue]))</f>
        <v>132</v>
      </c>
      <c r="P234" s="5" cm="1">
        <f t="array" ref="P234">MAX(IF((OutputTable[GroupByKey]=OutputTable[[#This Row],[GroupByKey]]),(OutputTable[GroupByKey]=OutputTable[[#This Row],[GroupByKey]])*OutputTable[RecordedValue]))</f>
        <v>166</v>
      </c>
    </row>
    <row r="235" spans="1:16" x14ac:dyDescent="0.35">
      <c r="A235" t="s">
        <v>66</v>
      </c>
      <c r="B235" t="s">
        <v>69</v>
      </c>
      <c r="C235">
        <v>34</v>
      </c>
      <c r="D235" t="s">
        <v>101</v>
      </c>
      <c r="E235" t="s">
        <v>102</v>
      </c>
      <c r="F235" t="s">
        <v>88</v>
      </c>
      <c r="G235">
        <v>70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66.349999999999994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4.3237566761870161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35" s="5" cm="1">
        <f t="array" ref="O235">MIN(IF((OutputTable[GroupByKey]=OutputTable[[#This Row],[GroupByKey]]),(OutputTable[GroupByKey]=OutputTable[[#This Row],[GroupByKey]])*OutputTable[RecordedValue]))</f>
        <v>56</v>
      </c>
      <c r="P235" s="5" cm="1">
        <f t="array" ref="P235">MAX(IF((OutputTable[GroupByKey]=OutputTable[[#This Row],[GroupByKey]]),(OutputTable[GroupByKey]=OutputTable[[#This Row],[GroupByKey]])*OutputTable[RecordedValue]))</f>
        <v>72</v>
      </c>
    </row>
    <row r="236" spans="1:16" x14ac:dyDescent="0.35">
      <c r="A236" t="s">
        <v>66</v>
      </c>
      <c r="B236" t="s">
        <v>69</v>
      </c>
      <c r="C236">
        <v>34</v>
      </c>
      <c r="D236" t="s">
        <v>103</v>
      </c>
      <c r="E236" t="s">
        <v>104</v>
      </c>
      <c r="F236" t="s">
        <v>88</v>
      </c>
      <c r="G236">
        <v>0.94761048741129605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0.78200153326291699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0.13637038930703246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36" s="5" cm="1">
        <f t="array" ref="O236">MIN(IF((OutputTable[GroupByKey]=OutputTable[[#This Row],[GroupByKey]]),(OutputTable[GroupByKey]=OutputTable[[#This Row],[GroupByKey]])*OutputTable[RecordedValue]))</f>
        <v>0.51812957617942801</v>
      </c>
      <c r="P236" s="5" cm="1">
        <f t="array" ref="P236">MAX(IF((OutputTable[GroupByKey]=OutputTable[[#This Row],[GroupByKey]]),(OutputTable[GroupByKey]=OutputTable[[#This Row],[GroupByKey]])*OutputTable[RecordedValue]))</f>
        <v>0.95110098058067905</v>
      </c>
    </row>
    <row r="237" spans="1:16" x14ac:dyDescent="0.35">
      <c r="A237" t="s">
        <v>66</v>
      </c>
      <c r="B237" t="s">
        <v>69</v>
      </c>
      <c r="C237">
        <v>34</v>
      </c>
      <c r="D237" t="s">
        <v>105</v>
      </c>
      <c r="E237" t="s">
        <v>102</v>
      </c>
      <c r="F237" t="s">
        <v>88</v>
      </c>
      <c r="G237">
        <v>129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122.625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7.0116661028932015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37" s="5" cm="1">
        <f t="array" ref="O237">MIN(IF((OutputTable[GroupByKey]=OutputTable[[#This Row],[GroupByKey]]),(OutputTable[GroupByKey]=OutputTable[[#This Row],[GroupByKey]])*OutputTable[RecordedValue]))</f>
        <v>105</v>
      </c>
      <c r="P237" s="5" cm="1">
        <f t="array" ref="P237">MAX(IF((OutputTable[GroupByKey]=OutputTable[[#This Row],[GroupByKey]]),(OutputTable[GroupByKey]=OutputTable[[#This Row],[GroupByKey]])*OutputTable[RecordedValue]))</f>
        <v>132</v>
      </c>
    </row>
    <row r="238" spans="1:16" x14ac:dyDescent="0.35">
      <c r="A238" t="s">
        <v>66</v>
      </c>
      <c r="B238" t="s">
        <v>69</v>
      </c>
      <c r="C238">
        <v>34</v>
      </c>
      <c r="D238" t="s">
        <v>106</v>
      </c>
      <c r="E238" t="s">
        <v>104</v>
      </c>
      <c r="F238" t="s">
        <v>88</v>
      </c>
      <c r="G238">
        <v>0.98065534561896295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0.92906032745742695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5.2243343646514992E-2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38" s="5" cm="1">
        <f t="array" ref="O238">MIN(IF((OutputTable[GroupByKey]=OutputTable[[#This Row],[GroupByKey]]),(OutputTable[GroupByKey]=OutputTable[[#This Row],[GroupByKey]])*OutputTable[RecordedValue]))</f>
        <v>0.78808827046509</v>
      </c>
      <c r="P238" s="5" cm="1">
        <f t="array" ref="P238">MAX(IF((OutputTable[GroupByKey]=OutputTable[[#This Row],[GroupByKey]]),(OutputTable[GroupByKey]=OutputTable[[#This Row],[GroupByKey]])*OutputTable[RecordedValue]))</f>
        <v>0.99381255473469199</v>
      </c>
    </row>
    <row r="239" spans="1:16" x14ac:dyDescent="0.35">
      <c r="A239" t="s">
        <v>66</v>
      </c>
      <c r="B239" t="s">
        <v>69</v>
      </c>
      <c r="C239">
        <v>34</v>
      </c>
      <c r="D239" t="s">
        <v>107</v>
      </c>
      <c r="E239" t="s">
        <v>100</v>
      </c>
      <c r="F239" t="s">
        <v>108</v>
      </c>
      <c r="G239">
        <v>104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95.95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5.6566276081633564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39" s="5" cm="1">
        <f t="array" ref="O239">MIN(IF((OutputTable[GroupByKey]=OutputTable[[#This Row],[GroupByKey]]),(OutputTable[GroupByKey]=OutputTable[[#This Row],[GroupByKey]])*OutputTable[RecordedValue]))</f>
        <v>83</v>
      </c>
      <c r="P239" s="5" cm="1">
        <f t="array" ref="P239">MAX(IF((OutputTable[GroupByKey]=OutputTable[[#This Row],[GroupByKey]]),(OutputTable[GroupByKey]=OutputTable[[#This Row],[GroupByKey]])*OutputTable[RecordedValue]))</f>
        <v>104</v>
      </c>
    </row>
    <row r="240" spans="1:16" x14ac:dyDescent="0.35">
      <c r="A240" t="s">
        <v>66</v>
      </c>
      <c r="B240" t="s">
        <v>69</v>
      </c>
      <c r="C240">
        <v>35</v>
      </c>
      <c r="D240" t="s">
        <v>97</v>
      </c>
      <c r="E240" t="s">
        <v>98</v>
      </c>
      <c r="F240" t="s">
        <v>76</v>
      </c>
      <c r="G240">
        <v>186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ProjectCliente.NumberInNumber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181.25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15.97393710600698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40" s="5" cm="1">
        <f t="array" ref="O240">MIN(IF((OutputTable[GroupByKey]=OutputTable[[#This Row],[GroupByKey]]),(OutputTable[GroupByKey]=OutputTable[[#This Row],[GroupByKey]])*OutputTable[RecordedValue]))</f>
        <v>146</v>
      </c>
      <c r="P240" s="5" cm="1">
        <f t="array" ref="P240">MAX(IF((OutputTable[GroupByKey]=OutputTable[[#This Row],[GroupByKey]]),(OutputTable[GroupByKey]=OutputTable[[#This Row],[GroupByKey]])*OutputTable[RecordedValue]))</f>
        <v>210</v>
      </c>
    </row>
    <row r="241" spans="1:16" x14ac:dyDescent="0.35">
      <c r="A241" t="s">
        <v>66</v>
      </c>
      <c r="B241" t="s">
        <v>69</v>
      </c>
      <c r="C241">
        <v>35</v>
      </c>
      <c r="D241" t="s">
        <v>99</v>
      </c>
      <c r="E241" t="s">
        <v>100</v>
      </c>
      <c r="F241" t="s">
        <v>76</v>
      </c>
      <c r="G241">
        <v>158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ProjectCliente.NumberOutNumber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153.05000000000001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8.8490184882351901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41" s="5" cm="1">
        <f t="array" ref="O241">MIN(IF((OutputTable[GroupByKey]=OutputTable[[#This Row],[GroupByKey]]),(OutputTable[GroupByKey]=OutputTable[[#This Row],[GroupByKey]])*OutputTable[RecordedValue]))</f>
        <v>132</v>
      </c>
      <c r="P241" s="5" cm="1">
        <f t="array" ref="P241">MAX(IF((OutputTable[GroupByKey]=OutputTable[[#This Row],[GroupByKey]]),(OutputTable[GroupByKey]=OutputTable[[#This Row],[GroupByKey]])*OutputTable[RecordedValue]))</f>
        <v>166</v>
      </c>
    </row>
    <row r="242" spans="1:16" x14ac:dyDescent="0.35">
      <c r="A242" t="s">
        <v>66</v>
      </c>
      <c r="B242" t="s">
        <v>69</v>
      </c>
      <c r="C242">
        <v>35</v>
      </c>
      <c r="D242" t="s">
        <v>101</v>
      </c>
      <c r="E242" t="s">
        <v>102</v>
      </c>
      <c r="F242" t="s">
        <v>88</v>
      </c>
      <c r="G242">
        <v>69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66.349999999999994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4.3237566761870161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42" s="5" cm="1">
        <f t="array" ref="O242">MIN(IF((OutputTable[GroupByKey]=OutputTable[[#This Row],[GroupByKey]]),(OutputTable[GroupByKey]=OutputTable[[#This Row],[GroupByKey]])*OutputTable[RecordedValue]))</f>
        <v>56</v>
      </c>
      <c r="P242" s="5" cm="1">
        <f t="array" ref="P242">MAX(IF((OutputTable[GroupByKey]=OutputTable[[#This Row],[GroupByKey]]),(OutputTable[GroupByKey]=OutputTable[[#This Row],[GroupByKey]])*OutputTable[RecordedValue]))</f>
        <v>72</v>
      </c>
    </row>
    <row r="243" spans="1:16" x14ac:dyDescent="0.35">
      <c r="A243" t="s">
        <v>66</v>
      </c>
      <c r="B243" t="s">
        <v>69</v>
      </c>
      <c r="C243">
        <v>35</v>
      </c>
      <c r="D243" t="s">
        <v>103</v>
      </c>
      <c r="E243" t="s">
        <v>104</v>
      </c>
      <c r="F243" t="s">
        <v>88</v>
      </c>
      <c r="G243">
        <v>0.925499887680577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0.78200153326291699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0.13637038930703246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43" s="5" cm="1">
        <f t="array" ref="O243">MIN(IF((OutputTable[GroupByKey]=OutputTable[[#This Row],[GroupByKey]]),(OutputTable[GroupByKey]=OutputTable[[#This Row],[GroupByKey]])*OutputTable[RecordedValue]))</f>
        <v>0.51812957617942801</v>
      </c>
      <c r="P243" s="5" cm="1">
        <f t="array" ref="P243">MAX(IF((OutputTable[GroupByKey]=OutputTable[[#This Row],[GroupByKey]]),(OutputTable[GroupByKey]=OutputTable[[#This Row],[GroupByKey]])*OutputTable[RecordedValue]))</f>
        <v>0.95110098058067905</v>
      </c>
    </row>
    <row r="244" spans="1:16" x14ac:dyDescent="0.35">
      <c r="A244" t="s">
        <v>66</v>
      </c>
      <c r="B244" t="s">
        <v>69</v>
      </c>
      <c r="C244">
        <v>35</v>
      </c>
      <c r="D244" t="s">
        <v>105</v>
      </c>
      <c r="E244" t="s">
        <v>102</v>
      </c>
      <c r="F244" t="s">
        <v>88</v>
      </c>
      <c r="G244">
        <v>128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122.625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7.0116661028932015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44" s="5" cm="1">
        <f t="array" ref="O244">MIN(IF((OutputTable[GroupByKey]=OutputTable[[#This Row],[GroupByKey]]),(OutputTable[GroupByKey]=OutputTable[[#This Row],[GroupByKey]])*OutputTable[RecordedValue]))</f>
        <v>105</v>
      </c>
      <c r="P244" s="5" cm="1">
        <f t="array" ref="P244">MAX(IF((OutputTable[GroupByKey]=OutputTable[[#This Row],[GroupByKey]]),(OutputTable[GroupByKey]=OutputTable[[#This Row],[GroupByKey]])*OutputTable[RecordedValue]))</f>
        <v>132</v>
      </c>
    </row>
    <row r="245" spans="1:16" x14ac:dyDescent="0.35">
      <c r="A245" t="s">
        <v>66</v>
      </c>
      <c r="B245" t="s">
        <v>69</v>
      </c>
      <c r="C245">
        <v>35</v>
      </c>
      <c r="D245" t="s">
        <v>106</v>
      </c>
      <c r="E245" t="s">
        <v>104</v>
      </c>
      <c r="F245" t="s">
        <v>88</v>
      </c>
      <c r="G245">
        <v>0.98088254999798097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0.92906032745742695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5.2243343646514992E-2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45" s="5" cm="1">
        <f t="array" ref="O245">MIN(IF((OutputTable[GroupByKey]=OutputTable[[#This Row],[GroupByKey]]),(OutputTable[GroupByKey]=OutputTable[[#This Row],[GroupByKey]])*OutputTable[RecordedValue]))</f>
        <v>0.78808827046509</v>
      </c>
      <c r="P245" s="5" cm="1">
        <f t="array" ref="P245">MAX(IF((OutputTable[GroupByKey]=OutputTable[[#This Row],[GroupByKey]]),(OutputTable[GroupByKey]=OutputTable[[#This Row],[GroupByKey]])*OutputTable[RecordedValue]))</f>
        <v>0.99381255473469199</v>
      </c>
    </row>
    <row r="246" spans="1:16" x14ac:dyDescent="0.35">
      <c r="A246" t="s">
        <v>66</v>
      </c>
      <c r="B246" t="s">
        <v>69</v>
      </c>
      <c r="C246">
        <v>35</v>
      </c>
      <c r="D246" t="s">
        <v>107</v>
      </c>
      <c r="E246" t="s">
        <v>100</v>
      </c>
      <c r="F246" t="s">
        <v>108</v>
      </c>
      <c r="G246">
        <v>99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ProjectSystem.NumberOutNumber OutSystem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95.95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5.6566276081633564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46" s="5" cm="1">
        <f t="array" ref="O246">MIN(IF((OutputTable[GroupByKey]=OutputTable[[#This Row],[GroupByKey]]),(OutputTable[GroupByKey]=OutputTable[[#This Row],[GroupByKey]])*OutputTable[RecordedValue]))</f>
        <v>83</v>
      </c>
      <c r="P246" s="5" cm="1">
        <f t="array" ref="P246">MAX(IF((OutputTable[GroupByKey]=OutputTable[[#This Row],[GroupByKey]]),(OutputTable[GroupByKey]=OutputTable[[#This Row],[GroupByKey]])*OutputTable[RecordedValue]))</f>
        <v>104</v>
      </c>
    </row>
    <row r="247" spans="1:16" x14ac:dyDescent="0.35">
      <c r="A247" t="s">
        <v>66</v>
      </c>
      <c r="B247" t="s">
        <v>69</v>
      </c>
      <c r="C247">
        <v>36</v>
      </c>
      <c r="D247" t="s">
        <v>97</v>
      </c>
      <c r="E247" t="s">
        <v>98</v>
      </c>
      <c r="F247" t="s">
        <v>76</v>
      </c>
      <c r="G247">
        <v>176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ProjectCliente.NumberInNumber InEntity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181.25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15.97393710600698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47" s="5" cm="1">
        <f t="array" ref="O247">MIN(IF((OutputTable[GroupByKey]=OutputTable[[#This Row],[GroupByKey]]),(OutputTable[GroupByKey]=OutputTable[[#This Row],[GroupByKey]])*OutputTable[RecordedValue]))</f>
        <v>146</v>
      </c>
      <c r="P247" s="5" cm="1">
        <f t="array" ref="P247">MAX(IF((OutputTable[GroupByKey]=OutputTable[[#This Row],[GroupByKey]]),(OutputTable[GroupByKey]=OutputTable[[#This Row],[GroupByKey]])*OutputTable[RecordedValue]))</f>
        <v>210</v>
      </c>
    </row>
    <row r="248" spans="1:16" x14ac:dyDescent="0.35">
      <c r="A248" t="s">
        <v>66</v>
      </c>
      <c r="B248" t="s">
        <v>69</v>
      </c>
      <c r="C248">
        <v>36</v>
      </c>
      <c r="D248" t="s">
        <v>99</v>
      </c>
      <c r="E248" t="s">
        <v>100</v>
      </c>
      <c r="F248" t="s">
        <v>76</v>
      </c>
      <c r="G248">
        <v>146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ProjectCliente.NumberOutNumber OutEntity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153.05000000000001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8.8490184882351901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48" s="5" cm="1">
        <f t="array" ref="O248">MIN(IF((OutputTable[GroupByKey]=OutputTable[[#This Row],[GroupByKey]]),(OutputTable[GroupByKey]=OutputTable[[#This Row],[GroupByKey]])*OutputTable[RecordedValue]))</f>
        <v>132</v>
      </c>
      <c r="P248" s="5" cm="1">
        <f t="array" ref="P248">MAX(IF((OutputTable[GroupByKey]=OutputTable[[#This Row],[GroupByKey]]),(OutputTable[GroupByKey]=OutputTable[[#This Row],[GroupByKey]])*OutputTable[RecordedValue]))</f>
        <v>166</v>
      </c>
    </row>
    <row r="249" spans="1:16" x14ac:dyDescent="0.35">
      <c r="A249" t="s">
        <v>66</v>
      </c>
      <c r="B249" t="s">
        <v>69</v>
      </c>
      <c r="C249">
        <v>36</v>
      </c>
      <c r="D249" t="s">
        <v>101</v>
      </c>
      <c r="E249" t="s">
        <v>102</v>
      </c>
      <c r="F249" t="s">
        <v>88</v>
      </c>
      <c r="G249">
        <v>64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66.349999999999994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4.3237566761870161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49" s="5" cm="1">
        <f t="array" ref="O249">MIN(IF((OutputTable[GroupByKey]=OutputTable[[#This Row],[GroupByKey]]),(OutputTable[GroupByKey]=OutputTable[[#This Row],[GroupByKey]])*OutputTable[RecordedValue]))</f>
        <v>56</v>
      </c>
      <c r="P249" s="5" cm="1">
        <f t="array" ref="P249">MAX(IF((OutputTable[GroupByKey]=OutputTable[[#This Row],[GroupByKey]]),(OutputTable[GroupByKey]=OutputTable[[#This Row],[GroupByKey]])*OutputTable[RecordedValue]))</f>
        <v>72</v>
      </c>
    </row>
    <row r="250" spans="1:16" x14ac:dyDescent="0.35">
      <c r="A250" t="s">
        <v>66</v>
      </c>
      <c r="B250" t="s">
        <v>69</v>
      </c>
      <c r="C250">
        <v>36</v>
      </c>
      <c r="D250" t="s">
        <v>103</v>
      </c>
      <c r="E250" t="s">
        <v>104</v>
      </c>
      <c r="F250" t="s">
        <v>88</v>
      </c>
      <c r="G250">
        <v>0.65898027049434404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0.78200153326291699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0.13637038930703246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50" s="5" cm="1">
        <f t="array" ref="O250">MIN(IF((OutputTable[GroupByKey]=OutputTable[[#This Row],[GroupByKey]]),(OutputTable[GroupByKey]=OutputTable[[#This Row],[GroupByKey]])*OutputTable[RecordedValue]))</f>
        <v>0.51812957617942801</v>
      </c>
      <c r="P250" s="5" cm="1">
        <f t="array" ref="P250">MAX(IF((OutputTable[GroupByKey]=OutputTable[[#This Row],[GroupByKey]]),(OutputTable[GroupByKey]=OutputTable[[#This Row],[GroupByKey]])*OutputTable[RecordedValue]))</f>
        <v>0.95110098058067905</v>
      </c>
    </row>
    <row r="251" spans="1:16" x14ac:dyDescent="0.35">
      <c r="A251" t="s">
        <v>66</v>
      </c>
      <c r="B251" t="s">
        <v>69</v>
      </c>
      <c r="C251">
        <v>36</v>
      </c>
      <c r="D251" t="s">
        <v>105</v>
      </c>
      <c r="E251" t="s">
        <v>102</v>
      </c>
      <c r="F251" t="s">
        <v>88</v>
      </c>
      <c r="G251">
        <v>117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122.625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7.0116661028932015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51" s="5" cm="1">
        <f t="array" ref="O251">MIN(IF((OutputTable[GroupByKey]=OutputTable[[#This Row],[GroupByKey]]),(OutputTable[GroupByKey]=OutputTable[[#This Row],[GroupByKey]])*OutputTable[RecordedValue]))</f>
        <v>105</v>
      </c>
      <c r="P251" s="5" cm="1">
        <f t="array" ref="P251">MAX(IF((OutputTable[GroupByKey]=OutputTable[[#This Row],[GroupByKey]]),(OutputTable[GroupByKey]=OutputTable[[#This Row],[GroupByKey]])*OutputTable[RecordedValue]))</f>
        <v>132</v>
      </c>
    </row>
    <row r="252" spans="1:16" x14ac:dyDescent="0.35">
      <c r="A252" t="s">
        <v>66</v>
      </c>
      <c r="B252" t="s">
        <v>69</v>
      </c>
      <c r="C252">
        <v>36</v>
      </c>
      <c r="D252" t="s">
        <v>106</v>
      </c>
      <c r="E252" t="s">
        <v>104</v>
      </c>
      <c r="F252" t="s">
        <v>88</v>
      </c>
      <c r="G252">
        <v>0.88174549003369895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0.92906032745742695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5.2243343646514992E-2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52" s="5" cm="1">
        <f t="array" ref="O252">MIN(IF((OutputTable[GroupByKey]=OutputTable[[#This Row],[GroupByKey]]),(OutputTable[GroupByKey]=OutputTable[[#This Row],[GroupByKey]])*OutputTable[RecordedValue]))</f>
        <v>0.78808827046509</v>
      </c>
      <c r="P252" s="5" cm="1">
        <f t="array" ref="P252">MAX(IF((OutputTable[GroupByKey]=OutputTable[[#This Row],[GroupByKey]]),(OutputTable[GroupByKey]=OutputTable[[#This Row],[GroupByKey]])*OutputTable[RecordedValue]))</f>
        <v>0.99381255473469199</v>
      </c>
    </row>
    <row r="253" spans="1:16" x14ac:dyDescent="0.35">
      <c r="A253" t="s">
        <v>66</v>
      </c>
      <c r="B253" t="s">
        <v>69</v>
      </c>
      <c r="C253">
        <v>36</v>
      </c>
      <c r="D253" t="s">
        <v>107</v>
      </c>
      <c r="E253" t="s">
        <v>100</v>
      </c>
      <c r="F253" t="s">
        <v>108</v>
      </c>
      <c r="G253">
        <v>92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ProjectSystem.NumberOutNumber OutSystem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95.95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5.6566276081633564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53" s="5" cm="1">
        <f t="array" ref="O253">MIN(IF((OutputTable[GroupByKey]=OutputTable[[#This Row],[GroupByKey]]),(OutputTable[GroupByKey]=OutputTable[[#This Row],[GroupByKey]])*OutputTable[RecordedValue]))</f>
        <v>83</v>
      </c>
      <c r="P253" s="5" cm="1">
        <f t="array" ref="P253">MAX(IF((OutputTable[GroupByKey]=OutputTable[[#This Row],[GroupByKey]]),(OutputTable[GroupByKey]=OutputTable[[#This Row],[GroupByKey]])*OutputTable[RecordedValue]))</f>
        <v>104</v>
      </c>
    </row>
    <row r="254" spans="1:16" x14ac:dyDescent="0.35">
      <c r="A254" t="s">
        <v>66</v>
      </c>
      <c r="B254" t="s">
        <v>69</v>
      </c>
      <c r="C254">
        <v>37</v>
      </c>
      <c r="D254" t="s">
        <v>97</v>
      </c>
      <c r="E254" t="s">
        <v>98</v>
      </c>
      <c r="F254" t="s">
        <v>76</v>
      </c>
      <c r="G254">
        <v>196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ProjectCliente.NumberInNumber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181.25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15.97393710600698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54" s="5" cm="1">
        <f t="array" ref="O254">MIN(IF((OutputTable[GroupByKey]=OutputTable[[#This Row],[GroupByKey]]),(OutputTable[GroupByKey]=OutputTable[[#This Row],[GroupByKey]])*OutputTable[RecordedValue]))</f>
        <v>146</v>
      </c>
      <c r="P254" s="5" cm="1">
        <f t="array" ref="P254">MAX(IF((OutputTable[GroupByKey]=OutputTable[[#This Row],[GroupByKey]]),(OutputTable[GroupByKey]=OutputTable[[#This Row],[GroupByKey]])*OutputTable[RecordedValue]))</f>
        <v>210</v>
      </c>
    </row>
    <row r="255" spans="1:16" x14ac:dyDescent="0.35">
      <c r="A255" t="s">
        <v>66</v>
      </c>
      <c r="B255" t="s">
        <v>69</v>
      </c>
      <c r="C255">
        <v>37</v>
      </c>
      <c r="D255" t="s">
        <v>99</v>
      </c>
      <c r="E255" t="s">
        <v>100</v>
      </c>
      <c r="F255" t="s">
        <v>76</v>
      </c>
      <c r="G255">
        <v>160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ProjectCliente.NumberOutNumber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153.05000000000001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8.8490184882351901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55" s="5" cm="1">
        <f t="array" ref="O255">MIN(IF((OutputTable[GroupByKey]=OutputTable[[#This Row],[GroupByKey]]),(OutputTable[GroupByKey]=OutputTable[[#This Row],[GroupByKey]])*OutputTable[RecordedValue]))</f>
        <v>132</v>
      </c>
      <c r="P255" s="5" cm="1">
        <f t="array" ref="P255">MAX(IF((OutputTable[GroupByKey]=OutputTable[[#This Row],[GroupByKey]]),(OutputTable[GroupByKey]=OutputTable[[#This Row],[GroupByKey]])*OutputTable[RecordedValue]))</f>
        <v>166</v>
      </c>
    </row>
    <row r="256" spans="1:16" x14ac:dyDescent="0.35">
      <c r="A256" t="s">
        <v>66</v>
      </c>
      <c r="B256" t="s">
        <v>69</v>
      </c>
      <c r="C256">
        <v>37</v>
      </c>
      <c r="D256" t="s">
        <v>101</v>
      </c>
      <c r="E256" t="s">
        <v>102</v>
      </c>
      <c r="F256" t="s">
        <v>88</v>
      </c>
      <c r="G256">
        <v>70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66.349999999999994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4.3237566761870161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56" s="5" cm="1">
        <f t="array" ref="O256">MIN(IF((OutputTable[GroupByKey]=OutputTable[[#This Row],[GroupByKey]]),(OutputTable[GroupByKey]=OutputTable[[#This Row],[GroupByKey]])*OutputTable[RecordedValue]))</f>
        <v>56</v>
      </c>
      <c r="P256" s="5" cm="1">
        <f t="array" ref="P256">MAX(IF((OutputTable[GroupByKey]=OutputTable[[#This Row],[GroupByKey]]),(OutputTable[GroupByKey]=OutputTable[[#This Row],[GroupByKey]])*OutputTable[RecordedValue]))</f>
        <v>72</v>
      </c>
    </row>
    <row r="257" spans="1:16" x14ac:dyDescent="0.35">
      <c r="A257" t="s">
        <v>66</v>
      </c>
      <c r="B257" t="s">
        <v>69</v>
      </c>
      <c r="C257">
        <v>37</v>
      </c>
      <c r="D257" t="s">
        <v>103</v>
      </c>
      <c r="E257" t="s">
        <v>104</v>
      </c>
      <c r="F257" t="s">
        <v>88</v>
      </c>
      <c r="G257">
        <v>0.92953509751594099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0.78200153326291699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0.13637038930703246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57" s="5" cm="1">
        <f t="array" ref="O257">MIN(IF((OutputTable[GroupByKey]=OutputTable[[#This Row],[GroupByKey]]),(OutputTable[GroupByKey]=OutputTable[[#This Row],[GroupByKey]])*OutputTable[RecordedValue]))</f>
        <v>0.51812957617942801</v>
      </c>
      <c r="P257" s="5" cm="1">
        <f t="array" ref="P257">MAX(IF((OutputTable[GroupByKey]=OutputTable[[#This Row],[GroupByKey]]),(OutputTable[GroupByKey]=OutputTable[[#This Row],[GroupByKey]])*OutputTable[RecordedValue]))</f>
        <v>0.95110098058067905</v>
      </c>
    </row>
    <row r="258" spans="1:16" x14ac:dyDescent="0.35">
      <c r="A258" t="s">
        <v>66</v>
      </c>
      <c r="B258" t="s">
        <v>69</v>
      </c>
      <c r="C258">
        <v>37</v>
      </c>
      <c r="D258" t="s">
        <v>105</v>
      </c>
      <c r="E258" t="s">
        <v>102</v>
      </c>
      <c r="F258" t="s">
        <v>88</v>
      </c>
      <c r="G258">
        <v>129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122.625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7.0116661028932015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58" s="5" cm="1">
        <f t="array" ref="O258">MIN(IF((OutputTable[GroupByKey]=OutputTable[[#This Row],[GroupByKey]]),(OutputTable[GroupByKey]=OutputTable[[#This Row],[GroupByKey]])*OutputTable[RecordedValue]))</f>
        <v>105</v>
      </c>
      <c r="P258" s="5" cm="1">
        <f t="array" ref="P258">MAX(IF((OutputTable[GroupByKey]=OutputTable[[#This Row],[GroupByKey]]),(OutputTable[GroupByKey]=OutputTable[[#This Row],[GroupByKey]])*OutputTable[RecordedValue]))</f>
        <v>132</v>
      </c>
    </row>
    <row r="259" spans="1:16" x14ac:dyDescent="0.35">
      <c r="A259" t="s">
        <v>66</v>
      </c>
      <c r="B259" t="s">
        <v>69</v>
      </c>
      <c r="C259">
        <v>37</v>
      </c>
      <c r="D259" t="s">
        <v>106</v>
      </c>
      <c r="E259" t="s">
        <v>104</v>
      </c>
      <c r="F259" t="s">
        <v>88</v>
      </c>
      <c r="G259">
        <v>0.96751742004251495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0.92906032745742695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5.2243343646514992E-2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59" s="5" cm="1">
        <f t="array" ref="O259">MIN(IF((OutputTable[GroupByKey]=OutputTable[[#This Row],[GroupByKey]]),(OutputTable[GroupByKey]=OutputTable[[#This Row],[GroupByKey]])*OutputTable[RecordedValue]))</f>
        <v>0.78808827046509</v>
      </c>
      <c r="P259" s="5" cm="1">
        <f t="array" ref="P259">MAX(IF((OutputTable[GroupByKey]=OutputTable[[#This Row],[GroupByKey]]),(OutputTable[GroupByKey]=OutputTable[[#This Row],[GroupByKey]])*OutputTable[RecordedValue]))</f>
        <v>0.99381255473469199</v>
      </c>
    </row>
    <row r="260" spans="1:16" x14ac:dyDescent="0.35">
      <c r="A260" t="s">
        <v>66</v>
      </c>
      <c r="B260" t="s">
        <v>69</v>
      </c>
      <c r="C260">
        <v>37</v>
      </c>
      <c r="D260" t="s">
        <v>107</v>
      </c>
      <c r="E260" t="s">
        <v>100</v>
      </c>
      <c r="F260" t="s">
        <v>108</v>
      </c>
      <c r="G260">
        <v>100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ProjectSystem.NumberOutNumber OutSystem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95.95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5.6566276081633564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60" s="5" cm="1">
        <f t="array" ref="O260">MIN(IF((OutputTable[GroupByKey]=OutputTable[[#This Row],[GroupByKey]]),(OutputTable[GroupByKey]=OutputTable[[#This Row],[GroupByKey]])*OutputTable[RecordedValue]))</f>
        <v>83</v>
      </c>
      <c r="P260" s="5" cm="1">
        <f t="array" ref="P260">MAX(IF((OutputTable[GroupByKey]=OutputTable[[#This Row],[GroupByKey]]),(OutputTable[GroupByKey]=OutputTable[[#This Row],[GroupByKey]])*OutputTable[RecordedValue]))</f>
        <v>104</v>
      </c>
    </row>
    <row r="261" spans="1:16" x14ac:dyDescent="0.35">
      <c r="A261" t="s">
        <v>66</v>
      </c>
      <c r="B261" t="s">
        <v>69</v>
      </c>
      <c r="C261">
        <v>38</v>
      </c>
      <c r="D261" t="s">
        <v>97</v>
      </c>
      <c r="E261" t="s">
        <v>98</v>
      </c>
      <c r="F261" t="s">
        <v>76</v>
      </c>
      <c r="G261">
        <v>204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ProjectCliente.NumberInNumber InEntity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181.25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15.97393710600698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61" s="5" cm="1">
        <f t="array" ref="O261">MIN(IF((OutputTable[GroupByKey]=OutputTable[[#This Row],[GroupByKey]]),(OutputTable[GroupByKey]=OutputTable[[#This Row],[GroupByKey]])*OutputTable[RecordedValue]))</f>
        <v>146</v>
      </c>
      <c r="P261" s="5" cm="1">
        <f t="array" ref="P261">MAX(IF((OutputTable[GroupByKey]=OutputTable[[#This Row],[GroupByKey]]),(OutputTable[GroupByKey]=OutputTable[[#This Row],[GroupByKey]])*OutputTable[RecordedValue]))</f>
        <v>210</v>
      </c>
    </row>
    <row r="262" spans="1:16" x14ac:dyDescent="0.35">
      <c r="A262" t="s">
        <v>66</v>
      </c>
      <c r="B262" t="s">
        <v>69</v>
      </c>
      <c r="C262">
        <v>38</v>
      </c>
      <c r="D262" t="s">
        <v>99</v>
      </c>
      <c r="E262" t="s">
        <v>100</v>
      </c>
      <c r="F262" t="s">
        <v>76</v>
      </c>
      <c r="G262">
        <v>162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ProjectCliente.NumberOutNumber OutEntity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153.05000000000001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8.8490184882351901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62" s="5" cm="1">
        <f t="array" ref="O262">MIN(IF((OutputTable[GroupByKey]=OutputTable[[#This Row],[GroupByKey]]),(OutputTable[GroupByKey]=OutputTable[[#This Row],[GroupByKey]])*OutputTable[RecordedValue]))</f>
        <v>132</v>
      </c>
      <c r="P262" s="5" cm="1">
        <f t="array" ref="P262">MAX(IF((OutputTable[GroupByKey]=OutputTable[[#This Row],[GroupByKey]]),(OutputTable[GroupByKey]=OutputTable[[#This Row],[GroupByKey]])*OutputTable[RecordedValue]))</f>
        <v>166</v>
      </c>
    </row>
    <row r="263" spans="1:16" x14ac:dyDescent="0.35">
      <c r="A263" t="s">
        <v>66</v>
      </c>
      <c r="B263" t="s">
        <v>69</v>
      </c>
      <c r="C263">
        <v>38</v>
      </c>
      <c r="D263" t="s">
        <v>101</v>
      </c>
      <c r="E263" t="s">
        <v>102</v>
      </c>
      <c r="F263" t="s">
        <v>88</v>
      </c>
      <c r="G263">
        <v>71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66.349999999999994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4.3237566761870161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63" s="5" cm="1">
        <f t="array" ref="O263">MIN(IF((OutputTable[GroupByKey]=OutputTable[[#This Row],[GroupByKey]]),(OutputTable[GroupByKey]=OutputTable[[#This Row],[GroupByKey]])*OutputTable[RecordedValue]))</f>
        <v>56</v>
      </c>
      <c r="P263" s="5" cm="1">
        <f t="array" ref="P263">MAX(IF((OutputTable[GroupByKey]=OutputTable[[#This Row],[GroupByKey]]),(OutputTable[GroupByKey]=OutputTable[[#This Row],[GroupByKey]])*OutputTable[RecordedValue]))</f>
        <v>72</v>
      </c>
    </row>
    <row r="264" spans="1:16" x14ac:dyDescent="0.35">
      <c r="A264" t="s">
        <v>66</v>
      </c>
      <c r="B264" t="s">
        <v>69</v>
      </c>
      <c r="C264">
        <v>38</v>
      </c>
      <c r="D264" t="s">
        <v>103</v>
      </c>
      <c r="E264" t="s">
        <v>104</v>
      </c>
      <c r="F264" t="s">
        <v>88</v>
      </c>
      <c r="G264">
        <v>0.94711350711076303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0.78200153326291699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0.13637038930703246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64" s="5" cm="1">
        <f t="array" ref="O264">MIN(IF((OutputTable[GroupByKey]=OutputTable[[#This Row],[GroupByKey]]),(OutputTable[GroupByKey]=OutputTable[[#This Row],[GroupByKey]])*OutputTable[RecordedValue]))</f>
        <v>0.51812957617942801</v>
      </c>
      <c r="P264" s="5" cm="1">
        <f t="array" ref="P264">MAX(IF((OutputTable[GroupByKey]=OutputTable[[#This Row],[GroupByKey]]),(OutputTable[GroupByKey]=OutputTable[[#This Row],[GroupByKey]])*OutputTable[RecordedValue]))</f>
        <v>0.95110098058067905</v>
      </c>
    </row>
    <row r="265" spans="1:16" x14ac:dyDescent="0.35">
      <c r="A265" t="s">
        <v>66</v>
      </c>
      <c r="B265" t="s">
        <v>69</v>
      </c>
      <c r="C265">
        <v>38</v>
      </c>
      <c r="D265" t="s">
        <v>105</v>
      </c>
      <c r="E265" t="s">
        <v>102</v>
      </c>
      <c r="F265" t="s">
        <v>88</v>
      </c>
      <c r="G265">
        <v>130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122.625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7.0116661028932015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65" s="5" cm="1">
        <f t="array" ref="O265">MIN(IF((OutputTable[GroupByKey]=OutputTable[[#This Row],[GroupByKey]]),(OutputTable[GroupByKey]=OutputTable[[#This Row],[GroupByKey]])*OutputTable[RecordedValue]))</f>
        <v>105</v>
      </c>
      <c r="P265" s="5" cm="1">
        <f t="array" ref="P265">MAX(IF((OutputTable[GroupByKey]=OutputTable[[#This Row],[GroupByKey]]),(OutputTable[GroupByKey]=OutputTable[[#This Row],[GroupByKey]])*OutputTable[RecordedValue]))</f>
        <v>132</v>
      </c>
    </row>
    <row r="266" spans="1:16" x14ac:dyDescent="0.35">
      <c r="A266" t="s">
        <v>66</v>
      </c>
      <c r="B266" t="s">
        <v>69</v>
      </c>
      <c r="C266">
        <v>38</v>
      </c>
      <c r="D266" t="s">
        <v>106</v>
      </c>
      <c r="E266" t="s">
        <v>104</v>
      </c>
      <c r="F266" t="s">
        <v>88</v>
      </c>
      <c r="G266">
        <v>0.98052983529714399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0.92906032745742695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5.2243343646514992E-2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66" s="5" cm="1">
        <f t="array" ref="O266">MIN(IF((OutputTable[GroupByKey]=OutputTable[[#This Row],[GroupByKey]]),(OutputTable[GroupByKey]=OutputTable[[#This Row],[GroupByKey]])*OutputTable[RecordedValue]))</f>
        <v>0.78808827046509</v>
      </c>
      <c r="P266" s="5" cm="1">
        <f t="array" ref="P266">MAX(IF((OutputTable[GroupByKey]=OutputTable[[#This Row],[GroupByKey]]),(OutputTable[GroupByKey]=OutputTable[[#This Row],[GroupByKey]])*OutputTable[RecordedValue]))</f>
        <v>0.99381255473469199</v>
      </c>
    </row>
    <row r="267" spans="1:16" x14ac:dyDescent="0.35">
      <c r="A267" t="s">
        <v>66</v>
      </c>
      <c r="B267" t="s">
        <v>69</v>
      </c>
      <c r="C267">
        <v>38</v>
      </c>
      <c r="D267" t="s">
        <v>107</v>
      </c>
      <c r="E267" t="s">
        <v>100</v>
      </c>
      <c r="F267" t="s">
        <v>108</v>
      </c>
      <c r="G267">
        <v>101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ProjectSystem.NumberOutNumber OutSystem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95.95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5.6566276081633564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67" s="5" cm="1">
        <f t="array" ref="O267">MIN(IF((OutputTable[GroupByKey]=OutputTable[[#This Row],[GroupByKey]]),(OutputTable[GroupByKey]=OutputTable[[#This Row],[GroupByKey]])*OutputTable[RecordedValue]))</f>
        <v>83</v>
      </c>
      <c r="P267" s="5" cm="1">
        <f t="array" ref="P267">MAX(IF((OutputTable[GroupByKey]=OutputTable[[#This Row],[GroupByKey]]),(OutputTable[GroupByKey]=OutputTable[[#This Row],[GroupByKey]])*OutputTable[RecordedValue]))</f>
        <v>104</v>
      </c>
    </row>
    <row r="268" spans="1:16" x14ac:dyDescent="0.35">
      <c r="A268" t="s">
        <v>66</v>
      </c>
      <c r="B268" t="s">
        <v>69</v>
      </c>
      <c r="C268">
        <v>39</v>
      </c>
      <c r="D268" t="s">
        <v>97</v>
      </c>
      <c r="E268" t="s">
        <v>98</v>
      </c>
      <c r="F268" t="s">
        <v>76</v>
      </c>
      <c r="G268">
        <v>173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ProjectCliente.NumberInNumber InEntity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181.25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15.97393710600698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68" s="5" cm="1">
        <f t="array" ref="O268">MIN(IF((OutputTable[GroupByKey]=OutputTable[[#This Row],[GroupByKey]]),(OutputTable[GroupByKey]=OutputTable[[#This Row],[GroupByKey]])*OutputTable[RecordedValue]))</f>
        <v>146</v>
      </c>
      <c r="P268" s="5" cm="1">
        <f t="array" ref="P268">MAX(IF((OutputTable[GroupByKey]=OutputTable[[#This Row],[GroupByKey]]),(OutputTable[GroupByKey]=OutputTable[[#This Row],[GroupByKey]])*OutputTable[RecordedValue]))</f>
        <v>210</v>
      </c>
    </row>
    <row r="269" spans="1:16" x14ac:dyDescent="0.35">
      <c r="A269" t="s">
        <v>66</v>
      </c>
      <c r="B269" t="s">
        <v>69</v>
      </c>
      <c r="C269">
        <v>39</v>
      </c>
      <c r="D269" t="s">
        <v>99</v>
      </c>
      <c r="E269" t="s">
        <v>100</v>
      </c>
      <c r="F269" t="s">
        <v>76</v>
      </c>
      <c r="G269">
        <v>145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ProjectCliente.NumberOutNumber OutEntity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153.05000000000001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8.8490184882351901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69" s="5" cm="1">
        <f t="array" ref="O269">MIN(IF((OutputTable[GroupByKey]=OutputTable[[#This Row],[GroupByKey]]),(OutputTable[GroupByKey]=OutputTable[[#This Row],[GroupByKey]])*OutputTable[RecordedValue]))</f>
        <v>132</v>
      </c>
      <c r="P269" s="5" cm="1">
        <f t="array" ref="P269">MAX(IF((OutputTable[GroupByKey]=OutputTable[[#This Row],[GroupByKey]]),(OutputTable[GroupByKey]=OutputTable[[#This Row],[GroupByKey]])*OutputTable[RecordedValue]))</f>
        <v>166</v>
      </c>
    </row>
    <row r="270" spans="1:16" x14ac:dyDescent="0.35">
      <c r="A270" t="s">
        <v>66</v>
      </c>
      <c r="B270" t="s">
        <v>69</v>
      </c>
      <c r="C270">
        <v>39</v>
      </c>
      <c r="D270" t="s">
        <v>101</v>
      </c>
      <c r="E270" t="s">
        <v>102</v>
      </c>
      <c r="F270" t="s">
        <v>88</v>
      </c>
      <c r="G270">
        <v>64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66.349999999999994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4.3237566761870161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70" s="5" cm="1">
        <f t="array" ref="O270">MIN(IF((OutputTable[GroupByKey]=OutputTable[[#This Row],[GroupByKey]]),(OutputTable[GroupByKey]=OutputTable[[#This Row],[GroupByKey]])*OutputTable[RecordedValue]))</f>
        <v>56</v>
      </c>
      <c r="P270" s="5" cm="1">
        <f t="array" ref="P270">MAX(IF((OutputTable[GroupByKey]=OutputTable[[#This Row],[GroupByKey]]),(OutputTable[GroupByKey]=OutputTable[[#This Row],[GroupByKey]])*OutputTable[RecordedValue]))</f>
        <v>72</v>
      </c>
    </row>
    <row r="271" spans="1:16" x14ac:dyDescent="0.35">
      <c r="A271" t="s">
        <v>66</v>
      </c>
      <c r="B271" t="s">
        <v>69</v>
      </c>
      <c r="C271">
        <v>39</v>
      </c>
      <c r="D271" t="s">
        <v>103</v>
      </c>
      <c r="E271" t="s">
        <v>104</v>
      </c>
      <c r="F271" t="s">
        <v>88</v>
      </c>
      <c r="G271">
        <v>0.73156211541801897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0.78200153326291699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0.13637038930703246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71" s="5" cm="1">
        <f t="array" ref="O271">MIN(IF((OutputTable[GroupByKey]=OutputTable[[#This Row],[GroupByKey]]),(OutputTable[GroupByKey]=OutputTable[[#This Row],[GroupByKey]])*OutputTable[RecordedValue]))</f>
        <v>0.51812957617942801</v>
      </c>
      <c r="P271" s="5" cm="1">
        <f t="array" ref="P271">MAX(IF((OutputTable[GroupByKey]=OutputTable[[#This Row],[GroupByKey]]),(OutputTable[GroupByKey]=OutputTable[[#This Row],[GroupByKey]])*OutputTable[RecordedValue]))</f>
        <v>0.95110098058067905</v>
      </c>
    </row>
    <row r="272" spans="1:16" x14ac:dyDescent="0.35">
      <c r="A272" t="s">
        <v>66</v>
      </c>
      <c r="B272" t="s">
        <v>69</v>
      </c>
      <c r="C272">
        <v>39</v>
      </c>
      <c r="D272" t="s">
        <v>105</v>
      </c>
      <c r="E272" t="s">
        <v>102</v>
      </c>
      <c r="F272" t="s">
        <v>88</v>
      </c>
      <c r="G272">
        <v>116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122.625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7.0116661028932015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72" s="5" cm="1">
        <f t="array" ref="O272">MIN(IF((OutputTable[GroupByKey]=OutputTable[[#This Row],[GroupByKey]]),(OutputTable[GroupByKey]=OutputTable[[#This Row],[GroupByKey]])*OutputTable[RecordedValue]))</f>
        <v>105</v>
      </c>
      <c r="P272" s="5" cm="1">
        <f t="array" ref="P272">MAX(IF((OutputTable[GroupByKey]=OutputTable[[#This Row],[GroupByKey]]),(OutputTable[GroupByKey]=OutputTable[[#This Row],[GroupByKey]])*OutputTable[RecordedValue]))</f>
        <v>132</v>
      </c>
    </row>
    <row r="273" spans="1:16" x14ac:dyDescent="0.35">
      <c r="A273" t="s">
        <v>66</v>
      </c>
      <c r="B273" t="s">
        <v>69</v>
      </c>
      <c r="C273">
        <v>39</v>
      </c>
      <c r="D273" t="s">
        <v>106</v>
      </c>
      <c r="E273" t="s">
        <v>104</v>
      </c>
      <c r="F273" t="s">
        <v>88</v>
      </c>
      <c r="G273">
        <v>0.88117832519740902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0.92906032745742695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5.2243343646514992E-2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73" s="5" cm="1">
        <f t="array" ref="O273">MIN(IF((OutputTable[GroupByKey]=OutputTable[[#This Row],[GroupByKey]]),(OutputTable[GroupByKey]=OutputTable[[#This Row],[GroupByKey]])*OutputTable[RecordedValue]))</f>
        <v>0.78808827046509</v>
      </c>
      <c r="P273" s="5" cm="1">
        <f t="array" ref="P273">MAX(IF((OutputTable[GroupByKey]=OutputTable[[#This Row],[GroupByKey]]),(OutputTable[GroupByKey]=OutputTable[[#This Row],[GroupByKey]])*OutputTable[RecordedValue]))</f>
        <v>0.99381255473469199</v>
      </c>
    </row>
    <row r="274" spans="1:16" x14ac:dyDescent="0.35">
      <c r="A274" t="s">
        <v>66</v>
      </c>
      <c r="B274" t="s">
        <v>69</v>
      </c>
      <c r="C274">
        <v>39</v>
      </c>
      <c r="D274" t="s">
        <v>107</v>
      </c>
      <c r="E274" t="s">
        <v>100</v>
      </c>
      <c r="F274" t="s">
        <v>108</v>
      </c>
      <c r="G274">
        <v>91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ProjectSystem.NumberOutNumber OutSystem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95.95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5.6566276081633564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74" s="5" cm="1">
        <f t="array" ref="O274">MIN(IF((OutputTable[GroupByKey]=OutputTable[[#This Row],[GroupByKey]]),(OutputTable[GroupByKey]=OutputTable[[#This Row],[GroupByKey]])*OutputTable[RecordedValue]))</f>
        <v>83</v>
      </c>
      <c r="P274" s="5" cm="1">
        <f t="array" ref="P274">MAX(IF((OutputTable[GroupByKey]=OutputTable[[#This Row],[GroupByKey]]),(OutputTable[GroupByKey]=OutputTable[[#This Row],[GroupByKey]])*OutputTable[RecordedValue]))</f>
        <v>104</v>
      </c>
    </row>
    <row r="275" spans="1:16" x14ac:dyDescent="0.35">
      <c r="A275" t="s">
        <v>66</v>
      </c>
      <c r="B275" t="s">
        <v>69</v>
      </c>
      <c r="C275">
        <v>40</v>
      </c>
      <c r="D275" t="s">
        <v>97</v>
      </c>
      <c r="E275" t="s">
        <v>98</v>
      </c>
      <c r="F275" t="s">
        <v>76</v>
      </c>
      <c r="G275">
        <v>146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ProjectCliente.NumberInNumber InEntity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181.25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15.97393710600698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5.1087129300085214</v>
      </c>
      <c r="O275" s="5" cm="1">
        <f t="array" ref="O275">MIN(IF((OutputTable[GroupByKey]=OutputTable[[#This Row],[GroupByKey]]),(OutputTable[GroupByKey]=OutputTable[[#This Row],[GroupByKey]])*OutputTable[RecordedValue]))</f>
        <v>146</v>
      </c>
      <c r="P275" s="5" cm="1">
        <f t="array" ref="P275">MAX(IF((OutputTable[GroupByKey]=OutputTable[[#This Row],[GroupByKey]]),(OutputTable[GroupByKey]=OutputTable[[#This Row],[GroupByKey]])*OutputTable[RecordedValue]))</f>
        <v>210</v>
      </c>
    </row>
    <row r="276" spans="1:16" x14ac:dyDescent="0.35">
      <c r="A276" t="s">
        <v>66</v>
      </c>
      <c r="B276" t="s">
        <v>69</v>
      </c>
      <c r="C276">
        <v>40</v>
      </c>
      <c r="D276" t="s">
        <v>99</v>
      </c>
      <c r="E276" t="s">
        <v>100</v>
      </c>
      <c r="F276" t="s">
        <v>76</v>
      </c>
      <c r="G276">
        <v>136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ProjectCliente.NumberOutNumber OutEntity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153.05000000000001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8.8490184882351901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2.8300534094209939</v>
      </c>
      <c r="O276" s="5" cm="1">
        <f t="array" ref="O276">MIN(IF((OutputTable[GroupByKey]=OutputTable[[#This Row],[GroupByKey]]),(OutputTable[GroupByKey]=OutputTable[[#This Row],[GroupByKey]])*OutputTable[RecordedValue]))</f>
        <v>132</v>
      </c>
      <c r="P276" s="5" cm="1">
        <f t="array" ref="P276">MAX(IF((OutputTable[GroupByKey]=OutputTable[[#This Row],[GroupByKey]]),(OutputTable[GroupByKey]=OutputTable[[#This Row],[GroupByKey]])*OutputTable[RecordedValue]))</f>
        <v>166</v>
      </c>
    </row>
    <row r="277" spans="1:16" x14ac:dyDescent="0.35">
      <c r="A277" t="s">
        <v>66</v>
      </c>
      <c r="B277" t="s">
        <v>69</v>
      </c>
      <c r="C277">
        <v>40</v>
      </c>
      <c r="D277" t="s">
        <v>101</v>
      </c>
      <c r="E277" t="s">
        <v>102</v>
      </c>
      <c r="F277" t="s">
        <v>88</v>
      </c>
      <c r="G277">
        <v>56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66.349999999999994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4.3237566761870161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1.3828044702605471</v>
      </c>
      <c r="O277" s="5" cm="1">
        <f t="array" ref="O277">MIN(IF((OutputTable[GroupByKey]=OutputTable[[#This Row],[GroupByKey]]),(OutputTable[GroupByKey]=OutputTable[[#This Row],[GroupByKey]])*OutputTable[RecordedValue]))</f>
        <v>56</v>
      </c>
      <c r="P277" s="5" cm="1">
        <f t="array" ref="P277">MAX(IF((OutputTable[GroupByKey]=OutputTable[[#This Row],[GroupByKey]]),(OutputTable[GroupByKey]=OutputTable[[#This Row],[GroupByKey]])*OutputTable[RecordedValue]))</f>
        <v>72</v>
      </c>
    </row>
    <row r="278" spans="1:16" x14ac:dyDescent="0.35">
      <c r="A278" t="s">
        <v>66</v>
      </c>
      <c r="B278" t="s">
        <v>69</v>
      </c>
      <c r="C278">
        <v>40</v>
      </c>
      <c r="D278" t="s">
        <v>103</v>
      </c>
      <c r="E278" t="s">
        <v>104</v>
      </c>
      <c r="F278" t="s">
        <v>88</v>
      </c>
      <c r="G278">
        <v>0.56418053243738198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0.78200153326291699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0.13637038930703246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4.36133663541938E-2</v>
      </c>
      <c r="O278" s="5" cm="1">
        <f t="array" ref="O278">MIN(IF((OutputTable[GroupByKey]=OutputTable[[#This Row],[GroupByKey]]),(OutputTable[GroupByKey]=OutputTable[[#This Row],[GroupByKey]])*OutputTable[RecordedValue]))</f>
        <v>0.51812957617942801</v>
      </c>
      <c r="P278" s="5" cm="1">
        <f t="array" ref="P278">MAX(IF((OutputTable[GroupByKey]=OutputTable[[#This Row],[GroupByKey]]),(OutputTable[GroupByKey]=OutputTable[[#This Row],[GroupByKey]])*OutputTable[RecordedValue]))</f>
        <v>0.95110098058067905</v>
      </c>
    </row>
    <row r="279" spans="1:16" x14ac:dyDescent="0.35">
      <c r="A279" t="s">
        <v>66</v>
      </c>
      <c r="B279" t="s">
        <v>69</v>
      </c>
      <c r="C279">
        <v>40</v>
      </c>
      <c r="D279" t="s">
        <v>105</v>
      </c>
      <c r="E279" t="s">
        <v>102</v>
      </c>
      <c r="F279" t="s">
        <v>88</v>
      </c>
      <c r="G279">
        <v>107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122.625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7.0116661028932015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2.2424396091607668</v>
      </c>
      <c r="O279" s="5" cm="1">
        <f t="array" ref="O279">MIN(IF((OutputTable[GroupByKey]=OutputTable[[#This Row],[GroupByKey]]),(OutputTable[GroupByKey]=OutputTable[[#This Row],[GroupByKey]])*OutputTable[RecordedValue]))</f>
        <v>105</v>
      </c>
      <c r="P279" s="5" cm="1">
        <f t="array" ref="P279">MAX(IF((OutputTable[GroupByKey]=OutputTable[[#This Row],[GroupByKey]]),(OutputTable[GroupByKey]=OutputTable[[#This Row],[GroupByKey]])*OutputTable[RecordedValue]))</f>
        <v>132</v>
      </c>
    </row>
    <row r="280" spans="1:16" x14ac:dyDescent="0.35">
      <c r="A280" t="s">
        <v>66</v>
      </c>
      <c r="B280" t="s">
        <v>69</v>
      </c>
      <c r="C280">
        <v>40</v>
      </c>
      <c r="D280" t="s">
        <v>106</v>
      </c>
      <c r="E280" t="s">
        <v>104</v>
      </c>
      <c r="F280" t="s">
        <v>88</v>
      </c>
      <c r="G280">
        <v>0.81458809388551801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0.92906032745742695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5.2243343646514992E-2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1.6708231879382054E-2</v>
      </c>
      <c r="O280" s="5" cm="1">
        <f t="array" ref="O280">MIN(IF((OutputTable[GroupByKey]=OutputTable[[#This Row],[GroupByKey]]),(OutputTable[GroupByKey]=OutputTable[[#This Row],[GroupByKey]])*OutputTable[RecordedValue]))</f>
        <v>0.78808827046509</v>
      </c>
      <c r="P280" s="5" cm="1">
        <f t="array" ref="P280">MAX(IF((OutputTable[GroupByKey]=OutputTable[[#This Row],[GroupByKey]]),(OutputTable[GroupByKey]=OutputTable[[#This Row],[GroupByKey]])*OutputTable[RecordedValue]))</f>
        <v>0.99381255473469199</v>
      </c>
    </row>
    <row r="281" spans="1:16" x14ac:dyDescent="0.35">
      <c r="A281" t="s">
        <v>66</v>
      </c>
      <c r="B281" t="s">
        <v>69</v>
      </c>
      <c r="C281">
        <v>40</v>
      </c>
      <c r="D281" t="s">
        <v>107</v>
      </c>
      <c r="E281" t="s">
        <v>100</v>
      </c>
      <c r="F281" t="s">
        <v>108</v>
      </c>
      <c r="G281">
        <v>85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ProjectSystem.NumberOutNumber OutSystem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95.95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5.6566276081633564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1.8090772744560404</v>
      </c>
      <c r="O281" s="5" cm="1">
        <f t="array" ref="O281">MIN(IF((OutputTable[GroupByKey]=OutputTable[[#This Row],[GroupByKey]]),(OutputTable[GroupByKey]=OutputTable[[#This Row],[GroupByKey]])*OutputTable[RecordedValue]))</f>
        <v>83</v>
      </c>
      <c r="P281" s="5" cm="1">
        <f t="array" ref="P281">MAX(IF((OutputTable[GroupByKey]=OutputTable[[#This Row],[GroupByKey]]),(OutputTable[GroupByKey]=OutputTable[[#This Row],[GroupByKey]])*OutputTable[RecordedValue]))</f>
        <v>104</v>
      </c>
    </row>
  </sheetData>
  <phoneticPr fontId="2" type="noConversion"/>
  <conditionalFormatting sqref="I2:P281">
    <cfRule type="expression" dxfId="3" priority="2">
      <formula>MOD(ROW(),2)=0</formula>
    </cfRule>
  </conditionalFormatting>
  <conditionalFormatting sqref="N2:N28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2023-12-09T13:22:16Z</dcterms:modified>
</cp:coreProperties>
</file>