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M4\"/>
    </mc:Choice>
  </mc:AlternateContent>
  <xr:revisionPtr revIDLastSave="0" documentId="13_ncr:1_{17EA6DB4-2112-4A39-AA2C-5C5634760D90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ContinuousTimeStatsByRep!$A$1:$L$10</definedName>
    <definedName name="ExternalData_1" localSheetId="4" hidden="1">CounterStatsByRep!$A$1:$G$2</definedName>
    <definedName name="ExternalData_1" localSheetId="2" hidden="1">DiscreteTimeStatsByRep!$A$1:$K$9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K7" i="20" s="1" a="1"/>
  <c r="K7" i="20" s="1"/>
  <c r="I8" i="20"/>
  <c r="J2" i="20" a="1"/>
  <c r="J2" i="20" s="1"/>
  <c r="J3" i="20" a="1"/>
  <c r="J3" i="20" s="1"/>
  <c r="J4" i="20" a="1"/>
  <c r="J4" i="20" s="1"/>
  <c r="J5" i="20" a="1"/>
  <c r="J5" i="20"/>
  <c r="J6" i="20" a="1"/>
  <c r="J6" i="20" s="1"/>
  <c r="J7" i="20" a="1"/>
  <c r="J7" i="20" s="1"/>
  <c r="J8" i="20" a="1"/>
  <c r="J8" i="20" s="1"/>
  <c r="K3" i="20" a="1"/>
  <c r="K3" i="20" s="1"/>
  <c r="L4" i="20" a="1"/>
  <c r="L4" i="20" s="1"/>
  <c r="L8" i="20" a="1"/>
  <c r="L8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2" i="18"/>
  <c r="P2" i="18" s="1" a="1"/>
  <c r="P2" i="18" s="1"/>
  <c r="M3" i="18"/>
  <c r="M4" i="18"/>
  <c r="M5" i="18"/>
  <c r="M6" i="18"/>
  <c r="M7" i="18"/>
  <c r="S7" i="18" s="1" a="1"/>
  <c r="S7" i="18" s="1"/>
  <c r="M8" i="18"/>
  <c r="M9" i="18"/>
  <c r="M10" i="18"/>
  <c r="T10" i="18" s="1" a="1"/>
  <c r="T10" i="18" s="1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/>
  <c r="N8" i="18" a="1"/>
  <c r="N8" i="18" s="1"/>
  <c r="N9" i="18" a="1"/>
  <c r="N9" i="18" s="1"/>
  <c r="N10" i="18" a="1"/>
  <c r="N10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U7" i="18"/>
  <c r="L2" i="17"/>
  <c r="L3" i="17"/>
  <c r="L4" i="17"/>
  <c r="L5" i="17"/>
  <c r="L6" i="17"/>
  <c r="L7" i="17"/>
  <c r="L8" i="17"/>
  <c r="N2" i="17" s="1" a="1"/>
  <c r="N2" i="17" s="1"/>
  <c r="L9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G2" i="16"/>
  <c r="N8" i="20" l="1"/>
  <c r="O7" i="20" a="1"/>
  <c r="O7" i="20" s="1"/>
  <c r="O3" i="20" a="1"/>
  <c r="O3" i="20" s="1"/>
  <c r="N4" i="20"/>
  <c r="O6" i="20" a="1"/>
  <c r="O6" i="20" s="1"/>
  <c r="L7" i="20" a="1"/>
  <c r="L7" i="20" s="1"/>
  <c r="N7" i="20" s="1"/>
  <c r="L3" i="20" a="1"/>
  <c r="L3" i="20" s="1"/>
  <c r="N3" i="20" s="1"/>
  <c r="K6" i="20" a="1"/>
  <c r="K6" i="20" s="1"/>
  <c r="K2" i="20" a="1"/>
  <c r="K2" i="20" s="1"/>
  <c r="P7" i="20" a="1"/>
  <c r="P7" i="20" s="1"/>
  <c r="P6" i="20" a="1"/>
  <c r="P6" i="20" s="1"/>
  <c r="P2" i="20" a="1"/>
  <c r="P2" i="20" s="1"/>
  <c r="O5" i="20" a="1"/>
  <c r="O5" i="20" s="1"/>
  <c r="L6" i="20" a="1"/>
  <c r="L6" i="20" s="1"/>
  <c r="N6" i="20" s="1"/>
  <c r="L2" i="20" a="1"/>
  <c r="L2" i="20" s="1"/>
  <c r="N2" i="20" s="1"/>
  <c r="K5" i="20" a="1"/>
  <c r="K5" i="20" s="1"/>
  <c r="P5" i="20" a="1"/>
  <c r="P5" i="20" s="1"/>
  <c r="O8" i="20" a="1"/>
  <c r="O8" i="20" s="1"/>
  <c r="O4" i="20" a="1"/>
  <c r="O4" i="20" s="1"/>
  <c r="O2" i="20" a="1"/>
  <c r="O2" i="20" s="1"/>
  <c r="L5" i="20" a="1"/>
  <c r="L5" i="20" s="1"/>
  <c r="N5" i="20" s="1"/>
  <c r="K8" i="20" a="1"/>
  <c r="K8" i="20" s="1"/>
  <c r="K4" i="20" a="1"/>
  <c r="K4" i="20" s="1"/>
  <c r="P3" i="20" a="1"/>
  <c r="P3" i="20" s="1"/>
  <c r="P8" i="20" a="1"/>
  <c r="P8" i="20" s="1"/>
  <c r="P4" i="20" a="1"/>
  <c r="P4" i="20" s="1"/>
  <c r="R3" i="18"/>
  <c r="U3" i="18"/>
  <c r="T8" i="18" a="1"/>
  <c r="T8" i="18" s="1"/>
  <c r="R7" i="18"/>
  <c r="P8" i="18" a="1"/>
  <c r="P8" i="18" s="1"/>
  <c r="O7" i="18" a="1"/>
  <c r="O7" i="18" s="1"/>
  <c r="T9" i="18" a="1"/>
  <c r="T9" i="18" s="1"/>
  <c r="P6" i="18" a="1"/>
  <c r="P6" i="18" s="1"/>
  <c r="O8" i="18" a="1"/>
  <c r="O8" i="18" s="1"/>
  <c r="T6" i="18" a="1"/>
  <c r="T6" i="18" s="1"/>
  <c r="P7" i="18" a="1"/>
  <c r="P7" i="18" s="1"/>
  <c r="O5" i="18" a="1"/>
  <c r="O5" i="18" s="1"/>
  <c r="S6" i="18" a="1"/>
  <c r="S6" i="18" s="1"/>
  <c r="O4" i="18" a="1"/>
  <c r="O4" i="18" s="1"/>
  <c r="O3" i="18" a="1"/>
  <c r="O3" i="18" s="1"/>
  <c r="P3" i="18" a="1"/>
  <c r="P3" i="18" s="1"/>
  <c r="P4" i="18" a="1"/>
  <c r="P4" i="18" s="1"/>
  <c r="S9" i="18" a="1"/>
  <c r="S9" i="18" s="1"/>
  <c r="T4" i="18" a="1"/>
  <c r="T4" i="18" s="1"/>
  <c r="O9" i="18" a="1"/>
  <c r="O9" i="18" s="1"/>
  <c r="S5" i="18" a="1"/>
  <c r="S5" i="18" s="1"/>
  <c r="P10" i="18" a="1"/>
  <c r="P10" i="18" s="1"/>
  <c r="R10" i="18" s="1"/>
  <c r="S10" i="18" a="1"/>
  <c r="S10" i="18" s="1"/>
  <c r="S2" i="18" a="1"/>
  <c r="S2" i="18" s="1"/>
  <c r="U4" i="18"/>
  <c r="R4" i="18"/>
  <c r="U10" i="18"/>
  <c r="U9" i="18"/>
  <c r="U6" i="18"/>
  <c r="R6" i="18"/>
  <c r="U5" i="18"/>
  <c r="U8" i="18"/>
  <c r="R8" i="18"/>
  <c r="R2" i="18"/>
  <c r="U2" i="18"/>
  <c r="T7" i="18" a="1"/>
  <c r="T7" i="18" s="1"/>
  <c r="T3" i="18" a="1"/>
  <c r="T3" i="18" s="1"/>
  <c r="S8" i="18" a="1"/>
  <c r="S8" i="18" s="1"/>
  <c r="S4" i="18" a="1"/>
  <c r="S4" i="18" s="1"/>
  <c r="T2" i="18" a="1"/>
  <c r="T2" i="18" s="1"/>
  <c r="S3" i="18" a="1"/>
  <c r="S3" i="18" s="1"/>
  <c r="P5" i="18" a="1"/>
  <c r="P5" i="18" s="1"/>
  <c r="R5" i="18" s="1"/>
  <c r="O10" i="18" a="1"/>
  <c r="O10" i="18" s="1"/>
  <c r="O6" i="18" a="1"/>
  <c r="O6" i="18" s="1"/>
  <c r="O2" i="18" a="1"/>
  <c r="O2" i="18" s="1"/>
  <c r="P9" i="18" a="1"/>
  <c r="P9" i="18" s="1"/>
  <c r="R9" i="18" s="1"/>
  <c r="T5" i="18" a="1"/>
  <c r="T5" i="18" s="1"/>
  <c r="X8" i="17" a="1"/>
  <c r="X8" i="17" s="1"/>
  <c r="X9" i="17" a="1"/>
  <c r="X9" i="17" s="1"/>
  <c r="V9" i="17" a="1"/>
  <c r="V9" i="17" s="1"/>
  <c r="U9" i="17" a="1"/>
  <c r="U9" i="17" s="1"/>
  <c r="T9" i="17" a="1"/>
  <c r="T9" i="17" s="1"/>
  <c r="S9" i="17" a="1"/>
  <c r="S9" i="17" s="1"/>
  <c r="R9" i="17" a="1"/>
  <c r="R9" i="17" s="1"/>
  <c r="O9" i="17" a="1"/>
  <c r="O9" i="17" s="1"/>
  <c r="N9" i="17" a="1"/>
  <c r="N9" i="17" s="1"/>
  <c r="X7" i="17" a="1"/>
  <c r="X7" i="17" s="1"/>
  <c r="V7" i="17" a="1"/>
  <c r="V7" i="17" s="1"/>
  <c r="U7" i="17" a="1"/>
  <c r="U7" i="17" s="1"/>
  <c r="T7" i="17" a="1"/>
  <c r="T7" i="17" s="1"/>
  <c r="S7" i="17" a="1"/>
  <c r="S7" i="17" s="1"/>
  <c r="R7" i="17" a="1"/>
  <c r="R7" i="17" s="1"/>
  <c r="O7" i="17" a="1"/>
  <c r="O7" i="17" s="1"/>
  <c r="N7" i="17" a="1"/>
  <c r="N7" i="17" s="1"/>
  <c r="X6" i="17" a="1"/>
  <c r="X6" i="17" s="1"/>
  <c r="V6" i="17" a="1"/>
  <c r="V6" i="17" s="1"/>
  <c r="U6" i="17" a="1"/>
  <c r="U6" i="17" s="1"/>
  <c r="T6" i="17" a="1"/>
  <c r="T6" i="17" s="1"/>
  <c r="S6" i="17" a="1"/>
  <c r="S6" i="17" s="1"/>
  <c r="R6" i="17" a="1"/>
  <c r="R6" i="17" s="1"/>
  <c r="O6" i="17" a="1"/>
  <c r="O6" i="17" s="1"/>
  <c r="N6" i="17" a="1"/>
  <c r="N6" i="17" s="1"/>
  <c r="N8" i="17" a="1"/>
  <c r="N8" i="17" s="1"/>
  <c r="X5" i="17" a="1"/>
  <c r="X5" i="17" s="1"/>
  <c r="V5" i="17" a="1"/>
  <c r="V5" i="17" s="1"/>
  <c r="U5" i="17" a="1"/>
  <c r="U5" i="17" s="1"/>
  <c r="T5" i="17" a="1"/>
  <c r="T5" i="17" s="1"/>
  <c r="S5" i="17" a="1"/>
  <c r="S5" i="17" s="1"/>
  <c r="R5" i="17" a="1"/>
  <c r="R5" i="17" s="1"/>
  <c r="O5" i="17" a="1"/>
  <c r="O5" i="17" s="1"/>
  <c r="N5" i="17" a="1"/>
  <c r="N5" i="17" s="1"/>
  <c r="V8" i="17" a="1"/>
  <c r="V8" i="17" s="1"/>
  <c r="O8" i="17" a="1"/>
  <c r="O8" i="17" s="1"/>
  <c r="X4" i="17" a="1"/>
  <c r="X4" i="17" s="1"/>
  <c r="V4" i="17" a="1"/>
  <c r="V4" i="17" s="1"/>
  <c r="U4" i="17" a="1"/>
  <c r="U4" i="17" s="1"/>
  <c r="T4" i="17" a="1"/>
  <c r="T4" i="17" s="1"/>
  <c r="S4" i="17" a="1"/>
  <c r="S4" i="17" s="1"/>
  <c r="R4" i="17" a="1"/>
  <c r="R4" i="17" s="1"/>
  <c r="O4" i="17" a="1"/>
  <c r="O4" i="17" s="1"/>
  <c r="N4" i="17" a="1"/>
  <c r="N4" i="17" s="1"/>
  <c r="T8" i="17" a="1"/>
  <c r="T8" i="17" s="1"/>
  <c r="R8" i="17" a="1"/>
  <c r="R8" i="17" s="1"/>
  <c r="X3" i="17" a="1"/>
  <c r="X3" i="17" s="1"/>
  <c r="Y3" i="17" s="1"/>
  <c r="Q3" i="17" s="1"/>
  <c r="V3" i="17" a="1"/>
  <c r="V3" i="17" s="1"/>
  <c r="U3" i="17" a="1"/>
  <c r="U3" i="17" s="1"/>
  <c r="T3" i="17" a="1"/>
  <c r="T3" i="17" s="1"/>
  <c r="S3" i="17" a="1"/>
  <c r="S3" i="17" s="1"/>
  <c r="R3" i="17" a="1"/>
  <c r="R3" i="17" s="1"/>
  <c r="O3" i="17" a="1"/>
  <c r="O3" i="17" s="1"/>
  <c r="N3" i="17" a="1"/>
  <c r="N3" i="17" s="1"/>
  <c r="U8" i="17" a="1"/>
  <c r="U8" i="17" s="1"/>
  <c r="S8" i="17" a="1"/>
  <c r="S8" i="17" s="1"/>
  <c r="X2" i="17" a="1"/>
  <c r="X2" i="17" s="1"/>
  <c r="Y2" i="17" s="1"/>
  <c r="V2" i="17" a="1"/>
  <c r="V2" i="17" s="1"/>
  <c r="U2" i="17" a="1"/>
  <c r="U2" i="17" s="1"/>
  <c r="T2" i="17" a="1"/>
  <c r="T2" i="17" s="1"/>
  <c r="S2" i="17" a="1"/>
  <c r="S2" i="17" s="1"/>
  <c r="R2" i="17" a="1"/>
  <c r="R2" i="17" s="1"/>
  <c r="O2" i="17" a="1"/>
  <c r="O2" i="17" s="1"/>
  <c r="W9" i="17"/>
  <c r="Y9" i="17"/>
  <c r="Q9" i="17" s="1"/>
  <c r="W8" i="17"/>
  <c r="Y8" i="17"/>
  <c r="Q8" i="17" s="1"/>
  <c r="W7" i="17"/>
  <c r="Y7" i="17"/>
  <c r="W6" i="17"/>
  <c r="Y6" i="17"/>
  <c r="W5" i="17"/>
  <c r="Y5" i="17"/>
  <c r="Q5" i="17" s="1"/>
  <c r="W4" i="17"/>
  <c r="Y4" i="17"/>
  <c r="Q4" i="17" s="1"/>
  <c r="W3" i="17"/>
  <c r="W2" i="17"/>
  <c r="Q2" i="17" l="1"/>
  <c r="Q6" i="17"/>
  <c r="Q7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m4\linha de montagem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m4\linha de montagem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m4\linha de montagem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m4\linha de montagem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m4\linha de montagem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m4\linha de montagem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<sst xmlns="http://schemas.openxmlformats.org/spreadsheetml/2006/main" count="351" uniqueCount="103">
  <si>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</si>
  <si>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</si>
  <si>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</si>
  <si>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</si>
  <si>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</si>
  <si>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</si>
  <si>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</si>
  <si>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</si>
  <si>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</si>
  <si>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</si>
  <si>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</si>
  <si>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</si>
  <si>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</si>
  <si>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</si>
  <si>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</si>
  <si>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</si>
  <si>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</si>
  <si>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</si>
  <si>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</si>
  <si>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</si>
  <si>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</si>
  <si>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</si>
  <si>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</si>
  <si>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</si>
  <si>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</si>
  <si>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</si>
  <si>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</si>
  <si>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</si>
  <si>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</si>
  <si>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</si>
  <si>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</si>
  <si>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</si>
  <si>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</si>
  <si>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</si>
  <si>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</si>
  <si>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</si>
  <si>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</si>
  <si>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</si>
  <si>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</si>
  <si>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</si>
  <si>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</si>
  <si>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</si>
  <si>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</si>
  <si>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</si>
  <si>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</si>
  <si>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</si>
  <si>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</si>
  <si>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</si>
  <si>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</si>
  <si>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</si>
  <si>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</si>
  <si>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</si>
  <si>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</si>
  <si>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</si>
  <si>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</si>
  <si>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</si>
  <si>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</si>
  <si>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</si>
  <si>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</si>
  <si>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</si>
  <si>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</si>
  <si>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</si>
  <si>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</si>
  <si>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</si>
  <si>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</si>
  <si>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</si>
  <si>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</si>
  <si>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</si>
  <si>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Sistemas\M4\Linha de Montagem.p</t>
  </si>
  <si>
    <t>2023-11-11 09:58:06</t>
  </si>
  <si>
    <t>Peca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</si>
  <si>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</si>
  <si>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</si>
  <si>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</si>
  <si>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</si>
  <si>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</si>
  <si>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</si>
  <si>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</si>
  <si>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Posto 1.Queue</t>
  </si>
  <si>
    <t>Waiting Time</t>
  </si>
  <si>
    <t>Queue</t>
  </si>
  <si>
    <t>Processo Posto 2.Queue</t>
  </si>
  <si>
    <t>WIP</t>
  </si>
  <si>
    <t>Posto 1</t>
  </si>
  <si>
    <t>Instantaneous Utilization</t>
  </si>
  <si>
    <t>Resource</t>
  </si>
  <si>
    <t>Number Busy</t>
  </si>
  <si>
    <t>Number Scheduled</t>
  </si>
  <si>
    <t>Posto 2</t>
  </si>
  <si>
    <t>Number Waiting</t>
  </si>
  <si>
    <t>Peca.NumberIn</t>
  </si>
  <si>
    <t>Number In</t>
  </si>
  <si>
    <t>Peca.NumberOut</t>
  </si>
  <si>
    <t>Number Out</t>
  </si>
  <si>
    <t>Posto 1.NumberSeized</t>
  </si>
  <si>
    <t>Total Number Seized</t>
  </si>
  <si>
    <t>Posto 1.ScheduledUtilization</t>
  </si>
  <si>
    <t>Scheduled Utilization</t>
  </si>
  <si>
    <t>Posto 2.NumberSeized</t>
  </si>
  <si>
    <t>Posto 2.ScheduledUtilization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</si>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</sst>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41.41568611111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41.415686689812" createdVersion="7" refreshedVersion="8" minRefreshableVersion="3" recordCount="9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8">
        <s v="Peca"/>
        <s v="Posto 1"/>
        <s v="Posto 2"/>
        <s v="Processo Posto 1.Queue"/>
        <s v="Processo Posto 2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.99591092414082505" maxValue="18.100482123778399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33"/>
    </cacheField>
    <cacheField name="LastRecordedValue" numFmtId="0">
      <sharedItems containsSemiMixedTypes="0" containsString="0" containsNumber="1" containsInteger="1" minValue="1" maxValue="3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9591092414082505" maxValue="18.1004821237783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9591092414082505" maxValue="18.100482123778399"/>
    </cacheField>
    <cacheField name="MaximumAverage" numFmtId="0">
      <sharedItems containsSemiMixedTypes="0" containsString="0" containsNumber="1" minValue="0.99591092414082505" maxValue="18.100482123778399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41.41568703703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41.415687615743" createdVersion="7" refreshedVersion="8" minRefreshableVersion="3" recordCount="8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Peca"/>
        <s v="Processo Posto 1.Queue"/>
        <s v="Processo Posto 2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0.8984830597231779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8.1057781622592306E-2"/>
    </cacheField>
    <cacheField name="Maximum" numFmtId="0">
      <sharedItems containsSemiMixedTypes="0" containsString="0" containsNumber="1" minValue="0" maxValue="1.58739359006026"/>
    </cacheField>
    <cacheField name="NumberObservations" numFmtId="0">
      <sharedItems containsSemiMixedTypes="0" containsString="0" containsNumber="1" containsInteger="1" minValue="433" maxValue="45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898483059723177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89848305972317799"/>
    </cacheField>
    <cacheField name="MaximumAverage" numFmtId="0">
      <sharedItems containsSemiMixedTypes="0" containsString="0" containsNumber="1" minValue="0" maxValue="0.89848305972317799"/>
    </cacheField>
    <cacheField name="OverallMinimum" numFmtId="0">
      <sharedItems containsSemiMixedTypes="0" containsString="0" containsNumber="1" minValue="0" maxValue="8.1057781622592306E-2"/>
    </cacheField>
    <cacheField name="OverallMaximum" numFmtId="0">
      <sharedItems containsSemiMixedTypes="0" containsString="0" containsNumber="1" minValue="0" maxValue="1.58739359006026"/>
    </cacheField>
    <cacheField name="AverageNumberObservations" numFmtId="0">
      <sharedItems containsSemiMixedTypes="0" containsString="0" containsNumber="1" containsInteger="1" minValue="433" maxValue="457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41.41568784722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Peca.NumberIn"/>
        <s v="Peca.NumberOut"/>
        <s v="Posto 1.NumberSeized"/>
        <s v="Posto 1.ScheduledUtilization"/>
        <s v="Posto 2.NumberSeized"/>
        <s v="Posto 2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99591092414082505" maxValue="46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9591092414082505" maxValue="466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9591092414082505" maxValue="466"/>
    </cacheField>
    <cacheField name="Maximum" numFmtId="0">
      <sharedItems containsSemiMixedTypes="0" containsString="0" containsNumber="1" minValue="0.99591092414082505" maxValue="4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3-11-11 09:58:06"/>
    <n v="1"/>
    <x v="0"/>
    <x v="0"/>
    <x v="0"/>
    <n v="18.100482123778399"/>
    <n v="3E+20"/>
    <n v="0"/>
    <n v="33"/>
    <n v="33"/>
    <n v="0"/>
    <s v="Unnamed ProjectPecaWIPEntity"/>
    <n v="1"/>
    <n v="18.100482123778399"/>
    <n v="0"/>
    <n v="0.95"/>
    <n v="4E+20"/>
    <n v="18.100482123778399"/>
    <n v="18.100482123778399"/>
    <n v="3E+20"/>
  </r>
  <r>
    <x v="0"/>
    <s v="2023-11-11 09:58:06"/>
    <n v="1"/>
    <x v="1"/>
    <x v="1"/>
    <x v="1"/>
    <n v="0.99846092416465704"/>
    <n v="2E+20"/>
    <n v="0"/>
    <n v="1"/>
    <n v="1"/>
    <n v="0"/>
    <s v="Unnamed ProjectPosto 1Instantaneous UtilizationResource"/>
    <n v="1"/>
    <n v="0.99846092416465704"/>
    <n v="0"/>
    <n v="0.95"/>
    <n v="4E+20"/>
    <n v="0.99846092416465704"/>
    <n v="0.99846092416465704"/>
    <n v="2E+20"/>
  </r>
  <r>
    <x v="0"/>
    <s v="2023-11-11 09:58:06"/>
    <n v="1"/>
    <x v="1"/>
    <x v="2"/>
    <x v="1"/>
    <n v="0.99846092416465704"/>
    <n v="2E+20"/>
    <n v="0"/>
    <n v="1"/>
    <n v="1"/>
    <n v="0"/>
    <s v="Unnamed ProjectPosto 1Number BusyResource"/>
    <n v="1"/>
    <n v="0.99846092416465704"/>
    <n v="0"/>
    <n v="0.95"/>
    <n v="4E+20"/>
    <n v="0.99846092416465704"/>
    <n v="0.99846092416465704"/>
    <n v="2E+20"/>
  </r>
  <r>
    <x v="0"/>
    <s v="2023-11-11 09:58:06"/>
    <n v="1"/>
    <x v="1"/>
    <x v="3"/>
    <x v="1"/>
    <n v="1"/>
    <n v="2E+20"/>
    <n v="1"/>
    <n v="1"/>
    <n v="1"/>
    <n v="0"/>
    <s v="Unnamed ProjectPosto 1Number ScheduledResource"/>
    <n v="1"/>
    <n v="1"/>
    <n v="0"/>
    <n v="0.95"/>
    <n v="4E+20"/>
    <n v="1"/>
    <n v="1"/>
    <n v="2E+20"/>
  </r>
  <r>
    <x v="0"/>
    <s v="2023-11-11 09:58:06"/>
    <n v="1"/>
    <x v="2"/>
    <x v="1"/>
    <x v="1"/>
    <n v="0.99591092414082505"/>
    <n v="2E+20"/>
    <n v="0"/>
    <n v="1"/>
    <n v="1"/>
    <n v="0"/>
    <s v="Unnamed ProjectPosto 2Instantaneous UtilizationResource"/>
    <n v="1"/>
    <n v="0.99591092414082505"/>
    <n v="0"/>
    <n v="0.95"/>
    <n v="4E+20"/>
    <n v="0.99591092414082505"/>
    <n v="0.99591092414082505"/>
    <n v="2E+20"/>
  </r>
  <r>
    <x v="0"/>
    <s v="2023-11-11 09:58:06"/>
    <n v="1"/>
    <x v="2"/>
    <x v="2"/>
    <x v="1"/>
    <n v="0.99591092414082505"/>
    <n v="2E+20"/>
    <n v="0"/>
    <n v="1"/>
    <n v="1"/>
    <n v="0"/>
    <s v="Unnamed ProjectPosto 2Number BusyResource"/>
    <n v="1"/>
    <n v="0.99591092414082505"/>
    <n v="0"/>
    <n v="0.95"/>
    <n v="4E+20"/>
    <n v="0.99591092414082505"/>
    <n v="0.99591092414082505"/>
    <n v="2E+20"/>
  </r>
  <r>
    <x v="0"/>
    <s v="2023-11-11 09:58:06"/>
    <n v="1"/>
    <x v="2"/>
    <x v="3"/>
    <x v="1"/>
    <n v="1"/>
    <n v="2E+20"/>
    <n v="1"/>
    <n v="1"/>
    <n v="1"/>
    <n v="0"/>
    <s v="Unnamed ProjectPosto 2Number ScheduledResource"/>
    <n v="1"/>
    <n v="1"/>
    <n v="0"/>
    <n v="0.95"/>
    <n v="4E+20"/>
    <n v="1"/>
    <n v="1"/>
    <n v="2E+20"/>
  </r>
  <r>
    <x v="0"/>
    <s v="2023-11-11 09:58:06"/>
    <n v="1"/>
    <x v="3"/>
    <x v="4"/>
    <x v="2"/>
    <n v="4.3221032775615402"/>
    <n v="3E+20"/>
    <n v="0"/>
    <n v="10"/>
    <n v="9"/>
    <n v="0"/>
    <s v="Unnamed ProjectProcesso Posto 1.QueueNumber WaitingQueue"/>
    <n v="1"/>
    <n v="4.3221032775615402"/>
    <n v="0"/>
    <n v="0.95"/>
    <n v="4E+20"/>
    <n v="4.3221032775615402"/>
    <n v="4.3221032775615402"/>
    <n v="3E+20"/>
  </r>
  <r>
    <x v="0"/>
    <s v="2023-11-11 09:58:06"/>
    <n v="1"/>
    <x v="4"/>
    <x v="4"/>
    <x v="2"/>
    <n v="11.784006997911399"/>
    <n v="3E+20"/>
    <n v="0"/>
    <n v="23"/>
    <n v="22"/>
    <n v="0"/>
    <s v="Unnamed ProjectProcesso Posto 2.QueueNumber WaitingQueue"/>
    <n v="1"/>
    <n v="11.784006997911399"/>
    <n v="0"/>
    <n v="0.95"/>
    <n v="4E+20"/>
    <n v="11.784006997911399"/>
    <n v="11.784006997911399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23-11-11 09:58:06"/>
    <n v="1"/>
    <x v="0"/>
    <x v="0"/>
    <x v="0"/>
    <n v="0"/>
    <n v="0"/>
    <n v="0"/>
    <n v="0"/>
    <n v="433"/>
    <s v="Unnamed ProjectPecaNVA TimeEntity"/>
    <n v="1"/>
    <n v="0"/>
    <n v="0"/>
    <n v="0.95"/>
    <n v="4E+20"/>
    <n v="0"/>
    <n v="0"/>
    <n v="0"/>
    <n v="0"/>
    <n v="433"/>
    <n v="0"/>
    <n v="1"/>
    <n v="1"/>
  </r>
  <r>
    <x v="0"/>
    <s v="2023-11-11 09:58:06"/>
    <n v="1"/>
    <x v="0"/>
    <x v="1"/>
    <x v="0"/>
    <n v="0"/>
    <n v="0"/>
    <n v="0"/>
    <n v="0"/>
    <n v="433"/>
    <s v="Unnamed ProjectPecaOther TimeEntity"/>
    <n v="1"/>
    <n v="0"/>
    <n v="0"/>
    <n v="0.95"/>
    <n v="4E+20"/>
    <n v="0"/>
    <n v="0"/>
    <n v="0"/>
    <n v="0"/>
    <n v="433"/>
    <n v="0"/>
    <n v="1"/>
    <n v="1"/>
  </r>
  <r>
    <x v="0"/>
    <s v="2023-11-11 09:58:06"/>
    <n v="1"/>
    <x v="0"/>
    <x v="2"/>
    <x v="0"/>
    <n v="0.89848305972317799"/>
    <n v="3E+20"/>
    <n v="8.1057781622592306E-2"/>
    <n v="1.58739359006026"/>
    <n v="433"/>
    <s v="Unnamed ProjectPecaTotal TimeEntity"/>
    <n v="1"/>
    <n v="0.89848305972317799"/>
    <n v="0"/>
    <n v="0.95"/>
    <n v="4E+20"/>
    <n v="0.89848305972317799"/>
    <n v="0.89848305972317799"/>
    <n v="8.1057781622592306E-2"/>
    <n v="1.58739359006026"/>
    <n v="433"/>
    <n v="3E+20"/>
    <n v="1"/>
    <n v="1"/>
  </r>
  <r>
    <x v="0"/>
    <s v="2023-11-11 09:58:06"/>
    <n v="1"/>
    <x v="0"/>
    <x v="3"/>
    <x v="0"/>
    <n v="0"/>
    <n v="0"/>
    <n v="0"/>
    <n v="0"/>
    <n v="433"/>
    <s v="Unnamed ProjectPecaTransfer TimeEntity"/>
    <n v="1"/>
    <n v="0"/>
    <n v="0"/>
    <n v="0.95"/>
    <n v="4E+20"/>
    <n v="0"/>
    <n v="0"/>
    <n v="0"/>
    <n v="0"/>
    <n v="433"/>
    <n v="0"/>
    <n v="1"/>
    <n v="1"/>
  </r>
  <r>
    <x v="0"/>
    <s v="2023-11-11 09:58:06"/>
    <n v="1"/>
    <x v="0"/>
    <x v="4"/>
    <x v="0"/>
    <n v="0.102784030974939"/>
    <n v="1.36029419333374E-3"/>
    <n v="6.8514075226669705E-2"/>
    <n v="0.14353249501928"/>
    <n v="433"/>
    <s v="Unnamed ProjectPecaVA TimeEntity"/>
    <n v="1"/>
    <n v="0.102784030974939"/>
    <n v="0"/>
    <n v="0.95"/>
    <n v="4E+20"/>
    <n v="0.102784030974939"/>
    <n v="0.102784030974939"/>
    <n v="6.8514075226669705E-2"/>
    <n v="0.14353249501928"/>
    <n v="433"/>
    <n v="1.36029419333374E-3"/>
    <n v="1"/>
    <n v="1"/>
  </r>
  <r>
    <x v="0"/>
    <s v="2023-11-11 09:58:06"/>
    <n v="1"/>
    <x v="0"/>
    <x v="5"/>
    <x v="0"/>
    <n v="0.79569902874823895"/>
    <n v="3E+20"/>
    <n v="0"/>
    <n v="1.50159004515246"/>
    <n v="433"/>
    <s v="Unnamed ProjectPecaWait TimeEntity"/>
    <n v="1"/>
    <n v="0.79569902874823895"/>
    <n v="0"/>
    <n v="0.95"/>
    <n v="4E+20"/>
    <n v="0.79569902874823895"/>
    <n v="0.79569902874823895"/>
    <n v="0"/>
    <n v="1.50159004515246"/>
    <n v="433"/>
    <n v="3E+20"/>
    <n v="1"/>
    <n v="1"/>
  </r>
  <r>
    <x v="0"/>
    <s v="2023-11-11 09:58:06"/>
    <n v="1"/>
    <x v="1"/>
    <x v="6"/>
    <x v="1"/>
    <n v="0.21284689475924701"/>
    <n v="3E+20"/>
    <n v="0"/>
    <n v="0.43350323354577502"/>
    <n v="457"/>
    <s v="Unnamed ProjectProcesso Posto 1.QueueWaiting TimeQueue"/>
    <n v="1"/>
    <n v="0.21284689475924701"/>
    <n v="0"/>
    <n v="0.95"/>
    <n v="4E+20"/>
    <n v="0.21284689475924701"/>
    <n v="0.21284689475924701"/>
    <n v="0"/>
    <n v="0.43350323354577502"/>
    <n v="457"/>
    <n v="3E+20"/>
    <n v="1"/>
    <n v="1"/>
  </r>
  <r>
    <x v="0"/>
    <s v="2023-11-11 09:58:06"/>
    <n v="1"/>
    <x v="2"/>
    <x v="6"/>
    <x v="1"/>
    <n v="0.59407726023516405"/>
    <n v="3E+20"/>
    <n v="0"/>
    <n v="1.1298629405990801"/>
    <n v="434"/>
    <s v="Unnamed ProjectProcesso Posto 2.QueueWaiting TimeQueue"/>
    <n v="1"/>
    <n v="0.59407726023516405"/>
    <n v="0"/>
    <n v="0.95"/>
    <n v="4E+20"/>
    <n v="0.59407726023516405"/>
    <n v="0.59407726023516405"/>
    <n v="0"/>
    <n v="1.1298629405990801"/>
    <n v="434"/>
    <n v="3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3-11-11 09:58:06"/>
    <n v="1"/>
    <x v="0"/>
    <x v="0"/>
    <x v="0"/>
    <n v="466"/>
    <n v="0"/>
    <s v="Unnamed ProjectPeca.NumberInNumber InEntity"/>
    <n v="1"/>
    <n v="466"/>
    <n v="0"/>
    <n v="0.95"/>
    <n v="4E+20"/>
    <n v="466"/>
    <n v="466"/>
  </r>
  <r>
    <x v="0"/>
    <s v="2023-11-11 09:58:06"/>
    <n v="1"/>
    <x v="1"/>
    <x v="1"/>
    <x v="0"/>
    <n v="433"/>
    <n v="0"/>
    <s v="Unnamed ProjectPeca.NumberOutNumber OutEntity"/>
    <n v="1"/>
    <n v="433"/>
    <n v="0"/>
    <n v="0.95"/>
    <n v="4E+20"/>
    <n v="433"/>
    <n v="433"/>
  </r>
  <r>
    <x v="0"/>
    <s v="2023-11-11 09:58:06"/>
    <n v="1"/>
    <x v="2"/>
    <x v="2"/>
    <x v="1"/>
    <n v="457"/>
    <n v="0"/>
    <s v="Unnamed ProjectPosto 1.NumberSeizedTotal Number SeizedResource"/>
    <n v="1"/>
    <n v="457"/>
    <n v="0"/>
    <n v="0.95"/>
    <n v="4E+20"/>
    <n v="457"/>
    <n v="457"/>
  </r>
  <r>
    <x v="0"/>
    <s v="2023-11-11 09:58:06"/>
    <n v="1"/>
    <x v="3"/>
    <x v="3"/>
    <x v="1"/>
    <n v="0.99846092416465704"/>
    <n v="0"/>
    <s v="Unnamed ProjectPosto 1.ScheduledUtilizationScheduled UtilizationResource"/>
    <n v="1"/>
    <n v="0.99846092416465704"/>
    <n v="0"/>
    <n v="0.95"/>
    <n v="4E+20"/>
    <n v="0.99846092416465704"/>
    <n v="0.99846092416465704"/>
  </r>
  <r>
    <x v="0"/>
    <s v="2023-11-11 09:58:06"/>
    <n v="1"/>
    <x v="4"/>
    <x v="2"/>
    <x v="1"/>
    <n v="434"/>
    <n v="0"/>
    <s v="Unnamed ProjectPosto 2.NumberSeizedTotal Number SeizedResource"/>
    <n v="1"/>
    <n v="434"/>
    <n v="0"/>
    <n v="0.95"/>
    <n v="4E+20"/>
    <n v="434"/>
    <n v="434"/>
  </r>
  <r>
    <x v="0"/>
    <s v="2023-11-11 09:58:06"/>
    <n v="1"/>
    <x v="5"/>
    <x v="3"/>
    <x v="1"/>
    <n v="0.99591092414082505"/>
    <n v="0"/>
    <s v="Unnamed ProjectPosto 2.ScheduledUtilizationScheduled UtilizationResource"/>
    <n v="1"/>
    <n v="0.99591092414082505"/>
    <n v="0"/>
    <n v="0.95"/>
    <n v="4E+20"/>
    <n v="0.99591092414082505"/>
    <n v="0.99591092414082505"/>
  </r>
  <r>
    <x v="0"/>
    <s v="2023-11-11 09:58:06"/>
    <n v="1"/>
    <x v="6"/>
    <x v="1"/>
    <x v="2"/>
    <n v="433"/>
    <n v="0"/>
    <s v="Unnamed ProjectSystem.NumberOutNumber OutSystem"/>
    <n v="1"/>
    <n v="433"/>
    <n v="0"/>
    <n v="0.95"/>
    <n v="4E+20"/>
    <n v="433"/>
    <n v="4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20"/>
        <item m="1" x="11"/>
        <item m="1" x="27"/>
        <item m="1" x="36"/>
        <item m="1" x="48"/>
        <item x="0"/>
        <item m="1" x="12"/>
        <item m="1" x="112"/>
        <item m="1" x="90"/>
        <item m="1" x="53"/>
        <item m="1" x="41"/>
        <item m="1" x="45"/>
        <item m="1" x="126"/>
        <item m="1" x="30"/>
        <item m="1" x="111"/>
        <item m="1" x="34"/>
        <item m="1" x="84"/>
        <item m="1" x="98"/>
        <item m="1" x="9"/>
        <item m="1" x="35"/>
        <item m="1" x="121"/>
        <item m="1" x="24"/>
        <item m="1" x="113"/>
        <item m="1" x="13"/>
        <item m="1" x="40"/>
        <item m="1" x="65"/>
        <item m="1" x="10"/>
        <item m="1" x="16"/>
        <item m="1" x="85"/>
        <item m="1" x="66"/>
        <item m="1" x="100"/>
        <item m="1" x="56"/>
        <item m="1" x="21"/>
        <item m="1" x="50"/>
        <item m="1" x="86"/>
        <item m="1" x="71"/>
        <item m="1" x="22"/>
        <item m="1" x="32"/>
        <item m="1" x="93"/>
        <item m="1" x="8"/>
        <item m="1" x="120"/>
        <item m="1" x="78"/>
        <item m="1" x="19"/>
        <item m="1" x="103"/>
        <item m="1" x="49"/>
        <item m="1" x="122"/>
        <item m="1" x="83"/>
        <item m="1" x="26"/>
        <item m="1" x="70"/>
        <item m="1" x="89"/>
        <item m="1" x="102"/>
        <item m="1" x="110"/>
        <item m="1" x="119"/>
        <item m="1" x="7"/>
        <item m="1" x="25"/>
        <item m="1" x="39"/>
        <item m="1" x="28"/>
        <item m="1" x="6"/>
        <item m="1" x="99"/>
        <item m="1" x="116"/>
        <item m="1" x="43"/>
        <item m="1" x="77"/>
        <item m="1" x="31"/>
        <item m="1" x="51"/>
        <item m="1" x="37"/>
        <item m="1" x="60"/>
        <item m="1" x="46"/>
        <item m="1" x="67"/>
        <item m="1" x="52"/>
        <item m="1" x="79"/>
        <item m="1" x="61"/>
        <item m="1" x="87"/>
        <item m="1" x="68"/>
        <item m="1" x="96"/>
        <item m="1" x="80"/>
        <item m="1" x="101"/>
        <item m="1" x="88"/>
        <item m="1" x="105"/>
        <item m="1" x="117"/>
        <item m="1" x="107"/>
        <item m="1" x="91"/>
        <item m="1" x="64"/>
        <item m="1" x="44"/>
        <item m="1" x="58"/>
        <item m="1" x="23"/>
        <item m="1" x="29"/>
        <item m="1" x="38"/>
        <item m="1" x="42"/>
        <item m="1" x="73"/>
        <item m="1" x="118"/>
        <item m="1" x="108"/>
        <item m="1" x="92"/>
        <item m="1" x="59"/>
        <item m="1" x="127"/>
        <item m="1" x="75"/>
        <item m="1" x="63"/>
        <item m="1" x="95"/>
        <item m="1" x="76"/>
        <item m="1" x="55"/>
        <item m="1" x="62"/>
        <item m="1" x="17"/>
        <item m="1" x="81"/>
        <item m="1" x="97"/>
        <item m="1" x="106"/>
        <item m="1" x="114"/>
        <item m="1" x="125"/>
        <item m="1" x="14"/>
        <item m="1" x="33"/>
        <item m="1" x="124"/>
        <item m="1" x="15"/>
        <item m="1" x="82"/>
        <item m="1" x="57"/>
        <item m="1" x="72"/>
        <item m="1" x="18"/>
        <item m="1" x="123"/>
        <item m="1" x="104"/>
        <item m="1" x="54"/>
        <item m="1" x="115"/>
        <item m="1" x="74"/>
        <item m="1" x="94"/>
        <item m="1" x="109"/>
        <item m="1" x="47"/>
        <item m="1" x="69"/>
        <item m="1" x="5"/>
        <item x="1"/>
        <item x="2"/>
        <item x="3"/>
        <item x="4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5"/>
      <x v="4"/>
      <x/>
    </i>
    <i r="1"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 v="3"/>
      <x v="1"/>
    </i>
    <i r="1">
      <x v="127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3"/>
        <item x="0"/>
        <item m="1" x="8"/>
        <item m="1" x="87"/>
        <item m="1" x="70"/>
        <item m="1" x="40"/>
        <item m="1" x="96"/>
        <item m="1" x="29"/>
        <item m="1" x="33"/>
        <item m="1" x="99"/>
        <item m="1" x="65"/>
        <item m="1" x="77"/>
        <item m="1" x="82"/>
        <item m="1" x="7"/>
        <item m="1" x="35"/>
        <item m="1" x="25"/>
        <item m="1" x="100"/>
        <item m="1" x="94"/>
        <item m="1" x="23"/>
        <item m="1" x="17"/>
        <item m="1" x="88"/>
        <item m="1" x="9"/>
        <item m="1" x="41"/>
        <item m="1" x="28"/>
        <item m="1" x="52"/>
        <item m="1" x="79"/>
        <item m="1" x="43"/>
        <item m="1" x="14"/>
        <item m="1" x="37"/>
        <item m="1" x="66"/>
        <item m="1" x="56"/>
        <item m="1" x="15"/>
        <item m="1" x="73"/>
        <item m="1" x="6"/>
        <item m="1" x="93"/>
        <item m="1" x="61"/>
        <item m="1" x="81"/>
        <item m="1" x="36"/>
        <item m="1" x="95"/>
        <item m="1" x="64"/>
        <item m="1" x="19"/>
        <item m="1" x="55"/>
        <item m="1" x="69"/>
        <item m="1" x="80"/>
        <item m="1" x="86"/>
        <item m="1" x="5"/>
        <item m="1" x="18"/>
        <item m="1" x="27"/>
        <item m="1" x="20"/>
        <item m="1" x="4"/>
        <item m="1" x="78"/>
        <item m="1" x="90"/>
        <item m="1" x="31"/>
        <item m="1" x="60"/>
        <item m="1" x="22"/>
        <item m="1" x="38"/>
        <item m="1" x="26"/>
        <item m="1" x="46"/>
        <item m="1" x="34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2"/>
        <item m="1" x="44"/>
        <item m="1" x="16"/>
        <item m="1" x="21"/>
        <item m="1" x="30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2"/>
        <item m="1" x="51"/>
        <item m="1" x="63"/>
        <item m="1" x="76"/>
        <item m="1" x="84"/>
        <item m="1" x="89"/>
        <item m="1" x="98"/>
        <item m="1" x="10"/>
        <item m="1" x="24"/>
        <item m="1" x="97"/>
        <item m="1" x="11"/>
        <item m="1" x="3"/>
        <item x="1"/>
        <item x="2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9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1"/>
        <item m="1" x="8"/>
        <item m="1" x="32"/>
        <item m="1" x="9"/>
        <item m="1" x="33"/>
        <item m="1" x="10"/>
        <item m="1" x="34"/>
        <item m="1" x="11"/>
        <item x="0"/>
        <item x="1"/>
        <item x="6"/>
        <item m="1" x="65"/>
        <item m="1" x="52"/>
        <item m="1" x="68"/>
        <item m="1" x="54"/>
        <item m="1" x="69"/>
        <item m="1" x="76"/>
        <item m="1" x="46"/>
        <item m="1" x="15"/>
        <item m="1" x="63"/>
        <item m="1" x="53"/>
        <item m="1" x="51"/>
        <item m="1" x="18"/>
        <item m="1" x="61"/>
        <item m="1" x="26"/>
        <item m="1" x="62"/>
        <item m="1" x="27"/>
        <item m="1" x="60"/>
        <item m="1" x="79"/>
        <item m="1" x="21"/>
        <item m="1" x="82"/>
        <item m="1" x="48"/>
        <item m="1" x="16"/>
        <item m="1" x="77"/>
        <item m="1" x="72"/>
        <item m="1" x="49"/>
        <item m="1" x="17"/>
        <item m="1" x="78"/>
        <item m="1" x="73"/>
        <item m="1" x="12"/>
        <item m="1" x="45"/>
        <item m="1" x="29"/>
        <item m="1" x="20"/>
        <item m="1" x="70"/>
        <item m="1" x="41"/>
        <item m="1" x="71"/>
        <item m="1" x="42"/>
        <item m="1" x="28"/>
        <item m="1" x="23"/>
        <item m="1" x="50"/>
        <item m="1" x="25"/>
        <item m="1" x="81"/>
        <item m="1" x="74"/>
        <item m="1" x="24"/>
        <item m="1" x="22"/>
        <item m="1" x="66"/>
        <item m="1" x="75"/>
        <item m="1" x="13"/>
        <item m="1" x="30"/>
        <item m="1" x="43"/>
        <item m="1" x="64"/>
        <item m="1" x="80"/>
        <item m="1" x="14"/>
        <item m="1" x="40"/>
        <item m="1" x="44"/>
        <item m="1" x="67"/>
        <item m="1" x="47"/>
        <item m="1" x="19"/>
        <item m="1" x="35"/>
        <item m="1" x="55"/>
        <item m="1" x="36"/>
        <item m="1" x="56"/>
        <item m="1" x="37"/>
        <item m="1" x="57"/>
        <item m="1" x="38"/>
        <item m="1" x="58"/>
        <item m="1" x="39"/>
        <item m="1" x="59"/>
        <item m="1" x="7"/>
        <item x="2"/>
        <item x="3"/>
        <item x="4"/>
        <item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8"/>
      <x/>
      <x/>
    </i>
    <i r="1">
      <x v="9"/>
      <x v="1"/>
      <x/>
    </i>
    <i r="1"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9" tableType="queryTable" totalsRowShown="0">
  <autoFilter ref="A1:Y9" xr:uid="{C3D003CA-1AFF-426C-A03D-D3AF5760DF1A}"/>
  <sortState xmlns:xlrd2="http://schemas.microsoft.com/office/spreadsheetml/2017/richdata2" ref="A2:Y9">
    <sortCondition ref="D1:D9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0" tableType="queryTable" totalsRowShown="0">
  <autoFilter ref="A1:U10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22.933929324097299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1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0.0898437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433</v>
      </c>
      <c r="O3" t="s">
        <v>66</v>
      </c>
      <c r="P3" t="s">
        <v>70</v>
      </c>
      <c r="Q3" t="s">
        <v>82</v>
      </c>
      <c r="R3" t="s">
        <v>72</v>
      </c>
      <c r="S3" s="5">
        <v>18.100482123778399</v>
      </c>
      <c r="T3" s="5">
        <v>3E+20</v>
      </c>
      <c r="U3" s="5">
        <v>0</v>
      </c>
      <c r="V3" s="5">
        <v>18.100482123778399</v>
      </c>
      <c r="W3" s="5">
        <v>18.100482123778399</v>
      </c>
      <c r="X3" s="5">
        <v>0</v>
      </c>
      <c r="Y3" s="5">
        <v>33</v>
      </c>
      <c r="AA3" t="s">
        <v>102</v>
      </c>
      <c r="AB3" t="s">
        <v>102</v>
      </c>
      <c r="AC3" t="s">
        <v>102</v>
      </c>
      <c r="AD3" t="s">
        <v>102</v>
      </c>
      <c r="AE3" s="5"/>
      <c r="AF3" s="5"/>
      <c r="AG3" s="5"/>
      <c r="AH3" s="5"/>
      <c r="AI3" s="5"/>
      <c r="AK3" t="s">
        <v>66</v>
      </c>
      <c r="AL3" t="s">
        <v>90</v>
      </c>
      <c r="AM3" t="s">
        <v>91</v>
      </c>
      <c r="AN3" t="s">
        <v>72</v>
      </c>
      <c r="AO3" s="5">
        <v>466</v>
      </c>
      <c r="AP3" s="5">
        <v>4E+20</v>
      </c>
      <c r="AQ3" s="5">
        <v>0</v>
      </c>
      <c r="AR3" s="5">
        <v>466</v>
      </c>
      <c r="AS3" s="5">
        <v>466</v>
      </c>
      <c r="AU3" t="s">
        <v>102</v>
      </c>
      <c r="AV3" t="s">
        <v>102</v>
      </c>
      <c r="AW3" t="s">
        <v>102</v>
      </c>
      <c r="AX3" t="s">
        <v>102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433</v>
      </c>
      <c r="P4" t="s">
        <v>83</v>
      </c>
      <c r="Q4" t="s">
        <v>84</v>
      </c>
      <c r="R4" t="s">
        <v>85</v>
      </c>
      <c r="S4" s="5">
        <v>0.99846092416465704</v>
      </c>
      <c r="T4" s="5">
        <v>2E+20</v>
      </c>
      <c r="U4" s="5">
        <v>0</v>
      </c>
      <c r="V4" s="5">
        <v>0.99846092416465704</v>
      </c>
      <c r="W4" s="5">
        <v>0.99846092416465704</v>
      </c>
      <c r="X4" s="5">
        <v>0</v>
      </c>
      <c r="Y4" s="5">
        <v>1</v>
      </c>
      <c r="AL4" t="s">
        <v>92</v>
      </c>
      <c r="AM4" t="s">
        <v>93</v>
      </c>
      <c r="AN4" t="s">
        <v>72</v>
      </c>
      <c r="AO4" s="5">
        <v>433</v>
      </c>
      <c r="AP4" s="5">
        <v>4E+20</v>
      </c>
      <c r="AQ4" s="5">
        <v>0</v>
      </c>
      <c r="AR4" s="5">
        <v>433</v>
      </c>
      <c r="AS4" s="5">
        <v>433</v>
      </c>
    </row>
    <row r="5" spans="1:52" x14ac:dyDescent="0.35">
      <c r="C5" t="s">
        <v>74</v>
      </c>
      <c r="D5" t="s">
        <v>72</v>
      </c>
      <c r="E5" s="5">
        <v>0.89848305972317799</v>
      </c>
      <c r="F5" s="5">
        <v>1</v>
      </c>
      <c r="G5" s="5">
        <v>3E+20</v>
      </c>
      <c r="H5" s="5">
        <v>0</v>
      </c>
      <c r="I5" s="5">
        <v>0.89848305972317799</v>
      </c>
      <c r="J5" s="5">
        <v>0.89848305972317799</v>
      </c>
      <c r="K5" s="5">
        <v>8.1057781622592306E-2</v>
      </c>
      <c r="L5" s="5">
        <v>1.58739359006026</v>
      </c>
      <c r="M5" s="5">
        <v>433</v>
      </c>
      <c r="Q5" t="s">
        <v>86</v>
      </c>
      <c r="R5" t="s">
        <v>85</v>
      </c>
      <c r="S5" s="5">
        <v>0.99846092416465704</v>
      </c>
      <c r="T5" s="5">
        <v>2E+20</v>
      </c>
      <c r="U5" s="5">
        <v>0</v>
      </c>
      <c r="V5" s="5">
        <v>0.99846092416465704</v>
      </c>
      <c r="W5" s="5">
        <v>0.99846092416465704</v>
      </c>
      <c r="X5" s="5">
        <v>0</v>
      </c>
      <c r="Y5" s="5">
        <v>1</v>
      </c>
      <c r="AL5" t="s">
        <v>100</v>
      </c>
      <c r="AM5" t="s">
        <v>93</v>
      </c>
      <c r="AN5" t="s">
        <v>101</v>
      </c>
      <c r="AO5" s="5">
        <v>433</v>
      </c>
      <c r="AP5" s="5">
        <v>4E+20</v>
      </c>
      <c r="AQ5" s="5">
        <v>0</v>
      </c>
      <c r="AR5" s="5">
        <v>433</v>
      </c>
      <c r="AS5" s="5">
        <v>433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433</v>
      </c>
      <c r="Q6" t="s">
        <v>87</v>
      </c>
      <c r="R6" t="s">
        <v>85</v>
      </c>
      <c r="S6" s="5">
        <v>1</v>
      </c>
      <c r="T6" s="5">
        <v>2E+20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94</v>
      </c>
      <c r="AM6" t="s">
        <v>95</v>
      </c>
      <c r="AN6" t="s">
        <v>85</v>
      </c>
      <c r="AO6" s="5">
        <v>457</v>
      </c>
      <c r="AP6" s="5">
        <v>4E+20</v>
      </c>
      <c r="AQ6" s="5">
        <v>0</v>
      </c>
      <c r="AR6" s="5">
        <v>457</v>
      </c>
      <c r="AS6" s="5">
        <v>457</v>
      </c>
    </row>
    <row r="7" spans="1:52" x14ac:dyDescent="0.35">
      <c r="C7" t="s">
        <v>76</v>
      </c>
      <c r="D7" t="s">
        <v>72</v>
      </c>
      <c r="E7" s="5">
        <v>0.102784030974939</v>
      </c>
      <c r="F7" s="5">
        <v>1</v>
      </c>
      <c r="G7" s="5">
        <v>1.36029419333374E-3</v>
      </c>
      <c r="H7" s="5">
        <v>0</v>
      </c>
      <c r="I7" s="5">
        <v>0.102784030974939</v>
      </c>
      <c r="J7" s="5">
        <v>0.102784030974939</v>
      </c>
      <c r="K7" s="5">
        <v>6.8514075226669705E-2</v>
      </c>
      <c r="L7" s="5">
        <v>0.14353249501928</v>
      </c>
      <c r="M7" s="5">
        <v>433</v>
      </c>
      <c r="P7" t="s">
        <v>88</v>
      </c>
      <c r="Q7" t="s">
        <v>84</v>
      </c>
      <c r="R7" t="s">
        <v>85</v>
      </c>
      <c r="S7" s="5">
        <v>0.99591092414082505</v>
      </c>
      <c r="T7" s="5">
        <v>2E+20</v>
      </c>
      <c r="U7" s="5">
        <v>0</v>
      </c>
      <c r="V7" s="5">
        <v>0.99591092414082505</v>
      </c>
      <c r="W7" s="5">
        <v>0.99591092414082505</v>
      </c>
      <c r="X7" s="5">
        <v>0</v>
      </c>
      <c r="Y7" s="5">
        <v>1</v>
      </c>
      <c r="AL7" t="s">
        <v>96</v>
      </c>
      <c r="AM7" t="s">
        <v>97</v>
      </c>
      <c r="AN7" t="s">
        <v>85</v>
      </c>
      <c r="AO7" s="5">
        <v>0.99846092416465704</v>
      </c>
      <c r="AP7" s="5">
        <v>4E+20</v>
      </c>
      <c r="AQ7" s="5">
        <v>0</v>
      </c>
      <c r="AR7" s="5">
        <v>0.99846092416465704</v>
      </c>
      <c r="AS7" s="5">
        <v>0.99846092416465704</v>
      </c>
    </row>
    <row r="8" spans="1:52" x14ac:dyDescent="0.35">
      <c r="C8" t="s">
        <v>77</v>
      </c>
      <c r="D8" t="s">
        <v>72</v>
      </c>
      <c r="E8" s="5">
        <v>0.79569902874823895</v>
      </c>
      <c r="F8" s="5">
        <v>1</v>
      </c>
      <c r="G8" s="5">
        <v>3E+20</v>
      </c>
      <c r="H8" s="5">
        <v>0</v>
      </c>
      <c r="I8" s="5">
        <v>0.79569902874823895</v>
      </c>
      <c r="J8" s="5">
        <v>0.79569902874823895</v>
      </c>
      <c r="K8" s="5">
        <v>0</v>
      </c>
      <c r="L8" s="5">
        <v>1.50159004515246</v>
      </c>
      <c r="M8" s="5">
        <v>433</v>
      </c>
      <c r="Q8" t="s">
        <v>86</v>
      </c>
      <c r="R8" t="s">
        <v>85</v>
      </c>
      <c r="S8" s="5">
        <v>0.99591092414082505</v>
      </c>
      <c r="T8" s="5">
        <v>2E+20</v>
      </c>
      <c r="U8" s="5">
        <v>0</v>
      </c>
      <c r="V8" s="5">
        <v>0.99591092414082505</v>
      </c>
      <c r="W8" s="5">
        <v>0.99591092414082505</v>
      </c>
      <c r="X8" s="5">
        <v>0</v>
      </c>
      <c r="Y8" s="5">
        <v>1</v>
      </c>
      <c r="AL8" t="s">
        <v>98</v>
      </c>
      <c r="AM8" t="s">
        <v>95</v>
      </c>
      <c r="AN8" t="s">
        <v>85</v>
      </c>
      <c r="AO8" s="5">
        <v>434</v>
      </c>
      <c r="AP8" s="5">
        <v>4E+20</v>
      </c>
      <c r="AQ8" s="5">
        <v>0</v>
      </c>
      <c r="AR8" s="5">
        <v>434</v>
      </c>
      <c r="AS8" s="5">
        <v>434</v>
      </c>
    </row>
    <row r="9" spans="1:52" x14ac:dyDescent="0.35">
      <c r="B9" t="s">
        <v>78</v>
      </c>
      <c r="C9" t="s">
        <v>79</v>
      </c>
      <c r="D9" t="s">
        <v>80</v>
      </c>
      <c r="E9" s="5">
        <v>0.21284689475924701</v>
      </c>
      <c r="F9" s="5">
        <v>1</v>
      </c>
      <c r="G9" s="5">
        <v>3E+20</v>
      </c>
      <c r="H9" s="5">
        <v>0</v>
      </c>
      <c r="I9" s="5">
        <v>0.21284689475924701</v>
      </c>
      <c r="J9" s="5">
        <v>0.21284689475924701</v>
      </c>
      <c r="K9" s="5">
        <v>0</v>
      </c>
      <c r="L9" s="5">
        <v>0.43350323354577502</v>
      </c>
      <c r="M9" s="5">
        <v>457</v>
      </c>
      <c r="Q9" t="s">
        <v>87</v>
      </c>
      <c r="R9" t="s">
        <v>85</v>
      </c>
      <c r="S9" s="5">
        <v>1</v>
      </c>
      <c r="T9" s="5">
        <v>2E+20</v>
      </c>
      <c r="U9" s="5">
        <v>0</v>
      </c>
      <c r="V9" s="5">
        <v>1</v>
      </c>
      <c r="W9" s="5">
        <v>1</v>
      </c>
      <c r="X9" s="5">
        <v>1</v>
      </c>
      <c r="Y9" s="5">
        <v>1</v>
      </c>
      <c r="AL9" t="s">
        <v>99</v>
      </c>
      <c r="AM9" t="s">
        <v>97</v>
      </c>
      <c r="AN9" t="s">
        <v>85</v>
      </c>
      <c r="AO9" s="5">
        <v>0.99591092414082505</v>
      </c>
      <c r="AP9" s="5">
        <v>4E+20</v>
      </c>
      <c r="AQ9" s="5">
        <v>0</v>
      </c>
      <c r="AR9" s="5">
        <v>0.99591092414082505</v>
      </c>
      <c r="AS9" s="5">
        <v>0.99591092414082505</v>
      </c>
    </row>
    <row r="10" spans="1:52" x14ac:dyDescent="0.35">
      <c r="B10" t="s">
        <v>81</v>
      </c>
      <c r="C10" t="s">
        <v>79</v>
      </c>
      <c r="D10" t="s">
        <v>80</v>
      </c>
      <c r="E10" s="5">
        <v>0.59407726023516405</v>
      </c>
      <c r="F10" s="5">
        <v>1</v>
      </c>
      <c r="G10" s="5">
        <v>3E+20</v>
      </c>
      <c r="H10" s="5">
        <v>0</v>
      </c>
      <c r="I10" s="5">
        <v>0.59407726023516405</v>
      </c>
      <c r="J10" s="5">
        <v>0.59407726023516405</v>
      </c>
      <c r="K10" s="5">
        <v>0</v>
      </c>
      <c r="L10" s="5">
        <v>1.1298629405990801</v>
      </c>
      <c r="M10" s="5">
        <v>434</v>
      </c>
      <c r="P10" t="s">
        <v>78</v>
      </c>
      <c r="Q10" t="s">
        <v>89</v>
      </c>
      <c r="R10" t="s">
        <v>80</v>
      </c>
      <c r="S10" s="5">
        <v>4.3221032775615402</v>
      </c>
      <c r="T10" s="5">
        <v>3E+20</v>
      </c>
      <c r="U10" s="5">
        <v>0</v>
      </c>
      <c r="V10" s="5">
        <v>4.3221032775615402</v>
      </c>
      <c r="W10" s="5">
        <v>4.3221032775615402</v>
      </c>
      <c r="X10" s="5">
        <v>0</v>
      </c>
      <c r="Y10" s="5">
        <v>10</v>
      </c>
    </row>
    <row r="11" spans="1:52" x14ac:dyDescent="0.35">
      <c r="P11" t="s">
        <v>81</v>
      </c>
      <c r="Q11" t="s">
        <v>89</v>
      </c>
      <c r="R11" t="s">
        <v>80</v>
      </c>
      <c r="S11" s="5">
        <v>11.784006997911399</v>
      </c>
      <c r="T11" s="5">
        <v>3E+20</v>
      </c>
      <c r="U11" s="5">
        <v>0</v>
      </c>
      <c r="V11" s="5">
        <v>11.784006997911399</v>
      </c>
      <c r="W11" s="5">
        <v>11.784006997911399</v>
      </c>
      <c r="X11" s="5">
        <v>0</v>
      </c>
      <c r="Y11" s="5">
        <v>23</v>
      </c>
    </row>
  </sheetData>
  <dataConsolidate/>
  <conditionalFormatting pivot="1" sqref="G3:G10">
    <cfRule type="expression" dxfId="31" priority="14">
      <formula>G3=200000000000000000000</formula>
    </cfRule>
  </conditionalFormatting>
  <conditionalFormatting pivot="1" sqref="T3:T11">
    <cfRule type="expression" dxfId="30" priority="13">
      <formula>T3=200000000000000000000</formula>
    </cfRule>
  </conditionalFormatting>
  <conditionalFormatting pivot="1" sqref="T3:T11">
    <cfRule type="expression" dxfId="29" priority="12">
      <formula>T3=300000000000000000000</formula>
    </cfRule>
  </conditionalFormatting>
  <conditionalFormatting pivot="1" sqref="G3:G10">
    <cfRule type="expression" dxfId="28" priority="11">
      <formula>G3=300000000000000000000</formula>
    </cfRule>
  </conditionalFormatting>
  <conditionalFormatting pivot="1" sqref="F3:F10">
    <cfRule type="expression" dxfId="27" priority="10">
      <formula>F3=0</formula>
    </cfRule>
  </conditionalFormatting>
  <conditionalFormatting pivot="1" sqref="F3:F10">
    <cfRule type="expression" dxfId="26" priority="9">
      <formula>F3=1</formula>
    </cfRule>
  </conditionalFormatting>
  <conditionalFormatting pivot="1" sqref="T3:T11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0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9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1.0898437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2.5429687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433</v>
      </c>
      <c r="L2" t="str">
        <f>DiscreteStatsTable[[#This Row],[ProjectName]]&amp;DiscreteStatsTable[[#This Row],[Name]]&amp;DiscreteStatsTable[[#This Row],[Type]]&amp;DiscreteStatsTable[[#This Row],[Source]]</f>
        <v>Unnamed ProjectPecaNVA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433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433</v>
      </c>
      <c r="L3" t="str">
        <f>DiscreteStatsTable[[#This Row],[ProjectName]]&amp;DiscreteStatsTable[[#This Row],[Name]]&amp;DiscreteStatsTable[[#This Row],[Type]]&amp;DiscreteStatsTable[[#This Row],[Source]]</f>
        <v>Unnamed ProjectPecaOther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433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0.89848305972317799</v>
      </c>
      <c r="H4">
        <v>3E+20</v>
      </c>
      <c r="I4">
        <v>8.1057781622592306E-2</v>
      </c>
      <c r="J4">
        <v>1.58739359006026</v>
      </c>
      <c r="K4">
        <v>433</v>
      </c>
      <c r="L4" t="str">
        <f>DiscreteStatsTable[[#This Row],[ProjectName]]&amp;DiscreteStatsTable[[#This Row],[Name]]&amp;DiscreteStatsTable[[#This Row],[Type]]&amp;DiscreteStatsTable[[#This Row],[Source]]</f>
        <v>Unnamed ProjectPecaTotal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0.89848305972317799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0.89848305972317799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0.89848305972317799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8.1057781622592306E-2</v>
      </c>
      <c r="U4" cm="1">
        <f t="array" ref="U4">MAX(IF((DiscreteStatsTable[GroupByKey]=DiscreteStatsTable[[#This Row],[GroupByKey]]),(DiscreteStatsTable[GroupByKey]=DiscreteStatsTable[[#This Row],[GroupByKey]])*DiscreteStatsTable[Maximum]))</f>
        <v>1.58739359006026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433</v>
      </c>
      <c r="W4">
        <f>IF((DiscreteStatsTable[[#This Row],[RepsRequested]]&gt;1),DiscreteStatsTable[[#This Row],[HalfWidth]],DiscreteStatsTable[[#This Row],[BatchMeansHalfWidth]])</f>
        <v>3E+20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433</v>
      </c>
      <c r="L5" t="str">
        <f>DiscreteStatsTable[[#This Row],[ProjectName]]&amp;DiscreteStatsTable[[#This Row],[Name]]&amp;DiscreteStatsTable[[#This Row],[Type]]&amp;DiscreteStatsTable[[#This Row],[Source]]</f>
        <v>Unnamed ProjectPecaTransfer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433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0.102784030974939</v>
      </c>
      <c r="H6">
        <v>1.36029419333374E-3</v>
      </c>
      <c r="I6">
        <v>6.8514075226669705E-2</v>
      </c>
      <c r="J6">
        <v>0.14353249501928</v>
      </c>
      <c r="K6">
        <v>433</v>
      </c>
      <c r="L6" t="str">
        <f>DiscreteStatsTable[[#This Row],[ProjectName]]&amp;DiscreteStatsTable[[#This Row],[Name]]&amp;DiscreteStatsTable[[#This Row],[Type]]&amp;DiscreteStatsTable[[#This Row],[Source]]</f>
        <v>Unnamed ProjectPecaVA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0.102784030974939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0.102784030974939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0.102784030974939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6.8514075226669705E-2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0.14353249501928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433</v>
      </c>
      <c r="W6">
        <f>IF((DiscreteStatsTable[[#This Row],[RepsRequested]]&gt;1),DiscreteStatsTable[[#This Row],[HalfWidth]],DiscreteStatsTable[[#This Row],[BatchMeansHalfWidth]])</f>
        <v>1.36029419333374E-3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0.79569902874823895</v>
      </c>
      <c r="H7">
        <v>3E+20</v>
      </c>
      <c r="I7">
        <v>0</v>
      </c>
      <c r="J7">
        <v>1.50159004515246</v>
      </c>
      <c r="K7">
        <v>433</v>
      </c>
      <c r="L7" t="str">
        <f>DiscreteStatsTable[[#This Row],[ProjectName]]&amp;DiscreteStatsTable[[#This Row],[Name]]&amp;DiscreteStatsTable[[#This Row],[Type]]&amp;DiscreteStatsTable[[#This Row],[Source]]</f>
        <v>Unnamed ProjectPecaWait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0.79569902874823895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0.79569902874823895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0.79569902874823895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1.50159004515246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433</v>
      </c>
      <c r="W7">
        <f>IF((DiscreteStatsTable[[#This Row],[RepsRequested]]&gt;1),DiscreteStatsTable[[#This Row],[HalfWidth]],DiscreteStatsTable[[#This Row],[BatchMeansHalfWidth]])</f>
        <v>3E+20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0.21284689475924701</v>
      </c>
      <c r="H8">
        <v>3E+20</v>
      </c>
      <c r="I8">
        <v>0</v>
      </c>
      <c r="J8">
        <v>0.43350323354577502</v>
      </c>
      <c r="K8">
        <v>457</v>
      </c>
      <c r="L8" t="str">
        <f>DiscreteStatsTable[[#This Row],[ProjectName]]&amp;DiscreteStatsTable[[#This Row],[Name]]&amp;DiscreteStatsTable[[#This Row],[Type]]&amp;DiscreteStatsTable[[#This Row],[Source]]</f>
        <v>Unnamed ProjectProcesso Posto 1.QueueWaiting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0.21284689475924701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0.21284689475924701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0.21284689475924701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0.43350323354577502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457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81</v>
      </c>
      <c r="E9" t="s">
        <v>79</v>
      </c>
      <c r="F9" t="s">
        <v>80</v>
      </c>
      <c r="G9">
        <v>0.59407726023516405</v>
      </c>
      <c r="H9">
        <v>3E+20</v>
      </c>
      <c r="I9">
        <v>0</v>
      </c>
      <c r="J9">
        <v>1.1298629405990801</v>
      </c>
      <c r="K9">
        <v>434</v>
      </c>
      <c r="L9" t="str">
        <f>DiscreteStatsTable[[#This Row],[ProjectName]]&amp;DiscreteStatsTable[[#This Row],[Name]]&amp;DiscreteStatsTable[[#This Row],[Type]]&amp;DiscreteStatsTable[[#This Row],[Source]]</f>
        <v>Unnamed ProjectProcesso Posto 2.QueueWaiting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0.59407726023516405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0.59407726023516405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0.59407726023516405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1.1298629405990801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434</v>
      </c>
      <c r="W9">
        <f>IF((DiscreteStatsTable[[#This Row],[RepsRequested]]&gt;1),DiscreteStatsTable[[#This Row],[HalfWidth]],DiscreteStatsTable[[#This Row],[BatchMeansHalfWidth]])</f>
        <v>3E+20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</sheetData>
  <phoneticPr fontId="2" type="noConversion"/>
  <conditionalFormatting sqref="H2:H9 Q2:Q9">
    <cfRule type="expression" dxfId="20" priority="23">
      <formula>H2=200000000000000000000</formula>
    </cfRule>
  </conditionalFormatting>
  <conditionalFormatting sqref="H2:H9">
    <cfRule type="expression" dxfId="19" priority="21">
      <formula>H2=300000000000000000000</formula>
    </cfRule>
  </conditionalFormatting>
  <conditionalFormatting sqref="L2:Y9">
    <cfRule type="expression" dxfId="18" priority="19">
      <formula>MOD(ROW(),2)=0</formula>
    </cfRule>
  </conditionalFormatting>
  <conditionalFormatting sqref="Y2:Y9">
    <cfRule type="expression" dxfId="17" priority="14">
      <formula>Y2=0</formula>
    </cfRule>
    <cfRule type="expression" dxfId="16" priority="16">
      <formula>Y2=1</formula>
    </cfRule>
  </conditionalFormatting>
  <conditionalFormatting sqref="Y3:Y9">
    <cfRule type="expression" dxfId="15" priority="15">
      <formula>Y3=1</formula>
    </cfRule>
  </conditionalFormatting>
  <conditionalFormatting sqref="W2:W9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9 W2:W9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0"/>
  <sheetViews>
    <sheetView workbookViewId="0">
      <selection activeCell="H19" sqref="H19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1.0898437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5.363281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82</v>
      </c>
      <c r="F2" t="s">
        <v>72</v>
      </c>
      <c r="G2">
        <v>18.100482123778399</v>
      </c>
      <c r="H2">
        <v>3E+20</v>
      </c>
      <c r="I2">
        <v>0</v>
      </c>
      <c r="J2">
        <v>33</v>
      </c>
      <c r="K2">
        <v>33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ProjectPecaWIPEntity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18.100482123778399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18.100482123778399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18.100482123778399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66</v>
      </c>
      <c r="B3" t="s">
        <v>69</v>
      </c>
      <c r="C3">
        <v>1</v>
      </c>
      <c r="D3" t="s">
        <v>83</v>
      </c>
      <c r="E3" t="s">
        <v>84</v>
      </c>
      <c r="F3" t="s">
        <v>85</v>
      </c>
      <c r="G3">
        <v>0.99846092416465704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ProjectPosto 1Instantaneous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0.99846092416465704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0.99846092416465704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0.99846092416465704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83</v>
      </c>
      <c r="E4" t="s">
        <v>86</v>
      </c>
      <c r="F4" t="s">
        <v>85</v>
      </c>
      <c r="G4">
        <v>0.99846092416465704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ProjectPosto 1Number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0.99846092416465704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0.99846092416465704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0.99846092416465704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83</v>
      </c>
      <c r="E5" t="s">
        <v>87</v>
      </c>
      <c r="F5" t="s">
        <v>85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ProjectPosto 1Number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88</v>
      </c>
      <c r="E6" t="s">
        <v>84</v>
      </c>
      <c r="F6" t="s">
        <v>85</v>
      </c>
      <c r="G6">
        <v>0.99591092414082505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ProjectPosto 2Instantaneous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0.99591092414082505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0.99591092414082505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0.99591092414082505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88</v>
      </c>
      <c r="E7" t="s">
        <v>86</v>
      </c>
      <c r="F7" t="s">
        <v>85</v>
      </c>
      <c r="G7">
        <v>0.99591092414082505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ProjectPosto 2Number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0.99591092414082505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0.99591092414082505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0.99591092414082505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88</v>
      </c>
      <c r="E8" t="s">
        <v>87</v>
      </c>
      <c r="F8" t="s">
        <v>85</v>
      </c>
      <c r="G8">
        <v>1</v>
      </c>
      <c r="H8">
        <v>2E+20</v>
      </c>
      <c r="I8">
        <v>1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ProjectPosto 2Number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5">
      <c r="A9" t="s">
        <v>66</v>
      </c>
      <c r="B9" t="s">
        <v>69</v>
      </c>
      <c r="C9">
        <v>1</v>
      </c>
      <c r="D9" t="s">
        <v>78</v>
      </c>
      <c r="E9" t="s">
        <v>89</v>
      </c>
      <c r="F9" t="s">
        <v>80</v>
      </c>
      <c r="G9">
        <v>4.3221032775615402</v>
      </c>
      <c r="H9">
        <v>3E+20</v>
      </c>
      <c r="I9">
        <v>0</v>
      </c>
      <c r="J9">
        <v>10</v>
      </c>
      <c r="K9">
        <v>9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ProjectProcesso Posto 1.QueueNumber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4.3221032775615402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4.3221032775615402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4.3221032775615402</v>
      </c>
      <c r="U9">
        <f>IF((ContinuousStatsTable[[#This Row],[RepsRequested]]&gt;1),ContinuousStatsTable[[#This Row],[HalfWidth]],ContinuousStatsTable[[#This Row],[BatchMeansHalfWidth]])</f>
        <v>3E+20</v>
      </c>
    </row>
    <row r="10" spans="1:21" x14ac:dyDescent="0.35">
      <c r="A10" t="s">
        <v>66</v>
      </c>
      <c r="B10" t="s">
        <v>69</v>
      </c>
      <c r="C10">
        <v>1</v>
      </c>
      <c r="D10" t="s">
        <v>81</v>
      </c>
      <c r="E10" t="s">
        <v>89</v>
      </c>
      <c r="F10" t="s">
        <v>80</v>
      </c>
      <c r="G10">
        <v>11.784006997911399</v>
      </c>
      <c r="H10">
        <v>3E+20</v>
      </c>
      <c r="I10">
        <v>0</v>
      </c>
      <c r="J10">
        <v>23</v>
      </c>
      <c r="K10">
        <v>22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ProjectProcesso Posto 2.QueueNumber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11.784006997911399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11.784006997911399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11.784006997911399</v>
      </c>
      <c r="U10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10">
    <cfRule type="expression" dxfId="11" priority="9">
      <formula>H2=200000000000000000000</formula>
    </cfRule>
  </conditionalFormatting>
  <conditionalFormatting sqref="H2:H10">
    <cfRule type="expression" dxfId="10" priority="7">
      <formula>H2=300000000000000000000</formula>
    </cfRule>
  </conditionalFormatting>
  <conditionalFormatting sqref="M2:U10">
    <cfRule type="expression" dxfId="9" priority="5">
      <formula>MOD(ROW(),2)=0</formula>
    </cfRule>
  </conditionalFormatting>
  <conditionalFormatting sqref="U2:U10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0 U2:U10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6328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4.9062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90</v>
      </c>
      <c r="E2" t="s">
        <v>91</v>
      </c>
      <c r="F2" t="s">
        <v>72</v>
      </c>
      <c r="G2">
        <v>466</v>
      </c>
      <c r="H2">
        <v>0</v>
      </c>
      <c r="I2" t="str">
        <f>OutputTable[[#This Row],[ProjectName]]&amp;OutputTable[[#This Row],[Name]]&amp;OutputTable[[#This Row],[Type]]&amp;OutputTable[[#This Row],[Source]]</f>
        <v>Unnamed ProjectPeca.NumberInNumber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466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466</v>
      </c>
      <c r="P2" cm="1">
        <f t="array" ref="P2">MAX(IF((OutputTable[GroupByKey]=OutputTable[[#This Row],[GroupByKey]]),(OutputTable[GroupByKey]=OutputTable[[#This Row],[GroupByKey]])*OutputTable[RecordedValue]))</f>
        <v>466</v>
      </c>
    </row>
    <row r="3" spans="1:16" x14ac:dyDescent="0.35">
      <c r="A3" t="s">
        <v>66</v>
      </c>
      <c r="B3" t="s">
        <v>69</v>
      </c>
      <c r="C3">
        <v>1</v>
      </c>
      <c r="D3" t="s">
        <v>92</v>
      </c>
      <c r="E3" t="s">
        <v>93</v>
      </c>
      <c r="F3" t="s">
        <v>72</v>
      </c>
      <c r="G3">
        <v>433</v>
      </c>
      <c r="H3">
        <v>0</v>
      </c>
      <c r="I3" t="str">
        <f>OutputTable[[#This Row],[ProjectName]]&amp;OutputTable[[#This Row],[Name]]&amp;OutputTable[[#This Row],[Type]]&amp;OutputTable[[#This Row],[Source]]</f>
        <v>Unnamed ProjectPeca.NumberOutNumber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433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433</v>
      </c>
      <c r="P3" cm="1">
        <f t="array" ref="P3">MAX(IF((OutputTable[GroupByKey]=OutputTable[[#This Row],[GroupByKey]]),(OutputTable[GroupByKey]=OutputTable[[#This Row],[GroupByKey]])*OutputTable[RecordedValue]))</f>
        <v>433</v>
      </c>
    </row>
    <row r="4" spans="1:16" x14ac:dyDescent="0.35">
      <c r="A4" t="s">
        <v>66</v>
      </c>
      <c r="B4" t="s">
        <v>69</v>
      </c>
      <c r="C4">
        <v>1</v>
      </c>
      <c r="D4" t="s">
        <v>94</v>
      </c>
      <c r="E4" t="s">
        <v>95</v>
      </c>
      <c r="F4" t="s">
        <v>85</v>
      </c>
      <c r="G4">
        <v>457</v>
      </c>
      <c r="H4">
        <v>0</v>
      </c>
      <c r="I4" t="str">
        <f>OutputTable[[#This Row],[ProjectName]]&amp;OutputTable[[#This Row],[Name]]&amp;OutputTable[[#This Row],[Type]]&amp;OutputTable[[#This Row],[Source]]</f>
        <v>Unnamed ProjectPosto 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457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457</v>
      </c>
      <c r="P4" cm="1">
        <f t="array" ref="P4">MAX(IF((OutputTable[GroupByKey]=OutputTable[[#This Row],[GroupByKey]]),(OutputTable[GroupByKey]=OutputTable[[#This Row],[GroupByKey]])*OutputTable[RecordedValue]))</f>
        <v>457</v>
      </c>
    </row>
    <row r="5" spans="1:16" x14ac:dyDescent="0.35">
      <c r="A5" t="s">
        <v>66</v>
      </c>
      <c r="B5" t="s">
        <v>69</v>
      </c>
      <c r="C5">
        <v>1</v>
      </c>
      <c r="D5" t="s">
        <v>96</v>
      </c>
      <c r="E5" t="s">
        <v>97</v>
      </c>
      <c r="F5" t="s">
        <v>85</v>
      </c>
      <c r="G5">
        <v>0.99846092416465704</v>
      </c>
      <c r="H5">
        <v>0</v>
      </c>
      <c r="I5" t="str">
        <f>OutputTable[[#This Row],[ProjectName]]&amp;OutputTable[[#This Row],[Name]]&amp;OutputTable[[#This Row],[Type]]&amp;OutputTable[[#This Row],[Source]]</f>
        <v>Unnamed ProjectPosto 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0.99846092416465704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0.99846092416465704</v>
      </c>
      <c r="P5" cm="1">
        <f t="array" ref="P5">MAX(IF((OutputTable[GroupByKey]=OutputTable[[#This Row],[GroupByKey]]),(OutputTable[GroupByKey]=OutputTable[[#This Row],[GroupByKey]])*OutputTable[RecordedValue]))</f>
        <v>0.99846092416465704</v>
      </c>
    </row>
    <row r="6" spans="1:16" x14ac:dyDescent="0.35">
      <c r="A6" t="s">
        <v>66</v>
      </c>
      <c r="B6" t="s">
        <v>69</v>
      </c>
      <c r="C6">
        <v>1</v>
      </c>
      <c r="D6" t="s">
        <v>98</v>
      </c>
      <c r="E6" t="s">
        <v>95</v>
      </c>
      <c r="F6" t="s">
        <v>85</v>
      </c>
      <c r="G6">
        <v>434</v>
      </c>
      <c r="H6">
        <v>0</v>
      </c>
      <c r="I6" t="str">
        <f>OutputTable[[#This Row],[ProjectName]]&amp;OutputTable[[#This Row],[Name]]&amp;OutputTable[[#This Row],[Type]]&amp;OutputTable[[#This Row],[Source]]</f>
        <v>Unnamed ProjectPosto 2.NumberSeizedTotal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434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434</v>
      </c>
      <c r="P6" cm="1">
        <f t="array" ref="P6">MAX(IF((OutputTable[GroupByKey]=OutputTable[[#This Row],[GroupByKey]]),(OutputTable[GroupByKey]=OutputTable[[#This Row],[GroupByKey]])*OutputTable[RecordedValue]))</f>
        <v>434</v>
      </c>
    </row>
    <row r="7" spans="1:16" x14ac:dyDescent="0.35">
      <c r="A7" t="s">
        <v>66</v>
      </c>
      <c r="B7" t="s">
        <v>69</v>
      </c>
      <c r="C7">
        <v>1</v>
      </c>
      <c r="D7" t="s">
        <v>99</v>
      </c>
      <c r="E7" t="s">
        <v>97</v>
      </c>
      <c r="F7" t="s">
        <v>85</v>
      </c>
      <c r="G7">
        <v>0.99591092414082505</v>
      </c>
      <c r="H7">
        <v>0</v>
      </c>
      <c r="I7" t="str">
        <f>OutputTable[[#This Row],[ProjectName]]&amp;OutputTable[[#This Row],[Name]]&amp;OutputTable[[#This Row],[Type]]&amp;OutputTable[[#This Row],[Source]]</f>
        <v>Unnamed ProjectPosto 2.ScheduledUtilizationScheduled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0.99591092414082505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0.99591092414082505</v>
      </c>
      <c r="P7" cm="1">
        <f t="array" ref="P7">MAX(IF((OutputTable[GroupByKey]=OutputTable[[#This Row],[GroupByKey]]),(OutputTable[GroupByKey]=OutputTable[[#This Row],[GroupByKey]])*OutputTable[RecordedValue]))</f>
        <v>0.99591092414082505</v>
      </c>
    </row>
    <row r="8" spans="1:16" x14ac:dyDescent="0.35">
      <c r="A8" t="s">
        <v>66</v>
      </c>
      <c r="B8" t="s">
        <v>69</v>
      </c>
      <c r="C8">
        <v>1</v>
      </c>
      <c r="D8" t="s">
        <v>100</v>
      </c>
      <c r="E8" t="s">
        <v>93</v>
      </c>
      <c r="F8" t="s">
        <v>101</v>
      </c>
      <c r="G8">
        <v>433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433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433</v>
      </c>
      <c r="P8" cm="1">
        <f t="array" ref="P8">MAX(IF((OutputTable[GroupByKey]=OutputTable[[#This Row],[GroupByKey]]),(OutputTable[GroupByKey]=OutputTable[[#This Row],[GroupByKey]])*OutputTable[RecordedValue]))</f>
        <v>433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2023-11-11T12:58:35Z</dcterms:modified>
</cp:coreProperties>
</file>