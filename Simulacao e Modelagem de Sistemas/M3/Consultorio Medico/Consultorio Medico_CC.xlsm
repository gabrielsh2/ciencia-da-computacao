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M3\Consultorio Medico\"/>
    </mc:Choice>
  </mc:AlternateContent>
  <xr:revisionPtr revIDLastSave="0" documentId="13_ncr:1_{566ACCB0-51A5-452B-89D0-248F8D8A5AF7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P3" i="20" s="1" a="1"/>
  <c r="P3" i="20" s="1"/>
  <c r="I4" i="20"/>
  <c r="I5" i="20"/>
  <c r="P4" i="20" s="1" a="1"/>
  <c r="P4" i="20" s="1"/>
  <c r="I6" i="20"/>
  <c r="K2" i="20" s="1" a="1"/>
  <c r="K2" i="20" s="1"/>
  <c r="J2" i="20" a="1"/>
  <c r="J2" i="20" s="1"/>
  <c r="J3" i="20" a="1"/>
  <c r="J3" i="20" s="1"/>
  <c r="J4" i="20" a="1"/>
  <c r="J4" i="20" s="1"/>
  <c r="J5" i="20" a="1"/>
  <c r="J5" i="20" s="1"/>
  <c r="J6" i="20" a="1"/>
  <c r="J6" i="20"/>
  <c r="K6" i="20" a="1"/>
  <c r="K6" i="20" s="1"/>
  <c r="M2" i="20" a="1"/>
  <c r="M2" i="20" s="1"/>
  <c r="M3" i="20" a="1"/>
  <c r="M3" i="20"/>
  <c r="M4" i="20" a="1"/>
  <c r="M4" i="20" s="1"/>
  <c r="M5" i="20" a="1"/>
  <c r="M5" i="20" s="1"/>
  <c r="M6" i="20" a="1"/>
  <c r="M6" i="20" s="1"/>
  <c r="O4" i="20" a="1"/>
  <c r="O4" i="20" s="1"/>
  <c r="M2" i="18"/>
  <c r="S2" i="18" s="1" a="1"/>
  <c r="S2" i="18" s="1"/>
  <c r="M3" i="18"/>
  <c r="S5" i="18" s="1" a="1"/>
  <c r="S5" i="18" s="1"/>
  <c r="M4" i="18"/>
  <c r="M5" i="18"/>
  <c r="M6" i="18"/>
  <c r="S6" i="18" s="1" a="1"/>
  <c r="S6" i="18" s="1"/>
  <c r="N2" i="18" a="1"/>
  <c r="N2" i="18" s="1"/>
  <c r="U2" i="18" s="1"/>
  <c r="N3" i="18" a="1"/>
  <c r="N3" i="18"/>
  <c r="N4" i="18" a="1"/>
  <c r="N4" i="18" s="1"/>
  <c r="U4" i="18" s="1"/>
  <c r="N5" i="18" a="1"/>
  <c r="N5" i="18" s="1"/>
  <c r="N6" i="18" a="1"/>
  <c r="N6" i="18" s="1"/>
  <c r="U6" i="18" s="1"/>
  <c r="Q2" i="18" a="1"/>
  <c r="Q2" i="18" s="1"/>
  <c r="Q3" i="18" a="1"/>
  <c r="Q3" i="18"/>
  <c r="Q4" i="18" a="1"/>
  <c r="Q4" i="18" s="1"/>
  <c r="Q5" i="18" a="1"/>
  <c r="Q5" i="18" s="1"/>
  <c r="Q6" i="18" a="1"/>
  <c r="Q6" i="18" s="1"/>
  <c r="U3" i="18"/>
  <c r="L2" i="17"/>
  <c r="T7" i="17" s="1" a="1"/>
  <c r="T7" i="17" s="1"/>
  <c r="L3" i="17"/>
  <c r="O3" i="17" s="1" a="1"/>
  <c r="O3" i="17" s="1"/>
  <c r="L4" i="17"/>
  <c r="L5" i="17"/>
  <c r="O5" i="17" s="1" a="1"/>
  <c r="O5" i="17" s="1"/>
  <c r="L6" i="17"/>
  <c r="S6" i="17" s="1" a="1"/>
  <c r="S6" i="17" s="1"/>
  <c r="L7" i="17"/>
  <c r="L8" i="17"/>
  <c r="M2" i="17" a="1"/>
  <c r="M2" i="17" s="1"/>
  <c r="W2" i="17" s="1"/>
  <c r="M3" i="17" a="1"/>
  <c r="M3" i="17" s="1"/>
  <c r="M4" i="17" a="1"/>
  <c r="M4" i="17" s="1"/>
  <c r="W4" i="17" s="1"/>
  <c r="M5" i="17" a="1"/>
  <c r="M5" i="17"/>
  <c r="M6" i="17" a="1"/>
  <c r="M6" i="17" s="1"/>
  <c r="W6" i="17" s="1"/>
  <c r="M7" i="17" a="1"/>
  <c r="M7" i="17" s="1"/>
  <c r="M8" i="17" a="1"/>
  <c r="M8" i="17" s="1"/>
  <c r="W8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/>
  <c r="P8" i="17" a="1"/>
  <c r="P8" i="17" s="1"/>
  <c r="W5" i="17"/>
  <c r="X6" i="17" a="1"/>
  <c r="X6" i="17" s="1"/>
  <c r="X7" i="17" a="1"/>
  <c r="X7" i="17" s="1"/>
  <c r="X8" i="17" a="1"/>
  <c r="X8" i="17" s="1"/>
  <c r="Y8" i="17" s="1"/>
  <c r="G2" i="16"/>
  <c r="K3" i="20" l="1" a="1"/>
  <c r="K3" i="20" s="1"/>
  <c r="O5" i="20" a="1"/>
  <c r="O5" i="20" s="1"/>
  <c r="L5" i="20" a="1"/>
  <c r="L5" i="20" s="1"/>
  <c r="N5" i="20"/>
  <c r="L4" i="20" a="1"/>
  <c r="L4" i="20" s="1"/>
  <c r="N4" i="20" s="1"/>
  <c r="K5" i="20" a="1"/>
  <c r="K5" i="20" s="1"/>
  <c r="P6" i="20" a="1"/>
  <c r="P6" i="20" s="1"/>
  <c r="P2" i="20" a="1"/>
  <c r="P2" i="20" s="1"/>
  <c r="O3" i="20" a="1"/>
  <c r="O3" i="20" s="1"/>
  <c r="L3" i="20" a="1"/>
  <c r="L3" i="20" s="1"/>
  <c r="N3" i="20" s="1"/>
  <c r="K4" i="20" a="1"/>
  <c r="K4" i="20" s="1"/>
  <c r="P5" i="20" a="1"/>
  <c r="P5" i="20" s="1"/>
  <c r="O6" i="20" a="1"/>
  <c r="O6" i="20" s="1"/>
  <c r="O2" i="20" a="1"/>
  <c r="O2" i="20" s="1"/>
  <c r="L6" i="20" a="1"/>
  <c r="L6" i="20" s="1"/>
  <c r="N6" i="20" s="1"/>
  <c r="L2" i="20" a="1"/>
  <c r="L2" i="20" s="1"/>
  <c r="N2" i="20" s="1"/>
  <c r="T5" i="18" a="1"/>
  <c r="T5" i="18" s="1"/>
  <c r="O4" i="18" a="1"/>
  <c r="O4" i="18" s="1"/>
  <c r="T2" i="18" a="1"/>
  <c r="T2" i="18" s="1"/>
  <c r="U5" i="18"/>
  <c r="T4" i="18" a="1"/>
  <c r="T4" i="18" s="1"/>
  <c r="P5" i="18" a="1"/>
  <c r="P5" i="18" s="1"/>
  <c r="R5" i="18" s="1"/>
  <c r="O6" i="18" a="1"/>
  <c r="O6" i="18" s="1"/>
  <c r="O2" i="18" a="1"/>
  <c r="O2" i="18" s="1"/>
  <c r="P6" i="18" a="1"/>
  <c r="P6" i="18" s="1"/>
  <c r="R6" i="18" s="1"/>
  <c r="O5" i="18" a="1"/>
  <c r="O5" i="18" s="1"/>
  <c r="T3" i="18" a="1"/>
  <c r="T3" i="18" s="1"/>
  <c r="S4" i="18" a="1"/>
  <c r="S4" i="18" s="1"/>
  <c r="P4" i="18" a="1"/>
  <c r="P4" i="18" s="1"/>
  <c r="R4" i="18" s="1"/>
  <c r="T6" i="18" a="1"/>
  <c r="T6" i="18" s="1"/>
  <c r="S3" i="18" a="1"/>
  <c r="S3" i="18" s="1"/>
  <c r="P3" i="18" a="1"/>
  <c r="P3" i="18" s="1"/>
  <c r="R3" i="18" s="1"/>
  <c r="P2" i="18" a="1"/>
  <c r="P2" i="18" s="1"/>
  <c r="R2" i="18" s="1"/>
  <c r="O3" i="18" a="1"/>
  <c r="O3" i="18" s="1"/>
  <c r="Y6" i="17"/>
  <c r="T6" i="17" a="1"/>
  <c r="T6" i="17" s="1"/>
  <c r="X4" i="17" a="1"/>
  <c r="X4" i="17" s="1"/>
  <c r="Y4" i="17" s="1"/>
  <c r="V2" i="17" a="1"/>
  <c r="V2" i="17" s="1"/>
  <c r="T3" i="17" a="1"/>
  <c r="T3" i="17" s="1"/>
  <c r="V4" i="17" a="1"/>
  <c r="V4" i="17" s="1"/>
  <c r="X5" i="17" a="1"/>
  <c r="X5" i="17" s="1"/>
  <c r="Y5" i="17" s="1"/>
  <c r="Q5" i="17" s="1"/>
  <c r="V3" i="17" a="1"/>
  <c r="V3" i="17" s="1"/>
  <c r="X3" i="17" a="1"/>
  <c r="X3" i="17" s="1"/>
  <c r="U7" i="17" a="1"/>
  <c r="U7" i="17" s="1"/>
  <c r="T2" i="17" a="1"/>
  <c r="T2" i="17" s="1"/>
  <c r="T4" i="17" a="1"/>
  <c r="T4" i="17" s="1"/>
  <c r="U6" i="17" a="1"/>
  <c r="U6" i="17" s="1"/>
  <c r="R7" i="17" a="1"/>
  <c r="R7" i="17" s="1"/>
  <c r="U3" i="17" a="1"/>
  <c r="U3" i="17" s="1"/>
  <c r="S4" i="17" a="1"/>
  <c r="S4" i="17" s="1"/>
  <c r="R5" i="17" a="1"/>
  <c r="R5" i="17" s="1"/>
  <c r="V8" i="17" a="1"/>
  <c r="V8" i="17" s="1"/>
  <c r="U2" i="17" a="1"/>
  <c r="U2" i="17" s="1"/>
  <c r="V7" i="17" a="1"/>
  <c r="V7" i="17" s="1"/>
  <c r="R3" i="17" a="1"/>
  <c r="R3" i="17" s="1"/>
  <c r="O8" i="17" a="1"/>
  <c r="O8" i="17" s="1"/>
  <c r="U4" i="17" a="1"/>
  <c r="U4" i="17" s="1"/>
  <c r="U8" i="17" a="1"/>
  <c r="U8" i="17" s="1"/>
  <c r="T8" i="17" a="1"/>
  <c r="T8" i="17" s="1"/>
  <c r="S8" i="17" a="1"/>
  <c r="S8" i="17" s="1"/>
  <c r="O6" i="17" a="1"/>
  <c r="O6" i="17" s="1"/>
  <c r="Q6" i="17" s="1"/>
  <c r="X2" i="17" a="1"/>
  <c r="X2" i="17" s="1"/>
  <c r="Y2" i="17" s="1"/>
  <c r="V6" i="17" a="1"/>
  <c r="V6" i="17" s="1"/>
  <c r="U5" i="17" a="1"/>
  <c r="U5" i="17" s="1"/>
  <c r="T5" i="17" a="1"/>
  <c r="T5" i="17" s="1"/>
  <c r="S2" i="17" a="1"/>
  <c r="S2" i="17" s="1"/>
  <c r="N8" i="17" a="1"/>
  <c r="N8" i="17" s="1"/>
  <c r="V5" i="17" a="1"/>
  <c r="V5" i="17" s="1"/>
  <c r="N4" i="17" a="1"/>
  <c r="N4" i="17" s="1"/>
  <c r="Y3" i="17"/>
  <c r="Q3" i="17" s="1"/>
  <c r="W3" i="17"/>
  <c r="Q8" i="17"/>
  <c r="W7" i="17"/>
  <c r="Y7" i="17"/>
  <c r="O4" i="17" a="1"/>
  <c r="O4" i="17" s="1"/>
  <c r="N7" i="17" a="1"/>
  <c r="N7" i="17" s="1"/>
  <c r="N3" i="17" a="1"/>
  <c r="N3" i="17" s="1"/>
  <c r="S7" i="17" a="1"/>
  <c r="S7" i="17" s="1"/>
  <c r="S3" i="17" a="1"/>
  <c r="S3" i="17" s="1"/>
  <c r="R6" i="17" a="1"/>
  <c r="R6" i="17" s="1"/>
  <c r="R2" i="17" a="1"/>
  <c r="R2" i="17" s="1"/>
  <c r="O7" i="17" a="1"/>
  <c r="O7" i="17" s="1"/>
  <c r="N6" i="17" a="1"/>
  <c r="N6" i="17" s="1"/>
  <c r="N2" i="17" a="1"/>
  <c r="N2" i="17" s="1"/>
  <c r="O2" i="17" a="1"/>
  <c r="O2" i="17" s="1"/>
  <c r="Q2" i="17" s="1"/>
  <c r="N5" i="17" a="1"/>
  <c r="N5" i="17" s="1"/>
  <c r="S5" i="17" a="1"/>
  <c r="S5" i="17" s="1"/>
  <c r="R8" i="17" a="1"/>
  <c r="R8" i="17" s="1"/>
  <c r="R4" i="17" a="1"/>
  <c r="R4" i="17" s="1"/>
  <c r="Q4" i="17" l="1"/>
  <c r="Q7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<sst xmlns="http://schemas.openxmlformats.org/spreadsheetml/2006/main" count="297" uniqueCount="99">
  <si>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</si>
  <si>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</si>
  <si>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</si>
  <si>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</si>
  <si>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</si>
  <si>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</si>
  <si>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</si>
  <si>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</si>
  <si>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</si>
  <si>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</si>
  <si>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</si>
  <si>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</si>
  <si>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</si>
  <si>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</si>
  <si>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</si>
  <si>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</si>
  <si>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</si>
  <si>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</si>
  <si>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</si>
  <si>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</si>
  <si>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</si>
  <si>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</si>
  <si>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</si>
  <si>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</si>
  <si>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</si>
  <si>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</si>
  <si>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</si>
  <si>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</si>
  <si>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</si>
  <si>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</si>
  <si>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</si>
  <si>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</si>
  <si>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</si>
  <si>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</si>
  <si>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</si>
  <si>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</si>
  <si>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</si>
  <si>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</si>
  <si>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</si>
  <si>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</si>
  <si>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</si>
  <si>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</si>
  <si>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</si>
  <si>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</si>
  <si>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</si>
  <si>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</si>
  <si>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</si>
  <si>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</si>
  <si>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</si>
  <si>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</si>
  <si>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</si>
  <si>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</si>
  <si>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</si>
  <si>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</si>
  <si>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</si>
  <si>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</si>
  <si>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</si>
  <si>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</si>
  <si>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</si>
  <si>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</si>
  <si>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</si>
  <si>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</si>
  <si>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</si>
  <si>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</si>
  <si>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</si>
  <si>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</si>
  <si>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</si>
  <si>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</si>
  <si>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Sistemas\M3\Consultorio Medico\Consultorio Medico.p</t>
  </si>
  <si>
    <t>2023-11-05 19:50:50</t>
  </si>
  <si>
    <t>Paciente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</si>
  <si>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</si>
  <si>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</si>
  <si>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</si>
  <si>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</si>
  <si>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</si>
  <si>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</si>
  <si>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</si>
  <si>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atendimento medico.Queue</t>
  </si>
  <si>
    <t>Waiting Time</t>
  </si>
  <si>
    <t>Queue</t>
  </si>
  <si>
    <t>Medico</t>
  </si>
  <si>
    <t>Instantaneous Utilization</t>
  </si>
  <si>
    <t>Resource</t>
  </si>
  <si>
    <t>Number Busy</t>
  </si>
  <si>
    <t>Number Scheduled</t>
  </si>
  <si>
    <t>WIP</t>
  </si>
  <si>
    <t>Number Waiting</t>
  </si>
  <si>
    <t>Medico.NumberSeized</t>
  </si>
  <si>
    <t>Total Number Seized</t>
  </si>
  <si>
    <t>Medico.ScheduledUtilization</t>
  </si>
  <si>
    <t>Scheduled Utilization</t>
  </si>
  <si>
    <t>Paciente.NumberIn</t>
  </si>
  <si>
    <t>Number In</t>
  </si>
  <si>
    <t>Paciente.NumberOut</t>
  </si>
  <si>
    <t>Number 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</si>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</sst>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708344907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7083912038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Medico"/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3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7084027776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7084375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0.25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249999999999998"/>
    </cacheField>
    <cacheField name="Maximum" numFmtId="0">
      <sharedItems containsSemiMixedTypes="0" containsString="0" containsNumber="1" minValue="0" maxValue="0.250000000000002"/>
    </cacheField>
    <cacheField name="NumberObservations" numFmtId="0">
      <sharedItems containsSemiMixedTypes="0" containsString="0" containsNumber="1" containsInteger="1" minValue="238" maxValue="24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25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25"/>
    </cacheField>
    <cacheField name="MaximumAverage" numFmtId="0">
      <sharedItems containsSemiMixedTypes="0" containsString="0" containsNumber="1" minValue="0" maxValue="0.25"/>
    </cacheField>
    <cacheField name="OverallMinimum" numFmtId="0">
      <sharedItems containsSemiMixedTypes="0" containsString="0" containsNumber="1" minValue="0" maxValue="0.249999999999998"/>
    </cacheField>
    <cacheField name="OverallMaximum" numFmtId="0">
      <sharedItems containsSemiMixedTypes="0" containsString="0" containsNumber="1" minValue="0" maxValue="0.250000000000002"/>
    </cacheField>
    <cacheField name="AverageNumberObservations" numFmtId="0">
      <sharedItems containsSemiMixedTypes="0" containsString="0" containsNumber="1" containsInteger="1" minValue="238" maxValue="240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7084606484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Medico.NumberSeized"/>
        <s v="Medico.ScheduledUtilization"/>
        <s v="Paciente.NumberIn"/>
        <s v="Paciente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83055555555555305" maxValue="24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83055555555555305" maxValue="24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83055555555555305" maxValue="240"/>
    </cacheField>
    <cacheField name="Maximum" numFmtId="0">
      <sharedItems containsSemiMixedTypes="0" containsString="0" containsNumber="1" minValue="0.8305555555555530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50:50"/>
    <n v="1"/>
    <x v="0"/>
    <x v="0"/>
    <x v="0"/>
    <n v="0.83055555555555405"/>
    <n v="3E+20"/>
    <n v="0"/>
    <n v="1"/>
    <n v="0.66666666666666696"/>
    <n v="0"/>
    <s v="Unnamed ProjectMedicoInstantaneous UtilizationResource"/>
    <n v="1"/>
    <n v="0.83055555555555405"/>
    <n v="0"/>
    <n v="0.95"/>
    <n v="4E+20"/>
    <n v="0.83055555555555405"/>
    <n v="0.83055555555555405"/>
    <n v="3E+20"/>
  </r>
  <r>
    <x v="0"/>
    <s v="2023-11-05 19:50:50"/>
    <n v="1"/>
    <x v="0"/>
    <x v="1"/>
    <x v="0"/>
    <n v="2.49166666666666"/>
    <n v="3E+20"/>
    <n v="0"/>
    <n v="3"/>
    <n v="2"/>
    <n v="0"/>
    <s v="Unnamed ProjectMedicoNumber BusyResource"/>
    <n v="1"/>
    <n v="2.49166666666666"/>
    <n v="0"/>
    <n v="0.95"/>
    <n v="4E+20"/>
    <n v="2.49166666666666"/>
    <n v="2.49166666666666"/>
    <n v="3E+20"/>
  </r>
  <r>
    <x v="0"/>
    <s v="2023-11-05 19:50:50"/>
    <n v="1"/>
    <x v="0"/>
    <x v="2"/>
    <x v="0"/>
    <n v="3"/>
    <n v="2E+20"/>
    <n v="3"/>
    <n v="3"/>
    <n v="3"/>
    <n v="0"/>
    <s v="Unnamed ProjectMedicoNumber ScheduledResource"/>
    <n v="1"/>
    <n v="3"/>
    <n v="0"/>
    <n v="0.95"/>
    <n v="4E+20"/>
    <n v="3"/>
    <n v="3"/>
    <n v="2E+20"/>
  </r>
  <r>
    <x v="0"/>
    <s v="2023-11-05 19:50:50"/>
    <n v="1"/>
    <x v="1"/>
    <x v="3"/>
    <x v="1"/>
    <n v="2.49166666666666"/>
    <n v="3E+20"/>
    <n v="0"/>
    <n v="3"/>
    <n v="2"/>
    <n v="0"/>
    <s v="Unnamed ProjectPacienteWIPEntity"/>
    <n v="1"/>
    <n v="2.49166666666666"/>
    <n v="0"/>
    <n v="0.95"/>
    <n v="4E+20"/>
    <n v="2.49166666666666"/>
    <n v="2.49166666666666"/>
    <n v="3E+20"/>
  </r>
  <r>
    <x v="0"/>
    <s v="2023-11-05 19:50:50"/>
    <n v="1"/>
    <x v="2"/>
    <x v="4"/>
    <x v="2"/>
    <n v="0"/>
    <n v="2E+20"/>
    <n v="0"/>
    <n v="0"/>
    <n v="0"/>
    <n v="0"/>
    <s v="Unnamed ProjectProcesso atendimento medico.QueueNumber WaitingQueue"/>
    <n v="1"/>
    <n v="0"/>
    <n v="0"/>
    <n v="0.95"/>
    <n v="4E+20"/>
    <n v="0"/>
    <n v="0"/>
    <n v="2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3-11-05 19:50:50"/>
    <n v="1"/>
    <x v="0"/>
    <x v="0"/>
    <x v="0"/>
    <n v="0"/>
    <n v="2E+20"/>
    <n v="0"/>
    <n v="0"/>
    <n v="238"/>
    <s v="Unnamed ProjectPacienteNVA TimeEntity"/>
    <n v="1"/>
    <n v="0"/>
    <n v="0"/>
    <n v="0.95"/>
    <n v="4E+20"/>
    <n v="0"/>
    <n v="0"/>
    <n v="0"/>
    <n v="0"/>
    <n v="238"/>
    <n v="2E+20"/>
    <n v="1"/>
    <n v="1"/>
  </r>
  <r>
    <x v="0"/>
    <s v="2023-11-05 19:50:50"/>
    <n v="1"/>
    <x v="0"/>
    <x v="1"/>
    <x v="0"/>
    <n v="0"/>
    <n v="2E+20"/>
    <n v="0"/>
    <n v="0"/>
    <n v="238"/>
    <s v="Unnamed ProjectPacienteOther TimeEntity"/>
    <n v="1"/>
    <n v="0"/>
    <n v="0"/>
    <n v="0.95"/>
    <n v="4E+20"/>
    <n v="0"/>
    <n v="0"/>
    <n v="0"/>
    <n v="0"/>
    <n v="238"/>
    <n v="2E+20"/>
    <n v="1"/>
    <n v="1"/>
  </r>
  <r>
    <x v="0"/>
    <s v="2023-11-05 19:50:50"/>
    <n v="1"/>
    <x v="0"/>
    <x v="2"/>
    <x v="0"/>
    <n v="0.25"/>
    <n v="2E+20"/>
    <n v="0.249999999999998"/>
    <n v="0.250000000000002"/>
    <n v="238"/>
    <s v="Unnamed ProjectPacienteTotal TimeEntity"/>
    <n v="1"/>
    <n v="0.25"/>
    <n v="0"/>
    <n v="0.95"/>
    <n v="4E+20"/>
    <n v="0.25"/>
    <n v="0.25"/>
    <n v="0.249999999999998"/>
    <n v="0.250000000000002"/>
    <n v="238"/>
    <n v="2E+20"/>
    <n v="1"/>
    <n v="1"/>
  </r>
  <r>
    <x v="0"/>
    <s v="2023-11-05 19:50:50"/>
    <n v="1"/>
    <x v="0"/>
    <x v="3"/>
    <x v="0"/>
    <n v="0"/>
    <n v="2E+20"/>
    <n v="0"/>
    <n v="0"/>
    <n v="238"/>
    <s v="Unnamed ProjectPacienteTransfer TimeEntity"/>
    <n v="1"/>
    <n v="0"/>
    <n v="0"/>
    <n v="0.95"/>
    <n v="4E+20"/>
    <n v="0"/>
    <n v="0"/>
    <n v="0"/>
    <n v="0"/>
    <n v="238"/>
    <n v="2E+20"/>
    <n v="1"/>
    <n v="1"/>
  </r>
  <r>
    <x v="0"/>
    <s v="2023-11-05 19:50:50"/>
    <n v="1"/>
    <x v="0"/>
    <x v="4"/>
    <x v="0"/>
    <n v="0.25"/>
    <n v="2E+20"/>
    <n v="0.249999999999998"/>
    <n v="0.250000000000002"/>
    <n v="238"/>
    <s v="Unnamed ProjectPacienteVA TimeEntity"/>
    <n v="1"/>
    <n v="0.25"/>
    <n v="0"/>
    <n v="0.95"/>
    <n v="4E+20"/>
    <n v="0.25"/>
    <n v="0.25"/>
    <n v="0.249999999999998"/>
    <n v="0.250000000000002"/>
    <n v="238"/>
    <n v="2E+20"/>
    <n v="1"/>
    <n v="1"/>
  </r>
  <r>
    <x v="0"/>
    <s v="2023-11-05 19:50:50"/>
    <n v="1"/>
    <x v="0"/>
    <x v="5"/>
    <x v="0"/>
    <n v="0"/>
    <n v="2E+20"/>
    <n v="0"/>
    <n v="0"/>
    <n v="238"/>
    <s v="Unnamed ProjectPacienteWait TimeEntity"/>
    <n v="1"/>
    <n v="0"/>
    <n v="0"/>
    <n v="0.95"/>
    <n v="4E+20"/>
    <n v="0"/>
    <n v="0"/>
    <n v="0"/>
    <n v="0"/>
    <n v="238"/>
    <n v="2E+20"/>
    <n v="1"/>
    <n v="1"/>
  </r>
  <r>
    <x v="0"/>
    <s v="2023-11-05 19:50:50"/>
    <n v="1"/>
    <x v="1"/>
    <x v="6"/>
    <x v="1"/>
    <n v="0"/>
    <n v="2E+20"/>
    <n v="0"/>
    <n v="0"/>
    <n v="240"/>
    <s v="Unnamed ProjectProcesso atendimento medico.QueueWaiting TimeQueue"/>
    <n v="1"/>
    <n v="0"/>
    <n v="0"/>
    <n v="0.95"/>
    <n v="4E+20"/>
    <n v="0"/>
    <n v="0"/>
    <n v="0"/>
    <n v="0"/>
    <n v="240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50:50"/>
    <n v="1"/>
    <x v="0"/>
    <x v="0"/>
    <x v="0"/>
    <n v="240"/>
    <n v="0"/>
    <s v="Unnamed ProjectMedico.NumberSeizedTotal Number SeizedResource"/>
    <n v="1"/>
    <n v="240"/>
    <n v="0"/>
    <n v="0.95"/>
    <n v="4E+20"/>
    <n v="240"/>
    <n v="240"/>
  </r>
  <r>
    <x v="0"/>
    <s v="2023-11-05 19:50:50"/>
    <n v="1"/>
    <x v="1"/>
    <x v="1"/>
    <x v="0"/>
    <n v="0.83055555555555305"/>
    <n v="0"/>
    <s v="Unnamed ProjectMedico.ScheduledUtilizationScheduled UtilizationResource"/>
    <n v="1"/>
    <n v="0.83055555555555305"/>
    <n v="0"/>
    <n v="0.95"/>
    <n v="4E+20"/>
    <n v="0.83055555555555305"/>
    <n v="0.83055555555555305"/>
  </r>
  <r>
    <x v="0"/>
    <s v="2023-11-05 19:50:50"/>
    <n v="1"/>
    <x v="2"/>
    <x v="2"/>
    <x v="1"/>
    <n v="240"/>
    <n v="0"/>
    <s v="Unnamed ProjectPaciente.NumberInNumber InEntity"/>
    <n v="1"/>
    <n v="240"/>
    <n v="0"/>
    <n v="0.95"/>
    <n v="4E+20"/>
    <n v="240"/>
    <n v="240"/>
  </r>
  <r>
    <x v="0"/>
    <s v="2023-11-05 19:50:50"/>
    <n v="1"/>
    <x v="3"/>
    <x v="3"/>
    <x v="1"/>
    <n v="238"/>
    <n v="0"/>
    <s v="Unnamed ProjectPaciente.NumberOutNumber OutEntity"/>
    <n v="1"/>
    <n v="238"/>
    <n v="0"/>
    <n v="0.95"/>
    <n v="4E+20"/>
    <n v="238"/>
    <n v="238"/>
  </r>
  <r>
    <x v="0"/>
    <s v="2023-11-05 19:50:50"/>
    <n v="1"/>
    <x v="4"/>
    <x v="3"/>
    <x v="2"/>
    <n v="238"/>
    <n v="0"/>
    <s v="Unnamed ProjectSystem.NumberOutNumber OutSystem"/>
    <n v="1"/>
    <n v="238"/>
    <n v="0"/>
    <n v="0.95"/>
    <n v="4E+20"/>
    <n v="238"/>
    <n v="2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4"/>
      <x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24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0.0898437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0.0898437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238</v>
      </c>
      <c r="O3" t="s">
        <v>66</v>
      </c>
      <c r="P3" t="s">
        <v>81</v>
      </c>
      <c r="Q3" t="s">
        <v>82</v>
      </c>
      <c r="R3" t="s">
        <v>83</v>
      </c>
      <c r="S3" s="5">
        <v>0.83055555555555405</v>
      </c>
      <c r="T3" s="5">
        <v>3E+20</v>
      </c>
      <c r="U3" s="5">
        <v>0</v>
      </c>
      <c r="V3" s="5">
        <v>0.83055555555555405</v>
      </c>
      <c r="W3" s="5">
        <v>0.83055555555555405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95</v>
      </c>
      <c r="AN3" t="s">
        <v>97</v>
      </c>
      <c r="AO3" s="5">
        <v>238</v>
      </c>
      <c r="AP3" s="5">
        <v>4E+20</v>
      </c>
      <c r="AQ3" s="5">
        <v>0</v>
      </c>
      <c r="AR3" s="5">
        <v>238</v>
      </c>
      <c r="AS3" s="5">
        <v>238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238</v>
      </c>
      <c r="Q4" t="s">
        <v>84</v>
      </c>
      <c r="R4" t="s">
        <v>83</v>
      </c>
      <c r="S4" s="5">
        <v>2.49166666666666</v>
      </c>
      <c r="T4" s="5">
        <v>3E+20</v>
      </c>
      <c r="U4" s="5">
        <v>0</v>
      </c>
      <c r="V4" s="5">
        <v>2.49166666666666</v>
      </c>
      <c r="W4" s="5">
        <v>2.49166666666666</v>
      </c>
      <c r="X4" s="5">
        <v>0</v>
      </c>
      <c r="Y4" s="5">
        <v>3</v>
      </c>
      <c r="AL4" t="s">
        <v>88</v>
      </c>
      <c r="AM4" t="s">
        <v>89</v>
      </c>
      <c r="AN4" t="s">
        <v>83</v>
      </c>
      <c r="AO4" s="5">
        <v>240</v>
      </c>
      <c r="AP4" s="5">
        <v>4E+20</v>
      </c>
      <c r="AQ4" s="5">
        <v>0</v>
      </c>
      <c r="AR4" s="5">
        <v>240</v>
      </c>
      <c r="AS4" s="5">
        <v>240</v>
      </c>
    </row>
    <row r="5" spans="1:52" x14ac:dyDescent="0.35">
      <c r="C5" t="s">
        <v>74</v>
      </c>
      <c r="D5" t="s">
        <v>72</v>
      </c>
      <c r="E5" s="5">
        <v>0.25</v>
      </c>
      <c r="F5" s="5">
        <v>1</v>
      </c>
      <c r="G5" s="5">
        <v>2E+20</v>
      </c>
      <c r="H5" s="5">
        <v>0</v>
      </c>
      <c r="I5" s="5">
        <v>0.25</v>
      </c>
      <c r="J5" s="5">
        <v>0.25</v>
      </c>
      <c r="K5" s="5">
        <v>0.249999999999998</v>
      </c>
      <c r="L5" s="5">
        <v>0.250000000000002</v>
      </c>
      <c r="M5" s="5">
        <v>238</v>
      </c>
      <c r="Q5" t="s">
        <v>85</v>
      </c>
      <c r="R5" t="s">
        <v>83</v>
      </c>
      <c r="S5" s="5">
        <v>3</v>
      </c>
      <c r="T5" s="5">
        <v>2E+20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90</v>
      </c>
      <c r="AM5" t="s">
        <v>91</v>
      </c>
      <c r="AN5" t="s">
        <v>83</v>
      </c>
      <c r="AO5" s="5">
        <v>0.83055555555555305</v>
      </c>
      <c r="AP5" s="5">
        <v>4E+20</v>
      </c>
      <c r="AQ5" s="5">
        <v>0</v>
      </c>
      <c r="AR5" s="5">
        <v>0.83055555555555305</v>
      </c>
      <c r="AS5" s="5">
        <v>0.83055555555555305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238</v>
      </c>
      <c r="P6" t="s">
        <v>70</v>
      </c>
      <c r="Q6" t="s">
        <v>86</v>
      </c>
      <c r="R6" t="s">
        <v>72</v>
      </c>
      <c r="S6" s="5">
        <v>2.49166666666666</v>
      </c>
      <c r="T6" s="5">
        <v>3E+20</v>
      </c>
      <c r="U6" s="5">
        <v>0</v>
      </c>
      <c r="V6" s="5">
        <v>2.49166666666666</v>
      </c>
      <c r="W6" s="5">
        <v>2.49166666666666</v>
      </c>
      <c r="X6" s="5">
        <v>0</v>
      </c>
      <c r="Y6" s="5">
        <v>3</v>
      </c>
      <c r="AL6" t="s">
        <v>92</v>
      </c>
      <c r="AM6" t="s">
        <v>93</v>
      </c>
      <c r="AN6" t="s">
        <v>72</v>
      </c>
      <c r="AO6" s="5">
        <v>240</v>
      </c>
      <c r="AP6" s="5">
        <v>4E+20</v>
      </c>
      <c r="AQ6" s="5">
        <v>0</v>
      </c>
      <c r="AR6" s="5">
        <v>240</v>
      </c>
      <c r="AS6" s="5">
        <v>240</v>
      </c>
    </row>
    <row r="7" spans="1:52" x14ac:dyDescent="0.35">
      <c r="C7" t="s">
        <v>76</v>
      </c>
      <c r="D7" t="s">
        <v>72</v>
      </c>
      <c r="E7" s="5">
        <v>0.25</v>
      </c>
      <c r="F7" s="5">
        <v>1</v>
      </c>
      <c r="G7" s="5">
        <v>2E+20</v>
      </c>
      <c r="H7" s="5">
        <v>0</v>
      </c>
      <c r="I7" s="5">
        <v>0.25</v>
      </c>
      <c r="J7" s="5">
        <v>0.25</v>
      </c>
      <c r="K7" s="5">
        <v>0.249999999999998</v>
      </c>
      <c r="L7" s="5">
        <v>0.250000000000002</v>
      </c>
      <c r="M7" s="5">
        <v>238</v>
      </c>
      <c r="P7" t="s">
        <v>78</v>
      </c>
      <c r="Q7" t="s">
        <v>87</v>
      </c>
      <c r="R7" t="s">
        <v>80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94</v>
      </c>
      <c r="AM7" t="s">
        <v>95</v>
      </c>
      <c r="AN7" t="s">
        <v>72</v>
      </c>
      <c r="AO7" s="5">
        <v>238</v>
      </c>
      <c r="AP7" s="5">
        <v>4E+20</v>
      </c>
      <c r="AQ7" s="5">
        <v>0</v>
      </c>
      <c r="AR7" s="5">
        <v>238</v>
      </c>
      <c r="AS7" s="5">
        <v>238</v>
      </c>
    </row>
    <row r="8" spans="1:52" x14ac:dyDescent="0.35">
      <c r="C8" t="s">
        <v>77</v>
      </c>
      <c r="D8" t="s">
        <v>72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238</v>
      </c>
    </row>
    <row r="9" spans="1:52" x14ac:dyDescent="0.35">
      <c r="B9" t="s">
        <v>78</v>
      </c>
      <c r="C9" t="s">
        <v>79</v>
      </c>
      <c r="D9" t="s">
        <v>80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240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12.36328125" bestFit="1" customWidth="1"/>
    <col min="6" max="6" width="8.7265625" bestFit="1" customWidth="1"/>
    <col min="7" max="7" width="9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21.1796875" bestFit="1" customWidth="1"/>
    <col min="12" max="12" width="64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238</v>
      </c>
      <c r="L2" t="str">
        <f>DiscreteStatsTable[[#This Row],[ProjectName]]&amp;DiscreteStatsTable[[#This Row],[Name]]&amp;DiscreteStatsTable[[#This Row],[Type]]&amp;DiscreteStatsTable[[#This Row],[Source]]</f>
        <v>Unnamed ProjectPacienteNVA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238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238</v>
      </c>
      <c r="L3" t="str">
        <f>DiscreteStatsTable[[#This Row],[ProjectName]]&amp;DiscreteStatsTable[[#This Row],[Name]]&amp;DiscreteStatsTable[[#This Row],[Type]]&amp;DiscreteStatsTable[[#This Row],[Source]]</f>
        <v>Unnamed ProjectPacienteOther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238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0.25</v>
      </c>
      <c r="H4">
        <v>2E+20</v>
      </c>
      <c r="I4">
        <v>0.249999999999998</v>
      </c>
      <c r="J4">
        <v>0.250000000000002</v>
      </c>
      <c r="K4">
        <v>238</v>
      </c>
      <c r="L4" t="str">
        <f>DiscreteStatsTable[[#This Row],[ProjectName]]&amp;DiscreteStatsTable[[#This Row],[Name]]&amp;DiscreteStatsTable[[#This Row],[Type]]&amp;DiscreteStatsTable[[#This Row],[Source]]</f>
        <v>Unnamed ProjectPacienteTotal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0.25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0.25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0.25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0.249999999999998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0.250000000000002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238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238</v>
      </c>
      <c r="L5" t="str">
        <f>DiscreteStatsTable[[#This Row],[ProjectName]]&amp;DiscreteStatsTable[[#This Row],[Name]]&amp;DiscreteStatsTable[[#This Row],[Type]]&amp;DiscreteStatsTable[[#This Row],[Source]]</f>
        <v>Unnamed ProjectPacienteTransfer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238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0.25</v>
      </c>
      <c r="H6">
        <v>2E+20</v>
      </c>
      <c r="I6">
        <v>0.249999999999998</v>
      </c>
      <c r="J6">
        <v>0.250000000000002</v>
      </c>
      <c r="K6">
        <v>238</v>
      </c>
      <c r="L6" t="str">
        <f>DiscreteStatsTable[[#This Row],[ProjectName]]&amp;DiscreteStatsTable[[#This Row],[Name]]&amp;DiscreteStatsTable[[#This Row],[Type]]&amp;DiscreteStatsTable[[#This Row],[Source]]</f>
        <v>Unnamed ProjectPacienteVA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0.25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0.25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0.25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0.249999999999998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0.250000000000002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238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238</v>
      </c>
      <c r="L7" t="str">
        <f>DiscreteStatsTable[[#This Row],[ProjectName]]&amp;DiscreteStatsTable[[#This Row],[Name]]&amp;DiscreteStatsTable[[#This Row],[Type]]&amp;DiscreteStatsTable[[#This Row],[Source]]</f>
        <v>Unnamed ProjectPacienteWait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238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0</v>
      </c>
      <c r="H8">
        <v>2E+20</v>
      </c>
      <c r="I8">
        <v>0</v>
      </c>
      <c r="J8">
        <v>0</v>
      </c>
      <c r="K8">
        <v>240</v>
      </c>
      <c r="L8" t="str">
        <f>DiscreteStatsTable[[#This Row],[ProjectName]]&amp;DiscreteStatsTable[[#This Row],[Name]]&amp;DiscreteStatsTable[[#This Row],[Type]]&amp;DiscreteStatsTable[[#This Row],[Source]]</f>
        <v>Unnamed ProjectProcesso atendimento medico.QueueWaiting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240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20" priority="23">
      <formula>H2=200000000000000000000</formula>
    </cfRule>
  </conditionalFormatting>
  <conditionalFormatting sqref="H2:H8">
    <cfRule type="expression" dxfId="19" priority="21">
      <formula>H2=300000000000000000000</formula>
    </cfRule>
  </conditionalFormatting>
  <conditionalFormatting sqref="L2:Y8">
    <cfRule type="expression" dxfId="18" priority="19">
      <formula>MOD(ROW(),2)=0</formula>
    </cfRule>
  </conditionalFormatting>
  <conditionalFormatting sqref="Y2:Y8">
    <cfRule type="expression" dxfId="17" priority="14">
      <formula>Y2=0</formula>
    </cfRule>
    <cfRule type="expression" dxfId="16" priority="16">
      <formula>Y2=1</formula>
    </cfRule>
  </conditionalFormatting>
  <conditionalFormatting sqref="Y3:Y8">
    <cfRule type="expression" dxfId="15" priority="15">
      <formula>Y3=1</formula>
    </cfRule>
  </conditionalFormatting>
  <conditionalFormatting sqref="W2:W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 W2:W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66.81640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81</v>
      </c>
      <c r="E2" t="s">
        <v>82</v>
      </c>
      <c r="F2" t="s">
        <v>83</v>
      </c>
      <c r="G2">
        <v>0.83055555555555405</v>
      </c>
      <c r="H2">
        <v>3E+20</v>
      </c>
      <c r="I2">
        <v>0</v>
      </c>
      <c r="J2">
        <v>1</v>
      </c>
      <c r="K2">
        <v>0.66666666666666696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ProjectMedicoInstantaneous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0.83055555555555405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0.83055555555555405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0.83055555555555405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66</v>
      </c>
      <c r="B3" t="s">
        <v>69</v>
      </c>
      <c r="C3">
        <v>1</v>
      </c>
      <c r="D3" t="s">
        <v>81</v>
      </c>
      <c r="E3" t="s">
        <v>84</v>
      </c>
      <c r="F3" t="s">
        <v>83</v>
      </c>
      <c r="G3">
        <v>2.49166666666666</v>
      </c>
      <c r="H3">
        <v>3E+20</v>
      </c>
      <c r="I3">
        <v>0</v>
      </c>
      <c r="J3">
        <v>3</v>
      </c>
      <c r="K3">
        <v>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ProjectMedicoNumber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2.49166666666666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2.49166666666666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2.49166666666666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66</v>
      </c>
      <c r="B4" t="s">
        <v>69</v>
      </c>
      <c r="C4">
        <v>1</v>
      </c>
      <c r="D4" t="s">
        <v>81</v>
      </c>
      <c r="E4" t="s">
        <v>85</v>
      </c>
      <c r="F4" t="s">
        <v>83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ProjectMedicoNumber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86</v>
      </c>
      <c r="F5" t="s">
        <v>72</v>
      </c>
      <c r="G5">
        <v>2.49166666666666</v>
      </c>
      <c r="H5">
        <v>3E+20</v>
      </c>
      <c r="I5">
        <v>0</v>
      </c>
      <c r="J5">
        <v>3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ProjectPacienteWIPEntity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2.49166666666666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2.49166666666666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2.49166666666666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35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ProjectProcesso atendimento medico.QueueNumber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7265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83</v>
      </c>
      <c r="G2">
        <v>240</v>
      </c>
      <c r="H2">
        <v>0</v>
      </c>
      <c r="I2" t="str">
        <f>OutputTable[[#This Row],[ProjectName]]&amp;OutputTable[[#This Row],[Name]]&amp;OutputTable[[#This Row],[Type]]&amp;OutputTable[[#This Row],[Source]]</f>
        <v>Unnamed ProjectMedico.NumberSeizedTotal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240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240</v>
      </c>
      <c r="P2" cm="1">
        <f t="array" ref="P2">MAX(IF((OutputTable[GroupByKey]=OutputTable[[#This Row],[GroupByKey]]),(OutputTable[GroupByKey]=OutputTable[[#This Row],[GroupByKey]])*OutputTable[RecordedValue]))</f>
        <v>240</v>
      </c>
    </row>
    <row r="3" spans="1:16" x14ac:dyDescent="0.35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83</v>
      </c>
      <c r="G3">
        <v>0.83055555555555305</v>
      </c>
      <c r="H3">
        <v>0</v>
      </c>
      <c r="I3" t="str">
        <f>OutputTable[[#This Row],[ProjectName]]&amp;OutputTable[[#This Row],[Name]]&amp;OutputTable[[#This Row],[Type]]&amp;OutputTable[[#This Row],[Source]]</f>
        <v>Unnamed ProjectMedico.ScheduledUtilizationScheduled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0.83055555555555305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0.83055555555555305</v>
      </c>
      <c r="P3" cm="1">
        <f t="array" ref="P3">MAX(IF((OutputTable[GroupByKey]=OutputTable[[#This Row],[GroupByKey]]),(OutputTable[GroupByKey]=OutputTable[[#This Row],[GroupByKey]])*OutputTable[RecordedValue]))</f>
        <v>0.83055555555555305</v>
      </c>
    </row>
    <row r="4" spans="1:16" x14ac:dyDescent="0.35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72</v>
      </c>
      <c r="G4">
        <v>240</v>
      </c>
      <c r="H4">
        <v>0</v>
      </c>
      <c r="I4" t="str">
        <f>OutputTable[[#This Row],[ProjectName]]&amp;OutputTable[[#This Row],[Name]]&amp;OutputTable[[#This Row],[Type]]&amp;OutputTable[[#This Row],[Source]]</f>
        <v>Unnamed ProjectPaciente.NumberInNumber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240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240</v>
      </c>
      <c r="P4" cm="1">
        <f t="array" ref="P4">MAX(IF((OutputTable[GroupByKey]=OutputTable[[#This Row],[GroupByKey]]),(OutputTable[GroupByKey]=OutputTable[[#This Row],[GroupByKey]])*OutputTable[RecordedValue]))</f>
        <v>240</v>
      </c>
    </row>
    <row r="5" spans="1:16" x14ac:dyDescent="0.35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72</v>
      </c>
      <c r="G5">
        <v>238</v>
      </c>
      <c r="H5">
        <v>0</v>
      </c>
      <c r="I5" t="str">
        <f>OutputTable[[#This Row],[ProjectName]]&amp;OutputTable[[#This Row],[Name]]&amp;OutputTable[[#This Row],[Type]]&amp;OutputTable[[#This Row],[Source]]</f>
        <v>Unnamed ProjectPaciente.NumberOutNumber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238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238</v>
      </c>
      <c r="P5" cm="1">
        <f t="array" ref="P5">MAX(IF((OutputTable[GroupByKey]=OutputTable[[#This Row],[GroupByKey]]),(OutputTable[GroupByKey]=OutputTable[[#This Row],[GroupByKey]])*OutputTable[RecordedValue]))</f>
        <v>238</v>
      </c>
    </row>
    <row r="6" spans="1:16" x14ac:dyDescent="0.35">
      <c r="A6" t="s">
        <v>66</v>
      </c>
      <c r="B6" t="s">
        <v>69</v>
      </c>
      <c r="C6">
        <v>1</v>
      </c>
      <c r="D6" t="s">
        <v>96</v>
      </c>
      <c r="E6" t="s">
        <v>95</v>
      </c>
      <c r="F6" t="s">
        <v>97</v>
      </c>
      <c r="G6">
        <v>238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238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238</v>
      </c>
      <c r="P6" cm="1">
        <f t="array" ref="P6">MAX(IF((OutputTable[GroupByKey]=OutputTable[[#This Row],[GroupByKey]]),(OutputTable[GroupByKey]=OutputTable[[#This Row],[GroupByKey]])*OutputTable[RecordedValue]))</f>
        <v>238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2023-11-05T22:51:00Z</dcterms:modified>
</cp:coreProperties>
</file>