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briel.hoffmann\workspace\unisinos\Simulação e Modelagem de Sistemas\M3\Consultorio Medico\"/>
    </mc:Choice>
  </mc:AlternateContent>
  <xr:revisionPtr revIDLastSave="0" documentId="13_ncr:1_{F7770E56-3E55-48A3-B5D7-59F5603B4B75}" xr6:coauthVersionLast="47" xr6:coauthVersionMax="47" xr10:uidLastSave="{00000000-0000-0000-0000-000000000000}"/>
  <bookViews>
    <workbookView xWindow="-110" yWindow="-110" windowWidth="19420" windowHeight="1042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ContinuousTimeStatsByRep!$A$1:$L$6</definedName>
    <definedName name="ExternalData_1" localSheetId="4" hidden="1">CounterStatsByRep!$A$1:$G$2</definedName>
    <definedName name="ExternalData_1" localSheetId="2" hidden="1">DiscreteTimeStatsByRep!$A$1:$K$8</definedName>
    <definedName name="ExternalData_1" localSheetId="6" hidden="1">FrequencyStatsByRep!$A$1:$K$2</definedName>
    <definedName name="ExternalData_1" localSheetId="5" hidden="1">OutputStatsByRep!$A$1:$H$6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0" r:id="rId8"/>
    <pivotCache cacheId="46" r:id="rId9"/>
    <pivotCache cacheId="52" r:id="rId10"/>
    <pivotCache cacheId="58" r:id="rId11"/>
    <pivotCache cacheId="6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K3" i="20" s="1" a="1"/>
  <c r="K3" i="20" s="1"/>
  <c r="I3" i="20"/>
  <c r="L3" i="20" s="1" a="1"/>
  <c r="L3" i="20" s="1"/>
  <c r="I4" i="20"/>
  <c r="L2" i="20" s="1" a="1"/>
  <c r="L2" i="20" s="1"/>
  <c r="I5" i="20"/>
  <c r="I6" i="20"/>
  <c r="O4" i="20" s="1" a="1"/>
  <c r="O4" i="20" s="1"/>
  <c r="J2" i="20" a="1"/>
  <c r="J2" i="20"/>
  <c r="J3" i="20" a="1"/>
  <c r="J3" i="20" s="1"/>
  <c r="J4" i="20" a="1"/>
  <c r="J4" i="20" s="1"/>
  <c r="J5" i="20" a="1"/>
  <c r="J5" i="20" s="1"/>
  <c r="J6" i="20" a="1"/>
  <c r="J6" i="20" s="1"/>
  <c r="K2" i="20" a="1"/>
  <c r="K2" i="20" s="1"/>
  <c r="L4" i="20" a="1"/>
  <c r="L4" i="20" s="1"/>
  <c r="M2" i="20" a="1"/>
  <c r="M2" i="20" s="1"/>
  <c r="M3" i="20" a="1"/>
  <c r="M3" i="20"/>
  <c r="M4" i="20" a="1"/>
  <c r="M4" i="20" s="1"/>
  <c r="M5" i="20" a="1"/>
  <c r="M5" i="20" s="1"/>
  <c r="M6" i="20" a="1"/>
  <c r="M6" i="20" s="1"/>
  <c r="O5" i="20" a="1"/>
  <c r="O5" i="20" s="1"/>
  <c r="P4" i="20" a="1"/>
  <c r="P4" i="20" s="1"/>
  <c r="M2" i="18"/>
  <c r="S2" i="18" s="1" a="1"/>
  <c r="S2" i="18" s="1"/>
  <c r="M3" i="18"/>
  <c r="P3" i="18" s="1" a="1"/>
  <c r="P3" i="18" s="1"/>
  <c r="M4" i="18"/>
  <c r="M5" i="18"/>
  <c r="M6" i="18"/>
  <c r="N2" i="18" a="1"/>
  <c r="N2" i="18" s="1"/>
  <c r="N3" i="18" a="1"/>
  <c r="N3" i="18" s="1"/>
  <c r="U3" i="18" s="1"/>
  <c r="N4" i="18" a="1"/>
  <c r="N4" i="18" s="1"/>
  <c r="N5" i="18" a="1"/>
  <c r="N5" i="18" s="1"/>
  <c r="N6" i="18" a="1"/>
  <c r="N6" i="18" s="1"/>
  <c r="U6" i="18" s="1"/>
  <c r="O3" i="18" a="1"/>
  <c r="O3" i="18" s="1"/>
  <c r="P5" i="18" a="1"/>
  <c r="P5" i="18" s="1"/>
  <c r="P6" i="18" a="1"/>
  <c r="P6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S4" i="18" a="1"/>
  <c r="S4" i="18" s="1"/>
  <c r="S5" i="18" a="1"/>
  <c r="S5" i="18" s="1"/>
  <c r="T3" i="18" a="1"/>
  <c r="T3" i="18" s="1"/>
  <c r="T4" i="18" a="1"/>
  <c r="T4" i="18" s="1"/>
  <c r="L2" i="17"/>
  <c r="L3" i="17"/>
  <c r="L4" i="17"/>
  <c r="L5" i="17"/>
  <c r="L6" i="17"/>
  <c r="L7" i="17"/>
  <c r="N2" i="17" s="1" a="1"/>
  <c r="N2" i="17" s="1"/>
  <c r="L8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8" i="17" a="1"/>
  <c r="M8" i="17" s="1"/>
  <c r="N3" i="17" a="1"/>
  <c r="N3" i="17" s="1"/>
  <c r="N4" i="17" a="1"/>
  <c r="N4" i="17" s="1"/>
  <c r="N5" i="17" a="1"/>
  <c r="N5" i="17" s="1"/>
  <c r="N6" i="17" a="1"/>
  <c r="N6" i="17" s="1"/>
  <c r="N7" i="17" a="1"/>
  <c r="N7" i="17" s="1"/>
  <c r="N8" i="17" a="1"/>
  <c r="N8" i="17" s="1"/>
  <c r="O2" i="17" a="1"/>
  <c r="O2" i="17" s="1"/>
  <c r="O3" i="17" a="1"/>
  <c r="O3" i="17" s="1"/>
  <c r="O4" i="17" a="1"/>
  <c r="O4" i="17" s="1"/>
  <c r="O5" i="17" a="1"/>
  <c r="O5" i="17" s="1"/>
  <c r="O6" i="17" a="1"/>
  <c r="O6" i="17" s="1"/>
  <c r="O7" i="17" a="1"/>
  <c r="O7" i="17" s="1"/>
  <c r="O8" i="17" a="1"/>
  <c r="O8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R2" i="17" a="1"/>
  <c r="R2" i="17" s="1"/>
  <c r="R3" i="17" a="1"/>
  <c r="R3" i="17" s="1"/>
  <c r="R4" i="17" a="1"/>
  <c r="R4" i="17" s="1"/>
  <c r="R5" i="17" a="1"/>
  <c r="R5" i="17" s="1"/>
  <c r="R6" i="17" a="1"/>
  <c r="R6" i="17" s="1"/>
  <c r="R7" i="17" a="1"/>
  <c r="R7" i="17" s="1"/>
  <c r="R8" i="17" a="1"/>
  <c r="R8" i="17" s="1"/>
  <c r="S2" i="17" a="1"/>
  <c r="S2" i="17" s="1"/>
  <c r="S3" i="17" a="1"/>
  <c r="S3" i="17" s="1"/>
  <c r="S4" i="17" a="1"/>
  <c r="S4" i="17" s="1"/>
  <c r="S5" i="17" a="1"/>
  <c r="S5" i="17" s="1"/>
  <c r="S6" i="17" a="1"/>
  <c r="S6" i="17" s="1"/>
  <c r="S7" i="17" a="1"/>
  <c r="S7" i="17" s="1"/>
  <c r="S8" i="17" a="1"/>
  <c r="S8" i="17" s="1"/>
  <c r="T2" i="17" a="1"/>
  <c r="T2" i="17" s="1"/>
  <c r="T3" i="17" a="1"/>
  <c r="T3" i="17" s="1"/>
  <c r="T4" i="17" a="1"/>
  <c r="T4" i="17" s="1"/>
  <c r="T5" i="17" a="1"/>
  <c r="T5" i="17" s="1"/>
  <c r="T6" i="17" a="1"/>
  <c r="T6" i="17" s="1"/>
  <c r="T7" i="17" a="1"/>
  <c r="T7" i="17" s="1"/>
  <c r="T8" i="17" a="1"/>
  <c r="T8" i="17" s="1"/>
  <c r="U2" i="17" a="1"/>
  <c r="U2" i="17" s="1"/>
  <c r="U3" i="17" a="1"/>
  <c r="U3" i="17" s="1"/>
  <c r="U4" i="17" a="1"/>
  <c r="U4" i="17" s="1"/>
  <c r="U5" i="17" a="1"/>
  <c r="U5" i="17" s="1"/>
  <c r="U6" i="17" a="1"/>
  <c r="U6" i="17" s="1"/>
  <c r="U7" i="17" a="1"/>
  <c r="U7" i="17" s="1"/>
  <c r="U8" i="17" a="1"/>
  <c r="U8" i="17" s="1"/>
  <c r="V2" i="17" a="1"/>
  <c r="V2" i="17" s="1"/>
  <c r="V3" i="17" a="1"/>
  <c r="V3" i="17" s="1"/>
  <c r="V4" i="17" a="1"/>
  <c r="V4" i="17" s="1"/>
  <c r="V5" i="17" a="1"/>
  <c r="V5" i="17" s="1"/>
  <c r="V6" i="17" a="1"/>
  <c r="V6" i="17" s="1"/>
  <c r="V7" i="17" a="1"/>
  <c r="V7" i="17" s="1"/>
  <c r="V8" i="17" a="1"/>
  <c r="V8" i="17" s="1"/>
  <c r="X2" i="17" a="1"/>
  <c r="X2" i="17" s="1"/>
  <c r="X3" i="17" a="1"/>
  <c r="X3" i="17" s="1"/>
  <c r="X4" i="17" a="1"/>
  <c r="X4" i="17" s="1"/>
  <c r="X5" i="17" a="1"/>
  <c r="X5" i="17" s="1"/>
  <c r="X6" i="17" a="1"/>
  <c r="X6" i="17" s="1"/>
  <c r="X7" i="17" a="1"/>
  <c r="X7" i="17" s="1"/>
  <c r="X8" i="17" a="1"/>
  <c r="X8" i="17" s="1"/>
  <c r="G2" i="16"/>
  <c r="P3" i="20" l="1" a="1"/>
  <c r="P3" i="20" s="1"/>
  <c r="K6" i="20" a="1"/>
  <c r="K6" i="20" s="1"/>
  <c r="P6" i="20" a="1"/>
  <c r="P6" i="20" s="1"/>
  <c r="O3" i="20" a="1"/>
  <c r="O3" i="20" s="1"/>
  <c r="N4" i="20"/>
  <c r="L6" i="20" a="1"/>
  <c r="L6" i="20" s="1"/>
  <c r="N6" i="20" s="1"/>
  <c r="K5" i="20" a="1"/>
  <c r="K5" i="20" s="1"/>
  <c r="N3" i="20"/>
  <c r="P2" i="20" a="1"/>
  <c r="P2" i="20" s="1"/>
  <c r="P5" i="20" a="1"/>
  <c r="P5" i="20" s="1"/>
  <c r="O6" i="20" a="1"/>
  <c r="O6" i="20" s="1"/>
  <c r="O2" i="20" a="1"/>
  <c r="O2" i="20" s="1"/>
  <c r="L5" i="20" a="1"/>
  <c r="L5" i="20" s="1"/>
  <c r="N5" i="20" s="1"/>
  <c r="K4" i="20" a="1"/>
  <c r="K4" i="20" s="1"/>
  <c r="N2" i="20"/>
  <c r="U2" i="18"/>
  <c r="R6" i="18"/>
  <c r="P2" i="18" a="1"/>
  <c r="P2" i="18" s="1"/>
  <c r="R2" i="18" s="1"/>
  <c r="R3" i="18"/>
  <c r="R5" i="18"/>
  <c r="U5" i="18"/>
  <c r="U4" i="18"/>
  <c r="O6" i="18" a="1"/>
  <c r="O6" i="18" s="1"/>
  <c r="O2" i="18" a="1"/>
  <c r="O2" i="18" s="1"/>
  <c r="P4" i="18" a="1"/>
  <c r="P4" i="18" s="1"/>
  <c r="R4" i="18" s="1"/>
  <c r="O5" i="18" a="1"/>
  <c r="O5" i="18" s="1"/>
  <c r="T6" i="18" a="1"/>
  <c r="T6" i="18" s="1"/>
  <c r="T2" i="18" a="1"/>
  <c r="T2" i="18" s="1"/>
  <c r="S3" i="18" a="1"/>
  <c r="S3" i="18" s="1"/>
  <c r="O4" i="18" a="1"/>
  <c r="O4" i="18" s="1"/>
  <c r="T5" i="18" a="1"/>
  <c r="T5" i="18" s="1"/>
  <c r="S6" i="18" a="1"/>
  <c r="S6" i="18" s="1"/>
  <c r="Y2" i="17"/>
  <c r="Q2" i="17" s="1"/>
  <c r="W2" i="17"/>
  <c r="Y8" i="17"/>
  <c r="Q8" i="17" s="1"/>
  <c r="W8" i="17"/>
  <c r="W7" i="17"/>
  <c r="Y7" i="17"/>
  <c r="Q7" i="17" s="1"/>
  <c r="W6" i="17"/>
  <c r="Y6" i="17"/>
  <c r="Q6" i="17" s="1"/>
  <c r="Y5" i="17"/>
  <c r="Q5" i="17" s="1"/>
  <c r="W5" i="17"/>
  <c r="Y4" i="17"/>
  <c r="Q4" i="17" s="1"/>
  <c r="W4" i="17"/>
  <c r="Y3" i="17"/>
  <c r="Q3" i="17" s="1"/>
  <c r="W3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gabriel.hoffmann\workspace\unisinos\simulação e modelagem de sistemas\m3\consultorio medico\consultorio medico_ca.xlsm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gabriel.hoffmann\workspace\unisinos\simulação e modelagem de sistemas\m3\consultorio medico\consultorio medico_ca.xlsm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gabriel.hoffmann\workspace\unisinos\simulação e modelagem de sistemas\m3\consultorio medico\consultorio medico_ca.xlsm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gabriel.hoffmann\workspace\unisinos\simulação e modelagem de sistemas\m3\consultorio medico\consultorio medico_ca.xlsm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gabriel.hoffmann\workspace\unisinos\simulação e modelagem de sistemas\m3\consultorio medico\consultorio medico_ca.xlsm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gabriel.hoffmann\workspace\unisinos\simulação e modelagem de sistemas\m3\consultorio medico\consultorio medico_ca.xlsm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<sst xmlns="http://schemas.openxmlformats.org/spreadsheetml/2006/main" count="297" uniqueCount="99">
  <si>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</si>
  <si>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</si>
  <si>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</si>
  <si>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</si>
  <si>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</si>
  <si>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</si>
  <si>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</si>
  <si>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</si>
  <si>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</si>
  <si>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</si>
  <si>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</si>
  <si>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</si>
  <si>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</si>
  <si>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</si>
  <si>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</si>
  <si>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</si>
  <si>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</si>
  <si>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</si>
  <si>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</si>
  <si>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</si>
  <si>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</si>
  <si>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</si>
  <si>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</si>
  <si>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</si>
  <si>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</si>
  <si>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</si>
  <si>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</si>
  <si>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</si>
  <si>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</si>
  <si>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</si>
  <si>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</si>
  <si>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</si>
  <si>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</si>
  <si>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</si>
  <si>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</si>
  <si>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</si>
  <si>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</si>
  <si>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</si>
  <si>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</si>
  <si>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</si>
  <si>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</si>
  <si>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</si>
  <si>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</si>
  <si>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</si>
  <si>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</si>
  <si>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</si>
  <si>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</si>
  <si>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</si>
  <si>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</si>
  <si>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</si>
  <si>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</si>
  <si>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</si>
  <si>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</si>
  <si>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</si>
  <si>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</si>
  <si>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</si>
  <si>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</si>
  <si>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</si>
  <si>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</si>
  <si>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</si>
  <si>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</si>
  <si>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</si>
  <si>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</si>
  <si>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</si>
  <si>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</si>
  <si>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</si>
  <si>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</si>
  <si>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</si>
  <si>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C:\Users\gabriel.hoffmann\workspace\unisinos\Simulação e Modelagem de Sistemas\M3\Consultorio Medico\Consultorio Medico.p</t>
  </si>
  <si>
    <t>2023-11-05 19:31:08</t>
  </si>
  <si>
    <t>Paciente</t>
  </si>
  <si>
    <t>NVA Time</t>
  </si>
  <si>
    <t>Entity</t>
  </si>
  <si>
    <t>Other Time</t>
  </si>
  <si>
    <t>Total Time</t>
  </si>
  <si>
    <t>Transfer Time</t>
  </si>
  <si>
    <t>VA Time</t>
  </si>
  <si>
    <t>Wait Time</t>
  </si>
  <si>
    <t>Processo atendimento medico.Queue</t>
  </si>
  <si>
    <t>Waiting Time</t>
  </si>
  <si>
    <t>Queue</t>
  </si>
  <si>
    <t>Medico</t>
  </si>
  <si>
    <t>Instantaneous Utilization</t>
  </si>
  <si>
    <t>Resource</t>
  </si>
  <si>
    <t>Number Busy</t>
  </si>
  <si>
    <t>Number Scheduled</t>
  </si>
  <si>
    <t>WIP</t>
  </si>
  <si>
    <t>Number Waiting</t>
  </si>
  <si>
    <t>Medico.NumberSeized</t>
  </si>
  <si>
    <t>Total Number Seized</t>
  </si>
  <si>
    <t>Medico.ScheduledUtilization</t>
  </si>
  <si>
    <t>Scheduled Utilization</t>
  </si>
  <si>
    <t>Paciente.NumberIn</t>
  </si>
  <si>
    <t>Number In</t>
  </si>
  <si>
    <t>Paciente.NumberOut</t>
  </si>
  <si>
    <t>Number Out</t>
  </si>
  <si>
    <t>System.NumberOut</t>
  </si>
  <si>
    <t>System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</si>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</sst>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0" formatCode="General"/>
    </dxf>
    <dxf>
      <numFmt numFmtId="0" formatCode="General"/>
    </dxf>
    <dxf>
      <numFmt numFmtId="0" formatCode="General"/>
    </dxf>
    <dxf>
      <numFmt numFmtId="164" formatCode="[=400000000000000000000]&quot;Null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4" formatCode="0.00%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35.826705902778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35.826706018517" createdVersion="7" refreshedVersion="8" minRefreshableVersion="3" recordCount="5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7">
        <s v="Medico"/>
        <s v="Paciente"/>
        <s v="Processo atendimento medico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WIP"/>
        <s v="Number Waiting"/>
        <m u="1"/>
        <s v="Levels" u="1"/>
      </sharedItems>
    </cacheField>
    <cacheField name="Source" numFmtId="0">
      <sharedItems containsBlank="1" count="5">
        <s v="Resource"/>
        <s v="Entity"/>
        <s v="Queue"/>
        <m u="1"/>
        <s v="User Specified" u="1"/>
      </sharedItems>
    </cacheField>
    <cacheField name="Average" numFmtId="0">
      <sharedItems containsSemiMixedTypes="0" containsString="0" containsNumber="1" minValue="1" maxValue="73.000000000000099"/>
    </cacheField>
    <cacheField name="BatchMeansHalfWidth" numFmtId="0">
      <sharedItems containsSemiMixedTypes="0" containsString="0" containsNumber="1" containsInteger="1" minValue="2E+20" maxValue="3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145"/>
    </cacheField>
    <cacheField name="LastRecordedValue" numFmtId="0">
      <sharedItems containsSemiMixedTypes="0" containsString="0" containsNumber="1" containsInteger="1" minValue="1" maxValue="144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1" maxValue="73.00000000000009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1" maxValue="73.000000000000099"/>
    </cacheField>
    <cacheField name="MaximumAverage" numFmtId="0">
      <sharedItems containsSemiMixedTypes="0" containsString="0" containsNumber="1" minValue="1" maxValue="73.000000000000099"/>
    </cacheField>
    <cacheField name="SummaryHalfWidth" numFmtId="0">
      <sharedItems containsSemiMixedTypes="0" containsString="0" containsNumber="1" containsInteger="1" minValue="2E+20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35.826706018517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35.826706134256" createdVersion="7" refreshedVersion="8" minRefreshableVersion="3" recordCount="7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1">
        <s v="Paciente"/>
        <s v="Processo atendimento medico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7.3750000000000098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0.25"/>
    </cacheField>
    <cacheField name="Maximum" numFmtId="0">
      <sharedItems containsSemiMixedTypes="0" containsString="0" containsNumber="1" minValue="0" maxValue="14.5"/>
    </cacheField>
    <cacheField name="NumberObservations" numFmtId="0">
      <sharedItems containsSemiMixedTypes="0" containsString="0" containsNumber="1" containsInteger="1" minValue="96" maxValue="97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7.3750000000000098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7.3750000000000098"/>
    </cacheField>
    <cacheField name="MaximumAverage" numFmtId="0">
      <sharedItems containsSemiMixedTypes="0" containsString="0" containsNumber="1" minValue="0" maxValue="7.3750000000000098"/>
    </cacheField>
    <cacheField name="OverallMinimum" numFmtId="0">
      <sharedItems containsSemiMixedTypes="0" containsString="0" containsNumber="1" minValue="0" maxValue="0.25"/>
    </cacheField>
    <cacheField name="OverallMaximum" numFmtId="0">
      <sharedItems containsSemiMixedTypes="0" containsString="0" containsNumber="1" minValue="0" maxValue="14.5"/>
    </cacheField>
    <cacheField name="AverageNumberObservations" numFmtId="0">
      <sharedItems containsSemiMixedTypes="0" containsString="0" containsNumber="1" containsInteger="1" minValue="96" maxValue="97"/>
    </cacheField>
    <cacheField name="SummaryHalfWidth" numFmtId="0">
      <sharedItems containsSemiMixedTypes="0" containsString="0" containsNumber="1" containsInteger="1" minValue="2E+2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35.826706134256" createdVersion="7" refreshedVersion="8" minRefreshableVersion="3" recordCount="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3">
        <s v="Medico.NumberSeized"/>
        <s v="Medico.ScheduledUtilization"/>
        <s v="Paciente.NumberIn"/>
        <s v="Paciente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containsInteger="1" minValue="1" maxValue="24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containsInteger="1" minValue="1" maxValue="240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containsInteger="1" minValue="1" maxValue="240"/>
    </cacheField>
    <cacheField name="Maximum" numFmtId="0">
      <sharedItems containsSemiMixedTypes="0" containsString="0" containsNumber="1" containsInteger="1" minValue="1" maxValue="2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2023-11-05 19:31:08"/>
    <n v="1"/>
    <x v="0"/>
    <x v="0"/>
    <x v="0"/>
    <n v="1"/>
    <n v="2E+20"/>
    <n v="0"/>
    <n v="1"/>
    <n v="1"/>
    <n v="0"/>
    <s v="Unnamed ProjectMedicoInstantaneous UtilizationResource"/>
    <n v="1"/>
    <n v="1"/>
    <n v="0"/>
    <n v="0.95"/>
    <n v="4E+20"/>
    <n v="1"/>
    <n v="1"/>
    <n v="2E+20"/>
  </r>
  <r>
    <x v="0"/>
    <s v="2023-11-05 19:31:08"/>
    <n v="1"/>
    <x v="0"/>
    <x v="1"/>
    <x v="0"/>
    <n v="1"/>
    <n v="2E+20"/>
    <n v="0"/>
    <n v="1"/>
    <n v="1"/>
    <n v="0"/>
    <s v="Unnamed ProjectMedicoNumber BusyResource"/>
    <n v="1"/>
    <n v="1"/>
    <n v="0"/>
    <n v="0.95"/>
    <n v="4E+20"/>
    <n v="1"/>
    <n v="1"/>
    <n v="2E+20"/>
  </r>
  <r>
    <x v="0"/>
    <s v="2023-11-05 19:31:08"/>
    <n v="1"/>
    <x v="0"/>
    <x v="2"/>
    <x v="0"/>
    <n v="1"/>
    <n v="2E+20"/>
    <n v="1"/>
    <n v="1"/>
    <n v="1"/>
    <n v="0"/>
    <s v="Unnamed ProjectMedicoNumber ScheduledResource"/>
    <n v="1"/>
    <n v="1"/>
    <n v="0"/>
    <n v="0.95"/>
    <n v="4E+20"/>
    <n v="1"/>
    <n v="1"/>
    <n v="2E+20"/>
  </r>
  <r>
    <x v="0"/>
    <s v="2023-11-05 19:31:08"/>
    <n v="1"/>
    <x v="1"/>
    <x v="3"/>
    <x v="1"/>
    <n v="73.000000000000099"/>
    <n v="3E+20"/>
    <n v="0"/>
    <n v="145"/>
    <n v="144"/>
    <n v="0"/>
    <s v="Unnamed ProjectPacienteWIPEntity"/>
    <n v="1"/>
    <n v="73.000000000000099"/>
    <n v="0"/>
    <n v="0.95"/>
    <n v="4E+20"/>
    <n v="73.000000000000099"/>
    <n v="73.000000000000099"/>
    <n v="3E+20"/>
  </r>
  <r>
    <x v="0"/>
    <s v="2023-11-05 19:31:08"/>
    <n v="1"/>
    <x v="2"/>
    <x v="4"/>
    <x v="2"/>
    <n v="72.000000000000099"/>
    <n v="3E+20"/>
    <n v="0"/>
    <n v="144"/>
    <n v="143"/>
    <n v="0"/>
    <s v="Unnamed ProjectProcesso atendimento medico.QueueNumber WaitingQueue"/>
    <n v="1"/>
    <n v="72.000000000000099"/>
    <n v="0"/>
    <n v="0.95"/>
    <n v="4E+20"/>
    <n v="72.000000000000099"/>
    <n v="72.000000000000099"/>
    <n v="3E+2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3-11-05 19:31:08"/>
    <n v="1"/>
    <x v="0"/>
    <x v="0"/>
    <x v="0"/>
    <n v="0"/>
    <n v="2E+20"/>
    <n v="0"/>
    <n v="0"/>
    <n v="96"/>
    <s v="Unnamed ProjectPacienteNVA TimeEntity"/>
    <n v="1"/>
    <n v="0"/>
    <n v="0"/>
    <n v="0.95"/>
    <n v="4E+20"/>
    <n v="0"/>
    <n v="0"/>
    <n v="0"/>
    <n v="0"/>
    <n v="96"/>
    <n v="2E+20"/>
    <n v="1"/>
    <n v="1"/>
  </r>
  <r>
    <x v="0"/>
    <s v="2023-11-05 19:31:08"/>
    <n v="1"/>
    <x v="0"/>
    <x v="1"/>
    <x v="0"/>
    <n v="0"/>
    <n v="2E+20"/>
    <n v="0"/>
    <n v="0"/>
    <n v="96"/>
    <s v="Unnamed ProjectPacienteOther TimeEntity"/>
    <n v="1"/>
    <n v="0"/>
    <n v="0"/>
    <n v="0.95"/>
    <n v="4E+20"/>
    <n v="0"/>
    <n v="0"/>
    <n v="0"/>
    <n v="0"/>
    <n v="96"/>
    <n v="2E+20"/>
    <n v="1"/>
    <n v="1"/>
  </r>
  <r>
    <x v="0"/>
    <s v="2023-11-05 19:31:08"/>
    <n v="1"/>
    <x v="0"/>
    <x v="2"/>
    <x v="0"/>
    <n v="7.3750000000000098"/>
    <n v="2E+20"/>
    <n v="0.25"/>
    <n v="14.5"/>
    <n v="96"/>
    <s v="Unnamed ProjectPacienteTotal TimeEntity"/>
    <n v="1"/>
    <n v="7.3750000000000098"/>
    <n v="0"/>
    <n v="0.95"/>
    <n v="4E+20"/>
    <n v="7.3750000000000098"/>
    <n v="7.3750000000000098"/>
    <n v="0.25"/>
    <n v="14.5"/>
    <n v="96"/>
    <n v="2E+20"/>
    <n v="1"/>
    <n v="1"/>
  </r>
  <r>
    <x v="0"/>
    <s v="2023-11-05 19:31:08"/>
    <n v="1"/>
    <x v="0"/>
    <x v="3"/>
    <x v="0"/>
    <n v="0"/>
    <n v="2E+20"/>
    <n v="0"/>
    <n v="0"/>
    <n v="96"/>
    <s v="Unnamed ProjectPacienteTransfer TimeEntity"/>
    <n v="1"/>
    <n v="0"/>
    <n v="0"/>
    <n v="0.95"/>
    <n v="4E+20"/>
    <n v="0"/>
    <n v="0"/>
    <n v="0"/>
    <n v="0"/>
    <n v="96"/>
    <n v="2E+20"/>
    <n v="1"/>
    <n v="1"/>
  </r>
  <r>
    <x v="0"/>
    <s v="2023-11-05 19:31:08"/>
    <n v="1"/>
    <x v="0"/>
    <x v="4"/>
    <x v="0"/>
    <n v="0.25"/>
    <n v="2E+20"/>
    <n v="0.25"/>
    <n v="0.25"/>
    <n v="96"/>
    <s v="Unnamed ProjectPacienteVA TimeEntity"/>
    <n v="1"/>
    <n v="0.25"/>
    <n v="0"/>
    <n v="0.95"/>
    <n v="4E+20"/>
    <n v="0.25"/>
    <n v="0.25"/>
    <n v="0.25"/>
    <n v="0.25"/>
    <n v="96"/>
    <n v="2E+20"/>
    <n v="1"/>
    <n v="1"/>
  </r>
  <r>
    <x v="0"/>
    <s v="2023-11-05 19:31:08"/>
    <n v="1"/>
    <x v="0"/>
    <x v="5"/>
    <x v="0"/>
    <n v="7.1250000000000098"/>
    <n v="2E+20"/>
    <n v="0"/>
    <n v="14.25"/>
    <n v="96"/>
    <s v="Unnamed ProjectPacienteWait TimeEntity"/>
    <n v="1"/>
    <n v="7.1250000000000098"/>
    <n v="0"/>
    <n v="0.95"/>
    <n v="4E+20"/>
    <n v="7.1250000000000098"/>
    <n v="7.1250000000000098"/>
    <n v="0"/>
    <n v="14.25"/>
    <n v="96"/>
    <n v="2E+20"/>
    <n v="1"/>
    <n v="1"/>
  </r>
  <r>
    <x v="0"/>
    <s v="2023-11-05 19:31:08"/>
    <n v="1"/>
    <x v="1"/>
    <x v="6"/>
    <x v="1"/>
    <n v="7.2000000000000099"/>
    <n v="2E+20"/>
    <n v="0"/>
    <n v="14.4"/>
    <n v="97"/>
    <s v="Unnamed ProjectProcesso atendimento medico.QueueWaiting TimeQueue"/>
    <n v="1"/>
    <n v="7.2000000000000099"/>
    <n v="0"/>
    <n v="0.95"/>
    <n v="4E+20"/>
    <n v="7.2000000000000099"/>
    <n v="7.2000000000000099"/>
    <n v="0"/>
    <n v="14.4"/>
    <n v="97"/>
    <n v="2E+20"/>
    <n v="1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2023-11-05 19:31:08"/>
    <n v="1"/>
    <x v="0"/>
    <x v="0"/>
    <x v="0"/>
    <n v="97"/>
    <n v="0"/>
    <s v="Unnamed ProjectMedico.NumberSeizedTotal Number SeizedResource"/>
    <n v="1"/>
    <n v="97"/>
    <n v="0"/>
    <n v="0.95"/>
    <n v="4E+20"/>
    <n v="97"/>
    <n v="97"/>
  </r>
  <r>
    <x v="0"/>
    <s v="2023-11-05 19:31:08"/>
    <n v="1"/>
    <x v="1"/>
    <x v="1"/>
    <x v="0"/>
    <n v="1"/>
    <n v="0"/>
    <s v="Unnamed ProjectMedico.ScheduledUtilizationScheduled UtilizationResource"/>
    <n v="1"/>
    <n v="1"/>
    <n v="0"/>
    <n v="0.95"/>
    <n v="4E+20"/>
    <n v="1"/>
    <n v="1"/>
  </r>
  <r>
    <x v="0"/>
    <s v="2023-11-05 19:31:08"/>
    <n v="1"/>
    <x v="2"/>
    <x v="2"/>
    <x v="1"/>
    <n v="240"/>
    <n v="0"/>
    <s v="Unnamed ProjectPaciente.NumberInNumber InEntity"/>
    <n v="1"/>
    <n v="240"/>
    <n v="0"/>
    <n v="0.95"/>
    <n v="4E+20"/>
    <n v="240"/>
    <n v="240"/>
  </r>
  <r>
    <x v="0"/>
    <s v="2023-11-05 19:31:08"/>
    <n v="1"/>
    <x v="3"/>
    <x v="3"/>
    <x v="1"/>
    <n v="96"/>
    <n v="0"/>
    <s v="Unnamed ProjectPaciente.NumberOutNumber OutEntity"/>
    <n v="1"/>
    <n v="96"/>
    <n v="0"/>
    <n v="0.95"/>
    <n v="4E+20"/>
    <n v="96"/>
    <n v="96"/>
  </r>
  <r>
    <x v="0"/>
    <s v="2023-11-05 19:31:08"/>
    <n v="1"/>
    <x v="4"/>
    <x v="3"/>
    <x v="2"/>
    <n v="96"/>
    <n v="0"/>
    <s v="Unnamed ProjectSystem.NumberOutNumber OutSystem"/>
    <n v="1"/>
    <n v="96"/>
    <n v="0"/>
    <n v="0.95"/>
    <n v="4E+20"/>
    <n v="96"/>
    <n v="9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4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0"/>
        <item x="1"/>
        <item x="2"/>
        <item x="4"/>
        <item x="3"/>
        <item m="1" x="6"/>
        <item m="1" x="5"/>
      </items>
    </pivotField>
    <pivotField axis="axisRow" compact="0" outline="0" showAll="0" defaultSubtotal="0">
      <items count="5">
        <item x="1"/>
        <item x="2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/>
      <x v="2"/>
    </i>
    <i r="2">
      <x v="1"/>
      <x v="2"/>
    </i>
    <i r="2">
      <x v="2"/>
      <x v="2"/>
    </i>
    <i r="1">
      <x v="125"/>
      <x v="4"/>
      <x/>
    </i>
    <i r="1">
      <x v="126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55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 v="3"/>
      <x v="1"/>
    </i>
    <i r="1">
      <x v="80"/>
      <x v="2"/>
      <x v="1"/>
    </i>
    <i r="1">
      <x v="81"/>
      <x/>
      <x/>
    </i>
    <i r="1">
      <x v="82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8" tableType="queryTable" totalsRowShown="0">
  <autoFilter ref="A1:Y8" xr:uid="{C3D003CA-1AFF-426C-A03D-D3AF5760DF1A}"/>
  <sortState xmlns:xlrd2="http://schemas.microsoft.com/office/spreadsheetml/2017/richdata2" ref="A2:Y8">
    <sortCondition ref="D1:D8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45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44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43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42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41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40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39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38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37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36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35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34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33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32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6" tableType="queryTable" totalsRowShown="0">
  <autoFilter ref="A1:U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25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24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23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2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2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2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1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1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1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6" tableType="queryTable" totalsRowShown="0">
  <autoFilter ref="A1:P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12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11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10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9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8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7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6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5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2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1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0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.5" x14ac:dyDescent="0.35"/>
  <cols>
    <col min="1" max="1" width="15.26953125" bestFit="1" customWidth="1"/>
    <col min="2" max="2" width="80.726562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66</v>
      </c>
      <c r="B2" t="s">
        <v>68</v>
      </c>
      <c r="C2" t="s">
        <v>69</v>
      </c>
      <c r="D2">
        <v>3</v>
      </c>
      <c r="E2">
        <v>1</v>
      </c>
      <c r="F2">
        <v>24</v>
      </c>
      <c r="G2">
        <f>0.95</f>
        <v>0.95</v>
      </c>
    </row>
  </sheetData>
  <phoneticPr fontId="2" type="noConversion"/>
  <conditionalFormatting sqref="D2">
    <cfRule type="expression" dxfId="70" priority="1">
      <formula>D2=3</formula>
    </cfRule>
    <cfRule type="expression" dxfId="69" priority="2">
      <formula>D2=2</formula>
    </cfRule>
    <cfRule type="expression" dxfId="68" priority="3">
      <formula>D2=1</formula>
    </cfRule>
    <cfRule type="expression" dxfId="67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4.5" x14ac:dyDescent="0.35"/>
  <cols>
    <col min="1" max="1" width="33.1796875" customWidth="1"/>
    <col min="2" max="2" width="36.81640625" customWidth="1"/>
    <col min="3" max="3" width="15.81640625" customWidth="1"/>
    <col min="4" max="4" width="8.7265625" bestFit="1" customWidth="1"/>
    <col min="5" max="5" width="28.08984375" bestFit="1" customWidth="1"/>
    <col min="6" max="6" width="19.36328125" bestFit="1" customWidth="1"/>
    <col min="7" max="7" width="10.08984375" bestFit="1" customWidth="1"/>
    <col min="8" max="9" width="26.1796875" bestFit="1" customWidth="1"/>
    <col min="10" max="10" width="26.54296875" bestFit="1" customWidth="1"/>
    <col min="11" max="11" width="15.7265625" bestFit="1" customWidth="1"/>
    <col min="12" max="12" width="16.08984375" bestFit="1" customWidth="1"/>
    <col min="13" max="13" width="28.7265625" bestFit="1" customWidth="1"/>
    <col min="14" max="14" width="27.6328125" bestFit="1" customWidth="1"/>
    <col min="15" max="15" width="18.63281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.08984375" bestFit="1" customWidth="1"/>
    <col min="20" max="20" width="10.08984375" bestFit="1" customWidth="1"/>
    <col min="21" max="21" width="26.1796875" bestFit="1" customWidth="1"/>
    <col min="22" max="22" width="21.26953125" bestFit="1" customWidth="1"/>
    <col min="23" max="23" width="21.6328125" bestFit="1" customWidth="1"/>
    <col min="24" max="24" width="15.7265625" bestFit="1" customWidth="1"/>
    <col min="25" max="25" width="16.08984375" bestFit="1" customWidth="1"/>
    <col min="26" max="26" width="16.36328125" bestFit="1" customWidth="1"/>
    <col min="27" max="27" width="20.6328125" bestFit="1" customWidth="1"/>
    <col min="28" max="28" width="24.6328125" bestFit="1" customWidth="1"/>
    <col min="29" max="29" width="12" bestFit="1" customWidth="1"/>
    <col min="30" max="30" width="8.7265625" bestFit="1" customWidth="1"/>
    <col min="31" max="31" width="24.26953125" bestFit="1" customWidth="1"/>
    <col min="32" max="32" width="10" bestFit="1" customWidth="1"/>
    <col min="33" max="33" width="28.81640625" bestFit="1" customWidth="1"/>
    <col min="34" max="34" width="19.1796875" bestFit="1" customWidth="1"/>
    <col min="35" max="35" width="19.54296875" bestFit="1" customWidth="1"/>
    <col min="36" max="36" width="19.90625" bestFit="1" customWidth="1"/>
    <col min="37" max="37" width="32.36328125" bestFit="1" customWidth="1"/>
    <col min="38" max="38" width="24.6328125" bestFit="1" customWidth="1"/>
    <col min="39" max="39" width="12" bestFit="1" customWidth="1"/>
    <col min="40" max="40" width="8.7265625" bestFit="1" customWidth="1"/>
    <col min="41" max="41" width="24.26953125" bestFit="1" customWidth="1"/>
    <col min="42" max="42" width="10" bestFit="1" customWidth="1"/>
    <col min="43" max="43" width="28.81640625" bestFit="1" customWidth="1"/>
    <col min="44" max="44" width="19.1796875" bestFit="1" customWidth="1"/>
    <col min="45" max="45" width="19.54296875" bestFit="1" customWidth="1"/>
    <col min="46" max="46" width="19.90625" bestFit="1" customWidth="1"/>
    <col min="47" max="47" width="14.90625" bestFit="1" customWidth="1"/>
    <col min="48" max="48" width="20.6328125" bestFit="1" customWidth="1"/>
    <col min="49" max="49" width="26.36328125" bestFit="1" customWidth="1"/>
    <col min="50" max="50" width="8.7265625" bestFit="1" customWidth="1"/>
    <col min="51" max="51" width="25.81640625" bestFit="1" customWidth="1"/>
    <col min="52" max="52" width="26.6328125" bestFit="1" customWidth="1"/>
    <col min="53" max="53" width="27" bestFit="1" customWidth="1"/>
    <col min="54" max="54" width="24.90625" bestFit="1" customWidth="1"/>
    <col min="55" max="55" width="29.1796875" bestFit="1" customWidth="1"/>
    <col min="56" max="56" width="31.90625" bestFit="1" customWidth="1"/>
    <col min="57" max="57" width="21.816406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66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2E+20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96</v>
      </c>
      <c r="O3" t="s">
        <v>66</v>
      </c>
      <c r="P3" t="s">
        <v>81</v>
      </c>
      <c r="Q3" t="s">
        <v>82</v>
      </c>
      <c r="R3" t="s">
        <v>83</v>
      </c>
      <c r="S3" s="5">
        <v>1</v>
      </c>
      <c r="T3" s="5">
        <v>2E+20</v>
      </c>
      <c r="U3" s="5">
        <v>0</v>
      </c>
      <c r="V3" s="5">
        <v>1</v>
      </c>
      <c r="W3" s="5">
        <v>1</v>
      </c>
      <c r="X3" s="5">
        <v>0</v>
      </c>
      <c r="Y3" s="5">
        <v>1</v>
      </c>
      <c r="AA3" t="s">
        <v>98</v>
      </c>
      <c r="AB3" t="s">
        <v>98</v>
      </c>
      <c r="AC3" t="s">
        <v>98</v>
      </c>
      <c r="AD3" t="s">
        <v>98</v>
      </c>
      <c r="AE3" s="5"/>
      <c r="AF3" s="5"/>
      <c r="AG3" s="5"/>
      <c r="AH3" s="5"/>
      <c r="AI3" s="5"/>
      <c r="AK3" t="s">
        <v>66</v>
      </c>
      <c r="AL3" t="s">
        <v>96</v>
      </c>
      <c r="AM3" t="s">
        <v>95</v>
      </c>
      <c r="AN3" t="s">
        <v>97</v>
      </c>
      <c r="AO3" s="5">
        <v>96</v>
      </c>
      <c r="AP3" s="5">
        <v>4E+20</v>
      </c>
      <c r="AQ3" s="5">
        <v>0</v>
      </c>
      <c r="AR3" s="5">
        <v>96</v>
      </c>
      <c r="AS3" s="5">
        <v>96</v>
      </c>
      <c r="AU3" t="s">
        <v>98</v>
      </c>
      <c r="AV3" t="s">
        <v>98</v>
      </c>
      <c r="AW3" t="s">
        <v>98</v>
      </c>
      <c r="AX3" t="s">
        <v>98</v>
      </c>
      <c r="AY3" s="4"/>
      <c r="AZ3" s="4"/>
    </row>
    <row r="4" spans="1:52" x14ac:dyDescent="0.35">
      <c r="C4" t="s">
        <v>73</v>
      </c>
      <c r="D4" t="s">
        <v>72</v>
      </c>
      <c r="E4" s="5">
        <v>0</v>
      </c>
      <c r="F4" s="5">
        <v>1</v>
      </c>
      <c r="G4" s="5">
        <v>2E+20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96</v>
      </c>
      <c r="Q4" t="s">
        <v>84</v>
      </c>
      <c r="R4" t="s">
        <v>83</v>
      </c>
      <c r="S4" s="5">
        <v>1</v>
      </c>
      <c r="T4" s="5">
        <v>2E+20</v>
      </c>
      <c r="U4" s="5">
        <v>0</v>
      </c>
      <c r="V4" s="5">
        <v>1</v>
      </c>
      <c r="W4" s="5">
        <v>1</v>
      </c>
      <c r="X4" s="5">
        <v>0</v>
      </c>
      <c r="Y4" s="5">
        <v>1</v>
      </c>
      <c r="AL4" t="s">
        <v>88</v>
      </c>
      <c r="AM4" t="s">
        <v>89</v>
      </c>
      <c r="AN4" t="s">
        <v>83</v>
      </c>
      <c r="AO4" s="5">
        <v>97</v>
      </c>
      <c r="AP4" s="5">
        <v>4E+20</v>
      </c>
      <c r="AQ4" s="5">
        <v>0</v>
      </c>
      <c r="AR4" s="5">
        <v>97</v>
      </c>
      <c r="AS4" s="5">
        <v>97</v>
      </c>
    </row>
    <row r="5" spans="1:52" x14ac:dyDescent="0.35">
      <c r="C5" t="s">
        <v>74</v>
      </c>
      <c r="D5" t="s">
        <v>72</v>
      </c>
      <c r="E5" s="5">
        <v>7.3750000000000098</v>
      </c>
      <c r="F5" s="5">
        <v>1</v>
      </c>
      <c r="G5" s="5">
        <v>2E+20</v>
      </c>
      <c r="H5" s="5">
        <v>0</v>
      </c>
      <c r="I5" s="5">
        <v>7.3750000000000098</v>
      </c>
      <c r="J5" s="5">
        <v>7.3750000000000098</v>
      </c>
      <c r="K5" s="5">
        <v>0.25</v>
      </c>
      <c r="L5" s="5">
        <v>14.5</v>
      </c>
      <c r="M5" s="5">
        <v>96</v>
      </c>
      <c r="Q5" t="s">
        <v>85</v>
      </c>
      <c r="R5" t="s">
        <v>83</v>
      </c>
      <c r="S5" s="5">
        <v>1</v>
      </c>
      <c r="T5" s="5">
        <v>2E+20</v>
      </c>
      <c r="U5" s="5">
        <v>0</v>
      </c>
      <c r="V5" s="5">
        <v>1</v>
      </c>
      <c r="W5" s="5">
        <v>1</v>
      </c>
      <c r="X5" s="5">
        <v>1</v>
      </c>
      <c r="Y5" s="5">
        <v>1</v>
      </c>
      <c r="AL5" t="s">
        <v>90</v>
      </c>
      <c r="AM5" t="s">
        <v>91</v>
      </c>
      <c r="AN5" t="s">
        <v>83</v>
      </c>
      <c r="AO5" s="5">
        <v>1</v>
      </c>
      <c r="AP5" s="5">
        <v>4E+20</v>
      </c>
      <c r="AQ5" s="5">
        <v>0</v>
      </c>
      <c r="AR5" s="5">
        <v>1</v>
      </c>
      <c r="AS5" s="5">
        <v>1</v>
      </c>
    </row>
    <row r="6" spans="1:52" x14ac:dyDescent="0.35">
      <c r="C6" t="s">
        <v>75</v>
      </c>
      <c r="D6" t="s">
        <v>72</v>
      </c>
      <c r="E6" s="5">
        <v>0</v>
      </c>
      <c r="F6" s="5">
        <v>1</v>
      </c>
      <c r="G6" s="5">
        <v>2E+20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96</v>
      </c>
      <c r="P6" t="s">
        <v>70</v>
      </c>
      <c r="Q6" t="s">
        <v>86</v>
      </c>
      <c r="R6" t="s">
        <v>72</v>
      </c>
      <c r="S6" s="5">
        <v>73.000000000000099</v>
      </c>
      <c r="T6" s="5">
        <v>3E+20</v>
      </c>
      <c r="U6" s="5">
        <v>0</v>
      </c>
      <c r="V6" s="5">
        <v>73.000000000000099</v>
      </c>
      <c r="W6" s="5">
        <v>73.000000000000099</v>
      </c>
      <c r="X6" s="5">
        <v>0</v>
      </c>
      <c r="Y6" s="5">
        <v>145</v>
      </c>
      <c r="AL6" t="s">
        <v>92</v>
      </c>
      <c r="AM6" t="s">
        <v>93</v>
      </c>
      <c r="AN6" t="s">
        <v>72</v>
      </c>
      <c r="AO6" s="5">
        <v>240</v>
      </c>
      <c r="AP6" s="5">
        <v>4E+20</v>
      </c>
      <c r="AQ6" s="5">
        <v>0</v>
      </c>
      <c r="AR6" s="5">
        <v>240</v>
      </c>
      <c r="AS6" s="5">
        <v>240</v>
      </c>
    </row>
    <row r="7" spans="1:52" x14ac:dyDescent="0.35">
      <c r="C7" t="s">
        <v>76</v>
      </c>
      <c r="D7" t="s">
        <v>72</v>
      </c>
      <c r="E7" s="5">
        <v>0.25</v>
      </c>
      <c r="F7" s="5">
        <v>1</v>
      </c>
      <c r="G7" s="5">
        <v>2E+20</v>
      </c>
      <c r="H7" s="5">
        <v>0</v>
      </c>
      <c r="I7" s="5">
        <v>0.25</v>
      </c>
      <c r="J7" s="5">
        <v>0.25</v>
      </c>
      <c r="K7" s="5">
        <v>0.25</v>
      </c>
      <c r="L7" s="5">
        <v>0.25</v>
      </c>
      <c r="M7" s="5">
        <v>96</v>
      </c>
      <c r="P7" t="s">
        <v>78</v>
      </c>
      <c r="Q7" t="s">
        <v>87</v>
      </c>
      <c r="R7" t="s">
        <v>80</v>
      </c>
      <c r="S7" s="5">
        <v>72.000000000000099</v>
      </c>
      <c r="T7" s="5">
        <v>3E+20</v>
      </c>
      <c r="U7" s="5">
        <v>0</v>
      </c>
      <c r="V7" s="5">
        <v>72.000000000000099</v>
      </c>
      <c r="W7" s="5">
        <v>72.000000000000099</v>
      </c>
      <c r="X7" s="5">
        <v>0</v>
      </c>
      <c r="Y7" s="5">
        <v>144</v>
      </c>
      <c r="AL7" t="s">
        <v>94</v>
      </c>
      <c r="AM7" t="s">
        <v>95</v>
      </c>
      <c r="AN7" t="s">
        <v>72</v>
      </c>
      <c r="AO7" s="5">
        <v>96</v>
      </c>
      <c r="AP7" s="5">
        <v>4E+20</v>
      </c>
      <c r="AQ7" s="5">
        <v>0</v>
      </c>
      <c r="AR7" s="5">
        <v>96</v>
      </c>
      <c r="AS7" s="5">
        <v>96</v>
      </c>
    </row>
    <row r="8" spans="1:52" x14ac:dyDescent="0.35">
      <c r="C8" t="s">
        <v>77</v>
      </c>
      <c r="D8" t="s">
        <v>72</v>
      </c>
      <c r="E8" s="5">
        <v>7.1250000000000098</v>
      </c>
      <c r="F8" s="5">
        <v>1</v>
      </c>
      <c r="G8" s="5">
        <v>2E+20</v>
      </c>
      <c r="H8" s="5">
        <v>0</v>
      </c>
      <c r="I8" s="5">
        <v>7.1250000000000098</v>
      </c>
      <c r="J8" s="5">
        <v>7.1250000000000098</v>
      </c>
      <c r="K8" s="5">
        <v>0</v>
      </c>
      <c r="L8" s="5">
        <v>14.25</v>
      </c>
      <c r="M8" s="5">
        <v>96</v>
      </c>
    </row>
    <row r="9" spans="1:52" x14ac:dyDescent="0.35">
      <c r="B9" t="s">
        <v>78</v>
      </c>
      <c r="C9" t="s">
        <v>79</v>
      </c>
      <c r="D9" t="s">
        <v>80</v>
      </c>
      <c r="E9" s="5">
        <v>7.2000000000000099</v>
      </c>
      <c r="F9" s="5">
        <v>1</v>
      </c>
      <c r="G9" s="5">
        <v>2E+20</v>
      </c>
      <c r="H9" s="5">
        <v>0</v>
      </c>
      <c r="I9" s="5">
        <v>7.2000000000000099</v>
      </c>
      <c r="J9" s="5">
        <v>7.2000000000000099</v>
      </c>
      <c r="K9" s="5">
        <v>0</v>
      </c>
      <c r="L9" s="5">
        <v>14.4</v>
      </c>
      <c r="M9" s="5">
        <v>97</v>
      </c>
    </row>
  </sheetData>
  <dataConsolidate/>
  <conditionalFormatting pivot="1" sqref="G3:G9">
    <cfRule type="expression" dxfId="66" priority="14">
      <formula>G3=200000000000000000000</formula>
    </cfRule>
  </conditionalFormatting>
  <conditionalFormatting pivot="1" sqref="T3:T7">
    <cfRule type="expression" dxfId="65" priority="13">
      <formula>T3=200000000000000000000</formula>
    </cfRule>
  </conditionalFormatting>
  <conditionalFormatting pivot="1" sqref="T3:T7">
    <cfRule type="expression" dxfId="64" priority="12">
      <formula>T3=300000000000000000000</formula>
    </cfRule>
  </conditionalFormatting>
  <conditionalFormatting pivot="1" sqref="G3:G9">
    <cfRule type="expression" dxfId="63" priority="11">
      <formula>G3=300000000000000000000</formula>
    </cfRule>
  </conditionalFormatting>
  <conditionalFormatting pivot="1" sqref="F3:F9">
    <cfRule type="expression" dxfId="62" priority="10">
      <formula>F3=0</formula>
    </cfRule>
  </conditionalFormatting>
  <conditionalFormatting pivot="1" sqref="F3:F9">
    <cfRule type="expression" dxfId="61" priority="9">
      <formula>F3=1</formula>
    </cfRule>
  </conditionalFormatting>
  <conditionalFormatting pivot="1" sqref="T3:T7">
    <cfRule type="expression" dxfId="60" priority="8">
      <formula>T3=400000000000000000000</formula>
    </cfRule>
  </conditionalFormatting>
  <conditionalFormatting pivot="1" sqref="AP3:AP7">
    <cfRule type="expression" dxfId="59" priority="7">
      <formula>AP3=400000000000000000000</formula>
    </cfRule>
  </conditionalFormatting>
  <conditionalFormatting pivot="1" sqref="AF3">
    <cfRule type="expression" dxfId="58" priority="6">
      <formula>AF3=400000000000000000000</formula>
    </cfRule>
  </conditionalFormatting>
  <conditionalFormatting pivot="1" sqref="G3:G9">
    <cfRule type="expression" dxfId="57" priority="5">
      <formula>G3=400000000000000000000</formula>
    </cfRule>
  </conditionalFormatting>
  <conditionalFormatting pivot="1" sqref="AZ3">
    <cfRule type="expression" dxfId="56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8"/>
  <sheetViews>
    <sheetView workbookViewId="0">
      <selection activeCell="G8" sqref="G8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32.453125" bestFit="1" customWidth="1"/>
    <col min="5" max="5" width="12.36328125" bestFit="1" customWidth="1"/>
    <col min="6" max="6" width="8.7265625" bestFit="1" customWidth="1"/>
    <col min="7" max="7" width="9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21.1796875" bestFit="1" customWidth="1"/>
    <col min="12" max="12" width="64" bestFit="1" customWidth="1"/>
    <col min="13" max="13" width="16.08984375" bestFit="1" customWidth="1"/>
    <col min="14" max="14" width="18.6328125" bestFit="1" customWidth="1"/>
    <col min="15" max="15" width="16.7265625" bestFit="1" customWidth="1"/>
    <col min="16" max="16" width="19" bestFit="1" customWidth="1"/>
    <col min="17" max="17" width="11.6328125" bestFit="1" customWidth="1"/>
    <col min="18" max="18" width="18" bestFit="1" customWidth="1"/>
    <col min="19" max="19" width="18.36328125" bestFit="1" customWidth="1"/>
    <col min="20" max="20" width="17.1796875" bestFit="1" customWidth="1"/>
    <col min="21" max="21" width="17.54296875" bestFit="1" customWidth="1"/>
    <col min="22" max="22" width="28.08984375" bestFit="1" customWidth="1"/>
    <col min="23" max="23" width="19.7265625" bestFit="1" customWidth="1"/>
    <col min="24" max="24" width="22.7265625" bestFit="1" customWidth="1"/>
    <col min="25" max="25" width="21.17968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2E+20</v>
      </c>
      <c r="I2">
        <v>0</v>
      </c>
      <c r="J2">
        <v>0</v>
      </c>
      <c r="K2">
        <v>96</v>
      </c>
      <c r="L2" t="str">
        <f>DiscreteStatsTable[[#This Row],[ProjectName]]&amp;DiscreteStatsTable[[#This Row],[Name]]&amp;DiscreteStatsTable[[#This Row],[Type]]&amp;DiscreteStatsTable[[#This Row],[Source]]</f>
        <v>Unnamed ProjectPacienteNVA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96</v>
      </c>
      <c r="W2">
        <f>IF((DiscreteStatsTable[[#This Row],[RepsRequested]]&gt;1),DiscreteStatsTable[[#This Row],[HalfWidth]],DiscreteStatsTable[[#This Row],[BatchMeansHalfWidth]])</f>
        <v>2E+20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66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0</v>
      </c>
      <c r="H3">
        <v>2E+20</v>
      </c>
      <c r="I3">
        <v>0</v>
      </c>
      <c r="J3">
        <v>0</v>
      </c>
      <c r="K3">
        <v>96</v>
      </c>
      <c r="L3" t="str">
        <f>DiscreteStatsTable[[#This Row],[ProjectName]]&amp;DiscreteStatsTable[[#This Row],[Name]]&amp;DiscreteStatsTable[[#This Row],[Type]]&amp;DiscreteStatsTable[[#This Row],[Source]]</f>
        <v>Unnamed ProjectPacienteOther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96</v>
      </c>
      <c r="W3">
        <f>IF((DiscreteStatsTable[[#This Row],[RepsRequested]]&gt;1),DiscreteStatsTable[[#This Row],[HalfWidth]],DiscreteStatsTable[[#This Row],[BatchMeansHalfWidth]])</f>
        <v>2E+20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66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7.3750000000000098</v>
      </c>
      <c r="H4">
        <v>2E+20</v>
      </c>
      <c r="I4">
        <v>0.25</v>
      </c>
      <c r="J4">
        <v>14.5</v>
      </c>
      <c r="K4">
        <v>96</v>
      </c>
      <c r="L4" t="str">
        <f>DiscreteStatsTable[[#This Row],[ProjectName]]&amp;DiscreteStatsTable[[#This Row],[Name]]&amp;DiscreteStatsTable[[#This Row],[Type]]&amp;DiscreteStatsTable[[#This Row],[Source]]</f>
        <v>Unnamed ProjectPacienteTotal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7.3750000000000098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7.3750000000000098</v>
      </c>
      <c r="S4" cm="1">
        <f t="array" ref="S4">MAX(IF((DiscreteStatsTable[GroupByKey]=DiscreteStatsTable[[#This Row],[GroupByKey]]),(DiscreteStatsTable[GroupByKey]=DiscreteStatsTable[[#This Row],[GroupByKey]])*DiscreteStatsTable[Average]))</f>
        <v>7.3750000000000098</v>
      </c>
      <c r="T4" cm="1">
        <f t="array" ref="T4">MIN(IF((DiscreteStatsTable[GroupByKey]=DiscreteStatsTable[[#This Row],[GroupByKey]]),(DiscreteStatsTable[GroupByKey]=DiscreteStatsTable[[#This Row],[GroupByKey]])*DiscreteStatsTable[Minimum]))</f>
        <v>0.25</v>
      </c>
      <c r="U4" cm="1">
        <f t="array" ref="U4">MAX(IF((DiscreteStatsTable[GroupByKey]=DiscreteStatsTable[[#This Row],[GroupByKey]]),(DiscreteStatsTable[GroupByKey]=DiscreteStatsTable[[#This Row],[GroupByKey]])*DiscreteStatsTable[Maximum]))</f>
        <v>14.5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96</v>
      </c>
      <c r="W4">
        <f>IF((DiscreteStatsTable[[#This Row],[RepsRequested]]&gt;1),DiscreteStatsTable[[#This Row],[HalfWidth]],DiscreteStatsTable[[#This Row],[BatchMeansHalfWidth]])</f>
        <v>2E+20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66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0</v>
      </c>
      <c r="H5">
        <v>2E+20</v>
      </c>
      <c r="I5">
        <v>0</v>
      </c>
      <c r="J5">
        <v>0</v>
      </c>
      <c r="K5">
        <v>96</v>
      </c>
      <c r="L5" t="str">
        <f>DiscreteStatsTable[[#This Row],[ProjectName]]&amp;DiscreteStatsTable[[#This Row],[Name]]&amp;DiscreteStatsTable[[#This Row],[Type]]&amp;DiscreteStatsTable[[#This Row],[Source]]</f>
        <v>Unnamed ProjectPacienteTransfer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96</v>
      </c>
      <c r="W5">
        <f>IF((DiscreteStatsTable[[#This Row],[RepsRequested]]&gt;1),DiscreteStatsTable[[#This Row],[HalfWidth]],DiscreteStatsTable[[#This Row],[BatchMeansHalfWidth]])</f>
        <v>2E+20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66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0.25</v>
      </c>
      <c r="H6">
        <v>2E+20</v>
      </c>
      <c r="I6">
        <v>0.25</v>
      </c>
      <c r="J6">
        <v>0.25</v>
      </c>
      <c r="K6">
        <v>96</v>
      </c>
      <c r="L6" t="str">
        <f>DiscreteStatsTable[[#This Row],[ProjectName]]&amp;DiscreteStatsTable[[#This Row],[Name]]&amp;DiscreteStatsTable[[#This Row],[Type]]&amp;DiscreteStatsTable[[#This Row],[Source]]</f>
        <v>Unnamed ProjectPacienteVA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0.25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0.25</v>
      </c>
      <c r="S6" cm="1">
        <f t="array" ref="S6">MAX(IF((DiscreteStatsTable[GroupByKey]=DiscreteStatsTable[[#This Row],[GroupByKey]]),(DiscreteStatsTable[GroupByKey]=DiscreteStatsTable[[#This Row],[GroupByKey]])*DiscreteStatsTable[Average]))</f>
        <v>0.25</v>
      </c>
      <c r="T6" cm="1">
        <f t="array" ref="T6">MIN(IF((DiscreteStatsTable[GroupByKey]=DiscreteStatsTable[[#This Row],[GroupByKey]]),(DiscreteStatsTable[GroupByKey]=DiscreteStatsTable[[#This Row],[GroupByKey]])*DiscreteStatsTable[Minimum]))</f>
        <v>0.25</v>
      </c>
      <c r="U6" cm="1">
        <f t="array" ref="U6">MAX(IF((DiscreteStatsTable[GroupByKey]=DiscreteStatsTable[[#This Row],[GroupByKey]]),(DiscreteStatsTable[GroupByKey]=DiscreteStatsTable[[#This Row],[GroupByKey]])*DiscreteStatsTable[Maximum]))</f>
        <v>0.25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96</v>
      </c>
      <c r="W6">
        <f>IF((DiscreteStatsTable[[#This Row],[RepsRequested]]&gt;1),DiscreteStatsTable[[#This Row],[HalfWidth]],DiscreteStatsTable[[#This Row],[BatchMeansHalfWidth]])</f>
        <v>2E+20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66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7.1250000000000098</v>
      </c>
      <c r="H7">
        <v>2E+20</v>
      </c>
      <c r="I7">
        <v>0</v>
      </c>
      <c r="J7">
        <v>14.25</v>
      </c>
      <c r="K7">
        <v>96</v>
      </c>
      <c r="L7" t="str">
        <f>DiscreteStatsTable[[#This Row],[ProjectName]]&amp;DiscreteStatsTable[[#This Row],[Name]]&amp;DiscreteStatsTable[[#This Row],[Type]]&amp;DiscreteStatsTable[[#This Row],[Source]]</f>
        <v>Unnamed ProjectPacienteWait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7.1250000000000098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7.1250000000000098</v>
      </c>
      <c r="S7" cm="1">
        <f t="array" ref="S7">MAX(IF((DiscreteStatsTable[GroupByKey]=DiscreteStatsTable[[#This Row],[GroupByKey]]),(DiscreteStatsTable[GroupByKey]=DiscreteStatsTable[[#This Row],[GroupByKey]])*DiscreteStatsTable[Average]))</f>
        <v>7.1250000000000098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14.25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96</v>
      </c>
      <c r="W7">
        <f>IF((DiscreteStatsTable[[#This Row],[RepsRequested]]&gt;1),DiscreteStatsTable[[#This Row],[HalfWidth]],DiscreteStatsTable[[#This Row],[BatchMeansHalfWidth]])</f>
        <v>2E+20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66</v>
      </c>
      <c r="B8" t="s">
        <v>69</v>
      </c>
      <c r="C8">
        <v>1</v>
      </c>
      <c r="D8" t="s">
        <v>78</v>
      </c>
      <c r="E8" t="s">
        <v>79</v>
      </c>
      <c r="F8" t="s">
        <v>80</v>
      </c>
      <c r="G8">
        <v>7.2000000000000099</v>
      </c>
      <c r="H8">
        <v>2E+20</v>
      </c>
      <c r="I8">
        <v>0</v>
      </c>
      <c r="J8">
        <v>14.4</v>
      </c>
      <c r="K8">
        <v>97</v>
      </c>
      <c r="L8" t="str">
        <f>DiscreteStatsTable[[#This Row],[ProjectName]]&amp;DiscreteStatsTable[[#This Row],[Name]]&amp;DiscreteStatsTable[[#This Row],[Type]]&amp;DiscreteStatsTable[[#This Row],[Source]]</f>
        <v>Unnamed ProjectProcesso atendimento medico.QueueWaiting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7.2000000000000099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7.2000000000000099</v>
      </c>
      <c r="S8" cm="1">
        <f t="array" ref="S8">MAX(IF((DiscreteStatsTable[GroupByKey]=DiscreteStatsTable[[#This Row],[GroupByKey]]),(DiscreteStatsTable[GroupByKey]=DiscreteStatsTable[[#This Row],[GroupByKey]])*DiscreteStatsTable[Average]))</f>
        <v>7.2000000000000099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14.4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97</v>
      </c>
      <c r="W8">
        <f>IF((DiscreteStatsTable[[#This Row],[RepsRequested]]&gt;1),DiscreteStatsTable[[#This Row],[HalfWidth]],DiscreteStatsTable[[#This Row],[BatchMeansHalfWidth]])</f>
        <v>2E+20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</sheetData>
  <phoneticPr fontId="2" type="noConversion"/>
  <conditionalFormatting sqref="H2:H8 Q2:Q8">
    <cfRule type="expression" dxfId="54" priority="23">
      <formula>H2=200000000000000000000</formula>
    </cfRule>
  </conditionalFormatting>
  <conditionalFormatting sqref="H2:H8">
    <cfRule type="expression" dxfId="53" priority="21">
      <formula>H2=300000000000000000000</formula>
    </cfRule>
  </conditionalFormatting>
  <conditionalFormatting sqref="L2:Y8">
    <cfRule type="expression" dxfId="52" priority="19">
      <formula>MOD(ROW(),2)=0</formula>
    </cfRule>
  </conditionalFormatting>
  <conditionalFormatting sqref="Y2:Y8">
    <cfRule type="expression" dxfId="51" priority="14">
      <formula>Y2=0</formula>
    </cfRule>
    <cfRule type="expression" dxfId="50" priority="16">
      <formula>Y2=1</formula>
    </cfRule>
  </conditionalFormatting>
  <conditionalFormatting sqref="Y3:Y8">
    <cfRule type="expression" dxfId="49" priority="15">
      <formula>Y3=1</formula>
    </cfRule>
  </conditionalFormatting>
  <conditionalFormatting sqref="W2:W8">
    <cfRule type="expression" dxfId="48" priority="6">
      <formula>W2=300000000000000000000</formula>
    </cfRule>
    <cfRule type="expression" dxfId="47" priority="7">
      <formula>W2=200000000000000000000</formula>
    </cfRule>
  </conditionalFormatting>
  <conditionalFormatting sqref="Q2:Q8 W2:W8">
    <cfRule type="expression" dxfId="46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6"/>
  <sheetViews>
    <sheetView workbookViewId="0">
      <selection activeCell="A2" sqref="A2:L1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32.453125" bestFit="1" customWidth="1"/>
    <col min="5" max="5" width="21.81640625" bestFit="1" customWidth="1"/>
    <col min="6" max="6" width="8.7265625" bestFit="1" customWidth="1"/>
    <col min="7" max="7" width="9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19.26953125" bestFit="1" customWidth="1"/>
    <col min="12" max="12" width="11.1796875" bestFit="1" customWidth="1"/>
    <col min="13" max="13" width="66.8164062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63281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66</v>
      </c>
      <c r="B2" t="s">
        <v>69</v>
      </c>
      <c r="C2">
        <v>1</v>
      </c>
      <c r="D2" t="s">
        <v>81</v>
      </c>
      <c r="E2" t="s">
        <v>82</v>
      </c>
      <c r="F2" t="s">
        <v>83</v>
      </c>
      <c r="G2">
        <v>1</v>
      </c>
      <c r="H2">
        <v>2E+20</v>
      </c>
      <c r="I2">
        <v>0</v>
      </c>
      <c r="J2">
        <v>1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ProjectMedicoInstantaneous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1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1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1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35">
      <c r="A3" t="s">
        <v>66</v>
      </c>
      <c r="B3" t="s">
        <v>69</v>
      </c>
      <c r="C3">
        <v>1</v>
      </c>
      <c r="D3" t="s">
        <v>81</v>
      </c>
      <c r="E3" t="s">
        <v>84</v>
      </c>
      <c r="F3" t="s">
        <v>83</v>
      </c>
      <c r="G3">
        <v>1</v>
      </c>
      <c r="H3">
        <v>2E+20</v>
      </c>
      <c r="I3">
        <v>0</v>
      </c>
      <c r="J3">
        <v>1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ProjectMedicoNumber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1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1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1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35">
      <c r="A4" t="s">
        <v>66</v>
      </c>
      <c r="B4" t="s">
        <v>69</v>
      </c>
      <c r="C4">
        <v>1</v>
      </c>
      <c r="D4" t="s">
        <v>81</v>
      </c>
      <c r="E4" t="s">
        <v>85</v>
      </c>
      <c r="F4" t="s">
        <v>83</v>
      </c>
      <c r="G4">
        <v>1</v>
      </c>
      <c r="H4">
        <v>2E+20</v>
      </c>
      <c r="I4">
        <v>1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ProjectMedicoNumber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35">
      <c r="A5" t="s">
        <v>66</v>
      </c>
      <c r="B5" t="s">
        <v>69</v>
      </c>
      <c r="C5">
        <v>1</v>
      </c>
      <c r="D5" t="s">
        <v>70</v>
      </c>
      <c r="E5" t="s">
        <v>86</v>
      </c>
      <c r="F5" t="s">
        <v>72</v>
      </c>
      <c r="G5">
        <v>73.000000000000099</v>
      </c>
      <c r="H5">
        <v>3E+20</v>
      </c>
      <c r="I5">
        <v>0</v>
      </c>
      <c r="J5">
        <v>145</v>
      </c>
      <c r="K5">
        <v>144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ProjectPacienteWIPEntity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73.000000000000099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73.000000000000099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73.000000000000099</v>
      </c>
      <c r="U5">
        <f>IF((ContinuousStatsTable[[#This Row],[RepsRequested]]&gt;1),ContinuousStatsTable[[#This Row],[HalfWidth]],ContinuousStatsTable[[#This Row],[BatchMeansHalfWidth]])</f>
        <v>3E+20</v>
      </c>
    </row>
    <row r="6" spans="1:21" x14ac:dyDescent="0.35">
      <c r="A6" t="s">
        <v>66</v>
      </c>
      <c r="B6" t="s">
        <v>69</v>
      </c>
      <c r="C6">
        <v>1</v>
      </c>
      <c r="D6" t="s">
        <v>78</v>
      </c>
      <c r="E6" t="s">
        <v>87</v>
      </c>
      <c r="F6" t="s">
        <v>80</v>
      </c>
      <c r="G6">
        <v>72.000000000000099</v>
      </c>
      <c r="H6">
        <v>3E+20</v>
      </c>
      <c r="I6">
        <v>0</v>
      </c>
      <c r="J6">
        <v>144</v>
      </c>
      <c r="K6">
        <v>143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ProjectProcesso atendimento medico.QueueNumber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72.000000000000099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72.000000000000099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72.000000000000099</v>
      </c>
      <c r="U6">
        <f>IF((ContinuousStatsTable[[#This Row],[RepsRequested]]&gt;1),ContinuousStatsTable[[#This Row],[HalfWidth]],ContinuousStatsTable[[#This Row],[BatchMeansHalfWidth]])</f>
        <v>3E+20</v>
      </c>
    </row>
  </sheetData>
  <phoneticPr fontId="2" type="noConversion"/>
  <conditionalFormatting sqref="H2:H6">
    <cfRule type="expression" dxfId="31" priority="9">
      <formula>H2=200000000000000000000</formula>
    </cfRule>
  </conditionalFormatting>
  <conditionalFormatting sqref="H2:H6">
    <cfRule type="expression" dxfId="30" priority="7">
      <formula>H2=300000000000000000000</formula>
    </cfRule>
  </conditionalFormatting>
  <conditionalFormatting sqref="M2:U6">
    <cfRule type="expression" dxfId="29" priority="5">
      <formula>MOD(ROW(),2)=0</formula>
    </cfRule>
  </conditionalFormatting>
  <conditionalFormatting sqref="U2:U6">
    <cfRule type="expression" dxfId="28" priority="3">
      <formula>U2=200000000000000000000</formula>
    </cfRule>
    <cfRule type="expression" dxfId="27" priority="4">
      <formula>U2=300000000000000000000</formula>
    </cfRule>
  </conditionalFormatting>
  <conditionalFormatting sqref="R2:R6 U2:U6">
    <cfRule type="expression" dxfId="2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12" sqref="G1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7.08984375" bestFit="1" customWidth="1"/>
    <col min="6" max="6" width="8.7265625" bestFit="1" customWidth="1"/>
    <col min="7" max="7" width="15.81640625" bestFit="1" customWidth="1"/>
    <col min="8" max="8" width="13.3632812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63281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16" priority="2">
      <formula>MOD(ROW(),2)=0</formula>
    </cfRule>
  </conditionalFormatting>
  <conditionalFormatting sqref="M2">
    <cfRule type="expression" dxfId="15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6"/>
  <sheetViews>
    <sheetView workbookViewId="0">
      <selection activeCell="E10" sqref="E10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4.7265625" bestFit="1" customWidth="1"/>
    <col min="5" max="5" width="18.36328125" bestFit="1" customWidth="1"/>
    <col min="6" max="6" width="8.7265625" bestFit="1" customWidth="1"/>
    <col min="7" max="7" width="15.81640625" bestFit="1" customWidth="1"/>
    <col min="8" max="8" width="11.1796875" bestFit="1" customWidth="1"/>
    <col min="9" max="9" width="65" bestFit="1" customWidth="1"/>
    <col min="10" max="10" width="16.08984375" bestFit="1" customWidth="1"/>
    <col min="11" max="11" width="9.81640625" bestFit="1" customWidth="1"/>
    <col min="12" max="12" width="18.81640625" bestFit="1" customWidth="1"/>
    <col min="13" max="13" width="19" bestFit="1" customWidth="1"/>
    <col min="14" max="14" width="11.6328125" bestFit="1" customWidth="1"/>
    <col min="15" max="15" width="11.1796875" bestFit="1" customWidth="1"/>
    <col min="16" max="16" width="11.5429687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66</v>
      </c>
      <c r="B2" t="s">
        <v>69</v>
      </c>
      <c r="C2">
        <v>1</v>
      </c>
      <c r="D2" t="s">
        <v>88</v>
      </c>
      <c r="E2" t="s">
        <v>89</v>
      </c>
      <c r="F2" t="s">
        <v>83</v>
      </c>
      <c r="G2">
        <v>97</v>
      </c>
      <c r="H2">
        <v>0</v>
      </c>
      <c r="I2" t="str">
        <f>OutputTable[[#This Row],[ProjectName]]&amp;OutputTable[[#This Row],[Name]]&amp;OutputTable[[#This Row],[Type]]&amp;OutputTable[[#This Row],[Source]]</f>
        <v>Unnamed ProjectMedico.NumberSeizedTotal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97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97</v>
      </c>
      <c r="P2" cm="1">
        <f t="array" ref="P2">MAX(IF((OutputTable[GroupByKey]=OutputTable[[#This Row],[GroupByKey]]),(OutputTable[GroupByKey]=OutputTable[[#This Row],[GroupByKey]])*OutputTable[RecordedValue]))</f>
        <v>97</v>
      </c>
    </row>
    <row r="3" spans="1:16" x14ac:dyDescent="0.35">
      <c r="A3" t="s">
        <v>66</v>
      </c>
      <c r="B3" t="s">
        <v>69</v>
      </c>
      <c r="C3">
        <v>1</v>
      </c>
      <c r="D3" t="s">
        <v>90</v>
      </c>
      <c r="E3" t="s">
        <v>91</v>
      </c>
      <c r="F3" t="s">
        <v>83</v>
      </c>
      <c r="G3">
        <v>1</v>
      </c>
      <c r="H3">
        <v>0</v>
      </c>
      <c r="I3" t="str">
        <f>OutputTable[[#This Row],[ProjectName]]&amp;OutputTable[[#This Row],[Name]]&amp;OutputTable[[#This Row],[Type]]&amp;OutputTable[[#This Row],[Source]]</f>
        <v>Unnamed ProjectMedico.ScheduledUtilizationScheduled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1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1</v>
      </c>
      <c r="P3" cm="1">
        <f t="array" ref="P3">MAX(IF((OutputTable[GroupByKey]=OutputTable[[#This Row],[GroupByKey]]),(OutputTable[GroupByKey]=OutputTable[[#This Row],[GroupByKey]])*OutputTable[RecordedValue]))</f>
        <v>1</v>
      </c>
    </row>
    <row r="4" spans="1:16" x14ac:dyDescent="0.35">
      <c r="A4" t="s">
        <v>66</v>
      </c>
      <c r="B4" t="s">
        <v>69</v>
      </c>
      <c r="C4">
        <v>1</v>
      </c>
      <c r="D4" t="s">
        <v>92</v>
      </c>
      <c r="E4" t="s">
        <v>93</v>
      </c>
      <c r="F4" t="s">
        <v>72</v>
      </c>
      <c r="G4">
        <v>240</v>
      </c>
      <c r="H4">
        <v>0</v>
      </c>
      <c r="I4" t="str">
        <f>OutputTable[[#This Row],[ProjectName]]&amp;OutputTable[[#This Row],[Name]]&amp;OutputTable[[#This Row],[Type]]&amp;OutputTable[[#This Row],[Source]]</f>
        <v>Unnamed ProjectPaciente.NumberInNumber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240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240</v>
      </c>
      <c r="P4" cm="1">
        <f t="array" ref="P4">MAX(IF((OutputTable[GroupByKey]=OutputTable[[#This Row],[GroupByKey]]),(OutputTable[GroupByKey]=OutputTable[[#This Row],[GroupByKey]])*OutputTable[RecordedValue]))</f>
        <v>240</v>
      </c>
    </row>
    <row r="5" spans="1:16" x14ac:dyDescent="0.35">
      <c r="A5" t="s">
        <v>66</v>
      </c>
      <c r="B5" t="s">
        <v>69</v>
      </c>
      <c r="C5">
        <v>1</v>
      </c>
      <c r="D5" t="s">
        <v>94</v>
      </c>
      <c r="E5" t="s">
        <v>95</v>
      </c>
      <c r="F5" t="s">
        <v>72</v>
      </c>
      <c r="G5">
        <v>96</v>
      </c>
      <c r="H5">
        <v>0</v>
      </c>
      <c r="I5" t="str">
        <f>OutputTable[[#This Row],[ProjectName]]&amp;OutputTable[[#This Row],[Name]]&amp;OutputTable[[#This Row],[Type]]&amp;OutputTable[[#This Row],[Source]]</f>
        <v>Unnamed ProjectPaciente.NumberOutNumber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96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96</v>
      </c>
      <c r="P5" cm="1">
        <f t="array" ref="P5">MAX(IF((OutputTable[GroupByKey]=OutputTable[[#This Row],[GroupByKey]]),(OutputTable[GroupByKey]=OutputTable[[#This Row],[GroupByKey]])*OutputTable[RecordedValue]))</f>
        <v>96</v>
      </c>
    </row>
    <row r="6" spans="1:16" x14ac:dyDescent="0.35">
      <c r="A6" t="s">
        <v>66</v>
      </c>
      <c r="B6" t="s">
        <v>69</v>
      </c>
      <c r="C6">
        <v>1</v>
      </c>
      <c r="D6" t="s">
        <v>96</v>
      </c>
      <c r="E6" t="s">
        <v>95</v>
      </c>
      <c r="F6" t="s">
        <v>97</v>
      </c>
      <c r="G6">
        <v>96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96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96</v>
      </c>
      <c r="P6" cm="1">
        <f t="array" ref="P6">MAX(IF((OutputTable[GroupByKey]=OutputTable[[#This Row],[GroupByKey]]),(OutputTable[GroupByKey]=OutputTable[[#This Row],[GroupByKey]])*OutputTable[RecordedValue]))</f>
        <v>96</v>
      </c>
    </row>
  </sheetData>
  <phoneticPr fontId="2" type="noConversion"/>
  <conditionalFormatting sqref="I2:P6">
    <cfRule type="expression" dxfId="14" priority="2">
      <formula>MOD(ROW(),2)=0</formula>
    </cfRule>
  </conditionalFormatting>
  <conditionalFormatting sqref="N2:N6">
    <cfRule type="expression" dxfId="13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26953125" bestFit="1" customWidth="1"/>
    <col min="8" max="8" width="21.08984375" bestFit="1" customWidth="1"/>
    <col min="9" max="9" width="23.1796875" bestFit="1" customWidth="1"/>
    <col min="10" max="10" width="24.54296875" bestFit="1" customWidth="1"/>
    <col min="11" max="11" width="15" bestFit="1" customWidth="1"/>
    <col min="12" max="12" width="13.36328125" bestFit="1" customWidth="1"/>
    <col min="13" max="13" width="28.36328125" bestFit="1" customWidth="1"/>
    <col min="14" max="14" width="29.1796875" bestFit="1" customWidth="1"/>
    <col min="15" max="15" width="16.08984375" bestFit="1" customWidth="1"/>
    <col min="16" max="16" width="27.08984375" bestFit="1" customWidth="1"/>
    <col min="17" max="17" width="28" bestFit="1" customWidth="1"/>
    <col min="18" max="18" width="29.1796875" bestFit="1" customWidth="1"/>
    <col min="19" max="19" width="28.36328125" bestFit="1" customWidth="1"/>
    <col min="20" max="20" width="26.1796875" bestFit="1" customWidth="1"/>
    <col min="21" max="21" width="29.90625" bestFit="1" customWidth="1"/>
    <col min="22" max="22" width="31.90625" bestFit="1" customWidth="1"/>
    <col min="23" max="23" width="32.089843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4" priority="3">
      <formula>MOD(ROW(),2)=0</formula>
    </cfRule>
  </conditionalFormatting>
  <conditionalFormatting sqref="H2">
    <cfRule type="expression" dxfId="3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Gabriel Solonynka Hoffmann</cp:lastModifiedBy>
  <cp:lastPrinted>2022-03-22T10:33:10Z</cp:lastPrinted>
  <dcterms:created xsi:type="dcterms:W3CDTF">2020-06-29T21:30:31Z</dcterms:created>
  <dcterms:modified xsi:type="dcterms:W3CDTF">2023-11-05T22:50:27Z</dcterms:modified>
</cp:coreProperties>
</file>