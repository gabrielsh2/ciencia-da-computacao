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gabriel.hoffmann\workspace\unisinos\Simulação e Modelagem de Sistemas\M3\Consultorio Medico\"/>
    </mc:Choice>
  </mc:AlternateContent>
  <xr:revisionPtr revIDLastSave="0" documentId="13_ncr:1_{1CA5B392-0037-4667-93CE-0B40B4B19048}" xr6:coauthVersionLast="47" xr6:coauthVersionMax="47" xr10:uidLastSave="{00000000-0000-0000-0000-000000000000}"/>
  <bookViews>
    <workbookView xWindow="-110" yWindow="-110" windowWidth="19420" windowHeight="10420" tabRatio="790" firstSheet="1" activeTab="1" xr2:uid="{12F16E13-A52E-4BEC-B749-CDB403EAFF41}"/>
  </bookViews>
  <sheets>
    <sheet name="ProjectInformation" sheetId="16" r:id="rId1"/>
    <sheet name="AcrossReplicationsSummary" sheetId="22" r:id="rId2"/>
    <sheet name="DiscreteTimeStatsByRep" sheetId="17" r:id="rId3"/>
    <sheet name="ContinuousTimeStatsByRep" sheetId="18" r:id="rId4"/>
    <sheet name="CounterStatsByRep" sheetId="19" r:id="rId5"/>
    <sheet name="OutputStatsByRep" sheetId="20" r:id="rId6"/>
    <sheet name="FrequencyStatsByRep" sheetId="23" r:id="rId7"/>
  </sheets>
  <definedNames>
    <definedName name="ContinuousTimeStatsPivot">#REF!</definedName>
    <definedName name="CounterStatsPivot">#REF!</definedName>
    <definedName name="DiscreteTimeStatsPivot">#REF!</definedName>
    <definedName name="ExternalData_1" localSheetId="3" hidden="1">ContinuousTimeStatsByRep!$A$1:$L$6</definedName>
    <definedName name="ExternalData_1" localSheetId="4" hidden="1">CounterStatsByRep!$A$1:$G$2</definedName>
    <definedName name="ExternalData_1" localSheetId="2" hidden="1">DiscreteTimeStatsByRep!$A$1:$K$8</definedName>
    <definedName name="ExternalData_1" localSheetId="6" hidden="1">FrequencyStatsByRep!$A$1:$K$2</definedName>
    <definedName name="ExternalData_1" localSheetId="5" hidden="1">OutputStatsByRep!$A$1:$H$6</definedName>
    <definedName name="ExternalData_1" localSheetId="0" hidden="1">ProjectInformation!$A$1:$F$2</definedName>
    <definedName name="FrequencyStatsPivot">#REF!</definedName>
    <definedName name="OutputStatsPivot">#REF!</definedName>
  </definedNames>
  <calcPr calcId="191029"/>
  <pivotCaches>
    <pivotCache cacheId="40" r:id="rId8"/>
    <pivotCache cacheId="46" r:id="rId9"/>
    <pivotCache cacheId="52" r:id="rId10"/>
    <pivotCache cacheId="58" r:id="rId11"/>
    <pivotCache cacheId="64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" i="20" l="1"/>
  <c r="I3" i="20"/>
  <c r="I4" i="20"/>
  <c r="L4" i="20" s="1" a="1"/>
  <c r="L4" i="20" s="1"/>
  <c r="I5" i="20"/>
  <c r="I6" i="20"/>
  <c r="J2" i="20" a="1"/>
  <c r="J2" i="20" s="1"/>
  <c r="J3" i="20" a="1"/>
  <c r="J3" i="20"/>
  <c r="J4" i="20" a="1"/>
  <c r="J4" i="20" s="1"/>
  <c r="J5" i="20" a="1"/>
  <c r="J5" i="20" s="1"/>
  <c r="J6" i="20" a="1"/>
  <c r="J6" i="20" s="1"/>
  <c r="M2" i="20" a="1"/>
  <c r="M2" i="20" s="1"/>
  <c r="M3" i="20" a="1"/>
  <c r="M3" i="20"/>
  <c r="M4" i="20" a="1"/>
  <c r="M4" i="20" s="1"/>
  <c r="M5" i="20" a="1"/>
  <c r="M5" i="20" s="1"/>
  <c r="M6" i="20" a="1"/>
  <c r="M6" i="20" s="1"/>
  <c r="M2" i="18"/>
  <c r="P4" i="18" s="1" a="1"/>
  <c r="P4" i="18" s="1"/>
  <c r="M3" i="18"/>
  <c r="O6" i="18" s="1" a="1"/>
  <c r="O6" i="18" s="1"/>
  <c r="M4" i="18"/>
  <c r="M5" i="18"/>
  <c r="M6" i="18"/>
  <c r="N2" i="18" a="1"/>
  <c r="N2" i="18" s="1"/>
  <c r="U2" i="18" s="1"/>
  <c r="N3" i="18" a="1"/>
  <c r="N3" i="18" s="1"/>
  <c r="N4" i="18" a="1"/>
  <c r="N4" i="18" s="1"/>
  <c r="N5" i="18" a="1"/>
  <c r="N5" i="18" s="1"/>
  <c r="N6" i="18" a="1"/>
  <c r="N6" i="18" s="1"/>
  <c r="O4" i="18" a="1"/>
  <c r="O4" i="18" s="1"/>
  <c r="P2" i="18" a="1"/>
  <c r="P2" i="18" s="1"/>
  <c r="P5" i="18" a="1"/>
  <c r="P5" i="18" s="1"/>
  <c r="Q2" i="18" a="1"/>
  <c r="Q2" i="18" s="1"/>
  <c r="Q3" i="18" a="1"/>
  <c r="Q3" i="18"/>
  <c r="Q4" i="18" a="1"/>
  <c r="Q4" i="18" s="1"/>
  <c r="Q5" i="18" a="1"/>
  <c r="Q5" i="18" s="1"/>
  <c r="Q6" i="18" a="1"/>
  <c r="Q6" i="18" s="1"/>
  <c r="S3" i="18" a="1"/>
  <c r="S3" i="18" s="1"/>
  <c r="S4" i="18" a="1"/>
  <c r="S4" i="18" s="1"/>
  <c r="S6" i="18" a="1"/>
  <c r="S6" i="18" s="1"/>
  <c r="T3" i="18" a="1"/>
  <c r="T3" i="18" s="1"/>
  <c r="L2" i="17"/>
  <c r="L3" i="17"/>
  <c r="L4" i="17"/>
  <c r="L5" i="17"/>
  <c r="L6" i="17"/>
  <c r="L7" i="17"/>
  <c r="L8" i="17"/>
  <c r="M2" i="17" a="1"/>
  <c r="M2" i="17" s="1"/>
  <c r="M3" i="17" a="1"/>
  <c r="M3" i="17" s="1"/>
  <c r="M4" i="17" a="1"/>
  <c r="M4" i="17" s="1"/>
  <c r="M5" i="17" a="1"/>
  <c r="M5" i="17" s="1"/>
  <c r="W5" i="17" s="1"/>
  <c r="M6" i="17" a="1"/>
  <c r="M6" i="17" s="1"/>
  <c r="M7" i="17" a="1"/>
  <c r="M7" i="17" s="1"/>
  <c r="M8" i="17" a="1"/>
  <c r="M8" i="17" s="1"/>
  <c r="P2" i="17" a="1"/>
  <c r="P2" i="17" s="1"/>
  <c r="P3" i="17" a="1"/>
  <c r="P3" i="17" s="1"/>
  <c r="P4" i="17" a="1"/>
  <c r="P4" i="17" s="1"/>
  <c r="P5" i="17" a="1"/>
  <c r="P5" i="17" s="1"/>
  <c r="P6" i="17" a="1"/>
  <c r="P6" i="17" s="1"/>
  <c r="P7" i="17" a="1"/>
  <c r="P7" i="17" s="1"/>
  <c r="P8" i="17" a="1"/>
  <c r="P8" i="17" s="1"/>
  <c r="G2" i="16"/>
  <c r="O2" i="20" l="1" a="1"/>
  <c r="O2" i="20" s="1"/>
  <c r="P5" i="20" a="1"/>
  <c r="P5" i="20" s="1"/>
  <c r="K4" i="20" a="1"/>
  <c r="K4" i="20" s="1"/>
  <c r="L3" i="20" a="1"/>
  <c r="L3" i="20" s="1"/>
  <c r="N3" i="20" s="1"/>
  <c r="O5" i="20" a="1"/>
  <c r="O5" i="20" s="1"/>
  <c r="P2" i="20" a="1"/>
  <c r="P2" i="20" s="1"/>
  <c r="N4" i="20"/>
  <c r="L6" i="20" a="1"/>
  <c r="L6" i="20" s="1"/>
  <c r="N6" i="20" s="1"/>
  <c r="P4" i="20" a="1"/>
  <c r="P4" i="20" s="1"/>
  <c r="L5" i="20" a="1"/>
  <c r="L5" i="20" s="1"/>
  <c r="N5" i="20" s="1"/>
  <c r="K6" i="20" a="1"/>
  <c r="K6" i="20" s="1"/>
  <c r="K2" i="20" a="1"/>
  <c r="K2" i="20" s="1"/>
  <c r="O4" i="20" a="1"/>
  <c r="O4" i="20" s="1"/>
  <c r="K5" i="20" a="1"/>
  <c r="K5" i="20" s="1"/>
  <c r="K3" i="20" a="1"/>
  <c r="K3" i="20" s="1"/>
  <c r="P3" i="20" a="1"/>
  <c r="P3" i="20" s="1"/>
  <c r="P6" i="20" a="1"/>
  <c r="P6" i="20" s="1"/>
  <c r="O3" i="20" a="1"/>
  <c r="O3" i="20" s="1"/>
  <c r="O6" i="20" a="1"/>
  <c r="O6" i="20" s="1"/>
  <c r="L2" i="20" a="1"/>
  <c r="L2" i="20" s="1"/>
  <c r="N2" i="20" s="1"/>
  <c r="T4" i="18" a="1"/>
  <c r="T4" i="18" s="1"/>
  <c r="P6" i="18" a="1"/>
  <c r="P6" i="18" s="1"/>
  <c r="R6" i="18" s="1"/>
  <c r="O5" i="18" a="1"/>
  <c r="O5" i="18" s="1"/>
  <c r="O2" i="18" a="1"/>
  <c r="O2" i="18" s="1"/>
  <c r="S5" i="18" a="1"/>
  <c r="S5" i="18" s="1"/>
  <c r="T2" i="18" a="1"/>
  <c r="T2" i="18" s="1"/>
  <c r="T6" i="18" a="1"/>
  <c r="T6" i="18" s="1"/>
  <c r="P3" i="18" a="1"/>
  <c r="P3" i="18" s="1"/>
  <c r="T5" i="18" a="1"/>
  <c r="T5" i="18" s="1"/>
  <c r="R3" i="18"/>
  <c r="U3" i="18"/>
  <c r="R2" i="18"/>
  <c r="U4" i="18"/>
  <c r="R4" i="18"/>
  <c r="R5" i="18"/>
  <c r="U5" i="18"/>
  <c r="U6" i="18"/>
  <c r="S2" i="18" a="1"/>
  <c r="S2" i="18" s="1"/>
  <c r="O3" i="18" a="1"/>
  <c r="O3" i="18" s="1"/>
  <c r="V6" i="17" a="1"/>
  <c r="V6" i="17" s="1"/>
  <c r="R3" i="17" a="1"/>
  <c r="R3" i="17" s="1"/>
  <c r="O8" i="17" a="1"/>
  <c r="O8" i="17" s="1"/>
  <c r="O4" i="17" a="1"/>
  <c r="O4" i="17" s="1"/>
  <c r="X8" i="17" a="1"/>
  <c r="X8" i="17" s="1"/>
  <c r="Y8" i="17" s="1"/>
  <c r="Q8" i="17" s="1"/>
  <c r="U5" i="17" a="1"/>
  <c r="U5" i="17" s="1"/>
  <c r="S4" i="17" a="1"/>
  <c r="S4" i="17" s="1"/>
  <c r="X4" i="17" a="1"/>
  <c r="X4" i="17" s="1"/>
  <c r="Y4" i="17" s="1"/>
  <c r="Q4" i="17" s="1"/>
  <c r="V2" i="17" a="1"/>
  <c r="V2" i="17" s="1"/>
  <c r="N3" i="17" a="1"/>
  <c r="N3" i="17" s="1"/>
  <c r="T8" i="17" a="1"/>
  <c r="T8" i="17" s="1"/>
  <c r="N7" i="17" a="1"/>
  <c r="N7" i="17" s="1"/>
  <c r="W3" i="17"/>
  <c r="W2" i="17"/>
  <c r="W4" i="17"/>
  <c r="W8" i="17"/>
  <c r="W7" i="17"/>
  <c r="W6" i="17"/>
  <c r="R6" i="17" a="1"/>
  <c r="R6" i="17" s="1"/>
  <c r="X7" i="17" a="1"/>
  <c r="X7" i="17" s="1"/>
  <c r="Y7" i="17" s="1"/>
  <c r="X3" i="17" a="1"/>
  <c r="X3" i="17" s="1"/>
  <c r="Y3" i="17" s="1"/>
  <c r="O7" i="17" a="1"/>
  <c r="O7" i="17" s="1"/>
  <c r="O3" i="17" a="1"/>
  <c r="O3" i="17" s="1"/>
  <c r="N6" i="17" a="1"/>
  <c r="N6" i="17" s="1"/>
  <c r="N2" i="17" a="1"/>
  <c r="N2" i="17" s="1"/>
  <c r="V5" i="17" a="1"/>
  <c r="V5" i="17" s="1"/>
  <c r="U8" i="17" a="1"/>
  <c r="U8" i="17" s="1"/>
  <c r="U4" i="17" a="1"/>
  <c r="U4" i="17" s="1"/>
  <c r="T7" i="17" a="1"/>
  <c r="T7" i="17" s="1"/>
  <c r="T3" i="17" a="1"/>
  <c r="T3" i="17" s="1"/>
  <c r="S6" i="17" a="1"/>
  <c r="S6" i="17" s="1"/>
  <c r="S2" i="17" a="1"/>
  <c r="S2" i="17" s="1"/>
  <c r="R5" i="17" a="1"/>
  <c r="R5" i="17" s="1"/>
  <c r="T4" i="17" a="1"/>
  <c r="T4" i="17" s="1"/>
  <c r="X6" i="17" a="1"/>
  <c r="X6" i="17" s="1"/>
  <c r="Y6" i="17" s="1"/>
  <c r="Q6" i="17" s="1"/>
  <c r="X2" i="17" a="1"/>
  <c r="X2" i="17" s="1"/>
  <c r="Y2" i="17" s="1"/>
  <c r="O6" i="17" a="1"/>
  <c r="O6" i="17" s="1"/>
  <c r="O2" i="17" a="1"/>
  <c r="O2" i="17" s="1"/>
  <c r="N5" i="17" a="1"/>
  <c r="N5" i="17" s="1"/>
  <c r="R2" i="17" a="1"/>
  <c r="R2" i="17" s="1"/>
  <c r="V8" i="17" a="1"/>
  <c r="V8" i="17" s="1"/>
  <c r="V4" i="17" a="1"/>
  <c r="V4" i="17" s="1"/>
  <c r="U7" i="17" a="1"/>
  <c r="U7" i="17" s="1"/>
  <c r="U3" i="17" a="1"/>
  <c r="U3" i="17" s="1"/>
  <c r="T6" i="17" a="1"/>
  <c r="T6" i="17" s="1"/>
  <c r="T2" i="17" a="1"/>
  <c r="T2" i="17" s="1"/>
  <c r="S5" i="17" a="1"/>
  <c r="S5" i="17" s="1"/>
  <c r="R8" i="17" a="1"/>
  <c r="R8" i="17" s="1"/>
  <c r="R4" i="17" a="1"/>
  <c r="R4" i="17" s="1"/>
  <c r="S3" i="17" a="1"/>
  <c r="S3" i="17" s="1"/>
  <c r="X5" i="17" a="1"/>
  <c r="X5" i="17" s="1"/>
  <c r="Y5" i="17" s="1"/>
  <c r="O5" i="17" a="1"/>
  <c r="O5" i="17" s="1"/>
  <c r="N8" i="17" a="1"/>
  <c r="N8" i="17" s="1"/>
  <c r="N4" i="17" a="1"/>
  <c r="N4" i="17" s="1"/>
  <c r="S7" i="17" a="1"/>
  <c r="S7" i="17" s="1"/>
  <c r="V7" i="17" a="1"/>
  <c r="V7" i="17" s="1"/>
  <c r="V3" i="17" a="1"/>
  <c r="V3" i="17" s="1"/>
  <c r="U6" i="17" a="1"/>
  <c r="U6" i="17" s="1"/>
  <c r="U2" i="17" a="1"/>
  <c r="U2" i="17" s="1"/>
  <c r="T5" i="17" a="1"/>
  <c r="T5" i="17" s="1"/>
  <c r="S8" i="17" a="1"/>
  <c r="S8" i="17" s="1"/>
  <c r="R7" i="17" a="1"/>
  <c r="R7" i="17" s="1"/>
  <c r="Q7" i="17" l="1"/>
  <c r="Q2" i="17"/>
  <c r="Q5" i="17"/>
  <c r="Q3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2DB19BF-D1AA-4393-8671-76A8F9E0F6C5}" name="Connection" type="1" refreshedVersion="8" saveData="1">
    <dbPr connection="Driver={SQLite3 ODBC Driver};Database=c:\users\gabriel.hoffmann\workspace\unisinos\simulação e modelagem de sistemas\m3\consultorio medico\consultorio medico.db;StepAPI=;SyncPragma=;NoTXN=;Timeout=;ShortNames=;LongNames=;NoCreat=;NoWCHAR=;FKSupport=;JournalMode=;OEMCP=;LoadExt=;BigInt=;JDConv=;" command="select * from FrequencyStatsQuery"/>
  </connection>
  <connection id="2" xr16:uid="{0D0487BA-A295-4B77-80F6-D5BE4F81B0B2}" name="Connection1" type="1" refreshedVersion="8" saveData="1">
    <dbPr connection="Driver={SQLite3 ODBC Driver};Database=c:\users\gabriel.hoffmann\workspace\unisinos\simulação e modelagem de sistemas\m3\consultorio medico\consultorio medico.db;StepAPI=;SyncPragma=;NoTXN=;Timeout=;ShortNames=;LongNames=;NoCreat=;NoWCHAR=;FKSupport=;JournalMode=;OEMCP=;LoadExt=;BigInt=;JDConv=;" command="select * from ProjectQuery"/>
  </connection>
  <connection id="3" xr16:uid="{3D0C4819-CB44-4E78-BCA2-42901CC6F509}" name="Connection2" type="1" refreshedVersion="8" saveData="1">
    <dbPr connection="Driver={SQLite3 ODBC Driver};Database=c:\users\gabriel.hoffmann\workspace\unisinos\simulação e modelagem de sistemas\m3\consultorio medico\consultorio medico.db;StepAPI=;SyncPragma=;NoTXN=;Timeout=;ShortNames=;LongNames=;NoCreat=;NoWCHAR=;FKSupport=;JournalMode=;OEMCP=;LoadExt=;BigInt=;JDConv=;" command="select * from DiscreteTimeStatsQuery"/>
  </connection>
  <connection id="4" xr16:uid="{F47580D8-08D6-4B69-8DE7-1B45C3195479}" name="Connection3" type="1" refreshedVersion="8" saveData="1">
    <dbPr connection="Driver={SQLite3 ODBC Driver};Database=c:\users\gabriel.hoffmann\workspace\unisinos\simulação e modelagem de sistemas\m3\consultorio medico\consultorio medico.db;StepAPI=;SyncPragma=;NoTXN=;Timeout=;ShortNames=;LongNames=;NoCreat=;NoWCHAR=;FKSupport=;JournalMode=;OEMCP=;LoadExt=;BigInt=;JDConv=;" command="select * from ContinuousTimeStatsQuery"/>
  </connection>
  <connection id="5" xr16:uid="{FFC361A3-242A-482C-9819-1F93D48A8A8E}" name="Connection4" type="1" refreshedVersion="8" saveData="1">
    <dbPr connection="Driver={SQLite3 ODBC Driver};Database=c:\users\gabriel.hoffmann\workspace\unisinos\simulação e modelagem de sistemas\m3\consultorio medico\consultorio medico.db;StepAPI=;SyncPragma=;NoTXN=;Timeout=;ShortNames=;LongNames=;NoCreat=;NoWCHAR=;FKSupport=;JournalMode=;OEMCP=;LoadExt=;BigInt=;JDConv=;" command="select * from CounterStatsQuery"/>
  </connection>
  <connection id="6" xr16:uid="{25109672-E607-4045-8EEA-6BAAEEA2B450}" name="Connection5" type="1" refreshedVersion="8" saveData="1">
    <dbPr connection="Driver={SQLite3 ODBC Driver};Database=c:\users\gabriel.hoffmann\workspace\unisinos\simulação e modelagem de sistemas\m3\consultorio medico\consultorio medico.db;StepAPI=;SyncPragma=;NoTXN=;Timeout=;ShortNames=;LongNames=;NoCreat=;NoWCHAR=;FKSupport=;JournalMode=;OEMCP=;LoadExt=;BigInt=;JDConv=;" command="select * from OutputStatsQuery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<sst xmlns="http://schemas.openxmlformats.org/spreadsheetml/2006/main" count="297" uniqueCount="99">
  <si>
    <t>Replication</t>
  </si>
  <si>
    <t>RecordedValue</t>
  </si>
  <si>
    <t>Average</t>
  </si>
  <si>
    <t>Minimum</t>
  </si>
  <si>
    <t>Maximum</t>
  </si>
  <si>
    <t>NumberObservations</t>
  </si>
  <si>
    <t>StandardPercentage</t>
  </si>
  <si>
    <t>AverageTimeInCategory</t>
  </si>
  <si>
    <t>FrequencyCategoryCount</t>
  </si>
  <si>
    <t>LastRecordedValue</t>
  </si>
  <si>
    <t>Discrete-Time Statistics (Tally)</t>
  </si>
  <si>
    <t>Frequency Statistics</t>
  </si>
  <si>
    <t>Continuous-Time Statistics (Time Persistent)</t>
  </si>
  <si>
    <t>Output Statistics (Reports End of Replication Value)</t>
  </si>
  <si>
    <t>Min Replication Value</t>
  </si>
  <si>
    <t>Max Replication Value</t>
  </si>
  <si>
    <t>Min Replication Average</t>
  </si>
  <si>
    <t>Max Replication Average</t>
  </si>
  <si>
    <t>Counter Statistics (Reports End of Replication Value)</t>
  </si>
  <si>
    <t>Overall Min Value</t>
  </si>
  <si>
    <t>Overall Max Value</t>
  </si>
  <si>
    <t>Name</t>
  </si>
  <si>
    <t>Source</t>
  </si>
  <si>
    <t>Type</t>
  </si>
  <si>
    <t>GroupByKey</t>
  </si>
  <si>
    <t>ModelFile</t>
  </si>
  <si>
    <t>ModelRunDate</t>
  </si>
  <si>
    <t>StandardDeviation</t>
  </si>
  <si>
    <t>Half-Width</t>
  </si>
  <si>
    <t>AverageStandardPercentage</t>
  </si>
  <si>
    <t>AverageOfAverage</t>
  </si>
  <si>
    <t>StDevOfAverage</t>
  </si>
  <si>
    <t>MinimumAverage</t>
  </si>
  <si>
    <t>MaximumAverage</t>
  </si>
  <si>
    <t>AverageRestrictedPercentage</t>
  </si>
  <si>
    <t>ConfidenceInterval</t>
  </si>
  <si>
    <t>OverallMinimum</t>
  </si>
  <si>
    <t>OverallMaximum</t>
  </si>
  <si>
    <t>AverageNumberObservations</t>
  </si>
  <si>
    <t>TimeUnits</t>
  </si>
  <si>
    <t>NumberOfReplications</t>
  </si>
  <si>
    <t>Project Name</t>
  </si>
  <si>
    <t>Project RunDateTime</t>
  </si>
  <si>
    <t>BatchMeansHalfWidth</t>
  </si>
  <si>
    <t>HalfWidth</t>
  </si>
  <si>
    <t>RestrictedPercentage</t>
  </si>
  <si>
    <t>SummaryHalfWidth</t>
  </si>
  <si>
    <t>SummaryStandardPercentage</t>
  </si>
  <si>
    <t>SummaryRestrictedPercentage</t>
  </si>
  <si>
    <t>Average Of Replication Averages</t>
  </si>
  <si>
    <t>StDev Of Replication Averages</t>
  </si>
  <si>
    <t>Avg Observations Per Replication</t>
  </si>
  <si>
    <t>Minimum Replication Average</t>
  </si>
  <si>
    <t>Maximum Replication Average</t>
  </si>
  <si>
    <t>Average Across Replications</t>
  </si>
  <si>
    <t>Overall StDev Across Replications</t>
  </si>
  <si>
    <t>AvgStatCollectionLength</t>
  </si>
  <si>
    <t>Category</t>
  </si>
  <si>
    <t>Average Standard Percentage</t>
  </si>
  <si>
    <t>Average Restricted Percentage</t>
  </si>
  <si>
    <t>RepsRequested</t>
  </si>
  <si>
    <t>RepsWithStatObserved</t>
  </si>
  <si>
    <t>Observed=Requested</t>
  </si>
  <si>
    <t xml:space="preserve">Observed=Requested </t>
  </si>
  <si>
    <t>ProjectName</t>
  </si>
  <si>
    <t>IsPeriodic</t>
  </si>
  <si>
    <t>Unnamed Project</t>
  </si>
  <si>
    <t>IncludeOption</t>
  </si>
  <si>
    <t>C:\Users\gabriel.hoffmann\workspace\unisinos\Simulação e Modelagem de Sistemas\M3\Consultorio Medico\Consultorio Medico.p</t>
  </si>
  <si>
    <t>2023-11-05 19:58:52</t>
  </si>
  <si>
    <t>Paciente</t>
  </si>
  <si>
    <t>NVA Time</t>
  </si>
  <si>
    <t>Entity</t>
  </si>
  <si>
    <t>Other Time</t>
  </si>
  <si>
    <t>Total Time</t>
  </si>
  <si>
    <t>Transfer Time</t>
  </si>
  <si>
    <t>VA Time</t>
  </si>
  <si>
    <t>Wait Time</t>
  </si>
  <si>
    <t>Processo atendimento medico.Queue</t>
  </si>
  <si>
    <t>Waiting Time</t>
  </si>
  <si>
    <t>Queue</t>
  </si>
  <si>
    <t>Medico</t>
  </si>
  <si>
    <t>Instantaneous Utilization</t>
  </si>
  <si>
    <t>Resource</t>
  </si>
  <si>
    <t>Number Busy</t>
  </si>
  <si>
    <t>Number Scheduled</t>
  </si>
  <si>
    <t>WIP</t>
  </si>
  <si>
    <t>Number Waiting</t>
  </si>
  <si>
    <t>Medico.NumberSeized</t>
  </si>
  <si>
    <t>Total Number Seized</t>
  </si>
  <si>
    <t>Medico.ScheduledUtilization</t>
  </si>
  <si>
    <t>Scheduled Utilization</t>
  </si>
  <si>
    <t>Paciente.NumberIn</t>
  </si>
  <si>
    <t>Number In</t>
  </si>
  <si>
    <t>Paciente.NumberOut</t>
  </si>
  <si>
    <t>Number Out</t>
  </si>
  <si>
    <t>System.NumberOut</t>
  </si>
  <si>
    <t>System</t>
  </si>
  <si>
    <t>(vazio)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</si>
</sst>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0" borderId="0" xfId="0" pivotButton="1"/>
    <xf numFmtId="20" fontId="0" fillId="0" borderId="0" xfId="0" applyNumberFormat="1"/>
    <xf numFmtId="10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71">
    <dxf>
      <numFmt numFmtId="164" formatCode="[=400000000000000000000]&quot;Null&quot;;;"/>
    </dxf>
    <dxf>
      <fill>
        <patternFill>
          <bgColor theme="6"/>
        </patternFill>
      </fill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165" formatCode="[=400000000000000000000]&quot;NoCalc&quot;;;"/>
    </dxf>
    <dxf>
      <numFmt numFmtId="166" formatCode="[=300000000000000000000]&quot;Correlated&quot;;;"/>
    </dxf>
    <dxf>
      <numFmt numFmtId="167" formatCode="[=200000000000000000000]&quot;Insufficient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numFmt numFmtId="165" formatCode="[=400000000000000000000]&quot;NoCalc&quot;;;"/>
    </dxf>
    <dxf>
      <numFmt numFmtId="167" formatCode="[=200000000000000000000]&quot;Insufficient&quot;;;"/>
    </dxf>
    <dxf>
      <numFmt numFmtId="166" formatCode="[=300000000000000000000]&quot;Correlated&quot;;;"/>
    </dxf>
    <dxf>
      <numFmt numFmtId="168" formatCode="[=1]&quot;Yes&quot;;;"/>
    </dxf>
    <dxf>
      <numFmt numFmtId="168" formatCode="[=1]&quot;Yes&quot;;;"/>
    </dxf>
    <dxf>
      <numFmt numFmtId="169" formatCode="[=0]&quot;No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numFmt numFmtId="170" formatCode="[&gt;100]&quot;Null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8" formatCode="[=1]&quot;Yes&quot;;;"/>
      <border>
        <left/>
        <right/>
        <top/>
        <bottom/>
      </border>
    </dxf>
    <dxf>
      <numFmt numFmtId="169" formatCode="[=0]&quot;No&quot;;;"/>
      <fill>
        <patternFill patternType="solid">
          <fgColor auto="1"/>
          <bgColor theme="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66" formatCode="[=300000000000000000000]&quot;Correlated&quot;;;"/>
    </dxf>
    <dxf>
      <numFmt numFmtId="166" formatCode="[=300000000000000000000]&quot;Correlated&quot;;;"/>
    </dxf>
    <dxf>
      <numFmt numFmtId="167" formatCode="[=200000000000000000000]&quot;Insufficient&quot;;;"/>
    </dxf>
    <dxf>
      <numFmt numFmtId="167" formatCode="[=200000000000000000000]&quot;Insufficient&quot;;;"/>
    </dxf>
    <dxf>
      <numFmt numFmtId="171" formatCode="[=0]&quot;Days&quot;;;"/>
    </dxf>
    <dxf>
      <numFmt numFmtId="172" formatCode="[=1]&quot;Hours&quot;;;"/>
    </dxf>
    <dxf>
      <numFmt numFmtId="173" formatCode="[=2]&quot;Minutes&quot;;;"/>
    </dxf>
    <dxf>
      <numFmt numFmtId="174" formatCode="[=3]&quot;Seconds&quot;;;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</dxfs>
  <tableStyles count="0" defaultTableStyle="TableStyleMedium2" defaultPivotStyle="PivotStyleLight16"/>
  <colors>
    <mruColors>
      <color rgb="FF00AEEF"/>
      <color rgb="FFA7E8FF"/>
      <color rgb="FF5BD4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3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onnections" Target="connection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briel Solonynka Hoffmann" refreshedDate="45235.833343287035" createdVersion="7" refreshedVersion="8" minRefreshableVersion="3" recordCount="1" xr:uid="{DF450723-E9F2-474F-BBF6-B62098E6DD50}">
  <cacheSource type="worksheet">
    <worksheetSource name="CountersTable"/>
  </cacheSource>
  <cacheFields count="15">
    <cacheField name="ProjectName" numFmtId="0">
      <sharedItems containsNonDate="0" containsBlank="1" count="3">
        <m/>
        <s v="Assembly Line" u="1"/>
        <s v="All Statistic Types 1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4">
        <m/>
        <s v="Counter 2" u="1"/>
        <s v="Counter 1" u="1"/>
        <s v="Count Products" u="1"/>
      </sharedItems>
    </cacheField>
    <cacheField name="Type" numFmtId="0">
      <sharedItems containsNonDate="0" containsBlank="1" count="2">
        <m/>
        <s v="Count" u="1"/>
      </sharedItems>
    </cacheField>
    <cacheField name="Source" numFmtId="0">
      <sharedItems containsNonDate="0" containsBlank="1" count="2">
        <m/>
        <s v="User Specified" u="1"/>
      </sharedItems>
    </cacheField>
    <cacheField name="RecordedValue" numFmtId="0">
      <sharedItems containsNonDate="0" containsString="0" containsBlank="1"/>
    </cacheField>
    <cacheField name="GroupByKey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" numFmtId="0">
      <sharedItems containsNonDate="0" containsString="0" containsBlank="1"/>
    </cacheField>
    <cacheField name="StandardDeviation" numFmtId="0">
      <sharedItems containsNonDate="0" containsString="0" containsBlank="1"/>
    </cacheField>
    <cacheField name="ConfidenceInterval" numFmtId="0">
      <sharedItems containsNonDate="0" containsString="0" containsBlank="1"/>
    </cacheField>
    <cacheField name="HalfWidth" numFmtId="0">
      <sharedItems containsNonDate="0" containsString="0" containsBlank="1"/>
    </cacheField>
    <cacheField name="Minimum" numFmtId="0">
      <sharedItems containsNonDate="0" containsString="0" containsBlank="1"/>
    </cacheField>
    <cacheField name="Maximum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briel Solonynka Hoffmann" refreshedDate="45235.833343402781" createdVersion="7" refreshedVersion="8" minRefreshableVersion="3" recordCount="5" xr:uid="{98BDAE34-4484-421D-B96E-804CE77A1811}">
  <cacheSource type="worksheet">
    <worksheetSource name="ContinuousStatsTable"/>
  </cacheSource>
  <cacheFields count="21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127">
        <s v="Medico"/>
        <s v="Paciente"/>
        <s v="Processo atendimento medico.Queue"/>
        <m u="1"/>
        <s v="Manual.Queue" u="1"/>
        <s v="Load Mill 7.Queue" u="1"/>
        <s v="DPM SS Bin Blender 4.Queue" u="1"/>
        <s v="Process Packaging.Queue" u="1"/>
        <s v="r Prep1" u="1"/>
        <s v="Operator 1" u="1"/>
        <s v="Processing Post 1.Queue" u="1"/>
        <s v="Seize shared resource.Queue" u="1"/>
        <s v="Weighroom 7.Queue" u="1"/>
        <s v="e_batch" u="1"/>
        <s v="r Prep2" u="1"/>
        <s v="Servo.Queue" u="1"/>
        <s v="r_largepinmill" u="1"/>
        <s v="Load Mill 11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Operator 2" u="1"/>
        <s v="Load Mill.Queue" u="1"/>
        <s v="Peptone LS V Blender 3.Queue" u="1"/>
        <s v="Machine" u="1"/>
        <s v="Match 2.Queue1" u="1"/>
        <s v="DPM SS Bin Blender 2.Queue" u="1"/>
        <s v="Weighroom 8.Queue" u="1"/>
        <s v="Packaging Machine" u="1"/>
        <s v="Process Part Type 1 on Prep1.Queue" u="1"/>
        <s v="Operator 3" u="1"/>
        <s v="Match 3.Queue1" u="1"/>
        <s v="Peptone LS V Blender 6.Queue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r_weighroom207" u="1"/>
        <s v="Peca" u="1"/>
        <s v="Operator 4" u="1"/>
        <s v="Load Mill 13.Queue" u="1"/>
        <s v="CIP V Blender 3.Queue" u="1"/>
        <s v="Match 2.Queue2" u="1"/>
        <s v="Match 5.Queue1" u="1"/>
        <s v="Processing Post 4.Queue" u="1"/>
        <s v="r_smallpinmill" u="1"/>
        <s v="Seize Pin Mill Weigh Room.Queue" u="1"/>
        <s v="CIP Large Pin.Queue" u="1"/>
        <s v="r_binblender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ub Level" u="1"/>
        <s v="ABFL.Queue" u="1"/>
        <s v="Match 4.Queue2" u="1"/>
        <s v="Match 7.Queue1" u="1"/>
        <s v="r_weighroom208" u="1"/>
        <s v="Load Mill 2.Queue" u="1"/>
        <s v="CIP V Blender 8.Queue" u="1"/>
        <s v="r_largefitzmill" u="1"/>
        <s v="Peptone LS V Blender.Queue" u="1"/>
        <s v="r_weighroom135" u="1"/>
        <s v="Seize 40.Queue" u="1"/>
        <s v="Seize LS V Blender 8.Queue" u="1"/>
        <s v="Match 13.Queue2" u="1"/>
        <s v="Load Mill 10.Queue" u="1"/>
        <s v="Match 5.Queue2" u="1"/>
        <s v="Match 8.Queue1" u="1"/>
        <s v="Weighroom 2.Queue" u="1"/>
        <s v="r_CIP" u="1"/>
        <s v="Load Mill 15.Queue" u="1"/>
        <s v="Part Type 1" u="1"/>
        <s v="r Shared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r_weighroom203" u="1"/>
        <s v="Seize Fitz Mill Weigh Room.Queue" u="1"/>
        <s v="Match 7.Queue2" u="1"/>
        <s v="Weighroom 3.Queue" u="1"/>
        <s v="Part Type 2" u="1"/>
        <s v="Match 11.Queue1" u="1"/>
        <s v="CIP Large Fitz.Queue" u="1"/>
        <s v="Match 8.Queue2" u="1"/>
        <s v="Load Mill 4.Queue" u="1"/>
        <s v="Load Mill 12.Queue" u="1"/>
        <s v="r_smallfitzmill" u="1"/>
        <s v="Match 9.Queue2" u="1"/>
        <s v="Weighroom 4.Queue" u="1"/>
        <s v="Peptone LS Bin Blender 3.Queue" u="1"/>
        <s v="Peptone SS Bin Blender 3.Queue" u="1"/>
        <s v="r_weighroom204" u="1"/>
        <s v="Load Mill 5.Queue" u="1"/>
        <s v="Operator" u="1"/>
        <s v="Processing Post 2.Queue" u="1"/>
        <s v="Seize Operator.Queue" u="1"/>
        <s v="Weighroom 5.Queue" u="1"/>
        <s v="r_vblender" u="1"/>
        <s v="Match 11.Queue2" u="1"/>
        <s v="Peptone LS Bin Blender 2.Queue" u="1"/>
        <s v="Peptone SS Bin Blender 2.Queue" u="1"/>
        <s v="Load Mill 6.Queue" u="1"/>
        <s v="DPM SS Bin Blender.Queue" u="1"/>
        <s v="Process Part Type 2 on Prep2.Queue" u="1"/>
        <s v="Load Mill 14.Queue" u="1"/>
        <s v="r_operator" u="1"/>
        <s v="Weighroom.Queue" u="1"/>
        <s v="Weighroom 6.Queue" u="1"/>
        <s v="Entity 1" u="1"/>
        <s v="Resource 1" u="1"/>
      </sharedItems>
    </cacheField>
    <cacheField name="Type" numFmtId="0">
      <sharedItems containsBlank="1" count="7">
        <s v="Instantaneous Utilization"/>
        <s v="Number Busy"/>
        <s v="Number Scheduled"/>
        <s v="WIP"/>
        <s v="Number Waiting"/>
        <m u="1"/>
        <s v="Levels" u="1"/>
      </sharedItems>
    </cacheField>
    <cacheField name="Source" numFmtId="0">
      <sharedItems containsBlank="1" count="5">
        <s v="Resource"/>
        <s v="Entity"/>
        <s v="Queue"/>
        <m u="1"/>
        <s v="User Specified" u="1"/>
      </sharedItems>
    </cacheField>
    <cacheField name="Average" numFmtId="0">
      <sharedItems containsSemiMixedTypes="0" containsString="0" containsNumber="1" minValue="0.98952040175603595" maxValue="11.2683474061868"/>
    </cacheField>
    <cacheField name="BatchMeansHalfWidth" numFmtId="0">
      <sharedItems containsSemiMixedTypes="0" containsString="0" containsNumber="1" containsInteger="1" minValue="2E+20" maxValue="3E+20"/>
    </cacheField>
    <cacheField name="Minimum" numFmtId="0">
      <sharedItems containsSemiMixedTypes="0" containsString="0" containsNumber="1" containsInteger="1" minValue="0" maxValue="2"/>
    </cacheField>
    <cacheField name="Maximum" numFmtId="0">
      <sharedItems containsSemiMixedTypes="0" containsString="0" containsNumber="1" containsInteger="1" minValue="1" maxValue="26"/>
    </cacheField>
    <cacheField name="LastRecordedValue" numFmtId="0">
      <sharedItems containsSemiMixedTypes="0" containsString="0" containsNumber="1" containsInteger="1" minValue="1" maxValue="25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OfAverage" numFmtId="0">
      <sharedItems containsSemiMixedTypes="0" containsString="0" containsNumber="1" minValue="0.98952040175603595" maxValue="11.2683474061868"/>
    </cacheField>
    <cacheField name="StDevOfAverage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Average" numFmtId="0">
      <sharedItems containsSemiMixedTypes="0" containsString="0" containsNumber="1" minValue="0.98952040175603595" maxValue="11.2683474061868"/>
    </cacheField>
    <cacheField name="MaximumAverage" numFmtId="0">
      <sharedItems containsSemiMixedTypes="0" containsString="0" containsNumber="1" minValue="0.98952040175603595" maxValue="11.2683474061868"/>
    </cacheField>
    <cacheField name="SummaryHalfWidth" numFmtId="0">
      <sharedItems containsSemiMixedTypes="0" containsString="0" containsNumber="1" containsInteger="1" minValue="2E+20" maxValue="3E+2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briel Solonynka Hoffmann" refreshedDate="45235.833343634258" createdVersion="7" refreshedVersion="8" minRefreshableVersion="3" recordCount="1" xr:uid="{9A30BE60-1A18-409A-BDB2-1FBA5F928A4C}">
  <cacheSource type="worksheet">
    <worksheetSource name="FrequencyTable"/>
  </cacheSource>
  <cacheFields count="17">
    <cacheField name="ProjectName" numFmtId="0">
      <sharedItems containsNonDate="0" containsBlank="1" count="3">
        <m/>
        <s v="All Statistic Types 1" u="1"/>
        <s v="Unnamed Project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7">
        <m/>
        <s v="Prep 1 Freq s3" u="1"/>
        <s v="VarVal" u="1"/>
        <s v="Prep 1 Frequency" u="1"/>
        <s v="Prep 2 Frequency" u="1"/>
        <s v="Prep 1 Freq s1" u="1"/>
        <s v="Prep 1 Freq s2" u="1"/>
      </sharedItems>
    </cacheField>
    <cacheField name="Category" numFmtId="0">
      <sharedItems containsNonDate="0" containsBlank="1" count="9">
        <m/>
        <s v="waiting" u="1"/>
        <s v="Constant(1)" u="1"/>
        <s v="Constant(2)" u="1"/>
        <s v="idle" u="1"/>
        <s v="Constant(3)" u="1"/>
        <s v="busy" u="1"/>
        <s v="Constant(4)" u="1"/>
        <s v="Constant(5)" u="1"/>
      </sharedItems>
    </cacheField>
    <cacheField name="Source" numFmtId="0">
      <sharedItems containsNonDate="0" containsBlank="1" count="2">
        <m/>
        <s v="User Specified" u="1"/>
      </sharedItems>
    </cacheField>
    <cacheField name="StandardPercentage" numFmtId="0">
      <sharedItems containsNonDate="0" containsString="0" containsBlank="1"/>
    </cacheField>
    <cacheField name="RestrictedPercentage" numFmtId="0">
      <sharedItems containsNonDate="0" containsString="0" containsBlank="1"/>
    </cacheField>
    <cacheField name="AverageTimeInCategory" numFmtId="0">
      <sharedItems containsNonDate="0" containsString="0" containsBlank="1"/>
    </cacheField>
    <cacheField name="FrequencyCategoryCount" numFmtId="0">
      <sharedItems containsNonDate="0" containsString="0" containsBlank="1"/>
    </cacheField>
    <cacheField name="IncludeOption" numFmtId="0">
      <sharedItems containsNonDate="0" containsString="0" containsBlank="1"/>
    </cacheField>
    <cacheField name="GroupByKey" numFmtId="0">
      <sharedItems containsNonDate="0" containsString="0" containsBlank="1"/>
    </cacheField>
    <cacheField name="SummaryStandardPercentage" numFmtId="0">
      <sharedItems containsNonDate="0" containsString="0" containsBlank="1"/>
    </cacheField>
    <cacheField name="SummaryRestrictedPercentage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StandardPercentage" numFmtId="0">
      <sharedItems containsNonDate="0" containsString="0" containsBlank="1"/>
    </cacheField>
    <cacheField name="AverageRestrictedPercentag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briel Solonynka Hoffmann" refreshedDate="45235.833343981481" createdVersion="7" refreshedVersion="8" minRefreshableVersion="3" recordCount="7" xr:uid="{B84A8B69-002E-494F-8DC0-5D2F7796C835}">
  <cacheSource type="worksheet">
    <worksheetSource name="DiscreteStatsTable"/>
  </cacheSource>
  <cacheFields count="25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101">
        <s v="Paciente"/>
        <s v="Processo atendimento medico.Queue"/>
        <m u="1"/>
        <s v="Manual.Queue" u="1"/>
        <s v="Load Mill 7.Queue" u="1"/>
        <s v="DPM SS Bin Blender 4.Queue" u="1"/>
        <s v="Process Packaging.Queue" u="1"/>
        <s v="Processing Post 1.Queue" u="1"/>
        <s v="Seize shared resource.Queue" u="1"/>
        <s v="Weighroom 7.Queue" u="1"/>
        <s v="e_batch" u="1"/>
        <s v="Servo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Load Mill.Queue" u="1"/>
        <s v="Peptone LS V Blender 3.Queue" u="1"/>
        <s v="Match 2.Queue1" u="1"/>
        <s v="Production Time" u="1"/>
        <s v="Weighroom 8.Queue" u="1"/>
        <s v="Process Part Type 1 on Prep1.Queue" u="1"/>
        <s v="Match 3.Queue1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Process Part Type 1 on Prep1" u="1"/>
        <s v="Peca" u="1"/>
        <s v="Load Mill 13.Queue" u="1"/>
        <s v="CIP V Blender 3.Queue" u="1"/>
        <s v="Match 2.Queue2" u="1"/>
        <s v="Match 5.Queue1" u="1"/>
        <s v="Processing Post 4.Queue" u="1"/>
        <s v="Tub Cleaning" u="1"/>
        <s v="Seize Pin Mill Weigh Room.Queue" u="1"/>
        <s v="CIP Large Pin.Queue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ally 1" u="1"/>
        <s v="ABFL.Queue" u="1"/>
        <s v="Match 4.Queue2" u="1"/>
        <s v="Match 7.Queue1" u="1"/>
        <s v="Load Mill 2.Queue" u="1"/>
        <s v="CIP V Blender 8.Queue" u="1"/>
        <s v="Peptone LS V Blender.Queue" u="1"/>
        <s v="Seize 40.Queue" u="1"/>
        <s v="Seize LS V Blender 8.Queue" u="1"/>
        <s v="Match 13.Queue2" u="1"/>
        <s v="Load Mill 10.Queue" u="1"/>
        <s v="Match 5.Queue2" u="1"/>
        <s v="Weighroom 2.Queue" u="1"/>
        <s v="Load Mill 15.Queue" u="1"/>
        <s v="Part Type 1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Seize Fitz Mill Weigh Room.Queue" u="1"/>
        <s v="Match 7.Queue2" u="1"/>
        <s v="Weighroom 3.Queue" u="1"/>
        <s v="Part Type 2" u="1"/>
        <s v="Match 11.Queue1" u="1"/>
        <s v="CIP Large Fitz.Queue" u="1"/>
        <s v="Load Mill 4.Queue" u="1"/>
        <s v="Load Mill 12.Queue" u="1"/>
        <s v="Process Packaging" u="1"/>
        <s v="Match 9.Queue2" u="1"/>
        <s v="Weighroom 4.Queue" u="1"/>
        <s v="Peptone SS Bin Blender 3.Queue" u="1"/>
        <s v="Load Mill 5.Queue" u="1"/>
        <s v="Processing Post 2.Queue" u="1"/>
        <s v="Seize Operator.Queue" u="1"/>
        <s v="Weighroom 5.Queue" u="1"/>
        <s v="Match 11.Queue2" u="1"/>
        <s v="Peptone LS Bin Blender 2.Queue" u="1"/>
        <s v="Peptone SS Bin Blender 2.Queue" u="1"/>
        <s v="DPM SS Bin Blender.Queue" u="1"/>
        <s v="Process Part Type 2 on Prep2.Queue" u="1"/>
        <s v="Load Mill 14.Queue" u="1"/>
        <s v="Record Cycle Time" u="1"/>
        <s v="Weighroom.Queue" u="1"/>
        <s v="Weighroom 6.Queue" u="1"/>
        <s v="Entity 1" u="1"/>
        <s v="Process Part Type 2 on Prep2" u="1"/>
      </sharedItems>
    </cacheField>
    <cacheField name="Type" numFmtId="0">
      <sharedItems containsBlank="1" count="12">
        <s v="NVA Time"/>
        <s v="Other Time"/>
        <s v="Total Time"/>
        <s v="Transfer Time"/>
        <s v="VA Time"/>
        <s v="Wait Time"/>
        <s v="Waiting Time"/>
        <m u="1"/>
        <s v="Total Time Per Entity" u="1"/>
        <s v="VA Time Per Entity" u="1"/>
        <s v="Wait Time Per Entity" u="1"/>
        <s v="Interval" u="1"/>
      </sharedItems>
    </cacheField>
    <cacheField name="Source" numFmtId="0">
      <sharedItems containsBlank="1" count="5">
        <s v="Entity"/>
        <s v="Queue"/>
        <m u="1"/>
        <s v="Process" u="1"/>
        <s v="User Specified" u="1"/>
      </sharedItems>
    </cacheField>
    <cacheField name="Average" numFmtId="0">
      <sharedItems containsSemiMixedTypes="0" containsString="0" containsNumber="1" minValue="0" maxValue="1.2881729934410999"/>
    </cacheField>
    <cacheField name="BatchMeansHalfWidth" numFmtId="0">
      <sharedItems containsSemiMixedTypes="0" containsString="0" containsNumber="1" containsInteger="1" minValue="2E+20" maxValue="2E+20"/>
    </cacheField>
    <cacheField name="Minimum" numFmtId="0">
      <sharedItems containsSemiMixedTypes="0" containsString="0" containsNumber="1" minValue="0" maxValue="0.25"/>
    </cacheField>
    <cacheField name="Maximum" numFmtId="0">
      <sharedItems containsSemiMixedTypes="0" containsString="0" containsNumber="1" minValue="0" maxValue="2.8820411797140202"/>
    </cacheField>
    <cacheField name="NumberObservations" numFmtId="0">
      <sharedItems containsSemiMixedTypes="0" containsString="0" containsNumber="1" containsInteger="1" minValue="189" maxValue="191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OfAverage" numFmtId="0">
      <sharedItems containsSemiMixedTypes="0" containsString="0" containsNumber="1" minValue="0" maxValue="1.2881729934410999"/>
    </cacheField>
    <cacheField name="StDevOfAverage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Average" numFmtId="0">
      <sharedItems containsSemiMixedTypes="0" containsString="0" containsNumber="1" minValue="0" maxValue="1.2881729934410999"/>
    </cacheField>
    <cacheField name="MaximumAverage" numFmtId="0">
      <sharedItems containsSemiMixedTypes="0" containsString="0" containsNumber="1" minValue="0" maxValue="1.2881729934410999"/>
    </cacheField>
    <cacheField name="OverallMinimum" numFmtId="0">
      <sharedItems containsSemiMixedTypes="0" containsString="0" containsNumber="1" minValue="0" maxValue="0.25"/>
    </cacheField>
    <cacheField name="OverallMaximum" numFmtId="0">
      <sharedItems containsSemiMixedTypes="0" containsString="0" containsNumber="1" minValue="0" maxValue="2.8820411797140202"/>
    </cacheField>
    <cacheField name="AverageNumberObservations" numFmtId="0">
      <sharedItems containsSemiMixedTypes="0" containsString="0" containsNumber="1" containsInteger="1" minValue="189" maxValue="191"/>
    </cacheField>
    <cacheField name="SummaryHalfWidth" numFmtId="0">
      <sharedItems containsSemiMixedTypes="0" containsString="0" containsNumber="1" containsInteger="1" minValue="2E+20" maxValue="2E+20"/>
    </cacheField>
    <cacheField name="RepsWithStatObserved" numFmtId="0">
      <sharedItems containsSemiMixedTypes="0" containsString="0" containsNumber="1" containsInteger="1" minValue="1" maxValue="1"/>
    </cacheField>
    <cacheField name="Observed=Requested" numFmtId="0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briel Solonynka Hoffmann" refreshedDate="45235.833344444443" createdVersion="7" refreshedVersion="8" minRefreshableVersion="3" recordCount="5" xr:uid="{CD99054F-849B-4F05-A210-6C45A1A34EDA}">
  <cacheSource type="worksheet">
    <worksheetSource name="OutputTable"/>
  </cacheSource>
  <cacheFields count="16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83">
        <s v="Medico.NumberSeized"/>
        <s v="Medico.ScheduledUtilization"/>
        <s v="Paciente.NumberIn"/>
        <s v="Paciente.NumberOut"/>
        <s v="System.NumberOut"/>
        <m u="1"/>
        <s v="Operator 1.ScheduledUtilization" u="1"/>
        <s v="Operator 2.ScheduledUtilization" u="1"/>
        <s v="Operator 3.ScheduledUtilization" u="1"/>
        <s v="Operator 4.ScheduledUtilization" u="1"/>
        <s v="Tub Cleaning Accum VA Time" u="1"/>
        <s v="r_largefitzmill.NumberSeized" u="1"/>
        <s v="r_smallfitzmill.NumberSeized" u="1"/>
        <s v="Machine.ScheduledUtilization" u="1"/>
        <s v="Process Part Type 1 on Prep1 Accum Wait Time" u="1"/>
        <s v="Process Part Type 2 on Prep2 Accum Wait Time" u="1"/>
        <s v="Packaging Machine.ScheduledUtilization" u="1"/>
        <s v="r_vblender.ScheduledUtilization" u="1"/>
        <s v="Tub Cleaning Number Out" u="1"/>
        <s v="Process Packaging Number In" u="1"/>
        <s v="Peca.NumberOut" u="1"/>
        <s v="r_CIP.ScheduledUtilization" u="1"/>
        <s v="r Shared.ScheduledUtilization" u="1"/>
        <s v="r_CIP.NumberSeized" u="1"/>
        <s v="Resource 1.ScheduledUtilization" u="1"/>
        <s v="Part Type 1.NumberOut" u="1"/>
        <s v="Part Type 2.NumberOut" u="1"/>
        <s v="r Shared.NumberSeized" u="1"/>
        <s v="Tub Cleaning Number In" u="1"/>
        <s v="r_largefitzmill.ScheduledUtilization" u="1"/>
        <s v="Operator 1.NumberSeized" u="1"/>
        <s v="Operator 2.NumberSeized" u="1"/>
        <s v="Operator 3.NumberSeized" u="1"/>
        <s v="Operator 4.NumberSeized" u="1"/>
        <s v="r_weighroom135.NumberSeized" u="1"/>
        <s v="r_weighroom203.NumberSeized" u="1"/>
        <s v="r_weighroom204.NumberSeized" u="1"/>
        <s v="r_weighroom207.NumberSeized" u="1"/>
        <s v="r_weighroom208.NumberSeized" u="1"/>
        <s v="r_smallfitzmill.ScheduledUtilization" u="1"/>
        <s v="r Prep1.ScheduledUtilization" u="1"/>
        <s v="r Prep2.ScheduledUtilization" u="1"/>
        <s v="r_largepinmill.NumberSeized" u="1"/>
        <s v="r_smallpinmill.NumberSeized" u="1"/>
        <s v="Tub Cleaning Accum Wait Time" u="1"/>
        <s v="Machine.NumberSeized" u="1"/>
        <s v="r_vblender.NumberSeized" u="1"/>
        <s v="Process Part Type 1 on Prep1 Accum VA Time" u="1"/>
        <s v="Process Part Type 2 on Prep2 Accum VA Time" u="1"/>
        <s v="Resource 1.NumberSeized" u="1"/>
        <s v="Packaging Machine.NumberSeized" u="1"/>
        <s v="E 1.NumberOut" u="1"/>
        <s v="Operator.ScheduledUtilization" u="1"/>
        <s v="E 2.NumberOut" u="1"/>
        <s v="r_weighroom135.ScheduledUtilization" u="1"/>
        <s v="r_weighroom203.ScheduledUtilization" u="1"/>
        <s v="r_weighroom204.ScheduledUtilization" u="1"/>
        <s v="r_weighroom207.ScheduledUtilization" u="1"/>
        <s v="r_weighroom208.ScheduledUtilization" u="1"/>
        <s v="Process Packaging Accum VA Time" u="1"/>
        <s v="Part Type 1.NumberIn" u="1"/>
        <s v="Part Type 2.NumberIn" u="1"/>
        <s v="Operator.NumberSeized" u="1"/>
        <s v="r_largepinmill.ScheduledUtilization" u="1"/>
        <s v="E 1.NumberIn" u="1"/>
        <s v="Peca.NumberIn" u="1"/>
        <s v="r_binblender.NumberSeized" u="1"/>
        <s v="r_smallpinmill.ScheduledUtilization" u="1"/>
        <s v="E 2.NumberIn" u="1"/>
        <s v="Entity 1.NumberIn" u="1"/>
        <s v="r Prep1.NumberSeized" u="1"/>
        <s v="r Prep2.NumberSeized" u="1"/>
        <s v="Process Part Type 1 on Prep1 Number Out" u="1"/>
        <s v="Process Part Type 2 on Prep2 Number Out" u="1"/>
        <s v="e_batch.NumberOut" u="1"/>
        <s v="r_binblender.ScheduledUtilization" u="1"/>
        <s v="Entity 1.NumberOut" u="1"/>
        <s v="Process Part Type 1 on Prep1 Number In" u="1"/>
        <s v="Process Part Type 2 on Prep2 Number In" u="1"/>
        <s v="Process Packaging Accum Wait Time" u="1"/>
        <s v="r_operator.NumberSeized" u="1"/>
        <s v="e_batch.NumberIn" u="1"/>
        <s v="Process Packaging Number Out" u="1"/>
      </sharedItems>
    </cacheField>
    <cacheField name="Type" numFmtId="0">
      <sharedItems containsBlank="1" count="7">
        <s v="Total Number Seized"/>
        <s v="Scheduled Utilization"/>
        <s v="Number In"/>
        <s v="Number Out"/>
        <m u="1"/>
        <s v="Accum VA Time" u="1"/>
        <s v="Accum Wait Time" u="1"/>
      </sharedItems>
    </cacheField>
    <cacheField name="Source" numFmtId="0">
      <sharedItems containsBlank="1" count="5">
        <s v="Resource"/>
        <s v="Entity"/>
        <s v="System"/>
        <m u="1"/>
        <s v="Process" u="1"/>
      </sharedItems>
    </cacheField>
    <cacheField name="RecordedValue" numFmtId="0">
      <sharedItems containsSemiMixedTypes="0" containsString="0" containsNumber="1" minValue="0.98952040175603595" maxValue="214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" numFmtId="0">
      <sharedItems containsSemiMixedTypes="0" containsString="0" containsNumber="1" minValue="0.98952040175603595" maxValue="214"/>
    </cacheField>
    <cacheField name="StandardDeviation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" numFmtId="0">
      <sharedItems containsSemiMixedTypes="0" containsString="0" containsNumber="1" minValue="0.98952040175603595" maxValue="214"/>
    </cacheField>
    <cacheField name="Maximum" numFmtId="0">
      <sharedItems containsSemiMixedTypes="0" containsString="0" containsNumber="1" minValue="0.98952040175603595" maxValue="21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">
  <r>
    <x v="0"/>
    <s v="2023-11-05 19:58:52"/>
    <n v="1"/>
    <x v="0"/>
    <x v="0"/>
    <x v="0"/>
    <n v="0.98952040175603595"/>
    <n v="2E+20"/>
    <n v="0"/>
    <n v="1"/>
    <n v="1"/>
    <n v="0"/>
    <s v="Unnamed ProjectMedicoInstantaneous UtilizationResource"/>
    <n v="1"/>
    <n v="0.98952040175603595"/>
    <n v="0"/>
    <n v="0.95"/>
    <n v="4E+20"/>
    <n v="0.98952040175603595"/>
    <n v="0.98952040175603595"/>
    <n v="2E+20"/>
  </r>
  <r>
    <x v="0"/>
    <s v="2023-11-05 19:58:52"/>
    <n v="1"/>
    <x v="0"/>
    <x v="1"/>
    <x v="0"/>
    <n v="1.9790408035120699"/>
    <n v="2E+20"/>
    <n v="0"/>
    <n v="2"/>
    <n v="2"/>
    <n v="0"/>
    <s v="Unnamed ProjectMedicoNumber BusyResource"/>
    <n v="1"/>
    <n v="1.9790408035120699"/>
    <n v="0"/>
    <n v="0.95"/>
    <n v="4E+20"/>
    <n v="1.9790408035120699"/>
    <n v="1.9790408035120699"/>
    <n v="2E+20"/>
  </r>
  <r>
    <x v="0"/>
    <s v="2023-11-05 19:58:52"/>
    <n v="1"/>
    <x v="0"/>
    <x v="2"/>
    <x v="0"/>
    <n v="2"/>
    <n v="2E+20"/>
    <n v="2"/>
    <n v="2"/>
    <n v="2"/>
    <n v="0"/>
    <s v="Unnamed ProjectMedicoNumber ScheduledResource"/>
    <n v="1"/>
    <n v="2"/>
    <n v="0"/>
    <n v="0.95"/>
    <n v="4E+20"/>
    <n v="2"/>
    <n v="2"/>
    <n v="2E+20"/>
  </r>
  <r>
    <x v="0"/>
    <s v="2023-11-05 19:58:52"/>
    <n v="1"/>
    <x v="1"/>
    <x v="3"/>
    <x v="1"/>
    <n v="11.2683474061868"/>
    <n v="3E+20"/>
    <n v="0"/>
    <n v="26"/>
    <n v="25"/>
    <n v="0"/>
    <s v="Unnamed ProjectPacienteWIPEntity"/>
    <n v="1"/>
    <n v="11.2683474061868"/>
    <n v="0"/>
    <n v="0.95"/>
    <n v="4E+20"/>
    <n v="11.2683474061868"/>
    <n v="11.2683474061868"/>
    <n v="3E+20"/>
  </r>
  <r>
    <x v="0"/>
    <s v="2023-11-05 19:58:52"/>
    <n v="1"/>
    <x v="2"/>
    <x v="4"/>
    <x v="2"/>
    <n v="9.2893066026747206"/>
    <n v="3E+20"/>
    <n v="0"/>
    <n v="24"/>
    <n v="23"/>
    <n v="0"/>
    <s v="Unnamed ProjectProcesso atendimento medico.QueueNumber WaitingQueue"/>
    <n v="1"/>
    <n v="9.2893066026747206"/>
    <n v="0"/>
    <n v="0.95"/>
    <n v="4E+20"/>
    <n v="9.2893066026747206"/>
    <n v="9.2893066026747206"/>
    <n v="3E+2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">
  <r>
    <x v="0"/>
    <s v="2023-11-05 19:58:52"/>
    <n v="1"/>
    <x v="0"/>
    <x v="0"/>
    <x v="0"/>
    <n v="0"/>
    <n v="2E+20"/>
    <n v="0"/>
    <n v="0"/>
    <n v="189"/>
    <s v="Unnamed ProjectPacienteNVA TimeEntity"/>
    <n v="1"/>
    <n v="0"/>
    <n v="0"/>
    <n v="0.95"/>
    <n v="4E+20"/>
    <n v="0"/>
    <n v="0"/>
    <n v="0"/>
    <n v="0"/>
    <n v="189"/>
    <n v="2E+20"/>
    <n v="1"/>
    <n v="1"/>
  </r>
  <r>
    <x v="0"/>
    <s v="2023-11-05 19:58:52"/>
    <n v="1"/>
    <x v="0"/>
    <x v="1"/>
    <x v="0"/>
    <n v="0"/>
    <n v="2E+20"/>
    <n v="0"/>
    <n v="0"/>
    <n v="189"/>
    <s v="Unnamed ProjectPacienteOther TimeEntity"/>
    <n v="1"/>
    <n v="0"/>
    <n v="0"/>
    <n v="0.95"/>
    <n v="4E+20"/>
    <n v="0"/>
    <n v="0"/>
    <n v="0"/>
    <n v="0"/>
    <n v="189"/>
    <n v="2E+20"/>
    <n v="1"/>
    <n v="1"/>
  </r>
  <r>
    <x v="0"/>
    <s v="2023-11-05 19:58:52"/>
    <n v="1"/>
    <x v="0"/>
    <x v="2"/>
    <x v="0"/>
    <n v="1.2881729934410999"/>
    <n v="2E+20"/>
    <n v="0.25"/>
    <n v="2.8820411797140202"/>
    <n v="189"/>
    <s v="Unnamed ProjectPacienteTotal TimeEntity"/>
    <n v="1"/>
    <n v="1.2881729934410999"/>
    <n v="0"/>
    <n v="0.95"/>
    <n v="4E+20"/>
    <n v="1.2881729934410999"/>
    <n v="1.2881729934410999"/>
    <n v="0.25"/>
    <n v="2.8820411797140202"/>
    <n v="189"/>
    <n v="2E+20"/>
    <n v="1"/>
    <n v="1"/>
  </r>
  <r>
    <x v="0"/>
    <s v="2023-11-05 19:58:52"/>
    <n v="1"/>
    <x v="0"/>
    <x v="3"/>
    <x v="0"/>
    <n v="0"/>
    <n v="2E+20"/>
    <n v="0"/>
    <n v="0"/>
    <n v="189"/>
    <s v="Unnamed ProjectPacienteTransfer TimeEntity"/>
    <n v="1"/>
    <n v="0"/>
    <n v="0"/>
    <n v="0.95"/>
    <n v="4E+20"/>
    <n v="0"/>
    <n v="0"/>
    <n v="0"/>
    <n v="0"/>
    <n v="189"/>
    <n v="2E+20"/>
    <n v="1"/>
    <n v="1"/>
  </r>
  <r>
    <x v="0"/>
    <s v="2023-11-05 19:58:52"/>
    <n v="1"/>
    <x v="0"/>
    <x v="4"/>
    <x v="0"/>
    <n v="0.25"/>
    <n v="2E+20"/>
    <n v="0.25"/>
    <n v="0.250000000000002"/>
    <n v="189"/>
    <s v="Unnamed ProjectPacienteVA TimeEntity"/>
    <n v="1"/>
    <n v="0.25"/>
    <n v="0"/>
    <n v="0.95"/>
    <n v="4E+20"/>
    <n v="0.25"/>
    <n v="0.25"/>
    <n v="0.25"/>
    <n v="0.250000000000002"/>
    <n v="189"/>
    <n v="2E+20"/>
    <n v="1"/>
    <n v="1"/>
  </r>
  <r>
    <x v="0"/>
    <s v="2023-11-05 19:58:52"/>
    <n v="1"/>
    <x v="0"/>
    <x v="5"/>
    <x v="0"/>
    <n v="1.0381729934410999"/>
    <n v="2E+20"/>
    <n v="0"/>
    <n v="2.6320411797140202"/>
    <n v="189"/>
    <s v="Unnamed ProjectPacienteWait TimeEntity"/>
    <n v="1"/>
    <n v="1.0381729934410999"/>
    <n v="0"/>
    <n v="0.95"/>
    <n v="4E+20"/>
    <n v="1.0381729934410999"/>
    <n v="1.0381729934410999"/>
    <n v="0"/>
    <n v="2.6320411797140202"/>
    <n v="189"/>
    <n v="2E+20"/>
    <n v="1"/>
    <n v="1"/>
  </r>
  <r>
    <x v="0"/>
    <s v="2023-11-05 19:58:52"/>
    <n v="1"/>
    <x v="1"/>
    <x v="6"/>
    <x v="1"/>
    <n v="1.0474882946786499"/>
    <n v="2E+20"/>
    <n v="0"/>
    <n v="2.6320411797140202"/>
    <n v="191"/>
    <s v="Unnamed ProjectProcesso atendimento medico.QueueWaiting TimeQueue"/>
    <n v="1"/>
    <n v="1.0474882946786499"/>
    <n v="0"/>
    <n v="0.95"/>
    <n v="4E+20"/>
    <n v="1.0474882946786499"/>
    <n v="1.0474882946786499"/>
    <n v="0"/>
    <n v="2.6320411797140202"/>
    <n v="191"/>
    <n v="2E+20"/>
    <n v="1"/>
    <n v="1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">
  <r>
    <x v="0"/>
    <s v="2023-11-05 19:58:52"/>
    <n v="1"/>
    <x v="0"/>
    <x v="0"/>
    <x v="0"/>
    <n v="191"/>
    <n v="0"/>
    <s v="Unnamed ProjectMedico.NumberSeizedTotal Number SeizedResource"/>
    <n v="1"/>
    <n v="191"/>
    <n v="0"/>
    <n v="0.95"/>
    <n v="4E+20"/>
    <n v="191"/>
    <n v="191"/>
  </r>
  <r>
    <x v="0"/>
    <s v="2023-11-05 19:58:52"/>
    <n v="1"/>
    <x v="1"/>
    <x v="1"/>
    <x v="0"/>
    <n v="0.98952040175603595"/>
    <n v="0"/>
    <s v="Unnamed ProjectMedico.ScheduledUtilizationScheduled UtilizationResource"/>
    <n v="1"/>
    <n v="0.98952040175603595"/>
    <n v="0"/>
    <n v="0.95"/>
    <n v="4E+20"/>
    <n v="0.98952040175603595"/>
    <n v="0.98952040175603595"/>
  </r>
  <r>
    <x v="0"/>
    <s v="2023-11-05 19:58:52"/>
    <n v="1"/>
    <x v="2"/>
    <x v="2"/>
    <x v="1"/>
    <n v="214"/>
    <n v="0"/>
    <s v="Unnamed ProjectPaciente.NumberInNumber InEntity"/>
    <n v="1"/>
    <n v="214"/>
    <n v="0"/>
    <n v="0.95"/>
    <n v="4E+20"/>
    <n v="214"/>
    <n v="214"/>
  </r>
  <r>
    <x v="0"/>
    <s v="2023-11-05 19:58:52"/>
    <n v="1"/>
    <x v="3"/>
    <x v="3"/>
    <x v="1"/>
    <n v="189"/>
    <n v="0"/>
    <s v="Unnamed ProjectPaciente.NumberOutNumber OutEntity"/>
    <n v="1"/>
    <n v="189"/>
    <n v="0"/>
    <n v="0.95"/>
    <n v="4E+20"/>
    <n v="189"/>
    <n v="189"/>
  </r>
  <r>
    <x v="0"/>
    <s v="2023-11-05 19:58:52"/>
    <n v="1"/>
    <x v="4"/>
    <x v="3"/>
    <x v="2"/>
    <n v="189"/>
    <n v="0"/>
    <s v="Unnamed ProjectSystem.NumberOutNumber OutSystem"/>
    <n v="1"/>
    <n v="189"/>
    <n v="0"/>
    <n v="0.95"/>
    <n v="4E+20"/>
    <n v="189"/>
    <n v="18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E56543-8FDA-4161-A502-2100C2820B38}" name="CounterPivot" cacheId="40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A2:AI3" firstHeaderRow="0" firstDataRow="1" firstDataCol="4"/>
  <pivotFields count="15">
    <pivotField name="Project Name" axis="axisRow" compact="0" outline="0" subtotalTop="0" showAll="0" defaultSubtotal="0">
      <items count="3">
        <item m="1" x="2"/>
        <item x="0"/>
        <item m="1" x="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4">
        <item m="1" x="3"/>
        <item m="1" x="2"/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3"/>
      <x v="1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9" subtotal="min" baseField="0" baseItem="0"/>
    <dataField name="Half-Width" fld="12" subtotal="min" baseField="0" baseItem="0"/>
    <dataField name="Overall StDev Across Replications" fld="10" subtotal="min" baseField="0" baseItem="0"/>
    <dataField name="Min Replication Value" fld="13" subtotal="min" baseField="0" baseItem="0"/>
    <dataField name="Max Replication Value" fld="14" subtotal="max" baseField="0" baseItem="0"/>
  </dataFields>
  <conditionalFormats count="1">
    <conditionalFormat scope="data" priority="6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21943B-8931-4F87-AD7E-CE85C11F1EB8}" name="ContinuousTimePivot" cacheId="46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O2:Y7" firstHeaderRow="0" firstDataRow="1" firstDataCol="4"/>
  <pivotFields count="21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27">
        <item m="1" x="18"/>
        <item m="1" x="9"/>
        <item m="1" x="25"/>
        <item m="1" x="34"/>
        <item m="1" x="47"/>
        <item m="1" x="46"/>
        <item m="1" x="10"/>
        <item m="1" x="111"/>
        <item m="1" x="89"/>
        <item m="1" x="52"/>
        <item m="1" x="39"/>
        <item m="1" x="43"/>
        <item m="1" x="125"/>
        <item m="1" x="28"/>
        <item m="1" x="110"/>
        <item m="1" x="32"/>
        <item m="1" x="83"/>
        <item m="1" x="97"/>
        <item m="1" x="7"/>
        <item m="1" x="33"/>
        <item m="1" x="120"/>
        <item m="1" x="22"/>
        <item m="1" x="112"/>
        <item m="1" x="11"/>
        <item m="1" x="38"/>
        <item m="1" x="64"/>
        <item m="1" x="8"/>
        <item m="1" x="14"/>
        <item m="1" x="84"/>
        <item m="1" x="65"/>
        <item m="1" x="99"/>
        <item m="1" x="55"/>
        <item m="1" x="19"/>
        <item m="1" x="49"/>
        <item m="1" x="85"/>
        <item m="1" x="70"/>
        <item m="1" x="20"/>
        <item m="1" x="30"/>
        <item m="1" x="92"/>
        <item m="1" x="6"/>
        <item m="1" x="119"/>
        <item m="1" x="77"/>
        <item m="1" x="17"/>
        <item m="1" x="102"/>
        <item m="1" x="48"/>
        <item m="1" x="121"/>
        <item m="1" x="82"/>
        <item m="1" x="24"/>
        <item m="1" x="69"/>
        <item m="1" x="88"/>
        <item m="1" x="101"/>
        <item m="1" x="109"/>
        <item m="1" x="118"/>
        <item m="1" x="5"/>
        <item m="1" x="23"/>
        <item m="1" x="37"/>
        <item m="1" x="26"/>
        <item m="1" x="4"/>
        <item m="1" x="98"/>
        <item m="1" x="115"/>
        <item m="1" x="41"/>
        <item m="1" x="76"/>
        <item m="1" x="29"/>
        <item m="1" x="50"/>
        <item m="1" x="35"/>
        <item m="1" x="59"/>
        <item m="1" x="44"/>
        <item m="1" x="66"/>
        <item m="1" x="51"/>
        <item m="1" x="78"/>
        <item m="1" x="60"/>
        <item m="1" x="86"/>
        <item m="1" x="67"/>
        <item m="1" x="95"/>
        <item m="1" x="79"/>
        <item m="1" x="100"/>
        <item m="1" x="87"/>
        <item m="1" x="104"/>
        <item m="1" x="116"/>
        <item m="1" x="106"/>
        <item m="1" x="90"/>
        <item m="1" x="63"/>
        <item m="1" x="42"/>
        <item m="1" x="57"/>
        <item m="1" x="21"/>
        <item m="1" x="27"/>
        <item m="1" x="36"/>
        <item m="1" x="40"/>
        <item m="1" x="72"/>
        <item m="1" x="117"/>
        <item m="1" x="107"/>
        <item m="1" x="91"/>
        <item m="1" x="58"/>
        <item m="1" x="126"/>
        <item m="1" x="74"/>
        <item m="1" x="62"/>
        <item m="1" x="94"/>
        <item m="1" x="75"/>
        <item m="1" x="54"/>
        <item m="1" x="61"/>
        <item m="1" x="15"/>
        <item m="1" x="80"/>
        <item m="1" x="96"/>
        <item m="1" x="105"/>
        <item m="1" x="113"/>
        <item m="1" x="124"/>
        <item m="1" x="12"/>
        <item m="1" x="31"/>
        <item m="1" x="123"/>
        <item m="1" x="13"/>
        <item m="1" x="81"/>
        <item m="1" x="56"/>
        <item m="1" x="71"/>
        <item m="1" x="16"/>
        <item m="1" x="122"/>
        <item m="1" x="103"/>
        <item m="1" x="53"/>
        <item m="1" x="114"/>
        <item m="1" x="73"/>
        <item m="1" x="93"/>
        <item m="1" x="108"/>
        <item m="1" x="45"/>
        <item m="1" x="68"/>
        <item m="1" x="3"/>
        <item x="0"/>
        <item x="1"/>
        <item x="2"/>
      </items>
    </pivotField>
    <pivotField axis="axisRow" compact="0" outline="0" showAll="0" defaultSubtotal="0">
      <items count="7">
        <item x="0"/>
        <item x="1"/>
        <item x="2"/>
        <item x="4"/>
        <item x="3"/>
        <item m="1" x="6"/>
        <item m="1" x="5"/>
      </items>
    </pivotField>
    <pivotField axis="axisRow" compact="0" outline="0" showAll="0" defaultSubtotal="0">
      <items count="5">
        <item x="1"/>
        <item x="2"/>
        <item x="0"/>
        <item m="1" x="4"/>
        <item m="1" x="3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5">
    <i>
      <x v="3"/>
      <x v="124"/>
      <x/>
      <x v="2"/>
    </i>
    <i r="2">
      <x v="1"/>
      <x v="2"/>
    </i>
    <i r="2">
      <x v="2"/>
      <x v="2"/>
    </i>
    <i r="1">
      <x v="125"/>
      <x v="4"/>
      <x/>
    </i>
    <i r="1">
      <x v="126"/>
      <x v="3"/>
      <x v="1"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Average Of Replication Averages" fld="14" subtotal="max" baseField="9" baseItem="0"/>
    <dataField name="Half-Width" fld="20" subtotal="max" baseField="0" baseItem="0"/>
    <dataField name="StDev Of Replication Averages" fld="15" subtotal="max" baseField="0" baseItem="0"/>
    <dataField name="Min Replication Average" fld="18" subtotal="min" baseField="9" baseItem="0"/>
    <dataField name="Max Replication Average" fld="19" subtotal="max" baseField="9" baseItem="0"/>
    <dataField name="Overall Min Value" fld="8" subtotal="min" baseField="9" baseItem="0"/>
    <dataField name="Overall Max Value" fld="9" subtotal="max" baseField="9" baseItem="0"/>
  </dataFields>
  <conditionalFormats count="3"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2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3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F038CC-E4AC-48BE-9730-B0CC6039C6D1}" name="FrequencyPivot" cacheId="52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U2:AZ3" firstHeaderRow="0" firstDataRow="1" firstDataCol="4"/>
  <pivotFields count="17">
    <pivotField name="Project Name" axis="axisRow" compact="0" outline="0" subtotalTop="0" showAll="0" defaultSubtotal="0">
      <items count="3">
        <item m="1" x="1"/>
        <item x="0"/>
        <item m="1" x="2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7">
        <item m="1" x="5"/>
        <item m="1" x="6"/>
        <item m="1" x="1"/>
        <item m="1" x="3"/>
        <item m="1" x="4"/>
        <item x="0"/>
        <item m="1" x="2"/>
      </items>
    </pivotField>
    <pivotField axis="axisRow" compact="0" outline="0" showAll="0" defaultSubtotal="0">
      <items count="9">
        <item m="1" x="6"/>
        <item m="1" x="4"/>
        <item m="1" x="1"/>
        <item x="0"/>
        <item m="1" x="2"/>
        <item m="1" x="3"/>
        <item m="1" x="5"/>
        <item m="1" x="7"/>
        <item m="1" x="8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5"/>
      <x v="3"/>
      <x v="1"/>
    </i>
  </rowItems>
  <colFields count="1">
    <field x="-2"/>
  </colFields>
  <colItems count="2">
    <i>
      <x/>
    </i>
    <i i="1">
      <x v="1"/>
    </i>
  </colItems>
  <dataFields count="2">
    <dataField name="Average Standard Percentage" fld="15" subtotal="max" baseField="0" baseItem="0" numFmtId="10"/>
    <dataField name="Average Restricted Percentage" fld="16" subtotal="max" baseField="0" baseItem="0" numFmtId="10"/>
  </dataFields>
  <formats count="1">
    <format dxfId="70">
      <pivotArea outline="0" fieldPosition="0">
        <references count="1">
          <reference field="4294967294" count="1" selected="0">
            <x v="1"/>
          </reference>
        </references>
      </pivotArea>
    </format>
  </formats>
  <conditionalFormats count="1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FB2E74-B880-4045-8431-70DC4B03E50B}" name="DiscreteTimePivot" cacheId="58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2:M9" firstHeaderRow="0" firstDataRow="1" firstDataCol="4"/>
  <pivotFields count="25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01">
        <item m="1" x="12"/>
        <item m="1" x="35"/>
        <item m="1" x="7"/>
        <item m="1" x="87"/>
        <item m="1" x="70"/>
        <item m="1" x="40"/>
        <item m="1" x="96"/>
        <item m="1" x="28"/>
        <item m="1" x="32"/>
        <item m="1" x="99"/>
        <item m="1" x="65"/>
        <item m="1" x="77"/>
        <item m="1" x="82"/>
        <item m="1" x="6"/>
        <item m="1" x="34"/>
        <item m="1" x="24"/>
        <item m="1" x="100"/>
        <item m="1" x="94"/>
        <item m="1" x="22"/>
        <item m="1" x="16"/>
        <item m="1" x="88"/>
        <item m="1" x="8"/>
        <item m="1" x="41"/>
        <item m="1" x="27"/>
        <item m="1" x="52"/>
        <item m="1" x="79"/>
        <item m="1" x="43"/>
        <item m="1" x="13"/>
        <item m="1" x="37"/>
        <item m="1" x="66"/>
        <item m="1" x="56"/>
        <item m="1" x="14"/>
        <item m="1" x="73"/>
        <item m="1" x="5"/>
        <item m="1" x="93"/>
        <item m="1" x="61"/>
        <item m="1" x="81"/>
        <item m="1" x="36"/>
        <item m="1" x="95"/>
        <item m="1" x="64"/>
        <item m="1" x="18"/>
        <item m="1" x="55"/>
        <item m="1" x="69"/>
        <item m="1" x="80"/>
        <item m="1" x="86"/>
        <item m="1" x="4"/>
        <item m="1" x="17"/>
        <item m="1" x="26"/>
        <item m="1" x="19"/>
        <item m="1" x="3"/>
        <item m="1" x="78"/>
        <item m="1" x="90"/>
        <item m="1" x="30"/>
        <item m="1" x="60"/>
        <item m="1" x="21"/>
        <item m="1" x="38"/>
        <item m="1" x="25"/>
        <item m="1" x="46"/>
        <item m="1" x="33"/>
        <item m="1" x="53"/>
        <item m="1" x="39"/>
        <item m="1" x="62"/>
        <item m="1" x="47"/>
        <item m="1" x="67"/>
        <item m="1" x="54"/>
        <item m="1" x="75"/>
        <item m="1" x="68"/>
        <item m="1" x="83"/>
        <item m="1" x="91"/>
        <item m="1" x="71"/>
        <item m="1" x="50"/>
        <item m="1" x="31"/>
        <item m="1" x="44"/>
        <item m="1" x="15"/>
        <item m="1" x="20"/>
        <item m="1" x="29"/>
        <item m="1" x="57"/>
        <item m="1" x="92"/>
        <item m="1" x="85"/>
        <item m="1" x="72"/>
        <item m="1" x="45"/>
        <item m="1" x="58"/>
        <item m="1" x="49"/>
        <item m="1" x="74"/>
        <item m="1" x="59"/>
        <item m="1" x="42"/>
        <item m="1" x="48"/>
        <item m="1" x="11"/>
        <item m="1" x="51"/>
        <item m="1" x="63"/>
        <item m="1" x="76"/>
        <item m="1" x="84"/>
        <item m="1" x="89"/>
        <item m="1" x="98"/>
        <item m="1" x="9"/>
        <item m="1" x="23"/>
        <item m="1" x="97"/>
        <item m="1" x="10"/>
        <item m="1" x="2"/>
        <item x="0"/>
        <item x="1"/>
      </items>
    </pivotField>
    <pivotField axis="axisRow" compact="0" outline="0" showAll="0" defaultSubtotal="0">
      <items count="12">
        <item m="1" x="11"/>
        <item x="0"/>
        <item x="1"/>
        <item x="2"/>
        <item x="3"/>
        <item x="4"/>
        <item x="5"/>
        <item x="6"/>
        <item m="1" x="8"/>
        <item m="1" x="9"/>
        <item m="1" x="10"/>
        <item m="1" x="7"/>
      </items>
    </pivotField>
    <pivotField axis="axisRow" compact="0" outline="0" showAll="0" defaultSubtotal="0">
      <items count="5">
        <item x="0"/>
        <item x="1"/>
        <item m="1" x="4"/>
        <item m="1" x="3"/>
        <item m="1" x="2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ubtotalTop="0" showAll="0" defaultSubtotal="0"/>
    <pivotField dataField="1" compact="0" outline="0" subtotalTop="0" showAll="0" defaultSubtotal="0"/>
  </pivotFields>
  <rowFields count="4">
    <field x="0"/>
    <field x="3"/>
    <field x="4"/>
    <field x="5"/>
  </rowFields>
  <rowItems count="7">
    <i>
      <x v="3"/>
      <x v="99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  <i r="1">
      <x v="100"/>
      <x v="7"/>
      <x v="1"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Average Of Replication Averages" fld="13" subtotal="max" baseField="5" baseItem="0"/>
    <dataField name="Observed=Requested " fld="24" subtotal="max" baseField="5" baseItem="0"/>
    <dataField name="Half-Width" fld="22" subtotal="max" baseField="0" baseItem="0"/>
    <dataField name="StDev Of Replication Averages" fld="14" subtotal="max" baseField="0" baseItem="0"/>
    <dataField name="Minimum Replication Average" fld="17" subtotal="min" baseField="0" baseItem="0"/>
    <dataField name="Maximum Replication Average" fld="18" subtotal="max" baseField="5" baseItem="1"/>
    <dataField name="Overall Min Value" fld="8" subtotal="min" baseField="0" baseItem="0"/>
    <dataField name="Overall Max Value" fld="9" subtotal="max" baseField="0" baseItem="0"/>
    <dataField name="Avg Observations Per Replication" fld="21" subtotal="max" baseField="0" baseItem="0"/>
  </dataFields>
  <conditionalFormats count="5">
    <conditionalFormat scope="data" priority="5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0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1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4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9BBC90-5E6A-4E6A-AD80-4C327DF960BE}" name="OutputPivot" cacheId="64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K2:AS7" firstHeaderRow="0" firstDataRow="1" firstDataCol="4"/>
  <pivotFields count="16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83">
        <item m="1" x="30"/>
        <item m="1" x="6"/>
        <item m="1" x="31"/>
        <item m="1" x="7"/>
        <item m="1" x="32"/>
        <item m="1" x="8"/>
        <item m="1" x="33"/>
        <item m="1" x="9"/>
        <item m="1" x="65"/>
        <item m="1" x="20"/>
        <item x="4"/>
        <item m="1" x="64"/>
        <item m="1" x="51"/>
        <item m="1" x="68"/>
        <item m="1" x="53"/>
        <item m="1" x="69"/>
        <item m="1" x="76"/>
        <item m="1" x="45"/>
        <item m="1" x="13"/>
        <item m="1" x="62"/>
        <item m="1" x="52"/>
        <item m="1" x="50"/>
        <item m="1" x="16"/>
        <item m="1" x="60"/>
        <item m="1" x="25"/>
        <item m="1" x="61"/>
        <item m="1" x="26"/>
        <item m="1" x="59"/>
        <item m="1" x="79"/>
        <item m="1" x="19"/>
        <item m="1" x="82"/>
        <item m="1" x="47"/>
        <item m="1" x="14"/>
        <item m="1" x="77"/>
        <item m="1" x="72"/>
        <item m="1" x="48"/>
        <item m="1" x="15"/>
        <item m="1" x="78"/>
        <item m="1" x="73"/>
        <item m="1" x="10"/>
        <item m="1" x="44"/>
        <item m="1" x="28"/>
        <item m="1" x="18"/>
        <item m="1" x="70"/>
        <item m="1" x="40"/>
        <item m="1" x="71"/>
        <item m="1" x="41"/>
        <item m="1" x="27"/>
        <item m="1" x="22"/>
        <item m="1" x="49"/>
        <item m="1" x="24"/>
        <item m="1" x="81"/>
        <item m="1" x="74"/>
        <item m="1" x="23"/>
        <item m="1" x="21"/>
        <item m="1" x="66"/>
        <item m="1" x="75"/>
        <item m="1" x="11"/>
        <item m="1" x="29"/>
        <item m="1" x="42"/>
        <item m="1" x="63"/>
        <item m="1" x="80"/>
        <item m="1" x="12"/>
        <item m="1" x="39"/>
        <item m="1" x="43"/>
        <item m="1" x="67"/>
        <item m="1" x="46"/>
        <item m="1" x="17"/>
        <item m="1" x="34"/>
        <item m="1" x="54"/>
        <item m="1" x="35"/>
        <item m="1" x="55"/>
        <item m="1" x="36"/>
        <item m="1" x="56"/>
        <item m="1" x="37"/>
        <item m="1" x="57"/>
        <item m="1" x="38"/>
        <item m="1" x="58"/>
        <item m="1" x="5"/>
        <item x="0"/>
        <item x="1"/>
        <item x="2"/>
        <item x="3"/>
      </items>
    </pivotField>
    <pivotField axis="axisRow" compact="0" outline="0" showAll="0" defaultSubtotal="0">
      <items count="7">
        <item x="2"/>
        <item x="3"/>
        <item x="1"/>
        <item x="0"/>
        <item m="1" x="5"/>
        <item m="1" x="6"/>
        <item m="1" x="4"/>
      </items>
    </pivotField>
    <pivotField axis="axisRow" compact="0" outline="0" showAll="0" defaultSubtotal="0">
      <items count="5">
        <item x="1"/>
        <item x="0"/>
        <item x="2"/>
        <item m="1" x="4"/>
        <item m="1" x="3"/>
      </items>
    </pivotField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5">
    <i>
      <x v="3"/>
      <x v="10"/>
      <x v="1"/>
      <x v="2"/>
    </i>
    <i r="1">
      <x v="79"/>
      <x v="3"/>
      <x v="1"/>
    </i>
    <i r="1">
      <x v="80"/>
      <x v="2"/>
      <x v="1"/>
    </i>
    <i r="1">
      <x v="81"/>
      <x/>
      <x/>
    </i>
    <i r="1">
      <x v="82"/>
      <x v="1"/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10" subtotal="min" baseField="0" baseItem="0"/>
    <dataField name="Half-Width" fld="13" subtotal="min" baseField="0" baseItem="0"/>
    <dataField name="Overall StDev Across Replications" fld="11" subtotal="min" baseField="0" baseItem="0"/>
    <dataField name="Min Replication Value" fld="14" subtotal="min" baseField="0" baseItem="0"/>
    <dataField name="Max Replication Value" fld="15" subtotal="max" baseField="0" baseItem="0"/>
  </dataFields>
  <conditionalFormats count="1">
    <conditionalFormat scope="data" priority="7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D1994317-E521-42D8-8935-71478B094474}" autoFormatId="0" applyNumberFormats="0" applyBorderFormats="0" applyFontFormats="1" applyPatternFormats="1" applyAlignmentFormats="0" applyWidthHeightFormats="0">
  <queryTableRefresh nextId="13" unboundColumnsRight="1">
    <queryTableFields count="7">
      <queryTableField id="1" name="ProjectName" tableColumnId="7"/>
      <queryTableField id="2" name="ModelFile" tableColumnId="8"/>
      <queryTableField id="3" name="ModelRunDate" tableColumnId="9"/>
      <queryTableField id="4" name="TimeUnits" tableColumnId="10"/>
      <queryTableField id="5" name="NumberOfReplications" tableColumnId="11"/>
      <queryTableField id="12" name="AvgStatCollectionLength" tableColumnId="1"/>
      <queryTableField id="8" dataBound="0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539ABA63-AA8A-42D3-9EDE-86D1518B7AF5}" autoFormatId="0" applyNumberFormats="0" applyBorderFormats="0" applyFontFormats="1" applyPatternFormats="1" applyAlignmentFormats="0" applyWidthHeightFormats="0">
  <queryTableRefresh nextId="26" unboundColumnsRight="14">
    <queryTableFields count="25">
      <queryTableField id="1" name="ProjectName" tableColumnId="12"/>
      <queryTableField id="2" name="Project RunDateTime" tableColumnId="13"/>
      <queryTableField id="3" name="Replication" tableColumnId="14"/>
      <queryTableField id="4" name="Name" tableColumnId="15"/>
      <queryTableField id="5" name="Type" tableColumnId="16"/>
      <queryTableField id="6" name="Source" tableColumnId="17"/>
      <queryTableField id="7" name="Average" tableColumnId="18"/>
      <queryTableField id="8" name="BatchMeansHalfWidth" tableColumnId="19"/>
      <queryTableField id="9" name="Minimum" tableColumnId="20"/>
      <queryTableField id="10" name="Maximum" tableColumnId="21"/>
      <queryTableField id="11" name="NumberObservations" tableColumnId="22"/>
      <queryTableField id="12" dataBound="0" tableColumnId="23"/>
      <queryTableField id="13" dataBound="0" tableColumnId="24"/>
      <queryTableField id="14" dataBound="0" tableColumnId="25"/>
      <queryTableField id="15" dataBound="0" tableColumnId="26"/>
      <queryTableField id="16" dataBound="0" tableColumnId="27"/>
      <queryTableField id="17" dataBound="0" tableColumnId="28"/>
      <queryTableField id="18" dataBound="0" tableColumnId="29"/>
      <queryTableField id="19" dataBound="0" tableColumnId="30"/>
      <queryTableField id="20" dataBound="0" tableColumnId="31"/>
      <queryTableField id="21" dataBound="0" tableColumnId="32"/>
      <queryTableField id="22" dataBound="0" tableColumnId="33"/>
      <queryTableField id="23" dataBound="0" tableColumnId="1"/>
      <queryTableField id="24" dataBound="0" tableColumnId="2"/>
      <queryTableField id="25" dataBound="0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9CB6AAA3-3C95-4DCB-9289-E04638BF75BD}" autoFormatId="0" applyNumberFormats="0" applyBorderFormats="0" applyFontFormats="1" applyPatternFormats="1" applyAlignmentFormats="0" applyWidthHeightFormats="0">
  <queryTableRefresh nextId="23" unboundColumnsRight="9">
    <queryTableFields count="21">
      <queryTableField id="1" name="ProjectName" tableColumnId="13"/>
      <queryTableField id="2" name="Project RunDateTime" tableColumnId="14"/>
      <queryTableField id="3" name="Replication" tableColumnId="15"/>
      <queryTableField id="4" name="Name" tableColumnId="16"/>
      <queryTableField id="5" name="Type" tableColumnId="17"/>
      <queryTableField id="6" name="Source" tableColumnId="18"/>
      <queryTableField id="7" name="Average" tableColumnId="19"/>
      <queryTableField id="8" name="BatchMeansHalfWidth" tableColumnId="20"/>
      <queryTableField id="9" name="Minimum" tableColumnId="21"/>
      <queryTableField id="11" name="Maximum" tableColumnId="23"/>
      <queryTableField id="12" name="LastRecordedValue" tableColumnId="24"/>
      <queryTableField id="22" name="IsPeriodic" tableColumnId="2"/>
      <queryTableField id="13" dataBound="0" tableColumnId="25"/>
      <queryTableField id="14" dataBound="0" tableColumnId="26"/>
      <queryTableField id="15" dataBound="0" tableColumnId="27"/>
      <queryTableField id="16" dataBound="0" tableColumnId="28"/>
      <queryTableField id="17" dataBound="0" tableColumnId="29"/>
      <queryTableField id="18" dataBound="0" tableColumnId="30"/>
      <queryTableField id="19" dataBound="0" tableColumnId="31"/>
      <queryTableField id="20" dataBound="0" tableColumnId="32"/>
      <queryTableField id="21" dataBound="0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BC55318B-CEA1-49EC-B287-41EC9B3C40EB}" autoFormatId="0" applyNumberFormats="0" applyBorderFormats="0" applyFontFormats="1" applyPatternFormats="1" applyAlignmentFormats="0" applyWidthHeightFormats="0">
  <queryTableRefresh nextId="16" unboundColumnsRight="8">
    <queryTableFields count="15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6" xr16:uid="{F3F95AA4-776E-4DAE-8701-CCD42E9FB9E8}" autoFormatId="0" applyNumberFormats="0" applyBorderFormats="0" applyFontFormats="1" applyPatternFormats="1" applyAlignmentFormats="0" applyWidthHeightFormats="0">
  <queryTableRefresh nextId="17" unboundColumnsRight="8">
    <queryTableFields count="16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16" name="IsPeriodic" tableColumnId="1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3AE2AE05-E52E-426A-A579-039039C96789}" autoFormatId="0" applyNumberFormats="0" applyBorderFormats="0" applyFontFormats="1" applyPatternFormats="1" applyAlignmentFormats="0" applyWidthHeightFormats="0">
  <queryTableRefresh nextId="19" unboundColumnsRight="6">
    <queryTableFields count="17">
      <queryTableField id="1" name="ProjectName" tableColumnId="11"/>
      <queryTableField id="2" name="Project RunDateTime" tableColumnId="12"/>
      <queryTableField id="3" name="Replication" tableColumnId="13"/>
      <queryTableField id="4" name="Name" tableColumnId="14"/>
      <queryTableField id="5" name="Category" tableColumnId="15"/>
      <queryTableField id="6" name="Source" tableColumnId="16"/>
      <queryTableField id="7" name="StandardPercentage" tableColumnId="17"/>
      <queryTableField id="8" name="RestrictedPercentage" tableColumnId="18"/>
      <queryTableField id="9" name="AverageTimeInCategory" tableColumnId="19"/>
      <queryTableField id="10" name="FrequencyCategoryCount" tableColumnId="20"/>
      <queryTableField id="18" name="IncludeOption" tableColumnId="1"/>
      <queryTableField id="11" dataBound="0" tableColumnId="21"/>
      <queryTableField id="13" dataBound="0" tableColumnId="23"/>
      <queryTableField id="14" dataBound="0" tableColumnId="24"/>
      <queryTableField id="15" dataBound="0" tableColumnId="25"/>
      <queryTableField id="16" dataBound="0" tableColumnId="26"/>
      <queryTableField id="17" dataBound="0" tableColumnId="2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9ACA7CA-8AEC-4799-A6DA-F91831C0B99E}" name="ProjectInfoTable" displayName="ProjectInfoTable" ref="A1:G2" tableType="queryTable" totalsRowShown="0">
  <autoFilter ref="A1:G2" xr:uid="{D9ACA7CA-8AEC-4799-A6DA-F91831C0B99E}"/>
  <tableColumns count="7">
    <tableColumn id="7" xr3:uid="{5B6B50FF-5CD8-4675-A10D-C17060AA9858}" uniqueName="7" name="ProjectName" queryTableFieldId="1"/>
    <tableColumn id="8" xr3:uid="{EAE4E786-F887-4642-B5BF-5F640F6469C2}" uniqueName="8" name="ModelFile" queryTableFieldId="2"/>
    <tableColumn id="9" xr3:uid="{D3E86395-E405-4897-BE1B-69B1D109F9F9}" uniqueName="9" name="ModelRunDate" queryTableFieldId="3"/>
    <tableColumn id="10" xr3:uid="{B4E9AA2C-7E52-4B82-AA14-CD13C4AFD8F5}" uniqueName="10" name="TimeUnits" queryTableFieldId="4"/>
    <tableColumn id="11" xr3:uid="{AF80A435-632D-4CCF-B4CB-BF929DA4BB65}" uniqueName="11" name="NumberOfReplications" queryTableFieldId="5"/>
    <tableColumn id="1" xr3:uid="{147CD63A-EFFC-4DC9-BB74-3CD93303E266}" uniqueName="1" name="AvgStatCollectionLength" queryTableFieldId="12"/>
    <tableColumn id="14" xr3:uid="{C76B7114-1FC0-4789-8A25-2100ED102E62}" uniqueName="14" name="ConfidenceInterval" queryTableFieldId="8">
      <calculatedColumnFormula>0.95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D003CA-1AFF-426C-A03D-D3AF5760DF1A}" name="DiscreteStatsTable" displayName="DiscreteStatsTable" ref="A1:Y8" tableType="queryTable" totalsRowShown="0">
  <autoFilter ref="A1:Y8" xr:uid="{C3D003CA-1AFF-426C-A03D-D3AF5760DF1A}"/>
  <sortState xmlns:xlrd2="http://schemas.microsoft.com/office/spreadsheetml/2017/richdata2" ref="A2:Y8">
    <sortCondition ref="D1:D8"/>
  </sortState>
  <tableColumns count="25">
    <tableColumn id="12" xr3:uid="{B096CD48-0B07-464E-A0A5-1B5417759979}" uniqueName="12" name="ProjectName" queryTableFieldId="1"/>
    <tableColumn id="13" xr3:uid="{39561E60-6BBC-4AF4-A5CF-34AD4DC9B380}" uniqueName="13" name="Project RunDateTime" queryTableFieldId="2"/>
    <tableColumn id="14" xr3:uid="{27C4144A-9730-4055-85A6-AC146C7F80FA}" uniqueName="14" name="Replication" queryTableFieldId="3"/>
    <tableColumn id="15" xr3:uid="{6E8A3C86-9988-4AA1-B494-E9D00D042A84}" uniqueName="15" name="Name" queryTableFieldId="4"/>
    <tableColumn id="16" xr3:uid="{6934091D-2B26-4A03-8B79-B7137FF8B712}" uniqueName="16" name="Type" queryTableFieldId="5"/>
    <tableColumn id="17" xr3:uid="{7F1A8290-D215-4790-965D-071C67F0881F}" uniqueName="17" name="Source" queryTableFieldId="6"/>
    <tableColumn id="18" xr3:uid="{4567EBBA-DD72-4D03-9CC6-039524F83867}" uniqueName="18" name="Average" queryTableFieldId="7"/>
    <tableColumn id="19" xr3:uid="{93CF59C7-D935-497F-84E7-8157D1F2DDD1}" uniqueName="19" name="BatchMeansHalfWidth" queryTableFieldId="8"/>
    <tableColumn id="20" xr3:uid="{B306B9B1-D7B3-444C-9C73-20AF427D9952}" uniqueName="20" name="Minimum" queryTableFieldId="9"/>
    <tableColumn id="21" xr3:uid="{C619EE7A-43F2-4126-8E5E-B9B9590B8283}" uniqueName="21" name="Maximum" queryTableFieldId="10"/>
    <tableColumn id="22" xr3:uid="{6ACA6B2E-0945-4AE9-B15D-E5D4C71CB0F0}" uniqueName="22" name="NumberObservations" queryTableFieldId="11"/>
    <tableColumn id="23" xr3:uid="{4846BA48-ED6B-4E06-9097-E3D86E22F127}" uniqueName="23" name="GroupByKey" queryTableFieldId="12" dataDxfId="69">
      <calculatedColumnFormula>DiscreteStatsTable[[#This Row],[ProjectName]]&amp;DiscreteStatsTable[[#This Row],[Name]]&amp;DiscreteStatsTable[[#This Row],[Type]]&amp;DiscreteStatsTable[[#This Row],[Source]]</calculatedColumnFormula>
    </tableColumn>
    <tableColumn id="24" xr3:uid="{D42AF2BB-92E9-4C3B-98EA-BE63FD42C513}" uniqueName="24" name="RepsRequested" queryTableFieldId="13" dataDxfId="68">
      <calculatedColumnFormula array="1">MAX(IF((ProjectInfoTable[ProjectName]=DiscreteStatsTable[[#This Row],[ProjectName]]),(ProjectInfoTable[ProjectName]=DiscreteStatsTable[[#This Row],[ProjectName]])*ProjectInfoTable[NumberOfReplications]))</calculatedColumnFormula>
    </tableColumn>
    <tableColumn id="25" xr3:uid="{73F16317-1122-4177-81D7-329A79E5AE0A}" uniqueName="25" name="AverageOfAverage" queryTableFieldId="14" dataDxfId="67">
      <calculatedColumnFormula array="1">IFERROR(AVERAGE(IF((DiscreteStatsTable[GroupByKey]=DiscreteStatsTable[[#This Row],[GroupByKey]]),(DiscreteStatsTable[GroupByKey]=DiscreteStatsTable[[#This Row],[GroupByKey]])*DiscreteStatsTable[Average])),0)</calculatedColumnFormula>
    </tableColumn>
    <tableColumn id="26" xr3:uid="{B09E3CC9-2824-4B82-B31A-C8B10EF46A3D}" uniqueName="26" name="StDevOfAverage" queryTableFieldId="15" dataDxfId="66">
      <calculatedColumnFormula array="1">IFERROR(_xlfn.STDEV.S(IF((DiscreteStatsTable[GroupByKey]=DiscreteStatsTable[[#This Row],[GroupByKey]]),(DiscreteStatsTable[GroupByKey]=DiscreteStatsTable[[#This Row],[GroupByKey]])*DiscreteStatsTable[Average])),0)</calculatedColumnFormula>
    </tableColumn>
    <tableColumn id="27" xr3:uid="{B4CE69F3-02D3-4BB6-A22D-0BBC0C0379AB}" uniqueName="27" name="ConfidenceInterval" queryTableFieldId="16" dataDxfId="65">
      <calculatedColumnFormula array="1">MAX(IF((ProjectInfoTable[ProjectName]=DiscreteStatsTable[[#This Row],[ProjectName]]),(ProjectInfoTable[ProjectName]=DiscreteStatsTable[[#This Row],[ProjectName]])*ProjectInfoTable[ConfidenceInterval]))</calculatedColumnFormula>
    </tableColumn>
    <tableColumn id="28" xr3:uid="{B63678E0-766B-406C-80EF-AAECCFDAF8F8}" uniqueName="28" name="HalfWidth" queryTableFieldId="17" dataDxfId="64">
      <calculatedColumnFormula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calculatedColumnFormula>
    </tableColumn>
    <tableColumn id="29" xr3:uid="{542F00DC-AC51-4911-9456-71FABB8AAB07}" uniqueName="29" name="MinimumAverage" queryTableFieldId="18" dataDxfId="63">
      <calculatedColumnFormula array="1">MIN(IF((DiscreteStatsTable[GroupByKey]=DiscreteStatsTable[[#This Row],[GroupByKey]]),(DiscreteStatsTable[GroupByKey]=DiscreteStatsTable[[#This Row],[GroupByKey]])*DiscreteStatsTable[Average]))</calculatedColumnFormula>
    </tableColumn>
    <tableColumn id="30" xr3:uid="{2A52F4F4-2F90-4AD6-B984-A56B370AF0DA}" uniqueName="30" name="MaximumAverage" queryTableFieldId="19" dataDxfId="62">
      <calculatedColumnFormula array="1">MAX(IF((DiscreteStatsTable[GroupByKey]=DiscreteStatsTable[[#This Row],[GroupByKey]]),(DiscreteStatsTable[GroupByKey]=DiscreteStatsTable[[#This Row],[GroupByKey]])*DiscreteStatsTable[Average]))</calculatedColumnFormula>
    </tableColumn>
    <tableColumn id="31" xr3:uid="{8F779A60-A5A0-46E8-A3EC-525B381B10BB}" uniqueName="31" name="OverallMinimum" queryTableFieldId="20" dataDxfId="61">
      <calculatedColumnFormula array="1">MIN(IF((DiscreteStatsTable[GroupByKey]=DiscreteStatsTable[[#This Row],[GroupByKey]]),(DiscreteStatsTable[GroupByKey]=DiscreteStatsTable[[#This Row],[GroupByKey]])*DiscreteStatsTable[Minimum]))</calculatedColumnFormula>
    </tableColumn>
    <tableColumn id="32" xr3:uid="{83AB0A70-565F-48C8-A2E8-EE0EA9F1409D}" uniqueName="32" name="OverallMaximum" queryTableFieldId="21" dataDxfId="60">
      <calculatedColumnFormula array="1">MAX(IF((DiscreteStatsTable[GroupByKey]=DiscreteStatsTable[[#This Row],[GroupByKey]]),(DiscreteStatsTable[GroupByKey]=DiscreteStatsTable[[#This Row],[GroupByKey]])*DiscreteStatsTable[Maximum]))</calculatedColumnFormula>
    </tableColumn>
    <tableColumn id="33" xr3:uid="{D80FED1A-93E2-4299-93E5-88DD6A833181}" uniqueName="33" name="AverageNumberObservations" queryTableFieldId="22" dataDxfId="59">
      <calculatedColumnFormula array="1">IFERROR(AVERAGE(IF((DiscreteStatsTable[GroupByKey]=DiscreteStatsTable[[#This Row],[GroupByKey]]),(DiscreteStatsTable[GroupByKey]=DiscreteStatsTable[[#This Row],[GroupByKey]])*DiscreteStatsTable[NumberObservations])),0)</calculatedColumnFormula>
    </tableColumn>
    <tableColumn id="1" xr3:uid="{58540987-2826-468C-8E32-1E71359DB3A8}" uniqueName="1" name="SummaryHalfWidth" queryTableFieldId="23" dataDxfId="58">
      <calculatedColumnFormula>IF((DiscreteStatsTable[[#This Row],[RepsRequested]]&gt;1),DiscreteStatsTable[[#This Row],[HalfWidth]],DiscreteStatsTable[[#This Row],[BatchMeansHalfWidth]])</calculatedColumnFormula>
    </tableColumn>
    <tableColumn id="2" xr3:uid="{E8743E28-D43F-400F-915A-38998F83310B}" uniqueName="2" name="RepsWithStatObserved" queryTableFieldId="24" dataDxfId="57">
      <calculatedColumnFormula array="1">COUNT(IF((DiscreteStatsTable[GroupByKey]=DiscreteStatsTable[[#This Row],[GroupByKey]]),(DiscreteStatsTable[GroupByKey]=DiscreteStatsTable[[#This Row],[GroupByKey]])*DiscreteStatsTable[Replication]))</calculatedColumnFormula>
    </tableColumn>
    <tableColumn id="3" xr3:uid="{529C8BD5-7271-4D48-9A0B-05492FE59015}" uniqueName="3" name="Observed=Requested" queryTableFieldId="25" dataDxfId="56">
      <calculatedColumnFormula>IF(DiscreteStatsTable[[#This Row],[RepsRequested]]=DiscreteStatsTable[[#This Row],[RepsWithStatObserved]],1,0)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15E2D25-10D1-4504-B9EB-6AFB492ED9AF}" name="ContinuousStatsTable" displayName="ContinuousStatsTable" ref="A1:U6" tableType="queryTable" totalsRowShown="0">
  <autoFilter ref="A1:U6" xr:uid="{515E2D25-10D1-4504-B9EB-6AFB492ED9AF}"/>
  <tableColumns count="21">
    <tableColumn id="13" xr3:uid="{F8CC730B-7057-43EA-ADC4-DCFE6B1974AA}" uniqueName="13" name="ProjectName" queryTableFieldId="1"/>
    <tableColumn id="14" xr3:uid="{C7F0DB8C-537A-4FAC-8EC5-C187321F4DCF}" uniqueName="14" name="Project RunDateTime" queryTableFieldId="2"/>
    <tableColumn id="15" xr3:uid="{EBDA60CA-09B2-43CB-A597-81333484EE53}" uniqueName="15" name="Replication" queryTableFieldId="3"/>
    <tableColumn id="16" xr3:uid="{DA72179F-33D1-4A08-AECA-868B85E97F4A}" uniqueName="16" name="Name" queryTableFieldId="4"/>
    <tableColumn id="17" xr3:uid="{84FF88E9-B003-4BA4-85B9-AF51D6DD3703}" uniqueName="17" name="Type" queryTableFieldId="5"/>
    <tableColumn id="18" xr3:uid="{9FC0130A-7ECE-4B9B-9A08-B57D494BE9BE}" uniqueName="18" name="Source" queryTableFieldId="6"/>
    <tableColumn id="19" xr3:uid="{BE287EAD-9E19-495A-AED2-DFB7310DC865}" uniqueName="19" name="Average" queryTableFieldId="7"/>
    <tableColumn id="20" xr3:uid="{CBA7534C-E241-4DD0-BC72-571B1AE10A3E}" uniqueName="20" name="BatchMeansHalfWidth" queryTableFieldId="8"/>
    <tableColumn id="21" xr3:uid="{6ABC4493-E87F-4C64-BFA9-DF5D218DB399}" uniqueName="21" name="Minimum" queryTableFieldId="9"/>
    <tableColumn id="23" xr3:uid="{32E7568D-CE29-48D5-A8FD-13E9260A91EA}" uniqueName="23" name="Maximum" queryTableFieldId="11"/>
    <tableColumn id="24" xr3:uid="{7378F84D-84B6-4056-B190-9C2C77564D90}" uniqueName="24" name="LastRecordedValue" queryTableFieldId="12"/>
    <tableColumn id="2" xr3:uid="{FB73785F-A6C9-4855-B9DF-6919714E4C35}" uniqueName="2" name="IsPeriodic" queryTableFieldId="22"/>
    <tableColumn id="25" xr3:uid="{3C99A543-21C7-4F35-81B3-0BBF5DE3C214}" uniqueName="25" name="GroupByKey" queryTableFieldId="13" dataDxfId="55">
      <calculatedColumnFormula>ContinuousStatsTable[[#This Row],[ProjectName]]&amp;ContinuousStatsTable[[#This Row],[Name]]&amp;ContinuousStatsTable[[#This Row],[Type]]&amp;ContinuousStatsTable[[#This Row],[Source]]</calculatedColumnFormula>
    </tableColumn>
    <tableColumn id="26" xr3:uid="{96AA8C13-861A-4EF9-9C16-9B05E1EB9B85}" uniqueName="26" name="RepsRequested" queryTableFieldId="14" dataDxfId="54">
      <calculatedColumnFormula array="1">MAX(IF((ProjectInfoTable[ProjectName]=ContinuousStatsTable[[#This Row],[ProjectName]]),(ProjectInfoTable[ProjectName]=ContinuousStatsTable[[#This Row],[ProjectName]])*ProjectInfoTable[NumberOfReplications]))</calculatedColumnFormula>
    </tableColumn>
    <tableColumn id="27" xr3:uid="{DC5BEF3E-5DCE-48BF-AC93-5C13B320A16A}" uniqueName="27" name="AverageOfAverage" queryTableFieldId="15" dataDxfId="53">
      <calculatedColumnFormula array="1">IFERROR(AVERAGE(IF((ContinuousStatsTable[GroupByKey]=ContinuousStatsTable[[#This Row],[GroupByKey]]),(ContinuousStatsTable[GroupByKey]=ContinuousStatsTable[[#This Row],[GroupByKey]])*ContinuousStatsTable[Average])),0)</calculatedColumnFormula>
    </tableColumn>
    <tableColumn id="28" xr3:uid="{8A83BB68-791E-4BDC-8870-4C9B13640A2F}" uniqueName="28" name="StDevOfAverage" queryTableFieldId="16" dataDxfId="52">
      <calculatedColumnFormula array="1">IFERROR(_xlfn.STDEV.S(IF((ContinuousStatsTable[GroupByKey]=ContinuousStatsTable[[#This Row],[GroupByKey]]),(ContinuousStatsTable[GroupByKey]=ContinuousStatsTable[[#This Row],[GroupByKey]])*ContinuousStatsTable[Average])),0)</calculatedColumnFormula>
    </tableColumn>
    <tableColumn id="29" xr3:uid="{4589A1B9-5226-45F5-9181-6B713B9224DD}" uniqueName="29" name="ConfidenceInterval" queryTableFieldId="17" dataDxfId="51">
      <calculatedColumnFormula array="1">MAX(IF((ProjectInfoTable[ProjectName]=ContinuousStatsTable[[#This Row],[ProjectName]]),(ProjectInfoTable[ProjectName]=ContinuousStatsTable[[#This Row],[ProjectName]])*ProjectInfoTable[ConfidenceInterval]))</calculatedColumnFormula>
    </tableColumn>
    <tableColumn id="30" xr3:uid="{276461DD-50B6-4205-B7B6-9C455CF42B35}" uniqueName="30" name="HalfWidth" queryTableFieldId="18" dataDxfId="50">
      <calculatedColumnFormula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calculatedColumnFormula>
    </tableColumn>
    <tableColumn id="31" xr3:uid="{BE7CD6BC-B4C7-41D1-9DFD-EE1C4243DE7D}" uniqueName="31" name="MinimumAverage" queryTableFieldId="19" dataDxfId="49">
      <calculatedColumnFormula array="1">MIN(IF((ContinuousStatsTable[GroupByKey]=ContinuousStatsTable[[#This Row],[GroupByKey]]),(ContinuousStatsTable[GroupByKey]=ContinuousStatsTable[[#This Row],[GroupByKey]])*ContinuousStatsTable[Average]))</calculatedColumnFormula>
    </tableColumn>
    <tableColumn id="32" xr3:uid="{3E34BA74-B5D3-4A91-B1F8-6DFD3D4CC93C}" uniqueName="32" name="MaximumAverage" queryTableFieldId="20" dataDxfId="48">
      <calculatedColumnFormula array="1">MAX(IF((ContinuousStatsTable[GroupByKey]=ContinuousStatsTable[[#This Row],[GroupByKey]]),(ContinuousStatsTable[GroupByKey]=ContinuousStatsTable[[#This Row],[GroupByKey]])*ContinuousStatsTable[Average]))</calculatedColumnFormula>
    </tableColumn>
    <tableColumn id="1" xr3:uid="{F71B2A7C-05D0-4DDC-A522-E749BF369FE4}" uniqueName="1" name="SummaryHalfWidth" queryTableFieldId="21" dataDxfId="47">
      <calculatedColumnFormula>IF((ContinuousStatsTable[[#This Row],[RepsRequested]]&gt;1),ContinuousStatsTable[[#This Row],[HalfWidth]],ContinuousStatsTable[[#This Row],[BatchMeansHalfWidth]])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514F9C1-C429-4FDA-89DC-C36D3F50723C}" name="CountersTable" displayName="CountersTable" ref="A1:O2" tableType="queryTable" insertRow="1" totalsRowShown="0">
  <autoFilter ref="A1:O2" xr:uid="{3514F9C1-C429-4FDA-89DC-C36D3F50723C}"/>
  <tableColumns count="15">
    <tableColumn id="8" xr3:uid="{311161D4-8A7A-4691-AF05-0257B359754A}" uniqueName="8" name="ProjectName" queryTableFieldId="1"/>
    <tableColumn id="9" xr3:uid="{207A7232-4220-403E-8D92-D3F5C9FA5F26}" uniqueName="9" name="Project RunDateTime" queryTableFieldId="2"/>
    <tableColumn id="10" xr3:uid="{4FBEB75E-2946-421C-86DA-1C1499130A40}" uniqueName="10" name="Replication" queryTableFieldId="3"/>
    <tableColumn id="11" xr3:uid="{3A55C6ED-76EA-4FA2-864E-62B4D2FDFA20}" uniqueName="11" name="Name" queryTableFieldId="4"/>
    <tableColumn id="12" xr3:uid="{83F90215-6DDF-44DA-B3B1-80C248BE27A1}" uniqueName="12" name="Type" queryTableFieldId="5"/>
    <tableColumn id="13" xr3:uid="{8EF8C774-3C72-4B94-B042-93F9580D7F32}" uniqueName="13" name="Source" queryTableFieldId="6"/>
    <tableColumn id="14" xr3:uid="{DCEBA966-CA65-4F2E-8D36-85D51646889B}" uniqueName="14" name="RecordedValue" queryTableFieldId="7"/>
    <tableColumn id="15" xr3:uid="{E1DF917F-BAA4-4D81-82B0-B3DB69287E66}" uniqueName="15" name="GroupByKey" queryTableFieldId="8">
      <calculatedColumnFormula>CountersTable[[#This Row],[ProjectName]]&amp;CountersTable[[#This Row],[Name]]&amp;CountersTable[[#This Row],[Type]]&amp;CountersTable[[#This Row],[Source]]</calculatedColumnFormula>
    </tableColumn>
    <tableColumn id="16" xr3:uid="{0EC31327-1462-4FCE-81FA-A93D3BC75EEC}" uniqueName="16" name="RepsRequested" queryTableFieldId="9">
      <calculatedColumnFormula array="1">MAX(IF((ProjectInfoTable[ProjectName]=CountersTable[[#This Row],[ProjectName]]),(ProjectInfoTable[ProjectName]=CountersTable[[#This Row],[ProjectName]])*ProjectInfoTable[NumberOfReplications]))</calculatedColumnFormula>
    </tableColumn>
    <tableColumn id="17" xr3:uid="{83EEC9E0-592C-47DA-9840-53EECBBBBC55}" uniqueName="17" name="Average" queryTableFieldId="10">
      <calculatedColumnFormula array="1">IFERROR(AVERAGE(IF((CountersTable[GroupByKey]=CountersTable[[#This Row],[GroupByKey]]),(CountersTable[GroupByKey]=CountersTable[[#This Row],[GroupByKey]])*CountersTable[RecordedValue])),0)</calculatedColumnFormula>
    </tableColumn>
    <tableColumn id="18" xr3:uid="{078459B2-36A2-4803-B64D-463716D95BB2}" uniqueName="18" name="StandardDeviation" queryTableFieldId="11">
      <calculatedColumnFormula array="1">IFERROR(_xlfn.STDEV.S(IF((CountersTable[GroupByKey]=CountersTable[[#This Row],[GroupByKey]]),(CountersTable[GroupByKey]=CountersTable[[#This Row],[GroupByKey]])*CountersTable[RecordedValue])),0)</calculatedColumnFormula>
    </tableColumn>
    <tableColumn id="19" xr3:uid="{2313E6BE-1372-4FCC-A225-39DD232EA3A8}" uniqueName="19" name="ConfidenceInterval" queryTableFieldId="12">
      <calculatedColumnFormula array="1">MAX(IF((ProjectInfoTable[ProjectName]=CountersTable[[#This Row],[ProjectName]]),(ProjectInfoTable[ProjectName]=CountersTable[[#This Row],[ProjectName]])*ProjectInfoTable[ConfidenceInterval]))</calculatedColumnFormula>
    </tableColumn>
    <tableColumn id="20" xr3:uid="{383558FD-8575-47BB-B3EE-D5CF8596D924}" uniqueName="20" name="HalfWidth" queryTableFieldId="13">
      <calculatedColumnFormula>IFERROR(_xlfn.T.INV.2T(1 - CountersTable[[#This Row],[ConfidenceInterval]],(CountersTable[[#This Row],[RepsRequested]]-1))*CountersTable[[#This Row],[StandardDeviation]]/SQRT(CountersTable[[#This Row],[RepsRequested]]),400000000000000000000)</calculatedColumnFormula>
    </tableColumn>
    <tableColumn id="21" xr3:uid="{6307FD8A-6094-460C-A310-5506B7FF21E8}" uniqueName="21" name="Minimum" queryTableFieldId="14">
      <calculatedColumnFormula array="1">MIN(IF((CountersTable[GroupByKey]=CountersTable[[#This Row],[GroupByKey]]),(CountersTable[GroupByKey]=CountersTable[[#This Row],[GroupByKey]])*CountersTable[RecordedValue]))</calculatedColumnFormula>
    </tableColumn>
    <tableColumn id="22" xr3:uid="{9ABA57A1-EF69-4C2D-BC8E-667C6365580F}" uniqueName="22" name="Maximum" queryTableFieldId="15">
      <calculatedColumnFormula array="1">MAX(IF((CountersTable[GroupByKey]=CountersTable[[#This Row],[GroupByKey]]),(CountersTable[GroupByKey]=CountersTable[[#This Row],[GroupByKey]])*CountersTable[RecordedValue]))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CFE6D32-2646-450F-830B-8AEF1EEBB7D0}" name="OutputTable" displayName="OutputTable" ref="A1:P6" tableType="queryTable" totalsRowShown="0">
  <autoFilter ref="A1:P6" xr:uid="{0CFE6D32-2646-450F-830B-8AEF1EEBB7D0}"/>
  <tableColumns count="16">
    <tableColumn id="8" xr3:uid="{D486C3BD-9AAC-46DD-ACC4-9BC49890CD67}" uniqueName="8" name="ProjectName" queryTableFieldId="1"/>
    <tableColumn id="9" xr3:uid="{5A09EB41-6C33-48F3-8E47-41502BD07F3F}" uniqueName="9" name="Project RunDateTime" queryTableFieldId="2"/>
    <tableColumn id="10" xr3:uid="{019A7831-98A4-4A75-86BE-F85F65BFD4AD}" uniqueName="10" name="Replication" queryTableFieldId="3"/>
    <tableColumn id="11" xr3:uid="{48A2AF62-DBFE-4B37-8B2B-9DD0FDFBE8C5}" uniqueName="11" name="Name" queryTableFieldId="4"/>
    <tableColumn id="12" xr3:uid="{B0FD435F-EA66-4320-A7D6-F910B1B3BB16}" uniqueName="12" name="Type" queryTableFieldId="5"/>
    <tableColumn id="13" xr3:uid="{27356D3B-E402-4B99-BC1D-1C90AE6D1AA6}" uniqueName="13" name="Source" queryTableFieldId="6"/>
    <tableColumn id="14" xr3:uid="{6A8BE1F8-E164-4401-823F-EA1292E98B9A}" uniqueName="14" name="RecordedValue" queryTableFieldId="7"/>
    <tableColumn id="1" xr3:uid="{6A815823-A413-416F-8205-B631079BF3CE}" uniqueName="1" name="IsPeriodic" queryTableFieldId="16"/>
    <tableColumn id="15" xr3:uid="{73216B75-E64A-499B-97E7-C9E0C4D95691}" uniqueName="15" name="GroupByKey" queryTableFieldId="8" dataDxfId="46">
      <calculatedColumnFormula>OutputTable[[#This Row],[ProjectName]]&amp;OutputTable[[#This Row],[Name]]&amp;OutputTable[[#This Row],[Type]]&amp;OutputTable[[#This Row],[Source]]</calculatedColumnFormula>
    </tableColumn>
    <tableColumn id="16" xr3:uid="{A3E53E59-BF0A-4436-ACE7-C1B1E006B035}" uniqueName="16" name="RepsRequested" queryTableFieldId="9" dataDxfId="45">
      <calculatedColumnFormula array="1">MAX(IF((ProjectInfoTable[ProjectName]=OutputTable[[#This Row],[ProjectName]]),(ProjectInfoTable[ProjectName]=OutputTable[[#This Row],[ProjectName]])*ProjectInfoTable[NumberOfReplications]))</calculatedColumnFormula>
    </tableColumn>
    <tableColumn id="17" xr3:uid="{FAE90C2A-7E5E-473F-8BB6-C855830DF435}" uniqueName="17" name="Average" queryTableFieldId="10" dataDxfId="44">
      <calculatedColumnFormula array="1">IFERROR(AVERAGE(IF((OutputTable[GroupByKey]=OutputTable[[#This Row],[GroupByKey]]),(OutputTable[GroupByKey]=OutputTable[[#This Row],[GroupByKey]])*OutputTable[RecordedValue])),0)</calculatedColumnFormula>
    </tableColumn>
    <tableColumn id="18" xr3:uid="{E1D65A78-A8CB-4748-AFBB-91D1238D1997}" uniqueName="18" name="StandardDeviation" queryTableFieldId="11" dataDxfId="43">
      <calculatedColumnFormula array="1">IFERROR(_xlfn.STDEV.S(IF((OutputTable[GroupByKey]=OutputTable[[#This Row],[GroupByKey]]),(OutputTable[GroupByKey]=OutputTable[[#This Row],[GroupByKey]])*OutputTable[RecordedValue])),0)</calculatedColumnFormula>
    </tableColumn>
    <tableColumn id="19" xr3:uid="{F0E4B0C8-5CDD-4696-A1F9-34259B30729A}" uniqueName="19" name="ConfidenceInterval" queryTableFieldId="12" dataDxfId="42">
      <calculatedColumnFormula array="1">MAX(IF((ProjectInfoTable[ProjectName]=OutputTable[[#This Row],[ProjectName]]),(ProjectInfoTable[ProjectName]=OutputTable[[#This Row],[ProjectName]])*ProjectInfoTable[ConfidenceInterval]))</calculatedColumnFormula>
    </tableColumn>
    <tableColumn id="20" xr3:uid="{F6055140-A8B2-4D78-8DA9-7F37668CF8BD}" uniqueName="20" name="HalfWidth" queryTableFieldId="13" dataDxfId="41">
      <calculatedColumnFormula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calculatedColumnFormula>
    </tableColumn>
    <tableColumn id="21" xr3:uid="{16E03B74-B6FC-4101-AF67-475C34678B76}" uniqueName="21" name="Minimum" queryTableFieldId="14" dataDxfId="40">
      <calculatedColumnFormula array="1">MIN(IF((OutputTable[GroupByKey]=OutputTable[[#This Row],[GroupByKey]]),(OutputTable[GroupByKey]=OutputTable[[#This Row],[GroupByKey]])*OutputTable[RecordedValue]))</calculatedColumnFormula>
    </tableColumn>
    <tableColumn id="22" xr3:uid="{751E9E3A-0294-49BC-AFD5-1BB07D0A01AB}" uniqueName="22" name="Maximum" queryTableFieldId="15" dataDxfId="39">
      <calculatedColumnFormula array="1">MAX(IF((OutputTable[GroupByKey]=OutputTable[[#This Row],[GroupByKey]]),(OutputTable[GroupByKey]=OutputTable[[#This Row],[GroupByKey]])*OutputTable[RecordedValue]))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343ED8-EEA5-41E8-B318-7A5C83E2F5A8}" name="FrequencyTable" displayName="FrequencyTable" ref="A1:Q2" tableType="queryTable" insertRow="1" totalsRowShown="0">
  <autoFilter ref="A1:Q2" xr:uid="{E0343ED8-EEA5-41E8-B318-7A5C83E2F5A8}"/>
  <tableColumns count="17">
    <tableColumn id="11" xr3:uid="{D1E0696C-CA6F-488E-A15C-6A4FC2F50BBE}" uniqueName="11" name="ProjectName" queryTableFieldId="1"/>
    <tableColumn id="12" xr3:uid="{ACBBEFFA-8113-4694-80A8-F7224CF1EC08}" uniqueName="12" name="Project RunDateTime" queryTableFieldId="2"/>
    <tableColumn id="13" xr3:uid="{FB09999C-E08C-40BF-B1EA-BFD8146CA103}" uniqueName="13" name="Replication" queryTableFieldId="3"/>
    <tableColumn id="14" xr3:uid="{F04EC293-A02E-4E00-9DB8-964C7A18DB2D}" uniqueName="14" name="Name" queryTableFieldId="4"/>
    <tableColumn id="15" xr3:uid="{00830461-A884-4C6C-9942-84062FF93E25}" uniqueName="15" name="Category" queryTableFieldId="5"/>
    <tableColumn id="16" xr3:uid="{5530FE9C-7555-4502-870E-4DD2C3E4B8E9}" uniqueName="16" name="Source" queryTableFieldId="6"/>
    <tableColumn id="17" xr3:uid="{9D802C8F-F3C7-4FF1-AF57-EC7887455993}" uniqueName="17" name="StandardPercentage" queryTableFieldId="7"/>
    <tableColumn id="18" xr3:uid="{29DFB714-F11F-4CAA-A5C2-7CF174781741}" uniqueName="18" name="RestrictedPercentage" queryTableFieldId="8" dataDxfId="38"/>
    <tableColumn id="19" xr3:uid="{1B58DA11-4222-4703-9B8D-130EDC3DA97C}" uniqueName="19" name="AverageTimeInCategory" queryTableFieldId="9"/>
    <tableColumn id="20" xr3:uid="{37AC61EF-71BF-4DF5-9ED9-599CBA446F03}" uniqueName="20" name="FrequencyCategoryCount" queryTableFieldId="10"/>
    <tableColumn id="1" xr3:uid="{31384D92-56C1-44A6-AEEA-3A94EE45E8C9}" uniqueName="1" name="IncludeOption" queryTableFieldId="18"/>
    <tableColumn id="21" xr3:uid="{73ACAB86-26E6-478B-857F-3C2F719ED684}" uniqueName="21" name="GroupByKey" queryTableFieldId="11">
      <calculatedColumnFormula>FrequencyTable[[#This Row],[ProjectName]]&amp;FrequencyTable[[#This Row],[Name]]&amp;FrequencyTable[[#This Row],[Category]]</calculatedColumnFormula>
    </tableColumn>
    <tableColumn id="23" xr3:uid="{61502E84-7C01-4AEF-B988-9D3B8D265790}" uniqueName="23" name="SummaryStandardPercentage" queryTableFieldId="13">
      <calculatedColumnFormula>FrequencyTable[[#This Row],[StandardPercentage]]/100</calculatedColumnFormula>
    </tableColumn>
    <tableColumn id="24" xr3:uid="{4A1374DE-04B6-48FF-B5A0-D67F4D9D18E6}" uniqueName="24" name="SummaryRestrictedPercentage" queryTableFieldId="14" dataDxfId="37">
      <calculatedColumnFormula>IF(FrequencyTable[[#This Row],[IncludeOption]]=1,(FrequencyTable[[#This Row],[RestrictedPercentage]]/100),400000000000000000000)</calculatedColumnFormula>
    </tableColumn>
    <tableColumn id="25" xr3:uid="{32932184-29EB-43F0-9DE6-B5FA2A629459}" uniqueName="25" name="RepsRequested" queryTableFieldId="15">
      <calculatedColumnFormula array="1">MAX(IF((ProjectInfoTable[ProjectName]=FrequencyTable[[#This Row],[ProjectName]]),(ProjectInfoTable[ProjectName]=FrequencyTable[[#This Row],[ProjectName]])*ProjectInfoTable[NumberOfReplications]))</calculatedColumnFormula>
    </tableColumn>
    <tableColumn id="26" xr3:uid="{4A30AC15-5ADD-45E1-B1F1-0B1BF494AACD}" uniqueName="26" name="AverageStandardPercentage" queryTableFieldId="16">
      <calculatedColumnFormula array="1">IFERROR(SUM(IF((FrequencyTable[GroupByKey]=FrequencyTable[[#This Row],[GroupByKey]]),(FrequencyTable[GroupByKey]=FrequencyTable[[#This Row],[GroupByKey]])*FrequencyTable[SummaryStandardPercentage]))/FrequencyTable[[#This Row],[RepsRequested]],0)</calculatedColumnFormula>
    </tableColumn>
    <tableColumn id="27" xr3:uid="{0AD6A5B7-BA87-467B-8BC6-68963891DBDF}" uniqueName="27" name="AverageRestrictedPercentage" queryTableFieldId="17" dataDxfId="36">
      <calculatedColumnFormula array="1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F6E87-70A3-4155-8B5B-F10CEF152DA4}">
  <sheetPr codeName="Sheet10"/>
  <dimension ref="A1:G2"/>
  <sheetViews>
    <sheetView workbookViewId="0">
      <selection activeCell="F3" sqref="F3"/>
    </sheetView>
  </sheetViews>
  <sheetFormatPr defaultRowHeight="14.5" x14ac:dyDescent="0.35"/>
  <cols>
    <col min="1" max="1" width="15.26953125" bestFit="1" customWidth="1"/>
    <col min="2" max="2" width="80.7265625" bestFit="1" customWidth="1"/>
    <col min="3" max="3" width="17.81640625" bestFit="1" customWidth="1"/>
    <col min="4" max="4" width="11.54296875" bestFit="1" customWidth="1"/>
    <col min="5" max="5" width="22.1796875" bestFit="1" customWidth="1"/>
    <col min="6" max="6" width="23.6328125" bestFit="1" customWidth="1"/>
    <col min="7" max="7" width="19" bestFit="1" customWidth="1"/>
    <col min="8" max="10" width="19.453125" bestFit="1" customWidth="1"/>
    <col min="11" max="11" width="19.453125" customWidth="1"/>
  </cols>
  <sheetData>
    <row r="1" spans="1:7" x14ac:dyDescent="0.35">
      <c r="A1" t="s">
        <v>64</v>
      </c>
      <c r="B1" t="s">
        <v>25</v>
      </c>
      <c r="C1" t="s">
        <v>26</v>
      </c>
      <c r="D1" t="s">
        <v>39</v>
      </c>
      <c r="E1" t="s">
        <v>40</v>
      </c>
      <c r="F1" t="s">
        <v>56</v>
      </c>
      <c r="G1" t="s">
        <v>35</v>
      </c>
    </row>
    <row r="2" spans="1:7" x14ac:dyDescent="0.35">
      <c r="A2" t="s">
        <v>66</v>
      </c>
      <c r="B2" t="s">
        <v>68</v>
      </c>
      <c r="C2" t="s">
        <v>69</v>
      </c>
      <c r="D2">
        <v>3</v>
      </c>
      <c r="E2">
        <v>1</v>
      </c>
      <c r="F2">
        <v>24</v>
      </c>
      <c r="G2">
        <f>0.95</f>
        <v>0.95</v>
      </c>
    </row>
  </sheetData>
  <phoneticPr fontId="2" type="noConversion"/>
  <conditionalFormatting sqref="D2">
    <cfRule type="expression" dxfId="35" priority="1">
      <formula>D2=3</formula>
    </cfRule>
    <cfRule type="expression" dxfId="34" priority="2">
      <formula>D2=2</formula>
    </cfRule>
    <cfRule type="expression" dxfId="33" priority="3">
      <formula>D2=1</formula>
    </cfRule>
    <cfRule type="expression" dxfId="32" priority="4">
      <formula>D2=0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FF727-8C0E-4176-9AC7-7AC080671746}">
  <sheetPr codeName="Sheet16"/>
  <dimension ref="A1:AZ9"/>
  <sheetViews>
    <sheetView tabSelected="1" workbookViewId="0"/>
  </sheetViews>
  <sheetFormatPr defaultRowHeight="14.5" x14ac:dyDescent="0.35"/>
  <cols>
    <col min="1" max="1" width="33.1796875" customWidth="1"/>
    <col min="2" max="2" width="28.6328125" bestFit="1" customWidth="1"/>
    <col min="3" max="3" width="12.54296875" bestFit="1" customWidth="1"/>
    <col min="4" max="4" width="8.7265625" bestFit="1" customWidth="1"/>
    <col min="5" max="5" width="28.08984375" bestFit="1" customWidth="1"/>
    <col min="6" max="6" width="19.36328125" bestFit="1" customWidth="1"/>
    <col min="7" max="7" width="10.08984375" bestFit="1" customWidth="1"/>
    <col min="8" max="9" width="26.1796875" bestFit="1" customWidth="1"/>
    <col min="10" max="10" width="26.54296875" bestFit="1" customWidth="1"/>
    <col min="11" max="11" width="15.7265625" bestFit="1" customWidth="1"/>
    <col min="12" max="12" width="16.08984375" bestFit="1" customWidth="1"/>
    <col min="13" max="13" width="28.7265625" bestFit="1" customWidth="1"/>
    <col min="14" max="14" width="27.6328125" bestFit="1" customWidth="1"/>
    <col min="15" max="15" width="18.6328125" bestFit="1" customWidth="1"/>
    <col min="16" max="16" width="12" bestFit="1" customWidth="1"/>
    <col min="17" max="17" width="12.54296875" bestFit="1" customWidth="1"/>
    <col min="18" max="18" width="8.7265625" bestFit="1" customWidth="1"/>
    <col min="19" max="19" width="28.08984375" bestFit="1" customWidth="1"/>
    <col min="20" max="20" width="10.08984375" bestFit="1" customWidth="1"/>
    <col min="21" max="21" width="26.1796875" bestFit="1" customWidth="1"/>
    <col min="22" max="22" width="21.26953125" bestFit="1" customWidth="1"/>
    <col min="23" max="23" width="21.6328125" bestFit="1" customWidth="1"/>
    <col min="24" max="24" width="15.7265625" bestFit="1" customWidth="1"/>
    <col min="25" max="25" width="16.08984375" bestFit="1" customWidth="1"/>
    <col min="26" max="26" width="16.36328125" bestFit="1" customWidth="1"/>
    <col min="27" max="27" width="20.6328125" bestFit="1" customWidth="1"/>
    <col min="28" max="28" width="24.6328125" bestFit="1" customWidth="1"/>
    <col min="29" max="29" width="12" bestFit="1" customWidth="1"/>
    <col min="30" max="30" width="8.7265625" bestFit="1" customWidth="1"/>
    <col min="31" max="31" width="24.26953125" bestFit="1" customWidth="1"/>
    <col min="32" max="32" width="10" bestFit="1" customWidth="1"/>
    <col min="33" max="33" width="28.81640625" bestFit="1" customWidth="1"/>
    <col min="34" max="34" width="19.1796875" bestFit="1" customWidth="1"/>
    <col min="35" max="35" width="19.54296875" bestFit="1" customWidth="1"/>
    <col min="36" max="36" width="19.90625" bestFit="1" customWidth="1"/>
    <col min="37" max="37" width="32.36328125" bestFit="1" customWidth="1"/>
    <col min="38" max="38" width="24.6328125" bestFit="1" customWidth="1"/>
    <col min="39" max="39" width="12" bestFit="1" customWidth="1"/>
    <col min="40" max="40" width="8.7265625" bestFit="1" customWidth="1"/>
    <col min="41" max="41" width="24.26953125" bestFit="1" customWidth="1"/>
    <col min="42" max="42" width="10" bestFit="1" customWidth="1"/>
    <col min="43" max="43" width="28.81640625" bestFit="1" customWidth="1"/>
    <col min="44" max="44" width="19.1796875" bestFit="1" customWidth="1"/>
    <col min="45" max="45" width="19.54296875" bestFit="1" customWidth="1"/>
    <col min="46" max="46" width="19.90625" bestFit="1" customWidth="1"/>
    <col min="47" max="47" width="14.90625" bestFit="1" customWidth="1"/>
    <col min="48" max="48" width="20.6328125" bestFit="1" customWidth="1"/>
    <col min="49" max="49" width="26.36328125" bestFit="1" customWidth="1"/>
    <col min="50" max="50" width="8.7265625" bestFit="1" customWidth="1"/>
    <col min="51" max="51" width="25.81640625" bestFit="1" customWidth="1"/>
    <col min="52" max="52" width="26.6328125" bestFit="1" customWidth="1"/>
    <col min="53" max="53" width="27" bestFit="1" customWidth="1"/>
    <col min="54" max="54" width="24.90625" bestFit="1" customWidth="1"/>
    <col min="55" max="55" width="29.1796875" bestFit="1" customWidth="1"/>
    <col min="56" max="56" width="31.90625" bestFit="1" customWidth="1"/>
    <col min="57" max="57" width="21.81640625" bestFit="1" customWidth="1"/>
  </cols>
  <sheetData>
    <row r="1" spans="1:52" ht="18.5" x14ac:dyDescent="0.45">
      <c r="A1" s="1" t="s">
        <v>10</v>
      </c>
      <c r="O1" s="1" t="s">
        <v>12</v>
      </c>
      <c r="AA1" s="1" t="s">
        <v>18</v>
      </c>
      <c r="AK1" s="1" t="s">
        <v>13</v>
      </c>
      <c r="AU1" s="1" t="s">
        <v>11</v>
      </c>
    </row>
    <row r="2" spans="1:52" x14ac:dyDescent="0.35">
      <c r="A2" s="2" t="s">
        <v>41</v>
      </c>
      <c r="B2" s="2" t="s">
        <v>21</v>
      </c>
      <c r="C2" s="2" t="s">
        <v>23</v>
      </c>
      <c r="D2" s="2" t="s">
        <v>22</v>
      </c>
      <c r="E2" t="s">
        <v>49</v>
      </c>
      <c r="F2" t="s">
        <v>63</v>
      </c>
      <c r="G2" t="s">
        <v>28</v>
      </c>
      <c r="H2" t="s">
        <v>50</v>
      </c>
      <c r="I2" t="s">
        <v>52</v>
      </c>
      <c r="J2" t="s">
        <v>53</v>
      </c>
      <c r="K2" t="s">
        <v>19</v>
      </c>
      <c r="L2" t="s">
        <v>20</v>
      </c>
      <c r="M2" t="s">
        <v>51</v>
      </c>
      <c r="O2" s="2" t="s">
        <v>41</v>
      </c>
      <c r="P2" s="2" t="s">
        <v>21</v>
      </c>
      <c r="Q2" s="2" t="s">
        <v>23</v>
      </c>
      <c r="R2" s="2" t="s">
        <v>22</v>
      </c>
      <c r="S2" t="s">
        <v>49</v>
      </c>
      <c r="T2" t="s">
        <v>28</v>
      </c>
      <c r="U2" t="s">
        <v>50</v>
      </c>
      <c r="V2" t="s">
        <v>16</v>
      </c>
      <c r="W2" t="s">
        <v>17</v>
      </c>
      <c r="X2" t="s">
        <v>19</v>
      </c>
      <c r="Y2" t="s">
        <v>20</v>
      </c>
      <c r="AA2" s="2" t="s">
        <v>41</v>
      </c>
      <c r="AB2" s="2" t="s">
        <v>21</v>
      </c>
      <c r="AC2" s="2" t="s">
        <v>23</v>
      </c>
      <c r="AD2" s="2" t="s">
        <v>22</v>
      </c>
      <c r="AE2" t="s">
        <v>54</v>
      </c>
      <c r="AF2" t="s">
        <v>28</v>
      </c>
      <c r="AG2" t="s">
        <v>55</v>
      </c>
      <c r="AH2" t="s">
        <v>14</v>
      </c>
      <c r="AI2" t="s">
        <v>15</v>
      </c>
      <c r="AK2" s="2" t="s">
        <v>41</v>
      </c>
      <c r="AL2" s="2" t="s">
        <v>21</v>
      </c>
      <c r="AM2" s="2" t="s">
        <v>23</v>
      </c>
      <c r="AN2" s="2" t="s">
        <v>22</v>
      </c>
      <c r="AO2" t="s">
        <v>54</v>
      </c>
      <c r="AP2" t="s">
        <v>28</v>
      </c>
      <c r="AQ2" t="s">
        <v>55</v>
      </c>
      <c r="AR2" t="s">
        <v>14</v>
      </c>
      <c r="AS2" t="s">
        <v>15</v>
      </c>
      <c r="AU2" s="2" t="s">
        <v>41</v>
      </c>
      <c r="AV2" s="2" t="s">
        <v>21</v>
      </c>
      <c r="AW2" s="2" t="s">
        <v>57</v>
      </c>
      <c r="AX2" s="2" t="s">
        <v>22</v>
      </c>
      <c r="AY2" t="s">
        <v>58</v>
      </c>
      <c r="AZ2" t="s">
        <v>59</v>
      </c>
    </row>
    <row r="3" spans="1:52" x14ac:dyDescent="0.35">
      <c r="A3" t="s">
        <v>66</v>
      </c>
      <c r="B3" t="s">
        <v>70</v>
      </c>
      <c r="C3" t="s">
        <v>71</v>
      </c>
      <c r="D3" t="s">
        <v>72</v>
      </c>
      <c r="E3" s="5">
        <v>0</v>
      </c>
      <c r="F3" s="5">
        <v>1</v>
      </c>
      <c r="G3" s="5">
        <v>2E+20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5">
        <v>189</v>
      </c>
      <c r="O3" t="s">
        <v>66</v>
      </c>
      <c r="P3" t="s">
        <v>81</v>
      </c>
      <c r="Q3" t="s">
        <v>82</v>
      </c>
      <c r="R3" t="s">
        <v>83</v>
      </c>
      <c r="S3" s="5">
        <v>0.98952040175603595</v>
      </c>
      <c r="T3" s="5">
        <v>2E+20</v>
      </c>
      <c r="U3" s="5">
        <v>0</v>
      </c>
      <c r="V3" s="5">
        <v>0.98952040175603595</v>
      </c>
      <c r="W3" s="5">
        <v>0.98952040175603595</v>
      </c>
      <c r="X3" s="5">
        <v>0</v>
      </c>
      <c r="Y3" s="5">
        <v>1</v>
      </c>
      <c r="AA3" t="s">
        <v>98</v>
      </c>
      <c r="AB3" t="s">
        <v>98</v>
      </c>
      <c r="AC3" t="s">
        <v>98</v>
      </c>
      <c r="AD3" t="s">
        <v>98</v>
      </c>
      <c r="AE3" s="5"/>
      <c r="AF3" s="5"/>
      <c r="AG3" s="5"/>
      <c r="AH3" s="5"/>
      <c r="AI3" s="5"/>
      <c r="AK3" t="s">
        <v>66</v>
      </c>
      <c r="AL3" t="s">
        <v>96</v>
      </c>
      <c r="AM3" t="s">
        <v>95</v>
      </c>
      <c r="AN3" t="s">
        <v>97</v>
      </c>
      <c r="AO3" s="5">
        <v>189</v>
      </c>
      <c r="AP3" s="5">
        <v>4E+20</v>
      </c>
      <c r="AQ3" s="5">
        <v>0</v>
      </c>
      <c r="AR3" s="5">
        <v>189</v>
      </c>
      <c r="AS3" s="5">
        <v>189</v>
      </c>
      <c r="AU3" t="s">
        <v>98</v>
      </c>
      <c r="AV3" t="s">
        <v>98</v>
      </c>
      <c r="AW3" t="s">
        <v>98</v>
      </c>
      <c r="AX3" t="s">
        <v>98</v>
      </c>
      <c r="AY3" s="4"/>
      <c r="AZ3" s="4"/>
    </row>
    <row r="4" spans="1:52" x14ac:dyDescent="0.35">
      <c r="C4" t="s">
        <v>73</v>
      </c>
      <c r="D4" t="s">
        <v>72</v>
      </c>
      <c r="E4" s="5">
        <v>0</v>
      </c>
      <c r="F4" s="5">
        <v>1</v>
      </c>
      <c r="G4" s="5">
        <v>2E+20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189</v>
      </c>
      <c r="Q4" t="s">
        <v>84</v>
      </c>
      <c r="R4" t="s">
        <v>83</v>
      </c>
      <c r="S4" s="5">
        <v>1.9790408035120699</v>
      </c>
      <c r="T4" s="5">
        <v>2E+20</v>
      </c>
      <c r="U4" s="5">
        <v>0</v>
      </c>
      <c r="V4" s="5">
        <v>1.9790408035120699</v>
      </c>
      <c r="W4" s="5">
        <v>1.9790408035120699</v>
      </c>
      <c r="X4" s="5">
        <v>0</v>
      </c>
      <c r="Y4" s="5">
        <v>2</v>
      </c>
      <c r="AL4" t="s">
        <v>88</v>
      </c>
      <c r="AM4" t="s">
        <v>89</v>
      </c>
      <c r="AN4" t="s">
        <v>83</v>
      </c>
      <c r="AO4" s="5">
        <v>191</v>
      </c>
      <c r="AP4" s="5">
        <v>4E+20</v>
      </c>
      <c r="AQ4" s="5">
        <v>0</v>
      </c>
      <c r="AR4" s="5">
        <v>191</v>
      </c>
      <c r="AS4" s="5">
        <v>191</v>
      </c>
    </row>
    <row r="5" spans="1:52" x14ac:dyDescent="0.35">
      <c r="C5" t="s">
        <v>74</v>
      </c>
      <c r="D5" t="s">
        <v>72</v>
      </c>
      <c r="E5" s="5">
        <v>1.2881729934410999</v>
      </c>
      <c r="F5" s="5">
        <v>1</v>
      </c>
      <c r="G5" s="5">
        <v>2E+20</v>
      </c>
      <c r="H5" s="5">
        <v>0</v>
      </c>
      <c r="I5" s="5">
        <v>1.2881729934410999</v>
      </c>
      <c r="J5" s="5">
        <v>1.2881729934410999</v>
      </c>
      <c r="K5" s="5">
        <v>0.25</v>
      </c>
      <c r="L5" s="5">
        <v>2.8820411797140202</v>
      </c>
      <c r="M5" s="5">
        <v>189</v>
      </c>
      <c r="Q5" t="s">
        <v>85</v>
      </c>
      <c r="R5" t="s">
        <v>83</v>
      </c>
      <c r="S5" s="5">
        <v>2</v>
      </c>
      <c r="T5" s="5">
        <v>2E+20</v>
      </c>
      <c r="U5" s="5">
        <v>0</v>
      </c>
      <c r="V5" s="5">
        <v>2</v>
      </c>
      <c r="W5" s="5">
        <v>2</v>
      </c>
      <c r="X5" s="5">
        <v>2</v>
      </c>
      <c r="Y5" s="5">
        <v>2</v>
      </c>
      <c r="AL5" t="s">
        <v>90</v>
      </c>
      <c r="AM5" t="s">
        <v>91</v>
      </c>
      <c r="AN5" t="s">
        <v>83</v>
      </c>
      <c r="AO5" s="5">
        <v>0.98952040175603595</v>
      </c>
      <c r="AP5" s="5">
        <v>4E+20</v>
      </c>
      <c r="AQ5" s="5">
        <v>0</v>
      </c>
      <c r="AR5" s="5">
        <v>0.98952040175603595</v>
      </c>
      <c r="AS5" s="5">
        <v>0.98952040175603595</v>
      </c>
    </row>
    <row r="6" spans="1:52" x14ac:dyDescent="0.35">
      <c r="C6" t="s">
        <v>75</v>
      </c>
      <c r="D6" t="s">
        <v>72</v>
      </c>
      <c r="E6" s="5">
        <v>0</v>
      </c>
      <c r="F6" s="5">
        <v>1</v>
      </c>
      <c r="G6" s="5">
        <v>2E+20</v>
      </c>
      <c r="H6" s="5">
        <v>0</v>
      </c>
      <c r="I6" s="5">
        <v>0</v>
      </c>
      <c r="J6" s="5">
        <v>0</v>
      </c>
      <c r="K6" s="5">
        <v>0</v>
      </c>
      <c r="L6" s="5">
        <v>0</v>
      </c>
      <c r="M6" s="5">
        <v>189</v>
      </c>
      <c r="P6" t="s">
        <v>70</v>
      </c>
      <c r="Q6" t="s">
        <v>86</v>
      </c>
      <c r="R6" t="s">
        <v>72</v>
      </c>
      <c r="S6" s="5">
        <v>11.2683474061868</v>
      </c>
      <c r="T6" s="5">
        <v>3E+20</v>
      </c>
      <c r="U6" s="5">
        <v>0</v>
      </c>
      <c r="V6" s="5">
        <v>11.2683474061868</v>
      </c>
      <c r="W6" s="5">
        <v>11.2683474061868</v>
      </c>
      <c r="X6" s="5">
        <v>0</v>
      </c>
      <c r="Y6" s="5">
        <v>26</v>
      </c>
      <c r="AL6" t="s">
        <v>92</v>
      </c>
      <c r="AM6" t="s">
        <v>93</v>
      </c>
      <c r="AN6" t="s">
        <v>72</v>
      </c>
      <c r="AO6" s="5">
        <v>214</v>
      </c>
      <c r="AP6" s="5">
        <v>4E+20</v>
      </c>
      <c r="AQ6" s="5">
        <v>0</v>
      </c>
      <c r="AR6" s="5">
        <v>214</v>
      </c>
      <c r="AS6" s="5">
        <v>214</v>
      </c>
    </row>
    <row r="7" spans="1:52" x14ac:dyDescent="0.35">
      <c r="C7" t="s">
        <v>76</v>
      </c>
      <c r="D7" t="s">
        <v>72</v>
      </c>
      <c r="E7" s="5">
        <v>0.25</v>
      </c>
      <c r="F7" s="5">
        <v>1</v>
      </c>
      <c r="G7" s="5">
        <v>2E+20</v>
      </c>
      <c r="H7" s="5">
        <v>0</v>
      </c>
      <c r="I7" s="5">
        <v>0.25</v>
      </c>
      <c r="J7" s="5">
        <v>0.25</v>
      </c>
      <c r="K7" s="5">
        <v>0.25</v>
      </c>
      <c r="L7" s="5">
        <v>0.250000000000002</v>
      </c>
      <c r="M7" s="5">
        <v>189</v>
      </c>
      <c r="P7" t="s">
        <v>78</v>
      </c>
      <c r="Q7" t="s">
        <v>87</v>
      </c>
      <c r="R7" t="s">
        <v>80</v>
      </c>
      <c r="S7" s="5">
        <v>9.2893066026747206</v>
      </c>
      <c r="T7" s="5">
        <v>3E+20</v>
      </c>
      <c r="U7" s="5">
        <v>0</v>
      </c>
      <c r="V7" s="5">
        <v>9.2893066026747206</v>
      </c>
      <c r="W7" s="5">
        <v>9.2893066026747206</v>
      </c>
      <c r="X7" s="5">
        <v>0</v>
      </c>
      <c r="Y7" s="5">
        <v>24</v>
      </c>
      <c r="AL7" t="s">
        <v>94</v>
      </c>
      <c r="AM7" t="s">
        <v>95</v>
      </c>
      <c r="AN7" t="s">
        <v>72</v>
      </c>
      <c r="AO7" s="5">
        <v>189</v>
      </c>
      <c r="AP7" s="5">
        <v>4E+20</v>
      </c>
      <c r="AQ7" s="5">
        <v>0</v>
      </c>
      <c r="AR7" s="5">
        <v>189</v>
      </c>
      <c r="AS7" s="5">
        <v>189</v>
      </c>
    </row>
    <row r="8" spans="1:52" x14ac:dyDescent="0.35">
      <c r="C8" t="s">
        <v>77</v>
      </c>
      <c r="D8" t="s">
        <v>72</v>
      </c>
      <c r="E8" s="5">
        <v>1.0381729934410999</v>
      </c>
      <c r="F8" s="5">
        <v>1</v>
      </c>
      <c r="G8" s="5">
        <v>2E+20</v>
      </c>
      <c r="H8" s="5">
        <v>0</v>
      </c>
      <c r="I8" s="5">
        <v>1.0381729934410999</v>
      </c>
      <c r="J8" s="5">
        <v>1.0381729934410999</v>
      </c>
      <c r="K8" s="5">
        <v>0</v>
      </c>
      <c r="L8" s="5">
        <v>2.6320411797140202</v>
      </c>
      <c r="M8" s="5">
        <v>189</v>
      </c>
    </row>
    <row r="9" spans="1:52" x14ac:dyDescent="0.35">
      <c r="B9" t="s">
        <v>78</v>
      </c>
      <c r="C9" t="s">
        <v>79</v>
      </c>
      <c r="D9" t="s">
        <v>80</v>
      </c>
      <c r="E9" s="5">
        <v>1.0474882946786499</v>
      </c>
      <c r="F9" s="5">
        <v>1</v>
      </c>
      <c r="G9" s="5">
        <v>2E+20</v>
      </c>
      <c r="H9" s="5">
        <v>0</v>
      </c>
      <c r="I9" s="5">
        <v>1.0474882946786499</v>
      </c>
      <c r="J9" s="5">
        <v>1.0474882946786499</v>
      </c>
      <c r="K9" s="5">
        <v>0</v>
      </c>
      <c r="L9" s="5">
        <v>2.6320411797140202</v>
      </c>
      <c r="M9" s="5">
        <v>191</v>
      </c>
    </row>
  </sheetData>
  <dataConsolidate/>
  <conditionalFormatting pivot="1" sqref="G3:G9">
    <cfRule type="expression" dxfId="31" priority="14">
      <formula>G3=200000000000000000000</formula>
    </cfRule>
  </conditionalFormatting>
  <conditionalFormatting pivot="1" sqref="T3:T7">
    <cfRule type="expression" dxfId="30" priority="13">
      <formula>T3=200000000000000000000</formula>
    </cfRule>
  </conditionalFormatting>
  <conditionalFormatting pivot="1" sqref="T3:T7">
    <cfRule type="expression" dxfId="29" priority="12">
      <formula>T3=300000000000000000000</formula>
    </cfRule>
  </conditionalFormatting>
  <conditionalFormatting pivot="1" sqref="G3:G9">
    <cfRule type="expression" dxfId="28" priority="11">
      <formula>G3=300000000000000000000</formula>
    </cfRule>
  </conditionalFormatting>
  <conditionalFormatting pivot="1" sqref="F3:F9">
    <cfRule type="expression" dxfId="27" priority="10">
      <formula>F3=0</formula>
    </cfRule>
  </conditionalFormatting>
  <conditionalFormatting pivot="1" sqref="F3:F9">
    <cfRule type="expression" dxfId="26" priority="9">
      <formula>F3=1</formula>
    </cfRule>
  </conditionalFormatting>
  <conditionalFormatting pivot="1" sqref="T3:T7">
    <cfRule type="expression" dxfId="25" priority="8">
      <formula>T3=400000000000000000000</formula>
    </cfRule>
  </conditionalFormatting>
  <conditionalFormatting pivot="1" sqref="AP3:AP7">
    <cfRule type="expression" dxfId="24" priority="7">
      <formula>AP3=400000000000000000000</formula>
    </cfRule>
  </conditionalFormatting>
  <conditionalFormatting pivot="1" sqref="AF3">
    <cfRule type="expression" dxfId="23" priority="6">
      <formula>AF3=400000000000000000000</formula>
    </cfRule>
  </conditionalFormatting>
  <conditionalFormatting pivot="1" sqref="G3:G9">
    <cfRule type="expression" dxfId="22" priority="5">
      <formula>G3=400000000000000000000</formula>
    </cfRule>
  </conditionalFormatting>
  <conditionalFormatting pivot="1" sqref="AZ3">
    <cfRule type="expression" dxfId="21" priority="1">
      <formula>AZ3=4E+22%</formula>
    </cfRule>
  </conditionalFormatting>
  <pageMargins left="0.7" right="0.7" top="0.75" bottom="0.75" header="0.3" footer="0.3"/>
  <pageSetup orientation="portrait"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04063-8678-4C39-A793-CE510D1109E9}">
  <sheetPr codeName="Sheet11"/>
  <dimension ref="A1:Y8"/>
  <sheetViews>
    <sheetView workbookViewId="0">
      <selection activeCell="A2" sqref="A2:K61"/>
    </sheetView>
  </sheetViews>
  <sheetFormatPr defaultRowHeight="14.5" x14ac:dyDescent="0.35"/>
  <cols>
    <col min="1" max="1" width="15.26953125" bestFit="1" customWidth="1"/>
    <col min="2" max="2" width="21.08984375" bestFit="1" customWidth="1"/>
    <col min="3" max="3" width="12.36328125" bestFit="1" customWidth="1"/>
    <col min="4" max="4" width="32.453125" bestFit="1" customWidth="1"/>
    <col min="5" max="5" width="12.36328125" bestFit="1" customWidth="1"/>
    <col min="6" max="6" width="8.7265625" bestFit="1" customWidth="1"/>
    <col min="7" max="7" width="11.81640625" bestFit="1" customWidth="1"/>
    <col min="8" max="8" width="22.1796875" bestFit="1" customWidth="1"/>
    <col min="9" max="9" width="11.1796875" bestFit="1" customWidth="1"/>
    <col min="10" max="10" width="11.54296875" bestFit="1" customWidth="1"/>
    <col min="11" max="11" width="21.1796875" bestFit="1" customWidth="1"/>
    <col min="12" max="12" width="64" bestFit="1" customWidth="1"/>
    <col min="13" max="13" width="16.08984375" bestFit="1" customWidth="1"/>
    <col min="14" max="14" width="18.6328125" bestFit="1" customWidth="1"/>
    <col min="15" max="15" width="16.7265625" bestFit="1" customWidth="1"/>
    <col min="16" max="16" width="19" bestFit="1" customWidth="1"/>
    <col min="17" max="17" width="11.6328125" bestFit="1" customWidth="1"/>
    <col min="18" max="18" width="18" bestFit="1" customWidth="1"/>
    <col min="19" max="19" width="18.36328125" bestFit="1" customWidth="1"/>
    <col min="20" max="20" width="17.1796875" bestFit="1" customWidth="1"/>
    <col min="21" max="21" width="17.54296875" bestFit="1" customWidth="1"/>
    <col min="22" max="22" width="28.08984375" bestFit="1" customWidth="1"/>
    <col min="23" max="23" width="19.7265625" bestFit="1" customWidth="1"/>
    <col min="24" max="24" width="22.7265625" bestFit="1" customWidth="1"/>
    <col min="25" max="25" width="21.1796875" bestFit="1" customWidth="1"/>
  </cols>
  <sheetData>
    <row r="1" spans="1:25" x14ac:dyDescent="0.3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5</v>
      </c>
      <c r="L1" t="s">
        <v>24</v>
      </c>
      <c r="M1" t="s">
        <v>60</v>
      </c>
      <c r="N1" t="s">
        <v>30</v>
      </c>
      <c r="O1" t="s">
        <v>31</v>
      </c>
      <c r="P1" t="s">
        <v>35</v>
      </c>
      <c r="Q1" t="s">
        <v>44</v>
      </c>
      <c r="R1" t="s">
        <v>32</v>
      </c>
      <c r="S1" t="s">
        <v>33</v>
      </c>
      <c r="T1" t="s">
        <v>36</v>
      </c>
      <c r="U1" t="s">
        <v>37</v>
      </c>
      <c r="V1" t="s">
        <v>38</v>
      </c>
      <c r="W1" t="s">
        <v>46</v>
      </c>
      <c r="X1" t="s">
        <v>61</v>
      </c>
      <c r="Y1" t="s">
        <v>62</v>
      </c>
    </row>
    <row r="2" spans="1:25" x14ac:dyDescent="0.35">
      <c r="A2" t="s">
        <v>66</v>
      </c>
      <c r="B2" t="s">
        <v>69</v>
      </c>
      <c r="C2">
        <v>1</v>
      </c>
      <c r="D2" t="s">
        <v>70</v>
      </c>
      <c r="E2" t="s">
        <v>71</v>
      </c>
      <c r="F2" t="s">
        <v>72</v>
      </c>
      <c r="G2">
        <v>0</v>
      </c>
      <c r="H2">
        <v>2E+20</v>
      </c>
      <c r="I2">
        <v>0</v>
      </c>
      <c r="J2">
        <v>0</v>
      </c>
      <c r="K2">
        <v>189</v>
      </c>
      <c r="L2" t="str">
        <f>DiscreteStatsTable[[#This Row],[ProjectName]]&amp;DiscreteStatsTable[[#This Row],[Name]]&amp;DiscreteStatsTable[[#This Row],[Type]]&amp;DiscreteStatsTable[[#This Row],[Source]]</f>
        <v>Unnamed ProjectPacienteNVA TimeEntity</v>
      </c>
      <c r="M2" cm="1">
        <f t="array" ref="M2">MAX(IF((ProjectInfoTable[ProjectName]=DiscreteStatsTable[[#This Row],[ProjectName]]),(ProjectInfoTable[ProjectName]=DiscreteStatsTable[[#This Row],[ProjectName]])*ProjectInfoTable[NumberOfReplications]))</f>
        <v>1</v>
      </c>
      <c r="N2" cm="1">
        <f t="array" ref="N2">IFERROR(AVERAGE(IF((DiscreteStatsTable[GroupByKey]=DiscreteStatsTable[[#This Row],[GroupByKey]]),(DiscreteStatsTable[GroupByKey]=DiscreteStatsTable[[#This Row],[GroupByKey]])*DiscreteStatsTable[Average])),0)</f>
        <v>0</v>
      </c>
      <c r="O2" cm="1">
        <f t="array" ref="O2">IFERROR(_xlfn.STDEV.S(IF((DiscreteStatsTable[GroupByKey]=DiscreteStatsTable[[#This Row],[GroupByKey]]),(DiscreteStatsTable[GroupByKey]=DiscreteStatsTable[[#This Row],[GroupByKey]])*DiscreteStatsTable[Average])),0)</f>
        <v>0</v>
      </c>
      <c r="P2" cm="1">
        <f t="array" ref="P2">MAX(IF((ProjectInfoTable[ProjectName]=DiscreteStatsTable[[#This Row],[ProjectName]]),(ProjectInfoTable[ProjectName]=DiscreteStatsTable[[#This Row],[ProjectName]])*ProjectInfoTable[ConfidenceInterval]))</f>
        <v>0.95</v>
      </c>
      <c r="Q2">
        <f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2" cm="1">
        <f t="array" ref="R2">MIN(IF((DiscreteStatsTable[GroupByKey]=DiscreteStatsTable[[#This Row],[GroupByKey]]),(DiscreteStatsTable[GroupByKey]=DiscreteStatsTable[[#This Row],[GroupByKey]])*DiscreteStatsTable[Average]))</f>
        <v>0</v>
      </c>
      <c r="S2" cm="1">
        <f t="array" ref="S2">MAX(IF((DiscreteStatsTable[GroupByKey]=DiscreteStatsTable[[#This Row],[GroupByKey]]),(DiscreteStatsTable[GroupByKey]=DiscreteStatsTable[[#This Row],[GroupByKey]])*DiscreteStatsTable[Average]))</f>
        <v>0</v>
      </c>
      <c r="T2" cm="1">
        <f t="array" ref="T2">MIN(IF((DiscreteStatsTable[GroupByKey]=DiscreteStatsTable[[#This Row],[GroupByKey]]),(DiscreteStatsTable[GroupByKey]=DiscreteStatsTable[[#This Row],[GroupByKey]])*DiscreteStatsTable[Minimum]))</f>
        <v>0</v>
      </c>
      <c r="U2" cm="1">
        <f t="array" ref="U2">MAX(IF((DiscreteStatsTable[GroupByKey]=DiscreteStatsTable[[#This Row],[GroupByKey]]),(DiscreteStatsTable[GroupByKey]=DiscreteStatsTable[[#This Row],[GroupByKey]])*DiscreteStatsTable[Maximum]))</f>
        <v>0</v>
      </c>
      <c r="V2" cm="1">
        <f t="array" ref="V2">IFERROR(AVERAGE(IF((DiscreteStatsTable[GroupByKey]=DiscreteStatsTable[[#This Row],[GroupByKey]]),(DiscreteStatsTable[GroupByKey]=DiscreteStatsTable[[#This Row],[GroupByKey]])*DiscreteStatsTable[NumberObservations])),0)</f>
        <v>189</v>
      </c>
      <c r="W2">
        <f>IF((DiscreteStatsTable[[#This Row],[RepsRequested]]&gt;1),DiscreteStatsTable[[#This Row],[HalfWidth]],DiscreteStatsTable[[#This Row],[BatchMeansHalfWidth]])</f>
        <v>2E+20</v>
      </c>
      <c r="X2" cm="1">
        <f t="array" ref="X2">COUNT(IF((DiscreteStatsTable[GroupByKey]=DiscreteStatsTable[[#This Row],[GroupByKey]]),(DiscreteStatsTable[GroupByKey]=DiscreteStatsTable[[#This Row],[GroupByKey]])*DiscreteStatsTable[Replication]))</f>
        <v>1</v>
      </c>
      <c r="Y2">
        <f>IF(DiscreteStatsTable[[#This Row],[RepsRequested]]=DiscreteStatsTable[[#This Row],[RepsWithStatObserved]],1,0)</f>
        <v>1</v>
      </c>
    </row>
    <row r="3" spans="1:25" x14ac:dyDescent="0.35">
      <c r="A3" t="s">
        <v>66</v>
      </c>
      <c r="B3" t="s">
        <v>69</v>
      </c>
      <c r="C3">
        <v>1</v>
      </c>
      <c r="D3" t="s">
        <v>70</v>
      </c>
      <c r="E3" t="s">
        <v>73</v>
      </c>
      <c r="F3" t="s">
        <v>72</v>
      </c>
      <c r="G3">
        <v>0</v>
      </c>
      <c r="H3">
        <v>2E+20</v>
      </c>
      <c r="I3">
        <v>0</v>
      </c>
      <c r="J3">
        <v>0</v>
      </c>
      <c r="K3">
        <v>189</v>
      </c>
      <c r="L3" t="str">
        <f>DiscreteStatsTable[[#This Row],[ProjectName]]&amp;DiscreteStatsTable[[#This Row],[Name]]&amp;DiscreteStatsTable[[#This Row],[Type]]&amp;DiscreteStatsTable[[#This Row],[Source]]</f>
        <v>Unnamed ProjectPacienteOther TimeEntity</v>
      </c>
      <c r="M3" cm="1">
        <f t="array" ref="M3">MAX(IF((ProjectInfoTable[ProjectName]=DiscreteStatsTable[[#This Row],[ProjectName]]),(ProjectInfoTable[ProjectName]=DiscreteStatsTable[[#This Row],[ProjectName]])*ProjectInfoTable[NumberOfReplications]))</f>
        <v>1</v>
      </c>
      <c r="N3" cm="1">
        <f t="array" ref="N3">IFERROR(AVERAGE(IF((DiscreteStatsTable[GroupByKey]=DiscreteStatsTable[[#This Row],[GroupByKey]]),(DiscreteStatsTable[GroupByKey]=DiscreteStatsTable[[#This Row],[GroupByKey]])*DiscreteStatsTable[Average])),0)</f>
        <v>0</v>
      </c>
      <c r="O3" cm="1">
        <f t="array" ref="O3">IFERROR(_xlfn.STDEV.S(IF((DiscreteStatsTable[GroupByKey]=DiscreteStatsTable[[#This Row],[GroupByKey]]),(DiscreteStatsTable[GroupByKey]=DiscreteStatsTable[[#This Row],[GroupByKey]])*DiscreteStatsTable[Average])),0)</f>
        <v>0</v>
      </c>
      <c r="P3" cm="1">
        <f t="array" ref="P3">MAX(IF((ProjectInfoTable[ProjectName]=DiscreteStatsTable[[#This Row],[ProjectName]]),(ProjectInfoTable[ProjectName]=DiscreteStatsTable[[#This Row],[ProjectName]])*ProjectInfoTable[ConfidenceInterval]))</f>
        <v>0.95</v>
      </c>
      <c r="Q3">
        <f>IF(AND(DiscreteStatsTable[[#This Row],[RepsWithStatObserved]]=1,Y3=0),200000000000000000000,IFERROR(_xlfn.T.INV.2T(1 -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3" cm="1">
        <f t="array" ref="R3">MIN(IF((DiscreteStatsTable[GroupByKey]=DiscreteStatsTable[[#This Row],[GroupByKey]]),(DiscreteStatsTable[GroupByKey]=DiscreteStatsTable[[#This Row],[GroupByKey]])*DiscreteStatsTable[Average]))</f>
        <v>0</v>
      </c>
      <c r="S3" cm="1">
        <f t="array" ref="S3">MAX(IF((DiscreteStatsTable[GroupByKey]=DiscreteStatsTable[[#This Row],[GroupByKey]]),(DiscreteStatsTable[GroupByKey]=DiscreteStatsTable[[#This Row],[GroupByKey]])*DiscreteStatsTable[Average]))</f>
        <v>0</v>
      </c>
      <c r="T3" cm="1">
        <f t="array" ref="T3">MIN(IF((DiscreteStatsTable[GroupByKey]=DiscreteStatsTable[[#This Row],[GroupByKey]]),(DiscreteStatsTable[GroupByKey]=DiscreteStatsTable[[#This Row],[GroupByKey]])*DiscreteStatsTable[Minimum]))</f>
        <v>0</v>
      </c>
      <c r="U3" cm="1">
        <f t="array" ref="U3">MAX(IF((DiscreteStatsTable[GroupByKey]=DiscreteStatsTable[[#This Row],[GroupByKey]]),(DiscreteStatsTable[GroupByKey]=DiscreteStatsTable[[#This Row],[GroupByKey]])*DiscreteStatsTable[Maximum]))</f>
        <v>0</v>
      </c>
      <c r="V3" cm="1">
        <f t="array" ref="V3">IFERROR(AVERAGE(IF((DiscreteStatsTable[GroupByKey]=DiscreteStatsTable[[#This Row],[GroupByKey]]),(DiscreteStatsTable[GroupByKey]=DiscreteStatsTable[[#This Row],[GroupByKey]])*DiscreteStatsTable[NumberObservations])),0)</f>
        <v>189</v>
      </c>
      <c r="W3">
        <f>IF((DiscreteStatsTable[[#This Row],[RepsRequested]]&gt;1),DiscreteStatsTable[[#This Row],[HalfWidth]],DiscreteStatsTable[[#This Row],[BatchMeansHalfWidth]])</f>
        <v>2E+20</v>
      </c>
      <c r="X3" cm="1">
        <f t="array" ref="X3">COUNT(IF((DiscreteStatsTable[GroupByKey]=DiscreteStatsTable[[#This Row],[GroupByKey]]),(DiscreteStatsTable[GroupByKey]=DiscreteStatsTable[[#This Row],[GroupByKey]])*DiscreteStatsTable[Replication]))</f>
        <v>1</v>
      </c>
      <c r="Y3">
        <f>IF(DiscreteStatsTable[[#This Row],[RepsRequested]]=DiscreteStatsTable[[#This Row],[RepsWithStatObserved]],1,0)</f>
        <v>1</v>
      </c>
    </row>
    <row r="4" spans="1:25" x14ac:dyDescent="0.35">
      <c r="A4" t="s">
        <v>66</v>
      </c>
      <c r="B4" t="s">
        <v>69</v>
      </c>
      <c r="C4">
        <v>1</v>
      </c>
      <c r="D4" t="s">
        <v>70</v>
      </c>
      <c r="E4" t="s">
        <v>74</v>
      </c>
      <c r="F4" t="s">
        <v>72</v>
      </c>
      <c r="G4">
        <v>1.2881729934410999</v>
      </c>
      <c r="H4">
        <v>2E+20</v>
      </c>
      <c r="I4">
        <v>0.25</v>
      </c>
      <c r="J4">
        <v>2.8820411797140202</v>
      </c>
      <c r="K4">
        <v>189</v>
      </c>
      <c r="L4" t="str">
        <f>DiscreteStatsTable[[#This Row],[ProjectName]]&amp;DiscreteStatsTable[[#This Row],[Name]]&amp;DiscreteStatsTable[[#This Row],[Type]]&amp;DiscreteStatsTable[[#This Row],[Source]]</f>
        <v>Unnamed ProjectPacienteTotal TimeEntity</v>
      </c>
      <c r="M4" cm="1">
        <f t="array" ref="M4">MAX(IF((ProjectInfoTable[ProjectName]=DiscreteStatsTable[[#This Row],[ProjectName]]),(ProjectInfoTable[ProjectName]=DiscreteStatsTable[[#This Row],[ProjectName]])*ProjectInfoTable[NumberOfReplications]))</f>
        <v>1</v>
      </c>
      <c r="N4" cm="1">
        <f t="array" ref="N4">IFERROR(AVERAGE(IF((DiscreteStatsTable[GroupByKey]=DiscreteStatsTable[[#This Row],[GroupByKey]]),(DiscreteStatsTable[GroupByKey]=DiscreteStatsTable[[#This Row],[GroupByKey]])*DiscreteStatsTable[Average])),0)</f>
        <v>1.2881729934410999</v>
      </c>
      <c r="O4" cm="1">
        <f t="array" ref="O4">IFERROR(_xlfn.STDEV.S(IF((DiscreteStatsTable[GroupByKey]=DiscreteStatsTable[[#This Row],[GroupByKey]]),(DiscreteStatsTable[GroupByKey]=DiscreteStatsTable[[#This Row],[GroupByKey]])*DiscreteStatsTable[Average])),0)</f>
        <v>0</v>
      </c>
      <c r="P4" cm="1">
        <f t="array" ref="P4">MAX(IF((ProjectInfoTable[ProjectName]=DiscreteStatsTable[[#This Row],[ProjectName]]),(ProjectInfoTable[ProjectName]=DiscreteStatsTable[[#This Row],[ProjectName]])*ProjectInfoTable[ConfidenceInterval]))</f>
        <v>0.95</v>
      </c>
      <c r="Q4">
        <f>IF(AND(DiscreteStatsTable[[#This Row],[RepsWithStatObserved]]=1,Y4=0),200000000000000000000,IFERROR(_xlfn.T.INV.2T(1 -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4" cm="1">
        <f t="array" ref="R4">MIN(IF((DiscreteStatsTable[GroupByKey]=DiscreteStatsTable[[#This Row],[GroupByKey]]),(DiscreteStatsTable[GroupByKey]=DiscreteStatsTable[[#This Row],[GroupByKey]])*DiscreteStatsTable[Average]))</f>
        <v>1.2881729934410999</v>
      </c>
      <c r="S4" cm="1">
        <f t="array" ref="S4">MAX(IF((DiscreteStatsTable[GroupByKey]=DiscreteStatsTable[[#This Row],[GroupByKey]]),(DiscreteStatsTable[GroupByKey]=DiscreteStatsTable[[#This Row],[GroupByKey]])*DiscreteStatsTable[Average]))</f>
        <v>1.2881729934410999</v>
      </c>
      <c r="T4" cm="1">
        <f t="array" ref="T4">MIN(IF((DiscreteStatsTable[GroupByKey]=DiscreteStatsTable[[#This Row],[GroupByKey]]),(DiscreteStatsTable[GroupByKey]=DiscreteStatsTable[[#This Row],[GroupByKey]])*DiscreteStatsTable[Minimum]))</f>
        <v>0.25</v>
      </c>
      <c r="U4" cm="1">
        <f t="array" ref="U4">MAX(IF((DiscreteStatsTable[GroupByKey]=DiscreteStatsTable[[#This Row],[GroupByKey]]),(DiscreteStatsTable[GroupByKey]=DiscreteStatsTable[[#This Row],[GroupByKey]])*DiscreteStatsTable[Maximum]))</f>
        <v>2.8820411797140202</v>
      </c>
      <c r="V4" cm="1">
        <f t="array" ref="V4">IFERROR(AVERAGE(IF((DiscreteStatsTable[GroupByKey]=DiscreteStatsTable[[#This Row],[GroupByKey]]),(DiscreteStatsTable[GroupByKey]=DiscreteStatsTable[[#This Row],[GroupByKey]])*DiscreteStatsTable[NumberObservations])),0)</f>
        <v>189</v>
      </c>
      <c r="W4">
        <f>IF((DiscreteStatsTable[[#This Row],[RepsRequested]]&gt;1),DiscreteStatsTable[[#This Row],[HalfWidth]],DiscreteStatsTable[[#This Row],[BatchMeansHalfWidth]])</f>
        <v>2E+20</v>
      </c>
      <c r="X4" cm="1">
        <f t="array" ref="X4">COUNT(IF((DiscreteStatsTable[GroupByKey]=DiscreteStatsTable[[#This Row],[GroupByKey]]),(DiscreteStatsTable[GroupByKey]=DiscreteStatsTable[[#This Row],[GroupByKey]])*DiscreteStatsTable[Replication]))</f>
        <v>1</v>
      </c>
      <c r="Y4">
        <f>IF(DiscreteStatsTable[[#This Row],[RepsRequested]]=DiscreteStatsTable[[#This Row],[RepsWithStatObserved]],1,0)</f>
        <v>1</v>
      </c>
    </row>
    <row r="5" spans="1:25" x14ac:dyDescent="0.35">
      <c r="A5" t="s">
        <v>66</v>
      </c>
      <c r="B5" t="s">
        <v>69</v>
      </c>
      <c r="C5">
        <v>1</v>
      </c>
      <c r="D5" t="s">
        <v>70</v>
      </c>
      <c r="E5" t="s">
        <v>75</v>
      </c>
      <c r="F5" t="s">
        <v>72</v>
      </c>
      <c r="G5">
        <v>0</v>
      </c>
      <c r="H5">
        <v>2E+20</v>
      </c>
      <c r="I5">
        <v>0</v>
      </c>
      <c r="J5">
        <v>0</v>
      </c>
      <c r="K5">
        <v>189</v>
      </c>
      <c r="L5" t="str">
        <f>DiscreteStatsTable[[#This Row],[ProjectName]]&amp;DiscreteStatsTable[[#This Row],[Name]]&amp;DiscreteStatsTable[[#This Row],[Type]]&amp;DiscreteStatsTable[[#This Row],[Source]]</f>
        <v>Unnamed ProjectPacienteTransfer TimeEntity</v>
      </c>
      <c r="M5" cm="1">
        <f t="array" ref="M5">MAX(IF((ProjectInfoTable[ProjectName]=DiscreteStatsTable[[#This Row],[ProjectName]]),(ProjectInfoTable[ProjectName]=DiscreteStatsTable[[#This Row],[ProjectName]])*ProjectInfoTable[NumberOfReplications]))</f>
        <v>1</v>
      </c>
      <c r="N5" cm="1">
        <f t="array" ref="N5">IFERROR(AVERAGE(IF((DiscreteStatsTable[GroupByKey]=DiscreteStatsTable[[#This Row],[GroupByKey]]),(DiscreteStatsTable[GroupByKey]=DiscreteStatsTable[[#This Row],[GroupByKey]])*DiscreteStatsTable[Average])),0)</f>
        <v>0</v>
      </c>
      <c r="O5" cm="1">
        <f t="array" ref="O5">IFERROR(_xlfn.STDEV.S(IF((DiscreteStatsTable[GroupByKey]=DiscreteStatsTable[[#This Row],[GroupByKey]]),(DiscreteStatsTable[GroupByKey]=DiscreteStatsTable[[#This Row],[GroupByKey]])*DiscreteStatsTable[Average])),0)</f>
        <v>0</v>
      </c>
      <c r="P5" cm="1">
        <f t="array" ref="P5">MAX(IF((ProjectInfoTable[ProjectName]=DiscreteStatsTable[[#This Row],[ProjectName]]),(ProjectInfoTable[ProjectName]=DiscreteStatsTable[[#This Row],[ProjectName]])*ProjectInfoTable[ConfidenceInterval]))</f>
        <v>0.95</v>
      </c>
      <c r="Q5">
        <f>IF(AND(DiscreteStatsTable[[#This Row],[RepsWithStatObserved]]=1,Y5=0),200000000000000000000,IFERROR(_xlfn.T.INV.2T(1 -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5" cm="1">
        <f t="array" ref="R5">MIN(IF((DiscreteStatsTable[GroupByKey]=DiscreteStatsTable[[#This Row],[GroupByKey]]),(DiscreteStatsTable[GroupByKey]=DiscreteStatsTable[[#This Row],[GroupByKey]])*DiscreteStatsTable[Average]))</f>
        <v>0</v>
      </c>
      <c r="S5" cm="1">
        <f t="array" ref="S5">MAX(IF((DiscreteStatsTable[GroupByKey]=DiscreteStatsTable[[#This Row],[GroupByKey]]),(DiscreteStatsTable[GroupByKey]=DiscreteStatsTable[[#This Row],[GroupByKey]])*DiscreteStatsTable[Average]))</f>
        <v>0</v>
      </c>
      <c r="T5" cm="1">
        <f t="array" ref="T5">MIN(IF((DiscreteStatsTable[GroupByKey]=DiscreteStatsTable[[#This Row],[GroupByKey]]),(DiscreteStatsTable[GroupByKey]=DiscreteStatsTable[[#This Row],[GroupByKey]])*DiscreteStatsTable[Minimum]))</f>
        <v>0</v>
      </c>
      <c r="U5" cm="1">
        <f t="array" ref="U5">MAX(IF((DiscreteStatsTable[GroupByKey]=DiscreteStatsTable[[#This Row],[GroupByKey]]),(DiscreteStatsTable[GroupByKey]=DiscreteStatsTable[[#This Row],[GroupByKey]])*DiscreteStatsTable[Maximum]))</f>
        <v>0</v>
      </c>
      <c r="V5" cm="1">
        <f t="array" ref="V5">IFERROR(AVERAGE(IF((DiscreteStatsTable[GroupByKey]=DiscreteStatsTable[[#This Row],[GroupByKey]]),(DiscreteStatsTable[GroupByKey]=DiscreteStatsTable[[#This Row],[GroupByKey]])*DiscreteStatsTable[NumberObservations])),0)</f>
        <v>189</v>
      </c>
      <c r="W5">
        <f>IF((DiscreteStatsTable[[#This Row],[RepsRequested]]&gt;1),DiscreteStatsTable[[#This Row],[HalfWidth]],DiscreteStatsTable[[#This Row],[BatchMeansHalfWidth]])</f>
        <v>2E+20</v>
      </c>
      <c r="X5" cm="1">
        <f t="array" ref="X5">COUNT(IF((DiscreteStatsTable[GroupByKey]=DiscreteStatsTable[[#This Row],[GroupByKey]]),(DiscreteStatsTable[GroupByKey]=DiscreteStatsTable[[#This Row],[GroupByKey]])*DiscreteStatsTable[Replication]))</f>
        <v>1</v>
      </c>
      <c r="Y5">
        <f>IF(DiscreteStatsTable[[#This Row],[RepsRequested]]=DiscreteStatsTable[[#This Row],[RepsWithStatObserved]],1,0)</f>
        <v>1</v>
      </c>
    </row>
    <row r="6" spans="1:25" x14ac:dyDescent="0.35">
      <c r="A6" t="s">
        <v>66</v>
      </c>
      <c r="B6" t="s">
        <v>69</v>
      </c>
      <c r="C6">
        <v>1</v>
      </c>
      <c r="D6" t="s">
        <v>70</v>
      </c>
      <c r="E6" t="s">
        <v>76</v>
      </c>
      <c r="F6" t="s">
        <v>72</v>
      </c>
      <c r="G6">
        <v>0.25</v>
      </c>
      <c r="H6">
        <v>2E+20</v>
      </c>
      <c r="I6">
        <v>0.25</v>
      </c>
      <c r="J6">
        <v>0.250000000000002</v>
      </c>
      <c r="K6">
        <v>189</v>
      </c>
      <c r="L6" t="str">
        <f>DiscreteStatsTable[[#This Row],[ProjectName]]&amp;DiscreteStatsTable[[#This Row],[Name]]&amp;DiscreteStatsTable[[#This Row],[Type]]&amp;DiscreteStatsTable[[#This Row],[Source]]</f>
        <v>Unnamed ProjectPacienteVA TimeEntity</v>
      </c>
      <c r="M6" cm="1">
        <f t="array" ref="M6">MAX(IF((ProjectInfoTable[ProjectName]=DiscreteStatsTable[[#This Row],[ProjectName]]),(ProjectInfoTable[ProjectName]=DiscreteStatsTable[[#This Row],[ProjectName]])*ProjectInfoTable[NumberOfReplications]))</f>
        <v>1</v>
      </c>
      <c r="N6" cm="1">
        <f t="array" ref="N6">IFERROR(AVERAGE(IF((DiscreteStatsTable[GroupByKey]=DiscreteStatsTable[[#This Row],[GroupByKey]]),(DiscreteStatsTable[GroupByKey]=DiscreteStatsTable[[#This Row],[GroupByKey]])*DiscreteStatsTable[Average])),0)</f>
        <v>0.25</v>
      </c>
      <c r="O6" cm="1">
        <f t="array" ref="O6">IFERROR(_xlfn.STDEV.S(IF((DiscreteStatsTable[GroupByKey]=DiscreteStatsTable[[#This Row],[GroupByKey]]),(DiscreteStatsTable[GroupByKey]=DiscreteStatsTable[[#This Row],[GroupByKey]])*DiscreteStatsTable[Average])),0)</f>
        <v>0</v>
      </c>
      <c r="P6" cm="1">
        <f t="array" ref="P6">MAX(IF((ProjectInfoTable[ProjectName]=DiscreteStatsTable[[#This Row],[ProjectName]]),(ProjectInfoTable[ProjectName]=DiscreteStatsTable[[#This Row],[ProjectName]])*ProjectInfoTable[ConfidenceInterval]))</f>
        <v>0.95</v>
      </c>
      <c r="Q6">
        <f>IF(AND(DiscreteStatsTable[[#This Row],[RepsWithStatObserved]]=1,Y6=0),200000000000000000000,IFERROR(_xlfn.T.INV.2T(1 -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6" cm="1">
        <f t="array" ref="R6">MIN(IF((DiscreteStatsTable[GroupByKey]=DiscreteStatsTable[[#This Row],[GroupByKey]]),(DiscreteStatsTable[GroupByKey]=DiscreteStatsTable[[#This Row],[GroupByKey]])*DiscreteStatsTable[Average]))</f>
        <v>0.25</v>
      </c>
      <c r="S6" cm="1">
        <f t="array" ref="S6">MAX(IF((DiscreteStatsTable[GroupByKey]=DiscreteStatsTable[[#This Row],[GroupByKey]]),(DiscreteStatsTable[GroupByKey]=DiscreteStatsTable[[#This Row],[GroupByKey]])*DiscreteStatsTable[Average]))</f>
        <v>0.25</v>
      </c>
      <c r="T6" cm="1">
        <f t="array" ref="T6">MIN(IF((DiscreteStatsTable[GroupByKey]=DiscreteStatsTable[[#This Row],[GroupByKey]]),(DiscreteStatsTable[GroupByKey]=DiscreteStatsTable[[#This Row],[GroupByKey]])*DiscreteStatsTable[Minimum]))</f>
        <v>0.25</v>
      </c>
      <c r="U6" cm="1">
        <f t="array" ref="U6">MAX(IF((DiscreteStatsTable[GroupByKey]=DiscreteStatsTable[[#This Row],[GroupByKey]]),(DiscreteStatsTable[GroupByKey]=DiscreteStatsTable[[#This Row],[GroupByKey]])*DiscreteStatsTable[Maximum]))</f>
        <v>0.250000000000002</v>
      </c>
      <c r="V6" cm="1">
        <f t="array" ref="V6">IFERROR(AVERAGE(IF((DiscreteStatsTable[GroupByKey]=DiscreteStatsTable[[#This Row],[GroupByKey]]),(DiscreteStatsTable[GroupByKey]=DiscreteStatsTable[[#This Row],[GroupByKey]])*DiscreteStatsTable[NumberObservations])),0)</f>
        <v>189</v>
      </c>
      <c r="W6">
        <f>IF((DiscreteStatsTable[[#This Row],[RepsRequested]]&gt;1),DiscreteStatsTable[[#This Row],[HalfWidth]],DiscreteStatsTable[[#This Row],[BatchMeansHalfWidth]])</f>
        <v>2E+20</v>
      </c>
      <c r="X6" cm="1">
        <f t="array" ref="X6">COUNT(IF((DiscreteStatsTable[GroupByKey]=DiscreteStatsTable[[#This Row],[GroupByKey]]),(DiscreteStatsTable[GroupByKey]=DiscreteStatsTable[[#This Row],[GroupByKey]])*DiscreteStatsTable[Replication]))</f>
        <v>1</v>
      </c>
      <c r="Y6">
        <f>IF(DiscreteStatsTable[[#This Row],[RepsRequested]]=DiscreteStatsTable[[#This Row],[RepsWithStatObserved]],1,0)</f>
        <v>1</v>
      </c>
    </row>
    <row r="7" spans="1:25" x14ac:dyDescent="0.35">
      <c r="A7" t="s">
        <v>66</v>
      </c>
      <c r="B7" t="s">
        <v>69</v>
      </c>
      <c r="C7">
        <v>1</v>
      </c>
      <c r="D7" t="s">
        <v>70</v>
      </c>
      <c r="E7" t="s">
        <v>77</v>
      </c>
      <c r="F7" t="s">
        <v>72</v>
      </c>
      <c r="G7">
        <v>1.0381729934410999</v>
      </c>
      <c r="H7">
        <v>2E+20</v>
      </c>
      <c r="I7">
        <v>0</v>
      </c>
      <c r="J7">
        <v>2.6320411797140202</v>
      </c>
      <c r="K7">
        <v>189</v>
      </c>
      <c r="L7" t="str">
        <f>DiscreteStatsTable[[#This Row],[ProjectName]]&amp;DiscreteStatsTable[[#This Row],[Name]]&amp;DiscreteStatsTable[[#This Row],[Type]]&amp;DiscreteStatsTable[[#This Row],[Source]]</f>
        <v>Unnamed ProjectPacienteWait TimeEntity</v>
      </c>
      <c r="M7" cm="1">
        <f t="array" ref="M7">MAX(IF((ProjectInfoTable[ProjectName]=DiscreteStatsTable[[#This Row],[ProjectName]]),(ProjectInfoTable[ProjectName]=DiscreteStatsTable[[#This Row],[ProjectName]])*ProjectInfoTable[NumberOfReplications]))</f>
        <v>1</v>
      </c>
      <c r="N7" cm="1">
        <f t="array" ref="N7">IFERROR(AVERAGE(IF((DiscreteStatsTable[GroupByKey]=DiscreteStatsTable[[#This Row],[GroupByKey]]),(DiscreteStatsTable[GroupByKey]=DiscreteStatsTable[[#This Row],[GroupByKey]])*DiscreteStatsTable[Average])),0)</f>
        <v>1.0381729934410999</v>
      </c>
      <c r="O7" cm="1">
        <f t="array" ref="O7">IFERROR(_xlfn.STDEV.S(IF((DiscreteStatsTable[GroupByKey]=DiscreteStatsTable[[#This Row],[GroupByKey]]),(DiscreteStatsTable[GroupByKey]=DiscreteStatsTable[[#This Row],[GroupByKey]])*DiscreteStatsTable[Average])),0)</f>
        <v>0</v>
      </c>
      <c r="P7" cm="1">
        <f t="array" ref="P7">MAX(IF((ProjectInfoTable[ProjectName]=DiscreteStatsTable[[#This Row],[ProjectName]]),(ProjectInfoTable[ProjectName]=DiscreteStatsTable[[#This Row],[ProjectName]])*ProjectInfoTable[ConfidenceInterval]))</f>
        <v>0.95</v>
      </c>
      <c r="Q7">
        <f>IF(AND(DiscreteStatsTable[[#This Row],[RepsWithStatObserved]]=1,Y7=0),200000000000000000000,IFERROR(_xlfn.T.INV.2T(1 -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7" cm="1">
        <f t="array" ref="R7">MIN(IF((DiscreteStatsTable[GroupByKey]=DiscreteStatsTable[[#This Row],[GroupByKey]]),(DiscreteStatsTable[GroupByKey]=DiscreteStatsTable[[#This Row],[GroupByKey]])*DiscreteStatsTable[Average]))</f>
        <v>1.0381729934410999</v>
      </c>
      <c r="S7" cm="1">
        <f t="array" ref="S7">MAX(IF((DiscreteStatsTable[GroupByKey]=DiscreteStatsTable[[#This Row],[GroupByKey]]),(DiscreteStatsTable[GroupByKey]=DiscreteStatsTable[[#This Row],[GroupByKey]])*DiscreteStatsTable[Average]))</f>
        <v>1.0381729934410999</v>
      </c>
      <c r="T7" cm="1">
        <f t="array" ref="T7">MIN(IF((DiscreteStatsTable[GroupByKey]=DiscreteStatsTable[[#This Row],[GroupByKey]]),(DiscreteStatsTable[GroupByKey]=DiscreteStatsTable[[#This Row],[GroupByKey]])*DiscreteStatsTable[Minimum]))</f>
        <v>0</v>
      </c>
      <c r="U7" cm="1">
        <f t="array" ref="U7">MAX(IF((DiscreteStatsTable[GroupByKey]=DiscreteStatsTable[[#This Row],[GroupByKey]]),(DiscreteStatsTable[GroupByKey]=DiscreteStatsTable[[#This Row],[GroupByKey]])*DiscreteStatsTable[Maximum]))</f>
        <v>2.6320411797140202</v>
      </c>
      <c r="V7" cm="1">
        <f t="array" ref="V7">IFERROR(AVERAGE(IF((DiscreteStatsTable[GroupByKey]=DiscreteStatsTable[[#This Row],[GroupByKey]]),(DiscreteStatsTable[GroupByKey]=DiscreteStatsTable[[#This Row],[GroupByKey]])*DiscreteStatsTable[NumberObservations])),0)</f>
        <v>189</v>
      </c>
      <c r="W7">
        <f>IF((DiscreteStatsTable[[#This Row],[RepsRequested]]&gt;1),DiscreteStatsTable[[#This Row],[HalfWidth]],DiscreteStatsTable[[#This Row],[BatchMeansHalfWidth]])</f>
        <v>2E+20</v>
      </c>
      <c r="X7" cm="1">
        <f t="array" ref="X7">COUNT(IF((DiscreteStatsTable[GroupByKey]=DiscreteStatsTable[[#This Row],[GroupByKey]]),(DiscreteStatsTable[GroupByKey]=DiscreteStatsTable[[#This Row],[GroupByKey]])*DiscreteStatsTable[Replication]))</f>
        <v>1</v>
      </c>
      <c r="Y7">
        <f>IF(DiscreteStatsTable[[#This Row],[RepsRequested]]=DiscreteStatsTable[[#This Row],[RepsWithStatObserved]],1,0)</f>
        <v>1</v>
      </c>
    </row>
    <row r="8" spans="1:25" x14ac:dyDescent="0.35">
      <c r="A8" t="s">
        <v>66</v>
      </c>
      <c r="B8" t="s">
        <v>69</v>
      </c>
      <c r="C8">
        <v>1</v>
      </c>
      <c r="D8" t="s">
        <v>78</v>
      </c>
      <c r="E8" t="s">
        <v>79</v>
      </c>
      <c r="F8" t="s">
        <v>80</v>
      </c>
      <c r="G8">
        <v>1.0474882946786499</v>
      </c>
      <c r="H8">
        <v>2E+20</v>
      </c>
      <c r="I8">
        <v>0</v>
      </c>
      <c r="J8">
        <v>2.6320411797140202</v>
      </c>
      <c r="K8">
        <v>191</v>
      </c>
      <c r="L8" t="str">
        <f>DiscreteStatsTable[[#This Row],[ProjectName]]&amp;DiscreteStatsTable[[#This Row],[Name]]&amp;DiscreteStatsTable[[#This Row],[Type]]&amp;DiscreteStatsTable[[#This Row],[Source]]</f>
        <v>Unnamed ProjectProcesso atendimento medico.QueueWaiting TimeQueue</v>
      </c>
      <c r="M8" cm="1">
        <f t="array" ref="M8">MAX(IF((ProjectInfoTable[ProjectName]=DiscreteStatsTable[[#This Row],[ProjectName]]),(ProjectInfoTable[ProjectName]=DiscreteStatsTable[[#This Row],[ProjectName]])*ProjectInfoTable[NumberOfReplications]))</f>
        <v>1</v>
      </c>
      <c r="N8" cm="1">
        <f t="array" ref="N8">IFERROR(AVERAGE(IF((DiscreteStatsTable[GroupByKey]=DiscreteStatsTable[[#This Row],[GroupByKey]]),(DiscreteStatsTable[GroupByKey]=DiscreteStatsTable[[#This Row],[GroupByKey]])*DiscreteStatsTable[Average])),0)</f>
        <v>1.0474882946786499</v>
      </c>
      <c r="O8" cm="1">
        <f t="array" ref="O8">IFERROR(_xlfn.STDEV.S(IF((DiscreteStatsTable[GroupByKey]=DiscreteStatsTable[[#This Row],[GroupByKey]]),(DiscreteStatsTable[GroupByKey]=DiscreteStatsTable[[#This Row],[GroupByKey]])*DiscreteStatsTable[Average])),0)</f>
        <v>0</v>
      </c>
      <c r="P8" cm="1">
        <f t="array" ref="P8">MAX(IF((ProjectInfoTable[ProjectName]=DiscreteStatsTable[[#This Row],[ProjectName]]),(ProjectInfoTable[ProjectName]=DiscreteStatsTable[[#This Row],[ProjectName]])*ProjectInfoTable[ConfidenceInterval]))</f>
        <v>0.95</v>
      </c>
      <c r="Q8">
        <f>IF(AND(DiscreteStatsTable[[#This Row],[RepsWithStatObserved]]=1,Y8=0),200000000000000000000,IFERROR(_xlfn.T.INV.2T(1 -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8" cm="1">
        <f t="array" ref="R8">MIN(IF((DiscreteStatsTable[GroupByKey]=DiscreteStatsTable[[#This Row],[GroupByKey]]),(DiscreteStatsTable[GroupByKey]=DiscreteStatsTable[[#This Row],[GroupByKey]])*DiscreteStatsTable[Average]))</f>
        <v>1.0474882946786499</v>
      </c>
      <c r="S8" cm="1">
        <f t="array" ref="S8">MAX(IF((DiscreteStatsTable[GroupByKey]=DiscreteStatsTable[[#This Row],[GroupByKey]]),(DiscreteStatsTable[GroupByKey]=DiscreteStatsTable[[#This Row],[GroupByKey]])*DiscreteStatsTable[Average]))</f>
        <v>1.0474882946786499</v>
      </c>
      <c r="T8" cm="1">
        <f t="array" ref="T8">MIN(IF((DiscreteStatsTable[GroupByKey]=DiscreteStatsTable[[#This Row],[GroupByKey]]),(DiscreteStatsTable[GroupByKey]=DiscreteStatsTable[[#This Row],[GroupByKey]])*DiscreteStatsTable[Minimum]))</f>
        <v>0</v>
      </c>
      <c r="U8" cm="1">
        <f t="array" ref="U8">MAX(IF((DiscreteStatsTable[GroupByKey]=DiscreteStatsTable[[#This Row],[GroupByKey]]),(DiscreteStatsTable[GroupByKey]=DiscreteStatsTable[[#This Row],[GroupByKey]])*DiscreteStatsTable[Maximum]))</f>
        <v>2.6320411797140202</v>
      </c>
      <c r="V8" cm="1">
        <f t="array" ref="V8">IFERROR(AVERAGE(IF((DiscreteStatsTable[GroupByKey]=DiscreteStatsTable[[#This Row],[GroupByKey]]),(DiscreteStatsTable[GroupByKey]=DiscreteStatsTable[[#This Row],[GroupByKey]])*DiscreteStatsTable[NumberObservations])),0)</f>
        <v>191</v>
      </c>
      <c r="W8">
        <f>IF((DiscreteStatsTable[[#This Row],[RepsRequested]]&gt;1),DiscreteStatsTable[[#This Row],[HalfWidth]],DiscreteStatsTable[[#This Row],[BatchMeansHalfWidth]])</f>
        <v>2E+20</v>
      </c>
      <c r="X8" cm="1">
        <f t="array" ref="X8">COUNT(IF((DiscreteStatsTable[GroupByKey]=DiscreteStatsTable[[#This Row],[GroupByKey]]),(DiscreteStatsTable[GroupByKey]=DiscreteStatsTable[[#This Row],[GroupByKey]])*DiscreteStatsTable[Replication]))</f>
        <v>1</v>
      </c>
      <c r="Y8">
        <f>IF(DiscreteStatsTable[[#This Row],[RepsRequested]]=DiscreteStatsTable[[#This Row],[RepsWithStatObserved]],1,0)</f>
        <v>1</v>
      </c>
    </row>
  </sheetData>
  <phoneticPr fontId="2" type="noConversion"/>
  <conditionalFormatting sqref="H2:H8 Q2:Q8">
    <cfRule type="expression" dxfId="20" priority="23">
      <formula>H2=200000000000000000000</formula>
    </cfRule>
  </conditionalFormatting>
  <conditionalFormatting sqref="H2:H8">
    <cfRule type="expression" dxfId="19" priority="21">
      <formula>H2=300000000000000000000</formula>
    </cfRule>
  </conditionalFormatting>
  <conditionalFormatting sqref="L2:Y8">
    <cfRule type="expression" dxfId="18" priority="19">
      <formula>MOD(ROW(),2)=0</formula>
    </cfRule>
  </conditionalFormatting>
  <conditionalFormatting sqref="Y2:Y8">
    <cfRule type="expression" dxfId="17" priority="14">
      <formula>Y2=0</formula>
    </cfRule>
    <cfRule type="expression" dxfId="16" priority="16">
      <formula>Y2=1</formula>
    </cfRule>
  </conditionalFormatting>
  <conditionalFormatting sqref="Y3:Y8">
    <cfRule type="expression" dxfId="15" priority="15">
      <formula>Y3=1</formula>
    </cfRule>
  </conditionalFormatting>
  <conditionalFormatting sqref="W2:W8">
    <cfRule type="expression" dxfId="14" priority="6">
      <formula>W2=300000000000000000000</formula>
    </cfRule>
    <cfRule type="expression" dxfId="13" priority="7">
      <formula>W2=200000000000000000000</formula>
    </cfRule>
  </conditionalFormatting>
  <conditionalFormatting sqref="Q2:Q8 W2:W8">
    <cfRule type="expression" dxfId="12" priority="2">
      <formula>Q2=400000000000000000000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3E66E-8E77-4854-8383-E730BA7F079E}">
  <sheetPr codeName="Sheet12"/>
  <dimension ref="A1:U6"/>
  <sheetViews>
    <sheetView workbookViewId="0">
      <selection activeCell="A2" sqref="A2:L11"/>
    </sheetView>
  </sheetViews>
  <sheetFormatPr defaultRowHeight="14.5" x14ac:dyDescent="0.35"/>
  <cols>
    <col min="1" max="1" width="15.26953125" bestFit="1" customWidth="1"/>
    <col min="2" max="2" width="21.08984375" bestFit="1" customWidth="1"/>
    <col min="3" max="3" width="12.36328125" bestFit="1" customWidth="1"/>
    <col min="4" max="4" width="32.453125" bestFit="1" customWidth="1"/>
    <col min="5" max="5" width="21.81640625" bestFit="1" customWidth="1"/>
    <col min="6" max="6" width="8.7265625" bestFit="1" customWidth="1"/>
    <col min="7" max="7" width="11.81640625" bestFit="1" customWidth="1"/>
    <col min="8" max="8" width="22.1796875" bestFit="1" customWidth="1"/>
    <col min="9" max="9" width="11.1796875" bestFit="1" customWidth="1"/>
    <col min="10" max="10" width="11.54296875" bestFit="1" customWidth="1"/>
    <col min="11" max="11" width="19.26953125" bestFit="1" customWidth="1"/>
    <col min="12" max="12" width="11.1796875" bestFit="1" customWidth="1"/>
    <col min="13" max="13" width="66.81640625" bestFit="1" customWidth="1"/>
    <col min="14" max="14" width="16.08984375" bestFit="1" customWidth="1"/>
    <col min="15" max="15" width="18.6328125" bestFit="1" customWidth="1"/>
    <col min="16" max="16" width="16.7265625" bestFit="1" customWidth="1"/>
    <col min="17" max="17" width="19" bestFit="1" customWidth="1"/>
    <col min="18" max="18" width="11.6328125" bestFit="1" customWidth="1"/>
    <col min="19" max="19" width="18" bestFit="1" customWidth="1"/>
    <col min="20" max="20" width="18.36328125" bestFit="1" customWidth="1"/>
    <col min="21" max="21" width="19.7265625" bestFit="1" customWidth="1"/>
    <col min="22" max="22" width="20" bestFit="1" customWidth="1"/>
  </cols>
  <sheetData>
    <row r="1" spans="1:21" x14ac:dyDescent="0.3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9</v>
      </c>
      <c r="L1" t="s">
        <v>65</v>
      </c>
      <c r="M1" t="s">
        <v>24</v>
      </c>
      <c r="N1" t="s">
        <v>60</v>
      </c>
      <c r="O1" t="s">
        <v>30</v>
      </c>
      <c r="P1" t="s">
        <v>31</v>
      </c>
      <c r="Q1" t="s">
        <v>35</v>
      </c>
      <c r="R1" t="s">
        <v>44</v>
      </c>
      <c r="S1" t="s">
        <v>32</v>
      </c>
      <c r="T1" t="s">
        <v>33</v>
      </c>
      <c r="U1" t="s">
        <v>46</v>
      </c>
    </row>
    <row r="2" spans="1:21" x14ac:dyDescent="0.35">
      <c r="A2" t="s">
        <v>66</v>
      </c>
      <c r="B2" t="s">
        <v>69</v>
      </c>
      <c r="C2">
        <v>1</v>
      </c>
      <c r="D2" t="s">
        <v>81</v>
      </c>
      <c r="E2" t="s">
        <v>82</v>
      </c>
      <c r="F2" t="s">
        <v>83</v>
      </c>
      <c r="G2">
        <v>0.98952040175603595</v>
      </c>
      <c r="H2">
        <v>2E+20</v>
      </c>
      <c r="I2">
        <v>0</v>
      </c>
      <c r="J2">
        <v>1</v>
      </c>
      <c r="K2">
        <v>1</v>
      </c>
      <c r="L2">
        <v>0</v>
      </c>
      <c r="M2" t="str">
        <f>ContinuousStatsTable[[#This Row],[ProjectName]]&amp;ContinuousStatsTable[[#This Row],[Name]]&amp;ContinuousStatsTable[[#This Row],[Type]]&amp;ContinuousStatsTable[[#This Row],[Source]]</f>
        <v>Unnamed ProjectMedicoInstantaneous UtilizationResource</v>
      </c>
      <c r="N2" cm="1">
        <f t="array" ref="N2">MAX(IF((ProjectInfoTable[ProjectName]=ContinuousStatsTable[[#This Row],[ProjectName]]),(ProjectInfoTable[ProjectName]=ContinuousStatsTable[[#This Row],[ProjectName]])*ProjectInfoTable[NumberOfReplications]))</f>
        <v>1</v>
      </c>
      <c r="O2" cm="1">
        <f t="array" ref="O2">IFERROR(AVERAGE(IF((ContinuousStatsTable[GroupByKey]=ContinuousStatsTable[[#This Row],[GroupByKey]]),(ContinuousStatsTable[GroupByKey]=ContinuousStatsTable[[#This Row],[GroupByKey]])*ContinuousStatsTable[Average])),0)</f>
        <v>0.98952040175603595</v>
      </c>
      <c r="P2" cm="1">
        <f t="array" ref="P2">IFERROR(_xlfn.STDEV.S(IF((ContinuousStatsTable[GroupByKey]=ContinuousStatsTable[[#This Row],[GroupByKey]]),(ContinuousStatsTable[GroupByKey]=ContinuousStatsTable[[#This Row],[GroupByKey]])*ContinuousStatsTable[Average])),0)</f>
        <v>0</v>
      </c>
      <c r="Q2" cm="1">
        <f t="array" ref="Q2">MAX(IF((ProjectInfoTable[ProjectName]=ContinuousStatsTable[[#This Row],[ProjectName]]),(ProjectInfoTable[ProjectName]=ContinuousStatsTable[[#This Row],[ProjectName]])*ProjectInfoTable[ConfidenceInterval]))</f>
        <v>0.95</v>
      </c>
      <c r="R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2" cm="1">
        <f t="array" ref="S2">MIN(IF((ContinuousStatsTable[GroupByKey]=ContinuousStatsTable[[#This Row],[GroupByKey]]),(ContinuousStatsTable[GroupByKey]=ContinuousStatsTable[[#This Row],[GroupByKey]])*ContinuousStatsTable[Average]))</f>
        <v>0.98952040175603595</v>
      </c>
      <c r="T2" cm="1">
        <f t="array" ref="T2">MAX(IF((ContinuousStatsTable[GroupByKey]=ContinuousStatsTable[[#This Row],[GroupByKey]]),(ContinuousStatsTable[GroupByKey]=ContinuousStatsTable[[#This Row],[GroupByKey]])*ContinuousStatsTable[Average]))</f>
        <v>0.98952040175603595</v>
      </c>
      <c r="U2">
        <f>IF((ContinuousStatsTable[[#This Row],[RepsRequested]]&gt;1),ContinuousStatsTable[[#This Row],[HalfWidth]],ContinuousStatsTable[[#This Row],[BatchMeansHalfWidth]])</f>
        <v>2E+20</v>
      </c>
    </row>
    <row r="3" spans="1:21" x14ac:dyDescent="0.35">
      <c r="A3" t="s">
        <v>66</v>
      </c>
      <c r="B3" t="s">
        <v>69</v>
      </c>
      <c r="C3">
        <v>1</v>
      </c>
      <c r="D3" t="s">
        <v>81</v>
      </c>
      <c r="E3" t="s">
        <v>84</v>
      </c>
      <c r="F3" t="s">
        <v>83</v>
      </c>
      <c r="G3">
        <v>1.9790408035120699</v>
      </c>
      <c r="H3">
        <v>2E+20</v>
      </c>
      <c r="I3">
        <v>0</v>
      </c>
      <c r="J3">
        <v>2</v>
      </c>
      <c r="K3">
        <v>2</v>
      </c>
      <c r="L3">
        <v>0</v>
      </c>
      <c r="M3" t="str">
        <f>ContinuousStatsTable[[#This Row],[ProjectName]]&amp;ContinuousStatsTable[[#This Row],[Name]]&amp;ContinuousStatsTable[[#This Row],[Type]]&amp;ContinuousStatsTable[[#This Row],[Source]]</f>
        <v>Unnamed ProjectMedicoNumber BusyResource</v>
      </c>
      <c r="N3" cm="1">
        <f t="array" ref="N3">MAX(IF((ProjectInfoTable[ProjectName]=ContinuousStatsTable[[#This Row],[ProjectName]]),(ProjectInfoTable[ProjectName]=ContinuousStatsTable[[#This Row],[ProjectName]])*ProjectInfoTable[NumberOfReplications]))</f>
        <v>1</v>
      </c>
      <c r="O3" cm="1">
        <f t="array" ref="O3">IFERROR(AVERAGE(IF((ContinuousStatsTable[GroupByKey]=ContinuousStatsTable[[#This Row],[GroupByKey]]),(ContinuousStatsTable[GroupByKey]=ContinuousStatsTable[[#This Row],[GroupByKey]])*ContinuousStatsTable[Average])),0)</f>
        <v>1.9790408035120699</v>
      </c>
      <c r="P3" cm="1">
        <f t="array" ref="P3">IFERROR(_xlfn.STDEV.S(IF((ContinuousStatsTable[GroupByKey]=ContinuousStatsTable[[#This Row],[GroupByKey]]),(ContinuousStatsTable[GroupByKey]=ContinuousStatsTable[[#This Row],[GroupByKey]])*ContinuousStatsTable[Average])),0)</f>
        <v>0</v>
      </c>
      <c r="Q3" cm="1">
        <f t="array" ref="Q3">MAX(IF((ProjectInfoTable[ProjectName]=ContinuousStatsTable[[#This Row],[ProjectName]]),(ProjectInfoTable[ProjectName]=ContinuousStatsTable[[#This Row],[ProjectName]])*ProjectInfoTable[ConfidenceInterval]))</f>
        <v>0.95</v>
      </c>
      <c r="R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3" cm="1">
        <f t="array" ref="S3">MIN(IF((ContinuousStatsTable[GroupByKey]=ContinuousStatsTable[[#This Row],[GroupByKey]]),(ContinuousStatsTable[GroupByKey]=ContinuousStatsTable[[#This Row],[GroupByKey]])*ContinuousStatsTable[Average]))</f>
        <v>1.9790408035120699</v>
      </c>
      <c r="T3" cm="1">
        <f t="array" ref="T3">MAX(IF((ContinuousStatsTable[GroupByKey]=ContinuousStatsTable[[#This Row],[GroupByKey]]),(ContinuousStatsTable[GroupByKey]=ContinuousStatsTable[[#This Row],[GroupByKey]])*ContinuousStatsTable[Average]))</f>
        <v>1.9790408035120699</v>
      </c>
      <c r="U3">
        <f>IF((ContinuousStatsTable[[#This Row],[RepsRequested]]&gt;1),ContinuousStatsTable[[#This Row],[HalfWidth]],ContinuousStatsTable[[#This Row],[BatchMeansHalfWidth]])</f>
        <v>2E+20</v>
      </c>
    </row>
    <row r="4" spans="1:21" x14ac:dyDescent="0.35">
      <c r="A4" t="s">
        <v>66</v>
      </c>
      <c r="B4" t="s">
        <v>69</v>
      </c>
      <c r="C4">
        <v>1</v>
      </c>
      <c r="D4" t="s">
        <v>81</v>
      </c>
      <c r="E4" t="s">
        <v>85</v>
      </c>
      <c r="F4" t="s">
        <v>83</v>
      </c>
      <c r="G4">
        <v>2</v>
      </c>
      <c r="H4">
        <v>2E+20</v>
      </c>
      <c r="I4">
        <v>2</v>
      </c>
      <c r="J4">
        <v>2</v>
      </c>
      <c r="K4">
        <v>2</v>
      </c>
      <c r="L4">
        <v>0</v>
      </c>
      <c r="M4" t="str">
        <f>ContinuousStatsTable[[#This Row],[ProjectName]]&amp;ContinuousStatsTable[[#This Row],[Name]]&amp;ContinuousStatsTable[[#This Row],[Type]]&amp;ContinuousStatsTable[[#This Row],[Source]]</f>
        <v>Unnamed ProjectMedicoNumber ScheduledResource</v>
      </c>
      <c r="N4" cm="1">
        <f t="array" ref="N4">MAX(IF((ProjectInfoTable[ProjectName]=ContinuousStatsTable[[#This Row],[ProjectName]]),(ProjectInfoTable[ProjectName]=ContinuousStatsTable[[#This Row],[ProjectName]])*ProjectInfoTable[NumberOfReplications]))</f>
        <v>1</v>
      </c>
      <c r="O4" cm="1">
        <f t="array" ref="O4">IFERROR(AVERAGE(IF((ContinuousStatsTable[GroupByKey]=ContinuousStatsTable[[#This Row],[GroupByKey]]),(ContinuousStatsTable[GroupByKey]=ContinuousStatsTable[[#This Row],[GroupByKey]])*ContinuousStatsTable[Average])),0)</f>
        <v>2</v>
      </c>
      <c r="P4" cm="1">
        <f t="array" ref="P4">IFERROR(_xlfn.STDEV.S(IF((ContinuousStatsTable[GroupByKey]=ContinuousStatsTable[[#This Row],[GroupByKey]]),(ContinuousStatsTable[GroupByKey]=ContinuousStatsTable[[#This Row],[GroupByKey]])*ContinuousStatsTable[Average])),0)</f>
        <v>0</v>
      </c>
      <c r="Q4" cm="1">
        <f t="array" ref="Q4">MAX(IF((ProjectInfoTable[ProjectName]=ContinuousStatsTable[[#This Row],[ProjectName]]),(ProjectInfoTable[ProjectName]=ContinuousStatsTable[[#This Row],[ProjectName]])*ProjectInfoTable[ConfidenceInterval]))</f>
        <v>0.95</v>
      </c>
      <c r="R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4" cm="1">
        <f t="array" ref="S4">MIN(IF((ContinuousStatsTable[GroupByKey]=ContinuousStatsTable[[#This Row],[GroupByKey]]),(ContinuousStatsTable[GroupByKey]=ContinuousStatsTable[[#This Row],[GroupByKey]])*ContinuousStatsTable[Average]))</f>
        <v>2</v>
      </c>
      <c r="T4" cm="1">
        <f t="array" ref="T4">MAX(IF((ContinuousStatsTable[GroupByKey]=ContinuousStatsTable[[#This Row],[GroupByKey]]),(ContinuousStatsTable[GroupByKey]=ContinuousStatsTable[[#This Row],[GroupByKey]])*ContinuousStatsTable[Average]))</f>
        <v>2</v>
      </c>
      <c r="U4">
        <f>IF((ContinuousStatsTable[[#This Row],[RepsRequested]]&gt;1),ContinuousStatsTable[[#This Row],[HalfWidth]],ContinuousStatsTable[[#This Row],[BatchMeansHalfWidth]])</f>
        <v>2E+20</v>
      </c>
    </row>
    <row r="5" spans="1:21" x14ac:dyDescent="0.35">
      <c r="A5" t="s">
        <v>66</v>
      </c>
      <c r="B5" t="s">
        <v>69</v>
      </c>
      <c r="C5">
        <v>1</v>
      </c>
      <c r="D5" t="s">
        <v>70</v>
      </c>
      <c r="E5" t="s">
        <v>86</v>
      </c>
      <c r="F5" t="s">
        <v>72</v>
      </c>
      <c r="G5">
        <v>11.2683474061868</v>
      </c>
      <c r="H5">
        <v>3E+20</v>
      </c>
      <c r="I5">
        <v>0</v>
      </c>
      <c r="J5">
        <v>26</v>
      </c>
      <c r="K5">
        <v>25</v>
      </c>
      <c r="L5">
        <v>0</v>
      </c>
      <c r="M5" t="str">
        <f>ContinuousStatsTable[[#This Row],[ProjectName]]&amp;ContinuousStatsTable[[#This Row],[Name]]&amp;ContinuousStatsTable[[#This Row],[Type]]&amp;ContinuousStatsTable[[#This Row],[Source]]</f>
        <v>Unnamed ProjectPacienteWIPEntity</v>
      </c>
      <c r="N5" cm="1">
        <f t="array" ref="N5">MAX(IF((ProjectInfoTable[ProjectName]=ContinuousStatsTable[[#This Row],[ProjectName]]),(ProjectInfoTable[ProjectName]=ContinuousStatsTable[[#This Row],[ProjectName]])*ProjectInfoTable[NumberOfReplications]))</f>
        <v>1</v>
      </c>
      <c r="O5" cm="1">
        <f t="array" ref="O5">IFERROR(AVERAGE(IF((ContinuousStatsTable[GroupByKey]=ContinuousStatsTable[[#This Row],[GroupByKey]]),(ContinuousStatsTable[GroupByKey]=ContinuousStatsTable[[#This Row],[GroupByKey]])*ContinuousStatsTable[Average])),0)</f>
        <v>11.2683474061868</v>
      </c>
      <c r="P5" cm="1">
        <f t="array" ref="P5">IFERROR(_xlfn.STDEV.S(IF((ContinuousStatsTable[GroupByKey]=ContinuousStatsTable[[#This Row],[GroupByKey]]),(ContinuousStatsTable[GroupByKey]=ContinuousStatsTable[[#This Row],[GroupByKey]])*ContinuousStatsTable[Average])),0)</f>
        <v>0</v>
      </c>
      <c r="Q5" cm="1">
        <f t="array" ref="Q5">MAX(IF((ProjectInfoTable[ProjectName]=ContinuousStatsTable[[#This Row],[ProjectName]]),(ProjectInfoTable[ProjectName]=ContinuousStatsTable[[#This Row],[ProjectName]])*ProjectInfoTable[ConfidenceInterval]))</f>
        <v>0.95</v>
      </c>
      <c r="R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5" cm="1">
        <f t="array" ref="S5">MIN(IF((ContinuousStatsTable[GroupByKey]=ContinuousStatsTable[[#This Row],[GroupByKey]]),(ContinuousStatsTable[GroupByKey]=ContinuousStatsTable[[#This Row],[GroupByKey]])*ContinuousStatsTable[Average]))</f>
        <v>11.2683474061868</v>
      </c>
      <c r="T5" cm="1">
        <f t="array" ref="T5">MAX(IF((ContinuousStatsTable[GroupByKey]=ContinuousStatsTable[[#This Row],[GroupByKey]]),(ContinuousStatsTable[GroupByKey]=ContinuousStatsTable[[#This Row],[GroupByKey]])*ContinuousStatsTable[Average]))</f>
        <v>11.2683474061868</v>
      </c>
      <c r="U5">
        <f>IF((ContinuousStatsTable[[#This Row],[RepsRequested]]&gt;1),ContinuousStatsTable[[#This Row],[HalfWidth]],ContinuousStatsTable[[#This Row],[BatchMeansHalfWidth]])</f>
        <v>3E+20</v>
      </c>
    </row>
    <row r="6" spans="1:21" x14ac:dyDescent="0.35">
      <c r="A6" t="s">
        <v>66</v>
      </c>
      <c r="B6" t="s">
        <v>69</v>
      </c>
      <c r="C6">
        <v>1</v>
      </c>
      <c r="D6" t="s">
        <v>78</v>
      </c>
      <c r="E6" t="s">
        <v>87</v>
      </c>
      <c r="F6" t="s">
        <v>80</v>
      </c>
      <c r="G6">
        <v>9.2893066026747206</v>
      </c>
      <c r="H6">
        <v>3E+20</v>
      </c>
      <c r="I6">
        <v>0</v>
      </c>
      <c r="J6">
        <v>24</v>
      </c>
      <c r="K6">
        <v>23</v>
      </c>
      <c r="L6">
        <v>0</v>
      </c>
      <c r="M6" t="str">
        <f>ContinuousStatsTable[[#This Row],[ProjectName]]&amp;ContinuousStatsTable[[#This Row],[Name]]&amp;ContinuousStatsTable[[#This Row],[Type]]&amp;ContinuousStatsTable[[#This Row],[Source]]</f>
        <v>Unnamed ProjectProcesso atendimento medico.QueueNumber WaitingQueue</v>
      </c>
      <c r="N6" cm="1">
        <f t="array" ref="N6">MAX(IF((ProjectInfoTable[ProjectName]=ContinuousStatsTable[[#This Row],[ProjectName]]),(ProjectInfoTable[ProjectName]=ContinuousStatsTable[[#This Row],[ProjectName]])*ProjectInfoTable[NumberOfReplications]))</f>
        <v>1</v>
      </c>
      <c r="O6" cm="1">
        <f t="array" ref="O6">IFERROR(AVERAGE(IF((ContinuousStatsTable[GroupByKey]=ContinuousStatsTable[[#This Row],[GroupByKey]]),(ContinuousStatsTable[GroupByKey]=ContinuousStatsTable[[#This Row],[GroupByKey]])*ContinuousStatsTable[Average])),0)</f>
        <v>9.2893066026747206</v>
      </c>
      <c r="P6" cm="1">
        <f t="array" ref="P6">IFERROR(_xlfn.STDEV.S(IF((ContinuousStatsTable[GroupByKey]=ContinuousStatsTable[[#This Row],[GroupByKey]]),(ContinuousStatsTable[GroupByKey]=ContinuousStatsTable[[#This Row],[GroupByKey]])*ContinuousStatsTable[Average])),0)</f>
        <v>0</v>
      </c>
      <c r="Q6" cm="1">
        <f t="array" ref="Q6">MAX(IF((ProjectInfoTable[ProjectName]=ContinuousStatsTable[[#This Row],[ProjectName]]),(ProjectInfoTable[ProjectName]=ContinuousStatsTable[[#This Row],[ProjectName]])*ProjectInfoTable[ConfidenceInterval]))</f>
        <v>0.95</v>
      </c>
      <c r="R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6" cm="1">
        <f t="array" ref="S6">MIN(IF((ContinuousStatsTable[GroupByKey]=ContinuousStatsTable[[#This Row],[GroupByKey]]),(ContinuousStatsTable[GroupByKey]=ContinuousStatsTable[[#This Row],[GroupByKey]])*ContinuousStatsTable[Average]))</f>
        <v>9.2893066026747206</v>
      </c>
      <c r="T6" cm="1">
        <f t="array" ref="T6">MAX(IF((ContinuousStatsTable[GroupByKey]=ContinuousStatsTable[[#This Row],[GroupByKey]]),(ContinuousStatsTable[GroupByKey]=ContinuousStatsTable[[#This Row],[GroupByKey]])*ContinuousStatsTable[Average]))</f>
        <v>9.2893066026747206</v>
      </c>
      <c r="U6">
        <f>IF((ContinuousStatsTable[[#This Row],[RepsRequested]]&gt;1),ContinuousStatsTable[[#This Row],[HalfWidth]],ContinuousStatsTable[[#This Row],[BatchMeansHalfWidth]])</f>
        <v>3E+20</v>
      </c>
    </row>
  </sheetData>
  <phoneticPr fontId="2" type="noConversion"/>
  <conditionalFormatting sqref="H2:H6">
    <cfRule type="expression" dxfId="11" priority="9">
      <formula>H2=200000000000000000000</formula>
    </cfRule>
  </conditionalFormatting>
  <conditionalFormatting sqref="H2:H6">
    <cfRule type="expression" dxfId="10" priority="7">
      <formula>H2=300000000000000000000</formula>
    </cfRule>
  </conditionalFormatting>
  <conditionalFormatting sqref="M2:U6">
    <cfRule type="expression" dxfId="9" priority="5">
      <formula>MOD(ROW(),2)=0</formula>
    </cfRule>
  </conditionalFormatting>
  <conditionalFormatting sqref="U2:U6">
    <cfRule type="expression" dxfId="8" priority="3">
      <formula>U2=200000000000000000000</formula>
    </cfRule>
    <cfRule type="expression" dxfId="7" priority="4">
      <formula>U2=300000000000000000000</formula>
    </cfRule>
  </conditionalFormatting>
  <conditionalFormatting sqref="R2:R6 U2:U6">
    <cfRule type="expression" dxfId="6" priority="2">
      <formula>R2=400000000000000000000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54AFB-609A-4DFE-B5AA-43ACDCEDAEE3}">
  <sheetPr codeName="Sheet13"/>
  <dimension ref="A1:O1"/>
  <sheetViews>
    <sheetView workbookViewId="0">
      <selection activeCell="G2" sqref="G2"/>
    </sheetView>
  </sheetViews>
  <sheetFormatPr defaultRowHeight="14.5" x14ac:dyDescent="0.35"/>
  <cols>
    <col min="1" max="1" width="14" bestFit="1" customWidth="1"/>
    <col min="2" max="2" width="21.08984375" bestFit="1" customWidth="1"/>
    <col min="3" max="3" width="12.36328125" bestFit="1" customWidth="1"/>
    <col min="4" max="4" width="8" bestFit="1" customWidth="1"/>
    <col min="5" max="5" width="7.08984375" bestFit="1" customWidth="1"/>
    <col min="6" max="6" width="8.7265625" bestFit="1" customWidth="1"/>
    <col min="7" max="7" width="15.81640625" bestFit="1" customWidth="1"/>
    <col min="8" max="8" width="13.36328125" bestFit="1" customWidth="1"/>
    <col min="9" max="9" width="16.08984375" bestFit="1" customWidth="1"/>
    <col min="10" max="10" width="9.81640625" bestFit="1" customWidth="1"/>
    <col min="11" max="11" width="18.81640625" bestFit="1" customWidth="1"/>
    <col min="12" max="12" width="19" bestFit="1" customWidth="1"/>
    <col min="13" max="13" width="11.6328125" bestFit="1" customWidth="1"/>
    <col min="14" max="14" width="11.1796875" bestFit="1" customWidth="1"/>
    <col min="15" max="15" width="11.54296875" bestFit="1" customWidth="1"/>
  </cols>
  <sheetData>
    <row r="1" spans="1:15" x14ac:dyDescent="0.3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24</v>
      </c>
      <c r="I1" t="s">
        <v>60</v>
      </c>
      <c r="J1" t="s">
        <v>2</v>
      </c>
      <c r="K1" t="s">
        <v>27</v>
      </c>
      <c r="L1" t="s">
        <v>35</v>
      </c>
      <c r="M1" t="s">
        <v>44</v>
      </c>
      <c r="N1" t="s">
        <v>3</v>
      </c>
      <c r="O1" t="s">
        <v>4</v>
      </c>
    </row>
  </sheetData>
  <phoneticPr fontId="2" type="noConversion"/>
  <conditionalFormatting sqref="H2:O2">
    <cfRule type="expression" dxfId="5" priority="2">
      <formula>MOD(ROW(),2)=0</formula>
    </cfRule>
  </conditionalFormatting>
  <conditionalFormatting sqref="M2">
    <cfRule type="expression" dxfId="4" priority="1">
      <formula>M2=400000000000000000000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D8D0D-CBB0-4D36-A46D-277151207BFF}">
  <sheetPr codeName="Sheet14"/>
  <dimension ref="A1:P6"/>
  <sheetViews>
    <sheetView workbookViewId="0">
      <selection activeCell="A2" sqref="A2:H31"/>
    </sheetView>
  </sheetViews>
  <sheetFormatPr defaultRowHeight="14.5" x14ac:dyDescent="0.35"/>
  <cols>
    <col min="1" max="1" width="15.26953125" bestFit="1" customWidth="1"/>
    <col min="2" max="2" width="21.08984375" bestFit="1" customWidth="1"/>
    <col min="3" max="3" width="12.36328125" bestFit="1" customWidth="1"/>
    <col min="4" max="4" width="24.7265625" bestFit="1" customWidth="1"/>
    <col min="5" max="5" width="18.36328125" bestFit="1" customWidth="1"/>
    <col min="6" max="6" width="8.7265625" bestFit="1" customWidth="1"/>
    <col min="7" max="7" width="15.81640625" bestFit="1" customWidth="1"/>
    <col min="8" max="8" width="11.1796875" bestFit="1" customWidth="1"/>
    <col min="9" max="9" width="65" bestFit="1" customWidth="1"/>
    <col min="10" max="10" width="16.08984375" bestFit="1" customWidth="1"/>
    <col min="11" max="11" width="11.81640625" bestFit="1" customWidth="1"/>
    <col min="12" max="12" width="18.81640625" bestFit="1" customWidth="1"/>
    <col min="13" max="13" width="19" bestFit="1" customWidth="1"/>
    <col min="14" max="14" width="11.6328125" bestFit="1" customWidth="1"/>
    <col min="15" max="16" width="11.81640625" bestFit="1" customWidth="1"/>
  </cols>
  <sheetData>
    <row r="1" spans="1:16" x14ac:dyDescent="0.3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65</v>
      </c>
      <c r="I1" t="s">
        <v>24</v>
      </c>
      <c r="J1" t="s">
        <v>60</v>
      </c>
      <c r="K1" t="s">
        <v>2</v>
      </c>
      <c r="L1" t="s">
        <v>27</v>
      </c>
      <c r="M1" t="s">
        <v>35</v>
      </c>
      <c r="N1" t="s">
        <v>44</v>
      </c>
      <c r="O1" t="s">
        <v>3</v>
      </c>
      <c r="P1" t="s">
        <v>4</v>
      </c>
    </row>
    <row r="2" spans="1:16" x14ac:dyDescent="0.35">
      <c r="A2" t="s">
        <v>66</v>
      </c>
      <c r="B2" t="s">
        <v>69</v>
      </c>
      <c r="C2">
        <v>1</v>
      </c>
      <c r="D2" t="s">
        <v>88</v>
      </c>
      <c r="E2" t="s">
        <v>89</v>
      </c>
      <c r="F2" t="s">
        <v>83</v>
      </c>
      <c r="G2">
        <v>191</v>
      </c>
      <c r="H2">
        <v>0</v>
      </c>
      <c r="I2" t="str">
        <f>OutputTable[[#This Row],[ProjectName]]&amp;OutputTable[[#This Row],[Name]]&amp;OutputTable[[#This Row],[Type]]&amp;OutputTable[[#This Row],[Source]]</f>
        <v>Unnamed ProjectMedico.NumberSeizedTotal Number SeizedResource</v>
      </c>
      <c r="J2" cm="1">
        <f t="array" ref="J2">MAX(IF((ProjectInfoTable[ProjectName]=OutputTable[[#This Row],[ProjectName]]),(ProjectInfoTable[ProjectName]=OutputTable[[#This Row],[ProjectName]])*ProjectInfoTable[NumberOfReplications]))</f>
        <v>1</v>
      </c>
      <c r="K2" cm="1">
        <f t="array" ref="K2">IFERROR(AVERAGE(IF((OutputTable[GroupByKey]=OutputTable[[#This Row],[GroupByKey]]),(OutputTable[GroupByKey]=OutputTable[[#This Row],[GroupByKey]])*OutputTable[RecordedValue])),0)</f>
        <v>191</v>
      </c>
      <c r="L2" cm="1">
        <f t="array" ref="L2">IFERROR(_xlfn.STDEV.S(IF((OutputTable[GroupByKey]=OutputTable[[#This Row],[GroupByKey]]),(OutputTable[GroupByKey]=OutputTable[[#This Row],[GroupByKey]])*OutputTable[RecordedValue])),0)</f>
        <v>0</v>
      </c>
      <c r="M2" cm="1">
        <f t="array" ref="M2">MAX(IF((ProjectInfoTable[ProjectName]=OutputTable[[#This Row],[ProjectName]]),(ProjectInfoTable[ProjectName]=OutputTable[[#This Row],[ProjectName]])*ProjectInfoTable[ConfidenceInterval]))</f>
        <v>0.95</v>
      </c>
      <c r="N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2" cm="1">
        <f t="array" ref="O2">MIN(IF((OutputTable[GroupByKey]=OutputTable[[#This Row],[GroupByKey]]),(OutputTable[GroupByKey]=OutputTable[[#This Row],[GroupByKey]])*OutputTable[RecordedValue]))</f>
        <v>191</v>
      </c>
      <c r="P2" cm="1">
        <f t="array" ref="P2">MAX(IF((OutputTable[GroupByKey]=OutputTable[[#This Row],[GroupByKey]]),(OutputTable[GroupByKey]=OutputTable[[#This Row],[GroupByKey]])*OutputTable[RecordedValue]))</f>
        <v>191</v>
      </c>
    </row>
    <row r="3" spans="1:16" x14ac:dyDescent="0.35">
      <c r="A3" t="s">
        <v>66</v>
      </c>
      <c r="B3" t="s">
        <v>69</v>
      </c>
      <c r="C3">
        <v>1</v>
      </c>
      <c r="D3" t="s">
        <v>90</v>
      </c>
      <c r="E3" t="s">
        <v>91</v>
      </c>
      <c r="F3" t="s">
        <v>83</v>
      </c>
      <c r="G3">
        <v>0.98952040175603595</v>
      </c>
      <c r="H3">
        <v>0</v>
      </c>
      <c r="I3" t="str">
        <f>OutputTable[[#This Row],[ProjectName]]&amp;OutputTable[[#This Row],[Name]]&amp;OutputTable[[#This Row],[Type]]&amp;OutputTable[[#This Row],[Source]]</f>
        <v>Unnamed ProjectMedico.ScheduledUtilizationScheduled UtilizationResource</v>
      </c>
      <c r="J3" cm="1">
        <f t="array" ref="J3">MAX(IF((ProjectInfoTable[ProjectName]=OutputTable[[#This Row],[ProjectName]]),(ProjectInfoTable[ProjectName]=OutputTable[[#This Row],[ProjectName]])*ProjectInfoTable[NumberOfReplications]))</f>
        <v>1</v>
      </c>
      <c r="K3" cm="1">
        <f t="array" ref="K3">IFERROR(AVERAGE(IF((OutputTable[GroupByKey]=OutputTable[[#This Row],[GroupByKey]]),(OutputTable[GroupByKey]=OutputTable[[#This Row],[GroupByKey]])*OutputTable[RecordedValue])),0)</f>
        <v>0.98952040175603595</v>
      </c>
      <c r="L3" cm="1">
        <f t="array" ref="L3">IFERROR(_xlfn.STDEV.S(IF((OutputTable[GroupByKey]=OutputTable[[#This Row],[GroupByKey]]),(OutputTable[GroupByKey]=OutputTable[[#This Row],[GroupByKey]])*OutputTable[RecordedValue])),0)</f>
        <v>0</v>
      </c>
      <c r="M3" cm="1">
        <f t="array" ref="M3">MAX(IF((ProjectInfoTable[ProjectName]=OutputTable[[#This Row],[ProjectName]]),(ProjectInfoTable[ProjectName]=OutputTable[[#This Row],[ProjectName]])*ProjectInfoTable[ConfidenceInterval]))</f>
        <v>0.95</v>
      </c>
      <c r="N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3" cm="1">
        <f t="array" ref="O3">MIN(IF((OutputTable[GroupByKey]=OutputTable[[#This Row],[GroupByKey]]),(OutputTable[GroupByKey]=OutputTable[[#This Row],[GroupByKey]])*OutputTable[RecordedValue]))</f>
        <v>0.98952040175603595</v>
      </c>
      <c r="P3" cm="1">
        <f t="array" ref="P3">MAX(IF((OutputTable[GroupByKey]=OutputTable[[#This Row],[GroupByKey]]),(OutputTable[GroupByKey]=OutputTable[[#This Row],[GroupByKey]])*OutputTable[RecordedValue]))</f>
        <v>0.98952040175603595</v>
      </c>
    </row>
    <row r="4" spans="1:16" x14ac:dyDescent="0.35">
      <c r="A4" t="s">
        <v>66</v>
      </c>
      <c r="B4" t="s">
        <v>69</v>
      </c>
      <c r="C4">
        <v>1</v>
      </c>
      <c r="D4" t="s">
        <v>92</v>
      </c>
      <c r="E4" t="s">
        <v>93</v>
      </c>
      <c r="F4" t="s">
        <v>72</v>
      </c>
      <c r="G4">
        <v>214</v>
      </c>
      <c r="H4">
        <v>0</v>
      </c>
      <c r="I4" t="str">
        <f>OutputTable[[#This Row],[ProjectName]]&amp;OutputTable[[#This Row],[Name]]&amp;OutputTable[[#This Row],[Type]]&amp;OutputTable[[#This Row],[Source]]</f>
        <v>Unnamed ProjectPaciente.NumberInNumber InEntity</v>
      </c>
      <c r="J4" cm="1">
        <f t="array" ref="J4">MAX(IF((ProjectInfoTable[ProjectName]=OutputTable[[#This Row],[ProjectName]]),(ProjectInfoTable[ProjectName]=OutputTable[[#This Row],[ProjectName]])*ProjectInfoTable[NumberOfReplications]))</f>
        <v>1</v>
      </c>
      <c r="K4" cm="1">
        <f t="array" ref="K4">IFERROR(AVERAGE(IF((OutputTable[GroupByKey]=OutputTable[[#This Row],[GroupByKey]]),(OutputTable[GroupByKey]=OutputTable[[#This Row],[GroupByKey]])*OutputTable[RecordedValue])),0)</f>
        <v>214</v>
      </c>
      <c r="L4" cm="1">
        <f t="array" ref="L4">IFERROR(_xlfn.STDEV.S(IF((OutputTable[GroupByKey]=OutputTable[[#This Row],[GroupByKey]]),(OutputTable[GroupByKey]=OutputTable[[#This Row],[GroupByKey]])*OutputTable[RecordedValue])),0)</f>
        <v>0</v>
      </c>
      <c r="M4" cm="1">
        <f t="array" ref="M4">MAX(IF((ProjectInfoTable[ProjectName]=OutputTable[[#This Row],[ProjectName]]),(ProjectInfoTable[ProjectName]=OutputTable[[#This Row],[ProjectName]])*ProjectInfoTable[ConfidenceInterval]))</f>
        <v>0.95</v>
      </c>
      <c r="N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4" cm="1">
        <f t="array" ref="O4">MIN(IF((OutputTable[GroupByKey]=OutputTable[[#This Row],[GroupByKey]]),(OutputTable[GroupByKey]=OutputTable[[#This Row],[GroupByKey]])*OutputTable[RecordedValue]))</f>
        <v>214</v>
      </c>
      <c r="P4" cm="1">
        <f t="array" ref="P4">MAX(IF((OutputTable[GroupByKey]=OutputTable[[#This Row],[GroupByKey]]),(OutputTable[GroupByKey]=OutputTable[[#This Row],[GroupByKey]])*OutputTable[RecordedValue]))</f>
        <v>214</v>
      </c>
    </row>
    <row r="5" spans="1:16" x14ac:dyDescent="0.35">
      <c r="A5" t="s">
        <v>66</v>
      </c>
      <c r="B5" t="s">
        <v>69</v>
      </c>
      <c r="C5">
        <v>1</v>
      </c>
      <c r="D5" t="s">
        <v>94</v>
      </c>
      <c r="E5" t="s">
        <v>95</v>
      </c>
      <c r="F5" t="s">
        <v>72</v>
      </c>
      <c r="G5">
        <v>189</v>
      </c>
      <c r="H5">
        <v>0</v>
      </c>
      <c r="I5" t="str">
        <f>OutputTable[[#This Row],[ProjectName]]&amp;OutputTable[[#This Row],[Name]]&amp;OutputTable[[#This Row],[Type]]&amp;OutputTable[[#This Row],[Source]]</f>
        <v>Unnamed ProjectPaciente.NumberOutNumber OutEntity</v>
      </c>
      <c r="J5" cm="1">
        <f t="array" ref="J5">MAX(IF((ProjectInfoTable[ProjectName]=OutputTable[[#This Row],[ProjectName]]),(ProjectInfoTable[ProjectName]=OutputTable[[#This Row],[ProjectName]])*ProjectInfoTable[NumberOfReplications]))</f>
        <v>1</v>
      </c>
      <c r="K5" cm="1">
        <f t="array" ref="K5">IFERROR(AVERAGE(IF((OutputTable[GroupByKey]=OutputTable[[#This Row],[GroupByKey]]),(OutputTable[GroupByKey]=OutputTable[[#This Row],[GroupByKey]])*OutputTable[RecordedValue])),0)</f>
        <v>189</v>
      </c>
      <c r="L5" cm="1">
        <f t="array" ref="L5">IFERROR(_xlfn.STDEV.S(IF((OutputTable[GroupByKey]=OutputTable[[#This Row],[GroupByKey]]),(OutputTable[GroupByKey]=OutputTable[[#This Row],[GroupByKey]])*OutputTable[RecordedValue])),0)</f>
        <v>0</v>
      </c>
      <c r="M5" cm="1">
        <f t="array" ref="M5">MAX(IF((ProjectInfoTable[ProjectName]=OutputTable[[#This Row],[ProjectName]]),(ProjectInfoTable[ProjectName]=OutputTable[[#This Row],[ProjectName]])*ProjectInfoTable[ConfidenceInterval]))</f>
        <v>0.95</v>
      </c>
      <c r="N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5" cm="1">
        <f t="array" ref="O5">MIN(IF((OutputTable[GroupByKey]=OutputTable[[#This Row],[GroupByKey]]),(OutputTable[GroupByKey]=OutputTable[[#This Row],[GroupByKey]])*OutputTable[RecordedValue]))</f>
        <v>189</v>
      </c>
      <c r="P5" cm="1">
        <f t="array" ref="P5">MAX(IF((OutputTable[GroupByKey]=OutputTable[[#This Row],[GroupByKey]]),(OutputTable[GroupByKey]=OutputTable[[#This Row],[GroupByKey]])*OutputTable[RecordedValue]))</f>
        <v>189</v>
      </c>
    </row>
    <row r="6" spans="1:16" x14ac:dyDescent="0.35">
      <c r="A6" t="s">
        <v>66</v>
      </c>
      <c r="B6" t="s">
        <v>69</v>
      </c>
      <c r="C6">
        <v>1</v>
      </c>
      <c r="D6" t="s">
        <v>96</v>
      </c>
      <c r="E6" t="s">
        <v>95</v>
      </c>
      <c r="F6" t="s">
        <v>97</v>
      </c>
      <c r="G6">
        <v>189</v>
      </c>
      <c r="H6">
        <v>0</v>
      </c>
      <c r="I6" t="str">
        <f>OutputTable[[#This Row],[ProjectName]]&amp;OutputTable[[#This Row],[Name]]&amp;OutputTable[[#This Row],[Type]]&amp;OutputTable[[#This Row],[Source]]</f>
        <v>Unnamed ProjectSystem.NumberOutNumber OutSystem</v>
      </c>
      <c r="J6" cm="1">
        <f t="array" ref="J6">MAX(IF((ProjectInfoTable[ProjectName]=OutputTable[[#This Row],[ProjectName]]),(ProjectInfoTable[ProjectName]=OutputTable[[#This Row],[ProjectName]])*ProjectInfoTable[NumberOfReplications]))</f>
        <v>1</v>
      </c>
      <c r="K6" cm="1">
        <f t="array" ref="K6">IFERROR(AVERAGE(IF((OutputTable[GroupByKey]=OutputTable[[#This Row],[GroupByKey]]),(OutputTable[GroupByKey]=OutputTable[[#This Row],[GroupByKey]])*OutputTable[RecordedValue])),0)</f>
        <v>189</v>
      </c>
      <c r="L6" cm="1">
        <f t="array" ref="L6">IFERROR(_xlfn.STDEV.S(IF((OutputTable[GroupByKey]=OutputTable[[#This Row],[GroupByKey]]),(OutputTable[GroupByKey]=OutputTable[[#This Row],[GroupByKey]])*OutputTable[RecordedValue])),0)</f>
        <v>0</v>
      </c>
      <c r="M6" cm="1">
        <f t="array" ref="M6">MAX(IF((ProjectInfoTable[ProjectName]=OutputTable[[#This Row],[ProjectName]]),(ProjectInfoTable[ProjectName]=OutputTable[[#This Row],[ProjectName]])*ProjectInfoTable[ConfidenceInterval]))</f>
        <v>0.95</v>
      </c>
      <c r="N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6" cm="1">
        <f t="array" ref="O6">MIN(IF((OutputTable[GroupByKey]=OutputTable[[#This Row],[GroupByKey]]),(OutputTable[GroupByKey]=OutputTable[[#This Row],[GroupByKey]])*OutputTable[RecordedValue]))</f>
        <v>189</v>
      </c>
      <c r="P6" cm="1">
        <f t="array" ref="P6">MAX(IF((OutputTable[GroupByKey]=OutputTable[[#This Row],[GroupByKey]]),(OutputTable[GroupByKey]=OutputTable[[#This Row],[GroupByKey]])*OutputTable[RecordedValue]))</f>
        <v>189</v>
      </c>
    </row>
  </sheetData>
  <phoneticPr fontId="2" type="noConversion"/>
  <conditionalFormatting sqref="I2:P6">
    <cfRule type="expression" dxfId="3" priority="2">
      <formula>MOD(ROW(),2)=0</formula>
    </cfRule>
  </conditionalFormatting>
  <conditionalFormatting sqref="N2:N6">
    <cfRule type="expression" dxfId="2" priority="1">
      <formula>N2=400000000000000000000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F912C-928E-45DC-B239-DFE111DF9CB8}">
  <sheetPr codeName="Sheet1"/>
  <dimension ref="A1:Q31"/>
  <sheetViews>
    <sheetView workbookViewId="0">
      <selection activeCell="A2" sqref="A2"/>
    </sheetView>
  </sheetViews>
  <sheetFormatPr defaultRowHeight="14.5" x14ac:dyDescent="0.35"/>
  <cols>
    <col min="1" max="1" width="14" bestFit="1" customWidth="1"/>
    <col min="2" max="2" width="21.08984375" bestFit="1" customWidth="1"/>
    <col min="3" max="3" width="12.36328125" bestFit="1" customWidth="1"/>
    <col min="4" max="4" width="8" bestFit="1" customWidth="1"/>
    <col min="5" max="5" width="10.54296875" bestFit="1" customWidth="1"/>
    <col min="6" max="6" width="8.7265625" bestFit="1" customWidth="1"/>
    <col min="7" max="7" width="20.26953125" bestFit="1" customWidth="1"/>
    <col min="8" max="8" width="21.08984375" bestFit="1" customWidth="1"/>
    <col min="9" max="9" width="23.1796875" bestFit="1" customWidth="1"/>
    <col min="10" max="10" width="24.54296875" bestFit="1" customWidth="1"/>
    <col min="11" max="11" width="15" bestFit="1" customWidth="1"/>
    <col min="12" max="12" width="13.36328125" bestFit="1" customWidth="1"/>
    <col min="13" max="13" width="28.36328125" bestFit="1" customWidth="1"/>
    <col min="14" max="14" width="29.1796875" bestFit="1" customWidth="1"/>
    <col min="15" max="15" width="16.08984375" bestFit="1" customWidth="1"/>
    <col min="16" max="16" width="27.08984375" bestFit="1" customWidth="1"/>
    <col min="17" max="17" width="28" bestFit="1" customWidth="1"/>
    <col min="18" max="18" width="29.1796875" bestFit="1" customWidth="1"/>
    <col min="19" max="19" width="28.36328125" bestFit="1" customWidth="1"/>
    <col min="20" max="20" width="26.1796875" bestFit="1" customWidth="1"/>
    <col min="21" max="21" width="29.90625" bestFit="1" customWidth="1"/>
    <col min="22" max="22" width="31.90625" bestFit="1" customWidth="1"/>
    <col min="23" max="23" width="32.08984375" bestFit="1" customWidth="1"/>
  </cols>
  <sheetData>
    <row r="1" spans="1:17" x14ac:dyDescent="0.35">
      <c r="A1" t="s">
        <v>64</v>
      </c>
      <c r="B1" t="s">
        <v>42</v>
      </c>
      <c r="C1" t="s">
        <v>0</v>
      </c>
      <c r="D1" t="s">
        <v>21</v>
      </c>
      <c r="E1" t="s">
        <v>57</v>
      </c>
      <c r="F1" t="s">
        <v>22</v>
      </c>
      <c r="G1" t="s">
        <v>6</v>
      </c>
      <c r="H1" t="s">
        <v>45</v>
      </c>
      <c r="I1" t="s">
        <v>7</v>
      </c>
      <c r="J1" t="s">
        <v>8</v>
      </c>
      <c r="K1" t="s">
        <v>67</v>
      </c>
      <c r="L1" t="s">
        <v>24</v>
      </c>
      <c r="M1" t="s">
        <v>47</v>
      </c>
      <c r="N1" t="s">
        <v>48</v>
      </c>
      <c r="O1" t="s">
        <v>60</v>
      </c>
      <c r="P1" t="s">
        <v>29</v>
      </c>
      <c r="Q1" t="s">
        <v>34</v>
      </c>
    </row>
    <row r="17" spans="2:2" x14ac:dyDescent="0.35">
      <c r="B17" s="3"/>
    </row>
    <row r="18" spans="2:2" x14ac:dyDescent="0.35">
      <c r="B18" s="3"/>
    </row>
    <row r="19" spans="2:2" x14ac:dyDescent="0.35">
      <c r="B19" s="3"/>
    </row>
    <row r="20" spans="2:2" x14ac:dyDescent="0.35">
      <c r="B20" s="3"/>
    </row>
    <row r="21" spans="2:2" x14ac:dyDescent="0.35">
      <c r="B21" s="3"/>
    </row>
    <row r="22" spans="2:2" x14ac:dyDescent="0.35">
      <c r="B22" s="3"/>
    </row>
    <row r="23" spans="2:2" x14ac:dyDescent="0.35">
      <c r="B23" s="3"/>
    </row>
    <row r="24" spans="2:2" x14ac:dyDescent="0.35">
      <c r="B24" s="3"/>
    </row>
    <row r="25" spans="2:2" x14ac:dyDescent="0.35">
      <c r="B25" s="3"/>
    </row>
    <row r="26" spans="2:2" x14ac:dyDescent="0.35">
      <c r="B26" s="3"/>
    </row>
    <row r="27" spans="2:2" x14ac:dyDescent="0.35">
      <c r="B27" s="3"/>
    </row>
    <row r="28" spans="2:2" x14ac:dyDescent="0.35">
      <c r="B28" s="3"/>
    </row>
    <row r="29" spans="2:2" x14ac:dyDescent="0.35">
      <c r="B29" s="3"/>
    </row>
    <row r="30" spans="2:2" x14ac:dyDescent="0.35">
      <c r="B30" s="3"/>
    </row>
    <row r="31" spans="2:2" x14ac:dyDescent="0.35">
      <c r="B31" s="3"/>
    </row>
  </sheetData>
  <phoneticPr fontId="2" type="noConversion"/>
  <conditionalFormatting sqref="L17:Q17 R45:W45 L31:W31 L1:Q2">
    <cfRule type="expression" dxfId="1" priority="3">
      <formula>MOD(ROW(),2)=0</formula>
    </cfRule>
  </conditionalFormatting>
  <conditionalFormatting sqref="H2">
    <cfRule type="expression" dxfId="0" priority="1">
      <formula>H2=400000000000000000000</formula>
    </cfRule>
    <cfRule type="expression" priority="2">
      <formula>H2=400000000000000000000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7F1501-C84A-4A3F-A6E7-4E0AD9DD361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ProjectInformation</vt:lpstr>
      <vt:lpstr>AcrossReplicationsSummary</vt:lpstr>
      <vt:lpstr>DiscreteTimeStatsByRep</vt:lpstr>
      <vt:lpstr>ContinuousTimeStatsByRep</vt:lpstr>
      <vt:lpstr>CounterStatsByRep</vt:lpstr>
      <vt:lpstr>OutputStatsByRep</vt:lpstr>
      <vt:lpstr>FrequencyStatsByRep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Rockwell Automation</dc:creator>
  <cp:lastModifiedBy>Gabriel Solonynka Hoffmann</cp:lastModifiedBy>
  <cp:lastPrinted>2022-03-22T10:33:10Z</cp:lastPrinted>
  <dcterms:created xsi:type="dcterms:W3CDTF">2020-06-29T21:30:31Z</dcterms:created>
  <dcterms:modified xsi:type="dcterms:W3CDTF">2023-11-05T23:00:01Z</dcterms:modified>
</cp:coreProperties>
</file>