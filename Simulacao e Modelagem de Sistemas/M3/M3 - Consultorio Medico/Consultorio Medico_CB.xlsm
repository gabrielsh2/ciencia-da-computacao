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3\Consultorio Medico\"/>
    </mc:Choice>
  </mc:AlternateContent>
  <xr:revisionPtr revIDLastSave="0" documentId="13_ncr:1_{8EFFA441-8175-4386-A5EB-6D980D794C52}" xr6:coauthVersionLast="47" xr6:coauthVersionMax="47" xr10:uidLastSave="{00000000-0000-0000-0000-000000000000}"/>
  <bookViews>
    <workbookView xWindow="-110" yWindow="-110" windowWidth="19420" windowHeight="10420" tabRatio="790" firstSheet="1" activeTab="3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O2" i="20" s="1" a="1"/>
  <c r="O2" i="20" s="1"/>
  <c r="I3" i="20"/>
  <c r="L3" i="20" s="1" a="1"/>
  <c r="L3" i="20" s="1"/>
  <c r="I4" i="20"/>
  <c r="I5" i="20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3" i="20" a="1"/>
  <c r="K3" i="20" s="1"/>
  <c r="L2" i="20" a="1"/>
  <c r="L2" i="20" s="1"/>
  <c r="L6" i="20" a="1"/>
  <c r="L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2" i="18"/>
  <c r="M3" i="18"/>
  <c r="M4" i="18"/>
  <c r="S5" i="18" s="1" a="1"/>
  <c r="S5" i="18" s="1"/>
  <c r="M5" i="18"/>
  <c r="M6" i="18"/>
  <c r="N2" i="18" a="1"/>
  <c r="N2" i="18" s="1"/>
  <c r="N3" i="18" a="1"/>
  <c r="N3" i="18" s="1"/>
  <c r="N4" i="18" a="1"/>
  <c r="N4" i="18" s="1"/>
  <c r="U4" i="18" s="1"/>
  <c r="N5" i="18" a="1"/>
  <c r="N5" i="18"/>
  <c r="N6" i="18" a="1"/>
  <c r="N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L2" i="17"/>
  <c r="L3" i="17"/>
  <c r="L4" i="17"/>
  <c r="L5" i="17"/>
  <c r="L6" i="17"/>
  <c r="L7" i="17"/>
  <c r="L8" i="17"/>
  <c r="R3" i="17" s="1" a="1"/>
  <c r="R3" i="17" s="1"/>
  <c r="M2" i="17" a="1"/>
  <c r="M2" i="17" s="1"/>
  <c r="M3" i="17" a="1"/>
  <c r="M3" i="17" s="1"/>
  <c r="M4" i="17" a="1"/>
  <c r="M4" i="17" s="1"/>
  <c r="M5" i="17" a="1"/>
  <c r="M5" i="17" s="1"/>
  <c r="W5" i="17" s="1"/>
  <c r="M6" i="17" a="1"/>
  <c r="M6" i="17" s="1"/>
  <c r="M7" i="17" a="1"/>
  <c r="M7" i="17" s="1"/>
  <c r="M8" i="17" a="1"/>
  <c r="M8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 s="1"/>
  <c r="P8" i="17" a="1"/>
  <c r="P8" i="17" s="1"/>
  <c r="X8" i="17" a="1"/>
  <c r="X8" i="17" s="1"/>
  <c r="G2" i="16"/>
  <c r="N2" i="20" l="1"/>
  <c r="N3" i="20"/>
  <c r="N6" i="20"/>
  <c r="L5" i="20" a="1"/>
  <c r="L5" i="20" s="1"/>
  <c r="N5" i="20" s="1"/>
  <c r="K6" i="20" a="1"/>
  <c r="K6" i="20" s="1"/>
  <c r="K2" i="20" a="1"/>
  <c r="K2" i="20" s="1"/>
  <c r="P3" i="20" a="1"/>
  <c r="P3" i="20" s="1"/>
  <c r="O4" i="20" a="1"/>
  <c r="O4" i="20" s="1"/>
  <c r="O5" i="20" a="1"/>
  <c r="O5" i="20" s="1"/>
  <c r="L4" i="20" a="1"/>
  <c r="L4" i="20" s="1"/>
  <c r="N4" i="20" s="1"/>
  <c r="K5" i="20" a="1"/>
  <c r="K5" i="20" s="1"/>
  <c r="P4" i="20" a="1"/>
  <c r="P4" i="20" s="1"/>
  <c r="P6" i="20" a="1"/>
  <c r="P6" i="20" s="1"/>
  <c r="P2" i="20" a="1"/>
  <c r="P2" i="20" s="1"/>
  <c r="O3" i="20" a="1"/>
  <c r="O3" i="20" s="1"/>
  <c r="K4" i="20" a="1"/>
  <c r="K4" i="20" s="1"/>
  <c r="P5" i="20" a="1"/>
  <c r="P5" i="20" s="1"/>
  <c r="O6" i="20" a="1"/>
  <c r="O6" i="20" s="1"/>
  <c r="P6" i="18" a="1"/>
  <c r="P6" i="18" s="1"/>
  <c r="R6" i="18" s="1"/>
  <c r="U3" i="18"/>
  <c r="U2" i="18"/>
  <c r="U6" i="18"/>
  <c r="T5" i="18" a="1"/>
  <c r="T5" i="18" s="1"/>
  <c r="P5" i="18" a="1"/>
  <c r="P5" i="18" s="1"/>
  <c r="R5" i="18" s="1"/>
  <c r="O6" i="18" a="1"/>
  <c r="O6" i="18" s="1"/>
  <c r="O2" i="18" a="1"/>
  <c r="O2" i="18" s="1"/>
  <c r="T6" i="18" a="1"/>
  <c r="T6" i="18" s="1"/>
  <c r="T3" i="18" a="1"/>
  <c r="T3" i="18" s="1"/>
  <c r="S4" i="18" a="1"/>
  <c r="S4" i="18" s="1"/>
  <c r="S2" i="18" a="1"/>
  <c r="S2" i="18" s="1"/>
  <c r="P4" i="18" a="1"/>
  <c r="P4" i="18" s="1"/>
  <c r="R4" i="18" s="1"/>
  <c r="O5" i="18" a="1"/>
  <c r="O5" i="18" s="1"/>
  <c r="T2" i="18" a="1"/>
  <c r="T2" i="18" s="1"/>
  <c r="S3" i="18" a="1"/>
  <c r="S3" i="18" s="1"/>
  <c r="P3" i="18" a="1"/>
  <c r="P3" i="18" s="1"/>
  <c r="R3" i="18" s="1"/>
  <c r="O4" i="18" a="1"/>
  <c r="O4" i="18" s="1"/>
  <c r="S6" i="18" a="1"/>
  <c r="S6" i="18" s="1"/>
  <c r="U5" i="18"/>
  <c r="P2" i="18" a="1"/>
  <c r="P2" i="18" s="1"/>
  <c r="R2" i="18" s="1"/>
  <c r="O3" i="18" a="1"/>
  <c r="O3" i="18" s="1"/>
  <c r="T4" i="18" a="1"/>
  <c r="T4" i="18" s="1"/>
  <c r="T8" i="17" a="1"/>
  <c r="T8" i="17" s="1"/>
  <c r="O8" i="17" a="1"/>
  <c r="O8" i="17" s="1"/>
  <c r="N7" i="17" a="1"/>
  <c r="N7" i="17" s="1"/>
  <c r="X4" i="17" a="1"/>
  <c r="X4" i="17" s="1"/>
  <c r="V2" i="17" a="1"/>
  <c r="V2" i="17" s="1"/>
  <c r="N3" i="17" a="1"/>
  <c r="N3" i="17" s="1"/>
  <c r="V6" i="17" a="1"/>
  <c r="V6" i="17" s="1"/>
  <c r="T4" i="17" a="1"/>
  <c r="T4" i="17" s="1"/>
  <c r="O4" i="17" a="1"/>
  <c r="O4" i="17" s="1"/>
  <c r="U5" i="17" a="1"/>
  <c r="U5" i="17" s="1"/>
  <c r="W7" i="17"/>
  <c r="W8" i="17"/>
  <c r="Y8" i="17"/>
  <c r="Q8" i="17" s="1"/>
  <c r="W4" i="17"/>
  <c r="Y4" i="17"/>
  <c r="Q4" i="17" s="1"/>
  <c r="W2" i="17"/>
  <c r="W6" i="17"/>
  <c r="W3" i="17"/>
  <c r="X7" i="17" a="1"/>
  <c r="X7" i="17" s="1"/>
  <c r="Y7" i="17" s="1"/>
  <c r="Q7" i="17" s="1"/>
  <c r="X3" i="17" a="1"/>
  <c r="X3" i="17" s="1"/>
  <c r="Y3" i="17" s="1"/>
  <c r="O7" i="17" a="1"/>
  <c r="O7" i="17" s="1"/>
  <c r="O3" i="17" a="1"/>
  <c r="O3" i="17" s="1"/>
  <c r="N6" i="17" a="1"/>
  <c r="N6" i="17" s="1"/>
  <c r="N2" i="17" a="1"/>
  <c r="N2" i="17" s="1"/>
  <c r="R2" i="17" a="1"/>
  <c r="R2" i="17" s="1"/>
  <c r="V5" i="17" a="1"/>
  <c r="V5" i="17" s="1"/>
  <c r="U8" i="17" a="1"/>
  <c r="U8" i="17" s="1"/>
  <c r="U4" i="17" a="1"/>
  <c r="U4" i="17" s="1"/>
  <c r="T7" i="17" a="1"/>
  <c r="T7" i="17" s="1"/>
  <c r="T3" i="17" a="1"/>
  <c r="T3" i="17" s="1"/>
  <c r="S6" i="17" a="1"/>
  <c r="S6" i="17" s="1"/>
  <c r="S2" i="17" a="1"/>
  <c r="S2" i="17" s="1"/>
  <c r="R5" i="17" a="1"/>
  <c r="R5" i="17" s="1"/>
  <c r="X6" i="17" a="1"/>
  <c r="X6" i="17" s="1"/>
  <c r="Y6" i="17" s="1"/>
  <c r="X2" i="17" a="1"/>
  <c r="X2" i="17" s="1"/>
  <c r="Y2" i="17" s="1"/>
  <c r="O6" i="17" a="1"/>
  <c r="O6" i="17" s="1"/>
  <c r="O2" i="17" a="1"/>
  <c r="O2" i="17" s="1"/>
  <c r="N5" i="17" a="1"/>
  <c r="N5" i="17" s="1"/>
  <c r="S7" i="17" a="1"/>
  <c r="S7" i="17" s="1"/>
  <c r="V8" i="17" a="1"/>
  <c r="V8" i="17" s="1"/>
  <c r="V4" i="17" a="1"/>
  <c r="V4" i="17" s="1"/>
  <c r="U7" i="17" a="1"/>
  <c r="U7" i="17" s="1"/>
  <c r="U3" i="17" a="1"/>
  <c r="U3" i="17" s="1"/>
  <c r="T6" i="17" a="1"/>
  <c r="T6" i="17" s="1"/>
  <c r="T2" i="17" a="1"/>
  <c r="T2" i="17" s="1"/>
  <c r="S5" i="17" a="1"/>
  <c r="S5" i="17" s="1"/>
  <c r="R8" i="17" a="1"/>
  <c r="R8" i="17" s="1"/>
  <c r="R4" i="17" a="1"/>
  <c r="R4" i="17" s="1"/>
  <c r="S3" i="17" a="1"/>
  <c r="S3" i="17" s="1"/>
  <c r="X5" i="17" a="1"/>
  <c r="X5" i="17" s="1"/>
  <c r="Y5" i="17" s="1"/>
  <c r="O5" i="17" a="1"/>
  <c r="O5" i="17" s="1"/>
  <c r="N8" i="17" a="1"/>
  <c r="N8" i="17" s="1"/>
  <c r="N4" i="17" a="1"/>
  <c r="N4" i="17" s="1"/>
  <c r="R6" i="17" a="1"/>
  <c r="R6" i="17" s="1"/>
  <c r="V7" i="17" a="1"/>
  <c r="V7" i="17" s="1"/>
  <c r="V3" i="17" a="1"/>
  <c r="V3" i="17" s="1"/>
  <c r="U6" i="17" a="1"/>
  <c r="U6" i="17" s="1"/>
  <c r="U2" i="17" a="1"/>
  <c r="U2" i="17" s="1"/>
  <c r="T5" i="17" a="1"/>
  <c r="T5" i="17" s="1"/>
  <c r="S8" i="17" a="1"/>
  <c r="S8" i="17" s="1"/>
  <c r="S4" i="17" a="1"/>
  <c r="S4" i="17" s="1"/>
  <c r="R7" i="17" a="1"/>
  <c r="R7" i="17" s="1"/>
  <c r="Q3" i="17" l="1"/>
  <c r="Q5" i="17"/>
  <c r="Q6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3\consultorio medico\consultorio medic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<sst xmlns="http://schemas.openxmlformats.org/spreadsheetml/2006/main" count="297" uniqueCount="99">
  <si>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</si>
  <si>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</si>
  <si>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</si>
  <si>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</si>
  <si>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</si>
  <si>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</si>
  <si>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</si>
  <si>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</si>
  <si>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</si>
  <si>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</si>
  <si>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</si>
  <si>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</si>
  <si>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</si>
  <si>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</si>
  <si>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</si>
  <si>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</si>
  <si>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</si>
  <si>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</si>
  <si>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</si>
  <si>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</si>
  <si>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</si>
  <si>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</si>
  <si>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</si>
  <si>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</si>
  <si>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</si>
  <si>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</si>
  <si>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</si>
  <si>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</si>
  <si>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</si>
  <si>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</si>
  <si>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</si>
  <si>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</si>
  <si>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</si>
  <si>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</si>
  <si>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</si>
  <si>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</si>
  <si>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</si>
  <si>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</si>
  <si>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</si>
  <si>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</si>
  <si>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</si>
  <si>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</si>
  <si>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</si>
  <si>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</si>
  <si>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</si>
  <si>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</si>
  <si>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</si>
  <si>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</si>
  <si>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</si>
  <si>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</si>
  <si>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</si>
  <si>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</si>
  <si>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</si>
  <si>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</si>
  <si>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</si>
  <si>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</si>
  <si>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</si>
  <si>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</si>
  <si>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</si>
  <si>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</si>
  <si>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</si>
  <si>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</si>
  <si>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</si>
  <si>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</si>
  <si>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</si>
  <si>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</si>
  <si>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</si>
  <si>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</si>
  <si>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Sistemas\M3\Consultorio Medico\Consultorio Medico.p</t>
  </si>
  <si>
    <t>2023-11-05 19:49:52</t>
  </si>
  <si>
    <t>Paciente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</si>
  <si>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</si>
  <si>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</si>
  <si>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</si>
  <si>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</si>
  <si>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</si>
  <si>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</si>
  <si>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</si>
  <si>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atendimento medico.Queue</t>
  </si>
  <si>
    <t>Waiting Time</t>
  </si>
  <si>
    <t>Queue</t>
  </si>
  <si>
    <t>Medico</t>
  </si>
  <si>
    <t>Instantaneous Utilization</t>
  </si>
  <si>
    <t>Resource</t>
  </si>
  <si>
    <t>Number Busy</t>
  </si>
  <si>
    <t>Number Scheduled</t>
  </si>
  <si>
    <t>WIP</t>
  </si>
  <si>
    <t>Number Waiting</t>
  </si>
  <si>
    <t>Medico.NumberSeized</t>
  </si>
  <si>
    <t>Total Number Seized</t>
  </si>
  <si>
    <t>Medico.ScheduledUtilization</t>
  </si>
  <si>
    <t>Scheduled Utilization</t>
  </si>
  <si>
    <t>Paciente.NumberIn</t>
  </si>
  <si>
    <t>Number In</t>
  </si>
  <si>
    <t>Paciente.NumberOut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</si>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</sst>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3" fillId="0" borderId="0" xfId="0" applyFon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36747685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367592592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Medico"/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.99791666666666601" maxValue="25.8958333333334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50"/>
    </cacheField>
    <cacheField name="LastRecordedValue" numFmtId="0">
      <sharedItems containsSemiMixedTypes="0" containsString="0" containsNumber="1" containsInteger="1" minValue="1" maxValue="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9791666666666601" maxValue="25.895833333333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9791666666666601" maxValue="25.8958333333334"/>
    </cacheField>
    <cacheField name="MaximumAverage" numFmtId="0">
      <sharedItems containsSemiMixedTypes="0" containsString="0" containsNumber="1" minValue="0.99791666666666601" maxValue="25.8958333333334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36770833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367708331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.61256544502619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5"/>
    </cacheField>
    <cacheField name="Maximum" numFmtId="0">
      <sharedItems containsSemiMixedTypes="0" containsString="0" containsNumber="1" minValue="0" maxValue="5"/>
    </cacheField>
    <cacheField name="NumberObservations" numFmtId="0">
      <sharedItems containsSemiMixedTypes="0" containsString="0" containsNumber="1" containsInteger="1" minValue="191" maxValue="19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.61256544502619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.6125654450261901"/>
    </cacheField>
    <cacheField name="MaximumAverage" numFmtId="0">
      <sharedItems containsSemiMixedTypes="0" containsString="0" containsNumber="1" minValue="0" maxValue="2.6125654450261901"/>
    </cacheField>
    <cacheField name="OverallMinimum" numFmtId="0">
      <sharedItems containsSemiMixedTypes="0" containsString="0" containsNumber="1" minValue="0" maxValue="0.25"/>
    </cacheField>
    <cacheField name="OverallMaximum" numFmtId="0">
      <sharedItems containsSemiMixedTypes="0" containsString="0" containsNumber="1" minValue="0" maxValue="5"/>
    </cacheField>
    <cacheField name="AverageNumberObservations" numFmtId="0">
      <sharedItems containsSemiMixedTypes="0" containsString="0" containsNumber="1" containsInteger="1" minValue="191" maxValue="193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367824076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Medico.NumberSeized"/>
        <s v="Medico.ScheduledUtilization"/>
        <s v="Paciente.NumberIn"/>
        <s v="Paciente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99791666666666601" maxValue="2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9791666666666601" maxValue="2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9791666666666601" maxValue="240"/>
    </cacheField>
    <cacheField name="Maximum" numFmtId="0">
      <sharedItems containsSemiMixedTypes="0" containsString="0" containsNumber="1" minValue="0.99791666666666601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49:52"/>
    <n v="1"/>
    <x v="0"/>
    <x v="0"/>
    <x v="0"/>
    <n v="0.99791666666666601"/>
    <n v="2E+20"/>
    <n v="0"/>
    <n v="1"/>
    <n v="1"/>
    <n v="0"/>
    <s v="Unnamed ProjectMedicoInstantaneous UtilizationResource"/>
    <n v="1"/>
    <n v="0.99791666666666601"/>
    <n v="0"/>
    <n v="0.95"/>
    <n v="4E+20"/>
    <n v="0.99791666666666601"/>
    <n v="0.99791666666666601"/>
    <n v="2E+20"/>
  </r>
  <r>
    <x v="0"/>
    <s v="2023-11-05 19:49:52"/>
    <n v="1"/>
    <x v="0"/>
    <x v="1"/>
    <x v="0"/>
    <n v="1.99583333333333"/>
    <n v="2E+20"/>
    <n v="0"/>
    <n v="2"/>
    <n v="2"/>
    <n v="0"/>
    <s v="Unnamed ProjectMedicoNumber BusyResource"/>
    <n v="1"/>
    <n v="1.99583333333333"/>
    <n v="0"/>
    <n v="0.95"/>
    <n v="4E+20"/>
    <n v="1.99583333333333"/>
    <n v="1.99583333333333"/>
    <n v="2E+20"/>
  </r>
  <r>
    <x v="0"/>
    <s v="2023-11-05 19:49:52"/>
    <n v="1"/>
    <x v="0"/>
    <x v="2"/>
    <x v="0"/>
    <n v="2"/>
    <n v="2E+20"/>
    <n v="2"/>
    <n v="2"/>
    <n v="2"/>
    <n v="0"/>
    <s v="Unnamed ProjectMedicoNumber ScheduledResource"/>
    <n v="1"/>
    <n v="2"/>
    <n v="0"/>
    <n v="0.95"/>
    <n v="4E+20"/>
    <n v="2"/>
    <n v="2"/>
    <n v="2E+20"/>
  </r>
  <r>
    <x v="0"/>
    <s v="2023-11-05 19:49:52"/>
    <n v="1"/>
    <x v="1"/>
    <x v="3"/>
    <x v="1"/>
    <n v="25.8958333333334"/>
    <n v="3E+20"/>
    <n v="0"/>
    <n v="50"/>
    <n v="49"/>
    <n v="0"/>
    <s v="Unnamed ProjectPacienteWIPEntity"/>
    <n v="1"/>
    <n v="25.8958333333334"/>
    <n v="0"/>
    <n v="0.95"/>
    <n v="4E+20"/>
    <n v="25.8958333333334"/>
    <n v="25.8958333333334"/>
    <n v="3E+20"/>
  </r>
  <r>
    <x v="0"/>
    <s v="2023-11-05 19:49:52"/>
    <n v="1"/>
    <x v="2"/>
    <x v="4"/>
    <x v="2"/>
    <n v="23.900000000000102"/>
    <n v="3E+20"/>
    <n v="0"/>
    <n v="48"/>
    <n v="47"/>
    <n v="0"/>
    <s v="Unnamed ProjectProcesso atendimento medico.QueueNumber WaitingQueue"/>
    <n v="1"/>
    <n v="23.900000000000102"/>
    <n v="0"/>
    <n v="0.95"/>
    <n v="4E+20"/>
    <n v="23.900000000000102"/>
    <n v="23.900000000000102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05 19:49:52"/>
    <n v="1"/>
    <x v="0"/>
    <x v="0"/>
    <x v="0"/>
    <n v="0"/>
    <n v="2E+20"/>
    <n v="0"/>
    <n v="0"/>
    <n v="191"/>
    <s v="Unnamed ProjectPacienteNVA TimeEntity"/>
    <n v="1"/>
    <n v="0"/>
    <n v="0"/>
    <n v="0.95"/>
    <n v="4E+20"/>
    <n v="0"/>
    <n v="0"/>
    <n v="0"/>
    <n v="0"/>
    <n v="191"/>
    <n v="2E+20"/>
    <n v="1"/>
    <n v="1"/>
  </r>
  <r>
    <x v="0"/>
    <s v="2023-11-05 19:49:52"/>
    <n v="1"/>
    <x v="0"/>
    <x v="1"/>
    <x v="0"/>
    <n v="0"/>
    <n v="2E+20"/>
    <n v="0"/>
    <n v="0"/>
    <n v="191"/>
    <s v="Unnamed ProjectPacienteOther TimeEntity"/>
    <n v="1"/>
    <n v="0"/>
    <n v="0"/>
    <n v="0.95"/>
    <n v="4E+20"/>
    <n v="0"/>
    <n v="0"/>
    <n v="0"/>
    <n v="0"/>
    <n v="191"/>
    <n v="2E+20"/>
    <n v="1"/>
    <n v="1"/>
  </r>
  <r>
    <x v="0"/>
    <s v="2023-11-05 19:49:52"/>
    <n v="1"/>
    <x v="0"/>
    <x v="2"/>
    <x v="0"/>
    <n v="2.6125654450261901"/>
    <n v="2E+20"/>
    <n v="0.25"/>
    <n v="5"/>
    <n v="191"/>
    <s v="Unnamed ProjectPacienteTotal TimeEntity"/>
    <n v="1"/>
    <n v="2.6125654450261901"/>
    <n v="0"/>
    <n v="0.95"/>
    <n v="4E+20"/>
    <n v="2.6125654450261901"/>
    <n v="2.6125654450261901"/>
    <n v="0.25"/>
    <n v="5"/>
    <n v="191"/>
    <n v="2E+20"/>
    <n v="1"/>
    <n v="1"/>
  </r>
  <r>
    <x v="0"/>
    <s v="2023-11-05 19:49:52"/>
    <n v="1"/>
    <x v="0"/>
    <x v="3"/>
    <x v="0"/>
    <n v="0"/>
    <n v="2E+20"/>
    <n v="0"/>
    <n v="0"/>
    <n v="191"/>
    <s v="Unnamed ProjectPacienteTransfer TimeEntity"/>
    <n v="1"/>
    <n v="0"/>
    <n v="0"/>
    <n v="0.95"/>
    <n v="4E+20"/>
    <n v="0"/>
    <n v="0"/>
    <n v="0"/>
    <n v="0"/>
    <n v="191"/>
    <n v="2E+20"/>
    <n v="1"/>
    <n v="1"/>
  </r>
  <r>
    <x v="0"/>
    <s v="2023-11-05 19:49:52"/>
    <n v="1"/>
    <x v="0"/>
    <x v="4"/>
    <x v="0"/>
    <n v="0.25"/>
    <n v="2E+20"/>
    <n v="0.25"/>
    <n v="0.250000000000002"/>
    <n v="191"/>
    <s v="Unnamed ProjectPacienteVA TimeEntity"/>
    <n v="1"/>
    <n v="0.25"/>
    <n v="0"/>
    <n v="0.95"/>
    <n v="4E+20"/>
    <n v="0.25"/>
    <n v="0.25"/>
    <n v="0.25"/>
    <n v="0.250000000000002"/>
    <n v="191"/>
    <n v="2E+20"/>
    <n v="1"/>
    <n v="1"/>
  </r>
  <r>
    <x v="0"/>
    <s v="2023-11-05 19:49:52"/>
    <n v="1"/>
    <x v="0"/>
    <x v="5"/>
    <x v="0"/>
    <n v="2.3625654450261901"/>
    <n v="2E+20"/>
    <n v="0"/>
    <n v="4.75"/>
    <n v="191"/>
    <s v="Unnamed ProjectPacienteWait TimeEntity"/>
    <n v="1"/>
    <n v="2.3625654450261901"/>
    <n v="0"/>
    <n v="0.95"/>
    <n v="4E+20"/>
    <n v="2.3625654450261901"/>
    <n v="2.3625654450261901"/>
    <n v="0"/>
    <n v="4.75"/>
    <n v="191"/>
    <n v="2E+20"/>
    <n v="1"/>
    <n v="1"/>
  </r>
  <r>
    <x v="0"/>
    <s v="2023-11-05 19:49:52"/>
    <n v="1"/>
    <x v="1"/>
    <x v="6"/>
    <x v="1"/>
    <n v="2.38756476683939"/>
    <n v="2E+20"/>
    <n v="0"/>
    <n v="4.8"/>
    <n v="193"/>
    <s v="Unnamed ProjectProcesso atendimento medico.QueueWaiting TimeQueue"/>
    <n v="1"/>
    <n v="2.38756476683939"/>
    <n v="0"/>
    <n v="0.95"/>
    <n v="4E+20"/>
    <n v="2.38756476683939"/>
    <n v="2.38756476683939"/>
    <n v="0"/>
    <n v="4.8"/>
    <n v="193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49:52"/>
    <n v="1"/>
    <x v="0"/>
    <x v="0"/>
    <x v="0"/>
    <n v="193"/>
    <n v="0"/>
    <s v="Unnamed ProjectMedico.NumberSeizedTotal Number SeizedResource"/>
    <n v="1"/>
    <n v="193"/>
    <n v="0"/>
    <n v="0.95"/>
    <n v="4E+20"/>
    <n v="193"/>
    <n v="193"/>
  </r>
  <r>
    <x v="0"/>
    <s v="2023-11-05 19:49:52"/>
    <n v="1"/>
    <x v="1"/>
    <x v="1"/>
    <x v="0"/>
    <n v="0.99791666666666601"/>
    <n v="0"/>
    <s v="Unnamed ProjectMedico.ScheduledUtilizationScheduled UtilizationResource"/>
    <n v="1"/>
    <n v="0.99791666666666601"/>
    <n v="0"/>
    <n v="0.95"/>
    <n v="4E+20"/>
    <n v="0.99791666666666601"/>
    <n v="0.99791666666666601"/>
  </r>
  <r>
    <x v="0"/>
    <s v="2023-11-05 19:49:52"/>
    <n v="1"/>
    <x v="2"/>
    <x v="2"/>
    <x v="1"/>
    <n v="240"/>
    <n v="0"/>
    <s v="Unnamed ProjectPaciente.NumberInNumber InEntity"/>
    <n v="1"/>
    <n v="240"/>
    <n v="0"/>
    <n v="0.95"/>
    <n v="4E+20"/>
    <n v="240"/>
    <n v="240"/>
  </r>
  <r>
    <x v="0"/>
    <s v="2023-11-05 19:49:52"/>
    <n v="1"/>
    <x v="3"/>
    <x v="3"/>
    <x v="1"/>
    <n v="191"/>
    <n v="0"/>
    <s v="Unnamed ProjectPaciente.NumberOutNumber OutEntity"/>
    <n v="1"/>
    <n v="191"/>
    <n v="0"/>
    <n v="0.95"/>
    <n v="4E+20"/>
    <n v="191"/>
    <n v="191"/>
  </r>
  <r>
    <x v="0"/>
    <s v="2023-11-05 19:49:52"/>
    <n v="1"/>
    <x v="4"/>
    <x v="3"/>
    <x v="2"/>
    <n v="191"/>
    <n v="0"/>
    <s v="Unnamed ProjectSystem.NumberOutNumber OutSystem"/>
    <n v="1"/>
    <n v="191"/>
    <n v="0"/>
    <n v="0.95"/>
    <n v="4E+20"/>
    <n v="191"/>
    <n v="1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191</v>
      </c>
      <c r="O3" t="s">
        <v>66</v>
      </c>
      <c r="P3" t="s">
        <v>81</v>
      </c>
      <c r="Q3" t="s">
        <v>82</v>
      </c>
      <c r="R3" t="s">
        <v>83</v>
      </c>
      <c r="S3" s="5">
        <v>0.99791666666666601</v>
      </c>
      <c r="T3" s="5">
        <v>2E+20</v>
      </c>
      <c r="U3" s="5">
        <v>0</v>
      </c>
      <c r="V3" s="5">
        <v>0.99791666666666601</v>
      </c>
      <c r="W3" s="5">
        <v>0.99791666666666601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191</v>
      </c>
      <c r="AP3" s="5">
        <v>4E+20</v>
      </c>
      <c r="AQ3" s="5">
        <v>0</v>
      </c>
      <c r="AR3" s="5">
        <v>191</v>
      </c>
      <c r="AS3" s="5">
        <v>191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191</v>
      </c>
      <c r="Q4" t="s">
        <v>84</v>
      </c>
      <c r="R4" t="s">
        <v>83</v>
      </c>
      <c r="S4" s="5">
        <v>1.99583333333333</v>
      </c>
      <c r="T4" s="5">
        <v>2E+20</v>
      </c>
      <c r="U4" s="5">
        <v>0</v>
      </c>
      <c r="V4" s="5">
        <v>1.99583333333333</v>
      </c>
      <c r="W4" s="5">
        <v>1.99583333333333</v>
      </c>
      <c r="X4" s="5">
        <v>0</v>
      </c>
      <c r="Y4" s="5">
        <v>2</v>
      </c>
      <c r="AL4" t="s">
        <v>88</v>
      </c>
      <c r="AM4" t="s">
        <v>89</v>
      </c>
      <c r="AN4" t="s">
        <v>83</v>
      </c>
      <c r="AO4" s="5">
        <v>193</v>
      </c>
      <c r="AP4" s="5">
        <v>4E+20</v>
      </c>
      <c r="AQ4" s="5">
        <v>0</v>
      </c>
      <c r="AR4" s="5">
        <v>193</v>
      </c>
      <c r="AS4" s="5">
        <v>193</v>
      </c>
    </row>
    <row r="5" spans="1:52" x14ac:dyDescent="0.35">
      <c r="C5" t="s">
        <v>74</v>
      </c>
      <c r="D5" t="s">
        <v>72</v>
      </c>
      <c r="E5" s="5">
        <v>2.6125654450261901</v>
      </c>
      <c r="F5" s="5">
        <v>1</v>
      </c>
      <c r="G5" s="5">
        <v>2E+20</v>
      </c>
      <c r="H5" s="5">
        <v>0</v>
      </c>
      <c r="I5" s="5">
        <v>2.6125654450261901</v>
      </c>
      <c r="J5" s="5">
        <v>2.6125654450261901</v>
      </c>
      <c r="K5" s="5">
        <v>0.25</v>
      </c>
      <c r="L5" s="5">
        <v>5</v>
      </c>
      <c r="M5" s="5">
        <v>191</v>
      </c>
      <c r="Q5" t="s">
        <v>85</v>
      </c>
      <c r="R5" t="s">
        <v>83</v>
      </c>
      <c r="S5" s="5">
        <v>2</v>
      </c>
      <c r="T5" s="5">
        <v>2E+20</v>
      </c>
      <c r="U5" s="5">
        <v>0</v>
      </c>
      <c r="V5" s="5">
        <v>2</v>
      </c>
      <c r="W5" s="5">
        <v>2</v>
      </c>
      <c r="X5" s="5">
        <v>2</v>
      </c>
      <c r="Y5" s="5">
        <v>2</v>
      </c>
      <c r="AL5" t="s">
        <v>90</v>
      </c>
      <c r="AM5" t="s">
        <v>91</v>
      </c>
      <c r="AN5" t="s">
        <v>83</v>
      </c>
      <c r="AO5" s="5">
        <v>0.99791666666666601</v>
      </c>
      <c r="AP5" s="5">
        <v>4E+20</v>
      </c>
      <c r="AQ5" s="5">
        <v>0</v>
      </c>
      <c r="AR5" s="5">
        <v>0.99791666666666601</v>
      </c>
      <c r="AS5" s="5">
        <v>0.99791666666666601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191</v>
      </c>
      <c r="P6" t="s">
        <v>70</v>
      </c>
      <c r="Q6" t="s">
        <v>86</v>
      </c>
      <c r="R6" t="s">
        <v>72</v>
      </c>
      <c r="S6" s="5">
        <v>25.8958333333334</v>
      </c>
      <c r="T6" s="5">
        <v>3E+20</v>
      </c>
      <c r="U6" s="5">
        <v>0</v>
      </c>
      <c r="V6" s="5">
        <v>25.8958333333334</v>
      </c>
      <c r="W6" s="5">
        <v>25.8958333333334</v>
      </c>
      <c r="X6" s="5">
        <v>0</v>
      </c>
      <c r="Y6" s="5">
        <v>50</v>
      </c>
      <c r="AL6" t="s">
        <v>92</v>
      </c>
      <c r="AM6" t="s">
        <v>93</v>
      </c>
      <c r="AN6" t="s">
        <v>72</v>
      </c>
      <c r="AO6" s="5">
        <v>240</v>
      </c>
      <c r="AP6" s="5">
        <v>4E+20</v>
      </c>
      <c r="AQ6" s="5">
        <v>0</v>
      </c>
      <c r="AR6" s="5">
        <v>240</v>
      </c>
      <c r="AS6" s="5">
        <v>240</v>
      </c>
    </row>
    <row r="7" spans="1:52" x14ac:dyDescent="0.35">
      <c r="C7" t="s">
        <v>76</v>
      </c>
      <c r="D7" t="s">
        <v>72</v>
      </c>
      <c r="E7" s="5">
        <v>0.25</v>
      </c>
      <c r="F7" s="5">
        <v>1</v>
      </c>
      <c r="G7" s="5">
        <v>2E+20</v>
      </c>
      <c r="H7" s="5">
        <v>0</v>
      </c>
      <c r="I7" s="5">
        <v>0.25</v>
      </c>
      <c r="J7" s="5">
        <v>0.25</v>
      </c>
      <c r="K7" s="5">
        <v>0.25</v>
      </c>
      <c r="L7" s="5">
        <v>0.250000000000002</v>
      </c>
      <c r="M7" s="5">
        <v>191</v>
      </c>
      <c r="P7" t="s">
        <v>78</v>
      </c>
      <c r="Q7" t="s">
        <v>87</v>
      </c>
      <c r="R7" t="s">
        <v>80</v>
      </c>
      <c r="S7" s="5">
        <v>23.900000000000102</v>
      </c>
      <c r="T7" s="5">
        <v>3E+20</v>
      </c>
      <c r="U7" s="5">
        <v>0</v>
      </c>
      <c r="V7" s="5">
        <v>23.900000000000102</v>
      </c>
      <c r="W7" s="5">
        <v>23.900000000000102</v>
      </c>
      <c r="X7" s="5">
        <v>0</v>
      </c>
      <c r="Y7" s="5">
        <v>48</v>
      </c>
      <c r="AL7" t="s">
        <v>94</v>
      </c>
      <c r="AM7" t="s">
        <v>95</v>
      </c>
      <c r="AN7" t="s">
        <v>72</v>
      </c>
      <c r="AO7" s="5">
        <v>191</v>
      </c>
      <c r="AP7" s="5">
        <v>4E+20</v>
      </c>
      <c r="AQ7" s="5">
        <v>0</v>
      </c>
      <c r="AR7" s="5">
        <v>191</v>
      </c>
      <c r="AS7" s="5">
        <v>191</v>
      </c>
    </row>
    <row r="8" spans="1:52" x14ac:dyDescent="0.35">
      <c r="C8" t="s">
        <v>77</v>
      </c>
      <c r="D8" t="s">
        <v>72</v>
      </c>
      <c r="E8" s="5">
        <v>2.3625654450261901</v>
      </c>
      <c r="F8" s="5">
        <v>1</v>
      </c>
      <c r="G8" s="5">
        <v>2E+20</v>
      </c>
      <c r="H8" s="5">
        <v>0</v>
      </c>
      <c r="I8" s="5">
        <v>2.3625654450261901</v>
      </c>
      <c r="J8" s="5">
        <v>2.3625654450261901</v>
      </c>
      <c r="K8" s="5">
        <v>0</v>
      </c>
      <c r="L8" s="5">
        <v>4.75</v>
      </c>
      <c r="M8" s="5">
        <v>191</v>
      </c>
    </row>
    <row r="9" spans="1:52" x14ac:dyDescent="0.35">
      <c r="B9" t="s">
        <v>78</v>
      </c>
      <c r="C9" t="s">
        <v>79</v>
      </c>
      <c r="D9" t="s">
        <v>80</v>
      </c>
      <c r="E9" s="5">
        <v>2.38756476683939</v>
      </c>
      <c r="F9" s="5">
        <v>1</v>
      </c>
      <c r="G9" s="5">
        <v>2E+20</v>
      </c>
      <c r="H9" s="5">
        <v>0</v>
      </c>
      <c r="I9" s="5">
        <v>2.38756476683939</v>
      </c>
      <c r="J9" s="5">
        <v>2.38756476683939</v>
      </c>
      <c r="K9" s="5">
        <v>0</v>
      </c>
      <c r="L9" s="5">
        <v>4.8</v>
      </c>
      <c r="M9" s="5">
        <v>193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21.1796875" bestFit="1" customWidth="1"/>
    <col min="12" max="12" width="64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191</v>
      </c>
      <c r="L2" t="str">
        <f>DiscreteStatsTable[[#This Row],[ProjectName]]&amp;DiscreteStatsTable[[#This Row],[Name]]&amp;DiscreteStatsTable[[#This Row],[Type]]&amp;DiscreteStatsTable[[#This Row],[Source]]</f>
        <v>Unnamed ProjectPacienteNVA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191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191</v>
      </c>
      <c r="L3" t="str">
        <f>DiscreteStatsTable[[#This Row],[ProjectName]]&amp;DiscreteStatsTable[[#This Row],[Name]]&amp;DiscreteStatsTable[[#This Row],[Type]]&amp;DiscreteStatsTable[[#This Row],[Source]]</f>
        <v>Unnamed ProjectPacienteOther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191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2.6125654450261901</v>
      </c>
      <c r="H4">
        <v>2E+20</v>
      </c>
      <c r="I4">
        <v>0.25</v>
      </c>
      <c r="J4">
        <v>5</v>
      </c>
      <c r="K4">
        <v>191</v>
      </c>
      <c r="L4" t="str">
        <f>DiscreteStatsTable[[#This Row],[ProjectName]]&amp;DiscreteStatsTable[[#This Row],[Name]]&amp;DiscreteStatsTable[[#This Row],[Type]]&amp;DiscreteStatsTable[[#This Row],[Source]]</f>
        <v>Unnamed ProjectPacienteTotal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2.6125654450261901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2.6125654450261901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2.6125654450261901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0.25</v>
      </c>
      <c r="U4" cm="1">
        <f t="array" ref="U4">MAX(IF((DiscreteStatsTable[GroupByKey]=DiscreteStatsTable[[#This Row],[GroupByKey]]),(DiscreteStatsTable[GroupByKey]=DiscreteStatsTable[[#This Row],[GroupByKey]])*DiscreteStatsTable[Maximum]))</f>
        <v>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191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191</v>
      </c>
      <c r="L5" t="str">
        <f>DiscreteStatsTable[[#This Row],[ProjectName]]&amp;DiscreteStatsTable[[#This Row],[Name]]&amp;DiscreteStatsTable[[#This Row],[Type]]&amp;DiscreteStatsTable[[#This Row],[Source]]</f>
        <v>Unnamed ProjectPacienteTransfer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191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0.25</v>
      </c>
      <c r="H6">
        <v>2E+20</v>
      </c>
      <c r="I6">
        <v>0.25</v>
      </c>
      <c r="J6">
        <v>0.250000000000002</v>
      </c>
      <c r="K6">
        <v>191</v>
      </c>
      <c r="L6" t="str">
        <f>DiscreteStatsTable[[#This Row],[ProjectName]]&amp;DiscreteStatsTable[[#This Row],[Name]]&amp;DiscreteStatsTable[[#This Row],[Type]]&amp;DiscreteStatsTable[[#This Row],[Source]]</f>
        <v>Unnamed ProjectPacienteVA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0.25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0.25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0.250000000000002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191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2.3625654450261901</v>
      </c>
      <c r="H7">
        <v>2E+20</v>
      </c>
      <c r="I7">
        <v>0</v>
      </c>
      <c r="J7">
        <v>4.75</v>
      </c>
      <c r="K7">
        <v>191</v>
      </c>
      <c r="L7" t="str">
        <f>DiscreteStatsTable[[#This Row],[ProjectName]]&amp;DiscreteStatsTable[[#This Row],[Name]]&amp;DiscreteStatsTable[[#This Row],[Type]]&amp;DiscreteStatsTable[[#This Row],[Source]]</f>
        <v>Unnamed ProjectPacienteWait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2.3625654450261901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2.3625654450261901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2.3625654450261901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4.75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191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2.38756476683939</v>
      </c>
      <c r="H8">
        <v>2E+20</v>
      </c>
      <c r="I8">
        <v>0</v>
      </c>
      <c r="J8">
        <v>4.8</v>
      </c>
      <c r="K8">
        <v>193</v>
      </c>
      <c r="L8" t="str">
        <f>DiscreteStatsTable[[#This Row],[ProjectName]]&amp;DiscreteStatsTable[[#This Row],[Name]]&amp;DiscreteStatsTable[[#This Row],[Type]]&amp;DiscreteStatsTable[[#This Row],[Source]]</f>
        <v>Unnamed ProjectProcesso atendimento medico.QueueWaiting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2.38756476683939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2.38756476683939</v>
      </c>
      <c r="S8" cm="1">
        <f t="array" ref="S8">MAX(IF((DiscreteStatsTable[GroupByKey]=DiscreteStatsTable[[#This Row],[GroupByKey]]),(DiscreteStatsTable[GroupByKey]=DiscreteStatsTable[[#This Row],[GroupByKey]])*DiscreteStatsTable[Average]))</f>
        <v>2.38756476683939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4.8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193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2"/>
  <sheetViews>
    <sheetView tabSelected="1" workbookViewId="0">
      <selection activeCell="D12" sqref="D1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0.99791666666666601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ProjectMedicoInstantaneous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0.99791666666666601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0.99791666666666601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0.99791666666666601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1.99583333333333</v>
      </c>
      <c r="H3">
        <v>2E+20</v>
      </c>
      <c r="I3">
        <v>0</v>
      </c>
      <c r="J3">
        <v>2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ProjectMedicoNumber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1.99583333333333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1.99583333333333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1.99583333333333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2</v>
      </c>
      <c r="H4">
        <v>2E+20</v>
      </c>
      <c r="I4">
        <v>2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ProjectMedicoNumber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25.8958333333334</v>
      </c>
      <c r="H5">
        <v>3E+20</v>
      </c>
      <c r="I5">
        <v>0</v>
      </c>
      <c r="J5">
        <v>50</v>
      </c>
      <c r="K5">
        <v>49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ProjectPacienteWIPEntity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25.8958333333334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25.8958333333334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25.8958333333334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35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23.900000000000102</v>
      </c>
      <c r="H6">
        <v>3E+20</v>
      </c>
      <c r="I6">
        <v>0</v>
      </c>
      <c r="J6">
        <v>48</v>
      </c>
      <c r="K6">
        <v>47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atendimento medico.QueueNumber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23.900000000000102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23.900000000000102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23.900000000000102</v>
      </c>
      <c r="U6">
        <f>IF((ContinuousStatsTable[[#This Row],[RepsRequested]]&gt;1),ContinuousStatsTable[[#This Row],[HalfWidth]],ContinuousStatsTable[[#This Row],[BatchMeansHalfWidth]])</f>
        <v>3E+20</v>
      </c>
    </row>
    <row r="12" spans="1:21" x14ac:dyDescent="0.35">
      <c r="D12" s="6"/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193</v>
      </c>
      <c r="H2">
        <v>0</v>
      </c>
      <c r="I2" t="str">
        <f>OutputTable[[#This Row],[ProjectName]]&amp;OutputTable[[#This Row],[Name]]&amp;OutputTable[[#This Row],[Type]]&amp;OutputTable[[#This Row],[Source]]</f>
        <v>Unnamed ProjectMedico.NumberSeizedTotal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193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193</v>
      </c>
      <c r="P2" cm="1">
        <f t="array" ref="P2">MAX(IF((OutputTable[GroupByKey]=OutputTable[[#This Row],[GroupByKey]]),(OutputTable[GroupByKey]=OutputTable[[#This Row],[GroupByKey]])*OutputTable[RecordedValue]))</f>
        <v>193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0.99791666666666601</v>
      </c>
      <c r="H3">
        <v>0</v>
      </c>
      <c r="I3" t="str">
        <f>OutputTable[[#This Row],[ProjectName]]&amp;OutputTable[[#This Row],[Name]]&amp;OutputTable[[#This Row],[Type]]&amp;OutputTable[[#This Row],[Source]]</f>
        <v>Unnamed ProjectMedico.ScheduledUtilizationScheduled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0.99791666666666601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0.99791666666666601</v>
      </c>
      <c r="P3" cm="1">
        <f t="array" ref="P3">MAX(IF((OutputTable[GroupByKey]=OutputTable[[#This Row],[GroupByKey]]),(OutputTable[GroupByKey]=OutputTable[[#This Row],[GroupByKey]])*OutputTable[RecordedValue]))</f>
        <v>0.99791666666666601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240</v>
      </c>
      <c r="H4">
        <v>0</v>
      </c>
      <c r="I4" t="str">
        <f>OutputTable[[#This Row],[ProjectName]]&amp;OutputTable[[#This Row],[Name]]&amp;OutputTable[[#This Row],[Type]]&amp;OutputTable[[#This Row],[Source]]</f>
        <v>Unnamed ProjectPaciente.NumberInNumber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240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240</v>
      </c>
      <c r="P4" cm="1">
        <f t="array" ref="P4">MAX(IF((OutputTable[GroupByKey]=OutputTable[[#This Row],[GroupByKey]]),(OutputTable[GroupByKey]=OutputTable[[#This Row],[GroupByKey]])*OutputTable[RecordedValue]))</f>
        <v>240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191</v>
      </c>
      <c r="H5">
        <v>0</v>
      </c>
      <c r="I5" t="str">
        <f>OutputTable[[#This Row],[ProjectName]]&amp;OutputTable[[#This Row],[Name]]&amp;OutputTable[[#This Row],[Type]]&amp;OutputTable[[#This Row],[Source]]</f>
        <v>Unnamed ProjectPaciente.NumberOutNumber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191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191</v>
      </c>
      <c r="P5" cm="1">
        <f t="array" ref="P5">MAX(IF((OutputTable[GroupByKey]=OutputTable[[#This Row],[GroupByKey]]),(OutputTable[GroupByKey]=OutputTable[[#This Row],[GroupByKey]])*OutputTable[RecordedValue]))</f>
        <v>191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191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191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191</v>
      </c>
      <c r="P6" cm="1">
        <f t="array" ref="P6">MAX(IF((OutputTable[GroupByKey]=OutputTable[[#This Row],[GroupByKey]]),(OutputTable[GroupByKey]=OutputTable[[#This Row],[GroupByKey]])*OutputTable[RecordedValue]))</f>
        <v>191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2023-11-05T22:50:16Z</dcterms:modified>
</cp:coreProperties>
</file>